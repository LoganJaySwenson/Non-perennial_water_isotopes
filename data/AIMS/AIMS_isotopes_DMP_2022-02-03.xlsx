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autoCompressPictures="0" defaultThemeVersion="124226"/>
  <mc:AlternateContent xmlns:mc="http://schemas.openxmlformats.org/markup-compatibility/2006">
    <mc:Choice Requires="x15">
      <x15ac:absPath xmlns:x15ac="http://schemas.microsoft.com/office/spreadsheetml/2010/11/ac" url="C:\Users\Logan\WorkGits\C1\C1\data\AIMS\"/>
    </mc:Choice>
  </mc:AlternateContent>
  <xr:revisionPtr revIDLastSave="0" documentId="13_ncr:1_{816D7412-401B-4269-B773-A1875DDE8E0C}" xr6:coauthVersionLast="47" xr6:coauthVersionMax="47" xr10:uidLastSave="{00000000-0000-0000-0000-000000000000}"/>
  <bookViews>
    <workbookView xWindow="-98" yWindow="-98" windowWidth="28996" windowHeight="17475" tabRatio="573" firstSheet="2" activeTab="7" xr2:uid="{00000000-000D-0000-FFFF-FFFF00000000}"/>
  </bookViews>
  <sheets>
    <sheet name="Instructions" sheetId="4" r:id="rId1"/>
    <sheet name="Tray Configuration" sheetId="3" r:id="rId2"/>
    <sheet name="Timing" sheetId="10" r:id="rId3"/>
    <sheet name="Picarro Output" sheetId="1" r:id="rId4"/>
    <sheet name="Uncalibrated Data" sheetId="2" r:id="rId5"/>
    <sheet name="Calibration" sheetId="7" r:id="rId6"/>
    <sheet name="QAQC + Calibrated Data" sheetId="8" r:id="rId7"/>
    <sheet name="Data Export" sheetId="11"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F3" i="8" l="1"/>
  <c r="B25" i="7"/>
  <c r="A39" i="8" l="1"/>
  <c r="C4" i="10"/>
  <c r="C5" i="10" s="1"/>
  <c r="C3" i="10"/>
  <c r="C6" i="10" l="1"/>
  <c r="C7" i="10" s="1"/>
  <c r="C8" i="10" s="1"/>
  <c r="C9" i="10" s="1"/>
  <c r="C10" i="10" s="1"/>
  <c r="C11" i="10" s="1"/>
  <c r="C12" i="10" s="1"/>
  <c r="C13" i="10" s="1"/>
  <c r="C14" i="10" s="1"/>
  <c r="C15" i="10" s="1"/>
  <c r="C16" i="10" s="1"/>
  <c r="C17" i="10" s="1"/>
  <c r="C18" i="10" s="1"/>
  <c r="C19" i="10" s="1"/>
  <c r="C20" i="10" s="1"/>
  <c r="C21" i="10" s="1"/>
  <c r="C22" i="10" s="1"/>
  <c r="C23" i="10" s="1"/>
  <c r="C24" i="10" s="1"/>
  <c r="C25" i="10" s="1"/>
  <c r="C26" i="10" s="1"/>
  <c r="C27" i="10" s="1"/>
  <c r="C28" i="10" s="1"/>
  <c r="C29" i="10" s="1"/>
  <c r="C30" i="10" s="1"/>
  <c r="C31" i="10" s="1"/>
  <c r="C32" i="10" s="1"/>
  <c r="C33" i="10" s="1"/>
  <c r="C34" i="10" s="1"/>
  <c r="C35" i="10" s="1"/>
  <c r="C36" i="10" s="1"/>
  <c r="C37" i="10" s="1"/>
  <c r="C38" i="10" s="1"/>
  <c r="C39" i="10" s="1"/>
  <c r="C40" i="10" s="1"/>
  <c r="C41" i="10" s="1"/>
  <c r="C42" i="10" s="1"/>
  <c r="C43" i="10" s="1"/>
  <c r="C44" i="10" s="1"/>
  <c r="C45" i="10" s="1"/>
  <c r="C46" i="10" s="1"/>
  <c r="C47" i="10" s="1"/>
  <c r="C48" i="10" s="1"/>
  <c r="C49" i="10" s="1"/>
  <c r="C50" i="10" s="1"/>
  <c r="C51" i="10" s="1"/>
  <c r="C52" i="10" s="1"/>
  <c r="C53" i="10" s="1"/>
  <c r="C54" i="10" s="1"/>
  <c r="C55" i="10" s="1"/>
  <c r="C56" i="10" s="1"/>
  <c r="C57" i="10" s="1"/>
  <c r="C58" i="10" s="1"/>
  <c r="C59" i="10" s="1"/>
  <c r="C60" i="10" s="1"/>
  <c r="C61" i="10" s="1"/>
  <c r="C62" i="10" s="1"/>
  <c r="C63" i="10" s="1"/>
  <c r="C64" i="10" s="1"/>
  <c r="C65" i="10" s="1"/>
  <c r="C66" i="10" s="1"/>
  <c r="C67" i="10" s="1"/>
  <c r="C68" i="10" s="1"/>
  <c r="C69" i="10" s="1"/>
  <c r="C70" i="10" s="1"/>
  <c r="C71" i="10" s="1"/>
  <c r="C72" i="10" s="1"/>
  <c r="C73" i="10" s="1"/>
  <c r="C74" i="10" s="1"/>
  <c r="C75" i="10" s="1"/>
  <c r="C76" i="10" s="1"/>
  <c r="C77" i="10" s="1"/>
  <c r="C78" i="10" s="1"/>
  <c r="C79" i="10" s="1"/>
  <c r="C80" i="10" s="1"/>
  <c r="C81" i="10" s="1"/>
  <c r="C82" i="10" s="1"/>
  <c r="C83" i="10" s="1"/>
  <c r="C84" i="10" s="1"/>
  <c r="C85" i="10" s="1"/>
  <c r="C86" i="10" s="1"/>
  <c r="C87" i="10" s="1"/>
  <c r="C88" i="10" s="1"/>
  <c r="C89" i="10" s="1"/>
  <c r="C90" i="10" s="1"/>
  <c r="C91" i="10" s="1"/>
  <c r="C92" i="10" s="1"/>
  <c r="C93" i="10" s="1"/>
  <c r="C94" i="10" s="1"/>
  <c r="C95" i="10" s="1"/>
  <c r="C96" i="10" s="1"/>
  <c r="C97" i="10" s="1"/>
  <c r="C98" i="10" s="1"/>
  <c r="C99" i="10" s="1"/>
  <c r="C100" i="10" s="1"/>
  <c r="C101" i="10" s="1"/>
  <c r="C102" i="10" s="1"/>
  <c r="C103" i="10" s="1"/>
  <c r="C104" i="10" s="1"/>
  <c r="C105" i="10" s="1"/>
  <c r="C106" i="10" s="1"/>
  <c r="C107" i="10" s="1"/>
  <c r="C108" i="10" s="1"/>
  <c r="B107" i="10" l="1"/>
  <c r="B106" i="10"/>
  <c r="B105" i="10"/>
  <c r="B104" i="10"/>
  <c r="B103" i="10"/>
  <c r="B102" i="10"/>
  <c r="B101" i="10"/>
  <c r="B100" i="10"/>
  <c r="B99" i="10"/>
  <c r="B98" i="10"/>
  <c r="B97" i="10"/>
  <c r="B96" i="10"/>
  <c r="B95" i="10"/>
  <c r="B94" i="10"/>
  <c r="B93" i="10"/>
  <c r="B92" i="10"/>
  <c r="B91" i="10"/>
  <c r="B90" i="10"/>
  <c r="B89" i="10"/>
  <c r="B88" i="10"/>
  <c r="B87" i="10"/>
  <c r="B86" i="10"/>
  <c r="B85" i="10"/>
  <c r="B84" i="10"/>
  <c r="B83" i="10"/>
  <c r="B82" i="10"/>
  <c r="B81" i="10"/>
  <c r="B80" i="10"/>
  <c r="B79" i="10"/>
  <c r="B78" i="10"/>
  <c r="B77" i="10"/>
  <c r="B76" i="10"/>
  <c r="B75" i="10"/>
  <c r="B74" i="10"/>
  <c r="B73" i="10"/>
  <c r="B72" i="10"/>
  <c r="B71" i="10"/>
  <c r="B70" i="10"/>
  <c r="B69" i="10"/>
  <c r="B68" i="10"/>
  <c r="B67" i="10"/>
  <c r="B66" i="10"/>
  <c r="B65" i="10"/>
  <c r="B64" i="10"/>
  <c r="B63" i="10"/>
  <c r="B62" i="10"/>
  <c r="B61" i="10"/>
  <c r="B60" i="10"/>
  <c r="B59" i="10"/>
  <c r="B58" i="10"/>
  <c r="B57" i="10"/>
  <c r="B56" i="10"/>
  <c r="B55" i="10"/>
  <c r="B54" i="10"/>
  <c r="B53" i="10"/>
  <c r="B52" i="10"/>
  <c r="B51" i="10"/>
  <c r="B50" i="10"/>
  <c r="B49" i="10"/>
  <c r="B48" i="10"/>
  <c r="B47" i="10"/>
  <c r="B46" i="10"/>
  <c r="B45" i="10"/>
  <c r="B44" i="10"/>
  <c r="B43" i="10"/>
  <c r="B42" i="10"/>
  <c r="B41" i="10"/>
  <c r="B40" i="10"/>
  <c r="B39" i="10"/>
  <c r="B38" i="10"/>
  <c r="B37" i="10"/>
  <c r="B36" i="10"/>
  <c r="B35" i="10"/>
  <c r="B34" i="10"/>
  <c r="B33" i="10"/>
  <c r="B32" i="10"/>
  <c r="B31" i="10"/>
  <c r="B30" i="10"/>
  <c r="B29" i="10"/>
  <c r="B28" i="10"/>
  <c r="B27" i="10"/>
  <c r="B26" i="10"/>
  <c r="B25" i="10"/>
  <c r="B24" i="10"/>
  <c r="B23" i="10"/>
  <c r="B22" i="10"/>
  <c r="B21" i="10"/>
  <c r="B20" i="10"/>
  <c r="B19" i="10"/>
  <c r="B18" i="10"/>
  <c r="B17" i="10"/>
  <c r="B16" i="10"/>
  <c r="B15" i="10"/>
  <c r="B14" i="10"/>
  <c r="B13" i="10"/>
  <c r="B12" i="10"/>
  <c r="B11" i="10"/>
  <c r="B10" i="10"/>
  <c r="B9" i="10"/>
  <c r="B8" i="10"/>
  <c r="B7" i="10"/>
  <c r="B6" i="10"/>
  <c r="B5" i="10"/>
  <c r="B4" i="10"/>
  <c r="B3" i="10"/>
  <c r="P3" i="8"/>
  <c r="M3" i="8"/>
  <c r="L3" i="8" s="1"/>
  <c r="J15" i="7"/>
  <c r="M15" i="7" s="1"/>
  <c r="D12" i="7"/>
  <c r="D13" i="7"/>
  <c r="D14" i="7"/>
  <c r="D15" i="7"/>
  <c r="D16" i="7"/>
  <c r="D17" i="7"/>
  <c r="D18" i="7"/>
  <c r="D19" i="7"/>
  <c r="C12" i="7"/>
  <c r="C13" i="7"/>
  <c r="C14" i="7"/>
  <c r="C15" i="7"/>
  <c r="C16" i="7"/>
  <c r="C17" i="7"/>
  <c r="C18" i="7"/>
  <c r="C19" i="7"/>
  <c r="B12" i="7"/>
  <c r="J12" i="7" s="1"/>
  <c r="K12" i="7" s="1"/>
  <c r="B13" i="7"/>
  <c r="J13" i="7" s="1"/>
  <c r="B14" i="7"/>
  <c r="J14" i="7" s="1"/>
  <c r="B15" i="7"/>
  <c r="B16" i="7"/>
  <c r="J16" i="7" s="1"/>
  <c r="B17" i="7"/>
  <c r="J17" i="7" s="1"/>
  <c r="B18" i="7"/>
  <c r="J18" i="7" s="1"/>
  <c r="B19" i="7"/>
  <c r="J19" i="7" s="1"/>
  <c r="K19" i="7" s="1"/>
  <c r="K13" i="7" l="1"/>
  <c r="M13" i="7"/>
  <c r="K18" i="7"/>
  <c r="M18" i="7"/>
  <c r="K17" i="7"/>
  <c r="M17" i="7"/>
  <c r="K16" i="7"/>
  <c r="M16" i="7"/>
  <c r="K14" i="7"/>
  <c r="M12" i="7"/>
  <c r="M19" i="7"/>
  <c r="K15" i="7"/>
  <c r="M14" i="7"/>
  <c r="E106" i="2"/>
  <c r="E105" i="2"/>
  <c r="E104" i="2"/>
  <c r="E103" i="2"/>
  <c r="D106" i="2"/>
  <c r="D105" i="2"/>
  <c r="D104" i="2"/>
  <c r="D103" i="2"/>
  <c r="C106" i="2"/>
  <c r="C105" i="2"/>
  <c r="C104" i="2"/>
  <c r="C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D102" i="2"/>
  <c r="D101" i="2"/>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B106" i="2"/>
  <c r="B105" i="2"/>
  <c r="B104" i="2"/>
  <c r="B103" i="2"/>
  <c r="B102" i="2"/>
  <c r="B101" i="2"/>
  <c r="B100" i="2"/>
  <c r="B99" i="2"/>
  <c r="B98" i="2"/>
  <c r="B97" i="2"/>
  <c r="B96" i="2"/>
  <c r="B95" i="2"/>
  <c r="B94" i="2"/>
  <c r="B92" i="2"/>
  <c r="B93" i="2"/>
  <c r="B91" i="2"/>
  <c r="B90" i="2"/>
  <c r="B89" i="2"/>
  <c r="B88" i="2"/>
  <c r="B87" i="2"/>
  <c r="B86" i="2"/>
  <c r="B85" i="2"/>
  <c r="B84" i="2"/>
  <c r="B83" i="2"/>
  <c r="B82" i="2"/>
  <c r="B81" i="2"/>
  <c r="B80" i="2"/>
  <c r="B79" i="2"/>
  <c r="B78" i="2"/>
  <c r="B77" i="2"/>
  <c r="B76" i="2"/>
  <c r="B75" i="2"/>
  <c r="B74" i="2"/>
  <c r="B73" i="2"/>
  <c r="B72" i="2"/>
  <c r="E71" i="2"/>
  <c r="E70" i="2"/>
  <c r="E69" i="2"/>
  <c r="E68" i="2"/>
  <c r="D71" i="2"/>
  <c r="D70" i="2"/>
  <c r="D69" i="2"/>
  <c r="D68" i="2"/>
  <c r="C71" i="2"/>
  <c r="C70" i="2"/>
  <c r="C69" i="2"/>
  <c r="C68" i="2"/>
  <c r="B71" i="2"/>
  <c r="B70" i="2"/>
  <c r="B69" i="2"/>
  <c r="B68" i="2"/>
  <c r="C52" i="2"/>
  <c r="E67" i="2"/>
  <c r="E66" i="2"/>
  <c r="E65" i="2"/>
  <c r="E64" i="2"/>
  <c r="E63" i="2"/>
  <c r="E62" i="2"/>
  <c r="E61" i="2"/>
  <c r="E60" i="2"/>
  <c r="E59" i="2"/>
  <c r="E58" i="2"/>
  <c r="E57" i="2"/>
  <c r="E56" i="2"/>
  <c r="E55" i="2"/>
  <c r="E54" i="2"/>
  <c r="E53" i="2"/>
  <c r="E52" i="2"/>
  <c r="D67" i="2"/>
  <c r="D66" i="2"/>
  <c r="D65" i="2"/>
  <c r="D64" i="2"/>
  <c r="D63" i="2"/>
  <c r="D62" i="2"/>
  <c r="D61" i="2"/>
  <c r="D60" i="2"/>
  <c r="D59" i="2"/>
  <c r="D58" i="2"/>
  <c r="D57" i="2"/>
  <c r="D56" i="2"/>
  <c r="D55" i="2"/>
  <c r="D54" i="2"/>
  <c r="D53" i="2"/>
  <c r="D52" i="2"/>
  <c r="C67" i="2"/>
  <c r="C66" i="2"/>
  <c r="C65" i="2"/>
  <c r="C64" i="2"/>
  <c r="C63" i="2"/>
  <c r="C62" i="2"/>
  <c r="C61" i="2"/>
  <c r="C60" i="2"/>
  <c r="C59" i="2"/>
  <c r="C58" i="2"/>
  <c r="C57" i="2"/>
  <c r="C56" i="2"/>
  <c r="C55" i="2"/>
  <c r="C54" i="2"/>
  <c r="C53" i="2"/>
  <c r="B67" i="2"/>
  <c r="B66" i="2"/>
  <c r="B65" i="2"/>
  <c r="B64" i="2"/>
  <c r="B63" i="2"/>
  <c r="B62" i="2"/>
  <c r="B61" i="2"/>
  <c r="B60" i="2"/>
  <c r="B59" i="2"/>
  <c r="B58" i="2"/>
  <c r="B57" i="2"/>
  <c r="B56" i="2"/>
  <c r="B55" i="2"/>
  <c r="B54" i="2"/>
  <c r="B53" i="2"/>
  <c r="B52" i="2"/>
  <c r="C37" i="2"/>
  <c r="E51" i="2"/>
  <c r="E50" i="2"/>
  <c r="E49" i="2"/>
  <c r="E48" i="2"/>
  <c r="E47" i="2"/>
  <c r="E46" i="2"/>
  <c r="E45" i="2"/>
  <c r="E44" i="2"/>
  <c r="E43" i="2"/>
  <c r="E42" i="2"/>
  <c r="E41" i="2"/>
  <c r="E40" i="2"/>
  <c r="D51" i="2"/>
  <c r="D50" i="2"/>
  <c r="D49" i="2"/>
  <c r="D48" i="2"/>
  <c r="D46" i="2"/>
  <c r="D47" i="2"/>
  <c r="D45" i="2"/>
  <c r="D44" i="2"/>
  <c r="D43" i="2"/>
  <c r="D42" i="2"/>
  <c r="D41" i="2"/>
  <c r="D40" i="2"/>
  <c r="C51" i="2"/>
  <c r="C50" i="2"/>
  <c r="C49" i="2"/>
  <c r="C48" i="2"/>
  <c r="C47" i="2"/>
  <c r="C46" i="2"/>
  <c r="C45" i="2"/>
  <c r="C44" i="2"/>
  <c r="C43" i="2"/>
  <c r="C42" i="2"/>
  <c r="C41" i="2"/>
  <c r="C40" i="2"/>
  <c r="B51" i="2"/>
  <c r="B50" i="2"/>
  <c r="B49" i="2"/>
  <c r="B48" i="2"/>
  <c r="B47" i="2"/>
  <c r="B46" i="2"/>
  <c r="B45" i="2"/>
  <c r="B44" i="2"/>
  <c r="B43" i="2"/>
  <c r="B42" i="2"/>
  <c r="B41" i="2"/>
  <c r="B40" i="2"/>
  <c r="E39" i="2"/>
  <c r="D39" i="2"/>
  <c r="C39" i="2"/>
  <c r="B39" i="2"/>
  <c r="E38" i="2"/>
  <c r="D38" i="2"/>
  <c r="C38" i="2"/>
  <c r="B38" i="2"/>
  <c r="E37" i="2"/>
  <c r="D37" i="2"/>
  <c r="B37" i="2"/>
  <c r="E36" i="2"/>
  <c r="D36" i="2"/>
  <c r="B36" i="2"/>
  <c r="E35" i="2"/>
  <c r="D35" i="2"/>
  <c r="C36" i="2"/>
  <c r="C35" i="2"/>
  <c r="B35" i="2"/>
  <c r="E34" i="2"/>
  <c r="D34" i="2"/>
  <c r="C34" i="2"/>
  <c r="B34" i="2"/>
  <c r="E33" i="2"/>
  <c r="D33" i="2"/>
  <c r="C33" i="2"/>
  <c r="B33" i="2"/>
  <c r="E32" i="2"/>
  <c r="D32" i="2"/>
  <c r="C32" i="2"/>
  <c r="B32" i="2"/>
  <c r="E31" i="2"/>
  <c r="D31" i="2"/>
  <c r="C31" i="2"/>
  <c r="B31" i="2"/>
  <c r="E30" i="2"/>
  <c r="D30" i="2"/>
  <c r="C30" i="2"/>
  <c r="B30" i="2"/>
  <c r="E29" i="2"/>
  <c r="D29" i="2"/>
  <c r="C29" i="2"/>
  <c r="B29" i="2"/>
  <c r="E28" i="2"/>
  <c r="D28" i="2"/>
  <c r="C28" i="2"/>
  <c r="B28" i="2"/>
  <c r="E27" i="2"/>
  <c r="D27" i="2"/>
  <c r="C27" i="2"/>
  <c r="B27" i="2"/>
  <c r="E26" i="2"/>
  <c r="D26" i="2"/>
  <c r="C26" i="2"/>
  <c r="B26" i="2"/>
  <c r="E25" i="2"/>
  <c r="D25" i="2"/>
  <c r="C25" i="2"/>
  <c r="B25" i="2"/>
  <c r="E24" i="2"/>
  <c r="D24" i="2"/>
  <c r="C24" i="2"/>
  <c r="B24" i="2"/>
  <c r="E23" i="2"/>
  <c r="D23" i="2"/>
  <c r="C23" i="2"/>
  <c r="B23" i="2"/>
  <c r="E22" i="2"/>
  <c r="D22" i="2"/>
  <c r="C22" i="2"/>
  <c r="B22" i="2"/>
  <c r="C20" i="2"/>
  <c r="C21" i="2"/>
  <c r="E21" i="2"/>
  <c r="D21" i="2"/>
  <c r="B21" i="2"/>
  <c r="E20" i="2"/>
  <c r="D20" i="2"/>
  <c r="B20" i="2"/>
  <c r="E19" i="2"/>
  <c r="D19" i="2"/>
  <c r="C19" i="2"/>
  <c r="B19" i="2"/>
  <c r="E18" i="2"/>
  <c r="D18" i="2"/>
  <c r="C18" i="2"/>
  <c r="B18" i="2"/>
  <c r="E17" i="2"/>
  <c r="D17" i="2"/>
  <c r="C17" i="2"/>
  <c r="B17" i="2"/>
  <c r="E16" i="2"/>
  <c r="D16" i="2"/>
  <c r="C16" i="2"/>
  <c r="B16" i="2"/>
  <c r="E15" i="2"/>
  <c r="D15" i="2"/>
  <c r="C15" i="2"/>
  <c r="B15" i="2"/>
  <c r="E14" i="2"/>
  <c r="D14" i="2"/>
  <c r="C14" i="2"/>
  <c r="B14" i="2"/>
  <c r="E13" i="2"/>
  <c r="D13" i="2"/>
  <c r="C13" i="2"/>
  <c r="B13" i="2"/>
  <c r="E12" i="2"/>
  <c r="D12" i="2"/>
  <c r="C12" i="2"/>
  <c r="B12" i="2"/>
  <c r="E11" i="2"/>
  <c r="D11" i="2"/>
  <c r="C11" i="2"/>
  <c r="B11" i="2"/>
  <c r="D10" i="2"/>
  <c r="E10" i="2"/>
  <c r="B10" i="2"/>
  <c r="E9" i="2"/>
  <c r="D9" i="2"/>
  <c r="E8" i="2"/>
  <c r="D7" i="2"/>
  <c r="D8" i="2"/>
  <c r="C7" i="2"/>
  <c r="E7" i="2"/>
  <c r="E6" i="2"/>
  <c r="D6" i="2"/>
  <c r="C6" i="2"/>
  <c r="E4" i="2"/>
  <c r="D4" i="2"/>
  <c r="E5" i="2"/>
  <c r="D5" i="2"/>
  <c r="E3" i="2"/>
  <c r="D3" i="2"/>
  <c r="D2" i="2"/>
  <c r="E2" i="2"/>
  <c r="B9" i="2"/>
  <c r="C10" i="2"/>
  <c r="C9" i="2"/>
  <c r="C8" i="2"/>
  <c r="B8" i="2"/>
  <c r="B7" i="2"/>
  <c r="C5" i="2"/>
  <c r="C4" i="2"/>
  <c r="C3" i="2"/>
  <c r="C2" i="2"/>
  <c r="B6" i="2"/>
  <c r="B5" i="2"/>
  <c r="B4" i="2"/>
  <c r="B3" i="2"/>
  <c r="B2" i="2" l="1"/>
  <c r="O3" i="8" l="1"/>
  <c r="N3" i="8" l="1"/>
  <c r="Q3" i="8"/>
  <c r="C1" i="8" l="1"/>
  <c r="B1" i="8"/>
  <c r="A1" i="8"/>
  <c r="F3" i="7"/>
  <c r="F4" i="7"/>
  <c r="F5" i="7"/>
  <c r="H5" i="7" s="1"/>
  <c r="F6" i="7"/>
  <c r="H6" i="7" s="1"/>
  <c r="F7" i="7"/>
  <c r="G7" i="7" s="1"/>
  <c r="F8" i="7"/>
  <c r="F9" i="7"/>
  <c r="G9" i="7" s="1"/>
  <c r="F10" i="7"/>
  <c r="H10" i="7" s="1"/>
  <c r="F11" i="7"/>
  <c r="G2" i="7"/>
  <c r="F2" i="7"/>
  <c r="H2" i="7"/>
  <c r="A37" i="8"/>
  <c r="A38" i="8"/>
  <c r="A40" i="8"/>
  <c r="A41" i="8"/>
  <c r="A42" i="8"/>
  <c r="A43" i="8"/>
  <c r="F8" i="8" s="1"/>
  <c r="A44" i="8"/>
  <c r="A45" i="8"/>
  <c r="A46" i="8"/>
  <c r="A47" i="8"/>
  <c r="A48" i="8"/>
  <c r="A49" i="8"/>
  <c r="A50" i="8"/>
  <c r="F9" i="8" s="1"/>
  <c r="A51" i="8"/>
  <c r="A52" i="8"/>
  <c r="A53" i="8"/>
  <c r="A54" i="8"/>
  <c r="A55" i="8"/>
  <c r="A56" i="8"/>
  <c r="A57" i="8"/>
  <c r="F10" i="8" s="1"/>
  <c r="A58" i="8"/>
  <c r="A59" i="8"/>
  <c r="A60" i="8"/>
  <c r="A61" i="8"/>
  <c r="A62" i="8"/>
  <c r="A63" i="8"/>
  <c r="A64" i="8"/>
  <c r="F11" i="8" s="1"/>
  <c r="A66" i="8"/>
  <c r="A67" i="8"/>
  <c r="A68" i="8"/>
  <c r="A69" i="8"/>
  <c r="A70" i="8"/>
  <c r="A71" i="8"/>
  <c r="F12" i="8" s="1"/>
  <c r="A72" i="8"/>
  <c r="A73" i="8"/>
  <c r="A74" i="8"/>
  <c r="A75" i="8"/>
  <c r="A76" i="8"/>
  <c r="A77" i="8"/>
  <c r="A78" i="8"/>
  <c r="F13" i="8" s="1"/>
  <c r="A79" i="8"/>
  <c r="A80" i="8"/>
  <c r="A81" i="8"/>
  <c r="A82" i="8"/>
  <c r="A83" i="8"/>
  <c r="A84" i="8"/>
  <c r="A85" i="8"/>
  <c r="F14" i="8" s="1"/>
  <c r="A86" i="8"/>
  <c r="A87" i="8"/>
  <c r="A88" i="8"/>
  <c r="A89" i="8"/>
  <c r="A90" i="8"/>
  <c r="A91" i="8"/>
  <c r="A92" i="8"/>
  <c r="F15" i="8" s="1"/>
  <c r="A93" i="8"/>
  <c r="A94" i="8"/>
  <c r="A95" i="8"/>
  <c r="A96" i="8"/>
  <c r="A97" i="8"/>
  <c r="A98" i="8"/>
  <c r="A99" i="8"/>
  <c r="F16" i="8" s="1"/>
  <c r="A100" i="8"/>
  <c r="A101" i="8"/>
  <c r="A102" i="8"/>
  <c r="A103" i="8"/>
  <c r="A104" i="8"/>
  <c r="A105" i="8"/>
  <c r="A106" i="8"/>
  <c r="F17" i="8" s="1"/>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E139" i="2"/>
  <c r="C139" i="8" s="1"/>
  <c r="E140" i="2"/>
  <c r="C140" i="8" s="1"/>
  <c r="E141" i="2"/>
  <c r="C141" i="8" s="1"/>
  <c r="E142" i="2"/>
  <c r="C142" i="8" s="1"/>
  <c r="E143" i="2"/>
  <c r="C143" i="8" s="1"/>
  <c r="E144" i="2"/>
  <c r="C144" i="8" s="1"/>
  <c r="E145" i="2"/>
  <c r="C145" i="8" s="1"/>
  <c r="E146" i="2"/>
  <c r="C146" i="8" s="1"/>
  <c r="E147" i="2"/>
  <c r="C147" i="8" s="1"/>
  <c r="E148" i="2"/>
  <c r="C148" i="8" s="1"/>
  <c r="E149" i="2"/>
  <c r="C149" i="8" s="1"/>
  <c r="E150" i="2"/>
  <c r="C150" i="8" s="1"/>
  <c r="E151" i="2"/>
  <c r="C151" i="8" s="1"/>
  <c r="E152" i="2"/>
  <c r="C152" i="8" s="1"/>
  <c r="E153" i="2"/>
  <c r="C153" i="8" s="1"/>
  <c r="E154" i="2"/>
  <c r="C154" i="8" s="1"/>
  <c r="E155" i="2"/>
  <c r="C155" i="8" s="1"/>
  <c r="E156" i="2"/>
  <c r="C156" i="8" s="1"/>
  <c r="E157" i="2"/>
  <c r="C157" i="8" s="1"/>
  <c r="E158" i="2"/>
  <c r="C158" i="8" s="1"/>
  <c r="E159" i="2"/>
  <c r="C159" i="8" s="1"/>
  <c r="E160" i="2"/>
  <c r="C160" i="8" s="1"/>
  <c r="E161" i="2"/>
  <c r="C161" i="8" s="1"/>
  <c r="E162" i="2"/>
  <c r="C162" i="8" s="1"/>
  <c r="E163" i="2"/>
  <c r="C163" i="8" s="1"/>
  <c r="E164" i="2"/>
  <c r="C164" i="8" s="1"/>
  <c r="E165" i="2"/>
  <c r="C165" i="8" s="1"/>
  <c r="E166" i="2"/>
  <c r="C166" i="8" s="1"/>
  <c r="E167" i="2"/>
  <c r="C167" i="8" s="1"/>
  <c r="E168" i="2"/>
  <c r="C168" i="8" s="1"/>
  <c r="E169" i="2"/>
  <c r="C169" i="8" s="1"/>
  <c r="E170" i="2"/>
  <c r="C170" i="8" s="1"/>
  <c r="E171" i="2"/>
  <c r="C171" i="8" s="1"/>
  <c r="E172" i="2"/>
  <c r="C172" i="8" s="1"/>
  <c r="E173" i="2"/>
  <c r="C173" i="8" s="1"/>
  <c r="E174" i="2"/>
  <c r="C174" i="8" s="1"/>
  <c r="E175" i="2"/>
  <c r="C175" i="8" s="1"/>
  <c r="E176" i="2"/>
  <c r="C176" i="8" s="1"/>
  <c r="E177" i="2"/>
  <c r="C177" i="8" s="1"/>
  <c r="E178" i="2"/>
  <c r="C178" i="8" s="1"/>
  <c r="E179" i="2"/>
  <c r="C179" i="8" s="1"/>
  <c r="E180" i="2"/>
  <c r="C180" i="8" s="1"/>
  <c r="E181" i="2"/>
  <c r="C181" i="8" s="1"/>
  <c r="E182" i="2"/>
  <c r="C182" i="8" s="1"/>
  <c r="E183" i="2"/>
  <c r="C183" i="8" s="1"/>
  <c r="E184" i="2"/>
  <c r="C184" i="8" s="1"/>
  <c r="E185" i="2"/>
  <c r="C185" i="8" s="1"/>
  <c r="E186" i="2"/>
  <c r="C186" i="8" s="1"/>
  <c r="E187" i="2"/>
  <c r="C187" i="8" s="1"/>
  <c r="E188" i="2"/>
  <c r="C188" i="8" s="1"/>
  <c r="E189" i="2"/>
  <c r="C189" i="8" s="1"/>
  <c r="E190" i="2"/>
  <c r="C190" i="8" s="1"/>
  <c r="E191" i="2"/>
  <c r="C191" i="8" s="1"/>
  <c r="E192" i="2"/>
  <c r="C192" i="8" s="1"/>
  <c r="E193" i="2"/>
  <c r="C193" i="8" s="1"/>
  <c r="E194" i="2"/>
  <c r="C194" i="8" s="1"/>
  <c r="E195" i="2"/>
  <c r="C195" i="8" s="1"/>
  <c r="E196" i="2"/>
  <c r="C196" i="8" s="1"/>
  <c r="E197" i="2"/>
  <c r="C197" i="8" s="1"/>
  <c r="E198" i="2"/>
  <c r="C198" i="8" s="1"/>
  <c r="E199" i="2"/>
  <c r="C199" i="8" s="1"/>
  <c r="E200" i="2"/>
  <c r="C200" i="8" s="1"/>
  <c r="E201" i="2"/>
  <c r="C201" i="8" s="1"/>
  <c r="E202" i="2"/>
  <c r="C202" i="8" s="1"/>
  <c r="E203" i="2"/>
  <c r="C203" i="8" s="1"/>
  <c r="E204" i="2"/>
  <c r="C204" i="8" s="1"/>
  <c r="E205" i="2"/>
  <c r="C205" i="8" s="1"/>
  <c r="E206" i="2"/>
  <c r="C206" i="8" s="1"/>
  <c r="E207" i="2"/>
  <c r="C207" i="8" s="1"/>
  <c r="E208" i="2"/>
  <c r="C208" i="8" s="1"/>
  <c r="E209" i="2"/>
  <c r="C209" i="8" s="1"/>
  <c r="E210" i="2"/>
  <c r="C210" i="8" s="1"/>
  <c r="E211" i="2"/>
  <c r="C211" i="8" s="1"/>
  <c r="E212" i="2"/>
  <c r="C212" i="8" s="1"/>
  <c r="E213" i="2"/>
  <c r="C213" i="8" s="1"/>
  <c r="E214" i="2"/>
  <c r="C214" i="8" s="1"/>
  <c r="E215" i="2"/>
  <c r="C215" i="8" s="1"/>
  <c r="E216" i="2"/>
  <c r="C216" i="8" s="1"/>
  <c r="E217" i="2"/>
  <c r="C217" i="8" s="1"/>
  <c r="E218" i="2"/>
  <c r="C218" i="8" s="1"/>
  <c r="E219" i="2"/>
  <c r="C219" i="8" s="1"/>
  <c r="E220" i="2"/>
  <c r="C220" i="8" s="1"/>
  <c r="E221" i="2"/>
  <c r="C221" i="8" s="1"/>
  <c r="E222" i="2"/>
  <c r="C222" i="8" s="1"/>
  <c r="E223" i="2"/>
  <c r="C223" i="8" s="1"/>
  <c r="E224" i="2"/>
  <c r="C224" i="8" s="1"/>
  <c r="E225" i="2"/>
  <c r="C225" i="8" s="1"/>
  <c r="E226" i="2"/>
  <c r="C226" i="8" s="1"/>
  <c r="E227" i="2"/>
  <c r="C227" i="8" s="1"/>
  <c r="E228" i="2"/>
  <c r="C228" i="8" s="1"/>
  <c r="E229" i="2"/>
  <c r="C229" i="8" s="1"/>
  <c r="E230" i="2"/>
  <c r="C230" i="8" s="1"/>
  <c r="E231" i="2"/>
  <c r="C231" i="8" s="1"/>
  <c r="E232" i="2"/>
  <c r="C232" i="8" s="1"/>
  <c r="E233" i="2"/>
  <c r="C233" i="8" s="1"/>
  <c r="E234" i="2"/>
  <c r="C234" i="8" s="1"/>
  <c r="E235" i="2"/>
  <c r="C235" i="8" s="1"/>
  <c r="E236" i="2"/>
  <c r="C236" i="8" s="1"/>
  <c r="E237" i="2"/>
  <c r="C237" i="8" s="1"/>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 r="E4268" i="2"/>
  <c r="E4269" i="2"/>
  <c r="E4270" i="2"/>
  <c r="E4271" i="2"/>
  <c r="E4272" i="2"/>
  <c r="E4273" i="2"/>
  <c r="E4274" i="2"/>
  <c r="E4275" i="2"/>
  <c r="E4276" i="2"/>
  <c r="E4277" i="2"/>
  <c r="E4278" i="2"/>
  <c r="E4279" i="2"/>
  <c r="E4280" i="2"/>
  <c r="E4281" i="2"/>
  <c r="E4282" i="2"/>
  <c r="E4283" i="2"/>
  <c r="E4284" i="2"/>
  <c r="E4285" i="2"/>
  <c r="E4286" i="2"/>
  <c r="E4287" i="2"/>
  <c r="E4288" i="2"/>
  <c r="E4289" i="2"/>
  <c r="E4290" i="2"/>
  <c r="E4291" i="2"/>
  <c r="E4292" i="2"/>
  <c r="E4293" i="2"/>
  <c r="E4294" i="2"/>
  <c r="E4295" i="2"/>
  <c r="E4296" i="2"/>
  <c r="E4297" i="2"/>
  <c r="E4298" i="2"/>
  <c r="E4299" i="2"/>
  <c r="E4300" i="2"/>
  <c r="E4301" i="2"/>
  <c r="E4302" i="2"/>
  <c r="E4303" i="2"/>
  <c r="E4304" i="2"/>
  <c r="E4305" i="2"/>
  <c r="E4306" i="2"/>
  <c r="E4307" i="2"/>
  <c r="E4308" i="2"/>
  <c r="E4309" i="2"/>
  <c r="E4310" i="2"/>
  <c r="E4311" i="2"/>
  <c r="E4312" i="2"/>
  <c r="E4313" i="2"/>
  <c r="E4314" i="2"/>
  <c r="E4315" i="2"/>
  <c r="E4316" i="2"/>
  <c r="E4317" i="2"/>
  <c r="E4318" i="2"/>
  <c r="E4319" i="2"/>
  <c r="E4320" i="2"/>
  <c r="E4321" i="2"/>
  <c r="E4322" i="2"/>
  <c r="E4323" i="2"/>
  <c r="E4324" i="2"/>
  <c r="E4325" i="2"/>
  <c r="E4326" i="2"/>
  <c r="E4327" i="2"/>
  <c r="E4328" i="2"/>
  <c r="E4329" i="2"/>
  <c r="E4330" i="2"/>
  <c r="E4331" i="2"/>
  <c r="E4332" i="2"/>
  <c r="E4333" i="2"/>
  <c r="E4334" i="2"/>
  <c r="E4335" i="2"/>
  <c r="E4336" i="2"/>
  <c r="E4337" i="2"/>
  <c r="E4338" i="2"/>
  <c r="E4339" i="2"/>
  <c r="E4340" i="2"/>
  <c r="E4341" i="2"/>
  <c r="E4342" i="2"/>
  <c r="E4343" i="2"/>
  <c r="E4344" i="2"/>
  <c r="E4345" i="2"/>
  <c r="E4346" i="2"/>
  <c r="E4347" i="2"/>
  <c r="E4348" i="2"/>
  <c r="E4349" i="2"/>
  <c r="E4350" i="2"/>
  <c r="E4351" i="2"/>
  <c r="E4352" i="2"/>
  <c r="E4353" i="2"/>
  <c r="E4354" i="2"/>
  <c r="E4355" i="2"/>
  <c r="E4356" i="2"/>
  <c r="E4357" i="2"/>
  <c r="E4358" i="2"/>
  <c r="E4359" i="2"/>
  <c r="E4360" i="2"/>
  <c r="E4361" i="2"/>
  <c r="E4362" i="2"/>
  <c r="E4363" i="2"/>
  <c r="E4364" i="2"/>
  <c r="E4365"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432" i="2"/>
  <c r="E4433" i="2"/>
  <c r="E4434" i="2"/>
  <c r="E4435" i="2"/>
  <c r="E4436" i="2"/>
  <c r="E4437" i="2"/>
  <c r="E4438" i="2"/>
  <c r="E4439" i="2"/>
  <c r="E4440" i="2"/>
  <c r="E4441" i="2"/>
  <c r="E4442" i="2"/>
  <c r="E4443" i="2"/>
  <c r="E4444" i="2"/>
  <c r="E4445" i="2"/>
  <c r="E4446" i="2"/>
  <c r="E4447" i="2"/>
  <c r="E4448" i="2"/>
  <c r="E4449" i="2"/>
  <c r="E4450" i="2"/>
  <c r="E4451" i="2"/>
  <c r="E4452" i="2"/>
  <c r="E4453" i="2"/>
  <c r="E4454" i="2"/>
  <c r="E4455" i="2"/>
  <c r="E4456" i="2"/>
  <c r="E4457" i="2"/>
  <c r="E4458" i="2"/>
  <c r="E4459" i="2"/>
  <c r="E4460" i="2"/>
  <c r="E4461" i="2"/>
  <c r="E4462" i="2"/>
  <c r="E4463" i="2"/>
  <c r="E4464" i="2"/>
  <c r="E4465" i="2"/>
  <c r="E4466" i="2"/>
  <c r="E4467" i="2"/>
  <c r="E4468" i="2"/>
  <c r="E4469" i="2"/>
  <c r="E4470" i="2"/>
  <c r="E4471" i="2"/>
  <c r="E4472" i="2"/>
  <c r="E4473" i="2"/>
  <c r="E4474" i="2"/>
  <c r="E4475" i="2"/>
  <c r="E4476" i="2"/>
  <c r="E4477" i="2"/>
  <c r="E4478" i="2"/>
  <c r="E4479" i="2"/>
  <c r="E4480" i="2"/>
  <c r="E4481" i="2"/>
  <c r="E4482" i="2"/>
  <c r="E4483" i="2"/>
  <c r="E4484" i="2"/>
  <c r="E4485" i="2"/>
  <c r="E4486" i="2"/>
  <c r="E4487" i="2"/>
  <c r="E4488" i="2"/>
  <c r="E4489" i="2"/>
  <c r="E4490" i="2"/>
  <c r="E4491" i="2"/>
  <c r="E4492" i="2"/>
  <c r="E4493" i="2"/>
  <c r="E4494" i="2"/>
  <c r="E4495" i="2"/>
  <c r="E4496" i="2"/>
  <c r="E4497" i="2"/>
  <c r="E4498" i="2"/>
  <c r="E4499" i="2"/>
  <c r="E4500" i="2"/>
  <c r="E4501" i="2"/>
  <c r="E4502" i="2"/>
  <c r="E4503" i="2"/>
  <c r="E4504" i="2"/>
  <c r="E4505" i="2"/>
  <c r="E4506" i="2"/>
  <c r="E4507" i="2"/>
  <c r="E4508" i="2"/>
  <c r="E4509" i="2"/>
  <c r="E4510" i="2"/>
  <c r="E4511" i="2"/>
  <c r="E4512" i="2"/>
  <c r="E4513" i="2"/>
  <c r="E4514" i="2"/>
  <c r="E4515" i="2"/>
  <c r="E4516" i="2"/>
  <c r="E4517" i="2"/>
  <c r="E4518" i="2"/>
  <c r="E4519" i="2"/>
  <c r="E4520" i="2"/>
  <c r="E4521" i="2"/>
  <c r="E4522" i="2"/>
  <c r="E4523" i="2"/>
  <c r="E4524" i="2"/>
  <c r="E4525" i="2"/>
  <c r="E4526" i="2"/>
  <c r="E4527" i="2"/>
  <c r="E4528" i="2"/>
  <c r="E4529" i="2"/>
  <c r="E4530" i="2"/>
  <c r="E4531" i="2"/>
  <c r="E4532" i="2"/>
  <c r="E4533" i="2"/>
  <c r="E4534" i="2"/>
  <c r="E4535" i="2"/>
  <c r="E4536" i="2"/>
  <c r="E4537" i="2"/>
  <c r="E4538" i="2"/>
  <c r="E4539" i="2"/>
  <c r="E4540" i="2"/>
  <c r="E4541" i="2"/>
  <c r="E4542" i="2"/>
  <c r="E4543" i="2"/>
  <c r="E4544" i="2"/>
  <c r="E4545" i="2"/>
  <c r="E4546" i="2"/>
  <c r="E4547" i="2"/>
  <c r="E4548" i="2"/>
  <c r="E4549" i="2"/>
  <c r="E4550" i="2"/>
  <c r="E4551" i="2"/>
  <c r="E4552" i="2"/>
  <c r="E4553" i="2"/>
  <c r="E4554" i="2"/>
  <c r="E4555" i="2"/>
  <c r="E4556" i="2"/>
  <c r="E4557" i="2"/>
  <c r="E4558" i="2"/>
  <c r="E4559" i="2"/>
  <c r="E4560" i="2"/>
  <c r="E4561" i="2"/>
  <c r="E4562" i="2"/>
  <c r="E4563" i="2"/>
  <c r="E4564" i="2"/>
  <c r="E4565" i="2"/>
  <c r="E4566" i="2"/>
  <c r="E4567" i="2"/>
  <c r="E4568" i="2"/>
  <c r="E4569" i="2"/>
  <c r="E4570" i="2"/>
  <c r="E4571" i="2"/>
  <c r="E4572" i="2"/>
  <c r="E4573" i="2"/>
  <c r="E4574" i="2"/>
  <c r="E4575" i="2"/>
  <c r="E4576" i="2"/>
  <c r="E4577" i="2"/>
  <c r="E4578" i="2"/>
  <c r="E4579" i="2"/>
  <c r="E4580" i="2"/>
  <c r="E4581" i="2"/>
  <c r="E4582" i="2"/>
  <c r="E4583" i="2"/>
  <c r="E4584" i="2"/>
  <c r="E4585" i="2"/>
  <c r="E4586" i="2"/>
  <c r="E4587" i="2"/>
  <c r="E4588" i="2"/>
  <c r="E4589" i="2"/>
  <c r="E4590" i="2"/>
  <c r="E4591" i="2"/>
  <c r="E4592" i="2"/>
  <c r="E4593" i="2"/>
  <c r="E4594" i="2"/>
  <c r="E4595" i="2"/>
  <c r="E4596" i="2"/>
  <c r="E4597" i="2"/>
  <c r="E4598" i="2"/>
  <c r="E4599" i="2"/>
  <c r="E4600" i="2"/>
  <c r="E4601" i="2"/>
  <c r="E4602" i="2"/>
  <c r="E4603" i="2"/>
  <c r="E4604" i="2"/>
  <c r="E4605" i="2"/>
  <c r="E4606" i="2"/>
  <c r="E4607" i="2"/>
  <c r="E4608" i="2"/>
  <c r="E4609" i="2"/>
  <c r="E4610" i="2"/>
  <c r="E4611" i="2"/>
  <c r="E4612" i="2"/>
  <c r="E4613" i="2"/>
  <c r="E4614" i="2"/>
  <c r="E4615" i="2"/>
  <c r="E4616" i="2"/>
  <c r="E4617" i="2"/>
  <c r="E4618" i="2"/>
  <c r="E4619" i="2"/>
  <c r="E4620" i="2"/>
  <c r="E4621" i="2"/>
  <c r="E4622" i="2"/>
  <c r="E4623" i="2"/>
  <c r="E4624" i="2"/>
  <c r="E4625" i="2"/>
  <c r="E4626" i="2"/>
  <c r="E4627" i="2"/>
  <c r="E4628" i="2"/>
  <c r="E4629" i="2"/>
  <c r="E4630" i="2"/>
  <c r="E4631" i="2"/>
  <c r="E4632" i="2"/>
  <c r="E4633" i="2"/>
  <c r="E4634" i="2"/>
  <c r="E4635" i="2"/>
  <c r="E4636" i="2"/>
  <c r="E4637" i="2"/>
  <c r="E4638" i="2"/>
  <c r="E4639" i="2"/>
  <c r="E4640" i="2"/>
  <c r="E4641" i="2"/>
  <c r="E4642" i="2"/>
  <c r="E4643" i="2"/>
  <c r="E4644" i="2"/>
  <c r="E4645" i="2"/>
  <c r="E4646" i="2"/>
  <c r="E4647" i="2"/>
  <c r="E4648" i="2"/>
  <c r="E4649" i="2"/>
  <c r="E4650" i="2"/>
  <c r="E4651" i="2"/>
  <c r="E4652" i="2"/>
  <c r="E4653" i="2"/>
  <c r="E4654" i="2"/>
  <c r="E4655" i="2"/>
  <c r="E4656" i="2"/>
  <c r="E4657" i="2"/>
  <c r="E4658" i="2"/>
  <c r="E4659" i="2"/>
  <c r="E4660" i="2"/>
  <c r="E4661" i="2"/>
  <c r="E4662" i="2"/>
  <c r="E4663" i="2"/>
  <c r="E4664" i="2"/>
  <c r="E4665" i="2"/>
  <c r="E4666" i="2"/>
  <c r="E4667" i="2"/>
  <c r="E4668" i="2"/>
  <c r="E4669" i="2"/>
  <c r="E4670" i="2"/>
  <c r="E4671" i="2"/>
  <c r="E4672" i="2"/>
  <c r="E4673" i="2"/>
  <c r="E4674" i="2"/>
  <c r="E4675" i="2"/>
  <c r="E4676" i="2"/>
  <c r="E4677" i="2"/>
  <c r="E4678" i="2"/>
  <c r="E4679" i="2"/>
  <c r="E4680" i="2"/>
  <c r="E4681" i="2"/>
  <c r="E4682" i="2"/>
  <c r="E4683" i="2"/>
  <c r="E4684" i="2"/>
  <c r="E4685" i="2"/>
  <c r="E4686" i="2"/>
  <c r="E4687" i="2"/>
  <c r="E4688" i="2"/>
  <c r="E4689" i="2"/>
  <c r="E4690" i="2"/>
  <c r="E4691" i="2"/>
  <c r="E4692" i="2"/>
  <c r="E4693" i="2"/>
  <c r="E4694" i="2"/>
  <c r="E4695" i="2"/>
  <c r="E4696" i="2"/>
  <c r="E4697" i="2"/>
  <c r="E4698" i="2"/>
  <c r="E4699" i="2"/>
  <c r="E4700" i="2"/>
  <c r="E4701" i="2"/>
  <c r="E4702" i="2"/>
  <c r="E4703" i="2"/>
  <c r="E4704" i="2"/>
  <c r="E4705" i="2"/>
  <c r="E4706" i="2"/>
  <c r="E4707" i="2"/>
  <c r="E4708" i="2"/>
  <c r="E4709" i="2"/>
  <c r="E4710" i="2"/>
  <c r="E4711" i="2"/>
  <c r="E4712" i="2"/>
  <c r="E4713" i="2"/>
  <c r="E4714" i="2"/>
  <c r="E4715" i="2"/>
  <c r="E4716" i="2"/>
  <c r="E4717" i="2"/>
  <c r="E4718" i="2"/>
  <c r="E4719" i="2"/>
  <c r="E4720" i="2"/>
  <c r="E4721" i="2"/>
  <c r="E4722" i="2"/>
  <c r="E4723" i="2"/>
  <c r="E4724" i="2"/>
  <c r="E4725" i="2"/>
  <c r="E4726" i="2"/>
  <c r="E4727" i="2"/>
  <c r="E4728" i="2"/>
  <c r="E4729" i="2"/>
  <c r="E4730" i="2"/>
  <c r="E4731" i="2"/>
  <c r="E4732" i="2"/>
  <c r="E4733" i="2"/>
  <c r="E4734" i="2"/>
  <c r="E4735" i="2"/>
  <c r="E4736" i="2"/>
  <c r="E4737" i="2"/>
  <c r="E4738" i="2"/>
  <c r="E4739" i="2"/>
  <c r="E4740" i="2"/>
  <c r="E4741" i="2"/>
  <c r="E4742" i="2"/>
  <c r="E4743" i="2"/>
  <c r="E4744" i="2"/>
  <c r="E4745" i="2"/>
  <c r="E4746" i="2"/>
  <c r="E4747" i="2"/>
  <c r="E4748" i="2"/>
  <c r="E4749" i="2"/>
  <c r="E4750" i="2"/>
  <c r="E4751" i="2"/>
  <c r="E4752" i="2"/>
  <c r="E4753" i="2"/>
  <c r="E4754" i="2"/>
  <c r="E4755" i="2"/>
  <c r="E4756" i="2"/>
  <c r="E4757" i="2"/>
  <c r="E4758" i="2"/>
  <c r="E4759" i="2"/>
  <c r="E4760" i="2"/>
  <c r="E4761" i="2"/>
  <c r="E4762" i="2"/>
  <c r="E4763" i="2"/>
  <c r="E4764" i="2"/>
  <c r="E4765" i="2"/>
  <c r="E4766" i="2"/>
  <c r="E4767" i="2"/>
  <c r="E4768" i="2"/>
  <c r="E4769" i="2"/>
  <c r="E4770" i="2"/>
  <c r="E4771" i="2"/>
  <c r="E4772" i="2"/>
  <c r="E4773" i="2"/>
  <c r="E4774" i="2"/>
  <c r="E4775" i="2"/>
  <c r="E4776" i="2"/>
  <c r="E4777" i="2"/>
  <c r="E4778" i="2"/>
  <c r="E4779" i="2"/>
  <c r="E4780" i="2"/>
  <c r="E4781" i="2"/>
  <c r="E4782" i="2"/>
  <c r="E4783" i="2"/>
  <c r="E4784" i="2"/>
  <c r="E4785" i="2"/>
  <c r="E4786" i="2"/>
  <c r="E4787" i="2"/>
  <c r="E4788" i="2"/>
  <c r="E4789" i="2"/>
  <c r="E4790" i="2"/>
  <c r="E4791" i="2"/>
  <c r="E4792" i="2"/>
  <c r="E4793" i="2"/>
  <c r="E4794" i="2"/>
  <c r="E4795" i="2"/>
  <c r="E4796" i="2"/>
  <c r="E4797" i="2"/>
  <c r="E4798" i="2"/>
  <c r="E4799" i="2"/>
  <c r="E4800" i="2"/>
  <c r="E4801" i="2"/>
  <c r="E4802" i="2"/>
  <c r="E4803" i="2"/>
  <c r="E4804" i="2"/>
  <c r="E4805" i="2"/>
  <c r="E4806" i="2"/>
  <c r="E4807" i="2"/>
  <c r="E4808" i="2"/>
  <c r="E4809" i="2"/>
  <c r="E4810" i="2"/>
  <c r="E4811" i="2"/>
  <c r="E4812" i="2"/>
  <c r="E4813" i="2"/>
  <c r="E4814" i="2"/>
  <c r="E4815" i="2"/>
  <c r="E4816" i="2"/>
  <c r="E4817" i="2"/>
  <c r="E4818" i="2"/>
  <c r="E4819" i="2"/>
  <c r="E4820" i="2"/>
  <c r="E4821" i="2"/>
  <c r="E4822" i="2"/>
  <c r="E4823" i="2"/>
  <c r="E4824" i="2"/>
  <c r="E4825" i="2"/>
  <c r="E4826" i="2"/>
  <c r="E4827" i="2"/>
  <c r="E4828" i="2"/>
  <c r="E4829" i="2"/>
  <c r="E4830" i="2"/>
  <c r="E4831" i="2"/>
  <c r="E4832" i="2"/>
  <c r="E4833" i="2"/>
  <c r="E4834" i="2"/>
  <c r="E4835" i="2"/>
  <c r="E4836" i="2"/>
  <c r="E4837" i="2"/>
  <c r="E4838" i="2"/>
  <c r="E4839" i="2"/>
  <c r="E4840" i="2"/>
  <c r="E4841" i="2"/>
  <c r="E4842" i="2"/>
  <c r="E4843" i="2"/>
  <c r="E4844" i="2"/>
  <c r="E4845" i="2"/>
  <c r="E4846" i="2"/>
  <c r="E4847" i="2"/>
  <c r="E4848" i="2"/>
  <c r="E4849" i="2"/>
  <c r="E4850" i="2"/>
  <c r="E4851" i="2"/>
  <c r="E4852" i="2"/>
  <c r="E4853" i="2"/>
  <c r="E4854" i="2"/>
  <c r="E4855" i="2"/>
  <c r="E4856" i="2"/>
  <c r="E4857" i="2"/>
  <c r="E4858" i="2"/>
  <c r="E4859" i="2"/>
  <c r="E4860" i="2"/>
  <c r="E4861" i="2"/>
  <c r="E4862" i="2"/>
  <c r="E4863" i="2"/>
  <c r="E4864" i="2"/>
  <c r="E4865" i="2"/>
  <c r="E4866" i="2"/>
  <c r="E4867" i="2"/>
  <c r="E4868" i="2"/>
  <c r="E4869" i="2"/>
  <c r="E4870" i="2"/>
  <c r="E4871" i="2"/>
  <c r="E4872" i="2"/>
  <c r="E4873" i="2"/>
  <c r="E4874" i="2"/>
  <c r="E4875" i="2"/>
  <c r="E4876" i="2"/>
  <c r="E4877" i="2"/>
  <c r="E4878" i="2"/>
  <c r="E4879" i="2"/>
  <c r="E4880" i="2"/>
  <c r="E4881" i="2"/>
  <c r="E4882" i="2"/>
  <c r="E4883" i="2"/>
  <c r="E4884" i="2"/>
  <c r="E4885" i="2"/>
  <c r="E4886" i="2"/>
  <c r="E4887" i="2"/>
  <c r="E4888" i="2"/>
  <c r="E4889" i="2"/>
  <c r="E4890" i="2"/>
  <c r="E4891" i="2"/>
  <c r="E4892" i="2"/>
  <c r="E4893" i="2"/>
  <c r="E4894" i="2"/>
  <c r="E4895" i="2"/>
  <c r="E4896" i="2"/>
  <c r="E4897" i="2"/>
  <c r="E4898" i="2"/>
  <c r="E4899" i="2"/>
  <c r="E4900" i="2"/>
  <c r="E4901" i="2"/>
  <c r="E4902" i="2"/>
  <c r="E4903" i="2"/>
  <c r="E4904" i="2"/>
  <c r="E4905" i="2"/>
  <c r="E4906" i="2"/>
  <c r="E4907" i="2"/>
  <c r="E4908" i="2"/>
  <c r="E4909" i="2"/>
  <c r="E4910" i="2"/>
  <c r="E4911" i="2"/>
  <c r="E4912" i="2"/>
  <c r="E4913" i="2"/>
  <c r="E4914" i="2"/>
  <c r="E4915" i="2"/>
  <c r="E4916" i="2"/>
  <c r="E4917" i="2"/>
  <c r="E4918" i="2"/>
  <c r="E4919" i="2"/>
  <c r="E4920" i="2"/>
  <c r="E4921" i="2"/>
  <c r="E4922" i="2"/>
  <c r="E4923" i="2"/>
  <c r="E4924" i="2"/>
  <c r="E4925" i="2"/>
  <c r="E4926" i="2"/>
  <c r="E4927" i="2"/>
  <c r="E4928" i="2"/>
  <c r="E4929" i="2"/>
  <c r="E4930" i="2"/>
  <c r="E4931" i="2"/>
  <c r="E4932" i="2"/>
  <c r="E4933" i="2"/>
  <c r="E4934" i="2"/>
  <c r="E4935" i="2"/>
  <c r="E4936" i="2"/>
  <c r="E4937" i="2"/>
  <c r="E4938" i="2"/>
  <c r="E4939" i="2"/>
  <c r="E4940" i="2"/>
  <c r="E4941" i="2"/>
  <c r="E4942" i="2"/>
  <c r="E4943" i="2"/>
  <c r="E4944" i="2"/>
  <c r="E4945" i="2"/>
  <c r="E4946" i="2"/>
  <c r="E4947" i="2"/>
  <c r="E4948" i="2"/>
  <c r="E4949" i="2"/>
  <c r="E4950" i="2"/>
  <c r="E4951" i="2"/>
  <c r="E4952" i="2"/>
  <c r="E4953" i="2"/>
  <c r="E4954" i="2"/>
  <c r="E4955" i="2"/>
  <c r="E4956" i="2"/>
  <c r="E4957" i="2"/>
  <c r="E4958" i="2"/>
  <c r="E4959" i="2"/>
  <c r="E4960" i="2"/>
  <c r="E4961" i="2"/>
  <c r="E4962" i="2"/>
  <c r="E4963" i="2"/>
  <c r="E4964" i="2"/>
  <c r="E4965" i="2"/>
  <c r="E4966" i="2"/>
  <c r="E4967" i="2"/>
  <c r="E4968" i="2"/>
  <c r="E4969" i="2"/>
  <c r="E4970" i="2"/>
  <c r="E4971" i="2"/>
  <c r="E4972" i="2"/>
  <c r="E4973" i="2"/>
  <c r="E4974" i="2"/>
  <c r="E4975" i="2"/>
  <c r="E4976" i="2"/>
  <c r="E4977" i="2"/>
  <c r="E4978" i="2"/>
  <c r="E4979" i="2"/>
  <c r="E4980" i="2"/>
  <c r="E4981" i="2"/>
  <c r="E4982" i="2"/>
  <c r="E4983" i="2"/>
  <c r="E4984" i="2"/>
  <c r="E4985" i="2"/>
  <c r="E4986" i="2"/>
  <c r="E4987" i="2"/>
  <c r="E4988" i="2"/>
  <c r="E4989" i="2"/>
  <c r="E4990" i="2"/>
  <c r="E4991" i="2"/>
  <c r="E4992" i="2"/>
  <c r="E4993" i="2"/>
  <c r="E4994" i="2"/>
  <c r="E4995" i="2"/>
  <c r="E4996" i="2"/>
  <c r="E4997" i="2"/>
  <c r="E4998" i="2"/>
  <c r="E4999" i="2"/>
  <c r="E5000" i="2"/>
  <c r="E5001" i="2"/>
  <c r="E5002" i="2"/>
  <c r="E5003" i="2"/>
  <c r="E5004" i="2"/>
  <c r="E5005" i="2"/>
  <c r="E5006" i="2"/>
  <c r="E5007" i="2"/>
  <c r="E5008" i="2"/>
  <c r="E5009" i="2"/>
  <c r="E5010" i="2"/>
  <c r="E5011" i="2"/>
  <c r="E5012" i="2"/>
  <c r="E5013" i="2"/>
  <c r="E5014" i="2"/>
  <c r="E5015" i="2"/>
  <c r="E5016" i="2"/>
  <c r="E5017" i="2"/>
  <c r="E5018" i="2"/>
  <c r="E5019" i="2"/>
  <c r="E5020" i="2"/>
  <c r="E5021" i="2"/>
  <c r="E5022" i="2"/>
  <c r="E5023" i="2"/>
  <c r="E5024" i="2"/>
  <c r="E5025" i="2"/>
  <c r="E5026" i="2"/>
  <c r="E5027" i="2"/>
  <c r="E5028" i="2"/>
  <c r="E5029" i="2"/>
  <c r="E5030" i="2"/>
  <c r="E5031" i="2"/>
  <c r="E5032" i="2"/>
  <c r="E5033" i="2"/>
  <c r="E5034" i="2"/>
  <c r="E5035" i="2"/>
  <c r="E5036" i="2"/>
  <c r="E5037" i="2"/>
  <c r="E5038" i="2"/>
  <c r="E5039" i="2"/>
  <c r="E5040" i="2"/>
  <c r="E5041" i="2"/>
  <c r="E5042" i="2"/>
  <c r="E5043" i="2"/>
  <c r="E5044" i="2"/>
  <c r="E5045" i="2"/>
  <c r="E5046" i="2"/>
  <c r="E5047" i="2"/>
  <c r="E5048" i="2"/>
  <c r="E5049" i="2"/>
  <c r="E5050" i="2"/>
  <c r="E5051" i="2"/>
  <c r="E5052" i="2"/>
  <c r="E5053" i="2"/>
  <c r="E5054" i="2"/>
  <c r="E5055" i="2"/>
  <c r="E5056" i="2"/>
  <c r="E5057" i="2"/>
  <c r="E5058" i="2"/>
  <c r="E5059" i="2"/>
  <c r="E5060" i="2"/>
  <c r="E5061" i="2"/>
  <c r="E5062" i="2"/>
  <c r="E5063" i="2"/>
  <c r="E5064" i="2"/>
  <c r="E5065" i="2"/>
  <c r="E5066" i="2"/>
  <c r="E5067" i="2"/>
  <c r="E5068" i="2"/>
  <c r="E5069" i="2"/>
  <c r="E5070" i="2"/>
  <c r="E5071" i="2"/>
  <c r="E5072" i="2"/>
  <c r="E5073" i="2"/>
  <c r="E5074" i="2"/>
  <c r="E5075" i="2"/>
  <c r="E5076" i="2"/>
  <c r="E5077" i="2"/>
  <c r="E5078" i="2"/>
  <c r="E5079" i="2"/>
  <c r="E5080" i="2"/>
  <c r="E5081" i="2"/>
  <c r="E5082" i="2"/>
  <c r="E5083" i="2"/>
  <c r="E5084" i="2"/>
  <c r="E5085" i="2"/>
  <c r="E5086" i="2"/>
  <c r="E5087" i="2"/>
  <c r="E5088" i="2"/>
  <c r="E5089" i="2"/>
  <c r="E5090" i="2"/>
  <c r="E5091" i="2"/>
  <c r="E5092" i="2"/>
  <c r="E5093" i="2"/>
  <c r="E5094" i="2"/>
  <c r="E5095" i="2"/>
  <c r="E5096" i="2"/>
  <c r="E5097" i="2"/>
  <c r="E5098" i="2"/>
  <c r="E5099" i="2"/>
  <c r="E5100" i="2"/>
  <c r="E5101" i="2"/>
  <c r="E5102" i="2"/>
  <c r="E5103" i="2"/>
  <c r="E5104" i="2"/>
  <c r="E5105" i="2"/>
  <c r="E5106" i="2"/>
  <c r="E5107" i="2"/>
  <c r="E5108" i="2"/>
  <c r="E5109" i="2"/>
  <c r="E5110" i="2"/>
  <c r="E5111" i="2"/>
  <c r="E5112" i="2"/>
  <c r="E5113" i="2"/>
  <c r="E5114" i="2"/>
  <c r="E5115" i="2"/>
  <c r="E5116" i="2"/>
  <c r="E5117" i="2"/>
  <c r="E5118" i="2"/>
  <c r="E5119" i="2"/>
  <c r="E5120" i="2"/>
  <c r="E5121" i="2"/>
  <c r="E5122" i="2"/>
  <c r="E5123" i="2"/>
  <c r="E5124" i="2"/>
  <c r="E5125" i="2"/>
  <c r="E5126" i="2"/>
  <c r="E5127" i="2"/>
  <c r="E5128" i="2"/>
  <c r="E5129" i="2"/>
  <c r="E5130" i="2"/>
  <c r="E5131" i="2"/>
  <c r="E5132" i="2"/>
  <c r="E5133" i="2"/>
  <c r="E5134" i="2"/>
  <c r="E5135" i="2"/>
  <c r="E5136" i="2"/>
  <c r="E5137" i="2"/>
  <c r="E5138" i="2"/>
  <c r="E5139" i="2"/>
  <c r="E5140" i="2"/>
  <c r="E5141" i="2"/>
  <c r="E5142" i="2"/>
  <c r="E5143" i="2"/>
  <c r="E5144" i="2"/>
  <c r="E5145" i="2"/>
  <c r="E5146" i="2"/>
  <c r="E5147" i="2"/>
  <c r="E5148" i="2"/>
  <c r="E5149" i="2"/>
  <c r="E5150" i="2"/>
  <c r="E5151" i="2"/>
  <c r="E5152" i="2"/>
  <c r="E5153" i="2"/>
  <c r="E5154" i="2"/>
  <c r="E5155" i="2"/>
  <c r="E5156" i="2"/>
  <c r="E5157" i="2"/>
  <c r="E5158" i="2"/>
  <c r="E5159" i="2"/>
  <c r="E5160" i="2"/>
  <c r="E5161" i="2"/>
  <c r="E5162" i="2"/>
  <c r="E5163" i="2"/>
  <c r="E5164" i="2"/>
  <c r="E5165" i="2"/>
  <c r="E5166" i="2"/>
  <c r="E5167" i="2"/>
  <c r="E5168" i="2"/>
  <c r="E5169" i="2"/>
  <c r="E5170" i="2"/>
  <c r="E5171" i="2"/>
  <c r="E5172" i="2"/>
  <c r="E5173" i="2"/>
  <c r="E5174" i="2"/>
  <c r="E5175" i="2"/>
  <c r="E5176" i="2"/>
  <c r="E5177" i="2"/>
  <c r="E5178" i="2"/>
  <c r="E5179" i="2"/>
  <c r="E5180" i="2"/>
  <c r="E5181" i="2"/>
  <c r="E5182" i="2"/>
  <c r="E5183" i="2"/>
  <c r="E5184" i="2"/>
  <c r="E5185" i="2"/>
  <c r="E5186" i="2"/>
  <c r="E5187" i="2"/>
  <c r="E5188" i="2"/>
  <c r="E5189" i="2"/>
  <c r="E5190" i="2"/>
  <c r="E5191" i="2"/>
  <c r="E5192" i="2"/>
  <c r="E5193" i="2"/>
  <c r="E5194" i="2"/>
  <c r="E5195" i="2"/>
  <c r="E5196" i="2"/>
  <c r="E5197" i="2"/>
  <c r="E5198" i="2"/>
  <c r="E5199" i="2"/>
  <c r="E5200" i="2"/>
  <c r="E5201" i="2"/>
  <c r="E5202" i="2"/>
  <c r="E5203" i="2"/>
  <c r="E5204" i="2"/>
  <c r="E5205" i="2"/>
  <c r="E5206" i="2"/>
  <c r="E5207" i="2"/>
  <c r="E5208" i="2"/>
  <c r="E5209" i="2"/>
  <c r="E5210" i="2"/>
  <c r="E5211" i="2"/>
  <c r="E5212" i="2"/>
  <c r="E5213" i="2"/>
  <c r="E5214" i="2"/>
  <c r="E5215" i="2"/>
  <c r="E5216" i="2"/>
  <c r="E5217" i="2"/>
  <c r="E5218" i="2"/>
  <c r="E5219" i="2"/>
  <c r="E5220" i="2"/>
  <c r="E5221" i="2"/>
  <c r="E5222" i="2"/>
  <c r="E5223" i="2"/>
  <c r="E5224" i="2"/>
  <c r="E5225" i="2"/>
  <c r="E5226" i="2"/>
  <c r="E5227" i="2"/>
  <c r="E5228" i="2"/>
  <c r="E5229" i="2"/>
  <c r="E5230" i="2"/>
  <c r="E5231" i="2"/>
  <c r="E5232" i="2"/>
  <c r="E5233" i="2"/>
  <c r="E5234" i="2"/>
  <c r="E5235" i="2"/>
  <c r="E5236" i="2"/>
  <c r="E5237" i="2"/>
  <c r="E5238" i="2"/>
  <c r="E5239" i="2"/>
  <c r="E5240" i="2"/>
  <c r="E5241" i="2"/>
  <c r="E5242" i="2"/>
  <c r="E5243" i="2"/>
  <c r="E5244" i="2"/>
  <c r="E5245" i="2"/>
  <c r="E5246" i="2"/>
  <c r="E5247" i="2"/>
  <c r="E5248" i="2"/>
  <c r="E5249" i="2"/>
  <c r="E5250" i="2"/>
  <c r="E5251" i="2"/>
  <c r="E5252" i="2"/>
  <c r="E5253" i="2"/>
  <c r="E5254" i="2"/>
  <c r="E5255" i="2"/>
  <c r="E5256" i="2"/>
  <c r="E5257" i="2"/>
  <c r="E5258" i="2"/>
  <c r="E5259" i="2"/>
  <c r="E5260" i="2"/>
  <c r="E5261" i="2"/>
  <c r="E5262" i="2"/>
  <c r="E5263" i="2"/>
  <c r="E5264" i="2"/>
  <c r="E5265" i="2"/>
  <c r="E5266" i="2"/>
  <c r="E5267" i="2"/>
  <c r="E5268" i="2"/>
  <c r="E5269" i="2"/>
  <c r="E5270" i="2"/>
  <c r="E5271" i="2"/>
  <c r="E5272" i="2"/>
  <c r="E5273" i="2"/>
  <c r="E5274" i="2"/>
  <c r="E5275" i="2"/>
  <c r="E5276" i="2"/>
  <c r="E5277" i="2"/>
  <c r="E5278" i="2"/>
  <c r="E5279" i="2"/>
  <c r="E5280" i="2"/>
  <c r="E5281" i="2"/>
  <c r="E5282" i="2"/>
  <c r="E5283" i="2"/>
  <c r="E5284" i="2"/>
  <c r="E5285" i="2"/>
  <c r="E5286" i="2"/>
  <c r="E5287" i="2"/>
  <c r="E5288" i="2"/>
  <c r="E5289" i="2"/>
  <c r="E5290" i="2"/>
  <c r="E5291" i="2"/>
  <c r="E5292" i="2"/>
  <c r="E5293" i="2"/>
  <c r="E5294" i="2"/>
  <c r="E5295" i="2"/>
  <c r="E5296" i="2"/>
  <c r="E5297" i="2"/>
  <c r="E5298" i="2"/>
  <c r="E5299" i="2"/>
  <c r="E5300" i="2"/>
  <c r="E5301" i="2"/>
  <c r="E5302" i="2"/>
  <c r="E5303" i="2"/>
  <c r="E5304" i="2"/>
  <c r="E5305" i="2"/>
  <c r="E5306" i="2"/>
  <c r="E5307" i="2"/>
  <c r="E5308" i="2"/>
  <c r="E5309" i="2"/>
  <c r="E5310" i="2"/>
  <c r="E5311" i="2"/>
  <c r="E5312" i="2"/>
  <c r="E5313" i="2"/>
  <c r="E5314" i="2"/>
  <c r="E5315" i="2"/>
  <c r="E5316" i="2"/>
  <c r="E5317" i="2"/>
  <c r="E5318" i="2"/>
  <c r="E5319" i="2"/>
  <c r="E5320" i="2"/>
  <c r="E5321" i="2"/>
  <c r="E5322" i="2"/>
  <c r="E5323" i="2"/>
  <c r="E5324" i="2"/>
  <c r="E5325" i="2"/>
  <c r="E5326" i="2"/>
  <c r="E5327" i="2"/>
  <c r="E5328" i="2"/>
  <c r="E5329" i="2"/>
  <c r="E5330" i="2"/>
  <c r="E5331" i="2"/>
  <c r="E5332" i="2"/>
  <c r="E5333" i="2"/>
  <c r="E5334" i="2"/>
  <c r="E5335" i="2"/>
  <c r="E5336" i="2"/>
  <c r="E5337" i="2"/>
  <c r="E5338" i="2"/>
  <c r="E5339" i="2"/>
  <c r="E5340" i="2"/>
  <c r="E5341" i="2"/>
  <c r="E5342" i="2"/>
  <c r="E5343" i="2"/>
  <c r="E5344" i="2"/>
  <c r="E5345" i="2"/>
  <c r="E5346" i="2"/>
  <c r="E5347" i="2"/>
  <c r="E5348" i="2"/>
  <c r="E5349" i="2"/>
  <c r="E5350" i="2"/>
  <c r="E5351" i="2"/>
  <c r="E5352" i="2"/>
  <c r="E5353" i="2"/>
  <c r="E5354" i="2"/>
  <c r="E5355" i="2"/>
  <c r="E5356" i="2"/>
  <c r="E5357" i="2"/>
  <c r="E5358" i="2"/>
  <c r="E5359" i="2"/>
  <c r="E5360" i="2"/>
  <c r="E5361" i="2"/>
  <c r="E5362" i="2"/>
  <c r="E5363" i="2"/>
  <c r="E5364" i="2"/>
  <c r="E5365" i="2"/>
  <c r="E5366" i="2"/>
  <c r="E5367" i="2"/>
  <c r="E5368" i="2"/>
  <c r="E5369" i="2"/>
  <c r="E5370" i="2"/>
  <c r="E5371" i="2"/>
  <c r="E5372" i="2"/>
  <c r="E5373" i="2"/>
  <c r="E5374" i="2"/>
  <c r="E5375" i="2"/>
  <c r="E5376" i="2"/>
  <c r="E5377" i="2"/>
  <c r="E5378" i="2"/>
  <c r="E5379" i="2"/>
  <c r="E5380" i="2"/>
  <c r="E5381" i="2"/>
  <c r="E5382" i="2"/>
  <c r="E5383" i="2"/>
  <c r="E5384" i="2"/>
  <c r="E5385" i="2"/>
  <c r="E5386" i="2"/>
  <c r="E5387" i="2"/>
  <c r="E5388" i="2"/>
  <c r="E5389" i="2"/>
  <c r="E5390" i="2"/>
  <c r="E5391" i="2"/>
  <c r="E5392" i="2"/>
  <c r="E5393" i="2"/>
  <c r="E5394" i="2"/>
  <c r="E5395" i="2"/>
  <c r="E5396" i="2"/>
  <c r="E5397" i="2"/>
  <c r="E5398" i="2"/>
  <c r="E5399" i="2"/>
  <c r="E5400" i="2"/>
  <c r="E5401" i="2"/>
  <c r="E5402" i="2"/>
  <c r="E5403" i="2"/>
  <c r="E5404" i="2"/>
  <c r="E5405" i="2"/>
  <c r="E5406" i="2"/>
  <c r="E5407" i="2"/>
  <c r="E5408" i="2"/>
  <c r="E5409" i="2"/>
  <c r="E5410" i="2"/>
  <c r="E5411" i="2"/>
  <c r="E5412" i="2"/>
  <c r="E5413" i="2"/>
  <c r="E5414" i="2"/>
  <c r="E5415" i="2"/>
  <c r="E5416" i="2"/>
  <c r="E5417" i="2"/>
  <c r="E5418" i="2"/>
  <c r="E5419" i="2"/>
  <c r="E5420" i="2"/>
  <c r="E5421" i="2"/>
  <c r="E5422" i="2"/>
  <c r="E5423" i="2"/>
  <c r="E5424" i="2"/>
  <c r="E5425" i="2"/>
  <c r="E5426" i="2"/>
  <c r="E5427" i="2"/>
  <c r="E5428" i="2"/>
  <c r="E5429" i="2"/>
  <c r="E5430" i="2"/>
  <c r="E5431" i="2"/>
  <c r="E5432" i="2"/>
  <c r="E5433" i="2"/>
  <c r="E5434" i="2"/>
  <c r="E5435" i="2"/>
  <c r="E5436" i="2"/>
  <c r="E5437" i="2"/>
  <c r="E5438" i="2"/>
  <c r="E5439" i="2"/>
  <c r="E5440" i="2"/>
  <c r="E5441" i="2"/>
  <c r="E5442" i="2"/>
  <c r="E5443" i="2"/>
  <c r="E5444" i="2"/>
  <c r="E5445" i="2"/>
  <c r="E5446" i="2"/>
  <c r="E5447" i="2"/>
  <c r="E5448" i="2"/>
  <c r="E5449" i="2"/>
  <c r="E5450" i="2"/>
  <c r="E5451" i="2"/>
  <c r="E5452" i="2"/>
  <c r="E5453" i="2"/>
  <c r="E5454" i="2"/>
  <c r="E5455" i="2"/>
  <c r="E5456" i="2"/>
  <c r="E5457" i="2"/>
  <c r="E5458" i="2"/>
  <c r="E5459" i="2"/>
  <c r="E5460" i="2"/>
  <c r="E5461" i="2"/>
  <c r="E5462" i="2"/>
  <c r="E5463" i="2"/>
  <c r="E5464" i="2"/>
  <c r="E5465" i="2"/>
  <c r="E5466" i="2"/>
  <c r="E5467" i="2"/>
  <c r="E5468" i="2"/>
  <c r="E5469" i="2"/>
  <c r="E5470" i="2"/>
  <c r="E5471" i="2"/>
  <c r="E5472" i="2"/>
  <c r="E5473" i="2"/>
  <c r="E5474" i="2"/>
  <c r="E5475" i="2"/>
  <c r="E5476" i="2"/>
  <c r="E5477" i="2"/>
  <c r="E5478" i="2"/>
  <c r="E5479" i="2"/>
  <c r="E5480" i="2"/>
  <c r="E5481" i="2"/>
  <c r="E5482" i="2"/>
  <c r="E5483" i="2"/>
  <c r="E5484" i="2"/>
  <c r="E5485" i="2"/>
  <c r="E5486" i="2"/>
  <c r="E5487" i="2"/>
  <c r="E5488" i="2"/>
  <c r="E5489" i="2"/>
  <c r="E5490" i="2"/>
  <c r="E5491" i="2"/>
  <c r="E5492" i="2"/>
  <c r="E5493" i="2"/>
  <c r="E5494" i="2"/>
  <c r="E5495" i="2"/>
  <c r="E5496" i="2"/>
  <c r="E5497" i="2"/>
  <c r="E5498" i="2"/>
  <c r="E5499" i="2"/>
  <c r="E5500" i="2"/>
  <c r="E5501" i="2"/>
  <c r="E5502" i="2"/>
  <c r="E5503" i="2"/>
  <c r="E5504" i="2"/>
  <c r="E5505" i="2"/>
  <c r="E5506" i="2"/>
  <c r="E5507" i="2"/>
  <c r="E5508" i="2"/>
  <c r="E5509" i="2"/>
  <c r="E5510" i="2"/>
  <c r="E5511" i="2"/>
  <c r="E5512" i="2"/>
  <c r="E5513" i="2"/>
  <c r="E5514" i="2"/>
  <c r="E5515" i="2"/>
  <c r="E5516" i="2"/>
  <c r="E5517" i="2"/>
  <c r="E5518" i="2"/>
  <c r="E5519" i="2"/>
  <c r="E5520" i="2"/>
  <c r="E5521" i="2"/>
  <c r="E5522" i="2"/>
  <c r="E5523" i="2"/>
  <c r="E5524" i="2"/>
  <c r="E5525" i="2"/>
  <c r="E5526" i="2"/>
  <c r="E5527" i="2"/>
  <c r="E5528" i="2"/>
  <c r="E5529" i="2"/>
  <c r="E5530" i="2"/>
  <c r="E5531" i="2"/>
  <c r="E5532" i="2"/>
  <c r="E5533" i="2"/>
  <c r="E5534" i="2"/>
  <c r="E5535" i="2"/>
  <c r="E5536" i="2"/>
  <c r="E5537" i="2"/>
  <c r="E5538" i="2"/>
  <c r="E5539" i="2"/>
  <c r="E5540" i="2"/>
  <c r="E5541" i="2"/>
  <c r="E5542" i="2"/>
  <c r="E5543" i="2"/>
  <c r="E5544" i="2"/>
  <c r="E5545" i="2"/>
  <c r="E5546" i="2"/>
  <c r="E5547" i="2"/>
  <c r="E5548" i="2"/>
  <c r="E5549" i="2"/>
  <c r="E5550" i="2"/>
  <c r="E5551" i="2"/>
  <c r="E5552" i="2"/>
  <c r="E5553" i="2"/>
  <c r="E5554" i="2"/>
  <c r="E5555" i="2"/>
  <c r="E5556" i="2"/>
  <c r="E5557" i="2"/>
  <c r="E5558" i="2"/>
  <c r="E5559" i="2"/>
  <c r="E5560" i="2"/>
  <c r="E5561" i="2"/>
  <c r="E5562" i="2"/>
  <c r="E5563" i="2"/>
  <c r="E5564" i="2"/>
  <c r="E5565" i="2"/>
  <c r="E5566" i="2"/>
  <c r="E5567" i="2"/>
  <c r="E5568" i="2"/>
  <c r="E5569" i="2"/>
  <c r="E5570" i="2"/>
  <c r="E5571" i="2"/>
  <c r="E5572" i="2"/>
  <c r="E5573" i="2"/>
  <c r="E5574" i="2"/>
  <c r="E5575" i="2"/>
  <c r="E5576" i="2"/>
  <c r="E5577" i="2"/>
  <c r="E5578" i="2"/>
  <c r="E5579" i="2"/>
  <c r="E5580" i="2"/>
  <c r="E5581" i="2"/>
  <c r="E5582" i="2"/>
  <c r="E5583" i="2"/>
  <c r="E5584" i="2"/>
  <c r="E5585" i="2"/>
  <c r="E5586" i="2"/>
  <c r="E5587" i="2"/>
  <c r="E5588" i="2"/>
  <c r="E5589" i="2"/>
  <c r="E5590" i="2"/>
  <c r="E5591" i="2"/>
  <c r="E5592" i="2"/>
  <c r="E5593" i="2"/>
  <c r="E5594" i="2"/>
  <c r="E5595" i="2"/>
  <c r="E5596" i="2"/>
  <c r="E5597" i="2"/>
  <c r="E5598" i="2"/>
  <c r="E5599" i="2"/>
  <c r="E5600" i="2"/>
  <c r="E5601" i="2"/>
  <c r="E5602" i="2"/>
  <c r="E5603" i="2"/>
  <c r="E5604" i="2"/>
  <c r="E5605" i="2"/>
  <c r="E5606" i="2"/>
  <c r="E5607" i="2"/>
  <c r="E5608" i="2"/>
  <c r="E5609" i="2"/>
  <c r="E5610" i="2"/>
  <c r="E5611" i="2"/>
  <c r="E5612" i="2"/>
  <c r="E5613" i="2"/>
  <c r="E5614" i="2"/>
  <c r="E5615" i="2"/>
  <c r="E5616" i="2"/>
  <c r="E5617" i="2"/>
  <c r="E5618" i="2"/>
  <c r="E5619" i="2"/>
  <c r="E5620" i="2"/>
  <c r="E5621" i="2"/>
  <c r="E5622" i="2"/>
  <c r="E5623" i="2"/>
  <c r="E5624" i="2"/>
  <c r="E5625" i="2"/>
  <c r="E5626" i="2"/>
  <c r="E5627" i="2"/>
  <c r="E5628" i="2"/>
  <c r="E5629" i="2"/>
  <c r="E5630" i="2"/>
  <c r="E5631" i="2"/>
  <c r="E5632" i="2"/>
  <c r="E5633" i="2"/>
  <c r="E5634" i="2"/>
  <c r="E5635" i="2"/>
  <c r="E5636" i="2"/>
  <c r="E5637" i="2"/>
  <c r="E5638" i="2"/>
  <c r="E5639" i="2"/>
  <c r="E5640" i="2"/>
  <c r="E5641" i="2"/>
  <c r="E5642" i="2"/>
  <c r="E5643" i="2"/>
  <c r="E5644" i="2"/>
  <c r="E5645" i="2"/>
  <c r="E5646" i="2"/>
  <c r="E5647" i="2"/>
  <c r="E5648" i="2"/>
  <c r="E5649" i="2"/>
  <c r="E5650" i="2"/>
  <c r="E5651" i="2"/>
  <c r="E5652" i="2"/>
  <c r="E5653" i="2"/>
  <c r="E5654" i="2"/>
  <c r="E5655" i="2"/>
  <c r="E5656" i="2"/>
  <c r="E5657" i="2"/>
  <c r="E5658" i="2"/>
  <c r="E5659" i="2"/>
  <c r="E5660" i="2"/>
  <c r="E5661" i="2"/>
  <c r="E5662" i="2"/>
  <c r="E5663" i="2"/>
  <c r="E5664" i="2"/>
  <c r="E5665" i="2"/>
  <c r="E5666" i="2"/>
  <c r="E5667" i="2"/>
  <c r="E5668" i="2"/>
  <c r="E5669" i="2"/>
  <c r="E5670" i="2"/>
  <c r="E5671" i="2"/>
  <c r="E5672" i="2"/>
  <c r="E5673" i="2"/>
  <c r="E5674" i="2"/>
  <c r="E5675" i="2"/>
  <c r="E5676" i="2"/>
  <c r="E5677" i="2"/>
  <c r="E5678" i="2"/>
  <c r="E5679" i="2"/>
  <c r="E5680" i="2"/>
  <c r="E5681" i="2"/>
  <c r="E5682" i="2"/>
  <c r="E5683" i="2"/>
  <c r="E5684" i="2"/>
  <c r="E5685" i="2"/>
  <c r="E5686" i="2"/>
  <c r="E5687" i="2"/>
  <c r="E5688" i="2"/>
  <c r="E5689" i="2"/>
  <c r="E5690" i="2"/>
  <c r="E5691" i="2"/>
  <c r="E5692" i="2"/>
  <c r="E5693" i="2"/>
  <c r="E5694" i="2"/>
  <c r="E5695" i="2"/>
  <c r="E5696" i="2"/>
  <c r="E5697" i="2"/>
  <c r="E5698" i="2"/>
  <c r="E5699" i="2"/>
  <c r="E5700" i="2"/>
  <c r="E5701" i="2"/>
  <c r="E5702" i="2"/>
  <c r="E5703" i="2"/>
  <c r="E5704" i="2"/>
  <c r="E5705" i="2"/>
  <c r="E5706" i="2"/>
  <c r="E5707" i="2"/>
  <c r="E5708" i="2"/>
  <c r="E5709" i="2"/>
  <c r="E5710" i="2"/>
  <c r="E5711" i="2"/>
  <c r="E5712" i="2"/>
  <c r="E5713" i="2"/>
  <c r="E5714" i="2"/>
  <c r="E5715" i="2"/>
  <c r="E5716" i="2"/>
  <c r="E5717" i="2"/>
  <c r="E5718" i="2"/>
  <c r="E5719" i="2"/>
  <c r="E5720" i="2"/>
  <c r="E5721" i="2"/>
  <c r="E5722" i="2"/>
  <c r="E5723" i="2"/>
  <c r="E5724" i="2"/>
  <c r="E5725" i="2"/>
  <c r="E5726" i="2"/>
  <c r="E5727" i="2"/>
  <c r="E5728" i="2"/>
  <c r="E5729" i="2"/>
  <c r="E5730" i="2"/>
  <c r="E5731" i="2"/>
  <c r="E5732" i="2"/>
  <c r="E5733" i="2"/>
  <c r="E5734" i="2"/>
  <c r="E5735" i="2"/>
  <c r="E5736" i="2"/>
  <c r="E5737" i="2"/>
  <c r="E5738" i="2"/>
  <c r="E5739" i="2"/>
  <c r="E5740" i="2"/>
  <c r="E5741" i="2"/>
  <c r="E5742" i="2"/>
  <c r="E5743" i="2"/>
  <c r="E5744" i="2"/>
  <c r="E5745" i="2"/>
  <c r="E5746" i="2"/>
  <c r="E5747" i="2"/>
  <c r="E5748" i="2"/>
  <c r="E5749" i="2"/>
  <c r="E5750" i="2"/>
  <c r="E5751" i="2"/>
  <c r="E5752" i="2"/>
  <c r="E5753" i="2"/>
  <c r="E5754" i="2"/>
  <c r="E5755" i="2"/>
  <c r="E5756" i="2"/>
  <c r="E5757" i="2"/>
  <c r="E5758" i="2"/>
  <c r="E5759" i="2"/>
  <c r="E5760" i="2"/>
  <c r="E5761" i="2"/>
  <c r="E5762" i="2"/>
  <c r="E5763" i="2"/>
  <c r="E5764" i="2"/>
  <c r="E5765" i="2"/>
  <c r="E5766" i="2"/>
  <c r="E5767" i="2"/>
  <c r="E5768" i="2"/>
  <c r="E5769" i="2"/>
  <c r="E5770" i="2"/>
  <c r="E5771" i="2"/>
  <c r="E5772" i="2"/>
  <c r="E5773" i="2"/>
  <c r="E5774" i="2"/>
  <c r="E5775" i="2"/>
  <c r="E5776" i="2"/>
  <c r="E5777" i="2"/>
  <c r="E5778" i="2"/>
  <c r="E5779" i="2"/>
  <c r="E5780" i="2"/>
  <c r="E5781" i="2"/>
  <c r="E5782" i="2"/>
  <c r="E5783" i="2"/>
  <c r="E5784" i="2"/>
  <c r="E5785" i="2"/>
  <c r="E5786" i="2"/>
  <c r="E5787" i="2"/>
  <c r="E5788" i="2"/>
  <c r="E5789" i="2"/>
  <c r="E5790" i="2"/>
  <c r="E5791" i="2"/>
  <c r="E5792" i="2"/>
  <c r="E5793" i="2"/>
  <c r="E5794" i="2"/>
  <c r="E5795" i="2"/>
  <c r="E5796" i="2"/>
  <c r="E5797" i="2"/>
  <c r="E5798" i="2"/>
  <c r="E5799" i="2"/>
  <c r="E5800" i="2"/>
  <c r="E5801" i="2"/>
  <c r="E5802" i="2"/>
  <c r="E5803" i="2"/>
  <c r="E5804" i="2"/>
  <c r="E5805" i="2"/>
  <c r="E5806" i="2"/>
  <c r="E5807" i="2"/>
  <c r="E5808" i="2"/>
  <c r="E5809" i="2"/>
  <c r="E5810" i="2"/>
  <c r="E5811" i="2"/>
  <c r="E5812" i="2"/>
  <c r="E5813" i="2"/>
  <c r="E5814" i="2"/>
  <c r="E5815" i="2"/>
  <c r="E5816" i="2"/>
  <c r="E5817" i="2"/>
  <c r="E5818" i="2"/>
  <c r="E5819" i="2"/>
  <c r="E5820" i="2"/>
  <c r="E5821" i="2"/>
  <c r="E5822" i="2"/>
  <c r="E5823" i="2"/>
  <c r="E5824" i="2"/>
  <c r="E5825" i="2"/>
  <c r="E5826" i="2"/>
  <c r="E5827" i="2"/>
  <c r="E5828" i="2"/>
  <c r="E5829" i="2"/>
  <c r="E5830" i="2"/>
  <c r="E5831" i="2"/>
  <c r="E5832" i="2"/>
  <c r="E5833" i="2"/>
  <c r="E5834" i="2"/>
  <c r="E5835" i="2"/>
  <c r="E5836" i="2"/>
  <c r="E5837" i="2"/>
  <c r="E5838" i="2"/>
  <c r="E5839" i="2"/>
  <c r="E5840" i="2"/>
  <c r="E5841" i="2"/>
  <c r="E5842" i="2"/>
  <c r="E5843" i="2"/>
  <c r="E5844" i="2"/>
  <c r="E5845" i="2"/>
  <c r="E5846" i="2"/>
  <c r="E5847" i="2"/>
  <c r="E5848" i="2"/>
  <c r="E5849" i="2"/>
  <c r="E5850" i="2"/>
  <c r="E5851" i="2"/>
  <c r="E5852" i="2"/>
  <c r="E5853" i="2"/>
  <c r="E5854" i="2"/>
  <c r="E5855" i="2"/>
  <c r="E5856" i="2"/>
  <c r="E5857" i="2"/>
  <c r="E5858" i="2"/>
  <c r="E5859" i="2"/>
  <c r="E5860" i="2"/>
  <c r="E5861" i="2"/>
  <c r="E5862" i="2"/>
  <c r="E5863" i="2"/>
  <c r="E5864" i="2"/>
  <c r="E5865" i="2"/>
  <c r="E5866" i="2"/>
  <c r="E5867" i="2"/>
  <c r="E5868" i="2"/>
  <c r="E5869" i="2"/>
  <c r="E5870" i="2"/>
  <c r="E5871" i="2"/>
  <c r="E5872" i="2"/>
  <c r="E5873" i="2"/>
  <c r="E5874" i="2"/>
  <c r="E5875" i="2"/>
  <c r="E5876" i="2"/>
  <c r="E5877" i="2"/>
  <c r="E5878" i="2"/>
  <c r="E5879" i="2"/>
  <c r="E5880" i="2"/>
  <c r="E5881" i="2"/>
  <c r="E5882" i="2"/>
  <c r="E5883" i="2"/>
  <c r="E5884" i="2"/>
  <c r="E5885" i="2"/>
  <c r="E5886" i="2"/>
  <c r="E5887" i="2"/>
  <c r="E5888" i="2"/>
  <c r="E5889" i="2"/>
  <c r="E5890" i="2"/>
  <c r="E5891" i="2"/>
  <c r="E5892" i="2"/>
  <c r="E5893" i="2"/>
  <c r="E5894" i="2"/>
  <c r="E5895" i="2"/>
  <c r="E5896" i="2"/>
  <c r="E5897" i="2"/>
  <c r="E5898" i="2"/>
  <c r="E5899" i="2"/>
  <c r="E5900" i="2"/>
  <c r="E5901" i="2"/>
  <c r="E5902" i="2"/>
  <c r="E5903" i="2"/>
  <c r="E5904" i="2"/>
  <c r="E5905" i="2"/>
  <c r="E5906" i="2"/>
  <c r="E5907" i="2"/>
  <c r="E5908" i="2"/>
  <c r="E5909" i="2"/>
  <c r="E5910" i="2"/>
  <c r="E5911" i="2"/>
  <c r="E5912" i="2"/>
  <c r="E5913" i="2"/>
  <c r="E5914" i="2"/>
  <c r="E5915" i="2"/>
  <c r="E5916" i="2"/>
  <c r="E5917" i="2"/>
  <c r="E5918" i="2"/>
  <c r="E5919" i="2"/>
  <c r="E5920" i="2"/>
  <c r="E5921" i="2"/>
  <c r="E5922" i="2"/>
  <c r="E5923" i="2"/>
  <c r="E5924" i="2"/>
  <c r="E5925" i="2"/>
  <c r="E5926" i="2"/>
  <c r="E5927" i="2"/>
  <c r="E5928" i="2"/>
  <c r="E5929" i="2"/>
  <c r="E5930" i="2"/>
  <c r="E5931" i="2"/>
  <c r="E5932" i="2"/>
  <c r="E5933" i="2"/>
  <c r="E5934" i="2"/>
  <c r="E5935" i="2"/>
  <c r="E5936" i="2"/>
  <c r="E5937" i="2"/>
  <c r="E5938" i="2"/>
  <c r="E5939" i="2"/>
  <c r="E5940" i="2"/>
  <c r="E5941" i="2"/>
  <c r="E5942" i="2"/>
  <c r="E5943" i="2"/>
  <c r="E5944" i="2"/>
  <c r="E5945" i="2"/>
  <c r="E5946" i="2"/>
  <c r="E5947" i="2"/>
  <c r="E5948" i="2"/>
  <c r="E5949" i="2"/>
  <c r="E5950" i="2"/>
  <c r="E5951" i="2"/>
  <c r="E5952" i="2"/>
  <c r="E5953" i="2"/>
  <c r="E5954" i="2"/>
  <c r="E5955" i="2"/>
  <c r="E5956" i="2"/>
  <c r="E5957" i="2"/>
  <c r="E5958" i="2"/>
  <c r="E5959" i="2"/>
  <c r="E5960" i="2"/>
  <c r="E5961" i="2"/>
  <c r="E5962" i="2"/>
  <c r="E5963" i="2"/>
  <c r="E5964" i="2"/>
  <c r="E5965" i="2"/>
  <c r="E5966" i="2"/>
  <c r="E5967" i="2"/>
  <c r="E5968" i="2"/>
  <c r="E5969" i="2"/>
  <c r="E5970" i="2"/>
  <c r="E5971" i="2"/>
  <c r="E5972" i="2"/>
  <c r="E5973" i="2"/>
  <c r="E5974" i="2"/>
  <c r="E5975" i="2"/>
  <c r="E5976" i="2"/>
  <c r="E5977" i="2"/>
  <c r="E5978" i="2"/>
  <c r="E5979" i="2"/>
  <c r="E5980" i="2"/>
  <c r="E5981" i="2"/>
  <c r="E5982" i="2"/>
  <c r="E5983" i="2"/>
  <c r="E5984" i="2"/>
  <c r="E5985" i="2"/>
  <c r="E5986" i="2"/>
  <c r="E5987" i="2"/>
  <c r="E5988" i="2"/>
  <c r="E5989" i="2"/>
  <c r="E5990" i="2"/>
  <c r="E5991" i="2"/>
  <c r="E5992" i="2"/>
  <c r="E5993" i="2"/>
  <c r="E5994" i="2"/>
  <c r="E5995" i="2"/>
  <c r="E5996" i="2"/>
  <c r="E5997" i="2"/>
  <c r="E5998" i="2"/>
  <c r="E5999" i="2"/>
  <c r="E6000" i="2"/>
  <c r="E6001" i="2"/>
  <c r="E6002" i="2"/>
  <c r="E6003" i="2"/>
  <c r="E6004" i="2"/>
  <c r="E6005" i="2"/>
  <c r="E6006" i="2"/>
  <c r="E6007" i="2"/>
  <c r="E6008" i="2"/>
  <c r="E6009" i="2"/>
  <c r="E6010" i="2"/>
  <c r="E6011" i="2"/>
  <c r="E6012" i="2"/>
  <c r="E6013" i="2"/>
  <c r="E6014" i="2"/>
  <c r="E6015" i="2"/>
  <c r="E6016" i="2"/>
  <c r="E6017" i="2"/>
  <c r="E6018" i="2"/>
  <c r="E6019" i="2"/>
  <c r="E6020" i="2"/>
  <c r="E6021" i="2"/>
  <c r="E6022" i="2"/>
  <c r="E6023" i="2"/>
  <c r="E6024" i="2"/>
  <c r="E6025" i="2"/>
  <c r="E6026" i="2"/>
  <c r="E6027" i="2"/>
  <c r="E6028" i="2"/>
  <c r="E6029" i="2"/>
  <c r="E6030" i="2"/>
  <c r="E6031" i="2"/>
  <c r="E6032" i="2"/>
  <c r="E6033" i="2"/>
  <c r="E6034" i="2"/>
  <c r="E6035" i="2"/>
  <c r="E6036" i="2"/>
  <c r="E6037" i="2"/>
  <c r="E6038" i="2"/>
  <c r="E6039" i="2"/>
  <c r="E6040" i="2"/>
  <c r="E6041" i="2"/>
  <c r="E6042" i="2"/>
  <c r="E6043" i="2"/>
  <c r="E6044" i="2"/>
  <c r="E6045" i="2"/>
  <c r="E6046" i="2"/>
  <c r="E6047" i="2"/>
  <c r="E6048" i="2"/>
  <c r="E6049" i="2"/>
  <c r="E6050" i="2"/>
  <c r="E6051" i="2"/>
  <c r="E6052" i="2"/>
  <c r="E6053" i="2"/>
  <c r="E6054" i="2"/>
  <c r="E6055" i="2"/>
  <c r="E6056" i="2"/>
  <c r="E6057" i="2"/>
  <c r="E6058" i="2"/>
  <c r="E6059" i="2"/>
  <c r="E6060" i="2"/>
  <c r="E6061" i="2"/>
  <c r="E6062" i="2"/>
  <c r="E6063" i="2"/>
  <c r="E6064" i="2"/>
  <c r="E6065" i="2"/>
  <c r="E6066" i="2"/>
  <c r="E6067" i="2"/>
  <c r="E6068" i="2"/>
  <c r="E6069" i="2"/>
  <c r="E6070" i="2"/>
  <c r="E6071" i="2"/>
  <c r="E6072" i="2"/>
  <c r="E6073" i="2"/>
  <c r="E6074" i="2"/>
  <c r="E6075" i="2"/>
  <c r="E6076" i="2"/>
  <c r="E6077" i="2"/>
  <c r="E6078" i="2"/>
  <c r="E6079" i="2"/>
  <c r="E6080" i="2"/>
  <c r="E6081" i="2"/>
  <c r="E6082" i="2"/>
  <c r="E6083" i="2"/>
  <c r="E6084" i="2"/>
  <c r="E6085" i="2"/>
  <c r="E6086" i="2"/>
  <c r="E6087" i="2"/>
  <c r="E6088" i="2"/>
  <c r="E6089" i="2"/>
  <c r="E6090" i="2"/>
  <c r="E6091" i="2"/>
  <c r="E6092" i="2"/>
  <c r="E6093" i="2"/>
  <c r="E6094" i="2"/>
  <c r="E6095" i="2"/>
  <c r="E6096" i="2"/>
  <c r="E6097" i="2"/>
  <c r="E6098" i="2"/>
  <c r="E6099" i="2"/>
  <c r="E6100" i="2"/>
  <c r="E6101" i="2"/>
  <c r="E6102" i="2"/>
  <c r="E6103" i="2"/>
  <c r="E6104" i="2"/>
  <c r="E6105" i="2"/>
  <c r="E6106" i="2"/>
  <c r="E6107" i="2"/>
  <c r="E6108" i="2"/>
  <c r="E6109" i="2"/>
  <c r="E6110" i="2"/>
  <c r="E6111" i="2"/>
  <c r="E6112" i="2"/>
  <c r="E6113" i="2"/>
  <c r="E6114" i="2"/>
  <c r="E6115" i="2"/>
  <c r="E6116" i="2"/>
  <c r="E6117" i="2"/>
  <c r="E6118" i="2"/>
  <c r="E6119" i="2"/>
  <c r="E6120" i="2"/>
  <c r="E6121" i="2"/>
  <c r="E6122" i="2"/>
  <c r="E6123" i="2"/>
  <c r="E6124" i="2"/>
  <c r="E6125" i="2"/>
  <c r="E6126" i="2"/>
  <c r="E6127" i="2"/>
  <c r="E6128" i="2"/>
  <c r="E6129" i="2"/>
  <c r="E6130" i="2"/>
  <c r="E6131" i="2"/>
  <c r="E6132" i="2"/>
  <c r="E6133" i="2"/>
  <c r="E6134" i="2"/>
  <c r="E6135" i="2"/>
  <c r="E6136" i="2"/>
  <c r="E6137" i="2"/>
  <c r="E6138" i="2"/>
  <c r="E6139" i="2"/>
  <c r="E6140" i="2"/>
  <c r="E6141" i="2"/>
  <c r="E6142" i="2"/>
  <c r="E6143" i="2"/>
  <c r="E6144" i="2"/>
  <c r="E6145" i="2"/>
  <c r="E6146" i="2"/>
  <c r="E6147" i="2"/>
  <c r="E6148" i="2"/>
  <c r="E6149" i="2"/>
  <c r="E6150" i="2"/>
  <c r="E6151" i="2"/>
  <c r="E6152" i="2"/>
  <c r="E6153" i="2"/>
  <c r="E6154" i="2"/>
  <c r="E6155" i="2"/>
  <c r="E6156" i="2"/>
  <c r="E6157" i="2"/>
  <c r="E6158" i="2"/>
  <c r="E6159" i="2"/>
  <c r="E6160" i="2"/>
  <c r="E6161" i="2"/>
  <c r="E6162" i="2"/>
  <c r="E6163" i="2"/>
  <c r="E6164" i="2"/>
  <c r="E6165" i="2"/>
  <c r="E6166" i="2"/>
  <c r="E6167" i="2"/>
  <c r="E6168" i="2"/>
  <c r="E6169" i="2"/>
  <c r="E6170" i="2"/>
  <c r="E6171" i="2"/>
  <c r="E6172" i="2"/>
  <c r="E6173" i="2"/>
  <c r="E6174" i="2"/>
  <c r="E6175" i="2"/>
  <c r="E6176" i="2"/>
  <c r="E6177" i="2"/>
  <c r="E6178" i="2"/>
  <c r="E6179" i="2"/>
  <c r="E6180" i="2"/>
  <c r="E6181" i="2"/>
  <c r="E6182" i="2"/>
  <c r="E6183" i="2"/>
  <c r="E6184" i="2"/>
  <c r="E6185" i="2"/>
  <c r="E6186" i="2"/>
  <c r="E6187" i="2"/>
  <c r="E6188" i="2"/>
  <c r="E6189" i="2"/>
  <c r="E6190" i="2"/>
  <c r="E6191" i="2"/>
  <c r="E6192" i="2"/>
  <c r="E6193" i="2"/>
  <c r="E6194" i="2"/>
  <c r="E6195" i="2"/>
  <c r="E6196" i="2"/>
  <c r="E6197" i="2"/>
  <c r="E6198" i="2"/>
  <c r="E6199" i="2"/>
  <c r="E6200" i="2"/>
  <c r="E6201" i="2"/>
  <c r="E6202" i="2"/>
  <c r="E6203" i="2"/>
  <c r="E6204" i="2"/>
  <c r="E6205" i="2"/>
  <c r="E6206" i="2"/>
  <c r="E6207" i="2"/>
  <c r="E6208" i="2"/>
  <c r="E6209" i="2"/>
  <c r="E6210" i="2"/>
  <c r="E6211" i="2"/>
  <c r="E6212" i="2"/>
  <c r="E6213" i="2"/>
  <c r="E6214" i="2"/>
  <c r="E6215" i="2"/>
  <c r="E6216" i="2"/>
  <c r="E6217" i="2"/>
  <c r="E6218" i="2"/>
  <c r="E6219" i="2"/>
  <c r="E6220" i="2"/>
  <c r="E6221" i="2"/>
  <c r="E6222" i="2"/>
  <c r="E6223" i="2"/>
  <c r="E6224" i="2"/>
  <c r="E6225" i="2"/>
  <c r="E6226" i="2"/>
  <c r="E6227" i="2"/>
  <c r="E6228" i="2"/>
  <c r="E6229" i="2"/>
  <c r="E6230" i="2"/>
  <c r="E6231" i="2"/>
  <c r="E6232" i="2"/>
  <c r="E6233" i="2"/>
  <c r="E6234" i="2"/>
  <c r="E6235" i="2"/>
  <c r="E6236" i="2"/>
  <c r="E6237" i="2"/>
  <c r="E6238" i="2"/>
  <c r="E6239" i="2"/>
  <c r="E6240" i="2"/>
  <c r="E6241" i="2"/>
  <c r="E6242" i="2"/>
  <c r="E6243" i="2"/>
  <c r="E6244" i="2"/>
  <c r="E6245" i="2"/>
  <c r="E6246" i="2"/>
  <c r="E6247" i="2"/>
  <c r="E6248" i="2"/>
  <c r="E6249" i="2"/>
  <c r="E6250" i="2"/>
  <c r="E6251" i="2"/>
  <c r="E6252" i="2"/>
  <c r="E6253" i="2"/>
  <c r="E6254" i="2"/>
  <c r="E6255" i="2"/>
  <c r="E6256" i="2"/>
  <c r="E6257" i="2"/>
  <c r="E6258" i="2"/>
  <c r="E6259" i="2"/>
  <c r="E6260" i="2"/>
  <c r="E6261" i="2"/>
  <c r="E6262" i="2"/>
  <c r="E6263" i="2"/>
  <c r="E6264" i="2"/>
  <c r="E6265" i="2"/>
  <c r="E6266" i="2"/>
  <c r="E6267" i="2"/>
  <c r="E6268" i="2"/>
  <c r="E6269" i="2"/>
  <c r="E6270" i="2"/>
  <c r="E6271" i="2"/>
  <c r="E6272" i="2"/>
  <c r="E6273" i="2"/>
  <c r="E6274" i="2"/>
  <c r="E6275" i="2"/>
  <c r="E6276" i="2"/>
  <c r="E6277" i="2"/>
  <c r="E6278" i="2"/>
  <c r="E6279" i="2"/>
  <c r="E6280" i="2"/>
  <c r="E6281" i="2"/>
  <c r="E6282" i="2"/>
  <c r="E6283" i="2"/>
  <c r="E6284" i="2"/>
  <c r="E6285" i="2"/>
  <c r="E6286" i="2"/>
  <c r="E6287" i="2"/>
  <c r="E6288" i="2"/>
  <c r="E6289" i="2"/>
  <c r="E6290" i="2"/>
  <c r="E6291" i="2"/>
  <c r="E6292" i="2"/>
  <c r="E6293" i="2"/>
  <c r="E6294" i="2"/>
  <c r="E6295" i="2"/>
  <c r="E6296" i="2"/>
  <c r="E6297" i="2"/>
  <c r="E6298" i="2"/>
  <c r="E6299" i="2"/>
  <c r="E6300" i="2"/>
  <c r="E6301" i="2"/>
  <c r="E6302" i="2"/>
  <c r="E6303" i="2"/>
  <c r="E6304" i="2"/>
  <c r="E6305" i="2"/>
  <c r="E6306" i="2"/>
  <c r="E6307" i="2"/>
  <c r="E6308" i="2"/>
  <c r="E6309" i="2"/>
  <c r="E6310" i="2"/>
  <c r="E6311" i="2"/>
  <c r="E6312" i="2"/>
  <c r="E6313" i="2"/>
  <c r="E6314" i="2"/>
  <c r="E6315" i="2"/>
  <c r="E6316" i="2"/>
  <c r="E6317" i="2"/>
  <c r="E6318" i="2"/>
  <c r="E6319" i="2"/>
  <c r="E6320" i="2"/>
  <c r="E6321" i="2"/>
  <c r="E6322" i="2"/>
  <c r="E6323" i="2"/>
  <c r="E6324" i="2"/>
  <c r="E6325" i="2"/>
  <c r="E6326" i="2"/>
  <c r="E6327" i="2"/>
  <c r="E6328" i="2"/>
  <c r="E6329" i="2"/>
  <c r="E6330" i="2"/>
  <c r="E6331" i="2"/>
  <c r="E6332" i="2"/>
  <c r="E6333" i="2"/>
  <c r="E6334" i="2"/>
  <c r="E6335" i="2"/>
  <c r="E6336" i="2"/>
  <c r="E6337" i="2"/>
  <c r="E6338" i="2"/>
  <c r="E6339" i="2"/>
  <c r="E6340" i="2"/>
  <c r="E6341" i="2"/>
  <c r="E6342" i="2"/>
  <c r="E6343" i="2"/>
  <c r="E6344" i="2"/>
  <c r="E6345" i="2"/>
  <c r="E6346" i="2"/>
  <c r="E6347" i="2"/>
  <c r="E6348" i="2"/>
  <c r="E6349" i="2"/>
  <c r="E6350" i="2"/>
  <c r="E6351" i="2"/>
  <c r="E6352" i="2"/>
  <c r="E6353" i="2"/>
  <c r="E6354" i="2"/>
  <c r="E6355" i="2"/>
  <c r="E6356" i="2"/>
  <c r="E6357" i="2"/>
  <c r="E6358" i="2"/>
  <c r="E6359" i="2"/>
  <c r="E6360" i="2"/>
  <c r="E6361" i="2"/>
  <c r="E6362" i="2"/>
  <c r="E6363" i="2"/>
  <c r="E6364" i="2"/>
  <c r="E6365" i="2"/>
  <c r="E6366" i="2"/>
  <c r="E6367" i="2"/>
  <c r="E6368" i="2"/>
  <c r="E6369" i="2"/>
  <c r="E6370" i="2"/>
  <c r="E6371" i="2"/>
  <c r="E6372" i="2"/>
  <c r="E6373" i="2"/>
  <c r="E6374" i="2"/>
  <c r="E6375" i="2"/>
  <c r="E6376" i="2"/>
  <c r="E6377" i="2"/>
  <c r="E6378" i="2"/>
  <c r="E6379" i="2"/>
  <c r="E6380" i="2"/>
  <c r="E6381" i="2"/>
  <c r="E6382" i="2"/>
  <c r="E6383" i="2"/>
  <c r="E6384" i="2"/>
  <c r="E6385" i="2"/>
  <c r="E6386" i="2"/>
  <c r="E6387" i="2"/>
  <c r="E6388" i="2"/>
  <c r="E6389" i="2"/>
  <c r="E6390" i="2"/>
  <c r="E6391" i="2"/>
  <c r="E6392" i="2"/>
  <c r="E6393" i="2"/>
  <c r="E6394" i="2"/>
  <c r="E6395" i="2"/>
  <c r="E6396" i="2"/>
  <c r="E6397" i="2"/>
  <c r="E6398" i="2"/>
  <c r="E6399" i="2"/>
  <c r="E6400" i="2"/>
  <c r="E6401" i="2"/>
  <c r="E6402" i="2"/>
  <c r="E6403" i="2"/>
  <c r="E6404" i="2"/>
  <c r="E6405" i="2"/>
  <c r="E6406" i="2"/>
  <c r="E6407" i="2"/>
  <c r="E6408" i="2"/>
  <c r="E6409" i="2"/>
  <c r="E6410" i="2"/>
  <c r="E6411" i="2"/>
  <c r="E6412" i="2"/>
  <c r="E6413" i="2"/>
  <c r="E6414" i="2"/>
  <c r="E6415" i="2"/>
  <c r="E6416" i="2"/>
  <c r="E6417" i="2"/>
  <c r="E6418" i="2"/>
  <c r="E6419" i="2"/>
  <c r="E6420" i="2"/>
  <c r="E6421" i="2"/>
  <c r="G3" i="7" l="1"/>
  <c r="N17" i="7"/>
  <c r="L13" i="7"/>
  <c r="L14" i="7"/>
  <c r="N13" i="7"/>
  <c r="L18" i="7"/>
  <c r="L17" i="7"/>
  <c r="H7" i="7"/>
  <c r="H9" i="7"/>
  <c r="A35" i="8"/>
  <c r="B10" i="7"/>
  <c r="J10" i="7" s="1"/>
  <c r="N10" i="7" s="1"/>
  <c r="A27" i="8"/>
  <c r="A19" i="8"/>
  <c r="A11" i="8"/>
  <c r="A3" i="8"/>
  <c r="A34" i="8"/>
  <c r="A26" i="8"/>
  <c r="A18" i="8"/>
  <c r="A10" i="8"/>
  <c r="A2" i="8"/>
  <c r="B3" i="7"/>
  <c r="J3" i="7" s="1"/>
  <c r="A33" i="8"/>
  <c r="A25" i="8"/>
  <c r="A17" i="8"/>
  <c r="A9" i="8"/>
  <c r="A32" i="8"/>
  <c r="A24" i="8"/>
  <c r="A16" i="8"/>
  <c r="A8" i="8"/>
  <c r="A31" i="8"/>
  <c r="A23" i="8"/>
  <c r="A15" i="8"/>
  <c r="F4" i="8" s="1"/>
  <c r="A7" i="8"/>
  <c r="A30" i="8"/>
  <c r="A14" i="8"/>
  <c r="A6" i="8"/>
  <c r="A29" i="8"/>
  <c r="F6" i="8" s="1"/>
  <c r="A21" i="8"/>
  <c r="A13" i="8"/>
  <c r="A5" i="8"/>
  <c r="B6" i="7"/>
  <c r="J6" i="7" s="1"/>
  <c r="A28" i="8"/>
  <c r="A20" i="8"/>
  <c r="A12" i="8"/>
  <c r="A4" i="8"/>
  <c r="G6" i="7"/>
  <c r="B5" i="7"/>
  <c r="J5" i="7" s="1"/>
  <c r="L5" i="7" s="1"/>
  <c r="B8" i="7"/>
  <c r="J8" i="7" s="1"/>
  <c r="N8" i="7" s="1"/>
  <c r="B11" i="7"/>
  <c r="J11" i="7" s="1"/>
  <c r="G10" i="7"/>
  <c r="G5" i="7"/>
  <c r="H3" i="7"/>
  <c r="N18" i="7" s="1"/>
  <c r="B7" i="7"/>
  <c r="J7" i="7" s="1"/>
  <c r="B9" i="7"/>
  <c r="J9" i="7" s="1"/>
  <c r="N9" i="7" s="1"/>
  <c r="A36" i="8"/>
  <c r="F7" i="8" s="1"/>
  <c r="A22" i="8"/>
  <c r="F5" i="8" s="1"/>
  <c r="B4" i="7"/>
  <c r="J4" i="7" s="1"/>
  <c r="H8" i="7"/>
  <c r="G8" i="7"/>
  <c r="H4" i="7"/>
  <c r="N12" i="7" s="1"/>
  <c r="G4" i="7"/>
  <c r="L19" i="7" s="1"/>
  <c r="H11" i="7"/>
  <c r="G11" i="7"/>
  <c r="A65" i="8"/>
  <c r="L15" i="7" l="1"/>
  <c r="L16" i="7"/>
  <c r="N19" i="7"/>
  <c r="N16" i="7"/>
  <c r="L12" i="7"/>
  <c r="N7" i="7"/>
  <c r="N14" i="7"/>
  <c r="C32" i="7" s="1"/>
  <c r="N15" i="7"/>
  <c r="L6" i="7"/>
  <c r="L11" i="7"/>
  <c r="D3" i="7"/>
  <c r="C3" i="7"/>
  <c r="N11" i="7"/>
  <c r="L8" i="7"/>
  <c r="N5" i="7"/>
  <c r="L10" i="7"/>
  <c r="N6" i="7"/>
  <c r="L7" i="7"/>
  <c r="L9" i="7"/>
  <c r="N4" i="7"/>
  <c r="L4" i="7"/>
  <c r="N3" i="7"/>
  <c r="L3" i="7"/>
  <c r="B32" i="7" l="1"/>
  <c r="B31" i="7"/>
  <c r="B30" i="7"/>
  <c r="C35" i="7"/>
  <c r="C37" i="7"/>
  <c r="C36" i="7"/>
  <c r="B35" i="7"/>
  <c r="B37" i="7"/>
  <c r="B36" i="7"/>
  <c r="C30" i="7"/>
  <c r="C31" i="7"/>
  <c r="C6" i="7"/>
  <c r="D6" i="7"/>
  <c r="K3" i="7"/>
  <c r="M3" i="7"/>
  <c r="C105" i="8" l="1"/>
  <c r="C99" i="8"/>
  <c r="H16" i="8" s="1"/>
  <c r="C93" i="8"/>
  <c r="C87" i="8"/>
  <c r="C81" i="8"/>
  <c r="C75" i="8"/>
  <c r="C104" i="8"/>
  <c r="C98" i="8"/>
  <c r="C92" i="8"/>
  <c r="H15" i="8" s="1"/>
  <c r="C86" i="8"/>
  <c r="C80" i="8"/>
  <c r="C74" i="8"/>
  <c r="C103" i="8"/>
  <c r="C97" i="8"/>
  <c r="C91" i="8"/>
  <c r="C85" i="8"/>
  <c r="H14" i="8" s="1"/>
  <c r="C79" i="8"/>
  <c r="C73" i="8"/>
  <c r="C102" i="8"/>
  <c r="C96" i="8"/>
  <c r="C90" i="8"/>
  <c r="C84" i="8"/>
  <c r="C78" i="8"/>
  <c r="H13" i="8" s="1"/>
  <c r="C72" i="8"/>
  <c r="C101" i="8"/>
  <c r="C95" i="8"/>
  <c r="C89" i="8"/>
  <c r="C83" i="8"/>
  <c r="C77" i="8"/>
  <c r="C106" i="8"/>
  <c r="H17" i="8" s="1"/>
  <c r="C100" i="8"/>
  <c r="C94" i="8"/>
  <c r="C88" i="8"/>
  <c r="C82" i="8"/>
  <c r="C76" i="8"/>
  <c r="B40" i="8"/>
  <c r="B46" i="8"/>
  <c r="B52" i="8"/>
  <c r="B58" i="8"/>
  <c r="B64" i="8"/>
  <c r="G11" i="8" s="1"/>
  <c r="B70" i="8"/>
  <c r="B41" i="8"/>
  <c r="B47" i="8"/>
  <c r="B53" i="8"/>
  <c r="B59" i="8"/>
  <c r="B65" i="8"/>
  <c r="B71" i="8"/>
  <c r="G12" i="8" s="1"/>
  <c r="B42" i="8"/>
  <c r="B48" i="8"/>
  <c r="B54" i="8"/>
  <c r="B60" i="8"/>
  <c r="B66" i="8"/>
  <c r="B37" i="8"/>
  <c r="B43" i="8"/>
  <c r="G8" i="8" s="1"/>
  <c r="I8" i="8" s="1"/>
  <c r="B49" i="8"/>
  <c r="B55" i="8"/>
  <c r="B61" i="8"/>
  <c r="B67" i="8"/>
  <c r="B38" i="8"/>
  <c r="B44" i="8"/>
  <c r="B50" i="8"/>
  <c r="G9" i="8" s="1"/>
  <c r="B56" i="8"/>
  <c r="B62" i="8"/>
  <c r="B68" i="8"/>
  <c r="B39" i="8"/>
  <c r="B45" i="8"/>
  <c r="B51" i="8"/>
  <c r="B57" i="8"/>
  <c r="G10" i="8" s="1"/>
  <c r="I10" i="8" s="1"/>
  <c r="B63" i="8"/>
  <c r="B69" i="8"/>
  <c r="C39" i="8"/>
  <c r="C45" i="8"/>
  <c r="C51" i="8"/>
  <c r="C57" i="8"/>
  <c r="H10" i="8" s="1"/>
  <c r="C63" i="8"/>
  <c r="C69" i="8"/>
  <c r="C40" i="8"/>
  <c r="C46" i="8"/>
  <c r="C52" i="8"/>
  <c r="C58" i="8"/>
  <c r="C64" i="8"/>
  <c r="H11" i="8" s="1"/>
  <c r="C70" i="8"/>
  <c r="C41" i="8"/>
  <c r="C47" i="8"/>
  <c r="C53" i="8"/>
  <c r="C59" i="8"/>
  <c r="C65" i="8"/>
  <c r="C71" i="8"/>
  <c r="H12" i="8" s="1"/>
  <c r="C37" i="8"/>
  <c r="C42" i="8"/>
  <c r="C48" i="8"/>
  <c r="C54" i="8"/>
  <c r="C60" i="8"/>
  <c r="C66" i="8"/>
  <c r="C43" i="8"/>
  <c r="H8" i="8" s="1"/>
  <c r="C49" i="8"/>
  <c r="C55" i="8"/>
  <c r="C61" i="8"/>
  <c r="C67" i="8"/>
  <c r="C38" i="8"/>
  <c r="C44" i="8"/>
  <c r="C50" i="8"/>
  <c r="H9" i="8" s="1"/>
  <c r="C56" i="8"/>
  <c r="C62" i="8"/>
  <c r="C68" i="8"/>
  <c r="B106" i="8"/>
  <c r="G17" i="8" s="1"/>
  <c r="B100" i="8"/>
  <c r="B94" i="8"/>
  <c r="B88" i="8"/>
  <c r="B82" i="8"/>
  <c r="B76" i="8"/>
  <c r="B105" i="8"/>
  <c r="B99" i="8"/>
  <c r="G16" i="8" s="1"/>
  <c r="I16" i="8" s="1"/>
  <c r="B93" i="8"/>
  <c r="B87" i="8"/>
  <c r="B81" i="8"/>
  <c r="B75" i="8"/>
  <c r="B104" i="8"/>
  <c r="B98" i="8"/>
  <c r="B92" i="8"/>
  <c r="G15" i="8" s="1"/>
  <c r="B86" i="8"/>
  <c r="B80" i="8"/>
  <c r="B74" i="8"/>
  <c r="B103" i="8"/>
  <c r="B97" i="8"/>
  <c r="B91" i="8"/>
  <c r="B85" i="8"/>
  <c r="G14" i="8" s="1"/>
  <c r="B79" i="8"/>
  <c r="B73" i="8"/>
  <c r="B102" i="8"/>
  <c r="B96" i="8"/>
  <c r="B90" i="8"/>
  <c r="B84" i="8"/>
  <c r="B78" i="8"/>
  <c r="G13" i="8" s="1"/>
  <c r="I13" i="8" s="1"/>
  <c r="B72" i="8"/>
  <c r="B101" i="8"/>
  <c r="B95" i="8"/>
  <c r="B89" i="8"/>
  <c r="B83" i="8"/>
  <c r="B77" i="8"/>
  <c r="C4" i="7"/>
  <c r="K4" i="7" s="1"/>
  <c r="D4" i="7"/>
  <c r="M4" i="7" s="1"/>
  <c r="I14" i="8" l="1"/>
  <c r="I11" i="8"/>
  <c r="I15" i="8"/>
  <c r="I12" i="8"/>
  <c r="I9" i="8"/>
  <c r="I17" i="8"/>
  <c r="D5" i="7"/>
  <c r="M5" i="7" s="1"/>
  <c r="C5" i="7"/>
  <c r="K5" i="7" s="1"/>
  <c r="C10" i="7" l="1"/>
  <c r="D10" i="7"/>
  <c r="M6" i="7" l="1"/>
  <c r="K6" i="7"/>
  <c r="M10" i="7" l="1"/>
  <c r="K10" i="7"/>
  <c r="D11" i="7" l="1"/>
  <c r="M11" i="7" s="1"/>
  <c r="C11" i="7"/>
  <c r="K11" i="7" s="1"/>
  <c r="C7" i="7" l="1"/>
  <c r="K7" i="7" s="1"/>
  <c r="D7" i="7"/>
  <c r="M7" i="7" s="1"/>
  <c r="D8" i="7" l="1"/>
  <c r="M8" i="7" s="1"/>
  <c r="C8" i="7"/>
  <c r="K8" i="7" s="1"/>
  <c r="D9" i="7" l="1"/>
  <c r="M9" i="7" s="1"/>
  <c r="C27" i="7" s="1"/>
  <c r="C9" i="7"/>
  <c r="K9" i="7" s="1"/>
  <c r="C25" i="7" l="1"/>
  <c r="B26" i="7"/>
  <c r="B27" i="7"/>
  <c r="C26" i="7"/>
  <c r="C23" i="8" s="1"/>
  <c r="B21" i="8"/>
  <c r="C2" i="8"/>
  <c r="C14" i="8"/>
  <c r="C22" i="8"/>
  <c r="H5" i="8" s="1"/>
  <c r="C31" i="8"/>
  <c r="C3" i="8"/>
  <c r="C5" i="8"/>
  <c r="C15" i="8"/>
  <c r="H4" i="8" s="1"/>
  <c r="C7" i="8"/>
  <c r="C16" i="8"/>
  <c r="C24" i="8"/>
  <c r="C33" i="8"/>
  <c r="C9" i="8"/>
  <c r="C17" i="8"/>
  <c r="C25" i="8"/>
  <c r="C34" i="8"/>
  <c r="C8" i="8"/>
  <c r="C35" i="8"/>
  <c r="C29" i="8"/>
  <c r="H6" i="8" s="1"/>
  <c r="C11" i="8"/>
  <c r="C19" i="8"/>
  <c r="C27" i="8"/>
  <c r="C36" i="8"/>
  <c r="H7" i="8" s="1"/>
  <c r="C12" i="8"/>
  <c r="C20" i="8"/>
  <c r="C28" i="8"/>
  <c r="B19" i="8"/>
  <c r="B27" i="8"/>
  <c r="B36" i="8"/>
  <c r="G7" i="8" s="1"/>
  <c r="B12" i="8"/>
  <c r="B20" i="8"/>
  <c r="B28" i="8"/>
  <c r="B4" i="8"/>
  <c r="B13" i="8"/>
  <c r="B2" i="8"/>
  <c r="B14" i="8"/>
  <c r="B22" i="8"/>
  <c r="G5" i="8" s="1"/>
  <c r="B31" i="8"/>
  <c r="B6" i="8"/>
  <c r="G3" i="8" s="1"/>
  <c r="B5" i="8"/>
  <c r="B15" i="8"/>
  <c r="G4" i="8" s="1"/>
  <c r="B23" i="8"/>
  <c r="B32" i="8"/>
  <c r="B25" i="8"/>
  <c r="B8" i="8"/>
  <c r="B7" i="8"/>
  <c r="B24" i="8"/>
  <c r="B29" i="8"/>
  <c r="G6" i="8" s="1"/>
  <c r="B17" i="8"/>
  <c r="B34" i="8"/>
  <c r="B10" i="8"/>
  <c r="B18" i="8"/>
  <c r="B3" i="8" l="1"/>
  <c r="C30" i="8"/>
  <c r="C26" i="8"/>
  <c r="C4" i="8"/>
  <c r="B11" i="8"/>
  <c r="B9" i="8"/>
  <c r="B33" i="8"/>
  <c r="B30" i="8"/>
  <c r="C21" i="8"/>
  <c r="C18" i="8"/>
  <c r="C32" i="8"/>
  <c r="B35" i="8"/>
  <c r="B26" i="8"/>
  <c r="B16" i="8"/>
  <c r="C13" i="8"/>
  <c r="C10" i="8"/>
  <c r="C6" i="8"/>
  <c r="H3" i="8" s="1"/>
  <c r="I3" i="8" s="1"/>
  <c r="I6" i="8"/>
  <c r="I4" i="8"/>
  <c r="I7" i="8"/>
  <c r="I5" i="8"/>
  <c r="B107" i="8"/>
  <c r="C107" i="8"/>
  <c r="C108" i="8" l="1"/>
  <c r="B108" i="8"/>
  <c r="C109" i="8" l="1"/>
  <c r="B109"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Guest</author>
  </authors>
  <commentList>
    <comment ref="C33" authorId="0" shapeId="0" xr:uid="{00000000-0006-0000-0100-000001000000}">
      <text>
        <r>
          <rPr>
            <b/>
            <sz val="9"/>
            <color rgb="FF000000"/>
            <rFont val="Tahoma"/>
            <family val="2"/>
          </rPr>
          <t>Nate:</t>
        </r>
        <r>
          <rPr>
            <sz val="9"/>
            <color rgb="FF000000"/>
            <rFont val="Tahoma"/>
            <family val="2"/>
          </rPr>
          <t xml:space="preserve">
</t>
        </r>
        <r>
          <rPr>
            <sz val="9"/>
            <color rgb="FF000000"/>
            <rFont val="Tahoma"/>
            <family val="2"/>
          </rPr>
          <t xml:space="preserve">The Standard ID must match the Standard ID used above in the trey protocol.  For example, if you are using the Boulder Colorado Standard, and you labeled it "B" above, it must be labled "B" in this collum. </t>
        </r>
      </text>
    </comment>
  </commentList>
</comments>
</file>

<file path=xl/sharedStrings.xml><?xml version="1.0" encoding="utf-8"?>
<sst xmlns="http://schemas.openxmlformats.org/spreadsheetml/2006/main" count="5821" uniqueCount="1179">
  <si>
    <t xml:space="preserve">   d(18_16)_SD</t>
  </si>
  <si>
    <t xml:space="preserve">     d(D_H)_SD</t>
  </si>
  <si>
    <t xml:space="preserve">        H2O_SD</t>
  </si>
  <si>
    <t xml:space="preserve">   d(18_16)_Sl</t>
  </si>
  <si>
    <t xml:space="preserve">     d(D_H)_Sl</t>
  </si>
  <si>
    <t xml:space="preserve">        H2O_Sl</t>
  </si>
  <si>
    <t xml:space="preserve">      DAS Temp</t>
  </si>
  <si>
    <t xml:space="preserve">      Tray</t>
  </si>
  <si>
    <t xml:space="preserve">  Sample</t>
  </si>
  <si>
    <t xml:space="preserve">     Job</t>
  </si>
  <si>
    <t xml:space="preserve">    Method</t>
  </si>
  <si>
    <t xml:space="preserve">              </t>
  </si>
  <si>
    <t xml:space="preserve">        </t>
  </si>
  <si>
    <t xml:space="preserve">     </t>
  </si>
  <si>
    <t>Picarro ID</t>
  </si>
  <si>
    <t>d(18_16)</t>
  </si>
  <si>
    <t>d(D_H)</t>
  </si>
  <si>
    <t>Tray Position</t>
  </si>
  <si>
    <t>Sample ID</t>
  </si>
  <si>
    <t>Operator Name</t>
  </si>
  <si>
    <t>Sampling Loaction</t>
  </si>
  <si>
    <t>Sampling Date</t>
  </si>
  <si>
    <t xml:space="preserve">Project </t>
  </si>
  <si>
    <t>Notes</t>
  </si>
  <si>
    <t>#1</t>
  </si>
  <si>
    <t>#2</t>
  </si>
  <si>
    <t>#3</t>
  </si>
  <si>
    <t>#4</t>
  </si>
  <si>
    <t>#5</t>
  </si>
  <si>
    <t>#6</t>
  </si>
  <si>
    <t>#7</t>
  </si>
  <si>
    <t>#8</t>
  </si>
  <si>
    <t>#9</t>
  </si>
  <si>
    <t>#10</t>
  </si>
  <si>
    <t>#11</t>
  </si>
  <si>
    <t>#12</t>
  </si>
  <si>
    <t>Standard</t>
  </si>
  <si>
    <t>Standards</t>
  </si>
  <si>
    <t>Standard ID</t>
  </si>
  <si>
    <t xml:space="preserve"> Actual d(18_16)</t>
  </si>
  <si>
    <t>Actual d(D_H)</t>
  </si>
  <si>
    <t>Run Start Time</t>
  </si>
  <si>
    <t xml:space="preserve">  Line</t>
  </si>
  <si>
    <t xml:space="preserve">  Analysis</t>
  </si>
  <si>
    <t xml:space="preserve">             Time Code</t>
  </si>
  <si>
    <t xml:space="preserve">           Port</t>
  </si>
  <si>
    <t xml:space="preserve">  Inj Nr</t>
  </si>
  <si>
    <t xml:space="preserve">  d(18_16)Mean</t>
  </si>
  <si>
    <t xml:space="preserve">    d(D_H)Mean</t>
  </si>
  <si>
    <t xml:space="preserve">      H2O_Mean</t>
  </si>
  <si>
    <t xml:space="preserve">  Ignore</t>
  </si>
  <si>
    <t xml:space="preserve"> Good</t>
  </si>
  <si>
    <t xml:space="preserve">                            Identifier 1</t>
  </si>
  <si>
    <t xml:space="preserve">                            Identifier 2</t>
  </si>
  <si>
    <t xml:space="preserve">   Gas Configuration</t>
  </si>
  <si>
    <t xml:space="preserve">                                        </t>
  </si>
  <si>
    <t xml:space="preserve">                 H2O</t>
  </si>
  <si>
    <t>d18_16</t>
  </si>
  <si>
    <t>dH</t>
  </si>
  <si>
    <t>Measured</t>
  </si>
  <si>
    <t>Calibration</t>
  </si>
  <si>
    <t>Known Values</t>
  </si>
  <si>
    <t>measured</t>
  </si>
  <si>
    <t>known</t>
  </si>
  <si>
    <t>dD</t>
  </si>
  <si>
    <t xml:space="preserve">measured </t>
  </si>
  <si>
    <t>Slope</t>
  </si>
  <si>
    <t>Intercept</t>
  </si>
  <si>
    <t>R^2</t>
  </si>
  <si>
    <t>Count</t>
  </si>
  <si>
    <t>QC</t>
  </si>
  <si>
    <t>Actual</t>
  </si>
  <si>
    <t>Timestamp Mean</t>
  </si>
  <si>
    <t>baseline_shift</t>
  </si>
  <si>
    <t xml:space="preserve">   slope_shift</t>
  </si>
  <si>
    <t xml:space="preserve">     residuals</t>
  </si>
  <si>
    <t>baseline_curvature</t>
  </si>
  <si>
    <t xml:space="preserve">      interval</t>
  </si>
  <si>
    <t xml:space="preserve">       ch4_ppm</t>
  </si>
  <si>
    <t xml:space="preserve">  h16od_adjust</t>
  </si>
  <si>
    <t xml:space="preserve">   h16od_shift</t>
  </si>
  <si>
    <t>n2_flag</t>
  </si>
  <si>
    <t>Error Code</t>
  </si>
  <si>
    <t xml:space="preserve">           1-01</t>
  </si>
  <si>
    <t xml:space="preserve">   Picarro</t>
  </si>
  <si>
    <t xml:space="preserve">           1-02</t>
  </si>
  <si>
    <t xml:space="preserve">           1-03</t>
  </si>
  <si>
    <t xml:space="preserve">           1-04</t>
  </si>
  <si>
    <t xml:space="preserve">           1-05</t>
  </si>
  <si>
    <t xml:space="preserve">           1-06</t>
  </si>
  <si>
    <t xml:space="preserve">           1-07</t>
  </si>
  <si>
    <t xml:space="preserve">           1-08</t>
  </si>
  <si>
    <t xml:space="preserve">           1-09</t>
  </si>
  <si>
    <t xml:space="preserve">           1-10</t>
  </si>
  <si>
    <t xml:space="preserve">           1-11</t>
  </si>
  <si>
    <t xml:space="preserve">           1-12</t>
  </si>
  <si>
    <t xml:space="preserve">           1-13</t>
  </si>
  <si>
    <t xml:space="preserve">           1-14</t>
  </si>
  <si>
    <t xml:space="preserve">           1-15</t>
  </si>
  <si>
    <t xml:space="preserve">           1-16</t>
  </si>
  <si>
    <t xml:space="preserve">           1-17</t>
  </si>
  <si>
    <t xml:space="preserve">           1-18</t>
  </si>
  <si>
    <t xml:space="preserve">           1-19</t>
  </si>
  <si>
    <t xml:space="preserve">           1-20</t>
  </si>
  <si>
    <t xml:space="preserve">           1-21</t>
  </si>
  <si>
    <t xml:space="preserve">           1-22</t>
  </si>
  <si>
    <t xml:space="preserve">           1-23</t>
  </si>
  <si>
    <t xml:space="preserve">           1-24</t>
  </si>
  <si>
    <t xml:space="preserve">           1-25</t>
  </si>
  <si>
    <t xml:space="preserve">           1-26</t>
  </si>
  <si>
    <t xml:space="preserve">           1-27</t>
  </si>
  <si>
    <t xml:space="preserve">           1-28</t>
  </si>
  <si>
    <t xml:space="preserve">           1-29</t>
  </si>
  <si>
    <t xml:space="preserve">           1-30</t>
  </si>
  <si>
    <t xml:space="preserve">           1-31</t>
  </si>
  <si>
    <t xml:space="preserve">           1-32</t>
  </si>
  <si>
    <t xml:space="preserve">           1-33</t>
  </si>
  <si>
    <t xml:space="preserve">           1-34</t>
  </si>
  <si>
    <t xml:space="preserve">           1-35</t>
  </si>
  <si>
    <t>Sipsey</t>
  </si>
  <si>
    <t>Iceland</t>
  </si>
  <si>
    <t>Ouachita</t>
  </si>
  <si>
    <t>Calibration Results</t>
  </si>
  <si>
    <t>Summer 2021</t>
  </si>
  <si>
    <t>WAIS_SFM01_1_RAW_672021</t>
  </si>
  <si>
    <t>WAIS_04M02_1_RAW_672021</t>
  </si>
  <si>
    <t>WAIS_04M09_1_RAW_672021</t>
  </si>
  <si>
    <t>WAIS_04M05_1_RAW_672021</t>
  </si>
  <si>
    <t>TRAY</t>
  </si>
  <si>
    <t xml:space="preserve">     P-273</t>
  </si>
  <si>
    <t xml:space="preserve">   2022/01/28 13:41:38</t>
  </si>
  <si>
    <t xml:space="preserve">           1-36</t>
  </si>
  <si>
    <t xml:space="preserve">   2022/01/28 13:50:34</t>
  </si>
  <si>
    <t xml:space="preserve">   2022/01/28 13:59:31</t>
  </si>
  <si>
    <t xml:space="preserve">   2022/01/28 14:08:27</t>
  </si>
  <si>
    <t xml:space="preserve">   2022/01/28 14:17:24</t>
  </si>
  <si>
    <t xml:space="preserve">   2022/01/28 14:26:21</t>
  </si>
  <si>
    <t xml:space="preserve">     P-238</t>
  </si>
  <si>
    <t xml:space="preserve">   2022/01/26 18:16:52</t>
  </si>
  <si>
    <t xml:space="preserve">   2022/01/26 18:25:50</t>
  </si>
  <si>
    <t xml:space="preserve">   2022/01/26 18:34:47</t>
  </si>
  <si>
    <t xml:space="preserve">   2022/01/26 18:43:45</t>
  </si>
  <si>
    <t xml:space="preserve">   2022/01/26 18:52:42</t>
  </si>
  <si>
    <t xml:space="preserve">   2022/01/26 19:01:39</t>
  </si>
  <si>
    <t xml:space="preserve">   2022/01/26 19:10:37</t>
  </si>
  <si>
    <t xml:space="preserve">   2022/01/26 19:19:35</t>
  </si>
  <si>
    <t xml:space="preserve">   2022/01/26 19:28:32</t>
  </si>
  <si>
    <t xml:space="preserve">   2022/01/26 19:37:30</t>
  </si>
  <si>
    <t xml:space="preserve">   2022/01/26 19:46:27</t>
  </si>
  <si>
    <t xml:space="preserve">   2022/01/26 19:55:24</t>
  </si>
  <si>
    <t xml:space="preserve">   2022/01/26 20:04:21</t>
  </si>
  <si>
    <t xml:space="preserve">   2022/01/26 20:13:19</t>
  </si>
  <si>
    <t xml:space="preserve">   2022/01/26 20:22:16</t>
  </si>
  <si>
    <t xml:space="preserve">     P-239</t>
  </si>
  <si>
    <t xml:space="preserve">   2022/01/26 20:31:14</t>
  </si>
  <si>
    <t xml:space="preserve">   2022/01/26 20:40:10</t>
  </si>
  <si>
    <t xml:space="preserve">   2022/01/26 20:49:07</t>
  </si>
  <si>
    <t xml:space="preserve">   2022/01/26 20:58:04</t>
  </si>
  <si>
    <t xml:space="preserve">   2022/01/26 21:07:02</t>
  </si>
  <si>
    <t xml:space="preserve">   2022/01/26 21:16:00</t>
  </si>
  <si>
    <t xml:space="preserve">   2022/01/26 21:24:57</t>
  </si>
  <si>
    <t xml:space="preserve">   2022/01/26 21:33:54</t>
  </si>
  <si>
    <t xml:space="preserve">   2022/01/26 21:42:52</t>
  </si>
  <si>
    <t xml:space="preserve">   2022/01/26 21:51:49</t>
  </si>
  <si>
    <t xml:space="preserve">   2022/01/26 22:00:46</t>
  </si>
  <si>
    <t xml:space="preserve">   2022/01/26 22:09:44</t>
  </si>
  <si>
    <t xml:space="preserve">   2022/01/26 22:18:40</t>
  </si>
  <si>
    <t xml:space="preserve">   2022/01/26 22:27:36</t>
  </si>
  <si>
    <t xml:space="preserve">   2022/01/26 22:36:33</t>
  </si>
  <si>
    <t xml:space="preserve">     P-240</t>
  </si>
  <si>
    <t xml:space="preserve">   2022/01/26 22:45:30</t>
  </si>
  <si>
    <t xml:space="preserve">   2022/01/26 22:54:27</t>
  </si>
  <si>
    <t xml:space="preserve">   2022/01/26 23:03:24</t>
  </si>
  <si>
    <t xml:space="preserve">   2022/01/26 23:12:21</t>
  </si>
  <si>
    <t xml:space="preserve">   2022/01/26 23:21:18</t>
  </si>
  <si>
    <t xml:space="preserve">   2022/01/26 23:30:16</t>
  </si>
  <si>
    <t xml:space="preserve">   2022/01/26 23:39:13</t>
  </si>
  <si>
    <t xml:space="preserve">   2022/01/26 23:48:11</t>
  </si>
  <si>
    <t xml:space="preserve">   2022/01/26 23:57:08</t>
  </si>
  <si>
    <t xml:space="preserve">   2022/01/27 00:06:05</t>
  </si>
  <si>
    <t xml:space="preserve">   2022/01/27 00:15:02</t>
  </si>
  <si>
    <t xml:space="preserve">   2022/01/27 00:23:59</t>
  </si>
  <si>
    <t xml:space="preserve">   2022/01/27 00:32:56</t>
  </si>
  <si>
    <t xml:space="preserve">   2022/01/27 00:41:53</t>
  </si>
  <si>
    <t xml:space="preserve">   2022/01/27 00:50:50</t>
  </si>
  <si>
    <t xml:space="preserve">     P-241</t>
  </si>
  <si>
    <t xml:space="preserve">   2022/01/27 00:59:47</t>
  </si>
  <si>
    <t xml:space="preserve">   2022/01/27 01:08:44</t>
  </si>
  <si>
    <t xml:space="preserve">   2022/01/27 01:17:41</t>
  </si>
  <si>
    <t xml:space="preserve">   2022/01/27 01:26:38</t>
  </si>
  <si>
    <t xml:space="preserve">   2022/01/27 01:35:36</t>
  </si>
  <si>
    <t xml:space="preserve">   2022/01/27 01:44:33</t>
  </si>
  <si>
    <t xml:space="preserve">   2022/01/27 01:53:31</t>
  </si>
  <si>
    <t xml:space="preserve">   2022/01/27 02:02:28</t>
  </si>
  <si>
    <t xml:space="preserve">   2022/01/27 02:11:24</t>
  </si>
  <si>
    <t xml:space="preserve">   2022/01/27 02:20:22</t>
  </si>
  <si>
    <t xml:space="preserve">   2022/01/27 02:29:19</t>
  </si>
  <si>
    <t xml:space="preserve">   2022/01/27 02:38:16</t>
  </si>
  <si>
    <t xml:space="preserve">   2022/01/27 02:47:13</t>
  </si>
  <si>
    <t xml:space="preserve">   2022/01/27 02:56:11</t>
  </si>
  <si>
    <t xml:space="preserve">   2022/01/27 03:05:08</t>
  </si>
  <si>
    <t xml:space="preserve">     P-242</t>
  </si>
  <si>
    <t xml:space="preserve">   2022/01/27 03:14:05</t>
  </si>
  <si>
    <t xml:space="preserve">   2022/01/27 03:23:03</t>
  </si>
  <si>
    <t xml:space="preserve">   2022/01/27 03:32:01</t>
  </si>
  <si>
    <t xml:space="preserve">   2022/01/27 03:40:57</t>
  </si>
  <si>
    <t xml:space="preserve">   2022/01/27 03:49:55</t>
  </si>
  <si>
    <t xml:space="preserve">   2022/01/27 03:58:53</t>
  </si>
  <si>
    <t xml:space="preserve">   2022/01/27 04:07:50</t>
  </si>
  <si>
    <t xml:space="preserve">   2022/01/27 04:16:48</t>
  </si>
  <si>
    <t xml:space="preserve">   2022/01/27 04:25:46</t>
  </si>
  <si>
    <t xml:space="preserve">   2022/01/27 04:34:42</t>
  </si>
  <si>
    <t xml:space="preserve">   2022/01/27 04:43:40</t>
  </si>
  <si>
    <t xml:space="preserve">   2022/01/27 04:52:37</t>
  </si>
  <si>
    <t xml:space="preserve">   2022/01/27 05:01:35</t>
  </si>
  <si>
    <t xml:space="preserve">   2022/01/27 05:10:33</t>
  </si>
  <si>
    <t xml:space="preserve">   2022/01/27 05:19:30</t>
  </si>
  <si>
    <t xml:space="preserve">     P-243</t>
  </si>
  <si>
    <t xml:space="preserve">   2022/01/27 05:28:27</t>
  </si>
  <si>
    <t xml:space="preserve">   2022/01/27 05:37:25</t>
  </si>
  <si>
    <t xml:space="preserve">   2022/01/27 05:46:22</t>
  </si>
  <si>
    <t xml:space="preserve">   2022/01/27 05:55:20</t>
  </si>
  <si>
    <t xml:space="preserve">   2022/01/27 06:04:17</t>
  </si>
  <si>
    <t xml:space="preserve">   2022/01/27 06:13:14</t>
  </si>
  <si>
    <t xml:space="preserve">     P-244</t>
  </si>
  <si>
    <t xml:space="preserve">   2022/01/27 06:22:12</t>
  </si>
  <si>
    <t xml:space="preserve">   2022/01/27 06:31:09</t>
  </si>
  <si>
    <t xml:space="preserve">   2022/01/27 06:40:07</t>
  </si>
  <si>
    <t xml:space="preserve">   2022/01/27 06:49:03</t>
  </si>
  <si>
    <t xml:space="preserve">   2022/01/27 06:58:00</t>
  </si>
  <si>
    <t xml:space="preserve">   2022/01/27 07:06:58</t>
  </si>
  <si>
    <t xml:space="preserve">     P-245</t>
  </si>
  <si>
    <t xml:space="preserve">   2022/01/27 07:15:55</t>
  </si>
  <si>
    <t xml:space="preserve">   2022/01/27 07:24:52</t>
  </si>
  <si>
    <t xml:space="preserve">   2022/01/27 07:33:48</t>
  </si>
  <si>
    <t xml:space="preserve">   2022/01/27 07:42:46</t>
  </si>
  <si>
    <t xml:space="preserve">   2022/01/27 07:51:43</t>
  </si>
  <si>
    <t xml:space="preserve">   2022/01/27 08:00:41</t>
  </si>
  <si>
    <t xml:space="preserve">     P-246</t>
  </si>
  <si>
    <t xml:space="preserve">   2022/01/27 08:09:38</t>
  </si>
  <si>
    <t xml:space="preserve">   2022/01/27 08:18:36</t>
  </si>
  <si>
    <t xml:space="preserve">   2022/01/27 08:27:32</t>
  </si>
  <si>
    <t xml:space="preserve">   2022/01/27 08:36:30</t>
  </si>
  <si>
    <t xml:space="preserve">   2022/01/27 08:45:27</t>
  </si>
  <si>
    <t xml:space="preserve">   2022/01/27 08:54:25</t>
  </si>
  <si>
    <t xml:space="preserve">     P-247</t>
  </si>
  <si>
    <t xml:space="preserve">   2022/01/27 09:03:22</t>
  </si>
  <si>
    <t xml:space="preserve">   2022/01/27 09:12:19</t>
  </si>
  <si>
    <t xml:space="preserve">   2022/01/27 09:21:16</t>
  </si>
  <si>
    <t xml:space="preserve">   2022/01/27 09:30:13</t>
  </si>
  <si>
    <t xml:space="preserve">   2022/01/27 09:39:09</t>
  </si>
  <si>
    <t xml:space="preserve">   2022/01/27 09:48:06</t>
  </si>
  <si>
    <t xml:space="preserve">     P-248</t>
  </si>
  <si>
    <t xml:space="preserve">   2022/01/27 09:57:03</t>
  </si>
  <si>
    <t xml:space="preserve">   2022/01/27 10:06:01</t>
  </si>
  <si>
    <t xml:space="preserve">   2022/01/27 10:14:57</t>
  </si>
  <si>
    <t xml:space="preserve">   2022/01/27 10:23:55</t>
  </si>
  <si>
    <t xml:space="preserve">   2022/01/27 10:32:52</t>
  </si>
  <si>
    <t xml:space="preserve">   2022/01/27 10:41:50</t>
  </si>
  <si>
    <t xml:space="preserve">     P-249</t>
  </si>
  <si>
    <t xml:space="preserve">   2022/01/27 10:50:46</t>
  </si>
  <si>
    <t xml:space="preserve">   2022/01/27 10:59:44</t>
  </si>
  <si>
    <t xml:space="preserve">   2022/01/27 11:08:41</t>
  </si>
  <si>
    <t xml:space="preserve">   2022/01/27 11:17:38</t>
  </si>
  <si>
    <t xml:space="preserve">   2022/01/27 11:26:35</t>
  </si>
  <si>
    <t xml:space="preserve">   2022/01/27 11:35:32</t>
  </si>
  <si>
    <t xml:space="preserve">     P-250</t>
  </si>
  <si>
    <t xml:space="preserve">   2022/01/27 11:44:29</t>
  </si>
  <si>
    <t xml:space="preserve">   2022/01/27 11:53:26</t>
  </si>
  <si>
    <t xml:space="preserve">   2022/01/27 12:02:23</t>
  </si>
  <si>
    <t xml:space="preserve">   2022/01/27 12:11:20</t>
  </si>
  <si>
    <t xml:space="preserve">   2022/01/27 12:20:17</t>
  </si>
  <si>
    <t xml:space="preserve">   2022/01/27 12:29:14</t>
  </si>
  <si>
    <t xml:space="preserve">     P-251</t>
  </si>
  <si>
    <t xml:space="preserve">   2022/01/27 12:38:11</t>
  </si>
  <si>
    <t xml:space="preserve">   2022/01/27 12:47:09</t>
  </si>
  <si>
    <t xml:space="preserve">   2022/01/27 12:56:06</t>
  </si>
  <si>
    <t xml:space="preserve">   2022/01/27 13:05:03</t>
  </si>
  <si>
    <t xml:space="preserve">   2022/01/27 13:14:00</t>
  </si>
  <si>
    <t xml:space="preserve">   2022/01/27 13:22:56</t>
  </si>
  <si>
    <t xml:space="preserve">     P-252</t>
  </si>
  <si>
    <t xml:space="preserve">   2022/01/27 13:31:53</t>
  </si>
  <si>
    <t xml:space="preserve">   2022/01/27 13:40:50</t>
  </si>
  <si>
    <t xml:space="preserve">   2022/01/27 13:49:47</t>
  </si>
  <si>
    <t xml:space="preserve">   2022/01/27 13:58:44</t>
  </si>
  <si>
    <t xml:space="preserve">   2022/01/27 14:07:41</t>
  </si>
  <si>
    <t xml:space="preserve">   2022/01/27 14:16:38</t>
  </si>
  <si>
    <t xml:space="preserve">     P-253</t>
  </si>
  <si>
    <t xml:space="preserve">   2022/01/27 14:25:35</t>
  </si>
  <si>
    <t xml:space="preserve">   2022/01/27 14:34:32</t>
  </si>
  <si>
    <t xml:space="preserve">   2022/01/27 14:43:29</t>
  </si>
  <si>
    <t xml:space="preserve">   2022/01/27 14:52:25</t>
  </si>
  <si>
    <t xml:space="preserve">   2022/01/27 15:01:22</t>
  </si>
  <si>
    <t xml:space="preserve">   2022/01/27 15:10:19</t>
  </si>
  <si>
    <t xml:space="preserve">     P-254</t>
  </si>
  <si>
    <t xml:space="preserve">   2022/01/27 15:19:16</t>
  </si>
  <si>
    <t xml:space="preserve">   2022/01/27 15:28:14</t>
  </si>
  <si>
    <t xml:space="preserve">   2022/01/27 15:37:11</t>
  </si>
  <si>
    <t xml:space="preserve">   2022/01/27 15:46:09</t>
  </si>
  <si>
    <t xml:space="preserve">   2022/01/27 15:55:06</t>
  </si>
  <si>
    <t xml:space="preserve">   2022/01/27 16:04:03</t>
  </si>
  <si>
    <t xml:space="preserve">     P-255</t>
  </si>
  <si>
    <t xml:space="preserve">   2022/01/27 16:13:00</t>
  </si>
  <si>
    <t xml:space="preserve">   2022/01/27 16:21:56</t>
  </si>
  <si>
    <t xml:space="preserve">   2022/01/27 16:30:54</t>
  </si>
  <si>
    <t xml:space="preserve">   2022/01/27 16:39:50</t>
  </si>
  <si>
    <t xml:space="preserve">   2022/01/27 16:48:48</t>
  </si>
  <si>
    <t xml:space="preserve">   2022/01/27 16:57:45</t>
  </si>
  <si>
    <t xml:space="preserve">     P-256</t>
  </si>
  <si>
    <t xml:space="preserve">   2022/01/27 17:06:43</t>
  </si>
  <si>
    <t xml:space="preserve">   2022/01/27 17:15:41</t>
  </si>
  <si>
    <t xml:space="preserve">   2022/01/27 17:24:38</t>
  </si>
  <si>
    <t xml:space="preserve">   2022/01/27 17:33:35</t>
  </si>
  <si>
    <t xml:space="preserve">   2022/01/27 17:42:33</t>
  </si>
  <si>
    <t xml:space="preserve">   2022/01/27 17:51:30</t>
  </si>
  <si>
    <t xml:space="preserve">     P-257</t>
  </si>
  <si>
    <t xml:space="preserve">   2022/01/27 18:00:27</t>
  </si>
  <si>
    <t xml:space="preserve">   2022/01/27 18:09:25</t>
  </si>
  <si>
    <t xml:space="preserve">   2022/01/27 18:18:22</t>
  </si>
  <si>
    <t xml:space="preserve">   2022/01/27 18:27:19</t>
  </si>
  <si>
    <t xml:space="preserve">   2022/01/27 18:36:16</t>
  </si>
  <si>
    <t xml:space="preserve">   2022/01/27 18:45:13</t>
  </si>
  <si>
    <t xml:space="preserve">     P-258</t>
  </si>
  <si>
    <t xml:space="preserve">   2022/01/27 18:54:10</t>
  </si>
  <si>
    <t xml:space="preserve">   2022/01/27 19:03:07</t>
  </si>
  <si>
    <t xml:space="preserve">   2022/01/27 19:12:04</t>
  </si>
  <si>
    <t xml:space="preserve">   2022/01/27 19:21:00</t>
  </si>
  <si>
    <t xml:space="preserve">   2022/01/27 19:29:57</t>
  </si>
  <si>
    <t xml:space="preserve">   2022/01/27 19:38:54</t>
  </si>
  <si>
    <t xml:space="preserve">     P-259</t>
  </si>
  <si>
    <t xml:space="preserve">   2022/01/27 19:47:51</t>
  </si>
  <si>
    <t xml:space="preserve">   2022/01/27 19:56:48</t>
  </si>
  <si>
    <t xml:space="preserve">   2022/01/27 20:05:44</t>
  </si>
  <si>
    <t xml:space="preserve">   2022/01/27 20:14:41</t>
  </si>
  <si>
    <t xml:space="preserve">   2022/01/27 20:23:39</t>
  </si>
  <si>
    <t xml:space="preserve">   2022/01/27 20:32:35</t>
  </si>
  <si>
    <t xml:space="preserve">     P-260</t>
  </si>
  <si>
    <t xml:space="preserve">   2022/01/27 20:41:32</t>
  </si>
  <si>
    <t xml:space="preserve">   2022/01/27 20:50:29</t>
  </si>
  <si>
    <t xml:space="preserve">   2022/01/27 20:59:26</t>
  </si>
  <si>
    <t xml:space="preserve">   2022/01/27 21:08:24</t>
  </si>
  <si>
    <t xml:space="preserve">   2022/01/27 21:17:21</t>
  </si>
  <si>
    <t xml:space="preserve">   2022/01/27 21:26:18</t>
  </si>
  <si>
    <t xml:space="preserve">     P-261</t>
  </si>
  <si>
    <t xml:space="preserve">   2022/01/27 21:35:14</t>
  </si>
  <si>
    <t xml:space="preserve">   2022/01/27 21:44:12</t>
  </si>
  <si>
    <t xml:space="preserve">   2022/01/27 21:53:08</t>
  </si>
  <si>
    <t xml:space="preserve">   2022/01/27 22:02:06</t>
  </si>
  <si>
    <t xml:space="preserve">   2022/01/27 22:11:03</t>
  </si>
  <si>
    <t xml:space="preserve">   2022/01/27 22:19:59</t>
  </si>
  <si>
    <t xml:space="preserve">     P-262</t>
  </si>
  <si>
    <t xml:space="preserve">   2022/01/27 22:28:57</t>
  </si>
  <si>
    <t xml:space="preserve">   2022/01/27 22:37:54</t>
  </si>
  <si>
    <t xml:space="preserve">   2022/01/27 22:46:50</t>
  </si>
  <si>
    <t xml:space="preserve">   2022/01/27 22:55:48</t>
  </si>
  <si>
    <t xml:space="preserve">   2022/01/27 23:04:45</t>
  </si>
  <si>
    <t xml:space="preserve">   2022/01/27 23:13:41</t>
  </si>
  <si>
    <t xml:space="preserve">     P-263</t>
  </si>
  <si>
    <t xml:space="preserve">   2022/01/27 23:22:38</t>
  </si>
  <si>
    <t xml:space="preserve">   2022/01/27 23:31:35</t>
  </si>
  <si>
    <t xml:space="preserve">   2022/01/27 23:40:32</t>
  </si>
  <si>
    <t xml:space="preserve">   2022/01/27 23:49:29</t>
  </si>
  <si>
    <t xml:space="preserve">   2022/01/27 23:58:26</t>
  </si>
  <si>
    <t xml:space="preserve">   2022/01/28 00:07:24</t>
  </si>
  <si>
    <t xml:space="preserve">     P-264</t>
  </si>
  <si>
    <t xml:space="preserve">   2022/01/28 00:16:21</t>
  </si>
  <si>
    <t xml:space="preserve">   2022/01/28 00:25:17</t>
  </si>
  <si>
    <t xml:space="preserve">   2022/01/28 00:34:15</t>
  </si>
  <si>
    <t xml:space="preserve">   2022/01/28 00:43:12</t>
  </si>
  <si>
    <t xml:space="preserve">   2022/01/28 00:52:09</t>
  </si>
  <si>
    <t xml:space="preserve">   2022/01/28 01:01:06</t>
  </si>
  <si>
    <t xml:space="preserve">     P-265</t>
  </si>
  <si>
    <t xml:space="preserve">   2022/01/28 01:10:04</t>
  </si>
  <si>
    <t xml:space="preserve">   2022/01/28 01:19:00</t>
  </si>
  <si>
    <t xml:space="preserve">   2022/01/28 01:27:58</t>
  </si>
  <si>
    <t xml:space="preserve">   2022/01/28 01:36:54</t>
  </si>
  <si>
    <t xml:space="preserve">   2022/01/28 01:45:52</t>
  </si>
  <si>
    <t xml:space="preserve">   2022/01/28 01:54:49</t>
  </si>
  <si>
    <t xml:space="preserve">     P-266</t>
  </si>
  <si>
    <t xml:space="preserve">   2022/01/28 02:03:46</t>
  </si>
  <si>
    <t xml:space="preserve">   2022/01/28 02:12:42</t>
  </si>
  <si>
    <t xml:space="preserve">   2022/01/28 02:21:39</t>
  </si>
  <si>
    <t xml:space="preserve">   2022/01/28 02:30:36</t>
  </si>
  <si>
    <t xml:space="preserve">   2022/01/28 02:39:33</t>
  </si>
  <si>
    <t xml:space="preserve">   2022/01/28 02:48:30</t>
  </si>
  <si>
    <t xml:space="preserve">     P-267</t>
  </si>
  <si>
    <t xml:space="preserve">   2022/01/28 02:57:27</t>
  </si>
  <si>
    <t xml:space="preserve">   2022/01/28 03:06:24</t>
  </si>
  <si>
    <t xml:space="preserve">   2022/01/28 03:15:21</t>
  </si>
  <si>
    <t xml:space="preserve">   2022/01/28 03:24:18</t>
  </si>
  <si>
    <t xml:space="preserve">   2022/01/28 03:33:14</t>
  </si>
  <si>
    <t xml:space="preserve">   2022/01/28 03:42:11</t>
  </si>
  <si>
    <t xml:space="preserve">     P-268</t>
  </si>
  <si>
    <t xml:space="preserve">   2022/01/28 03:51:07</t>
  </si>
  <si>
    <t xml:space="preserve">   2022/01/28 04:00:04</t>
  </si>
  <si>
    <t xml:space="preserve">   2022/01/28 04:09:01</t>
  </si>
  <si>
    <t xml:space="preserve">   2022/01/28 04:17:58</t>
  </si>
  <si>
    <t xml:space="preserve">   2022/01/28 04:26:55</t>
  </si>
  <si>
    <t xml:space="preserve">   2022/01/28 04:35:53</t>
  </si>
  <si>
    <t xml:space="preserve">     P-269</t>
  </si>
  <si>
    <t xml:space="preserve">   2022/01/28 04:44:50</t>
  </si>
  <si>
    <t xml:space="preserve">   2022/01/28 04:53:47</t>
  </si>
  <si>
    <t xml:space="preserve">   2022/01/28 05:02:44</t>
  </si>
  <si>
    <t xml:space="preserve">   2022/01/28 05:11:41</t>
  </si>
  <si>
    <t xml:space="preserve">   2022/01/28 05:20:39</t>
  </si>
  <si>
    <t xml:space="preserve">   2022/01/28 05:29:35</t>
  </si>
  <si>
    <t xml:space="preserve">   2022/01/28 05:38:32</t>
  </si>
  <si>
    <t xml:space="preserve">   2022/01/28 05:47:29</t>
  </si>
  <si>
    <t xml:space="preserve">   2022/01/28 05:56:26</t>
  </si>
  <si>
    <t xml:space="preserve">   2022/01/28 06:05:23</t>
  </si>
  <si>
    <t xml:space="preserve">   2022/01/28 06:14:21</t>
  </si>
  <si>
    <t xml:space="preserve">   2022/01/28 06:23:18</t>
  </si>
  <si>
    <t xml:space="preserve">   2022/01/28 06:32:15</t>
  </si>
  <si>
    <t xml:space="preserve">   2022/01/28 06:41:12</t>
  </si>
  <si>
    <t xml:space="preserve">   2022/01/28 06:50:08</t>
  </si>
  <si>
    <t xml:space="preserve">     P-270</t>
  </si>
  <si>
    <t xml:space="preserve">   2022/01/28 06:59:05</t>
  </si>
  <si>
    <t xml:space="preserve">   2022/01/28 07:08:02</t>
  </si>
  <si>
    <t xml:space="preserve">   2022/01/28 07:16:58</t>
  </si>
  <si>
    <t xml:space="preserve">   2022/01/28 07:25:55</t>
  </si>
  <si>
    <t xml:space="preserve">   2022/01/28 07:34:51</t>
  </si>
  <si>
    <t xml:space="preserve">   2022/01/28 07:43:49</t>
  </si>
  <si>
    <t xml:space="preserve">   2022/01/28 07:52:45</t>
  </si>
  <si>
    <t xml:space="preserve">   2022/01/28 08:01:41</t>
  </si>
  <si>
    <t xml:space="preserve">   2022/01/28 08:10:38</t>
  </si>
  <si>
    <t xml:space="preserve">   2022/01/28 08:19:35</t>
  </si>
  <si>
    <t xml:space="preserve">   2022/01/28 08:28:32</t>
  </si>
  <si>
    <t xml:space="preserve">   2022/01/28 08:37:28</t>
  </si>
  <si>
    <t xml:space="preserve">   2022/01/28 08:46:25</t>
  </si>
  <si>
    <t xml:space="preserve">   2022/01/28 08:55:22</t>
  </si>
  <si>
    <t xml:space="preserve">   2022/01/28 09:04:19</t>
  </si>
  <si>
    <t xml:space="preserve">     P-271</t>
  </si>
  <si>
    <t xml:space="preserve">   2022/01/28 09:13:15</t>
  </si>
  <si>
    <t xml:space="preserve">   2022/01/28 09:22:12</t>
  </si>
  <si>
    <t xml:space="preserve">   2022/01/28 09:31:09</t>
  </si>
  <si>
    <t xml:space="preserve">   2022/01/28 09:40:05</t>
  </si>
  <si>
    <t xml:space="preserve">   2022/01/28 09:49:02</t>
  </si>
  <si>
    <t xml:space="preserve">   2022/01/28 09:57:59</t>
  </si>
  <si>
    <t xml:space="preserve">   2022/01/28 10:06:55</t>
  </si>
  <si>
    <t xml:space="preserve">   2022/01/28 10:15:52</t>
  </si>
  <si>
    <t xml:space="preserve">   2022/01/28 10:24:49</t>
  </si>
  <si>
    <t xml:space="preserve">   2022/01/28 10:33:45</t>
  </si>
  <si>
    <t xml:space="preserve">   2022/01/28 10:42:42</t>
  </si>
  <si>
    <t xml:space="preserve">   2022/01/28 10:51:38</t>
  </si>
  <si>
    <t xml:space="preserve">   2022/01/28 11:00:35</t>
  </si>
  <si>
    <t xml:space="preserve">   2022/01/28 11:09:32</t>
  </si>
  <si>
    <t xml:space="preserve">   2022/01/28 11:18:29</t>
  </si>
  <si>
    <t xml:space="preserve">     P-272</t>
  </si>
  <si>
    <t xml:space="preserve">   2022/01/28 11:27:26</t>
  </si>
  <si>
    <t xml:space="preserve">   2022/01/28 11:36:23</t>
  </si>
  <si>
    <t xml:space="preserve">   2022/01/28 11:45:19</t>
  </si>
  <si>
    <t xml:space="preserve">   2022/01/28 11:54:16</t>
  </si>
  <si>
    <t xml:space="preserve">   2022/01/28 12:03:13</t>
  </si>
  <si>
    <t xml:space="preserve">   2022/01/28 12:12:09</t>
  </si>
  <si>
    <t xml:space="preserve">   2022/01/28 12:21:06</t>
  </si>
  <si>
    <t xml:space="preserve">   2022/01/28 12:30:03</t>
  </si>
  <si>
    <t xml:space="preserve">   2022/01/28 12:39:00</t>
  </si>
  <si>
    <t xml:space="preserve">   2022/01/28 12:47:57</t>
  </si>
  <si>
    <t xml:space="preserve">   2022/01/28 12:56:53</t>
  </si>
  <si>
    <t xml:space="preserve">   2022/01/28 13:05:50</t>
  </si>
  <si>
    <t xml:space="preserve">   2022/01/28 13:14:47</t>
  </si>
  <si>
    <t xml:space="preserve">   2022/01/28 13:23:44</t>
  </si>
  <si>
    <t xml:space="preserve">   2022/01/28 13:32:41</t>
  </si>
  <si>
    <t xml:space="preserve">     P-274</t>
  </si>
  <si>
    <t xml:space="preserve">   2022/01/28 14:35:17</t>
  </si>
  <si>
    <t xml:space="preserve">           1-37</t>
  </si>
  <si>
    <t xml:space="preserve">   2022/01/28 14:44:14</t>
  </si>
  <si>
    <t xml:space="preserve">   2022/01/28 14:53:11</t>
  </si>
  <si>
    <t xml:space="preserve">   2022/01/28 15:02:07</t>
  </si>
  <si>
    <t xml:space="preserve">   2022/01/28 15:11:04</t>
  </si>
  <si>
    <t xml:space="preserve">   2022/01/28 15:20:01</t>
  </si>
  <si>
    <t xml:space="preserve">     P-275</t>
  </si>
  <si>
    <t xml:space="preserve">   2022/01/28 15:28:58</t>
  </si>
  <si>
    <t xml:space="preserve">           1-38</t>
  </si>
  <si>
    <t xml:space="preserve">   2022/01/28 15:37:55</t>
  </si>
  <si>
    <t xml:space="preserve">   2022/01/28 15:46:51</t>
  </si>
  <si>
    <t xml:space="preserve">   2022/01/28 15:55:48</t>
  </si>
  <si>
    <t xml:space="preserve">   2022/01/28 16:04:45</t>
  </si>
  <si>
    <t xml:space="preserve">   2022/01/28 16:13:42</t>
  </si>
  <si>
    <t xml:space="preserve">     P-276</t>
  </si>
  <si>
    <t xml:space="preserve">   2022/01/28 16:22:39</t>
  </si>
  <si>
    <t xml:space="preserve">           1-39</t>
  </si>
  <si>
    <t xml:space="preserve">   2022/01/28 16:31:37</t>
  </si>
  <si>
    <t xml:space="preserve">   2022/01/28 16:40:34</t>
  </si>
  <si>
    <t xml:space="preserve">   2022/01/28 16:49:31</t>
  </si>
  <si>
    <t xml:space="preserve">   2022/01/28 16:58:28</t>
  </si>
  <si>
    <t xml:space="preserve">   2022/01/28 17:07:25</t>
  </si>
  <si>
    <t xml:space="preserve">     P-277</t>
  </si>
  <si>
    <t xml:space="preserve">   2022/01/28 17:16:23</t>
  </si>
  <si>
    <t xml:space="preserve">           1-40</t>
  </si>
  <si>
    <t xml:space="preserve">   2022/01/28 17:25:20</t>
  </si>
  <si>
    <t xml:space="preserve">   2022/01/28 17:34:17</t>
  </si>
  <si>
    <t xml:space="preserve">   2022/01/28 17:43:14</t>
  </si>
  <si>
    <t xml:space="preserve">   2022/01/28 17:52:12</t>
  </si>
  <si>
    <t xml:space="preserve">   2022/01/28 18:01:09</t>
  </si>
  <si>
    <t xml:space="preserve">     P-278</t>
  </si>
  <si>
    <t xml:space="preserve">   2022/01/28 18:10:05</t>
  </si>
  <si>
    <t xml:space="preserve">           1-41</t>
  </si>
  <si>
    <t xml:space="preserve">   2022/01/28 18:19:02</t>
  </si>
  <si>
    <t xml:space="preserve">   2022/01/28 18:27:59</t>
  </si>
  <si>
    <t xml:space="preserve">   2022/01/28 18:36:56</t>
  </si>
  <si>
    <t xml:space="preserve">   2022/01/28 18:45:53</t>
  </si>
  <si>
    <t xml:space="preserve">   2022/01/28 18:54:51</t>
  </si>
  <si>
    <t xml:space="preserve">     P-279</t>
  </si>
  <si>
    <t xml:space="preserve">   2022/01/28 19:03:48</t>
  </si>
  <si>
    <t xml:space="preserve">           1-42</t>
  </si>
  <si>
    <t xml:space="preserve">   2022/01/28 19:12:45</t>
  </si>
  <si>
    <t xml:space="preserve">   2022/01/28 19:21:42</t>
  </si>
  <si>
    <t xml:space="preserve">   2022/01/28 19:30:39</t>
  </si>
  <si>
    <t xml:space="preserve">   2022/01/28 19:39:36</t>
  </si>
  <si>
    <t xml:space="preserve">   2022/01/28 19:48:33</t>
  </si>
  <si>
    <t xml:space="preserve">     P-280</t>
  </si>
  <si>
    <t xml:space="preserve">   2022/01/28 19:57:29</t>
  </si>
  <si>
    <t xml:space="preserve">           1-43</t>
  </si>
  <si>
    <t xml:space="preserve">   2022/01/28 20:06:26</t>
  </si>
  <si>
    <t xml:space="preserve">   2022/01/28 20:15:24</t>
  </si>
  <si>
    <t xml:space="preserve">   2022/01/28 20:24:20</t>
  </si>
  <si>
    <t xml:space="preserve">   2022/01/28 20:33:17</t>
  </si>
  <si>
    <t xml:space="preserve">   2022/01/28 20:42:13</t>
  </si>
  <si>
    <t xml:space="preserve">     P-281</t>
  </si>
  <si>
    <t xml:space="preserve">   2022/01/28 20:51:09</t>
  </si>
  <si>
    <t xml:space="preserve">           1-44</t>
  </si>
  <si>
    <t xml:space="preserve">   2022/01/28 21:00:07</t>
  </si>
  <si>
    <t xml:space="preserve">   2022/01/28 21:09:04</t>
  </si>
  <si>
    <t xml:space="preserve">   2022/01/28 21:18:00</t>
  </si>
  <si>
    <t xml:space="preserve">   2022/01/28 21:26:57</t>
  </si>
  <si>
    <t xml:space="preserve">   2022/01/28 21:35:53</t>
  </si>
  <si>
    <t xml:space="preserve">     P-282</t>
  </si>
  <si>
    <t xml:space="preserve">   2022/01/28 21:44:51</t>
  </si>
  <si>
    <t xml:space="preserve">           1-45</t>
  </si>
  <si>
    <t xml:space="preserve">   2022/01/28 21:53:47</t>
  </si>
  <si>
    <t xml:space="preserve">   2022/01/28 22:02:43</t>
  </si>
  <si>
    <t xml:space="preserve">   2022/01/28 22:11:39</t>
  </si>
  <si>
    <t xml:space="preserve">   2022/01/28 22:20:37</t>
  </si>
  <si>
    <t xml:space="preserve">   2022/01/28 22:29:33</t>
  </si>
  <si>
    <t xml:space="preserve">     P-283</t>
  </si>
  <si>
    <t xml:space="preserve">   2022/01/28 22:38:31</t>
  </si>
  <si>
    <t xml:space="preserve">           1-46</t>
  </si>
  <si>
    <t xml:space="preserve">   2022/01/28 22:47:27</t>
  </si>
  <si>
    <t xml:space="preserve">   2022/01/28 22:56:24</t>
  </si>
  <si>
    <t xml:space="preserve">   2022/01/28 23:05:21</t>
  </si>
  <si>
    <t xml:space="preserve">   2022/01/28 23:14:17</t>
  </si>
  <si>
    <t xml:space="preserve">   2022/01/28 23:23:14</t>
  </si>
  <si>
    <t xml:space="preserve">     P-284</t>
  </si>
  <si>
    <t xml:space="preserve">   2022/01/28 23:32:10</t>
  </si>
  <si>
    <t xml:space="preserve">           1-47</t>
  </si>
  <si>
    <t xml:space="preserve">   2022/01/28 23:41:07</t>
  </si>
  <si>
    <t xml:space="preserve">   2022/01/28 23:50:03</t>
  </si>
  <si>
    <t xml:space="preserve">   2022/01/28 23:59:00</t>
  </si>
  <si>
    <t xml:space="preserve">   2022/01/29 00:07:56</t>
  </si>
  <si>
    <t xml:space="preserve">   2022/01/29 00:16:53</t>
  </si>
  <si>
    <t xml:space="preserve">     P-285</t>
  </si>
  <si>
    <t xml:space="preserve">   2022/01/29 00:25:50</t>
  </si>
  <si>
    <t xml:space="preserve">           1-48</t>
  </si>
  <si>
    <t xml:space="preserve">   2022/01/29 00:34:46</t>
  </si>
  <si>
    <t xml:space="preserve">   2022/01/29 00:43:42</t>
  </si>
  <si>
    <t xml:space="preserve">   2022/01/29 00:52:40</t>
  </si>
  <si>
    <t xml:space="preserve">   2022/01/29 01:01:37</t>
  </si>
  <si>
    <t xml:space="preserve">   2022/01/29 01:10:33</t>
  </si>
  <si>
    <t xml:space="preserve">     P-286</t>
  </si>
  <si>
    <t xml:space="preserve">   2022/01/29 01:19:30</t>
  </si>
  <si>
    <t xml:space="preserve">           1-49</t>
  </si>
  <si>
    <t xml:space="preserve">   2022/01/29 01:28:27</t>
  </si>
  <si>
    <t xml:space="preserve">   2022/01/29 01:37:23</t>
  </si>
  <si>
    <t xml:space="preserve">   2022/01/29 01:46:20</t>
  </si>
  <si>
    <t xml:space="preserve">   2022/01/29 01:55:17</t>
  </si>
  <si>
    <t xml:space="preserve">   2022/01/29 02:04:13</t>
  </si>
  <si>
    <t xml:space="preserve">     P-287</t>
  </si>
  <si>
    <t xml:space="preserve">   2022/01/29 02:13:10</t>
  </si>
  <si>
    <t xml:space="preserve">           1-50</t>
  </si>
  <si>
    <t xml:space="preserve">   2022/01/29 02:22:07</t>
  </si>
  <si>
    <t xml:space="preserve">   2022/01/29 02:31:04</t>
  </si>
  <si>
    <t xml:space="preserve">   2022/01/29 02:40:01</t>
  </si>
  <si>
    <t xml:space="preserve">   2022/01/29 02:48:58</t>
  </si>
  <si>
    <t xml:space="preserve">   2022/01/29 02:57:55</t>
  </si>
  <si>
    <t xml:space="preserve">     P-288</t>
  </si>
  <si>
    <t xml:space="preserve">   2022/01/29 03:06:51</t>
  </si>
  <si>
    <t xml:space="preserve">           1-51</t>
  </si>
  <si>
    <t xml:space="preserve">   2022/01/29 03:15:47</t>
  </si>
  <si>
    <t xml:space="preserve">   2022/01/29 03:24:44</t>
  </si>
  <si>
    <t xml:space="preserve">   2022/01/29 03:33:41</t>
  </si>
  <si>
    <t xml:space="preserve">   2022/01/29 03:42:37</t>
  </si>
  <si>
    <t xml:space="preserve">   2022/01/29 03:51:33</t>
  </si>
  <si>
    <t xml:space="preserve">     P-289</t>
  </si>
  <si>
    <t xml:space="preserve">   2022/01/29 04:00:30</t>
  </si>
  <si>
    <t xml:space="preserve">           1-52</t>
  </si>
  <si>
    <t xml:space="preserve">   2022/01/29 04:09:26</t>
  </si>
  <si>
    <t xml:space="preserve">   2022/01/29 04:18:23</t>
  </si>
  <si>
    <t xml:space="preserve">   2022/01/29 04:27:20</t>
  </si>
  <si>
    <t xml:space="preserve">   2022/01/29 04:36:16</t>
  </si>
  <si>
    <t xml:space="preserve">   2022/01/29 04:45:13</t>
  </si>
  <si>
    <t xml:space="preserve">     P-290</t>
  </si>
  <si>
    <t xml:space="preserve">   2022/01/29 04:54:10</t>
  </si>
  <si>
    <t xml:space="preserve">           1-53</t>
  </si>
  <si>
    <t xml:space="preserve">   2022/01/29 05:03:07</t>
  </si>
  <si>
    <t xml:space="preserve">   2022/01/29 05:12:04</t>
  </si>
  <si>
    <t xml:space="preserve">   2022/01/29 05:21:01</t>
  </si>
  <si>
    <t xml:space="preserve">   2022/01/29 05:29:58</t>
  </si>
  <si>
    <t xml:space="preserve">   2022/01/29 05:38:55</t>
  </si>
  <si>
    <t xml:space="preserve">     P-291</t>
  </si>
  <si>
    <t xml:space="preserve">   2022/01/29 05:47:52</t>
  </si>
  <si>
    <t xml:space="preserve">           1-54</t>
  </si>
  <si>
    <t xml:space="preserve">   2022/01/29 05:57:52</t>
  </si>
  <si>
    <t xml:space="preserve">   2022/01/29 06:06:50</t>
  </si>
  <si>
    <t xml:space="preserve">   2022/01/29 06:15:46</t>
  </si>
  <si>
    <t xml:space="preserve">   2022/01/29 06:24:43</t>
  </si>
  <si>
    <t xml:space="preserve">   2022/01/29 06:33:40</t>
  </si>
  <si>
    <t xml:space="preserve">     P-292</t>
  </si>
  <si>
    <t xml:space="preserve">   2022/01/29 06:42:37</t>
  </si>
  <si>
    <t xml:space="preserve">           1-55</t>
  </si>
  <si>
    <t xml:space="preserve">   2022/01/29 06:51:34</t>
  </si>
  <si>
    <t xml:space="preserve">   2022/01/29 07:00:31</t>
  </si>
  <si>
    <t xml:space="preserve">   2022/01/29 07:09:28</t>
  </si>
  <si>
    <t xml:space="preserve">   2022/01/29 07:18:25</t>
  </si>
  <si>
    <t xml:space="preserve">   2022/01/29 07:27:21</t>
  </si>
  <si>
    <t xml:space="preserve">     P-293</t>
  </si>
  <si>
    <t xml:space="preserve">   2022/01/29 07:36:17</t>
  </si>
  <si>
    <t xml:space="preserve">           1-56</t>
  </si>
  <si>
    <t xml:space="preserve">   2022/01/29 07:45:14</t>
  </si>
  <si>
    <t xml:space="preserve">   2022/01/29 07:54:11</t>
  </si>
  <si>
    <t xml:space="preserve">   2022/01/29 08:03:07</t>
  </si>
  <si>
    <t xml:space="preserve">   2022/01/29 08:12:04</t>
  </si>
  <si>
    <t xml:space="preserve">   2022/01/29 08:21:01</t>
  </si>
  <si>
    <t xml:space="preserve">     P-294</t>
  </si>
  <si>
    <t xml:space="preserve">   2022/01/29 08:29:58</t>
  </si>
  <si>
    <t xml:space="preserve">           1-57</t>
  </si>
  <si>
    <t xml:space="preserve">   2022/01/29 08:38:54</t>
  </si>
  <si>
    <t xml:space="preserve">   2022/01/29 08:47:50</t>
  </si>
  <si>
    <t xml:space="preserve">   2022/01/29 08:56:47</t>
  </si>
  <si>
    <t xml:space="preserve">   2022/01/29 09:05:43</t>
  </si>
  <si>
    <t xml:space="preserve">   2022/01/29 09:14:40</t>
  </si>
  <si>
    <t xml:space="preserve">     P-295</t>
  </si>
  <si>
    <t xml:space="preserve">   2022/01/29 09:23:37</t>
  </si>
  <si>
    <t xml:space="preserve">           1-58</t>
  </si>
  <si>
    <t xml:space="preserve">   2022/01/29 09:32:34</t>
  </si>
  <si>
    <t xml:space="preserve">   2022/01/29 09:41:31</t>
  </si>
  <si>
    <t xml:space="preserve">   2022/01/29 09:50:27</t>
  </si>
  <si>
    <t xml:space="preserve">   2022/01/29 09:59:24</t>
  </si>
  <si>
    <t xml:space="preserve">   2022/01/29 10:08:21</t>
  </si>
  <si>
    <t xml:space="preserve">     P-296</t>
  </si>
  <si>
    <t xml:space="preserve">   2022/01/29 10:17:18</t>
  </si>
  <si>
    <t xml:space="preserve">           1-59</t>
  </si>
  <si>
    <t xml:space="preserve">   2022/01/29 10:26:14</t>
  </si>
  <si>
    <t xml:space="preserve">   2022/01/29 10:35:10</t>
  </si>
  <si>
    <t xml:space="preserve">   2022/01/29 10:44:06</t>
  </si>
  <si>
    <t xml:space="preserve">   2022/01/29 10:53:03</t>
  </si>
  <si>
    <t xml:space="preserve">   2022/01/29 11:01:59</t>
  </si>
  <si>
    <t xml:space="preserve">     P-297</t>
  </si>
  <si>
    <t xml:space="preserve">   2022/01/29 11:10:56</t>
  </si>
  <si>
    <t xml:space="preserve">           1-60</t>
  </si>
  <si>
    <t xml:space="preserve">   2022/01/29 11:19:53</t>
  </si>
  <si>
    <t xml:space="preserve">   2022/01/29 11:28:50</t>
  </si>
  <si>
    <t xml:space="preserve">   2022/01/29 11:37:47</t>
  </si>
  <si>
    <t xml:space="preserve">   2022/01/29 11:46:44</t>
  </si>
  <si>
    <t xml:space="preserve">   2022/01/29 11:55:41</t>
  </si>
  <si>
    <t xml:space="preserve">     P-298</t>
  </si>
  <si>
    <t xml:space="preserve">   2022/01/29 12:04:38</t>
  </si>
  <si>
    <t xml:space="preserve">           1-61</t>
  </si>
  <si>
    <t xml:space="preserve">   2022/01/29 12:13:34</t>
  </si>
  <si>
    <t xml:space="preserve">   2022/01/29 12:22:31</t>
  </si>
  <si>
    <t xml:space="preserve">   2022/01/29 12:31:27</t>
  </si>
  <si>
    <t xml:space="preserve">   2022/01/29 12:40:23</t>
  </si>
  <si>
    <t xml:space="preserve">   2022/01/29 12:49:19</t>
  </si>
  <si>
    <t xml:space="preserve">     P-299</t>
  </si>
  <si>
    <t xml:space="preserve">   2022/01/29 12:58:16</t>
  </si>
  <si>
    <t xml:space="preserve">           1-62</t>
  </si>
  <si>
    <t xml:space="preserve">   2022/01/29 13:07:12</t>
  </si>
  <si>
    <t xml:space="preserve">   2022/01/29 13:16:08</t>
  </si>
  <si>
    <t xml:space="preserve">   2022/01/29 13:25:04</t>
  </si>
  <si>
    <t xml:space="preserve">   2022/01/29 13:34:02</t>
  </si>
  <si>
    <t xml:space="preserve">   2022/01/29 13:42:58</t>
  </si>
  <si>
    <t xml:space="preserve">     P-300</t>
  </si>
  <si>
    <t xml:space="preserve">   2022/01/29 13:51:54</t>
  </si>
  <si>
    <t xml:space="preserve">           1-63</t>
  </si>
  <si>
    <t xml:space="preserve">   2022/01/29 14:00:51</t>
  </si>
  <si>
    <t xml:space="preserve">   2022/01/29 14:09:47</t>
  </si>
  <si>
    <t xml:space="preserve">   2022/01/29 14:18:44</t>
  </si>
  <si>
    <t xml:space="preserve">   2022/01/29 14:27:40</t>
  </si>
  <si>
    <t xml:space="preserve">   2022/01/29 14:36:38</t>
  </si>
  <si>
    <t xml:space="preserve">     P-301</t>
  </si>
  <si>
    <t xml:space="preserve">   2022/01/29 14:45:34</t>
  </si>
  <si>
    <t xml:space="preserve">           1-64</t>
  </si>
  <si>
    <t xml:space="preserve">   2022/01/29 14:54:31</t>
  </si>
  <si>
    <t xml:space="preserve">   2022/01/29 15:03:27</t>
  </si>
  <si>
    <t xml:space="preserve">   2022/01/29 15:12:24</t>
  </si>
  <si>
    <t xml:space="preserve">   2022/01/29 15:21:21</t>
  </si>
  <si>
    <t xml:space="preserve">   2022/01/29 15:30:18</t>
  </si>
  <si>
    <t xml:space="preserve">     P-302</t>
  </si>
  <si>
    <t xml:space="preserve">   2022/01/29 15:39:14</t>
  </si>
  <si>
    <t xml:space="preserve">           1-65</t>
  </si>
  <si>
    <t xml:space="preserve">   2022/01/29 15:48:10</t>
  </si>
  <si>
    <t xml:space="preserve">   2022/01/29 15:57:06</t>
  </si>
  <si>
    <t xml:space="preserve">   2022/01/29 16:06:04</t>
  </si>
  <si>
    <t xml:space="preserve">   2022/01/29 16:15:01</t>
  </si>
  <si>
    <t xml:space="preserve">   2022/01/29 16:23:57</t>
  </si>
  <si>
    <t xml:space="preserve">     P-303</t>
  </si>
  <si>
    <t xml:space="preserve">   2022/01/29 16:32:54</t>
  </si>
  <si>
    <t xml:space="preserve">           1-66</t>
  </si>
  <si>
    <t xml:space="preserve">   2022/01/29 16:41:51</t>
  </si>
  <si>
    <t xml:space="preserve">   2022/01/29 16:50:48</t>
  </si>
  <si>
    <t xml:space="preserve">   2022/01/29 16:59:45</t>
  </si>
  <si>
    <t xml:space="preserve">   2022/01/29 17:08:41</t>
  </si>
  <si>
    <t xml:space="preserve">   2022/01/29 17:17:38</t>
  </si>
  <si>
    <t xml:space="preserve">     P-304</t>
  </si>
  <si>
    <t xml:space="preserve">   2022/01/29 17:26:34</t>
  </si>
  <si>
    <t xml:space="preserve">           1-67</t>
  </si>
  <si>
    <t xml:space="preserve">   2022/01/29 17:35:30</t>
  </si>
  <si>
    <t xml:space="preserve">   2022/01/29 17:44:26</t>
  </si>
  <si>
    <t xml:space="preserve">   2022/01/29 17:53:22</t>
  </si>
  <si>
    <t xml:space="preserve">   2022/01/29 18:02:19</t>
  </si>
  <si>
    <t xml:space="preserve">   2022/01/29 18:11:16</t>
  </si>
  <si>
    <t xml:space="preserve">   2022/01/29 18:20:13</t>
  </si>
  <si>
    <t xml:space="preserve">   2022/01/29 18:29:09</t>
  </si>
  <si>
    <t xml:space="preserve">   2022/01/29 18:38:05</t>
  </si>
  <si>
    <t xml:space="preserve">   2022/01/29 18:47:02</t>
  </si>
  <si>
    <t xml:space="preserve">   2022/01/29 18:55:59</t>
  </si>
  <si>
    <t xml:space="preserve">   2022/01/29 19:04:55</t>
  </si>
  <si>
    <t xml:space="preserve">   2022/01/29 19:13:52</t>
  </si>
  <si>
    <t xml:space="preserve">   2022/01/29 19:22:49</t>
  </si>
  <si>
    <t xml:space="preserve">   2022/01/29 19:31:45</t>
  </si>
  <si>
    <t xml:space="preserve">     P-305</t>
  </si>
  <si>
    <t xml:space="preserve">   2022/01/29 19:40:41</t>
  </si>
  <si>
    <t xml:space="preserve">           1-68</t>
  </si>
  <si>
    <t xml:space="preserve">   2022/01/29 19:49:37</t>
  </si>
  <si>
    <t xml:space="preserve">   2022/01/29 19:58:34</t>
  </si>
  <si>
    <t xml:space="preserve">   2022/01/29 20:07:31</t>
  </si>
  <si>
    <t xml:space="preserve">   2022/01/29 20:16:27</t>
  </si>
  <si>
    <t xml:space="preserve">   2022/01/29 20:25:24</t>
  </si>
  <si>
    <t xml:space="preserve">   2022/01/29 20:34:20</t>
  </si>
  <si>
    <t xml:space="preserve">   2022/01/29 20:43:17</t>
  </si>
  <si>
    <t xml:space="preserve">   2022/01/29 20:52:14</t>
  </si>
  <si>
    <t xml:space="preserve">   2022/01/29 21:01:11</t>
  </si>
  <si>
    <t xml:space="preserve">   2022/01/29 21:10:08</t>
  </si>
  <si>
    <t xml:space="preserve">   2022/01/29 21:19:05</t>
  </si>
  <si>
    <t xml:space="preserve">   2022/01/29 21:28:01</t>
  </si>
  <si>
    <t xml:space="preserve">   2022/01/29 21:36:58</t>
  </si>
  <si>
    <t xml:space="preserve">   2022/01/29 21:45:54</t>
  </si>
  <si>
    <t xml:space="preserve">     P-306</t>
  </si>
  <si>
    <t xml:space="preserve">   2022/01/29 21:54:51</t>
  </si>
  <si>
    <t xml:space="preserve">           1-69</t>
  </si>
  <si>
    <t xml:space="preserve">   2022/01/29 22:03:47</t>
  </si>
  <si>
    <t xml:space="preserve">   2022/01/29 22:12:44</t>
  </si>
  <si>
    <t xml:space="preserve">   2022/01/29 22:21:41</t>
  </si>
  <si>
    <t xml:space="preserve">   2022/01/29 22:30:38</t>
  </si>
  <si>
    <t xml:space="preserve">   2022/01/29 22:39:35</t>
  </si>
  <si>
    <t xml:space="preserve">   2022/01/29 22:48:32</t>
  </si>
  <si>
    <t xml:space="preserve">   2022/01/29 22:57:29</t>
  </si>
  <si>
    <t xml:space="preserve">   2022/01/29 23:06:25</t>
  </si>
  <si>
    <t xml:space="preserve">   2022/01/29 23:15:22</t>
  </si>
  <si>
    <t xml:space="preserve">   2022/01/29 23:24:19</t>
  </si>
  <si>
    <t xml:space="preserve">   2022/01/29 23:33:15</t>
  </si>
  <si>
    <t xml:space="preserve">   2022/01/29 23:42:12</t>
  </si>
  <si>
    <t xml:space="preserve">   2022/01/29 23:51:09</t>
  </si>
  <si>
    <t xml:space="preserve">   2022/01/30 00:00:06</t>
  </si>
  <si>
    <t xml:space="preserve">     P-307</t>
  </si>
  <si>
    <t xml:space="preserve">   2022/01/30 00:09:02</t>
  </si>
  <si>
    <t xml:space="preserve">           1-70</t>
  </si>
  <si>
    <t xml:space="preserve">   2022/01/30 00:17:58</t>
  </si>
  <si>
    <t xml:space="preserve">   2022/01/30 00:26:55</t>
  </si>
  <si>
    <t xml:space="preserve">   2022/01/30 00:35:51</t>
  </si>
  <si>
    <t xml:space="preserve">   2022/01/30 00:44:48</t>
  </si>
  <si>
    <t xml:space="preserve">   2022/01/30 00:53:45</t>
  </si>
  <si>
    <t xml:space="preserve">   2022/01/30 01:02:42</t>
  </si>
  <si>
    <t xml:space="preserve">   2022/01/30 01:11:38</t>
  </si>
  <si>
    <t xml:space="preserve">   2022/01/30 01:20:35</t>
  </si>
  <si>
    <t xml:space="preserve">   2022/01/30 01:29:32</t>
  </si>
  <si>
    <t xml:space="preserve">   2022/01/30 01:38:29</t>
  </si>
  <si>
    <t xml:space="preserve">   2022/01/30 01:47:26</t>
  </si>
  <si>
    <t xml:space="preserve">   2022/01/30 01:56:24</t>
  </si>
  <si>
    <t xml:space="preserve">   2022/01/30 02:05:21</t>
  </si>
  <si>
    <t xml:space="preserve">   2022/01/30 02:14:17</t>
  </si>
  <si>
    <t xml:space="preserve">     P-308</t>
  </si>
  <si>
    <t xml:space="preserve">   2022/01/30 02:23:14</t>
  </si>
  <si>
    <t xml:space="preserve">           1-71</t>
  </si>
  <si>
    <t xml:space="preserve">   2022/01/30 02:32:11</t>
  </si>
  <si>
    <t xml:space="preserve">   2022/01/30 02:41:08</t>
  </si>
  <si>
    <t xml:space="preserve">   2022/01/30 02:50:05</t>
  </si>
  <si>
    <t xml:space="preserve">   2022/01/30 02:59:01</t>
  </si>
  <si>
    <t xml:space="preserve">   2022/01/30 03:07:57</t>
  </si>
  <si>
    <t xml:space="preserve">     P-309</t>
  </si>
  <si>
    <t xml:space="preserve">   2022/01/30 03:16:54</t>
  </si>
  <si>
    <t xml:space="preserve">           1-72</t>
  </si>
  <si>
    <t xml:space="preserve">   2022/01/30 03:25:51</t>
  </si>
  <si>
    <t xml:space="preserve">   2022/01/30 03:34:48</t>
  </si>
  <si>
    <t xml:space="preserve">   2022/01/30 03:43:44</t>
  </si>
  <si>
    <t xml:space="preserve">   2022/01/30 03:52:41</t>
  </si>
  <si>
    <t xml:space="preserve">   2022/01/30 04:01:38</t>
  </si>
  <si>
    <t xml:space="preserve">     P-310</t>
  </si>
  <si>
    <t xml:space="preserve">   2022/01/30 04:10:34</t>
  </si>
  <si>
    <t xml:space="preserve">           1-73</t>
  </si>
  <si>
    <t xml:space="preserve">   2022/01/30 04:19:31</t>
  </si>
  <si>
    <t xml:space="preserve">   2022/01/30 04:28:28</t>
  </si>
  <si>
    <t xml:space="preserve">   2022/01/30 04:37:25</t>
  </si>
  <si>
    <t xml:space="preserve">   2022/01/30 04:46:22</t>
  </si>
  <si>
    <t xml:space="preserve">   2022/01/30 04:55:19</t>
  </si>
  <si>
    <t xml:space="preserve">     P-311</t>
  </si>
  <si>
    <t xml:space="preserve">   2022/01/30 05:04:16</t>
  </si>
  <si>
    <t xml:space="preserve">           1-74</t>
  </si>
  <si>
    <t xml:space="preserve">   2022/01/30 05:13:12</t>
  </si>
  <si>
    <t xml:space="preserve">   2022/01/30 05:22:09</t>
  </si>
  <si>
    <t xml:space="preserve">   2022/01/30 05:31:06</t>
  </si>
  <si>
    <t xml:space="preserve">   2022/01/30 05:40:02</t>
  </si>
  <si>
    <t xml:space="preserve">   2022/01/30 05:48:58</t>
  </si>
  <si>
    <t xml:space="preserve">     P-312</t>
  </si>
  <si>
    <t xml:space="preserve">   2022/01/30 05:57:55</t>
  </si>
  <si>
    <t xml:space="preserve">           1-75</t>
  </si>
  <si>
    <t xml:space="preserve">   2022/01/30 06:06:51</t>
  </si>
  <si>
    <t xml:space="preserve">   2022/01/30 06:15:48</t>
  </si>
  <si>
    <t xml:space="preserve">   2022/01/30 06:24:44</t>
  </si>
  <si>
    <t xml:space="preserve">   2022/01/30 06:33:40</t>
  </si>
  <si>
    <t xml:space="preserve">   2022/01/30 06:42:37</t>
  </si>
  <si>
    <t xml:space="preserve">     P-313</t>
  </si>
  <si>
    <t xml:space="preserve">   2022/01/30 06:51:35</t>
  </si>
  <si>
    <t xml:space="preserve">           1-76</t>
  </si>
  <si>
    <t xml:space="preserve">   2022/01/30 07:00:32</t>
  </si>
  <si>
    <t xml:space="preserve">   2022/01/30 07:09:29</t>
  </si>
  <si>
    <t xml:space="preserve">   2022/01/30 07:18:26</t>
  </si>
  <si>
    <t xml:space="preserve">   2022/01/30 07:27:23</t>
  </si>
  <si>
    <t xml:space="preserve">   2022/01/30 07:36:20</t>
  </si>
  <si>
    <t xml:space="preserve">     P-314</t>
  </si>
  <si>
    <t xml:space="preserve">   2022/01/30 07:45:16</t>
  </si>
  <si>
    <t xml:space="preserve">           1-77</t>
  </si>
  <si>
    <t xml:space="preserve">   2022/01/30 07:54:13</t>
  </si>
  <si>
    <t xml:space="preserve">   2022/01/30 08:03:09</t>
  </si>
  <si>
    <t xml:space="preserve">   2022/01/30 08:12:07</t>
  </si>
  <si>
    <t xml:space="preserve">   2022/01/30 08:21:04</t>
  </si>
  <si>
    <t xml:space="preserve">   2022/01/30 08:30:01</t>
  </si>
  <si>
    <t xml:space="preserve">     P-315</t>
  </si>
  <si>
    <t xml:space="preserve">   2022/01/30 08:38:58</t>
  </si>
  <si>
    <t xml:space="preserve">           1-78</t>
  </si>
  <si>
    <t xml:space="preserve">   2022/01/30 08:47:55</t>
  </si>
  <si>
    <t xml:space="preserve">   2022/01/30 08:56:51</t>
  </si>
  <si>
    <t xml:space="preserve">   2022/01/30 09:05:47</t>
  </si>
  <si>
    <t xml:space="preserve">   2022/01/30 09:14:44</t>
  </si>
  <si>
    <t xml:space="preserve">   2022/01/30 09:23:40</t>
  </si>
  <si>
    <t xml:space="preserve">     P-316</t>
  </si>
  <si>
    <t xml:space="preserve">   2022/01/30 09:32:37</t>
  </si>
  <si>
    <t xml:space="preserve">           1-79</t>
  </si>
  <si>
    <t xml:space="preserve">   2022/01/30 09:41:34</t>
  </si>
  <si>
    <t xml:space="preserve">   2022/01/30 09:50:30</t>
  </si>
  <si>
    <t xml:space="preserve">   2022/01/30 09:59:27</t>
  </si>
  <si>
    <t xml:space="preserve">   2022/01/30 10:08:23</t>
  </si>
  <si>
    <t xml:space="preserve">   2022/01/30 10:17:20</t>
  </si>
  <si>
    <t xml:space="preserve">     P-317</t>
  </si>
  <si>
    <t xml:space="preserve">   2022/01/30 10:26:16</t>
  </si>
  <si>
    <t xml:space="preserve">           1-80</t>
  </si>
  <si>
    <t xml:space="preserve">   2022/01/30 10:35:13</t>
  </si>
  <si>
    <t xml:space="preserve">   2022/01/30 10:44:10</t>
  </si>
  <si>
    <t xml:space="preserve">   2022/01/30 10:53:06</t>
  </si>
  <si>
    <t xml:space="preserve">   2022/01/30 11:02:02</t>
  </si>
  <si>
    <t xml:space="preserve">   2022/01/30 11:10:58</t>
  </si>
  <si>
    <t xml:space="preserve">     P-318</t>
  </si>
  <si>
    <t xml:space="preserve">   2022/01/30 11:19:54</t>
  </si>
  <si>
    <t xml:space="preserve">           1-81</t>
  </si>
  <si>
    <t xml:space="preserve">   2022/01/30 11:28:51</t>
  </si>
  <si>
    <t xml:space="preserve">   2022/01/30 11:37:47</t>
  </si>
  <si>
    <t xml:space="preserve">   2022/01/30 11:46:45</t>
  </si>
  <si>
    <t xml:space="preserve">   2022/01/30 11:55:42</t>
  </si>
  <si>
    <t xml:space="preserve">   2022/01/30 12:04:38</t>
  </si>
  <si>
    <t xml:space="preserve">     P-319</t>
  </si>
  <si>
    <t xml:space="preserve">   2022/01/30 12:13:34</t>
  </si>
  <si>
    <t xml:space="preserve">           1-82</t>
  </si>
  <si>
    <t xml:space="preserve">   2022/01/30 12:22:30</t>
  </si>
  <si>
    <t xml:space="preserve">   2022/01/30 12:31:28</t>
  </si>
  <si>
    <t xml:space="preserve">   2022/01/30 12:40:24</t>
  </si>
  <si>
    <t xml:space="preserve">   2022/01/30 12:49:21</t>
  </si>
  <si>
    <t xml:space="preserve">   2022/01/30 12:58:17</t>
  </si>
  <si>
    <t xml:space="preserve">     P-320</t>
  </si>
  <si>
    <t xml:space="preserve">   2022/01/30 13:07:14</t>
  </si>
  <si>
    <t xml:space="preserve">           1-83</t>
  </si>
  <si>
    <t xml:space="preserve">   2022/01/30 13:16:10</t>
  </si>
  <si>
    <t xml:space="preserve">   2022/01/30 13:25:06</t>
  </si>
  <si>
    <t xml:space="preserve">   2022/01/30 13:34:03</t>
  </si>
  <si>
    <t xml:space="preserve">   2022/01/30 13:43:00</t>
  </si>
  <si>
    <t xml:space="preserve">   2022/01/30 13:51:57</t>
  </si>
  <si>
    <t xml:space="preserve">     P-321</t>
  </si>
  <si>
    <t xml:space="preserve">   2022/01/30 14:00:53</t>
  </si>
  <si>
    <t xml:space="preserve">           1-84</t>
  </si>
  <si>
    <t xml:space="preserve">   2022/01/30 14:09:50</t>
  </si>
  <si>
    <t xml:space="preserve">   2022/01/30 14:18:47</t>
  </si>
  <si>
    <t xml:space="preserve">   2022/01/30 14:27:43</t>
  </si>
  <si>
    <t xml:space="preserve">   2022/01/30 14:36:39</t>
  </si>
  <si>
    <t xml:space="preserve">   2022/01/30 14:45:35</t>
  </si>
  <si>
    <t xml:space="preserve">     P-322</t>
  </si>
  <si>
    <t xml:space="preserve">   2022/01/30 14:54:32</t>
  </si>
  <si>
    <t xml:space="preserve">           1-85</t>
  </si>
  <si>
    <t xml:space="preserve">   2022/01/30 15:03:29</t>
  </si>
  <si>
    <t xml:space="preserve">   2022/01/30 15:12:26</t>
  </si>
  <si>
    <t xml:space="preserve">   2022/01/30 15:21:23</t>
  </si>
  <si>
    <t xml:space="preserve">   2022/01/30 15:30:19</t>
  </si>
  <si>
    <t xml:space="preserve">   2022/01/30 15:39:16</t>
  </si>
  <si>
    <t xml:space="preserve">     P-323</t>
  </si>
  <si>
    <t xml:space="preserve">   2022/01/30 15:48:13</t>
  </si>
  <si>
    <t xml:space="preserve">           1-86</t>
  </si>
  <si>
    <t xml:space="preserve">   2022/01/30 15:57:09</t>
  </si>
  <si>
    <t xml:space="preserve">   2022/01/30 16:06:05</t>
  </si>
  <si>
    <t xml:space="preserve">   2022/01/30 16:15:01</t>
  </si>
  <si>
    <t xml:space="preserve">   2022/01/30 16:23:58</t>
  </si>
  <si>
    <t xml:space="preserve">   2022/01/30 16:32:55</t>
  </si>
  <si>
    <t xml:space="preserve">     P-324</t>
  </si>
  <si>
    <t xml:space="preserve">   2022/01/30 16:41:50</t>
  </si>
  <si>
    <t xml:space="preserve">           1-87</t>
  </si>
  <si>
    <t xml:space="preserve">   2022/01/30 16:50:47</t>
  </si>
  <si>
    <t xml:space="preserve">   2022/01/30 16:59:43</t>
  </si>
  <si>
    <t xml:space="preserve">   2022/01/30 17:08:40</t>
  </si>
  <si>
    <t xml:space="preserve">   2022/01/30 17:17:37</t>
  </si>
  <si>
    <t xml:space="preserve">   2022/01/30 17:26:34</t>
  </si>
  <si>
    <t xml:space="preserve">     P-325</t>
  </si>
  <si>
    <t xml:space="preserve">   2022/01/30 17:35:30</t>
  </si>
  <si>
    <t xml:space="preserve">           1-88</t>
  </si>
  <si>
    <t xml:space="preserve">   2022/01/30 17:44:27</t>
  </si>
  <si>
    <t xml:space="preserve">   2022/01/30 17:53:24</t>
  </si>
  <si>
    <t xml:space="preserve">   2022/01/30 18:02:21</t>
  </si>
  <si>
    <t xml:space="preserve">   2022/01/30 18:11:17</t>
  </si>
  <si>
    <t xml:space="preserve">   2022/01/30 18:20:13</t>
  </si>
  <si>
    <t xml:space="preserve">     P-326</t>
  </si>
  <si>
    <t xml:space="preserve">   2022/01/30 18:29:10</t>
  </si>
  <si>
    <t xml:space="preserve">           1-89</t>
  </si>
  <si>
    <t xml:space="preserve">   2022/01/30 18:38:06</t>
  </si>
  <si>
    <t xml:space="preserve">   2022/01/30 18:47:03</t>
  </si>
  <si>
    <t xml:space="preserve">   2022/01/30 18:56:00</t>
  </si>
  <si>
    <t xml:space="preserve">   2022/01/30 19:04:57</t>
  </si>
  <si>
    <t xml:space="preserve">   2022/01/30 19:13:54</t>
  </si>
  <si>
    <t xml:space="preserve">     P-327</t>
  </si>
  <si>
    <t xml:space="preserve">   2022/01/30 19:22:51</t>
  </si>
  <si>
    <t xml:space="preserve">           1-90</t>
  </si>
  <si>
    <t xml:space="preserve">   2022/01/30 19:31:48</t>
  </si>
  <si>
    <t xml:space="preserve">   2022/01/30 19:40:44</t>
  </si>
  <si>
    <t xml:space="preserve">   2022/01/30 19:49:41</t>
  </si>
  <si>
    <t xml:space="preserve">   2022/01/30 19:58:37</t>
  </si>
  <si>
    <t xml:space="preserve">   2022/01/30 20:07:34</t>
  </si>
  <si>
    <t xml:space="preserve">     P-328</t>
  </si>
  <si>
    <t xml:space="preserve">   2022/01/30 20:16:30</t>
  </si>
  <si>
    <t xml:space="preserve">           1-91</t>
  </si>
  <si>
    <t xml:space="preserve">   2022/01/30 20:25:27</t>
  </si>
  <si>
    <t xml:space="preserve">   2022/01/30 20:34:23</t>
  </si>
  <si>
    <t xml:space="preserve">   2022/01/30 20:43:19</t>
  </si>
  <si>
    <t xml:space="preserve">   2022/01/30 20:52:16</t>
  </si>
  <si>
    <t xml:space="preserve">   2022/01/30 21:01:12</t>
  </si>
  <si>
    <t xml:space="preserve">     P-329</t>
  </si>
  <si>
    <t xml:space="preserve">   2022/01/30 21:10:08</t>
  </si>
  <si>
    <t xml:space="preserve">           1-92</t>
  </si>
  <si>
    <t xml:space="preserve">   2022/01/30 21:19:03</t>
  </si>
  <si>
    <t xml:space="preserve">   2022/01/30 21:27:59</t>
  </si>
  <si>
    <t xml:space="preserve">   2022/01/30 21:36:55</t>
  </si>
  <si>
    <t xml:space="preserve">   2022/01/30 21:45:51</t>
  </si>
  <si>
    <t xml:space="preserve">   2022/01/30 21:54:47</t>
  </si>
  <si>
    <t xml:space="preserve">     P-330</t>
  </si>
  <si>
    <t xml:space="preserve">   2022/01/30 22:03:43</t>
  </si>
  <si>
    <t xml:space="preserve">           1-93</t>
  </si>
  <si>
    <t xml:space="preserve">   2022/01/30 22:12:39</t>
  </si>
  <si>
    <t xml:space="preserve">   2022/01/30 22:21:35</t>
  </si>
  <si>
    <t xml:space="preserve">   2022/01/30 22:30:31</t>
  </si>
  <si>
    <t xml:space="preserve">   2022/01/30 22:39:27</t>
  </si>
  <si>
    <t xml:space="preserve">   2022/01/30 22:48:23</t>
  </si>
  <si>
    <t xml:space="preserve">     P-331</t>
  </si>
  <si>
    <t xml:space="preserve">   2022/01/30 22:57:19</t>
  </si>
  <si>
    <t xml:space="preserve">           1-94</t>
  </si>
  <si>
    <t xml:space="preserve">   2022/01/30 23:06:15</t>
  </si>
  <si>
    <t xml:space="preserve">   2022/01/30 23:15:11</t>
  </si>
  <si>
    <t xml:space="preserve">   2022/01/30 23:24:07</t>
  </si>
  <si>
    <t xml:space="preserve">   2022/01/30 23:33:03</t>
  </si>
  <si>
    <t xml:space="preserve">   2022/01/30 23:41:59</t>
  </si>
  <si>
    <t xml:space="preserve">     P-332</t>
  </si>
  <si>
    <t xml:space="preserve">   2022/01/30 23:50:55</t>
  </si>
  <si>
    <t xml:space="preserve">           1-95</t>
  </si>
  <si>
    <t xml:space="preserve">   2022/01/30 23:59:51</t>
  </si>
  <si>
    <t xml:space="preserve">   2022/01/31 00:08:47</t>
  </si>
  <si>
    <t xml:space="preserve">   2022/01/31 00:17:43</t>
  </si>
  <si>
    <t xml:space="preserve">   2022/01/31 00:26:39</t>
  </si>
  <si>
    <t xml:space="preserve">   2022/01/31 00:35:35</t>
  </si>
  <si>
    <t xml:space="preserve">     P-333</t>
  </si>
  <si>
    <t xml:space="preserve">   2022/01/31 00:44:31</t>
  </si>
  <si>
    <t xml:space="preserve">           1-96</t>
  </si>
  <si>
    <t xml:space="preserve">   2022/01/31 00:53:27</t>
  </si>
  <si>
    <t xml:space="preserve">   2022/01/31 01:02:22</t>
  </si>
  <si>
    <t xml:space="preserve">   2022/01/31 01:11:19</t>
  </si>
  <si>
    <t xml:space="preserve">   2022/01/31 01:20:15</t>
  </si>
  <si>
    <t xml:space="preserve">   2022/01/31 01:29:11</t>
  </si>
  <si>
    <t xml:space="preserve">     P-334</t>
  </si>
  <si>
    <t xml:space="preserve">   2022/01/31 01:38:07</t>
  </si>
  <si>
    <t xml:space="preserve">           1-97</t>
  </si>
  <si>
    <t xml:space="preserve">   2022/01/31 01:47:03</t>
  </si>
  <si>
    <t xml:space="preserve">   2022/01/31 01:55:58</t>
  </si>
  <si>
    <t xml:space="preserve">   2022/01/31 02:04:55</t>
  </si>
  <si>
    <t xml:space="preserve">   2022/01/31 02:13:50</t>
  </si>
  <si>
    <t xml:space="preserve">   2022/01/31 02:22:47</t>
  </si>
  <si>
    <t xml:space="preserve">     P-335</t>
  </si>
  <si>
    <t xml:space="preserve">   2022/01/31 02:31:43</t>
  </si>
  <si>
    <t xml:space="preserve">           1-98</t>
  </si>
  <si>
    <t xml:space="preserve">   2022/01/31 02:40:39</t>
  </si>
  <si>
    <t xml:space="preserve">   2022/01/31 02:49:35</t>
  </si>
  <si>
    <t xml:space="preserve">   2022/01/31 02:58:30</t>
  </si>
  <si>
    <t xml:space="preserve">   2022/01/31 03:07:27</t>
  </si>
  <si>
    <t xml:space="preserve">   2022/01/31 03:16:23</t>
  </si>
  <si>
    <t xml:space="preserve">     P-336</t>
  </si>
  <si>
    <t xml:space="preserve">   2022/01/31 03:25:19</t>
  </si>
  <si>
    <t xml:space="preserve">           1-99</t>
  </si>
  <si>
    <t xml:space="preserve">   2022/01/31 03:34:15</t>
  </si>
  <si>
    <t xml:space="preserve">   2022/01/31 03:43:11</t>
  </si>
  <si>
    <t xml:space="preserve">   2022/01/31 03:52:07</t>
  </si>
  <si>
    <t xml:space="preserve">   2022/01/31 04:01:03</t>
  </si>
  <si>
    <t xml:space="preserve">   2022/01/31 04:09:59</t>
  </si>
  <si>
    <t xml:space="preserve">     P-337</t>
  </si>
  <si>
    <t xml:space="preserve">   2022/01/31 04:18:55</t>
  </si>
  <si>
    <t xml:space="preserve">          1-100</t>
  </si>
  <si>
    <t xml:space="preserve">   2022/01/31 04:27:51</t>
  </si>
  <si>
    <t xml:space="preserve">   2022/01/31 04:36:47</t>
  </si>
  <si>
    <t xml:space="preserve">   2022/01/31 04:45:43</t>
  </si>
  <si>
    <t xml:space="preserve">   2022/01/31 04:54:39</t>
  </si>
  <si>
    <t xml:space="preserve">   2022/01/31 05:03:35</t>
  </si>
  <si>
    <t xml:space="preserve">     P-338</t>
  </si>
  <si>
    <t xml:space="preserve">   2022/01/31 05:12:31</t>
  </si>
  <si>
    <t xml:space="preserve">          1-101</t>
  </si>
  <si>
    <t xml:space="preserve">   2022/01/31 05:21:27</t>
  </si>
  <si>
    <t xml:space="preserve">   2022/01/31 05:30:23</t>
  </si>
  <si>
    <t xml:space="preserve">   2022/01/31 05:39:19</t>
  </si>
  <si>
    <t xml:space="preserve">   2022/01/31 05:48:15</t>
  </si>
  <si>
    <t xml:space="preserve">   2022/01/31 05:57:11</t>
  </si>
  <si>
    <t xml:space="preserve">     P-339</t>
  </si>
  <si>
    <t xml:space="preserve">   2022/01/31 06:06:07</t>
  </si>
  <si>
    <t xml:space="preserve">          1-102</t>
  </si>
  <si>
    <t xml:space="preserve">   2022/01/31 06:15:03</t>
  </si>
  <si>
    <t xml:space="preserve">   2022/01/31 06:23:59</t>
  </si>
  <si>
    <t xml:space="preserve">   2022/01/31 06:32:55</t>
  </si>
  <si>
    <t xml:space="preserve">   2022/01/31 06:41:51</t>
  </si>
  <si>
    <t xml:space="preserve">   2022/01/31 06:50:46</t>
  </si>
  <si>
    <t xml:space="preserve">   2022/01/31 06:59:42</t>
  </si>
  <si>
    <t xml:space="preserve">   2022/01/31 07:08:38</t>
  </si>
  <si>
    <t xml:space="preserve">   2022/01/31 07:17:34</t>
  </si>
  <si>
    <t xml:space="preserve">   2022/01/31 07:26:30</t>
  </si>
  <si>
    <t xml:space="preserve">   2022/01/31 07:35:26</t>
  </si>
  <si>
    <t xml:space="preserve">   2022/01/31 07:44:22</t>
  </si>
  <si>
    <t xml:space="preserve">   2022/01/31 07:53:18</t>
  </si>
  <si>
    <t xml:space="preserve">   2022/01/31 08:02:13</t>
  </si>
  <si>
    <t xml:space="preserve">   2022/01/31 08:11:09</t>
  </si>
  <si>
    <t xml:space="preserve">     P-340</t>
  </si>
  <si>
    <t xml:space="preserve">   2022/01/31 08:20:05</t>
  </si>
  <si>
    <t xml:space="preserve">          1-103</t>
  </si>
  <si>
    <t xml:space="preserve">   2022/01/31 08:29:01</t>
  </si>
  <si>
    <t xml:space="preserve">   2022/01/31 08:37:58</t>
  </si>
  <si>
    <t xml:space="preserve">   2022/01/31 08:46:53</t>
  </si>
  <si>
    <t xml:space="preserve">   2022/01/31 08:55:49</t>
  </si>
  <si>
    <t xml:space="preserve">   2022/01/31 09:04:46</t>
  </si>
  <si>
    <t xml:space="preserve">   2022/01/31 09:13:41</t>
  </si>
  <si>
    <t xml:space="preserve">   2022/01/31 09:22:37</t>
  </si>
  <si>
    <t xml:space="preserve">   2022/01/31 09:31:34</t>
  </si>
  <si>
    <t xml:space="preserve">   2022/01/31 09:40:30</t>
  </si>
  <si>
    <t xml:space="preserve">   2022/01/31 09:49:25</t>
  </si>
  <si>
    <t xml:space="preserve">   2022/01/31 09:58:22</t>
  </si>
  <si>
    <t xml:space="preserve">   2022/01/31 10:07:18</t>
  </si>
  <si>
    <t xml:space="preserve">   2022/01/31 10:16:14</t>
  </si>
  <si>
    <t xml:space="preserve">   2022/01/31 10:25:10</t>
  </si>
  <si>
    <t xml:space="preserve">     P-341</t>
  </si>
  <si>
    <t xml:space="preserve">   2022/01/31 10:34:06</t>
  </si>
  <si>
    <t xml:space="preserve">          1-104</t>
  </si>
  <si>
    <t xml:space="preserve">   2022/01/31 10:43:02</t>
  </si>
  <si>
    <t xml:space="preserve">   2022/01/31 10:51:59</t>
  </si>
  <si>
    <t xml:space="preserve">   2022/01/31 11:00:55</t>
  </si>
  <si>
    <t xml:space="preserve">   2022/01/31 11:09:51</t>
  </si>
  <si>
    <t xml:space="preserve">   2022/01/31 11:18:47</t>
  </si>
  <si>
    <t xml:space="preserve">   2022/01/31 11:27:43</t>
  </si>
  <si>
    <t xml:space="preserve">   2022/01/31 11:36:39</t>
  </si>
  <si>
    <t xml:space="preserve">   2022/01/31 11:45:35</t>
  </si>
  <si>
    <t xml:space="preserve">   2022/01/31 11:54:31</t>
  </si>
  <si>
    <t xml:space="preserve">   2022/01/31 12:03:27</t>
  </si>
  <si>
    <t xml:space="preserve">   2022/01/31 12:12:24</t>
  </si>
  <si>
    <t xml:space="preserve">   2022/01/31 12:21:19</t>
  </si>
  <si>
    <t xml:space="preserve">   2022/01/31 12:30:16</t>
  </si>
  <si>
    <t xml:space="preserve">   2022/01/31 12:39:12</t>
  </si>
  <si>
    <t xml:space="preserve">     P-342</t>
  </si>
  <si>
    <t xml:space="preserve">   2022/01/31 12:48:08</t>
  </si>
  <si>
    <t xml:space="preserve">          1-105</t>
  </si>
  <si>
    <t xml:space="preserve">   2022/01/31 12:57:04</t>
  </si>
  <si>
    <t xml:space="preserve">   2022/01/31 13:06:00</t>
  </si>
  <si>
    <t xml:space="preserve">   2022/01/31 13:14:56</t>
  </si>
  <si>
    <t xml:space="preserve">   2022/01/31 13:23:52</t>
  </si>
  <si>
    <t xml:space="preserve">   2022/01/31 13:32:48</t>
  </si>
  <si>
    <t xml:space="preserve">   2022/01/31 13:41:44</t>
  </si>
  <si>
    <t xml:space="preserve">   2022/01/31 13:50:40</t>
  </si>
  <si>
    <t xml:space="preserve">   2022/01/31 13:59:36</t>
  </si>
  <si>
    <t xml:space="preserve">   2022/01/31 14:08:32</t>
  </si>
  <si>
    <t xml:space="preserve">   2022/01/31 14:17:28</t>
  </si>
  <si>
    <t xml:space="preserve">   2022/01/31 14:26:24</t>
  </si>
  <si>
    <t xml:space="preserve">   2022/01/31 14:35:20</t>
  </si>
  <si>
    <t xml:space="preserve">   2022/01/31 14:44:16</t>
  </si>
  <si>
    <t xml:space="preserve">   2022/01/31 14:53:12</t>
  </si>
  <si>
    <t>Konza Prairie Biological Station</t>
  </si>
  <si>
    <t>AIMS</t>
  </si>
  <si>
    <t>WAIS_SFM01_2_RAW_20210607</t>
  </si>
  <si>
    <t>WAIS_SFM02_1_RAW_20210607</t>
  </si>
  <si>
    <t>WAIS_SFM03_1_RAW_20210607</t>
  </si>
  <si>
    <t>WAIS_SFM04_1_RAW_20210607</t>
  </si>
  <si>
    <t>WAIS_SFM05_1_RAW_20210607</t>
  </si>
  <si>
    <t>WAIS_SFM06_1_RAW_20210607</t>
  </si>
  <si>
    <t>WAIS_SFM07_1_RAW_20210607</t>
  </si>
  <si>
    <t>WAIS_SFT01_1_RAW_20210606</t>
  </si>
  <si>
    <t>WAIS_SFT02_1_RAW_20210606</t>
  </si>
  <si>
    <t>WAIS_01M01_1_RAW_20210607</t>
  </si>
  <si>
    <t>WAIS_01M02_1_RAW_20210607</t>
  </si>
  <si>
    <t>WAIS_01M03_1_RAW_20210607</t>
  </si>
  <si>
    <t>WAIS_01M04_1_RAW_20210607</t>
  </si>
  <si>
    <t>WAIS_01M05_1_RAW_20210607</t>
  </si>
  <si>
    <t>WAIS_01M06_1_RAW_20210607</t>
  </si>
  <si>
    <t>WAIS_20M04_1_RAW_20210607</t>
  </si>
  <si>
    <t>WAIS_20M05_1_RAW_20210607</t>
  </si>
  <si>
    <t>WAIS_02M01_1_RAW_20210607</t>
  </si>
  <si>
    <t xml:space="preserve">Changed vaporization module septa before run; if samples are dates 20210607, 95% of them were undated and this was drawn from the couple that were. Other samples that have different dates were pulled from dated bottles </t>
  </si>
  <si>
    <t>Delaney Peterson</t>
  </si>
  <si>
    <t>WAIS_02M02_1_RAW_20210607</t>
  </si>
  <si>
    <t>WAIS_02M03_1_RAW_20210607</t>
  </si>
  <si>
    <t>WAIS_02M05_1_RAW_20210607_spring</t>
  </si>
  <si>
    <t>WAIS_02M06_1_RAW_20210607</t>
  </si>
  <si>
    <t>WAIS_02M07_1_RAW_20210607</t>
  </si>
  <si>
    <t>WAIS_04M02_2_RAW_20210607</t>
  </si>
  <si>
    <t>WAIS_04M05_2_RAW_20210607</t>
  </si>
  <si>
    <t>WAIS_04M09_2_RAW_20210607</t>
  </si>
  <si>
    <t>WAIS_02M04_1_RAW_20210607</t>
  </si>
  <si>
    <t>WAIS_02M05_1_RAW_20210607</t>
  </si>
  <si>
    <t>WAIS_02M08_1_RAW_20210607</t>
  </si>
  <si>
    <t>WAIS_02M10_1_RAW_20210607</t>
  </si>
  <si>
    <t>WAIS_02M11_1_RAW_20210607</t>
  </si>
  <si>
    <t>WAIS_04M01_1_RAW_20210607</t>
  </si>
  <si>
    <t>WAIS_04M03_1_RAW_20210607</t>
  </si>
  <si>
    <t>WAIS_04M04_1_RAW_20210607</t>
  </si>
  <si>
    <t>WAIS_04M06_1_RAW_20210607</t>
  </si>
  <si>
    <t>WAIS_04M07_1_RAW_20210607</t>
  </si>
  <si>
    <t>WAIS_04M08_1_RAW__20210607</t>
  </si>
  <si>
    <t>WAIS_04M10_1_RAW_20210607</t>
  </si>
  <si>
    <t>WAIS_04M11_1_RAW_20210607</t>
  </si>
  <si>
    <t>WAIS_04W03_1_RAW_20210607</t>
  </si>
  <si>
    <t>WAIS_04W02_1_RAW_20210607</t>
  </si>
  <si>
    <t>WAIS_04W04_1_RAW_20210607</t>
  </si>
  <si>
    <t>WAIS_04T02_1_RAW_20210607</t>
  </si>
  <si>
    <t>WAIS_SFM01_1_RAW_20210723</t>
  </si>
  <si>
    <t>WAIS_SFM05_1_RAW_20210713</t>
  </si>
  <si>
    <t>WAIS_SFT01_1_RAW_20210713</t>
  </si>
  <si>
    <t>WAIS_01M02_1_RAW_20210713</t>
  </si>
  <si>
    <t>WAIS_01M05_1_RAW_20210713</t>
  </si>
  <si>
    <t>WAIS_20M05_1_RAW_20210713</t>
  </si>
  <si>
    <t>WAIS_02M05_1_RAW_20210713</t>
  </si>
  <si>
    <t>WAIS_02M07_1_RAW_20210713</t>
  </si>
  <si>
    <t>WAIS_02M10_1_RAW_20210713</t>
  </si>
  <si>
    <t>WAIS_02M11_1_RAW_20210713</t>
  </si>
  <si>
    <t>WAIS_04M01_1_RAW_20210713</t>
  </si>
  <si>
    <t>WAIS_04M04_1_RAW_20210713</t>
  </si>
  <si>
    <t>WAIS_04M06_1_RAW_20210713</t>
  </si>
  <si>
    <t>WAIS_04M08_1_RAW_20210713</t>
  </si>
  <si>
    <t>WAIS_04W03_1_RAW_20210713</t>
  </si>
  <si>
    <t>WAIS_04W04_1_RAW_20210713</t>
  </si>
  <si>
    <t>WAIS_N04D_1_RAW_20210723</t>
  </si>
  <si>
    <t>WAIS_SFT01_1_RAW_20210809</t>
  </si>
  <si>
    <t>WAIS_01M01_1_RAW_20210809</t>
  </si>
  <si>
    <t>WAIS_01M05_1_RAW_20210809</t>
  </si>
  <si>
    <t>WAIS_02M05_1_RAW_20210809</t>
  </si>
  <si>
    <t>WAIS_02M06_1_RAW_20210809</t>
  </si>
  <si>
    <t>WAIS_04M01_1_RAW_20210809</t>
  </si>
  <si>
    <t>WAIS_04M03_1_RAW_20210809</t>
  </si>
  <si>
    <t>WAIS_04M04_1_RAW_20210809</t>
  </si>
  <si>
    <t>WAIS_04M05_1_RAW_20210810_S</t>
  </si>
  <si>
    <t>WAIS_04M06_1_RAW_20210809</t>
  </si>
  <si>
    <t>WAIS_02M07_1_RAW_20210809</t>
  </si>
  <si>
    <t>WAIS_04M08_1_RAW_20210809</t>
  </si>
  <si>
    <t>WAIS_04M09_1_RAW_20210810_S</t>
  </si>
  <si>
    <t>WAIS_04W03_1_RAW_20210809</t>
  </si>
  <si>
    <t>WAIS_04W04_1_RAW_20210809</t>
  </si>
  <si>
    <t>CALIBRATION 1</t>
  </si>
  <si>
    <t>CALIBRATION 2</t>
  </si>
  <si>
    <t>CALIBRATION 3</t>
  </si>
  <si>
    <t>OUACHITA</t>
  </si>
  <si>
    <t>PASS?</t>
  </si>
  <si>
    <t>YES/NO</t>
  </si>
  <si>
    <t xml:space="preserve">Enter start time and date --&gt; </t>
  </si>
  <si>
    <t>Start Time</t>
  </si>
  <si>
    <t># Injections</t>
  </si>
  <si>
    <t>Run Ends</t>
  </si>
  <si>
    <t>Extra Replicate Comparisons</t>
  </si>
  <si>
    <t>WAIS_04M03_1_RAW_20210713</t>
  </si>
  <si>
    <t>Run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</si>
</sst>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0"/>
    <numFmt numFmtId="166" formatCode="0.000000"/>
    <numFmt numFmtId="167" formatCode="0.0"/>
    <numFmt numFmtId="168" formatCode="[$-409]m/d/yy\ h:mm\ AM/PM;@"/>
    <numFmt numFmtId="169" formatCode="[$-409]h:mm\ AM/PM;@"/>
  </numFmts>
  <fonts count="33"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1"/>
      <name val="Calibri"/>
      <family val="2"/>
      <scheme val="minor"/>
    </font>
    <font>
      <b/>
      <sz val="14"/>
      <color theme="1"/>
      <name val="Calibri"/>
      <family val="2"/>
      <scheme val="minor"/>
    </font>
    <font>
      <u/>
      <sz val="11"/>
      <color theme="10"/>
      <name val="Calibri"/>
      <family val="2"/>
      <scheme val="minor"/>
    </font>
    <font>
      <u/>
      <sz val="11"/>
      <color theme="11"/>
      <name val="Calibri"/>
      <family val="2"/>
      <scheme val="minor"/>
    </font>
    <font>
      <sz val="8"/>
      <name val="Verdana"/>
      <family val="2"/>
    </font>
    <font>
      <sz val="11"/>
      <color indexed="8"/>
      <name val="Calibri"/>
      <family val="2"/>
    </font>
    <font>
      <sz val="11"/>
      <color theme="1"/>
      <name val="Calibri"/>
      <family val="2"/>
    </font>
    <font>
      <b/>
      <sz val="9"/>
      <color rgb="FF000000"/>
      <name val="Tahoma"/>
      <family val="2"/>
    </font>
    <font>
      <sz val="9"/>
      <color rgb="FF000000"/>
      <name val="Tahoma"/>
      <family val="2"/>
    </font>
    <font>
      <i/>
      <sz val="11"/>
      <color theme="1"/>
      <name val="Calibri"/>
      <family val="2"/>
      <scheme val="minor"/>
    </font>
    <font>
      <b/>
      <i/>
      <sz val="11"/>
      <color theme="1"/>
      <name val="Calibri"/>
      <family val="2"/>
      <scheme val="minor"/>
    </font>
    <font>
      <sz val="11"/>
      <color rgb="FF000000"/>
      <name val="Calibri"/>
      <family val="2"/>
      <scheme val="minor"/>
    </font>
    <font>
      <b/>
      <sz val="11"/>
      <color rgb="FF000000"/>
      <name val="Calibri"/>
      <family val="2"/>
      <scheme val="minor"/>
    </font>
    <font>
      <b/>
      <sz val="11"/>
      <color rgb="FF000000"/>
      <name val="Calibri"/>
      <family val="2"/>
    </font>
    <font>
      <sz val="11"/>
      <name val="Calibri"/>
      <family val="2"/>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
      <patternFill patternType="solid">
        <fgColor theme="0" tint="-0.499984740745262"/>
        <bgColor indexed="64"/>
      </patternFill>
    </fill>
    <fill>
      <patternFill patternType="solid">
        <fgColor rgb="FFFFFF00"/>
        <bgColor indexed="64"/>
      </patternFill>
    </fill>
    <fill>
      <patternFill patternType="solid">
        <fgColor indexed="23"/>
        <bgColor indexed="64"/>
      </patternFill>
    </fill>
    <fill>
      <patternFill patternType="solid">
        <fgColor theme="0" tint="-0.249977111117893"/>
        <bgColor indexed="64"/>
      </patternFill>
    </fill>
    <fill>
      <patternFill patternType="solid">
        <fgColor theme="0"/>
        <bgColor indexed="64"/>
      </patternFill>
    </fill>
    <fill>
      <patternFill patternType="solid">
        <fgColor rgb="FFA6A6A6"/>
        <bgColor rgb="FF000000"/>
      </patternFill>
    </fill>
    <fill>
      <patternFill patternType="solid">
        <fgColor theme="9" tint="0.79998168889431442"/>
        <bgColor indexed="64"/>
      </patternFill>
    </fill>
    <fill>
      <patternFill patternType="solid">
        <fgColor rgb="FFE2EFDA"/>
        <bgColor rgb="FF000000"/>
      </patternFill>
    </fill>
    <fill>
      <patternFill patternType="solid">
        <fgColor rgb="FFD9D9D9"/>
        <bgColor rgb="FF000000"/>
      </patternFill>
    </fill>
    <fill>
      <patternFill patternType="solid">
        <fgColor rgb="FFDDEBF7"/>
        <bgColor rgb="FF000000"/>
      </patternFill>
    </fill>
    <fill>
      <patternFill patternType="solid">
        <fgColor rgb="FFFFFFFF"/>
        <bgColor rgb="FF000000"/>
      </patternFill>
    </fill>
    <fill>
      <patternFill patternType="solid">
        <fgColor rgb="FFFFF2CC"/>
        <bgColor rgb="FF000000"/>
      </patternFill>
    </fill>
  </fills>
  <borders count="9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style="thin">
        <color theme="0" tint="-0.249977111117893"/>
      </right>
      <top style="thin">
        <color theme="0" tint="-0.249977111117893"/>
      </top>
      <bottom style="thin">
        <color theme="0" tint="-0.249977111117893"/>
      </bottom>
      <diagonal/>
    </border>
    <border>
      <left/>
      <right style="thin">
        <color theme="0" tint="-0.249977111117893"/>
      </right>
      <top/>
      <bottom style="thin">
        <color theme="0" tint="-0.249977111117893"/>
      </bottom>
      <diagonal/>
    </border>
    <border>
      <left/>
      <right style="thin">
        <color theme="0" tint="-0.249977111117893"/>
      </right>
      <top/>
      <bottom/>
      <diagonal/>
    </border>
    <border>
      <left/>
      <right/>
      <top/>
      <bottom style="thin">
        <color theme="0" tint="-0.249977111117893"/>
      </bottom>
      <diagonal/>
    </border>
    <border>
      <left style="medium">
        <color theme="1"/>
      </left>
      <right/>
      <top style="medium">
        <color theme="1"/>
      </top>
      <bottom/>
      <diagonal/>
    </border>
    <border>
      <left style="thin">
        <color theme="0" tint="-0.249977111117893"/>
      </left>
      <right style="thin">
        <color theme="0" tint="-0.249977111117893"/>
      </right>
      <top style="medium">
        <color theme="1"/>
      </top>
      <bottom style="thin">
        <color theme="0" tint="-0.249977111117893"/>
      </bottom>
      <diagonal/>
    </border>
    <border>
      <left/>
      <right style="medium">
        <color theme="1"/>
      </right>
      <top style="medium">
        <color theme="1"/>
      </top>
      <bottom/>
      <diagonal/>
    </border>
    <border>
      <left style="medium">
        <color theme="1"/>
      </left>
      <right style="thin">
        <color theme="0" tint="-0.249977111117893"/>
      </right>
      <top style="thin">
        <color theme="0" tint="-0.249977111117893"/>
      </top>
      <bottom/>
      <diagonal/>
    </border>
    <border>
      <left/>
      <right style="medium">
        <color theme="1"/>
      </right>
      <top style="thin">
        <color theme="0" tint="-0.249977111117893"/>
      </top>
      <bottom/>
      <diagonal/>
    </border>
    <border>
      <left style="medium">
        <color theme="1"/>
      </left>
      <right style="thin">
        <color theme="0" tint="-0.249977111117893"/>
      </right>
      <top style="thin">
        <color theme="0" tint="-0.249977111117893"/>
      </top>
      <bottom style="thin">
        <color theme="0" tint="-0.249977111117893"/>
      </bottom>
      <diagonal/>
    </border>
    <border>
      <left/>
      <right style="medium">
        <color theme="1"/>
      </right>
      <top style="thin">
        <color theme="0" tint="-0.249977111117893"/>
      </top>
      <bottom style="thin">
        <color theme="0" tint="-0.249977111117893"/>
      </bottom>
      <diagonal/>
    </border>
    <border>
      <left style="medium">
        <color theme="1"/>
      </left>
      <right style="thin">
        <color theme="0" tint="-0.249977111117893"/>
      </right>
      <top/>
      <bottom style="thin">
        <color theme="0" tint="-0.249977111117893"/>
      </bottom>
      <diagonal/>
    </border>
    <border>
      <left/>
      <right style="medium">
        <color theme="1"/>
      </right>
      <top/>
      <bottom/>
      <diagonal/>
    </border>
    <border>
      <left style="medium">
        <color theme="1"/>
      </left>
      <right style="thin">
        <color theme="0" tint="-0.249977111117893"/>
      </right>
      <top/>
      <bottom/>
      <diagonal/>
    </border>
    <border>
      <left style="thin">
        <color theme="0" tint="-0.249977111117893"/>
      </left>
      <right style="medium">
        <color theme="1"/>
      </right>
      <top/>
      <bottom style="thin">
        <color theme="0" tint="-0.249977111117893"/>
      </bottom>
      <diagonal/>
    </border>
    <border>
      <left style="thin">
        <color theme="0" tint="-0.249977111117893"/>
      </left>
      <right style="medium">
        <color theme="1"/>
      </right>
      <top style="thin">
        <color theme="0" tint="-0.249977111117893"/>
      </top>
      <bottom style="thin">
        <color theme="0" tint="-0.249977111117893"/>
      </bottom>
      <diagonal/>
    </border>
    <border>
      <left style="thin">
        <color theme="0" tint="-0.249977111117893"/>
      </left>
      <right style="medium">
        <color theme="1"/>
      </right>
      <top/>
      <bottom/>
      <diagonal/>
    </border>
    <border>
      <left style="thin">
        <color theme="0" tint="-0.249977111117893"/>
      </left>
      <right style="medium">
        <color theme="1"/>
      </right>
      <top style="thin">
        <color theme="0" tint="-0.249977111117893"/>
      </top>
      <bottom/>
      <diagonal/>
    </border>
    <border>
      <left/>
      <right style="medium">
        <color theme="1"/>
      </right>
      <top/>
      <bottom style="thin">
        <color theme="0" tint="-0.249977111117893"/>
      </bottom>
      <diagonal/>
    </border>
    <border>
      <left style="medium">
        <color theme="1"/>
      </left>
      <right/>
      <top/>
      <bottom/>
      <diagonal/>
    </border>
    <border>
      <left style="medium">
        <color theme="1"/>
      </left>
      <right/>
      <top/>
      <bottom style="thin">
        <color theme="0" tint="-0.249977111117893"/>
      </bottom>
      <diagonal/>
    </border>
    <border>
      <left style="medium">
        <color theme="1"/>
      </left>
      <right/>
      <top/>
      <bottom style="medium">
        <color theme="0" tint="-0.249977111117893"/>
      </bottom>
      <diagonal/>
    </border>
    <border>
      <left style="thin">
        <color auto="1"/>
      </left>
      <right style="medium">
        <color auto="1"/>
      </right>
      <top/>
      <bottom style="thin">
        <color auto="1"/>
      </bottom>
      <diagonal/>
    </border>
    <border>
      <left style="medium">
        <color auto="1"/>
      </left>
      <right style="thin">
        <color auto="1"/>
      </right>
      <top style="thin">
        <color auto="1"/>
      </top>
      <bottom style="double">
        <color indexed="64"/>
      </bottom>
      <diagonal/>
    </border>
    <border>
      <left style="thin">
        <color auto="1"/>
      </left>
      <right style="thin">
        <color auto="1"/>
      </right>
      <top style="thin">
        <color auto="1"/>
      </top>
      <bottom style="double">
        <color indexed="64"/>
      </bottom>
      <diagonal/>
    </border>
    <border>
      <left style="thin">
        <color auto="1"/>
      </left>
      <right style="medium">
        <color auto="1"/>
      </right>
      <top style="thin">
        <color auto="1"/>
      </top>
      <bottom style="double">
        <color indexed="64"/>
      </bottom>
      <diagonal/>
    </border>
    <border>
      <left style="medium">
        <color auto="1"/>
      </left>
      <right style="thin">
        <color auto="1"/>
      </right>
      <top/>
      <bottom/>
      <diagonal/>
    </border>
    <border>
      <left style="thin">
        <color auto="1"/>
      </left>
      <right style="thin">
        <color auto="1"/>
      </right>
      <top/>
      <bottom/>
      <diagonal/>
    </border>
    <border>
      <left/>
      <right style="medium">
        <color auto="1"/>
      </right>
      <top style="thin">
        <color indexed="64"/>
      </top>
      <bottom/>
      <diagonal/>
    </border>
    <border>
      <left style="medium">
        <color indexed="64"/>
      </left>
      <right style="medium">
        <color auto="1"/>
      </right>
      <top/>
      <bottom style="thin">
        <color indexed="64"/>
      </bottom>
      <diagonal/>
    </border>
    <border>
      <left/>
      <right style="medium">
        <color auto="1"/>
      </right>
      <top/>
      <bottom style="thin">
        <color indexed="64"/>
      </bottom>
      <diagonal/>
    </border>
    <border>
      <left style="medium">
        <color auto="1"/>
      </left>
      <right/>
      <top/>
      <bottom style="thin">
        <color indexed="64"/>
      </bottom>
      <diagonal/>
    </border>
    <border>
      <left style="medium">
        <color indexed="64"/>
      </left>
      <right/>
      <top style="thin">
        <color indexed="64"/>
      </top>
      <bottom/>
      <diagonal/>
    </border>
    <border>
      <left style="medium">
        <color indexed="64"/>
      </left>
      <right/>
      <top/>
      <bottom style="double">
        <color indexed="64"/>
      </bottom>
      <diagonal/>
    </border>
    <border>
      <left/>
      <right/>
      <top/>
      <bottom style="double">
        <color indexed="64"/>
      </bottom>
      <diagonal/>
    </border>
    <border>
      <left/>
      <right style="medium">
        <color rgb="FF000000"/>
      </right>
      <top style="medium">
        <color indexed="64"/>
      </top>
      <bottom/>
      <diagonal/>
    </border>
    <border>
      <left style="medium">
        <color theme="1"/>
      </left>
      <right/>
      <top/>
      <bottom style="medium">
        <color indexed="64"/>
      </bottom>
      <diagonal/>
    </border>
    <border>
      <left/>
      <right style="medium">
        <color theme="1"/>
      </right>
      <top/>
      <bottom style="medium">
        <color indexed="64"/>
      </bottom>
      <diagonal/>
    </border>
    <border>
      <left style="medium">
        <color theme="1"/>
      </left>
      <right/>
      <top/>
      <bottom style="double">
        <color indexed="64"/>
      </bottom>
      <diagonal/>
    </border>
    <border>
      <left style="thin">
        <color theme="0" tint="-0.249977111117893"/>
      </left>
      <right/>
      <top/>
      <bottom style="double">
        <color indexed="64"/>
      </bottom>
      <diagonal/>
    </border>
    <border>
      <left/>
      <right style="medium">
        <color theme="1"/>
      </right>
      <top/>
      <bottom style="double">
        <color indexed="64"/>
      </bottom>
      <diagonal/>
    </border>
    <border>
      <left/>
      <right style="thin">
        <color theme="0" tint="-0.249977111117893"/>
      </right>
      <top style="medium">
        <color indexed="64"/>
      </top>
      <bottom/>
      <diagonal/>
    </border>
    <border>
      <left style="medium">
        <color auto="1"/>
      </left>
      <right style="thin">
        <color indexed="64"/>
      </right>
      <top style="medium">
        <color auto="1"/>
      </top>
      <bottom/>
      <diagonal/>
    </border>
    <border>
      <left style="medium">
        <color auto="1"/>
      </left>
      <right style="thin">
        <color indexed="64"/>
      </right>
      <top/>
      <bottom style="medium">
        <color auto="1"/>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cellStyleXfs>
  <cellXfs count="306">
    <xf numFmtId="0" fontId="0" fillId="0" borderId="0" xfId="0"/>
    <xf numFmtId="0" fontId="0" fillId="0" borderId="0" xfId="0" applyAlignment="1">
      <alignment horizontal="center"/>
    </xf>
    <xf numFmtId="0" fontId="0" fillId="0" borderId="0" xfId="0" applyAlignment="1">
      <alignment horizontal="center" vertical="center"/>
    </xf>
    <xf numFmtId="0" fontId="16" fillId="0" borderId="0" xfId="0" applyFont="1" applyAlignment="1">
      <alignment horizontal="center" vertical="center"/>
    </xf>
    <xf numFmtId="0" fontId="0" fillId="0" borderId="10" xfId="0" applyBorder="1" applyAlignment="1">
      <alignment horizontal="center" vertical="center"/>
    </xf>
    <xf numFmtId="0" fontId="18" fillId="0" borderId="0" xfId="0" applyFont="1"/>
    <xf numFmtId="0" fontId="0" fillId="0" borderId="25" xfId="0" applyBorder="1" applyAlignment="1">
      <alignment horizontal="center" vertical="center"/>
    </xf>
    <xf numFmtId="0" fontId="0" fillId="0" borderId="30" xfId="0" applyBorder="1" applyAlignment="1">
      <alignment horizontal="center" vertical="center"/>
    </xf>
    <xf numFmtId="0" fontId="0" fillId="0" borderId="27" xfId="0" applyBorder="1" applyAlignment="1">
      <alignment horizontal="center" vertical="center"/>
    </xf>
    <xf numFmtId="0" fontId="0" fillId="0" borderId="32" xfId="0" applyBorder="1"/>
    <xf numFmtId="0" fontId="0" fillId="0" borderId="35" xfId="0" applyBorder="1"/>
    <xf numFmtId="0" fontId="0" fillId="0" borderId="33" xfId="0" applyBorder="1"/>
    <xf numFmtId="0" fontId="0" fillId="0" borderId="34" xfId="0" applyBorder="1"/>
    <xf numFmtId="0" fontId="0" fillId="0" borderId="35" xfId="0" applyBorder="1" applyAlignment="1">
      <alignment horizontal="center"/>
    </xf>
    <xf numFmtId="0" fontId="0" fillId="0" borderId="32" xfId="0" applyBorder="1" applyAlignment="1">
      <alignment horizontal="center"/>
    </xf>
    <xf numFmtId="0" fontId="0" fillId="0" borderId="10" xfId="0" applyBorder="1" applyAlignment="1">
      <alignment horizontal="center"/>
    </xf>
    <xf numFmtId="0" fontId="0" fillId="0" borderId="24" xfId="0" applyBorder="1" applyAlignment="1">
      <alignment horizontal="center"/>
    </xf>
    <xf numFmtId="0" fontId="0" fillId="0" borderId="26" xfId="0" applyBorder="1" applyAlignment="1">
      <alignment horizontal="center"/>
    </xf>
    <xf numFmtId="0" fontId="0" fillId="0" borderId="30" xfId="0" applyBorder="1" applyAlignment="1">
      <alignment horizontal="center"/>
    </xf>
    <xf numFmtId="0" fontId="0" fillId="0" borderId="40" xfId="0" applyBorder="1" applyAlignment="1">
      <alignment horizontal="center"/>
    </xf>
    <xf numFmtId="0" fontId="0" fillId="0" borderId="28" xfId="0" applyBorder="1" applyAlignment="1">
      <alignment horizontal="center"/>
    </xf>
    <xf numFmtId="0" fontId="16" fillId="33" borderId="41" xfId="0" applyFont="1" applyFill="1" applyBorder="1" applyAlignment="1">
      <alignment horizontal="center"/>
    </xf>
    <xf numFmtId="0" fontId="16" fillId="33" borderId="42" xfId="0" applyFont="1" applyFill="1" applyBorder="1"/>
    <xf numFmtId="18" fontId="0" fillId="0" borderId="0" xfId="0" applyNumberFormat="1"/>
    <xf numFmtId="0" fontId="16" fillId="0" borderId="0" xfId="0" applyFont="1" applyAlignment="1">
      <alignment horizontal="center" vertical="center" wrapText="1"/>
    </xf>
    <xf numFmtId="0" fontId="0" fillId="0" borderId="22" xfId="0" applyBorder="1" applyAlignment="1">
      <alignment horizontal="center" vertical="center"/>
    </xf>
    <xf numFmtId="0" fontId="0" fillId="0" borderId="29"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6" xfId="0" applyBorder="1" applyAlignment="1">
      <alignment horizontal="center" vertical="center"/>
    </xf>
    <xf numFmtId="22" fontId="0" fillId="0" borderId="0" xfId="0" applyNumberFormat="1"/>
    <xf numFmtId="0" fontId="16" fillId="33" borderId="39" xfId="0" applyFont="1" applyFill="1" applyBorder="1" applyAlignment="1">
      <alignment horizontal="center"/>
    </xf>
    <xf numFmtId="0" fontId="16" fillId="33" borderId="38" xfId="0" applyFont="1" applyFill="1" applyBorder="1" applyAlignment="1">
      <alignment horizontal="center"/>
    </xf>
    <xf numFmtId="0" fontId="16" fillId="33" borderId="37" xfId="0" applyFont="1" applyFill="1" applyBorder="1" applyAlignment="1">
      <alignment horizontal="center"/>
    </xf>
    <xf numFmtId="0" fontId="0" fillId="0" borderId="36" xfId="0" applyBorder="1" applyAlignment="1">
      <alignment horizontal="center"/>
    </xf>
    <xf numFmtId="0" fontId="0" fillId="0" borderId="33" xfId="0" applyBorder="1" applyAlignment="1">
      <alignment horizontal="center"/>
    </xf>
    <xf numFmtId="0" fontId="0" fillId="0" borderId="34" xfId="0" applyBorder="1" applyAlignment="1">
      <alignment horizontal="center"/>
    </xf>
    <xf numFmtId="2" fontId="0" fillId="0" borderId="0" xfId="0" applyNumberFormat="1" applyAlignment="1">
      <alignment horizontal="center"/>
    </xf>
    <xf numFmtId="2" fontId="0" fillId="0" borderId="36" xfId="0" applyNumberFormat="1" applyBorder="1" applyAlignment="1">
      <alignment horizontal="center"/>
    </xf>
    <xf numFmtId="0" fontId="14" fillId="35" borderId="45" xfId="0" applyFont="1" applyFill="1" applyBorder="1" applyAlignment="1">
      <alignment horizontal="center"/>
    </xf>
    <xf numFmtId="0" fontId="0" fillId="33" borderId="31" xfId="0" applyFill="1" applyBorder="1" applyAlignment="1">
      <alignment horizontal="center" vertical="center"/>
    </xf>
    <xf numFmtId="0" fontId="0" fillId="33" borderId="39" xfId="0" applyFill="1" applyBorder="1" applyAlignment="1">
      <alignment horizontal="center" vertical="center"/>
    </xf>
    <xf numFmtId="0" fontId="0" fillId="33" borderId="38" xfId="0" applyFill="1" applyBorder="1" applyAlignment="1">
      <alignment horizontal="center" vertical="center"/>
    </xf>
    <xf numFmtId="0" fontId="0" fillId="33" borderId="37" xfId="0" applyFill="1" applyBorder="1" applyAlignment="1">
      <alignment horizontal="center" vertical="center"/>
    </xf>
    <xf numFmtId="0" fontId="0" fillId="0" borderId="35" xfId="0" applyBorder="1" applyAlignment="1">
      <alignment horizontal="center" vertical="center"/>
    </xf>
    <xf numFmtId="2" fontId="0" fillId="0" borderId="0" xfId="0" applyNumberFormat="1" applyAlignment="1">
      <alignment horizontal="center" vertical="center"/>
    </xf>
    <xf numFmtId="0" fontId="0" fillId="0" borderId="36" xfId="0" applyBorder="1" applyAlignment="1">
      <alignment horizontal="center" vertical="center"/>
    </xf>
    <xf numFmtId="0" fontId="0" fillId="0" borderId="32" xfId="0" applyBorder="1" applyAlignment="1">
      <alignment horizontal="center" vertical="center"/>
    </xf>
    <xf numFmtId="2" fontId="0" fillId="0" borderId="33" xfId="0" applyNumberFormat="1"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19" fillId="34" borderId="44" xfId="0" applyFont="1" applyFill="1" applyBorder="1" applyAlignment="1">
      <alignment horizontal="center" vertical="center"/>
    </xf>
    <xf numFmtId="0" fontId="23" fillId="0" borderId="25" xfId="0" applyFont="1" applyBorder="1" applyAlignment="1">
      <alignment horizontal="center" vertical="center"/>
    </xf>
    <xf numFmtId="0" fontId="23" fillId="0" borderId="0" xfId="0" applyFont="1" applyAlignment="1">
      <alignment horizontal="center" vertical="center"/>
    </xf>
    <xf numFmtId="164" fontId="16" fillId="33" borderId="43" xfId="0" applyNumberFormat="1" applyFont="1" applyFill="1" applyBorder="1" applyAlignment="1">
      <alignment horizontal="center"/>
    </xf>
    <xf numFmtId="10" fontId="0" fillId="0" borderId="0" xfId="0" applyNumberFormat="1"/>
    <xf numFmtId="165" fontId="0" fillId="0" borderId="0" xfId="0" applyNumberFormat="1"/>
    <xf numFmtId="165" fontId="0" fillId="0" borderId="36" xfId="0" applyNumberFormat="1" applyBorder="1"/>
    <xf numFmtId="166" fontId="0" fillId="0" borderId="33" xfId="0" applyNumberFormat="1" applyBorder="1"/>
    <xf numFmtId="166" fontId="0" fillId="0" borderId="34" xfId="0" applyNumberFormat="1" applyBorder="1"/>
    <xf numFmtId="164" fontId="0" fillId="0" borderId="35" xfId="0" applyNumberFormat="1" applyBorder="1"/>
    <xf numFmtId="0" fontId="0" fillId="33" borderId="37" xfId="0" applyFill="1" applyBorder="1" applyAlignment="1">
      <alignment horizontal="center"/>
    </xf>
    <xf numFmtId="0" fontId="0" fillId="33" borderId="38" xfId="0" applyFill="1" applyBorder="1" applyAlignment="1">
      <alignment horizontal="center"/>
    </xf>
    <xf numFmtId="0" fontId="0" fillId="33" borderId="39" xfId="0" applyFill="1" applyBorder="1" applyAlignment="1">
      <alignment horizontal="center"/>
    </xf>
    <xf numFmtId="9" fontId="0" fillId="37" borderId="35" xfId="0" applyNumberFormat="1" applyFill="1" applyBorder="1"/>
    <xf numFmtId="0" fontId="0" fillId="37" borderId="0" xfId="0" applyFill="1"/>
    <xf numFmtId="9" fontId="0" fillId="37" borderId="36" xfId="0" applyNumberFormat="1" applyFill="1" applyBorder="1"/>
    <xf numFmtId="0" fontId="14" fillId="35" borderId="46" xfId="0" applyFont="1" applyFill="1" applyBorder="1" applyAlignment="1">
      <alignment horizontal="center"/>
    </xf>
    <xf numFmtId="2" fontId="0" fillId="0" borderId="33" xfId="0" applyNumberFormat="1" applyBorder="1" applyAlignment="1">
      <alignment horizontal="center"/>
    </xf>
    <xf numFmtId="2" fontId="0" fillId="0" borderId="34" xfId="0" applyNumberFormat="1" applyBorder="1" applyAlignment="1">
      <alignment horizontal="center"/>
    </xf>
    <xf numFmtId="0" fontId="0" fillId="0" borderId="56" xfId="0" applyBorder="1"/>
    <xf numFmtId="0" fontId="0" fillId="34" borderId="49" xfId="0" applyFill="1" applyBorder="1"/>
    <xf numFmtId="0" fontId="0" fillId="38" borderId="62" xfId="0" applyFill="1" applyBorder="1"/>
    <xf numFmtId="0" fontId="0" fillId="0" borderId="64" xfId="0" applyBorder="1"/>
    <xf numFmtId="0" fontId="0" fillId="0" borderId="66" xfId="0" applyBorder="1"/>
    <xf numFmtId="0" fontId="0" fillId="0" borderId="60" xfId="0" applyBorder="1"/>
    <xf numFmtId="0" fontId="0" fillId="0" borderId="62" xfId="0" applyBorder="1"/>
    <xf numFmtId="0" fontId="23" fillId="0" borderId="64" xfId="0" applyFont="1" applyBorder="1"/>
    <xf numFmtId="0" fontId="0" fillId="35" borderId="60" xfId="0" applyFill="1" applyBorder="1"/>
    <xf numFmtId="0" fontId="0" fillId="0" borderId="72" xfId="0" applyBorder="1"/>
    <xf numFmtId="0" fontId="0" fillId="35" borderId="72" xfId="0" applyFill="1" applyBorder="1"/>
    <xf numFmtId="0" fontId="23" fillId="35" borderId="72" xfId="0" applyFont="1" applyFill="1" applyBorder="1"/>
    <xf numFmtId="0" fontId="0" fillId="0" borderId="73" xfId="0" applyBorder="1"/>
    <xf numFmtId="0" fontId="0" fillId="35" borderId="64" xfId="0" applyFill="1" applyBorder="1"/>
    <xf numFmtId="0" fontId="0" fillId="35" borderId="66" xfId="0" applyFill="1" applyBorder="1"/>
    <xf numFmtId="0" fontId="0" fillId="0" borderId="10" xfId="0" applyBorder="1" applyAlignment="1">
      <alignment horizontal="center" vertical="center" wrapText="1"/>
    </xf>
    <xf numFmtId="167" fontId="0" fillId="0" borderId="0" xfId="0" applyNumberFormat="1"/>
    <xf numFmtId="0" fontId="0" fillId="0" borderId="40" xfId="0" applyBorder="1" applyAlignment="1">
      <alignment horizontal="center" vertical="center"/>
    </xf>
    <xf numFmtId="0" fontId="0" fillId="0" borderId="28" xfId="0" applyBorder="1" applyAlignment="1">
      <alignment horizontal="center" vertical="center"/>
    </xf>
    <xf numFmtId="0" fontId="0" fillId="0" borderId="75" xfId="0" applyBorder="1" applyAlignment="1">
      <alignment horizontal="center" vertical="center"/>
    </xf>
    <xf numFmtId="0" fontId="0" fillId="0" borderId="40" xfId="0" applyBorder="1"/>
    <xf numFmtId="0" fontId="0" fillId="0" borderId="28" xfId="0" applyBorder="1"/>
    <xf numFmtId="0" fontId="0" fillId="0" borderId="75" xfId="0" applyBorder="1"/>
    <xf numFmtId="0" fontId="0" fillId="0" borderId="0" xfId="0" applyAlignment="1">
      <alignment horizontal="center" vertical="center" wrapText="1"/>
    </xf>
    <xf numFmtId="0" fontId="27" fillId="0" borderId="0" xfId="0" applyFont="1" applyAlignment="1">
      <alignment horizontal="center" vertical="center" wrapText="1"/>
    </xf>
    <xf numFmtId="0" fontId="27" fillId="0" borderId="0" xfId="0" applyFont="1" applyAlignment="1">
      <alignment horizontal="center" vertical="center"/>
    </xf>
    <xf numFmtId="0" fontId="28" fillId="0" borderId="0" xfId="0" applyFont="1" applyAlignment="1">
      <alignment horizontal="center" vertical="center"/>
    </xf>
    <xf numFmtId="0" fontId="0" fillId="0" borderId="30" xfId="0" applyBorder="1" applyAlignment="1">
      <alignment horizontal="center" vertical="center" wrapText="1"/>
    </xf>
    <xf numFmtId="0" fontId="0" fillId="0" borderId="22" xfId="0" applyBorder="1" applyAlignment="1">
      <alignment horizontal="center" vertical="center" wrapText="1"/>
    </xf>
    <xf numFmtId="0" fontId="0" fillId="0" borderId="29" xfId="0" applyBorder="1" applyAlignment="1">
      <alignment horizontal="center" vertical="center" wrapText="1"/>
    </xf>
    <xf numFmtId="0" fontId="0" fillId="0" borderId="24" xfId="0" applyBorder="1" applyAlignment="1">
      <alignment horizontal="center" vertical="center" wrapText="1"/>
    </xf>
    <xf numFmtId="0" fontId="0" fillId="0" borderId="76" xfId="0" applyBorder="1" applyAlignment="1">
      <alignment horizontal="center" vertical="center" wrapText="1"/>
    </xf>
    <xf numFmtId="0" fontId="0" fillId="0" borderId="77" xfId="0" applyBorder="1" applyAlignment="1">
      <alignment horizontal="center" vertical="center" wrapText="1"/>
    </xf>
    <xf numFmtId="0" fontId="0" fillId="0" borderId="79" xfId="0" applyBorder="1" applyAlignment="1">
      <alignment horizontal="center" vertical="center" wrapText="1"/>
    </xf>
    <xf numFmtId="0" fontId="0" fillId="0" borderId="80" xfId="0" applyBorder="1" applyAlignment="1">
      <alignment horizontal="center" vertical="center" wrapText="1"/>
    </xf>
    <xf numFmtId="0" fontId="16" fillId="0" borderId="78" xfId="0" applyFont="1" applyBorder="1" applyAlignment="1">
      <alignment horizontal="center" vertical="center" wrapText="1"/>
    </xf>
    <xf numFmtId="0" fontId="0" fillId="0" borderId="40" xfId="0" applyBorder="1" applyAlignment="1">
      <alignment horizontal="center" vertical="center" wrapText="1"/>
    </xf>
    <xf numFmtId="0" fontId="0" fillId="0" borderId="28" xfId="0" applyBorder="1" applyAlignment="1">
      <alignment horizontal="center" vertical="center" wrapText="1"/>
    </xf>
    <xf numFmtId="0" fontId="0" fillId="0" borderId="27" xfId="0" applyBorder="1" applyAlignment="1">
      <alignment horizontal="center" vertical="center" wrapText="1"/>
    </xf>
    <xf numFmtId="0" fontId="16" fillId="0" borderId="29" xfId="0" applyFont="1" applyBorder="1" applyAlignment="1">
      <alignment horizontal="center" vertical="center" wrapText="1"/>
    </xf>
    <xf numFmtId="0" fontId="16" fillId="0" borderId="23" xfId="0" applyFont="1" applyBorder="1" applyAlignment="1">
      <alignment horizontal="center" vertical="center" wrapText="1"/>
    </xf>
    <xf numFmtId="0" fontId="16" fillId="0" borderId="25" xfId="0" applyFont="1" applyBorder="1" applyAlignment="1">
      <alignment horizontal="center" vertical="center" wrapText="1"/>
    </xf>
    <xf numFmtId="0" fontId="16" fillId="0" borderId="75" xfId="0" applyFont="1" applyBorder="1" applyAlignment="1">
      <alignment horizontal="center" vertical="center" wrapText="1"/>
    </xf>
    <xf numFmtId="0" fontId="16" fillId="0" borderId="28" xfId="0" applyFont="1" applyBorder="1" applyAlignment="1">
      <alignment horizontal="center" vertical="center" wrapText="1"/>
    </xf>
    <xf numFmtId="0" fontId="16" fillId="0" borderId="26" xfId="0" applyFont="1" applyBorder="1" applyAlignment="1">
      <alignment horizontal="center" vertical="center" wrapText="1"/>
    </xf>
    <xf numFmtId="0" fontId="16" fillId="0" borderId="30" xfId="0" applyFont="1" applyBorder="1" applyAlignment="1">
      <alignment horizontal="center" vertical="center" wrapText="1"/>
    </xf>
    <xf numFmtId="2" fontId="0" fillId="0" borderId="0" xfId="0" applyNumberFormat="1"/>
    <xf numFmtId="2" fontId="29" fillId="0" borderId="10" xfId="0" applyNumberFormat="1" applyFont="1" applyBorder="1" applyAlignment="1">
      <alignment horizontal="center" vertical="center"/>
    </xf>
    <xf numFmtId="2" fontId="0" fillId="0" borderId="10" xfId="0" applyNumberFormat="1" applyBorder="1" applyAlignment="1">
      <alignment horizontal="center" vertical="center"/>
    </xf>
    <xf numFmtId="0" fontId="23" fillId="0" borderId="27" xfId="0" applyFont="1" applyBorder="1" applyAlignment="1">
      <alignment horizontal="center" vertical="center"/>
    </xf>
    <xf numFmtId="2" fontId="16" fillId="33" borderId="42" xfId="0" applyNumberFormat="1" applyFont="1" applyFill="1" applyBorder="1" applyAlignment="1">
      <alignment horizontal="center" vertical="center"/>
    </xf>
    <xf numFmtId="2" fontId="16" fillId="33" borderId="43" xfId="0" applyNumberFormat="1" applyFont="1" applyFill="1" applyBorder="1" applyAlignment="1">
      <alignment horizontal="center" vertical="center"/>
    </xf>
    <xf numFmtId="2" fontId="0" fillId="0" borderId="28" xfId="0" applyNumberFormat="1" applyBorder="1" applyAlignment="1">
      <alignment horizontal="center" vertical="center"/>
    </xf>
    <xf numFmtId="2" fontId="24" fillId="0" borderId="28" xfId="0" applyNumberFormat="1" applyFont="1" applyBorder="1" applyAlignment="1">
      <alignment horizontal="center" vertical="center"/>
    </xf>
    <xf numFmtId="2" fontId="0" fillId="0" borderId="30" xfId="0" applyNumberFormat="1" applyBorder="1" applyAlignment="1">
      <alignment horizontal="center" vertical="center"/>
    </xf>
    <xf numFmtId="0" fontId="16" fillId="33" borderId="42" xfId="0" applyFont="1" applyFill="1" applyBorder="1" applyAlignment="1">
      <alignment horizontal="left" vertical="center"/>
    </xf>
    <xf numFmtId="0" fontId="0" fillId="0" borderId="28" xfId="0" applyBorder="1" applyAlignment="1">
      <alignment horizontal="left" vertical="top"/>
    </xf>
    <xf numFmtId="0" fontId="0" fillId="0" borderId="10" xfId="0" applyBorder="1" applyAlignment="1">
      <alignment horizontal="left"/>
    </xf>
    <xf numFmtId="0" fontId="0" fillId="0" borderId="10" xfId="0" applyBorder="1" applyAlignment="1">
      <alignment horizontal="left" vertical="center"/>
    </xf>
    <xf numFmtId="0" fontId="0" fillId="0" borderId="30" xfId="0" applyBorder="1" applyAlignment="1">
      <alignment horizontal="left"/>
    </xf>
    <xf numFmtId="0" fontId="0" fillId="0" borderId="0" xfId="0" applyAlignment="1">
      <alignment horizontal="left" vertical="center"/>
    </xf>
    <xf numFmtId="2" fontId="0" fillId="0" borderId="11" xfId="0" applyNumberFormat="1" applyBorder="1" applyAlignment="1">
      <alignment horizontal="center"/>
    </xf>
    <xf numFmtId="2" fontId="0" fillId="0" borderId="81" xfId="0" applyNumberFormat="1" applyBorder="1" applyAlignment="1">
      <alignment horizontal="center"/>
    </xf>
    <xf numFmtId="0" fontId="14" fillId="35" borderId="82" xfId="0" applyFont="1" applyFill="1" applyBorder="1" applyAlignment="1">
      <alignment horizontal="center"/>
    </xf>
    <xf numFmtId="2" fontId="0" fillId="0" borderId="18" xfId="0" applyNumberFormat="1" applyBorder="1" applyAlignment="1">
      <alignment horizontal="center"/>
    </xf>
    <xf numFmtId="2" fontId="0" fillId="0" borderId="83" xfId="0" applyNumberFormat="1" applyBorder="1" applyAlignment="1">
      <alignment horizontal="center"/>
    </xf>
    <xf numFmtId="2" fontId="0" fillId="0" borderId="18" xfId="0" applyNumberFormat="1" applyBorder="1" applyAlignment="1">
      <alignment horizontal="center" vertical="center"/>
    </xf>
    <xf numFmtId="0" fontId="0" fillId="0" borderId="18" xfId="0" applyBorder="1" applyAlignment="1">
      <alignment horizontal="center" vertical="center"/>
    </xf>
    <xf numFmtId="0" fontId="0" fillId="0" borderId="83" xfId="0" applyBorder="1" applyAlignment="1">
      <alignment horizontal="center" vertical="center"/>
    </xf>
    <xf numFmtId="0" fontId="0" fillId="0" borderId="84" xfId="0" applyBorder="1" applyAlignment="1">
      <alignment horizontal="center" vertical="center"/>
    </xf>
    <xf numFmtId="0" fontId="14" fillId="35" borderId="35" xfId="0" applyFont="1" applyFill="1" applyBorder="1" applyAlignment="1">
      <alignment horizontal="center"/>
    </xf>
    <xf numFmtId="0" fontId="0" fillId="0" borderId="84" xfId="0" applyBorder="1" applyAlignment="1">
      <alignment horizontal="center"/>
    </xf>
    <xf numFmtId="0" fontId="0" fillId="0" borderId="85" xfId="0" applyBorder="1" applyAlignment="1">
      <alignment horizontal="center"/>
    </xf>
    <xf numFmtId="0" fontId="0" fillId="33" borderId="32" xfId="0" applyFill="1" applyBorder="1"/>
    <xf numFmtId="0" fontId="16" fillId="33" borderId="33" xfId="0" applyFont="1" applyFill="1" applyBorder="1"/>
    <xf numFmtId="0" fontId="16" fillId="33" borderId="34" xfId="0" applyFont="1" applyFill="1" applyBorder="1"/>
    <xf numFmtId="0" fontId="29" fillId="39" borderId="32" xfId="0" applyFont="1" applyFill="1" applyBorder="1"/>
    <xf numFmtId="0" fontId="30" fillId="39" borderId="33" xfId="0" applyFont="1" applyFill="1" applyBorder="1"/>
    <xf numFmtId="0" fontId="30" fillId="39" borderId="34" xfId="0" applyFont="1" applyFill="1" applyBorder="1"/>
    <xf numFmtId="0" fontId="29" fillId="0" borderId="35" xfId="0" applyFont="1" applyBorder="1"/>
    <xf numFmtId="0" fontId="29" fillId="0" borderId="32" xfId="0" applyFont="1" applyBorder="1"/>
    <xf numFmtId="0" fontId="14" fillId="35" borderId="0" xfId="0" applyFont="1" applyFill="1" applyAlignment="1">
      <alignment horizontal="center"/>
    </xf>
    <xf numFmtId="0" fontId="14" fillId="35" borderId="49" xfId="0" applyFont="1" applyFill="1" applyBorder="1" applyAlignment="1">
      <alignment horizontal="center"/>
    </xf>
    <xf numFmtId="0" fontId="14" fillId="35" borderId="84" xfId="0" applyFont="1" applyFill="1" applyBorder="1" applyAlignment="1">
      <alignment horizontal="center"/>
    </xf>
    <xf numFmtId="0" fontId="0" fillId="0" borderId="49" xfId="0" applyBorder="1" applyAlignment="1">
      <alignment horizontal="center"/>
    </xf>
    <xf numFmtId="2" fontId="0" fillId="0" borderId="47" xfId="0" applyNumberFormat="1" applyBorder="1" applyAlignment="1">
      <alignment horizontal="center"/>
    </xf>
    <xf numFmtId="2" fontId="0" fillId="0" borderId="48" xfId="0" applyNumberFormat="1" applyBorder="1" applyAlignment="1">
      <alignment horizontal="center"/>
    </xf>
    <xf numFmtId="0" fontId="0" fillId="0" borderId="49" xfId="0" applyBorder="1" applyAlignment="1">
      <alignment horizontal="center" vertical="center"/>
    </xf>
    <xf numFmtId="2" fontId="0" fillId="0" borderId="47" xfId="0" applyNumberFormat="1"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23" fillId="0" borderId="72" xfId="0" applyFont="1" applyBorder="1"/>
    <xf numFmtId="0" fontId="0" fillId="0" borderId="57" xfId="0" applyBorder="1"/>
    <xf numFmtId="0" fontId="0" fillId="35" borderId="74" xfId="0" applyFill="1" applyBorder="1"/>
    <xf numFmtId="0" fontId="0" fillId="35" borderId="89" xfId="0" applyFill="1" applyBorder="1"/>
    <xf numFmtId="167" fontId="0" fillId="0" borderId="36" xfId="0" applyNumberFormat="1" applyBorder="1"/>
    <xf numFmtId="0" fontId="0" fillId="35" borderId="91" xfId="0" applyFill="1" applyBorder="1"/>
    <xf numFmtId="2" fontId="0" fillId="34" borderId="47" xfId="0" applyNumberFormat="1" applyFill="1" applyBorder="1"/>
    <xf numFmtId="2" fontId="0" fillId="34" borderId="48" xfId="0" applyNumberFormat="1" applyFill="1" applyBorder="1"/>
    <xf numFmtId="2" fontId="0" fillId="0" borderId="58" xfId="0" applyNumberFormat="1" applyBorder="1"/>
    <xf numFmtId="2" fontId="0" fillId="0" borderId="59" xfId="0" applyNumberFormat="1" applyBorder="1"/>
    <xf numFmtId="2" fontId="0" fillId="0" borderId="54" xfId="0" applyNumberFormat="1" applyBorder="1"/>
    <xf numFmtId="2" fontId="0" fillId="0" borderId="61" xfId="0" applyNumberFormat="1" applyBorder="1"/>
    <xf numFmtId="2" fontId="0" fillId="0" borderId="53" xfId="0" applyNumberFormat="1" applyBorder="1"/>
    <xf numFmtId="2" fontId="0" fillId="0" borderId="63" xfId="0" applyNumberFormat="1" applyBorder="1"/>
    <xf numFmtId="2" fontId="0" fillId="35" borderId="50" xfId="0" applyNumberFormat="1" applyFill="1" applyBorder="1"/>
    <xf numFmtId="2" fontId="0" fillId="35" borderId="65" xfId="0" applyNumberFormat="1" applyFill="1" applyBorder="1"/>
    <xf numFmtId="2" fontId="0" fillId="0" borderId="55" xfId="0" applyNumberFormat="1" applyBorder="1"/>
    <xf numFmtId="2" fontId="0" fillId="0" borderId="50" xfId="0" applyNumberFormat="1" applyBorder="1"/>
    <xf numFmtId="2" fontId="0" fillId="0" borderId="65" xfId="0" applyNumberFormat="1" applyBorder="1"/>
    <xf numFmtId="2" fontId="0" fillId="0" borderId="51" xfId="0" applyNumberFormat="1" applyBorder="1"/>
    <xf numFmtId="2" fontId="0" fillId="0" borderId="67" xfId="0" applyNumberFormat="1" applyBorder="1"/>
    <xf numFmtId="2" fontId="0" fillId="0" borderId="68" xfId="0" applyNumberFormat="1" applyBorder="1"/>
    <xf numFmtId="2" fontId="0" fillId="0" borderId="69" xfId="0" applyNumberFormat="1" applyBorder="1"/>
    <xf numFmtId="2" fontId="0" fillId="0" borderId="70" xfId="0" applyNumberFormat="1" applyBorder="1"/>
    <xf numFmtId="2" fontId="0" fillId="35" borderId="53" xfId="0" applyNumberFormat="1" applyFill="1" applyBorder="1"/>
    <xf numFmtId="2" fontId="0" fillId="35" borderId="68" xfId="0" applyNumberFormat="1" applyFill="1" applyBorder="1"/>
    <xf numFmtId="2" fontId="0" fillId="38" borderId="53" xfId="0" applyNumberFormat="1" applyFill="1" applyBorder="1"/>
    <xf numFmtId="2" fontId="0" fillId="38" borderId="67" xfId="0" applyNumberFormat="1" applyFill="1" applyBorder="1"/>
    <xf numFmtId="2" fontId="0" fillId="0" borderId="71" xfId="0" applyNumberFormat="1" applyBorder="1"/>
    <xf numFmtId="2" fontId="0" fillId="0" borderId="52" xfId="0" applyNumberFormat="1" applyBorder="1"/>
    <xf numFmtId="2" fontId="0" fillId="35" borderId="55" xfId="0" applyNumberFormat="1" applyFill="1" applyBorder="1"/>
    <xf numFmtId="2" fontId="0" fillId="35" borderId="0" xfId="0" applyNumberFormat="1" applyFill="1"/>
    <xf numFmtId="2" fontId="0" fillId="35" borderId="92" xfId="0" applyNumberFormat="1" applyFill="1" applyBorder="1"/>
    <xf numFmtId="2" fontId="0" fillId="35" borderId="93" xfId="0" applyNumberFormat="1" applyFill="1" applyBorder="1"/>
    <xf numFmtId="2" fontId="0" fillId="35" borderId="87" xfId="0" applyNumberFormat="1" applyFill="1" applyBorder="1"/>
    <xf numFmtId="2" fontId="0" fillId="35" borderId="33" xfId="0" applyNumberFormat="1" applyFill="1" applyBorder="1"/>
    <xf numFmtId="2" fontId="0" fillId="35" borderId="90" xfId="0" applyNumberFormat="1" applyFill="1" applyBorder="1"/>
    <xf numFmtId="2" fontId="0" fillId="0" borderId="36" xfId="0" applyNumberFormat="1" applyBorder="1"/>
    <xf numFmtId="0" fontId="0" fillId="0" borderId="86" xfId="0" applyBorder="1"/>
    <xf numFmtId="2" fontId="0" fillId="0" borderId="87" xfId="0" applyNumberFormat="1" applyBorder="1"/>
    <xf numFmtId="0" fontId="0" fillId="0" borderId="49" xfId="0" applyBorder="1"/>
    <xf numFmtId="2" fontId="0" fillId="0" borderId="47" xfId="0" applyNumberFormat="1" applyBorder="1"/>
    <xf numFmtId="2" fontId="0" fillId="0" borderId="33" xfId="0" applyNumberFormat="1" applyBorder="1"/>
    <xf numFmtId="2" fontId="0" fillId="0" borderId="34" xfId="0" applyNumberFormat="1" applyBorder="1"/>
    <xf numFmtId="0" fontId="16" fillId="36" borderId="31" xfId="0" applyFont="1" applyFill="1"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33" borderId="44" xfId="0" applyFill="1" applyBorder="1" applyAlignment="1">
      <alignment horizontal="center" vertical="center"/>
    </xf>
    <xf numFmtId="168" fontId="0" fillId="40" borderId="31" xfId="0" applyNumberFormat="1" applyFill="1" applyBorder="1"/>
    <xf numFmtId="0" fontId="31" fillId="0" borderId="0" xfId="0" applyFont="1"/>
    <xf numFmtId="0" fontId="24" fillId="0" borderId="0" xfId="0" applyFont="1"/>
    <xf numFmtId="0" fontId="31" fillId="42" borderId="42" xfId="0" applyFont="1" applyFill="1" applyBorder="1" applyAlignment="1">
      <alignment horizontal="center"/>
    </xf>
    <xf numFmtId="168" fontId="31" fillId="42" borderId="43" xfId="0" applyNumberFormat="1" applyFont="1" applyFill="1" applyBorder="1" applyAlignment="1">
      <alignment horizontal="center"/>
    </xf>
    <xf numFmtId="169" fontId="31" fillId="42" borderId="31" xfId="0" applyNumberFormat="1" applyFont="1" applyFill="1" applyBorder="1" applyAlignment="1">
      <alignment horizontal="center"/>
    </xf>
    <xf numFmtId="0" fontId="24" fillId="43" borderId="28" xfId="0" applyFont="1" applyFill="1" applyBorder="1" applyAlignment="1">
      <alignment horizontal="center"/>
    </xf>
    <xf numFmtId="168" fontId="24" fillId="43" borderId="10" xfId="0" applyNumberFormat="1" applyFont="1" applyFill="1" applyBorder="1"/>
    <xf numFmtId="0" fontId="24" fillId="0" borderId="28" xfId="0" applyFont="1" applyBorder="1" applyAlignment="1">
      <alignment horizontal="center"/>
    </xf>
    <xf numFmtId="0" fontId="24" fillId="41" borderId="75" xfId="0" applyFont="1" applyFill="1" applyBorder="1" applyAlignment="1">
      <alignment horizontal="center"/>
    </xf>
    <xf numFmtId="0" fontId="24" fillId="0" borderId="10" xfId="0" applyFont="1" applyBorder="1" applyAlignment="1">
      <alignment horizontal="center"/>
    </xf>
    <xf numFmtId="0" fontId="32" fillId="44" borderId="10" xfId="0" applyFont="1" applyFill="1" applyBorder="1" applyAlignment="1">
      <alignment horizontal="center"/>
    </xf>
    <xf numFmtId="0" fontId="32" fillId="0" borderId="10" xfId="0" applyFont="1" applyBorder="1" applyAlignment="1">
      <alignment horizontal="center"/>
    </xf>
    <xf numFmtId="0" fontId="24" fillId="43" borderId="30" xfId="0" applyFont="1" applyFill="1" applyBorder="1" applyAlignment="1">
      <alignment horizontal="center"/>
    </xf>
    <xf numFmtId="168" fontId="24" fillId="43" borderId="30" xfId="0" applyNumberFormat="1" applyFont="1" applyFill="1" applyBorder="1"/>
    <xf numFmtId="0" fontId="24" fillId="41" borderId="27" xfId="0" applyFont="1" applyFill="1" applyBorder="1" applyAlignment="1">
      <alignment horizontal="center"/>
    </xf>
    <xf numFmtId="0" fontId="32" fillId="44" borderId="30" xfId="0" applyFont="1" applyFill="1" applyBorder="1" applyAlignment="1">
      <alignment horizontal="center"/>
    </xf>
    <xf numFmtId="168" fontId="24" fillId="45" borderId="31" xfId="0" applyNumberFormat="1" applyFont="1" applyFill="1" applyBorder="1"/>
    <xf numFmtId="0" fontId="32" fillId="44" borderId="28" xfId="0" applyFont="1" applyFill="1" applyBorder="1" applyAlignment="1">
      <alignment horizontal="center"/>
    </xf>
    <xf numFmtId="168" fontId="24" fillId="43" borderId="28" xfId="0" applyNumberFormat="1" applyFont="1" applyFill="1" applyBorder="1"/>
    <xf numFmtId="0" fontId="16" fillId="0" borderId="0" xfId="0" applyFont="1" applyAlignment="1">
      <alignment horizontal="center"/>
    </xf>
    <xf numFmtId="0" fontId="14" fillId="0" borderId="72" xfId="0" applyFont="1" applyBorder="1"/>
    <xf numFmtId="2" fontId="14" fillId="0" borderId="0" xfId="0" applyNumberFormat="1" applyFont="1"/>
    <xf numFmtId="2" fontId="14" fillId="0" borderId="65" xfId="0" applyNumberFormat="1" applyFont="1" applyBorder="1"/>
    <xf numFmtId="167" fontId="0" fillId="0" borderId="0" xfId="0" applyNumberFormat="1" applyAlignment="1">
      <alignment horizontal="right"/>
    </xf>
    <xf numFmtId="167" fontId="0" fillId="0" borderId="36" xfId="0" applyNumberFormat="1" applyBorder="1" applyAlignment="1">
      <alignment horizontal="right"/>
    </xf>
    <xf numFmtId="167" fontId="0" fillId="0" borderId="33" xfId="0" applyNumberFormat="1" applyBorder="1"/>
    <xf numFmtId="167" fontId="0" fillId="0" borderId="94" xfId="0" applyNumberFormat="1" applyBorder="1" applyAlignment="1">
      <alignment horizontal="right"/>
    </xf>
    <xf numFmtId="167" fontId="0" fillId="0" borderId="48" xfId="0" applyNumberFormat="1" applyBorder="1" applyAlignment="1">
      <alignment horizontal="right"/>
    </xf>
    <xf numFmtId="167" fontId="0" fillId="0" borderId="34" xfId="0" applyNumberFormat="1" applyBorder="1"/>
    <xf numFmtId="0" fontId="16" fillId="37" borderId="37" xfId="0" applyFont="1" applyFill="1" applyBorder="1" applyAlignment="1">
      <alignment horizontal="center" vertical="center"/>
    </xf>
    <xf numFmtId="0" fontId="16" fillId="37" borderId="38" xfId="0" applyFont="1" applyFill="1" applyBorder="1" applyAlignment="1">
      <alignment horizontal="center"/>
    </xf>
    <xf numFmtId="0" fontId="16" fillId="0" borderId="0" xfId="0" applyFont="1"/>
    <xf numFmtId="0" fontId="17" fillId="13" borderId="0" xfId="22"/>
    <xf numFmtId="0" fontId="0" fillId="0" borderId="95" xfId="0" applyBorder="1"/>
    <xf numFmtId="0" fontId="0" fillId="0" borderId="79" xfId="0" applyBorder="1"/>
    <xf numFmtId="0" fontId="0" fillId="34" borderId="41" xfId="0" applyFill="1" applyBorder="1" applyAlignment="1">
      <alignment horizontal="center"/>
    </xf>
    <xf numFmtId="2" fontId="0" fillId="34" borderId="37" xfId="0" applyNumberFormat="1" applyFill="1" applyBorder="1" applyAlignment="1">
      <alignment horizontal="center"/>
    </xf>
    <xf numFmtId="2" fontId="0" fillId="34" borderId="38" xfId="0" applyNumberFormat="1" applyFill="1" applyBorder="1" applyAlignment="1">
      <alignment horizontal="center"/>
    </xf>
    <xf numFmtId="0" fontId="0" fillId="0" borderId="96" xfId="0" applyBorder="1"/>
    <xf numFmtId="0" fontId="16" fillId="33" borderId="39" xfId="0" applyFont="1" applyFill="1" applyBorder="1" applyAlignment="1">
      <alignment horizontal="center"/>
    </xf>
    <xf numFmtId="0" fontId="16" fillId="33" borderId="38" xfId="0" applyFont="1" applyFill="1" applyBorder="1" applyAlignment="1">
      <alignment horizontal="center"/>
    </xf>
    <xf numFmtId="168" fontId="0" fillId="0" borderId="32" xfId="0" applyNumberFormat="1" applyBorder="1" applyAlignment="1">
      <alignment horizontal="center"/>
    </xf>
    <xf numFmtId="168" fontId="0" fillId="0" borderId="34" xfId="0" applyNumberFormat="1" applyBorder="1" applyAlignment="1">
      <alignment horizontal="center"/>
    </xf>
    <xf numFmtId="0" fontId="0" fillId="0" borderId="11" xfId="0" applyBorder="1" applyAlignment="1">
      <alignment horizontal="center"/>
    </xf>
    <xf numFmtId="0" fontId="0" fillId="0" borderId="12" xfId="0" applyBorder="1" applyAlignment="1">
      <alignment horizontal="left" vertical="top" wrapText="1"/>
    </xf>
    <xf numFmtId="0" fontId="0" fillId="0" borderId="11"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0" xfId="0"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8" xfId="0" applyBorder="1" applyAlignment="1">
      <alignment horizontal="left" vertical="top" wrapText="1"/>
    </xf>
    <xf numFmtId="0" fontId="0" fillId="0" borderId="17" xfId="0" applyBorder="1" applyAlignment="1">
      <alignment horizontal="left" vertical="top" wrapText="1"/>
    </xf>
    <xf numFmtId="0" fontId="19" fillId="0" borderId="12" xfId="0" applyFont="1" applyBorder="1" applyAlignment="1">
      <alignment horizontal="left" vertical="top"/>
    </xf>
    <xf numFmtId="0" fontId="19" fillId="0" borderId="13" xfId="0" applyFont="1"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16" xfId="0" applyBorder="1" applyAlignment="1">
      <alignment horizontal="left" vertical="top"/>
    </xf>
    <xf numFmtId="0" fontId="0" fillId="0" borderId="17" xfId="0" applyBorder="1" applyAlignment="1">
      <alignment horizontal="left" vertical="top"/>
    </xf>
    <xf numFmtId="0" fontId="19" fillId="0" borderId="10" xfId="0" applyFont="1" applyBorder="1" applyAlignment="1">
      <alignment horizontal="left"/>
    </xf>
    <xf numFmtId="0" fontId="0" fillId="0" borderId="19" xfId="0" applyBorder="1" applyAlignment="1">
      <alignment horizontal="left"/>
    </xf>
    <xf numFmtId="0" fontId="0" fillId="0" borderId="20" xfId="0" applyBorder="1" applyAlignment="1">
      <alignment horizontal="left"/>
    </xf>
    <xf numFmtId="0" fontId="0" fillId="0" borderId="21" xfId="0" applyBorder="1" applyAlignment="1">
      <alignment horizontal="left"/>
    </xf>
    <xf numFmtId="0" fontId="16" fillId="0" borderId="33" xfId="0" applyFont="1" applyBorder="1" applyAlignment="1">
      <alignment horizontal="center"/>
    </xf>
    <xf numFmtId="0" fontId="19" fillId="34" borderId="39" xfId="0" applyFont="1" applyFill="1" applyBorder="1" applyAlignment="1">
      <alignment horizontal="center"/>
    </xf>
    <xf numFmtId="0" fontId="19" fillId="34" borderId="37" xfId="0" applyFont="1" applyFill="1" applyBorder="1" applyAlignment="1">
      <alignment horizontal="center"/>
    </xf>
    <xf numFmtId="0" fontId="19" fillId="34" borderId="38" xfId="0" applyFont="1" applyFill="1" applyBorder="1" applyAlignment="1">
      <alignment horizontal="center"/>
    </xf>
    <xf numFmtId="0" fontId="0" fillId="33" borderId="39" xfId="0" applyFill="1" applyBorder="1" applyAlignment="1">
      <alignment horizontal="center" vertical="center"/>
    </xf>
    <xf numFmtId="0" fontId="0" fillId="33" borderId="38" xfId="0" applyFill="1" applyBorder="1" applyAlignment="1">
      <alignment horizontal="center" vertical="center"/>
    </xf>
    <xf numFmtId="0" fontId="0" fillId="33" borderId="47" xfId="0" applyFill="1" applyBorder="1" applyAlignment="1">
      <alignment horizontal="center" vertical="center"/>
    </xf>
    <xf numFmtId="0" fontId="0" fillId="33" borderId="48" xfId="0" applyFill="1" applyBorder="1" applyAlignment="1">
      <alignment horizontal="center" vertical="center"/>
    </xf>
    <xf numFmtId="0" fontId="16" fillId="33" borderId="49" xfId="0" applyFont="1" applyFill="1" applyBorder="1" applyAlignment="1">
      <alignment horizontal="center"/>
    </xf>
    <xf numFmtId="0" fontId="16" fillId="33" borderId="47" xfId="0" applyFont="1" applyFill="1" applyBorder="1" applyAlignment="1">
      <alignment horizontal="center"/>
    </xf>
    <xf numFmtId="0" fontId="16" fillId="33" borderId="48" xfId="0" applyFont="1" applyFill="1" applyBorder="1" applyAlignment="1">
      <alignment horizontal="center"/>
    </xf>
    <xf numFmtId="0" fontId="30" fillId="39" borderId="49" xfId="0" applyFont="1" applyFill="1" applyBorder="1" applyAlignment="1">
      <alignment horizontal="center"/>
    </xf>
    <xf numFmtId="0" fontId="30" fillId="39" borderId="47" xfId="0" applyFont="1" applyFill="1" applyBorder="1" applyAlignment="1">
      <alignment horizontal="center"/>
    </xf>
    <xf numFmtId="0" fontId="30" fillId="39" borderId="88" xfId="0" applyFont="1" applyFill="1" applyBorder="1" applyAlignment="1">
      <alignment horizontal="center"/>
    </xf>
    <xf numFmtId="0" fontId="16" fillId="34" borderId="39" xfId="0" applyFont="1" applyFill="1" applyBorder="1" applyAlignment="1">
      <alignment horizontal="center"/>
    </xf>
    <xf numFmtId="0" fontId="16" fillId="34" borderId="37" xfId="0" applyFont="1" applyFill="1" applyBorder="1" applyAlignment="1">
      <alignment horizontal="center"/>
    </xf>
    <xf numFmtId="0" fontId="16" fillId="34" borderId="38" xfId="0" applyFont="1" applyFill="1" applyBorder="1" applyAlignment="1">
      <alignment horizontal="center"/>
    </xf>
    <xf numFmtId="0" fontId="0" fillId="36" borderId="39" xfId="0" applyFill="1" applyBorder="1" applyAlignment="1">
      <alignment horizontal="center"/>
    </xf>
    <xf numFmtId="0" fontId="0" fillId="36" borderId="37" xfId="0" applyFill="1" applyBorder="1" applyAlignment="1">
      <alignment horizontal="center"/>
    </xf>
    <xf numFmtId="0" fontId="0" fillId="36" borderId="38" xfId="0" applyFill="1" applyBorder="1" applyAlignment="1">
      <alignment horizontal="center"/>
    </xf>
    <xf numFmtId="0" fontId="0" fillId="34" borderId="49" xfId="0" applyFill="1" applyBorder="1" applyAlignment="1">
      <alignment horizontal="center"/>
    </xf>
    <xf numFmtId="0" fontId="0" fillId="34" borderId="47" xfId="0" applyFill="1" applyBorder="1" applyAlignment="1">
      <alignment horizontal="center"/>
    </xf>
    <xf numFmtId="0" fontId="0" fillId="34" borderId="48" xfId="0" applyFill="1" applyBorder="1" applyAlignment="1">
      <alignment horizontal="center"/>
    </xf>
    <xf numFmtId="0" fontId="0" fillId="0" borderId="49" xfId="0" applyBorder="1" applyAlignment="1">
      <alignment horizontal="center"/>
    </xf>
    <xf numFmtId="0" fontId="0" fillId="0" borderId="47" xfId="0" applyBorder="1" applyAlignment="1">
      <alignment horizontal="center"/>
    </xf>
    <xf numFmtId="0" fontId="16" fillId="37" borderId="39" xfId="0" applyFont="1" applyFill="1" applyBorder="1" applyAlignment="1">
      <alignment horizontal="left"/>
    </xf>
    <xf numFmtId="0" fontId="16" fillId="37" borderId="37" xfId="0" applyFont="1" applyFill="1" applyBorder="1" applyAlignment="1">
      <alignment horizontal="left"/>
    </xf>
    <xf numFmtId="0" fontId="16" fillId="37" borderId="38" xfId="0" applyFont="1" applyFill="1" applyBorder="1" applyAlignment="1">
      <alignment horizontal="left"/>
    </xf>
    <xf numFmtId="0" fontId="0" fillId="0" borderId="3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0" fillId="0" borderId="33" xfId="0" applyBorder="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hidde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hidde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7.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CAL 1 d(18_16)</a:t>
            </a:r>
          </a:p>
        </c:rich>
      </c:tx>
      <c:overlay val="0"/>
    </c:title>
    <c:autoTitleDeleted val="0"/>
    <c:plotArea>
      <c:layout>
        <c:manualLayout>
          <c:layoutTarget val="inner"/>
          <c:xMode val="edge"/>
          <c:yMode val="edge"/>
          <c:x val="0.16481210151076892"/>
          <c:y val="0.16027664510686165"/>
          <c:w val="0.74524336264981661"/>
          <c:h val="0.63530054836895389"/>
        </c:manualLayout>
      </c:layout>
      <c:scatterChart>
        <c:scatterStyle val="lineMarker"/>
        <c:varyColors val="0"/>
        <c:ser>
          <c:idx val="0"/>
          <c:order val="0"/>
          <c:tx>
            <c:strRef>
              <c:f>Calibration!$K$1</c:f>
              <c:strCache>
                <c:ptCount val="1"/>
                <c:pt idx="0">
                  <c:v>d(18_16)</c:v>
                </c:pt>
              </c:strCache>
            </c:strRef>
          </c:tx>
          <c:spPr>
            <a:ln w="28575">
              <a:noFill/>
            </a:ln>
          </c:spPr>
          <c:trendline>
            <c:trendlineType val="linear"/>
            <c:dispRSqr val="1"/>
            <c:dispEq val="1"/>
            <c:trendlineLbl>
              <c:layout>
                <c:manualLayout>
                  <c:x val="0.35877988051267057"/>
                  <c:y val="0.18172645728874887"/>
                </c:manualLayout>
              </c:layout>
              <c:numFmt formatCode="General" sourceLinked="0"/>
              <c:txPr>
                <a:bodyPr/>
                <a:lstStyle/>
                <a:p>
                  <a:pPr>
                    <a:defRPr sz="1200" b="1">
                      <a:latin typeface="Arial" pitchFamily="34" charset="0"/>
                      <a:cs typeface="Arial" pitchFamily="34" charset="0"/>
                    </a:defRPr>
                  </a:pPr>
                  <a:endParaRPr lang="en-US"/>
                </a:p>
              </c:txPr>
            </c:trendlineLbl>
          </c:trendline>
          <c:xVal>
            <c:numRef>
              <c:f>Calibration!$K$3:$K$11</c:f>
              <c:numCache>
                <c:formatCode>0.00</c:formatCode>
                <c:ptCount val="9"/>
                <c:pt idx="0">
                  <c:v>-5.6062000000000003</c:v>
                </c:pt>
                <c:pt idx="1">
                  <c:v>-4.5428000000000006</c:v>
                </c:pt>
                <c:pt idx="2">
                  <c:v>-8.0141999999999989</c:v>
                </c:pt>
                <c:pt idx="3">
                  <c:v>-5.5760000000000005</c:v>
                </c:pt>
                <c:pt idx="4">
                  <c:v>-5.5494000000000003</c:v>
                </c:pt>
                <c:pt idx="5">
                  <c:v>-5.5342000000000002</c:v>
                </c:pt>
                <c:pt idx="6">
                  <c:v>-4.579600000000001</c:v>
                </c:pt>
                <c:pt idx="7">
                  <c:v>-8.0188000000000006</c:v>
                </c:pt>
                <c:pt idx="8">
                  <c:v>-5.5185999999999993</c:v>
                </c:pt>
              </c:numCache>
            </c:numRef>
          </c:xVal>
          <c:yVal>
            <c:numRef>
              <c:f>Calibration!$L$3:$L$11</c:f>
              <c:numCache>
                <c:formatCode>General</c:formatCode>
                <c:ptCount val="9"/>
                <c:pt idx="0">
                  <c:v>-5.5</c:v>
                </c:pt>
                <c:pt idx="1">
                  <c:v>-4.5</c:v>
                </c:pt>
                <c:pt idx="2">
                  <c:v>-8</c:v>
                </c:pt>
                <c:pt idx="3">
                  <c:v>-5.5</c:v>
                </c:pt>
                <c:pt idx="4">
                  <c:v>-5.5</c:v>
                </c:pt>
                <c:pt idx="5">
                  <c:v>-5.5</c:v>
                </c:pt>
                <c:pt idx="6">
                  <c:v>-4.5</c:v>
                </c:pt>
                <c:pt idx="7">
                  <c:v>-8</c:v>
                </c:pt>
                <c:pt idx="8">
                  <c:v>-5.5</c:v>
                </c:pt>
              </c:numCache>
            </c:numRef>
          </c:yVal>
          <c:smooth val="0"/>
          <c:extLst>
            <c:ext xmlns:c16="http://schemas.microsoft.com/office/drawing/2014/chart" uri="{C3380CC4-5D6E-409C-BE32-E72D297353CC}">
              <c16:uniqueId val="{00000001-04BC-9546-AFA4-1581D7983F96}"/>
            </c:ext>
          </c:extLst>
        </c:ser>
        <c:dLbls>
          <c:showLegendKey val="0"/>
          <c:showVal val="0"/>
          <c:showCatName val="0"/>
          <c:showSerName val="0"/>
          <c:showPercent val="0"/>
          <c:showBubbleSize val="0"/>
        </c:dLbls>
        <c:axId val="263538176"/>
        <c:axId val="263540096"/>
      </c:scatterChart>
      <c:valAx>
        <c:axId val="263538176"/>
        <c:scaling>
          <c:orientation val="minMax"/>
        </c:scaling>
        <c:delete val="0"/>
        <c:axPos val="b"/>
        <c:title>
          <c:tx>
            <c:rich>
              <a:bodyPr/>
              <a:lstStyle/>
              <a:p>
                <a:pPr>
                  <a:defRPr sz="1400">
                    <a:latin typeface="Arial" pitchFamily="34" charset="0"/>
                    <a:cs typeface="Arial" pitchFamily="34" charset="0"/>
                  </a:defRPr>
                </a:pPr>
                <a:r>
                  <a:rPr lang="en-US" sz="1400">
                    <a:latin typeface="Arial" pitchFamily="34" charset="0"/>
                    <a:cs typeface="Arial" pitchFamily="34" charset="0"/>
                  </a:rPr>
                  <a:t>Measured</a:t>
                </a:r>
              </a:p>
            </c:rich>
          </c:tx>
          <c:layout>
            <c:manualLayout>
              <c:xMode val="edge"/>
              <c:yMode val="edge"/>
              <c:x val="0.425409732370711"/>
              <c:y val="0.89977324263038605"/>
            </c:manualLayout>
          </c:layout>
          <c:overlay val="0"/>
        </c:title>
        <c:numFmt formatCode="0.00" sourceLinked="1"/>
        <c:majorTickMark val="out"/>
        <c:minorTickMark val="none"/>
        <c:tickLblPos val="nextTo"/>
        <c:txPr>
          <a:bodyPr/>
          <a:lstStyle/>
          <a:p>
            <a:pPr>
              <a:defRPr sz="1200">
                <a:latin typeface="Arial" pitchFamily="34" charset="0"/>
                <a:cs typeface="Arial" pitchFamily="34" charset="0"/>
              </a:defRPr>
            </a:pPr>
            <a:endParaRPr lang="en-US"/>
          </a:p>
        </c:txPr>
        <c:crossAx val="263540096"/>
        <c:crossesAt val="-40"/>
        <c:crossBetween val="midCat"/>
      </c:valAx>
      <c:valAx>
        <c:axId val="263540096"/>
        <c:scaling>
          <c:orientation val="minMax"/>
        </c:scaling>
        <c:delete val="0"/>
        <c:axPos val="l"/>
        <c:title>
          <c:tx>
            <c:rich>
              <a:bodyPr rot="-5400000" vert="horz"/>
              <a:lstStyle/>
              <a:p>
                <a:pPr>
                  <a:defRPr sz="1200">
                    <a:latin typeface="Arial" pitchFamily="34" charset="0"/>
                    <a:cs typeface="Arial" pitchFamily="34" charset="0"/>
                  </a:defRPr>
                </a:pPr>
                <a:r>
                  <a:rPr lang="en-US" sz="1200">
                    <a:latin typeface="Arial" pitchFamily="34" charset="0"/>
                    <a:cs typeface="Arial" pitchFamily="34" charset="0"/>
                  </a:rPr>
                  <a:t>Known</a:t>
                </a:r>
              </a:p>
            </c:rich>
          </c:tx>
          <c:layout>
            <c:manualLayout>
              <c:xMode val="edge"/>
              <c:yMode val="edge"/>
              <c:x val="1.8467220683287201E-2"/>
              <c:y val="0.36947095898727"/>
            </c:manualLayout>
          </c:layout>
          <c:overlay val="0"/>
        </c:title>
        <c:numFmt formatCode="General" sourceLinked="1"/>
        <c:majorTickMark val="out"/>
        <c:minorTickMark val="none"/>
        <c:tickLblPos val="nextTo"/>
        <c:txPr>
          <a:bodyPr/>
          <a:lstStyle/>
          <a:p>
            <a:pPr>
              <a:defRPr sz="1200">
                <a:latin typeface="Arial" pitchFamily="34" charset="0"/>
                <a:cs typeface="Arial" pitchFamily="34" charset="0"/>
              </a:defRPr>
            </a:pPr>
            <a:endParaRPr lang="en-US"/>
          </a:p>
        </c:txPr>
        <c:crossAx val="263538176"/>
        <c:crossesAt val="-40"/>
        <c:crossBetween val="midCat"/>
      </c:valAx>
    </c:plotArea>
    <c:plotVisOnly val="1"/>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CAL 1 dH</a:t>
            </a:r>
          </a:p>
        </c:rich>
      </c:tx>
      <c:overlay val="0"/>
    </c:title>
    <c:autoTitleDeleted val="0"/>
    <c:plotArea>
      <c:layout/>
      <c:scatterChart>
        <c:scatterStyle val="lineMarker"/>
        <c:varyColors val="0"/>
        <c:ser>
          <c:idx val="0"/>
          <c:order val="0"/>
          <c:tx>
            <c:strRef>
              <c:f>Calibration!$M$1</c:f>
              <c:strCache>
                <c:ptCount val="1"/>
                <c:pt idx="0">
                  <c:v>dD</c:v>
                </c:pt>
              </c:strCache>
            </c:strRef>
          </c:tx>
          <c:spPr>
            <a:ln w="28575">
              <a:noFill/>
            </a:ln>
          </c:spPr>
          <c:trendline>
            <c:trendlineType val="linear"/>
            <c:dispRSqr val="1"/>
            <c:dispEq val="1"/>
            <c:trendlineLbl>
              <c:layout>
                <c:manualLayout>
                  <c:x val="0.29833539842807894"/>
                  <c:y val="0.25699628746673292"/>
                </c:manualLayout>
              </c:layout>
              <c:numFmt formatCode="General" sourceLinked="0"/>
              <c:txPr>
                <a:bodyPr/>
                <a:lstStyle/>
                <a:p>
                  <a:pPr>
                    <a:defRPr sz="1200" b="1">
                      <a:latin typeface="Arial" pitchFamily="34" charset="0"/>
                      <a:cs typeface="Arial" pitchFamily="34" charset="0"/>
                    </a:defRPr>
                  </a:pPr>
                  <a:endParaRPr lang="en-US"/>
                </a:p>
              </c:txPr>
            </c:trendlineLbl>
          </c:trendline>
          <c:xVal>
            <c:numRef>
              <c:f>Calibration!$M$3:$M$11</c:f>
              <c:numCache>
                <c:formatCode>0.00</c:formatCode>
                <c:ptCount val="9"/>
                <c:pt idx="0">
                  <c:v>-30.220199999999998</c:v>
                </c:pt>
                <c:pt idx="1">
                  <c:v>-22.928800000000003</c:v>
                </c:pt>
                <c:pt idx="2">
                  <c:v>-52.989400000000003</c:v>
                </c:pt>
                <c:pt idx="3">
                  <c:v>-29.889999999999997</c:v>
                </c:pt>
                <c:pt idx="4">
                  <c:v>-29.747399999999999</c:v>
                </c:pt>
                <c:pt idx="5">
                  <c:v>-29.603199999999998</c:v>
                </c:pt>
                <c:pt idx="6">
                  <c:v>-22.567599999999999</c:v>
                </c:pt>
                <c:pt idx="7">
                  <c:v>-52.685199999999995</c:v>
                </c:pt>
                <c:pt idx="8">
                  <c:v>-29.570999999999998</c:v>
                </c:pt>
              </c:numCache>
            </c:numRef>
          </c:xVal>
          <c:yVal>
            <c:numRef>
              <c:f>Calibration!$N$3:$N$11</c:f>
              <c:numCache>
                <c:formatCode>General</c:formatCode>
                <c:ptCount val="9"/>
                <c:pt idx="0">
                  <c:v>-29.6</c:v>
                </c:pt>
                <c:pt idx="1">
                  <c:v>-22.4</c:v>
                </c:pt>
                <c:pt idx="2">
                  <c:v>-52.8</c:v>
                </c:pt>
                <c:pt idx="3">
                  <c:v>-29.6</c:v>
                </c:pt>
                <c:pt idx="4">
                  <c:v>-29.6</c:v>
                </c:pt>
                <c:pt idx="5">
                  <c:v>-29.6</c:v>
                </c:pt>
                <c:pt idx="6">
                  <c:v>-22.4</c:v>
                </c:pt>
                <c:pt idx="7">
                  <c:v>-52.8</c:v>
                </c:pt>
                <c:pt idx="8">
                  <c:v>-29.6</c:v>
                </c:pt>
              </c:numCache>
            </c:numRef>
          </c:yVal>
          <c:smooth val="0"/>
          <c:extLst>
            <c:ext xmlns:c16="http://schemas.microsoft.com/office/drawing/2014/chart" uri="{C3380CC4-5D6E-409C-BE32-E72D297353CC}">
              <c16:uniqueId val="{00000001-B3AF-7D45-806F-BDF5ACC788D4}"/>
            </c:ext>
          </c:extLst>
        </c:ser>
        <c:dLbls>
          <c:showLegendKey val="0"/>
          <c:showVal val="0"/>
          <c:showCatName val="0"/>
          <c:showSerName val="0"/>
          <c:showPercent val="0"/>
          <c:showBubbleSize val="0"/>
        </c:dLbls>
        <c:axId val="263557504"/>
        <c:axId val="263559424"/>
      </c:scatterChart>
      <c:valAx>
        <c:axId val="263557504"/>
        <c:scaling>
          <c:orientation val="minMax"/>
        </c:scaling>
        <c:delete val="0"/>
        <c:axPos val="b"/>
        <c:title>
          <c:tx>
            <c:rich>
              <a:bodyPr/>
              <a:lstStyle/>
              <a:p>
                <a:pPr>
                  <a:defRPr sz="1400">
                    <a:latin typeface="Arial" pitchFamily="34" charset="0"/>
                    <a:cs typeface="Arial" pitchFamily="34" charset="0"/>
                  </a:defRPr>
                </a:pPr>
                <a:r>
                  <a:rPr lang="en-US" sz="1400">
                    <a:latin typeface="Arial" pitchFamily="34" charset="0"/>
                    <a:cs typeface="Arial" pitchFamily="34" charset="0"/>
                  </a:rPr>
                  <a:t>Measured</a:t>
                </a:r>
              </a:p>
            </c:rich>
          </c:tx>
          <c:layout>
            <c:manualLayout>
              <c:xMode val="edge"/>
              <c:yMode val="edge"/>
              <c:x val="0.425409732370711"/>
              <c:y val="0.89977324263038605"/>
            </c:manualLayout>
          </c:layout>
          <c:overlay val="0"/>
        </c:title>
        <c:numFmt formatCode="General" sourceLinked="0"/>
        <c:majorTickMark val="out"/>
        <c:minorTickMark val="none"/>
        <c:tickLblPos val="nextTo"/>
        <c:txPr>
          <a:bodyPr/>
          <a:lstStyle/>
          <a:p>
            <a:pPr>
              <a:defRPr sz="1200">
                <a:latin typeface="Arial" pitchFamily="34" charset="0"/>
                <a:cs typeface="Arial" pitchFamily="34" charset="0"/>
              </a:defRPr>
            </a:pPr>
            <a:endParaRPr lang="en-US"/>
          </a:p>
        </c:txPr>
        <c:crossAx val="263559424"/>
        <c:crossesAt val="-300"/>
        <c:crossBetween val="midCat"/>
      </c:valAx>
      <c:valAx>
        <c:axId val="263559424"/>
        <c:scaling>
          <c:orientation val="minMax"/>
        </c:scaling>
        <c:delete val="0"/>
        <c:axPos val="l"/>
        <c:title>
          <c:tx>
            <c:rich>
              <a:bodyPr rot="-5400000" vert="horz"/>
              <a:lstStyle/>
              <a:p>
                <a:pPr>
                  <a:defRPr sz="1200">
                    <a:latin typeface="Arial" pitchFamily="34" charset="0"/>
                    <a:cs typeface="Arial" pitchFamily="34" charset="0"/>
                  </a:defRPr>
                </a:pPr>
                <a:r>
                  <a:rPr lang="en-US" sz="1200">
                    <a:latin typeface="Arial" pitchFamily="34" charset="0"/>
                    <a:cs typeface="Arial" pitchFamily="34" charset="0"/>
                  </a:rPr>
                  <a:t>Known</a:t>
                </a:r>
              </a:p>
            </c:rich>
          </c:tx>
          <c:layout>
            <c:manualLayout>
              <c:xMode val="edge"/>
              <c:yMode val="edge"/>
              <c:x val="1.8467220683287201E-2"/>
              <c:y val="0.36947095898727"/>
            </c:manualLayout>
          </c:layout>
          <c:overlay val="0"/>
        </c:title>
        <c:numFmt formatCode="General" sourceLinked="1"/>
        <c:majorTickMark val="out"/>
        <c:minorTickMark val="none"/>
        <c:tickLblPos val="nextTo"/>
        <c:txPr>
          <a:bodyPr/>
          <a:lstStyle/>
          <a:p>
            <a:pPr>
              <a:defRPr sz="1200">
                <a:latin typeface="Arial" pitchFamily="34" charset="0"/>
                <a:cs typeface="Arial" pitchFamily="34" charset="0"/>
              </a:defRPr>
            </a:pPr>
            <a:endParaRPr lang="en-US"/>
          </a:p>
        </c:txPr>
        <c:crossAx val="263557504"/>
        <c:crossesAt val="-300"/>
        <c:crossBetween val="midCat"/>
      </c:valAx>
    </c:plotArea>
    <c:plotVisOnly val="1"/>
    <c:dispBlanksAs val="gap"/>
    <c:showDLblsOverMax val="0"/>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CAL 2 d(18_16)</a:t>
            </a:r>
          </a:p>
        </c:rich>
      </c:tx>
      <c:overlay val="0"/>
    </c:title>
    <c:autoTitleDeleted val="0"/>
    <c:plotArea>
      <c:layout>
        <c:manualLayout>
          <c:layoutTarget val="inner"/>
          <c:xMode val="edge"/>
          <c:yMode val="edge"/>
          <c:x val="0.16481210151076892"/>
          <c:y val="0.1914120290422289"/>
          <c:w val="0.76265990996056465"/>
          <c:h val="0.62217500267483206"/>
        </c:manualLayout>
      </c:layout>
      <c:scatterChart>
        <c:scatterStyle val="lineMarker"/>
        <c:varyColors val="0"/>
        <c:ser>
          <c:idx val="0"/>
          <c:order val="0"/>
          <c:tx>
            <c:strRef>
              <c:f>Calibration!$K$1</c:f>
              <c:strCache>
                <c:ptCount val="1"/>
                <c:pt idx="0">
                  <c:v>d(18_16)</c:v>
                </c:pt>
              </c:strCache>
            </c:strRef>
          </c:tx>
          <c:spPr>
            <a:ln w="28575">
              <a:noFill/>
            </a:ln>
          </c:spPr>
          <c:trendline>
            <c:trendlineType val="linear"/>
            <c:dispRSqr val="1"/>
            <c:dispEq val="1"/>
            <c:trendlineLbl>
              <c:layout>
                <c:manualLayout>
                  <c:x val="0.35877988051267057"/>
                  <c:y val="0.18172645728874887"/>
                </c:manualLayout>
              </c:layout>
              <c:numFmt formatCode="General" sourceLinked="0"/>
              <c:txPr>
                <a:bodyPr/>
                <a:lstStyle/>
                <a:p>
                  <a:pPr>
                    <a:defRPr sz="1200" b="1">
                      <a:latin typeface="Arial" pitchFamily="34" charset="0"/>
                      <a:cs typeface="Arial" pitchFamily="34" charset="0"/>
                    </a:defRPr>
                  </a:pPr>
                  <a:endParaRPr lang="en-US"/>
                </a:p>
              </c:txPr>
            </c:trendlineLbl>
          </c:trendline>
          <c:xVal>
            <c:numRef>
              <c:f>Calibration!$K$12:$K$15</c:f>
              <c:numCache>
                <c:formatCode>0.00</c:formatCode>
                <c:ptCount val="4"/>
                <c:pt idx="0">
                  <c:v>-5.4942000000000011</c:v>
                </c:pt>
                <c:pt idx="1">
                  <c:v>-4.5606</c:v>
                </c:pt>
                <c:pt idx="2">
                  <c:v>-7.9882000000000009</c:v>
                </c:pt>
                <c:pt idx="3">
                  <c:v>-5.5171999999999999</c:v>
                </c:pt>
              </c:numCache>
            </c:numRef>
          </c:xVal>
          <c:yVal>
            <c:numRef>
              <c:f>Calibration!$L$12:$L$15</c:f>
              <c:numCache>
                <c:formatCode>General</c:formatCode>
                <c:ptCount val="4"/>
                <c:pt idx="0">
                  <c:v>-5.5</c:v>
                </c:pt>
                <c:pt idx="1">
                  <c:v>-4.5</c:v>
                </c:pt>
                <c:pt idx="2">
                  <c:v>-8</c:v>
                </c:pt>
                <c:pt idx="3">
                  <c:v>-5.5</c:v>
                </c:pt>
              </c:numCache>
            </c:numRef>
          </c:yVal>
          <c:smooth val="0"/>
          <c:extLst>
            <c:ext xmlns:c16="http://schemas.microsoft.com/office/drawing/2014/chart" uri="{C3380CC4-5D6E-409C-BE32-E72D297353CC}">
              <c16:uniqueId val="{00000001-21A0-7645-ADF4-19E2C8CA37B1}"/>
            </c:ext>
          </c:extLst>
        </c:ser>
        <c:dLbls>
          <c:showLegendKey val="0"/>
          <c:showVal val="0"/>
          <c:showCatName val="0"/>
          <c:showSerName val="0"/>
          <c:showPercent val="0"/>
          <c:showBubbleSize val="0"/>
        </c:dLbls>
        <c:axId val="263538176"/>
        <c:axId val="263540096"/>
      </c:scatterChart>
      <c:valAx>
        <c:axId val="263538176"/>
        <c:scaling>
          <c:orientation val="minMax"/>
        </c:scaling>
        <c:delete val="0"/>
        <c:axPos val="b"/>
        <c:title>
          <c:tx>
            <c:rich>
              <a:bodyPr/>
              <a:lstStyle/>
              <a:p>
                <a:pPr>
                  <a:defRPr sz="1400">
                    <a:latin typeface="Arial" pitchFamily="34" charset="0"/>
                    <a:cs typeface="Arial" pitchFamily="34" charset="0"/>
                  </a:defRPr>
                </a:pPr>
                <a:r>
                  <a:rPr lang="en-US" sz="1400">
                    <a:latin typeface="Arial" pitchFamily="34" charset="0"/>
                    <a:cs typeface="Arial" pitchFamily="34" charset="0"/>
                  </a:rPr>
                  <a:t>Measured</a:t>
                </a:r>
              </a:p>
            </c:rich>
          </c:tx>
          <c:layout>
            <c:manualLayout>
              <c:xMode val="edge"/>
              <c:yMode val="edge"/>
              <c:x val="0.425409732370711"/>
              <c:y val="0.89977324263038605"/>
            </c:manualLayout>
          </c:layout>
          <c:overlay val="0"/>
        </c:title>
        <c:numFmt formatCode="0.00" sourceLinked="1"/>
        <c:majorTickMark val="out"/>
        <c:minorTickMark val="none"/>
        <c:tickLblPos val="nextTo"/>
        <c:txPr>
          <a:bodyPr/>
          <a:lstStyle/>
          <a:p>
            <a:pPr>
              <a:defRPr sz="1200">
                <a:latin typeface="Arial" pitchFamily="34" charset="0"/>
                <a:cs typeface="Arial" pitchFamily="34" charset="0"/>
              </a:defRPr>
            </a:pPr>
            <a:endParaRPr lang="en-US"/>
          </a:p>
        </c:txPr>
        <c:crossAx val="263540096"/>
        <c:crossesAt val="-40"/>
        <c:crossBetween val="midCat"/>
      </c:valAx>
      <c:valAx>
        <c:axId val="263540096"/>
        <c:scaling>
          <c:orientation val="minMax"/>
        </c:scaling>
        <c:delete val="0"/>
        <c:axPos val="l"/>
        <c:title>
          <c:tx>
            <c:rich>
              <a:bodyPr rot="-5400000" vert="horz"/>
              <a:lstStyle/>
              <a:p>
                <a:pPr>
                  <a:defRPr sz="1200">
                    <a:latin typeface="Arial" pitchFamily="34" charset="0"/>
                    <a:cs typeface="Arial" pitchFamily="34" charset="0"/>
                  </a:defRPr>
                </a:pPr>
                <a:r>
                  <a:rPr lang="en-US" sz="1200">
                    <a:latin typeface="Arial" pitchFamily="34" charset="0"/>
                    <a:cs typeface="Arial" pitchFamily="34" charset="0"/>
                  </a:rPr>
                  <a:t>Known</a:t>
                </a:r>
              </a:p>
            </c:rich>
          </c:tx>
          <c:layout>
            <c:manualLayout>
              <c:xMode val="edge"/>
              <c:yMode val="edge"/>
              <c:x val="1.8467220683287201E-2"/>
              <c:y val="0.36947095898727"/>
            </c:manualLayout>
          </c:layout>
          <c:overlay val="0"/>
        </c:title>
        <c:numFmt formatCode="General" sourceLinked="1"/>
        <c:majorTickMark val="out"/>
        <c:minorTickMark val="none"/>
        <c:tickLblPos val="nextTo"/>
        <c:txPr>
          <a:bodyPr/>
          <a:lstStyle/>
          <a:p>
            <a:pPr>
              <a:defRPr sz="1200">
                <a:latin typeface="Arial" pitchFamily="34" charset="0"/>
                <a:cs typeface="Arial" pitchFamily="34" charset="0"/>
              </a:defRPr>
            </a:pPr>
            <a:endParaRPr lang="en-US"/>
          </a:p>
        </c:txPr>
        <c:crossAx val="263538176"/>
        <c:crossesAt val="-40"/>
        <c:crossBetween val="midCat"/>
      </c:valAx>
    </c:plotArea>
    <c:plotVisOnly val="1"/>
    <c:dispBlanksAs val="gap"/>
    <c:showDLblsOverMax val="0"/>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CAL 3 d(18_16)</a:t>
            </a:r>
          </a:p>
        </c:rich>
      </c:tx>
      <c:overlay val="0"/>
    </c:title>
    <c:autoTitleDeleted val="0"/>
    <c:plotArea>
      <c:layout>
        <c:manualLayout>
          <c:layoutTarget val="inner"/>
          <c:xMode val="edge"/>
          <c:yMode val="edge"/>
          <c:x val="0.1682954109729185"/>
          <c:y val="0.17813370954076876"/>
          <c:w val="0.73131012480121838"/>
          <c:h val="0.62217500267483206"/>
        </c:manualLayout>
      </c:layout>
      <c:scatterChart>
        <c:scatterStyle val="lineMarker"/>
        <c:varyColors val="0"/>
        <c:ser>
          <c:idx val="0"/>
          <c:order val="0"/>
          <c:tx>
            <c:strRef>
              <c:f>Calibration!$K$1</c:f>
              <c:strCache>
                <c:ptCount val="1"/>
                <c:pt idx="0">
                  <c:v>d(18_16)</c:v>
                </c:pt>
              </c:strCache>
            </c:strRef>
          </c:tx>
          <c:spPr>
            <a:ln w="28575">
              <a:noFill/>
            </a:ln>
          </c:spPr>
          <c:trendline>
            <c:trendlineType val="linear"/>
            <c:dispRSqr val="1"/>
            <c:dispEq val="1"/>
            <c:trendlineLbl>
              <c:layout>
                <c:manualLayout>
                  <c:x val="0.35877988051267057"/>
                  <c:y val="0.18172645728874887"/>
                </c:manualLayout>
              </c:layout>
              <c:numFmt formatCode="General" sourceLinked="0"/>
              <c:txPr>
                <a:bodyPr/>
                <a:lstStyle/>
                <a:p>
                  <a:pPr>
                    <a:defRPr sz="1200" b="1">
                      <a:latin typeface="Arial" pitchFamily="34" charset="0"/>
                      <a:cs typeface="Arial" pitchFamily="34" charset="0"/>
                    </a:defRPr>
                  </a:pPr>
                  <a:endParaRPr lang="en-US"/>
                </a:p>
              </c:txPr>
            </c:trendlineLbl>
          </c:trendline>
          <c:xVal>
            <c:numRef>
              <c:f>Calibration!$K$16:$K$19</c:f>
              <c:numCache>
                <c:formatCode>0.00</c:formatCode>
                <c:ptCount val="4"/>
                <c:pt idx="0">
                  <c:v>-5.4908000000000001</c:v>
                </c:pt>
                <c:pt idx="1">
                  <c:v>-4.5794000000000006</c:v>
                </c:pt>
                <c:pt idx="2">
                  <c:v>-8.0047999999999995</c:v>
                </c:pt>
                <c:pt idx="3">
                  <c:v>-5.51</c:v>
                </c:pt>
              </c:numCache>
            </c:numRef>
          </c:xVal>
          <c:yVal>
            <c:numRef>
              <c:f>Calibration!$L$16:$L$19</c:f>
              <c:numCache>
                <c:formatCode>General</c:formatCode>
                <c:ptCount val="4"/>
                <c:pt idx="0">
                  <c:v>-5.5</c:v>
                </c:pt>
                <c:pt idx="1">
                  <c:v>-4.5</c:v>
                </c:pt>
                <c:pt idx="2">
                  <c:v>-8</c:v>
                </c:pt>
                <c:pt idx="3">
                  <c:v>-5.5</c:v>
                </c:pt>
              </c:numCache>
            </c:numRef>
          </c:yVal>
          <c:smooth val="0"/>
          <c:extLst>
            <c:ext xmlns:c16="http://schemas.microsoft.com/office/drawing/2014/chart" uri="{C3380CC4-5D6E-409C-BE32-E72D297353CC}">
              <c16:uniqueId val="{00000001-AF04-B14D-BD3E-F355864BF46F}"/>
            </c:ext>
          </c:extLst>
        </c:ser>
        <c:dLbls>
          <c:showLegendKey val="0"/>
          <c:showVal val="0"/>
          <c:showCatName val="0"/>
          <c:showSerName val="0"/>
          <c:showPercent val="0"/>
          <c:showBubbleSize val="0"/>
        </c:dLbls>
        <c:axId val="263538176"/>
        <c:axId val="263540096"/>
      </c:scatterChart>
      <c:valAx>
        <c:axId val="263538176"/>
        <c:scaling>
          <c:orientation val="minMax"/>
        </c:scaling>
        <c:delete val="0"/>
        <c:axPos val="b"/>
        <c:title>
          <c:tx>
            <c:rich>
              <a:bodyPr/>
              <a:lstStyle/>
              <a:p>
                <a:pPr>
                  <a:defRPr sz="1400">
                    <a:latin typeface="Arial" pitchFamily="34" charset="0"/>
                    <a:cs typeface="Arial" pitchFamily="34" charset="0"/>
                  </a:defRPr>
                </a:pPr>
                <a:r>
                  <a:rPr lang="en-US" sz="1400">
                    <a:latin typeface="Arial" pitchFamily="34" charset="0"/>
                    <a:cs typeface="Arial" pitchFamily="34" charset="0"/>
                  </a:rPr>
                  <a:t>Measured</a:t>
                </a:r>
              </a:p>
            </c:rich>
          </c:tx>
          <c:layout>
            <c:manualLayout>
              <c:xMode val="edge"/>
              <c:yMode val="edge"/>
              <c:x val="0.425409732370711"/>
              <c:y val="0.89977324263038605"/>
            </c:manualLayout>
          </c:layout>
          <c:overlay val="0"/>
        </c:title>
        <c:numFmt formatCode="0.00" sourceLinked="1"/>
        <c:majorTickMark val="out"/>
        <c:minorTickMark val="none"/>
        <c:tickLblPos val="nextTo"/>
        <c:txPr>
          <a:bodyPr/>
          <a:lstStyle/>
          <a:p>
            <a:pPr>
              <a:defRPr sz="1200">
                <a:latin typeface="Arial" pitchFamily="34" charset="0"/>
                <a:cs typeface="Arial" pitchFamily="34" charset="0"/>
              </a:defRPr>
            </a:pPr>
            <a:endParaRPr lang="en-US"/>
          </a:p>
        </c:txPr>
        <c:crossAx val="263540096"/>
        <c:crossesAt val="-40"/>
        <c:crossBetween val="midCat"/>
      </c:valAx>
      <c:valAx>
        <c:axId val="263540096"/>
        <c:scaling>
          <c:orientation val="minMax"/>
        </c:scaling>
        <c:delete val="0"/>
        <c:axPos val="l"/>
        <c:title>
          <c:tx>
            <c:rich>
              <a:bodyPr rot="-5400000" vert="horz"/>
              <a:lstStyle/>
              <a:p>
                <a:pPr>
                  <a:defRPr sz="1200">
                    <a:latin typeface="Arial" pitchFamily="34" charset="0"/>
                    <a:cs typeface="Arial" pitchFamily="34" charset="0"/>
                  </a:defRPr>
                </a:pPr>
                <a:r>
                  <a:rPr lang="en-US" sz="1200">
                    <a:latin typeface="Arial" pitchFamily="34" charset="0"/>
                    <a:cs typeface="Arial" pitchFamily="34" charset="0"/>
                  </a:rPr>
                  <a:t>Known</a:t>
                </a:r>
              </a:p>
            </c:rich>
          </c:tx>
          <c:layout>
            <c:manualLayout>
              <c:xMode val="edge"/>
              <c:yMode val="edge"/>
              <c:x val="1.8467220683287201E-2"/>
              <c:y val="0.36947095898727"/>
            </c:manualLayout>
          </c:layout>
          <c:overlay val="0"/>
        </c:title>
        <c:numFmt formatCode="General" sourceLinked="1"/>
        <c:majorTickMark val="out"/>
        <c:minorTickMark val="none"/>
        <c:tickLblPos val="nextTo"/>
        <c:txPr>
          <a:bodyPr/>
          <a:lstStyle/>
          <a:p>
            <a:pPr>
              <a:defRPr sz="1200">
                <a:latin typeface="Arial" pitchFamily="34" charset="0"/>
                <a:cs typeface="Arial" pitchFamily="34" charset="0"/>
              </a:defRPr>
            </a:pPr>
            <a:endParaRPr lang="en-US"/>
          </a:p>
        </c:txPr>
        <c:crossAx val="263538176"/>
        <c:crossesAt val="-40"/>
        <c:crossBetween val="midCat"/>
      </c:valAx>
    </c:plotArea>
    <c:plotVisOnly val="1"/>
    <c:dispBlanksAs val="gap"/>
    <c:showDLblsOverMax val="0"/>
  </c:chart>
  <c:spPr>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CAL 2 dH</a:t>
            </a:r>
          </a:p>
        </c:rich>
      </c:tx>
      <c:overlay val="0"/>
    </c:title>
    <c:autoTitleDeleted val="0"/>
    <c:plotArea>
      <c:layout/>
      <c:scatterChart>
        <c:scatterStyle val="lineMarker"/>
        <c:varyColors val="0"/>
        <c:ser>
          <c:idx val="0"/>
          <c:order val="0"/>
          <c:tx>
            <c:strRef>
              <c:f>Calibration!$M$1</c:f>
              <c:strCache>
                <c:ptCount val="1"/>
                <c:pt idx="0">
                  <c:v>dD</c:v>
                </c:pt>
              </c:strCache>
            </c:strRef>
          </c:tx>
          <c:spPr>
            <a:ln w="28575">
              <a:noFill/>
            </a:ln>
          </c:spPr>
          <c:trendline>
            <c:trendlineType val="linear"/>
            <c:dispRSqr val="1"/>
            <c:dispEq val="1"/>
            <c:trendlineLbl>
              <c:layout>
                <c:manualLayout>
                  <c:x val="0.29833539842807894"/>
                  <c:y val="0.25699628746673292"/>
                </c:manualLayout>
              </c:layout>
              <c:numFmt formatCode="General" sourceLinked="0"/>
              <c:txPr>
                <a:bodyPr/>
                <a:lstStyle/>
                <a:p>
                  <a:pPr>
                    <a:defRPr sz="1200" b="1">
                      <a:latin typeface="Arial" pitchFamily="34" charset="0"/>
                      <a:cs typeface="Arial" pitchFamily="34" charset="0"/>
                    </a:defRPr>
                  </a:pPr>
                  <a:endParaRPr lang="en-US"/>
                </a:p>
              </c:txPr>
            </c:trendlineLbl>
          </c:trendline>
          <c:xVal>
            <c:numRef>
              <c:f>Calibration!$M$12:$M$15</c:f>
              <c:numCache>
                <c:formatCode>0.00</c:formatCode>
                <c:ptCount val="4"/>
                <c:pt idx="0">
                  <c:v>-29.343</c:v>
                </c:pt>
                <c:pt idx="1">
                  <c:v>-22.405999999999999</c:v>
                </c:pt>
                <c:pt idx="2">
                  <c:v>-52.547600000000003</c:v>
                </c:pt>
                <c:pt idx="3">
                  <c:v>-29.4558</c:v>
                </c:pt>
              </c:numCache>
            </c:numRef>
          </c:xVal>
          <c:yVal>
            <c:numRef>
              <c:f>Calibration!$N$12:$N$15</c:f>
              <c:numCache>
                <c:formatCode>General</c:formatCode>
                <c:ptCount val="4"/>
                <c:pt idx="0">
                  <c:v>-29.6</c:v>
                </c:pt>
                <c:pt idx="1">
                  <c:v>-22.4</c:v>
                </c:pt>
                <c:pt idx="2">
                  <c:v>-52.8</c:v>
                </c:pt>
                <c:pt idx="3">
                  <c:v>-29.6</c:v>
                </c:pt>
              </c:numCache>
            </c:numRef>
          </c:yVal>
          <c:smooth val="0"/>
          <c:extLst>
            <c:ext xmlns:c16="http://schemas.microsoft.com/office/drawing/2014/chart" uri="{C3380CC4-5D6E-409C-BE32-E72D297353CC}">
              <c16:uniqueId val="{00000001-4FFF-9B4A-8D71-7D722142650C}"/>
            </c:ext>
          </c:extLst>
        </c:ser>
        <c:dLbls>
          <c:showLegendKey val="0"/>
          <c:showVal val="0"/>
          <c:showCatName val="0"/>
          <c:showSerName val="0"/>
          <c:showPercent val="0"/>
          <c:showBubbleSize val="0"/>
        </c:dLbls>
        <c:axId val="263557504"/>
        <c:axId val="263559424"/>
      </c:scatterChart>
      <c:valAx>
        <c:axId val="263557504"/>
        <c:scaling>
          <c:orientation val="minMax"/>
        </c:scaling>
        <c:delete val="0"/>
        <c:axPos val="b"/>
        <c:title>
          <c:tx>
            <c:rich>
              <a:bodyPr/>
              <a:lstStyle/>
              <a:p>
                <a:pPr>
                  <a:defRPr sz="1400">
                    <a:latin typeface="Arial" pitchFamily="34" charset="0"/>
                    <a:cs typeface="Arial" pitchFamily="34" charset="0"/>
                  </a:defRPr>
                </a:pPr>
                <a:r>
                  <a:rPr lang="en-US" sz="1400">
                    <a:latin typeface="Arial" pitchFamily="34" charset="0"/>
                    <a:cs typeface="Arial" pitchFamily="34" charset="0"/>
                  </a:rPr>
                  <a:t>Measured</a:t>
                </a:r>
              </a:p>
            </c:rich>
          </c:tx>
          <c:layout>
            <c:manualLayout>
              <c:xMode val="edge"/>
              <c:yMode val="edge"/>
              <c:x val="0.425409732370711"/>
              <c:y val="0.89977324263038605"/>
            </c:manualLayout>
          </c:layout>
          <c:overlay val="0"/>
        </c:title>
        <c:numFmt formatCode="General" sourceLinked="0"/>
        <c:majorTickMark val="out"/>
        <c:minorTickMark val="none"/>
        <c:tickLblPos val="nextTo"/>
        <c:txPr>
          <a:bodyPr/>
          <a:lstStyle/>
          <a:p>
            <a:pPr>
              <a:defRPr sz="1200">
                <a:latin typeface="Arial" pitchFamily="34" charset="0"/>
                <a:cs typeface="Arial" pitchFamily="34" charset="0"/>
              </a:defRPr>
            </a:pPr>
            <a:endParaRPr lang="en-US"/>
          </a:p>
        </c:txPr>
        <c:crossAx val="263559424"/>
        <c:crossesAt val="-300"/>
        <c:crossBetween val="midCat"/>
      </c:valAx>
      <c:valAx>
        <c:axId val="263559424"/>
        <c:scaling>
          <c:orientation val="minMax"/>
        </c:scaling>
        <c:delete val="0"/>
        <c:axPos val="l"/>
        <c:title>
          <c:tx>
            <c:rich>
              <a:bodyPr rot="-5400000" vert="horz"/>
              <a:lstStyle/>
              <a:p>
                <a:pPr>
                  <a:defRPr sz="1200">
                    <a:latin typeface="Arial" pitchFamily="34" charset="0"/>
                    <a:cs typeface="Arial" pitchFamily="34" charset="0"/>
                  </a:defRPr>
                </a:pPr>
                <a:r>
                  <a:rPr lang="en-US" sz="1200">
                    <a:latin typeface="Arial" pitchFamily="34" charset="0"/>
                    <a:cs typeface="Arial" pitchFamily="34" charset="0"/>
                  </a:rPr>
                  <a:t>Known</a:t>
                </a:r>
              </a:p>
            </c:rich>
          </c:tx>
          <c:layout>
            <c:manualLayout>
              <c:xMode val="edge"/>
              <c:yMode val="edge"/>
              <c:x val="1.8467220683287201E-2"/>
              <c:y val="0.36947095898727"/>
            </c:manualLayout>
          </c:layout>
          <c:overlay val="0"/>
        </c:title>
        <c:numFmt formatCode="General" sourceLinked="1"/>
        <c:majorTickMark val="out"/>
        <c:minorTickMark val="none"/>
        <c:tickLblPos val="nextTo"/>
        <c:txPr>
          <a:bodyPr/>
          <a:lstStyle/>
          <a:p>
            <a:pPr>
              <a:defRPr sz="1200">
                <a:latin typeface="Arial" pitchFamily="34" charset="0"/>
                <a:cs typeface="Arial" pitchFamily="34" charset="0"/>
              </a:defRPr>
            </a:pPr>
            <a:endParaRPr lang="en-US"/>
          </a:p>
        </c:txPr>
        <c:crossAx val="263557504"/>
        <c:crossesAt val="-300"/>
        <c:crossBetween val="midCat"/>
      </c:valAx>
    </c:plotArea>
    <c:plotVisOnly val="1"/>
    <c:dispBlanksAs val="gap"/>
    <c:showDLblsOverMax val="0"/>
  </c:chart>
  <c:spPr>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CAL 3 dH</a:t>
            </a:r>
          </a:p>
        </c:rich>
      </c:tx>
      <c:overlay val="0"/>
    </c:title>
    <c:autoTitleDeleted val="0"/>
    <c:plotArea>
      <c:layout/>
      <c:scatterChart>
        <c:scatterStyle val="lineMarker"/>
        <c:varyColors val="0"/>
        <c:ser>
          <c:idx val="0"/>
          <c:order val="0"/>
          <c:tx>
            <c:strRef>
              <c:f>Calibration!$M$1</c:f>
              <c:strCache>
                <c:ptCount val="1"/>
                <c:pt idx="0">
                  <c:v>dD</c:v>
                </c:pt>
              </c:strCache>
            </c:strRef>
          </c:tx>
          <c:spPr>
            <a:ln w="28575">
              <a:noFill/>
            </a:ln>
          </c:spPr>
          <c:trendline>
            <c:trendlineType val="linear"/>
            <c:dispRSqr val="1"/>
            <c:dispEq val="1"/>
            <c:trendlineLbl>
              <c:layout>
                <c:manualLayout>
                  <c:x val="0.29833539842807894"/>
                  <c:y val="0.25699628746673292"/>
                </c:manualLayout>
              </c:layout>
              <c:numFmt formatCode="General" sourceLinked="0"/>
              <c:txPr>
                <a:bodyPr/>
                <a:lstStyle/>
                <a:p>
                  <a:pPr>
                    <a:defRPr sz="1200" b="1">
                      <a:latin typeface="Arial" pitchFamily="34" charset="0"/>
                      <a:cs typeface="Arial" pitchFamily="34" charset="0"/>
                    </a:defRPr>
                  </a:pPr>
                  <a:endParaRPr lang="en-US"/>
                </a:p>
              </c:txPr>
            </c:trendlineLbl>
          </c:trendline>
          <c:xVal>
            <c:numRef>
              <c:f>Calibration!$M$16:$M$19</c:f>
              <c:numCache>
                <c:formatCode>0.00</c:formatCode>
                <c:ptCount val="4"/>
                <c:pt idx="0">
                  <c:v>-29.304200000000002</c:v>
                </c:pt>
                <c:pt idx="1">
                  <c:v>-22.334399999999999</c:v>
                </c:pt>
                <c:pt idx="2">
                  <c:v>-52.53779999999999</c:v>
                </c:pt>
                <c:pt idx="3">
                  <c:v>-29.394600000000004</c:v>
                </c:pt>
              </c:numCache>
            </c:numRef>
          </c:xVal>
          <c:yVal>
            <c:numRef>
              <c:f>Calibration!$N$16:$N$19</c:f>
              <c:numCache>
                <c:formatCode>General</c:formatCode>
                <c:ptCount val="4"/>
                <c:pt idx="0">
                  <c:v>-29.6</c:v>
                </c:pt>
                <c:pt idx="1">
                  <c:v>-22.4</c:v>
                </c:pt>
                <c:pt idx="2">
                  <c:v>-52.8</c:v>
                </c:pt>
                <c:pt idx="3">
                  <c:v>-29.6</c:v>
                </c:pt>
              </c:numCache>
            </c:numRef>
          </c:yVal>
          <c:smooth val="0"/>
          <c:extLst>
            <c:ext xmlns:c16="http://schemas.microsoft.com/office/drawing/2014/chart" uri="{C3380CC4-5D6E-409C-BE32-E72D297353CC}">
              <c16:uniqueId val="{00000001-832F-E344-95C9-CB9454DCD14F}"/>
            </c:ext>
          </c:extLst>
        </c:ser>
        <c:dLbls>
          <c:showLegendKey val="0"/>
          <c:showVal val="0"/>
          <c:showCatName val="0"/>
          <c:showSerName val="0"/>
          <c:showPercent val="0"/>
          <c:showBubbleSize val="0"/>
        </c:dLbls>
        <c:axId val="263557504"/>
        <c:axId val="263559424"/>
      </c:scatterChart>
      <c:valAx>
        <c:axId val="263557504"/>
        <c:scaling>
          <c:orientation val="minMax"/>
        </c:scaling>
        <c:delete val="0"/>
        <c:axPos val="b"/>
        <c:title>
          <c:tx>
            <c:rich>
              <a:bodyPr/>
              <a:lstStyle/>
              <a:p>
                <a:pPr>
                  <a:defRPr sz="1400">
                    <a:latin typeface="Arial" pitchFamily="34" charset="0"/>
                    <a:cs typeface="Arial" pitchFamily="34" charset="0"/>
                  </a:defRPr>
                </a:pPr>
                <a:r>
                  <a:rPr lang="en-US" sz="1400">
                    <a:latin typeface="Arial" pitchFamily="34" charset="0"/>
                    <a:cs typeface="Arial" pitchFamily="34" charset="0"/>
                  </a:rPr>
                  <a:t>Measured</a:t>
                </a:r>
              </a:p>
            </c:rich>
          </c:tx>
          <c:layout>
            <c:manualLayout>
              <c:xMode val="edge"/>
              <c:yMode val="edge"/>
              <c:x val="0.425409732370711"/>
              <c:y val="0.89977324263038605"/>
            </c:manualLayout>
          </c:layout>
          <c:overlay val="0"/>
        </c:title>
        <c:numFmt formatCode="General" sourceLinked="0"/>
        <c:majorTickMark val="out"/>
        <c:minorTickMark val="none"/>
        <c:tickLblPos val="nextTo"/>
        <c:txPr>
          <a:bodyPr/>
          <a:lstStyle/>
          <a:p>
            <a:pPr>
              <a:defRPr sz="1200">
                <a:latin typeface="Arial" pitchFamily="34" charset="0"/>
                <a:cs typeface="Arial" pitchFamily="34" charset="0"/>
              </a:defRPr>
            </a:pPr>
            <a:endParaRPr lang="en-US"/>
          </a:p>
        </c:txPr>
        <c:crossAx val="263559424"/>
        <c:crossesAt val="-300"/>
        <c:crossBetween val="midCat"/>
      </c:valAx>
      <c:valAx>
        <c:axId val="263559424"/>
        <c:scaling>
          <c:orientation val="minMax"/>
        </c:scaling>
        <c:delete val="0"/>
        <c:axPos val="l"/>
        <c:title>
          <c:tx>
            <c:rich>
              <a:bodyPr rot="-5400000" vert="horz"/>
              <a:lstStyle/>
              <a:p>
                <a:pPr>
                  <a:defRPr sz="1200">
                    <a:latin typeface="Arial" pitchFamily="34" charset="0"/>
                    <a:cs typeface="Arial" pitchFamily="34" charset="0"/>
                  </a:defRPr>
                </a:pPr>
                <a:r>
                  <a:rPr lang="en-US" sz="1200">
                    <a:latin typeface="Arial" pitchFamily="34" charset="0"/>
                    <a:cs typeface="Arial" pitchFamily="34" charset="0"/>
                  </a:rPr>
                  <a:t>Known</a:t>
                </a:r>
              </a:p>
            </c:rich>
          </c:tx>
          <c:layout>
            <c:manualLayout>
              <c:xMode val="edge"/>
              <c:yMode val="edge"/>
              <c:x val="1.8467220683287201E-2"/>
              <c:y val="0.36947095898727"/>
            </c:manualLayout>
          </c:layout>
          <c:overlay val="0"/>
        </c:title>
        <c:numFmt formatCode="General" sourceLinked="1"/>
        <c:majorTickMark val="out"/>
        <c:minorTickMark val="none"/>
        <c:tickLblPos val="nextTo"/>
        <c:txPr>
          <a:bodyPr/>
          <a:lstStyle/>
          <a:p>
            <a:pPr>
              <a:defRPr sz="1200">
                <a:latin typeface="Arial" pitchFamily="34" charset="0"/>
                <a:cs typeface="Arial" pitchFamily="34" charset="0"/>
              </a:defRPr>
            </a:pPr>
            <a:endParaRPr lang="en-US"/>
          </a:p>
        </c:txPr>
        <c:crossAx val="263557504"/>
        <c:crossesAt val="-300"/>
        <c:crossBetween val="midCat"/>
      </c:valAx>
    </c:plotArea>
    <c:plotVisOnly val="1"/>
    <c:dispBlanksAs val="gap"/>
    <c:showDLblsOverMax val="0"/>
  </c:chart>
  <c:spPr>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a:t>Konza Samples</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Standards</c:v>
          </c:tx>
          <c:spPr>
            <a:ln w="25400" cap="rnd">
              <a:noFill/>
              <a:round/>
            </a:ln>
            <a:effectLst/>
          </c:spPr>
          <c:marker>
            <c:symbol val="circle"/>
            <c:size val="8"/>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('QAQC + Calibrated Data'!$B$2:$B$6,'QAQC + Calibrated Data'!$B$103:$B$106)</c:f>
              <c:numCache>
                <c:formatCode>0.00</c:formatCode>
                <c:ptCount val="9"/>
                <c:pt idx="0">
                  <c:v>-5.5535877433868635</c:v>
                </c:pt>
                <c:pt idx="1">
                  <c:v>-4.4757563653105015</c:v>
                </c:pt>
                <c:pt idx="2">
                  <c:v>-7.9942666585720037</c:v>
                </c:pt>
                <c:pt idx="3">
                  <c:v>-5.5229778998492423</c:v>
                </c:pt>
                <c:pt idx="4">
                  <c:v>-5.4960169118326627</c:v>
                </c:pt>
                <c:pt idx="5">
                  <c:v>-5.4636453004848908</c:v>
                </c:pt>
                <c:pt idx="6">
                  <c:v>-4.5389722874424177</c:v>
                </c:pt>
                <c:pt idx="7">
                  <c:v>-8.0142574957765049</c:v>
                </c:pt>
                <c:pt idx="8">
                  <c:v>-5.4831249162961866</c:v>
                </c:pt>
              </c:numCache>
            </c:numRef>
          </c:xVal>
          <c:yVal>
            <c:numRef>
              <c:f>('QAQC + Calibrated Data'!$C$2:$C$6,'QAQC + Calibrated Data'!$C$103:$C$106)</c:f>
              <c:numCache>
                <c:formatCode>0.00</c:formatCode>
                <c:ptCount val="9"/>
                <c:pt idx="0">
                  <c:v>-29.992329468136862</c:v>
                </c:pt>
                <c:pt idx="1">
                  <c:v>-22.636845245598973</c:v>
                </c:pt>
                <c:pt idx="2">
                  <c:v>-52.961648303999638</c:v>
                </c:pt>
                <c:pt idx="3">
                  <c:v>-29.659227335448762</c:v>
                </c:pt>
                <c:pt idx="4">
                  <c:v>-29.515374021937792</c:v>
                </c:pt>
                <c:pt idx="5">
                  <c:v>-29.493702651300389</c:v>
                </c:pt>
                <c:pt idx="6">
                  <c:v>-22.493648534078737</c:v>
                </c:pt>
                <c:pt idx="7">
                  <c:v>-52.828153760066904</c:v>
                </c:pt>
                <c:pt idx="8">
                  <c:v>-29.58449505455398</c:v>
                </c:pt>
              </c:numCache>
            </c:numRef>
          </c:yVal>
          <c:smooth val="0"/>
          <c:extLst>
            <c:ext xmlns:c16="http://schemas.microsoft.com/office/drawing/2014/chart" uri="{C3380CC4-5D6E-409C-BE32-E72D297353CC}">
              <c16:uniqueId val="{00000000-940B-F84B-B5A5-B2EE15BAA0A3}"/>
            </c:ext>
          </c:extLst>
        </c:ser>
        <c:ser>
          <c:idx val="1"/>
          <c:order val="1"/>
          <c:tx>
            <c:v>Synoptic 1</c:v>
          </c:tx>
          <c:spPr>
            <a:ln w="25400" cap="rnd">
              <a:noFill/>
              <a:round/>
            </a:ln>
            <a:effectLst/>
          </c:spPr>
          <c:marker>
            <c:symbol val="circle"/>
            <c:size val="8"/>
            <c:spPr>
              <a:solidFill>
                <a:schemeClr val="accent2"/>
              </a:solidFill>
              <a:ln w="15875">
                <a:solidFill>
                  <a:schemeClr val="accent2"/>
                </a:solidFill>
              </a:ln>
              <a:effectLst/>
            </c:spPr>
          </c:marker>
          <c:xVal>
            <c:numRef>
              <c:f>('QAQC + Calibrated Data'!$B$7:$B$14,'QAQC + Calibrated Data'!$B$16:$B$21,'QAQC + Calibrated Data'!$B$23:$B$28,'QAQC + Calibrated Data'!$B$30:$B$32,'QAQC + Calibrated Data'!$B$37:$B$42,'QAQC + Calibrated Data'!$B$44:$B$49,'QAQC + Calibrated Data'!$B$51:$B$56,'QAQC + Calibrated Data'!$B$58:$B$59)</c:f>
              <c:numCache>
                <c:formatCode>0.00</c:formatCode>
                <c:ptCount val="43"/>
                <c:pt idx="0">
                  <c:v>-5.8898905939094668</c:v>
                </c:pt>
                <c:pt idx="1">
                  <c:v>-5.9111755844488725</c:v>
                </c:pt>
                <c:pt idx="2">
                  <c:v>-5.889102260926526</c:v>
                </c:pt>
                <c:pt idx="3">
                  <c:v>-5.8841470250337542</c:v>
                </c:pt>
                <c:pt idx="4">
                  <c:v>-5.8675920323919941</c:v>
                </c:pt>
                <c:pt idx="5">
                  <c:v>-5.8844848820264435</c:v>
                </c:pt>
                <c:pt idx="6">
                  <c:v>-5.9317848610028996</c:v>
                </c:pt>
                <c:pt idx="7">
                  <c:v>-5.764883506614547</c:v>
                </c:pt>
                <c:pt idx="8">
                  <c:v>-5.8486720408014117</c:v>
                </c:pt>
                <c:pt idx="9">
                  <c:v>-5.926041292127187</c:v>
                </c:pt>
                <c:pt idx="10">
                  <c:v>-5.9422584277762587</c:v>
                </c:pt>
                <c:pt idx="11">
                  <c:v>-5.7510313699142985</c:v>
                </c:pt>
                <c:pt idx="12">
                  <c:v>-5.7858306401612634</c:v>
                </c:pt>
                <c:pt idx="13">
                  <c:v>-5.814210627547137</c:v>
                </c:pt>
                <c:pt idx="14">
                  <c:v>-5.7658970775926131</c:v>
                </c:pt>
                <c:pt idx="15">
                  <c:v>-5.9807741249428004</c:v>
                </c:pt>
                <c:pt idx="16">
                  <c:v>-6.0115191112774973</c:v>
                </c:pt>
                <c:pt idx="17">
                  <c:v>-5.7827899272270624</c:v>
                </c:pt>
                <c:pt idx="18">
                  <c:v>-5.8044127747591565</c:v>
                </c:pt>
                <c:pt idx="19">
                  <c:v>-5.8331306191377204</c:v>
                </c:pt>
                <c:pt idx="20">
                  <c:v>-5.8145484845398263</c:v>
                </c:pt>
                <c:pt idx="21">
                  <c:v>-5.8983370187266901</c:v>
                </c:pt>
                <c:pt idx="22">
                  <c:v>-5.9023913026389589</c:v>
                </c:pt>
                <c:pt idx="23">
                  <c:v>-5.9217277981866596</c:v>
                </c:pt>
                <c:pt idx="24">
                  <c:v>-5.908507746468997</c:v>
                </c:pt>
                <c:pt idx="25">
                  <c:v>-5.990200886570447</c:v>
                </c:pt>
                <c:pt idx="26">
                  <c:v>-5.9003723300273592</c:v>
                </c:pt>
                <c:pt idx="27">
                  <c:v>-5.8949487190662673</c:v>
                </c:pt>
                <c:pt idx="28">
                  <c:v>-5.9261344820925457</c:v>
                </c:pt>
                <c:pt idx="29">
                  <c:v>-5.9210498468165227</c:v>
                </c:pt>
                <c:pt idx="30">
                  <c:v>-5.9156262358554308</c:v>
                </c:pt>
                <c:pt idx="31">
                  <c:v>-5.9196939440762506</c:v>
                </c:pt>
                <c:pt idx="32">
                  <c:v>-5.9322360444237745</c:v>
                </c:pt>
                <c:pt idx="33">
                  <c:v>-5.908507746468997</c:v>
                </c:pt>
                <c:pt idx="34">
                  <c:v>-5.9403714608654141</c:v>
                </c:pt>
                <c:pt idx="35">
                  <c:v>-5.9640997588201916</c:v>
                </c:pt>
                <c:pt idx="36">
                  <c:v>-5.9640997588201916</c:v>
                </c:pt>
                <c:pt idx="37">
                  <c:v>-5.9790146889631934</c:v>
                </c:pt>
                <c:pt idx="38">
                  <c:v>-5.9566422937486907</c:v>
                </c:pt>
                <c:pt idx="39">
                  <c:v>-5.8979995002318812</c:v>
                </c:pt>
                <c:pt idx="40">
                  <c:v>-5.8105437734842713</c:v>
                </c:pt>
                <c:pt idx="41">
                  <c:v>-5.8451192933612335</c:v>
                </c:pt>
                <c:pt idx="42">
                  <c:v>-5.9376596553848682</c:v>
                </c:pt>
              </c:numCache>
            </c:numRef>
          </c:xVal>
          <c:yVal>
            <c:numRef>
              <c:f>('QAQC + Calibrated Data'!$C$7:$C$14,'QAQC + Calibrated Data'!$C$16:$C$21,'QAQC + Calibrated Data'!$C$23:$C$28,'QAQC + Calibrated Data'!$C$30:$C$32,'QAQC + Calibrated Data'!$C$37:$C$42,'QAQC + Calibrated Data'!$C$44:$C$49,'QAQC + Calibrated Data'!$C$51:$C$56,'QAQC + Calibrated Data'!$C$58:$C$59)</c:f>
              <c:numCache>
                <c:formatCode>0.00</c:formatCode>
                <c:ptCount val="43"/>
                <c:pt idx="0">
                  <c:v>-36.759756947645329</c:v>
                </c:pt>
                <c:pt idx="1">
                  <c:v>-36.911411562870782</c:v>
                </c:pt>
                <c:pt idx="2">
                  <c:v>-36.820620551538468</c:v>
                </c:pt>
                <c:pt idx="3">
                  <c:v>-36.898297305678341</c:v>
                </c:pt>
                <c:pt idx="4">
                  <c:v>-36.765809681734154</c:v>
                </c:pt>
                <c:pt idx="5">
                  <c:v>-36.795064563163457</c:v>
                </c:pt>
                <c:pt idx="6">
                  <c:v>-37.002202574203103</c:v>
                </c:pt>
                <c:pt idx="7">
                  <c:v>-36.555645303650103</c:v>
                </c:pt>
                <c:pt idx="8">
                  <c:v>-36.979672952872484</c:v>
                </c:pt>
                <c:pt idx="9">
                  <c:v>-37.167643972630863</c:v>
                </c:pt>
                <c:pt idx="10">
                  <c:v>-37.211021900267411</c:v>
                </c:pt>
                <c:pt idx="11">
                  <c:v>-36.409707159508528</c:v>
                </c:pt>
                <c:pt idx="12">
                  <c:v>-36.587590289118879</c:v>
                </c:pt>
                <c:pt idx="13">
                  <c:v>-36.794728300158518</c:v>
                </c:pt>
                <c:pt idx="14">
                  <c:v>-36.396256639311154</c:v>
                </c:pt>
                <c:pt idx="15">
                  <c:v>-36.98572568696131</c:v>
                </c:pt>
                <c:pt idx="16">
                  <c:v>-37.313582116772423</c:v>
                </c:pt>
                <c:pt idx="17">
                  <c:v>-36.420131312661503</c:v>
                </c:pt>
                <c:pt idx="18">
                  <c:v>-36.551610147590885</c:v>
                </c:pt>
                <c:pt idx="19">
                  <c:v>-36.581201292025128</c:v>
                </c:pt>
                <c:pt idx="20">
                  <c:v>-36.811541450405237</c:v>
                </c:pt>
                <c:pt idx="21">
                  <c:v>-36.874758895332931</c:v>
                </c:pt>
                <c:pt idx="22">
                  <c:v>-36.992450947059993</c:v>
                </c:pt>
                <c:pt idx="23">
                  <c:v>-37.203389616088714</c:v>
                </c:pt>
                <c:pt idx="24">
                  <c:v>-37.204731323337761</c:v>
                </c:pt>
                <c:pt idx="25">
                  <c:v>-37.456972286158909</c:v>
                </c:pt>
                <c:pt idx="26">
                  <c:v>-37.081294256425295</c:v>
                </c:pt>
                <c:pt idx="27">
                  <c:v>-37.180580592854888</c:v>
                </c:pt>
                <c:pt idx="28">
                  <c:v>-37.178568031981321</c:v>
                </c:pt>
                <c:pt idx="29">
                  <c:v>-37.082300536862078</c:v>
                </c:pt>
                <c:pt idx="30">
                  <c:v>-37.136304253636283</c:v>
                </c:pt>
                <c:pt idx="31">
                  <c:v>-37.149385899314517</c:v>
                </c:pt>
                <c:pt idx="32">
                  <c:v>-37.267791564043051</c:v>
                </c:pt>
                <c:pt idx="33">
                  <c:v>-37.191649677659534</c:v>
                </c:pt>
                <c:pt idx="34">
                  <c:v>-37.32649125618893</c:v>
                </c:pt>
                <c:pt idx="35">
                  <c:v>-37.270139551728882</c:v>
                </c:pt>
                <c:pt idx="36">
                  <c:v>-37.239280285000767</c:v>
                </c:pt>
                <c:pt idx="37">
                  <c:v>-37.311397049637122</c:v>
                </c:pt>
                <c:pt idx="38">
                  <c:v>-37.219490103077298</c:v>
                </c:pt>
                <c:pt idx="39">
                  <c:v>-36.890771827060384</c:v>
                </c:pt>
                <c:pt idx="40">
                  <c:v>-36.493626481341984</c:v>
                </c:pt>
                <c:pt idx="41">
                  <c:v>-36.788131222508156</c:v>
                </c:pt>
                <c:pt idx="42">
                  <c:v>-37.17823260516905</c:v>
                </c:pt>
              </c:numCache>
            </c:numRef>
          </c:yVal>
          <c:smooth val="0"/>
          <c:extLst>
            <c:ext xmlns:c16="http://schemas.microsoft.com/office/drawing/2014/chart" uri="{C3380CC4-5D6E-409C-BE32-E72D297353CC}">
              <c16:uniqueId val="{00000009-940B-F84B-B5A5-B2EE15BAA0A3}"/>
            </c:ext>
          </c:extLst>
        </c:ser>
        <c:ser>
          <c:idx val="2"/>
          <c:order val="2"/>
          <c:tx>
            <c:v>Synoptic 2</c:v>
          </c:tx>
          <c:spPr>
            <a:ln w="25400" cap="rnd">
              <a:noFill/>
              <a:round/>
            </a:ln>
            <a:effectLst/>
          </c:spPr>
          <c:marker>
            <c:symbol val="circle"/>
            <c:size val="8"/>
            <c:spPr>
              <a:solidFill>
                <a:schemeClr val="accent3"/>
              </a:solidFill>
              <a:ln w="15875">
                <a:solidFill>
                  <a:schemeClr val="accent1">
                    <a:alpha val="52000"/>
                  </a:schemeClr>
                </a:solidFill>
              </a:ln>
              <a:effectLst/>
            </c:spPr>
          </c:marker>
          <c:xVal>
            <c:numRef>
              <c:f>('QAQC + Calibrated Data'!$B$60:$B$63,'QAQC + Calibrated Data'!$B$65:$B$67,'QAQC + Calibrated Data'!$B$72:$B$77,'QAQC + Calibrated Data'!$B$79:$B$84)</c:f>
              <c:numCache>
                <c:formatCode>0.00</c:formatCode>
                <c:ptCount val="19"/>
                <c:pt idx="0">
                  <c:v>-5.8010524543023596</c:v>
                </c:pt>
                <c:pt idx="1">
                  <c:v>-5.6837668672687416</c:v>
                </c:pt>
                <c:pt idx="2">
                  <c:v>-5.7878324025846979</c:v>
                </c:pt>
                <c:pt idx="3">
                  <c:v>-6.1264691119678867</c:v>
                </c:pt>
                <c:pt idx="4">
                  <c:v>-5.5885146997645627</c:v>
                </c:pt>
                <c:pt idx="5">
                  <c:v>-5.0973389321006577</c:v>
                </c:pt>
                <c:pt idx="6">
                  <c:v>-5.6627503747945118</c:v>
                </c:pt>
                <c:pt idx="7">
                  <c:v>-5.8984195033842406</c:v>
                </c:pt>
                <c:pt idx="8">
                  <c:v>-5.932914656383411</c:v>
                </c:pt>
                <c:pt idx="9">
                  <c:v>-5.5717301132156241</c:v>
                </c:pt>
                <c:pt idx="10">
                  <c:v>-5.5764647420586479</c:v>
                </c:pt>
                <c:pt idx="11">
                  <c:v>-5.819959939699852</c:v>
                </c:pt>
                <c:pt idx="12">
                  <c:v>-5.494285112854743</c:v>
                </c:pt>
                <c:pt idx="13">
                  <c:v>-5.7895230399947026</c:v>
                </c:pt>
                <c:pt idx="14">
                  <c:v>-5.9271654642168832</c:v>
                </c:pt>
                <c:pt idx="15">
                  <c:v>-5.9210780842758526</c:v>
                </c:pt>
                <c:pt idx="16">
                  <c:v>-5.8439712716894716</c:v>
                </c:pt>
                <c:pt idx="17">
                  <c:v>-5.9616606172160536</c:v>
                </c:pt>
                <c:pt idx="18">
                  <c:v>-4.6295389734539656</c:v>
                </c:pt>
              </c:numCache>
            </c:numRef>
          </c:xVal>
          <c:yVal>
            <c:numRef>
              <c:f>('QAQC + Calibrated Data'!$C$60:$C$63,'QAQC + Calibrated Data'!$C$65:$C$67,'QAQC + Calibrated Data'!$C$72:$C$77,'QAQC + Calibrated Data'!$C$79:$C$84)</c:f>
              <c:numCache>
                <c:formatCode>0.00</c:formatCode>
                <c:ptCount val="19"/>
                <c:pt idx="0">
                  <c:v>-36.174300156068405</c:v>
                </c:pt>
                <c:pt idx="1">
                  <c:v>-36.73748177385658</c:v>
                </c:pt>
                <c:pt idx="2">
                  <c:v>-37.293619428587235</c:v>
                </c:pt>
                <c:pt idx="3">
                  <c:v>-38.388787970623191</c:v>
                </c:pt>
                <c:pt idx="4">
                  <c:v>-35.861346940227811</c:v>
                </c:pt>
                <c:pt idx="5">
                  <c:v>-32.40946961523791</c:v>
                </c:pt>
                <c:pt idx="6">
                  <c:v>-36.457400385617674</c:v>
                </c:pt>
                <c:pt idx="7">
                  <c:v>-37.408376406017588</c:v>
                </c:pt>
                <c:pt idx="8">
                  <c:v>-37.569070925050482</c:v>
                </c:pt>
                <c:pt idx="9">
                  <c:v>-35.53996784201221</c:v>
                </c:pt>
                <c:pt idx="10">
                  <c:v>-35.417438271249637</c:v>
                </c:pt>
                <c:pt idx="11">
                  <c:v>-36.986553293556248</c:v>
                </c:pt>
                <c:pt idx="12">
                  <c:v>-35.456272780015908</c:v>
                </c:pt>
                <c:pt idx="13">
                  <c:v>-36.666168596234414</c:v>
                </c:pt>
                <c:pt idx="14">
                  <c:v>-37.379920084938846</c:v>
                </c:pt>
                <c:pt idx="15">
                  <c:v>-37.500440974213525</c:v>
                </c:pt>
                <c:pt idx="16">
                  <c:v>-37.024048681330591</c:v>
                </c:pt>
                <c:pt idx="17">
                  <c:v>-37.821830012279307</c:v>
                </c:pt>
                <c:pt idx="18">
                  <c:v>-31.556752451484357</c:v>
                </c:pt>
              </c:numCache>
            </c:numRef>
          </c:yVal>
          <c:smooth val="0"/>
          <c:extLst>
            <c:ext xmlns:c16="http://schemas.microsoft.com/office/drawing/2014/chart" uri="{C3380CC4-5D6E-409C-BE32-E72D297353CC}">
              <c16:uniqueId val="{0000000A-940B-F84B-B5A5-B2EE15BAA0A3}"/>
            </c:ext>
          </c:extLst>
        </c:ser>
        <c:ser>
          <c:idx val="3"/>
          <c:order val="3"/>
          <c:tx>
            <c:v>Synoptic 3</c:v>
          </c:tx>
          <c:spPr>
            <a:ln w="25400" cap="rnd">
              <a:noFill/>
              <a:round/>
            </a:ln>
            <a:effectLst/>
          </c:spPr>
          <c:marker>
            <c:symbol val="circle"/>
            <c:size val="8"/>
            <c:spPr>
              <a:solidFill>
                <a:schemeClr val="accent4"/>
              </a:solidFill>
              <a:ln w="9525">
                <a:solidFill>
                  <a:schemeClr val="accent4"/>
                </a:solidFill>
              </a:ln>
              <a:effectLst/>
            </c:spPr>
          </c:marker>
          <c:dPt>
            <c:idx val="2"/>
            <c:marker>
              <c:symbol val="circle"/>
              <c:size val="8"/>
              <c:spPr>
                <a:solidFill>
                  <a:schemeClr val="accent4"/>
                </a:solidFill>
                <a:ln w="9525">
                  <a:solidFill>
                    <a:schemeClr val="accent1">
                      <a:alpha val="49000"/>
                    </a:schemeClr>
                  </a:solidFill>
                </a:ln>
                <a:effectLst/>
              </c:spPr>
            </c:marker>
            <c:bubble3D val="0"/>
            <c:extLst>
              <c:ext xmlns:c16="http://schemas.microsoft.com/office/drawing/2014/chart" uri="{C3380CC4-5D6E-409C-BE32-E72D297353CC}">
                <c16:uniqueId val="{0000000D-940B-F84B-B5A5-B2EE15BAA0A3}"/>
              </c:ext>
            </c:extLst>
          </c:dPt>
          <c:xVal>
            <c:numRef>
              <c:f>('QAQC + Calibrated Data'!$B$86,'QAQC + Calibrated Data'!$B$88:$B$91,'QAQC + Calibrated Data'!$B$93:$B$98,'QAQC + Calibrated Data'!$B$100:$B$102)</c:f>
              <c:numCache>
                <c:formatCode>0.00</c:formatCode>
                <c:ptCount val="14"/>
                <c:pt idx="0">
                  <c:v>-5.6687900044976054</c:v>
                </c:pt>
                <c:pt idx="1">
                  <c:v>-5.1878869891562269</c:v>
                </c:pt>
                <c:pt idx="2">
                  <c:v>-5.8365311406504343</c:v>
                </c:pt>
                <c:pt idx="3">
                  <c:v>-1.5381645267341761</c:v>
                </c:pt>
                <c:pt idx="4">
                  <c:v>-4.6376554800420058</c:v>
                </c:pt>
                <c:pt idx="5">
                  <c:v>-4.8774306121636917</c:v>
                </c:pt>
                <c:pt idx="6">
                  <c:v>-5.5646281699510904</c:v>
                </c:pt>
                <c:pt idx="7">
                  <c:v>-5.7607770791620592</c:v>
                </c:pt>
                <c:pt idx="8">
                  <c:v>-5.7438676904369768</c:v>
                </c:pt>
                <c:pt idx="9">
                  <c:v>-2.4522860812121969</c:v>
                </c:pt>
                <c:pt idx="10">
                  <c:v>-5.919725333177845</c:v>
                </c:pt>
                <c:pt idx="11">
                  <c:v>-5.1043546088543135</c:v>
                </c:pt>
                <c:pt idx="12">
                  <c:v>-4.7621085810586203</c:v>
                </c:pt>
                <c:pt idx="13">
                  <c:v>-5.842280332816963</c:v>
                </c:pt>
              </c:numCache>
            </c:numRef>
          </c:xVal>
          <c:yVal>
            <c:numRef>
              <c:f>('QAQC + Calibrated Data'!$C$86,'QAQC + Calibrated Data'!$C$88:$C$91,'QAQC + Calibrated Data'!$C$93:$C$98,'QAQC + Calibrated Data'!$C$100:$C$102)</c:f>
              <c:numCache>
                <c:formatCode>0.00</c:formatCode>
                <c:ptCount val="14"/>
                <c:pt idx="0">
                  <c:v>-36.251041088732769</c:v>
                </c:pt>
                <c:pt idx="1">
                  <c:v>-32.640101333964459</c:v>
                </c:pt>
                <c:pt idx="2">
                  <c:v>-36.712368270456373</c:v>
                </c:pt>
                <c:pt idx="3">
                  <c:v>-12.639994539080879</c:v>
                </c:pt>
                <c:pt idx="4">
                  <c:v>-29.248777421874419</c:v>
                </c:pt>
                <c:pt idx="5">
                  <c:v>-30.981934765693779</c:v>
                </c:pt>
                <c:pt idx="6">
                  <c:v>-35.128522917238413</c:v>
                </c:pt>
                <c:pt idx="7">
                  <c:v>-36.431152862148807</c:v>
                </c:pt>
                <c:pt idx="8">
                  <c:v>-36.231289054101644</c:v>
                </c:pt>
                <c:pt idx="9">
                  <c:v>-18.379132330291085</c:v>
                </c:pt>
                <c:pt idx="10">
                  <c:v>-37.240651501777016</c:v>
                </c:pt>
                <c:pt idx="11">
                  <c:v>-31.884502314261866</c:v>
                </c:pt>
                <c:pt idx="12">
                  <c:v>-30.00136341934514</c:v>
                </c:pt>
                <c:pt idx="13">
                  <c:v>-36.788363386749005</c:v>
                </c:pt>
              </c:numCache>
            </c:numRef>
          </c:yVal>
          <c:smooth val="0"/>
          <c:extLst>
            <c:ext xmlns:c16="http://schemas.microsoft.com/office/drawing/2014/chart" uri="{C3380CC4-5D6E-409C-BE32-E72D297353CC}">
              <c16:uniqueId val="{0000000C-940B-F84B-B5A5-B2EE15BAA0A3}"/>
            </c:ext>
          </c:extLst>
        </c:ser>
        <c:dLbls>
          <c:showLegendKey val="0"/>
          <c:showVal val="0"/>
          <c:showCatName val="0"/>
          <c:showSerName val="0"/>
          <c:showPercent val="0"/>
          <c:showBubbleSize val="0"/>
        </c:dLbls>
        <c:axId val="215380288"/>
        <c:axId val="215641264"/>
      </c:scatterChart>
      <c:valAx>
        <c:axId val="21538028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0"/>
          <a:lstStyle/>
          <a:p>
            <a:pPr>
              <a:defRPr sz="1200" b="1" i="0" u="none" strike="noStrike" kern="1200" baseline="0">
                <a:solidFill>
                  <a:schemeClr val="tx1">
                    <a:lumMod val="65000"/>
                    <a:lumOff val="35000"/>
                  </a:schemeClr>
                </a:solidFill>
                <a:latin typeface="+mn-lt"/>
                <a:ea typeface="+mn-ea"/>
                <a:cs typeface="+mn-cs"/>
              </a:defRPr>
            </a:pPr>
            <a:endParaRPr lang="en-US"/>
          </a:p>
        </c:txPr>
        <c:crossAx val="215641264"/>
        <c:crosses val="autoZero"/>
        <c:crossBetween val="midCat"/>
      </c:valAx>
      <c:valAx>
        <c:axId val="2156412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153802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85724</xdr:colOff>
      <xdr:row>8</xdr:row>
      <xdr:rowOff>142875</xdr:rowOff>
    </xdr:from>
    <xdr:to>
      <xdr:col>9</xdr:col>
      <xdr:colOff>285749</xdr:colOff>
      <xdr:row>40</xdr:row>
      <xdr:rowOff>20320</xdr:rowOff>
    </xdr:to>
    <xdr:grpSp>
      <xdr:nvGrpSpPr>
        <xdr:cNvPr id="4" name="Group 3">
          <a:extLst>
            <a:ext uri="{FF2B5EF4-FFF2-40B4-BE49-F238E27FC236}">
              <a16:creationId xmlns:a16="http://schemas.microsoft.com/office/drawing/2014/main" id="{00000000-0008-0000-0000-000004000000}"/>
            </a:ext>
          </a:extLst>
        </xdr:cNvPr>
        <xdr:cNvGrpSpPr/>
      </xdr:nvGrpSpPr>
      <xdr:grpSpPr>
        <a:xfrm>
          <a:off x="715433" y="322792"/>
          <a:ext cx="5237692" cy="5634778"/>
          <a:chOff x="695323" y="514349"/>
          <a:chExt cx="5909585" cy="7485525"/>
        </a:xfrm>
      </xdr:grpSpPr>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95323" y="514349"/>
            <a:ext cx="5909585" cy="748552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US" sz="2800">
                <a:latin typeface="+mj-lt"/>
              </a:rPr>
              <a:t>Picarro</a:t>
            </a:r>
            <a:r>
              <a:rPr lang="en-US" sz="2800" baseline="0">
                <a:latin typeface="+mj-lt"/>
              </a:rPr>
              <a:t> Isotope Analyzer </a:t>
            </a:r>
          </a:p>
          <a:p>
            <a:pPr algn="ctr"/>
            <a:r>
              <a:rPr lang="en-US" sz="1800" baseline="0">
                <a:latin typeface="+mj-lt"/>
              </a:rPr>
              <a:t>Data Processor 1.0</a:t>
            </a:r>
          </a:p>
          <a:p>
            <a:pPr algn="ctr"/>
            <a:endParaRPr lang="en-US" sz="1800" baseline="0">
              <a:latin typeface="+mj-lt"/>
            </a:endParaRPr>
          </a:p>
          <a:p>
            <a:pPr algn="ctr"/>
            <a:endParaRPr lang="en-US" sz="1800" baseline="0">
              <a:latin typeface="+mj-lt"/>
            </a:endParaRPr>
          </a:p>
          <a:p>
            <a:pPr algn="ctr"/>
            <a:endParaRPr lang="en-US" sz="1800" baseline="0">
              <a:latin typeface="+mj-lt"/>
            </a:endParaRPr>
          </a:p>
          <a:p>
            <a:pPr algn="ctr"/>
            <a:endParaRPr lang="en-US" sz="1800" baseline="0">
              <a:latin typeface="+mj-lt"/>
            </a:endParaRPr>
          </a:p>
          <a:p>
            <a:pPr algn="l"/>
            <a:endParaRPr lang="en-US" sz="1800" b="1">
              <a:solidFill>
                <a:schemeClr val="tx1"/>
              </a:solidFill>
              <a:latin typeface="+mn-lt"/>
            </a:endParaRPr>
          </a:p>
          <a:p>
            <a:pPr algn="l"/>
            <a:r>
              <a:rPr lang="en-US" sz="1800" b="1">
                <a:solidFill>
                  <a:schemeClr val="tx1"/>
                </a:solidFill>
                <a:latin typeface="+mn-lt"/>
              </a:rPr>
              <a:t>How</a:t>
            </a:r>
            <a:r>
              <a:rPr lang="en-US" sz="1800" b="1" baseline="0">
                <a:solidFill>
                  <a:schemeClr val="tx1"/>
                </a:solidFill>
                <a:latin typeface="+mn-lt"/>
              </a:rPr>
              <a:t> to Use this Spreadsheet:</a:t>
            </a:r>
          </a:p>
          <a:p>
            <a:pPr algn="l"/>
            <a:endParaRPr lang="en-US" sz="800" b="1" baseline="0">
              <a:solidFill>
                <a:schemeClr val="tx1"/>
              </a:solidFill>
              <a:latin typeface="+mn-lt"/>
            </a:endParaRPr>
          </a:p>
          <a:p>
            <a:pPr algn="l"/>
            <a:r>
              <a:rPr lang="en-US" sz="1200" b="1" baseline="0">
                <a:solidFill>
                  <a:schemeClr val="tx1"/>
                </a:solidFill>
                <a:latin typeface="+mn-lt"/>
              </a:rPr>
              <a:t>  Step 1:   </a:t>
            </a:r>
            <a:r>
              <a:rPr lang="en-US" sz="1200" b="0" baseline="0">
                <a:solidFill>
                  <a:schemeClr val="tx1"/>
                </a:solidFill>
                <a:latin typeface="+mn-lt"/>
              </a:rPr>
              <a:t>Save as "Water Isotopes Data Processor_YYYYMMDD_ProjectTitle_Analyst" </a:t>
            </a:r>
          </a:p>
          <a:p>
            <a:pPr algn="l"/>
            <a:r>
              <a:rPr lang="en-US" sz="1200" b="1" baseline="0">
                <a:solidFill>
                  <a:schemeClr val="tx1"/>
                </a:solidFill>
                <a:latin typeface="+mn-lt"/>
              </a:rPr>
              <a:t>  Step 2:   </a:t>
            </a:r>
            <a:r>
              <a:rPr lang="en-US" sz="1200" b="0" baseline="0">
                <a:solidFill>
                  <a:schemeClr val="tx1"/>
                </a:solidFill>
                <a:latin typeface="+mn-lt"/>
              </a:rPr>
              <a:t>Manually enter sample locations in the "Tray Configuration" tab</a:t>
            </a:r>
          </a:p>
          <a:p>
            <a:pPr algn="l"/>
            <a:r>
              <a:rPr lang="en-US" sz="1200" b="0" baseline="0">
                <a:solidFill>
                  <a:schemeClr val="tx1"/>
                </a:solidFill>
                <a:latin typeface="+mn-lt"/>
              </a:rPr>
              <a:t>  </a:t>
            </a:r>
            <a:r>
              <a:rPr lang="en-US" sz="1200" b="1" baseline="0">
                <a:solidFill>
                  <a:schemeClr val="tx1"/>
                </a:solidFill>
                <a:latin typeface="+mn-lt"/>
              </a:rPr>
              <a:t>Step 2.5: </a:t>
            </a:r>
            <a:r>
              <a:rPr lang="en-US" sz="1200" b="0" baseline="0">
                <a:solidFill>
                  <a:schemeClr val="tx1"/>
                </a:solidFill>
                <a:latin typeface="+mn-lt"/>
              </a:rPr>
              <a:t>Use the "Timing" tab to estimate run endtime</a:t>
            </a:r>
          </a:p>
          <a:p>
            <a:pPr algn="l"/>
            <a:r>
              <a:rPr lang="en-US" sz="1200" b="0" baseline="0">
                <a:solidFill>
                  <a:schemeClr val="tx1"/>
                </a:solidFill>
                <a:latin typeface="+mn-lt"/>
              </a:rPr>
              <a:t>  </a:t>
            </a:r>
            <a:r>
              <a:rPr lang="en-US" sz="1200" b="1" baseline="0">
                <a:solidFill>
                  <a:schemeClr val="tx1"/>
                </a:solidFill>
                <a:latin typeface="+mn-lt"/>
              </a:rPr>
              <a:t>Step 3:   </a:t>
            </a:r>
            <a:r>
              <a:rPr lang="en-US" sz="1200" b="0" baseline="0">
                <a:solidFill>
                  <a:schemeClr val="tx1"/>
                </a:solidFill>
                <a:latin typeface="+mn-lt"/>
              </a:rPr>
              <a:t>Manually enter In House Standard Info in </a:t>
            </a:r>
            <a:r>
              <a:rPr lang="en-US" sz="1050" b="0" baseline="0">
                <a:solidFill>
                  <a:schemeClr val="dk1"/>
                </a:solidFill>
                <a:latin typeface="+mn-lt"/>
                <a:ea typeface="+mn-ea"/>
                <a:cs typeface="+mn-cs"/>
              </a:rPr>
              <a:t>"</a:t>
            </a:r>
            <a:r>
              <a:rPr lang="en-US" sz="1200" b="0" baseline="0">
                <a:solidFill>
                  <a:schemeClr val="dk1"/>
                </a:solidFill>
                <a:latin typeface="+mn-lt"/>
                <a:ea typeface="+mn-ea"/>
                <a:cs typeface="+mn-cs"/>
              </a:rPr>
              <a:t>Tray Configuration" tab</a:t>
            </a:r>
            <a:endParaRPr lang="en-US" sz="1050" b="0" baseline="0">
              <a:solidFill>
                <a:schemeClr val="dk1"/>
              </a:solidFill>
              <a:latin typeface="+mn-lt"/>
              <a:ea typeface="+mn-ea"/>
              <a:cs typeface="+mn-cs"/>
            </a:endParaRPr>
          </a:p>
          <a:p>
            <a:pPr algn="l"/>
            <a:r>
              <a:rPr lang="en-US" sz="1050" b="1" baseline="0">
                <a:solidFill>
                  <a:schemeClr val="dk1"/>
                </a:solidFill>
                <a:latin typeface="+mn-lt"/>
                <a:ea typeface="+mn-ea"/>
                <a:cs typeface="+mn-cs"/>
              </a:rPr>
              <a:t>                   </a:t>
            </a:r>
            <a:r>
              <a:rPr lang="en-US" sz="800" b="1" baseline="0">
                <a:solidFill>
                  <a:schemeClr val="dk1"/>
                </a:solidFill>
                <a:latin typeface="+mn-lt"/>
                <a:ea typeface="+mn-ea"/>
                <a:cs typeface="+mn-cs"/>
              </a:rPr>
              <a:t>  </a:t>
            </a:r>
            <a:r>
              <a:rPr lang="en-US" sz="900" b="1" baseline="0">
                <a:solidFill>
                  <a:schemeClr val="dk1"/>
                </a:solidFill>
                <a:latin typeface="+mn-lt"/>
                <a:ea typeface="+mn-ea"/>
                <a:cs typeface="+mn-cs"/>
              </a:rPr>
              <a:t>(It is important to use the same symbol for the standards throughout this spreadsheet)</a:t>
            </a:r>
            <a:endParaRPr lang="en-US" sz="850" b="1" baseline="0">
              <a:solidFill>
                <a:schemeClr val="tx1"/>
              </a:solidFill>
              <a:latin typeface="+mn-lt"/>
            </a:endParaRPr>
          </a:p>
          <a:p>
            <a:pPr algn="l"/>
            <a:r>
              <a:rPr lang="en-US" sz="1200" b="1" baseline="0">
                <a:solidFill>
                  <a:schemeClr val="tx1"/>
                </a:solidFill>
                <a:latin typeface="+mn-lt"/>
              </a:rPr>
              <a:t>  Step 4:   </a:t>
            </a:r>
            <a:r>
              <a:rPr lang="en-US" sz="1200" b="0" baseline="0">
                <a:solidFill>
                  <a:schemeClr val="tx1"/>
                </a:solidFill>
                <a:latin typeface="+mn-lt"/>
              </a:rPr>
              <a:t>Retrieve data from Piccaro CPU (C:Piccaro\IsotopeData)</a:t>
            </a:r>
            <a:endParaRPr lang="en-US" sz="1200" b="1" baseline="0">
              <a:solidFill>
                <a:schemeClr val="tx1"/>
              </a:solidFill>
              <a:latin typeface="+mn-lt"/>
            </a:endParaRPr>
          </a:p>
          <a:p>
            <a:pPr algn="l"/>
            <a:r>
              <a:rPr lang="en-US" sz="1200" b="1" baseline="0">
                <a:solidFill>
                  <a:schemeClr val="tx1"/>
                </a:solidFill>
                <a:latin typeface="+mn-lt"/>
              </a:rPr>
              <a:t>  Step 5:   </a:t>
            </a:r>
            <a:r>
              <a:rPr lang="en-US" sz="1200" b="0" baseline="0">
                <a:solidFill>
                  <a:schemeClr val="tx1"/>
                </a:solidFill>
                <a:latin typeface="+mn-lt"/>
              </a:rPr>
              <a:t>Copy ALL text from .csv file (Highlight the text and press [ctrl]+[C])</a:t>
            </a:r>
            <a:endParaRPr lang="en-US" sz="1200" b="1" baseline="0">
              <a:solidFill>
                <a:schemeClr val="tx1"/>
              </a:solidFill>
              <a:latin typeface="+mn-lt"/>
            </a:endParaRPr>
          </a:p>
          <a:p>
            <a:pPr algn="l"/>
            <a:r>
              <a:rPr lang="en-US" sz="1200" b="1" baseline="0">
                <a:solidFill>
                  <a:schemeClr val="tx1"/>
                </a:solidFill>
                <a:latin typeface="+mn-lt"/>
              </a:rPr>
              <a:t>  Step 6:   </a:t>
            </a:r>
            <a:r>
              <a:rPr lang="en-US" sz="1200" b="0" baseline="0">
                <a:solidFill>
                  <a:schemeClr val="tx1"/>
                </a:solidFill>
                <a:latin typeface="+mn-lt"/>
              </a:rPr>
              <a:t>Use the paste special function to insert the data into the</a:t>
            </a:r>
          </a:p>
          <a:p>
            <a:pPr algn="l"/>
            <a:r>
              <a:rPr lang="en-US" sz="1200" b="0" baseline="0">
                <a:solidFill>
                  <a:schemeClr val="tx1"/>
                </a:solidFill>
                <a:latin typeface="+mn-lt"/>
              </a:rPr>
              <a:t>                  "Piccaro Output" tab </a:t>
            </a:r>
            <a:r>
              <a:rPr lang="en-US" sz="900" b="0" baseline="0">
                <a:solidFill>
                  <a:schemeClr val="tx1"/>
                </a:solidFill>
                <a:latin typeface="+mn-lt"/>
              </a:rPr>
              <a:t>([Right Click] and select Paste Special)</a:t>
            </a:r>
            <a:endParaRPr lang="en-US" sz="1200" b="0" baseline="0">
              <a:solidFill>
                <a:schemeClr val="tx1"/>
              </a:solidFill>
              <a:latin typeface="+mn-lt"/>
            </a:endParaRPr>
          </a:p>
          <a:p>
            <a:pPr algn="l"/>
            <a:r>
              <a:rPr lang="en-US" sz="1200" b="0" baseline="0">
                <a:solidFill>
                  <a:schemeClr val="tx1"/>
                </a:solidFill>
                <a:latin typeface="+mn-lt"/>
              </a:rPr>
              <a:t>  </a:t>
            </a:r>
            <a:r>
              <a:rPr lang="en-US" sz="1200" b="1" baseline="0">
                <a:solidFill>
                  <a:schemeClr val="tx1"/>
                </a:solidFill>
                <a:latin typeface="+mn-lt"/>
              </a:rPr>
              <a:t>Step 7:</a:t>
            </a:r>
            <a:r>
              <a:rPr lang="en-US" sz="1200" b="0" baseline="0">
                <a:solidFill>
                  <a:schemeClr val="tx1"/>
                </a:solidFill>
                <a:latin typeface="+mn-lt"/>
              </a:rPr>
              <a:t>   View Standards and Duplicate Checks in "Calibration" Tab. </a:t>
            </a:r>
          </a:p>
          <a:p>
            <a:pPr algn="l"/>
            <a:r>
              <a:rPr lang="en-US" sz="1200" b="0" baseline="0">
                <a:solidFill>
                  <a:schemeClr val="tx1"/>
                </a:solidFill>
                <a:latin typeface="+mn-lt"/>
              </a:rPr>
              <a:t>  </a:t>
            </a:r>
            <a:r>
              <a:rPr lang="en-US" sz="1200" b="1" baseline="0">
                <a:solidFill>
                  <a:schemeClr val="tx1"/>
                </a:solidFill>
                <a:latin typeface="+mn-lt"/>
              </a:rPr>
              <a:t>Step 8:   </a:t>
            </a:r>
            <a:r>
              <a:rPr lang="en-US" sz="1200" b="0" baseline="0">
                <a:solidFill>
                  <a:schemeClr val="tx1"/>
                </a:solidFill>
                <a:latin typeface="+mn-lt"/>
              </a:rPr>
              <a:t>View Processed Data in "Calibrated Data" tab and ensure all QC checks pass</a:t>
            </a:r>
          </a:p>
          <a:p>
            <a:pPr algn="l"/>
            <a:r>
              <a:rPr lang="en-US" sz="1200" b="0" baseline="0">
                <a:solidFill>
                  <a:schemeClr val="tx1"/>
                </a:solidFill>
                <a:latin typeface="+mn-lt"/>
              </a:rPr>
              <a:t>                  </a:t>
            </a:r>
            <a:r>
              <a:rPr lang="en-US" sz="1200" b="1" baseline="0">
                <a:solidFill>
                  <a:schemeClr val="tx1"/>
                </a:solidFill>
                <a:latin typeface="+mn-lt"/>
              </a:rPr>
              <a:t>*make sure you reference the proper House Standard for the checks*</a:t>
            </a:r>
            <a:endParaRPr lang="en-US" sz="1100" b="0" baseline="0">
              <a:solidFill>
                <a:schemeClr val="tx1"/>
              </a:solidFill>
              <a:latin typeface="+mn-lt"/>
            </a:endParaRPr>
          </a:p>
          <a:p>
            <a:pPr algn="l"/>
            <a:r>
              <a:rPr lang="en-US" sz="1200" b="0" baseline="0">
                <a:solidFill>
                  <a:schemeClr val="tx1"/>
                </a:solidFill>
                <a:latin typeface="+mn-lt"/>
              </a:rPr>
              <a:t>  </a:t>
            </a:r>
            <a:r>
              <a:rPr lang="en-US" sz="1200" b="1" baseline="0">
                <a:solidFill>
                  <a:schemeClr val="tx1"/>
                </a:solidFill>
                <a:latin typeface="+mn-lt"/>
              </a:rPr>
              <a:t>Step 9:   </a:t>
            </a:r>
            <a:r>
              <a:rPr lang="en-US" sz="1200" b="0" baseline="0">
                <a:solidFill>
                  <a:schemeClr val="tx1"/>
                </a:solidFill>
                <a:latin typeface="+mn-lt"/>
              </a:rPr>
              <a:t>Make Personal Copy for further Analysis</a:t>
            </a:r>
          </a:p>
          <a:p>
            <a:pPr algn="l"/>
            <a:r>
              <a:rPr lang="en-US" sz="1200" b="0" baseline="0">
                <a:solidFill>
                  <a:schemeClr val="tx1"/>
                </a:solidFill>
                <a:latin typeface="+mn-lt"/>
              </a:rPr>
              <a:t>  </a:t>
            </a:r>
            <a:r>
              <a:rPr lang="en-US" sz="1200" b="1" baseline="0">
                <a:solidFill>
                  <a:schemeClr val="tx1"/>
                </a:solidFill>
                <a:latin typeface="+mn-lt"/>
              </a:rPr>
              <a:t>Note:      </a:t>
            </a:r>
            <a:r>
              <a:rPr lang="en-US" sz="1100" b="0" baseline="0">
                <a:solidFill>
                  <a:schemeClr val="tx1"/>
                </a:solidFill>
                <a:latin typeface="+mn-lt"/>
              </a:rPr>
              <a:t>If changes need to be made to this spreadsheet, the password is </a:t>
            </a:r>
            <a:r>
              <a:rPr lang="en-US" sz="1100" b="1" baseline="0">
                <a:solidFill>
                  <a:schemeClr val="tx1"/>
                </a:solidFill>
                <a:latin typeface="+mn-lt"/>
              </a:rPr>
              <a:t>"rolltide"</a:t>
            </a:r>
          </a:p>
          <a:p>
            <a:pPr algn="l"/>
            <a:r>
              <a:rPr lang="en-US" sz="1200" b="0" baseline="0">
                <a:solidFill>
                  <a:schemeClr val="tx1"/>
                </a:solidFill>
                <a:latin typeface="+mn-lt"/>
              </a:rPr>
              <a:t>         </a:t>
            </a:r>
            <a:endParaRPr lang="en-US" sz="1200" b="1">
              <a:solidFill>
                <a:schemeClr val="tx1"/>
              </a:solidFill>
              <a:latin typeface="+mn-lt"/>
            </a:endParaRPr>
          </a:p>
        </xdr:txBody>
      </xdr:sp>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46199" y="1553261"/>
            <a:ext cx="1362075" cy="466725"/>
          </a:xfrm>
          <a:prstGeom prst="rect">
            <a:avLst/>
          </a:prstGeom>
          <a:noFill/>
          <a:ln>
            <a:noFill/>
          </a:ln>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323850</xdr:colOff>
      <xdr:row>21</xdr:row>
      <xdr:rowOff>0</xdr:rowOff>
    </xdr:from>
    <xdr:to>
      <xdr:col>8</xdr:col>
      <xdr:colOff>514350</xdr:colOff>
      <xdr:row>36</xdr:row>
      <xdr:rowOff>114300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285750</xdr:colOff>
      <xdr:row>20</xdr:row>
      <xdr:rowOff>152400</xdr:rowOff>
    </xdr:from>
    <xdr:to>
      <xdr:col>14</xdr:col>
      <xdr:colOff>361950</xdr:colOff>
      <xdr:row>36</xdr:row>
      <xdr:rowOff>66675</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314690</xdr:colOff>
      <xdr:row>38</xdr:row>
      <xdr:rowOff>22478</xdr:rowOff>
    </xdr:from>
    <xdr:to>
      <xdr:col>8</xdr:col>
      <xdr:colOff>505190</xdr:colOff>
      <xdr:row>54</xdr:row>
      <xdr:rowOff>13150</xdr:rowOff>
    </xdr:to>
    <xdr:graphicFrame macro="">
      <xdr:nvGraphicFramePr>
        <xdr:cNvPr id="4" name="Chart 3">
          <a:extLst>
            <a:ext uri="{FF2B5EF4-FFF2-40B4-BE49-F238E27FC236}">
              <a16:creationId xmlns:a16="http://schemas.microsoft.com/office/drawing/2014/main" id="{AC1F826C-A38B-D44E-A70F-3E8F36DAA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359645</xdr:colOff>
      <xdr:row>56</xdr:row>
      <xdr:rowOff>11239</xdr:rowOff>
    </xdr:from>
    <xdr:to>
      <xdr:col>8</xdr:col>
      <xdr:colOff>550145</xdr:colOff>
      <xdr:row>72</xdr:row>
      <xdr:rowOff>1911</xdr:rowOff>
    </xdr:to>
    <xdr:graphicFrame macro="">
      <xdr:nvGraphicFramePr>
        <xdr:cNvPr id="5" name="Chart 4">
          <a:extLst>
            <a:ext uri="{FF2B5EF4-FFF2-40B4-BE49-F238E27FC236}">
              <a16:creationId xmlns:a16="http://schemas.microsoft.com/office/drawing/2014/main" id="{79F6E4C2-BC35-5945-9899-CB4206AA6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258495</xdr:colOff>
      <xdr:row>38</xdr:row>
      <xdr:rowOff>44956</xdr:rowOff>
    </xdr:from>
    <xdr:to>
      <xdr:col>14</xdr:col>
      <xdr:colOff>334695</xdr:colOff>
      <xdr:row>54</xdr:row>
      <xdr:rowOff>37904</xdr:rowOff>
    </xdr:to>
    <xdr:graphicFrame macro="">
      <xdr:nvGraphicFramePr>
        <xdr:cNvPr id="6" name="Chart 5">
          <a:extLst>
            <a:ext uri="{FF2B5EF4-FFF2-40B4-BE49-F238E27FC236}">
              <a16:creationId xmlns:a16="http://schemas.microsoft.com/office/drawing/2014/main" id="{39EB0098-BE45-6146-B1AB-C936820706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269734</xdr:colOff>
      <xdr:row>56</xdr:row>
      <xdr:rowOff>11239</xdr:rowOff>
    </xdr:from>
    <xdr:to>
      <xdr:col>14</xdr:col>
      <xdr:colOff>345934</xdr:colOff>
      <xdr:row>72</xdr:row>
      <xdr:rowOff>4187</xdr:rowOff>
    </xdr:to>
    <xdr:graphicFrame macro="">
      <xdr:nvGraphicFramePr>
        <xdr:cNvPr id="7" name="Chart 6">
          <a:extLst>
            <a:ext uri="{FF2B5EF4-FFF2-40B4-BE49-F238E27FC236}">
              <a16:creationId xmlns:a16="http://schemas.microsoft.com/office/drawing/2014/main" id="{70502E5F-86A8-E949-AFD9-EBF9983F7F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768350</xdr:colOff>
      <xdr:row>5</xdr:row>
      <xdr:rowOff>38100</xdr:rowOff>
    </xdr:from>
    <xdr:to>
      <xdr:col>20</xdr:col>
      <xdr:colOff>444500</xdr:colOff>
      <xdr:row>46</xdr:row>
      <xdr:rowOff>139700</xdr:rowOff>
    </xdr:to>
    <xdr:graphicFrame macro="">
      <xdr:nvGraphicFramePr>
        <xdr:cNvPr id="2" name="Chart 1">
          <a:extLst>
            <a:ext uri="{FF2B5EF4-FFF2-40B4-BE49-F238E27FC236}">
              <a16:creationId xmlns:a16="http://schemas.microsoft.com/office/drawing/2014/main" id="{29761DD3-C535-5143-99AE-569A8854D2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
  <sheetViews>
    <sheetView showGridLines="0" topLeftCell="A8" zoomScale="90" zoomScaleNormal="90" zoomScalePageLayoutView="88" workbookViewId="0">
      <selection activeCell="J48" sqref="J48"/>
    </sheetView>
  </sheetViews>
  <sheetFormatPr defaultColWidth="8.796875" defaultRowHeight="14.25" x14ac:dyDescent="0.45"/>
  <cols>
    <col min="1" max="16384" width="8.796875" style="243"/>
  </cols>
  <sheetData>
    <row r="1" hidden="1" x14ac:dyDescent="0.45"/>
    <row r="2" hidden="1" x14ac:dyDescent="0.45"/>
    <row r="3" hidden="1" x14ac:dyDescent="0.45"/>
    <row r="4" hidden="1" x14ac:dyDescent="0.45"/>
    <row r="5" hidden="1" x14ac:dyDescent="0.45"/>
    <row r="6" hidden="1" x14ac:dyDescent="0.45"/>
    <row r="7" hidden="1" x14ac:dyDescent="0.45"/>
  </sheetData>
  <pageMargins left="0.7" right="0.7" top="0.75" bottom="0.75" header="0.3" footer="0.3"/>
  <drawing r:id="rId1"/>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59"/>
  <sheetViews>
    <sheetView showGridLines="0" zoomScale="90" zoomScaleNormal="90" zoomScalePageLayoutView="85" workbookViewId="0">
      <selection activeCell="B2" sqref="B2:C2"/>
    </sheetView>
  </sheetViews>
  <sheetFormatPr defaultColWidth="8.796875" defaultRowHeight="14.25" x14ac:dyDescent="0.45"/>
  <cols>
    <col min="1" max="1" width="4.6640625" customWidth="1"/>
    <col min="2" max="2" width="11.1328125" customWidth="1"/>
    <col min="3" max="3" width="11.46484375" customWidth="1"/>
    <col min="4" max="5" width="11.1328125" customWidth="1"/>
    <col min="6" max="6" width="11" customWidth="1"/>
    <col min="7" max="7" width="11.46484375" customWidth="1"/>
    <col min="8" max="8" width="13.46484375" customWidth="1"/>
    <col min="9" max="9" width="6.46484375" style="2" customWidth="1"/>
    <col min="10" max="10" width="10.6640625" customWidth="1"/>
    <col min="11" max="11" width="11.46484375" customWidth="1"/>
    <col min="12" max="12" width="1.46484375" customWidth="1"/>
    <col min="13" max="13" width="2.33203125" customWidth="1"/>
    <col min="14" max="14" width="4.33203125" customWidth="1"/>
    <col min="15" max="15" width="15.46484375" bestFit="1" customWidth="1"/>
    <col min="16" max="16" width="12.46484375" style="1" bestFit="1" customWidth="1"/>
    <col min="17" max="17" width="13.796875" style="1" bestFit="1" customWidth="1"/>
    <col min="18" max="18" width="17.1328125" bestFit="1" customWidth="1"/>
    <col min="19" max="19" width="12.6640625" customWidth="1"/>
    <col min="20" max="20" width="15.1328125" bestFit="1" customWidth="1"/>
  </cols>
  <sheetData>
    <row r="1" spans="1:20" ht="14.65" thickBot="1" x14ac:dyDescent="0.5"/>
    <row r="2" spans="1:20" ht="18.399999999999999" thickBot="1" x14ac:dyDescent="0.6">
      <c r="B2" s="270" t="s">
        <v>19</v>
      </c>
      <c r="C2" s="270"/>
      <c r="D2" s="271" t="s">
        <v>1108</v>
      </c>
      <c r="E2" s="272"/>
      <c r="F2" s="272"/>
      <c r="G2" s="272"/>
      <c r="H2" s="273"/>
      <c r="J2" s="250" t="s">
        <v>41</v>
      </c>
      <c r="K2" s="251"/>
    </row>
    <row r="3" spans="1:20" ht="18.399999999999999" thickBot="1" x14ac:dyDescent="0.6">
      <c r="B3" s="270" t="s">
        <v>20</v>
      </c>
      <c r="C3" s="270"/>
      <c r="D3" s="271" t="s">
        <v>1087</v>
      </c>
      <c r="E3" s="272"/>
      <c r="F3" s="272"/>
      <c r="G3" s="272"/>
      <c r="H3" s="273"/>
      <c r="J3" s="252">
        <v>44587.760416666664</v>
      </c>
      <c r="K3" s="253"/>
      <c r="T3" s="30"/>
    </row>
    <row r="4" spans="1:20" ht="18" x14ac:dyDescent="0.55000000000000004">
      <c r="B4" s="270" t="s">
        <v>21</v>
      </c>
      <c r="C4" s="270"/>
      <c r="D4" s="271" t="s">
        <v>123</v>
      </c>
      <c r="E4" s="272"/>
      <c r="F4" s="272"/>
      <c r="G4" s="272"/>
      <c r="H4" s="273"/>
    </row>
    <row r="5" spans="1:20" ht="18" x14ac:dyDescent="0.55000000000000004">
      <c r="B5" s="270" t="s">
        <v>22</v>
      </c>
      <c r="C5" s="270"/>
      <c r="D5" s="271" t="s">
        <v>1088</v>
      </c>
      <c r="E5" s="272"/>
      <c r="F5" s="272"/>
      <c r="G5" s="272"/>
      <c r="H5" s="273"/>
    </row>
    <row r="6" spans="1:20" ht="15" customHeight="1" x14ac:dyDescent="0.45">
      <c r="B6" s="264" t="s">
        <v>23</v>
      </c>
      <c r="C6" s="265"/>
      <c r="D6" s="255" t="s">
        <v>1107</v>
      </c>
      <c r="E6" s="256"/>
      <c r="F6" s="256"/>
      <c r="G6" s="256"/>
      <c r="H6" s="257"/>
    </row>
    <row r="7" spans="1:20" x14ac:dyDescent="0.45">
      <c r="B7" s="266"/>
      <c r="C7" s="267"/>
      <c r="D7" s="258"/>
      <c r="E7" s="259"/>
      <c r="F7" s="259"/>
      <c r="G7" s="259"/>
      <c r="H7" s="260"/>
    </row>
    <row r="8" spans="1:20" x14ac:dyDescent="0.45">
      <c r="B8" s="266"/>
      <c r="C8" s="267"/>
      <c r="D8" s="258"/>
      <c r="E8" s="259"/>
      <c r="F8" s="259"/>
      <c r="G8" s="259"/>
      <c r="H8" s="260"/>
    </row>
    <row r="9" spans="1:20" x14ac:dyDescent="0.45">
      <c r="B9" s="268"/>
      <c r="C9" s="269"/>
      <c r="D9" s="261"/>
      <c r="E9" s="262"/>
      <c r="F9" s="262"/>
      <c r="G9" s="262"/>
      <c r="H9" s="263"/>
    </row>
    <row r="10" spans="1:20" x14ac:dyDescent="0.45">
      <c r="B10" s="254"/>
      <c r="C10" s="254"/>
    </row>
    <row r="12" spans="1:20" ht="28.5" x14ac:dyDescent="0.85">
      <c r="B12" s="5" t="s">
        <v>128</v>
      </c>
    </row>
    <row r="13" spans="1:20" s="2" customFormat="1" ht="27" customHeight="1" thickBot="1" x14ac:dyDescent="0.5">
      <c r="B13" s="3"/>
      <c r="C13" s="3"/>
      <c r="D13" s="3"/>
      <c r="E13" s="3"/>
      <c r="F13" s="3"/>
      <c r="G13" s="3"/>
      <c r="H13" s="3"/>
      <c r="I13" s="3"/>
      <c r="J13" s="3"/>
    </row>
    <row r="14" spans="1:20" ht="45" customHeight="1" x14ac:dyDescent="0.45">
      <c r="A14" s="3">
        <v>99</v>
      </c>
      <c r="B14" s="98" t="s">
        <v>1163</v>
      </c>
      <c r="C14" s="99" t="s">
        <v>1164</v>
      </c>
      <c r="D14" s="99" t="s">
        <v>1165</v>
      </c>
      <c r="E14" s="109" t="s">
        <v>121</v>
      </c>
      <c r="F14" s="109" t="s">
        <v>119</v>
      </c>
      <c r="G14" s="109" t="s">
        <v>120</v>
      </c>
      <c r="H14" s="110" t="s">
        <v>121</v>
      </c>
      <c r="J14" s="2"/>
      <c r="K14" s="3"/>
    </row>
    <row r="15" spans="1:20" ht="45" customHeight="1" x14ac:dyDescent="0.45">
      <c r="A15" s="3">
        <v>92</v>
      </c>
      <c r="B15" s="100" t="s">
        <v>1157</v>
      </c>
      <c r="C15" s="85" t="s">
        <v>1158</v>
      </c>
      <c r="D15" s="85" t="s">
        <v>1159</v>
      </c>
      <c r="E15" s="85" t="s">
        <v>1160</v>
      </c>
      <c r="F15" s="85" t="s">
        <v>1161</v>
      </c>
      <c r="G15" s="85" t="s">
        <v>1162</v>
      </c>
      <c r="H15" s="111" t="s">
        <v>121</v>
      </c>
      <c r="I15" s="94">
        <v>14</v>
      </c>
      <c r="J15" s="2"/>
      <c r="K15" s="3"/>
    </row>
    <row r="16" spans="1:20" ht="45" customHeight="1" x14ac:dyDescent="0.45">
      <c r="A16" s="3">
        <v>85</v>
      </c>
      <c r="B16" s="100" t="s">
        <v>1151</v>
      </c>
      <c r="C16" s="85" t="s">
        <v>1152</v>
      </c>
      <c r="D16" s="85" t="s">
        <v>1153</v>
      </c>
      <c r="E16" s="85" t="s">
        <v>1154</v>
      </c>
      <c r="F16" s="85" t="s">
        <v>1155</v>
      </c>
      <c r="G16" s="85" t="s">
        <v>1156</v>
      </c>
      <c r="H16" s="111" t="s">
        <v>121</v>
      </c>
      <c r="I16" s="95">
        <v>13</v>
      </c>
      <c r="J16" s="93"/>
      <c r="K16" s="3"/>
    </row>
    <row r="17" spans="1:11" ht="45" customHeight="1" x14ac:dyDescent="0.45">
      <c r="A17" s="3">
        <v>78</v>
      </c>
      <c r="B17" s="100" t="s">
        <v>1145</v>
      </c>
      <c r="C17" s="85" t="s">
        <v>1146</v>
      </c>
      <c r="D17" s="85" t="s">
        <v>1147</v>
      </c>
      <c r="E17" s="85" t="s">
        <v>1148</v>
      </c>
      <c r="F17" s="85" t="s">
        <v>1149</v>
      </c>
      <c r="G17" s="85" t="s">
        <v>1150</v>
      </c>
      <c r="H17" s="111" t="s">
        <v>121</v>
      </c>
      <c r="I17" s="95">
        <v>12</v>
      </c>
      <c r="J17" s="2"/>
      <c r="K17" s="3"/>
    </row>
    <row r="18" spans="1:11" ht="45" customHeight="1" thickBot="1" x14ac:dyDescent="0.5">
      <c r="A18" s="3">
        <v>71</v>
      </c>
      <c r="B18" s="101" t="s">
        <v>1140</v>
      </c>
      <c r="C18" s="102" t="s">
        <v>1141</v>
      </c>
      <c r="D18" s="102" t="s">
        <v>1142</v>
      </c>
      <c r="E18" s="102" t="s">
        <v>1143</v>
      </c>
      <c r="F18" s="102" t="s">
        <v>1144</v>
      </c>
      <c r="G18" s="102" t="s">
        <v>1177</v>
      </c>
      <c r="H18" s="105" t="s">
        <v>121</v>
      </c>
      <c r="I18" s="95">
        <v>11</v>
      </c>
      <c r="J18" s="2"/>
      <c r="K18" s="3"/>
    </row>
    <row r="19" spans="1:11" ht="46.05" customHeight="1" thickTop="1" x14ac:dyDescent="0.45">
      <c r="A19" s="3">
        <v>64</v>
      </c>
      <c r="B19" s="103" t="s">
        <v>1138</v>
      </c>
      <c r="C19" s="104" t="s">
        <v>1139</v>
      </c>
      <c r="D19" s="104" t="s">
        <v>1140</v>
      </c>
      <c r="E19" s="113" t="s">
        <v>121</v>
      </c>
      <c r="F19" s="113" t="s">
        <v>119</v>
      </c>
      <c r="G19" s="113" t="s">
        <v>120</v>
      </c>
      <c r="H19" s="112" t="s">
        <v>121</v>
      </c>
      <c r="I19" s="95">
        <v>10</v>
      </c>
      <c r="J19" s="2"/>
      <c r="K19" s="3"/>
    </row>
    <row r="20" spans="1:11" ht="45" customHeight="1" x14ac:dyDescent="0.45">
      <c r="A20" s="3">
        <v>57</v>
      </c>
      <c r="B20" s="100" t="s">
        <v>1132</v>
      </c>
      <c r="C20" s="85" t="s">
        <v>1133</v>
      </c>
      <c r="D20" s="85" t="s">
        <v>1134</v>
      </c>
      <c r="E20" s="85" t="s">
        <v>1135</v>
      </c>
      <c r="F20" s="85" t="s">
        <v>1136</v>
      </c>
      <c r="G20" s="85" t="s">
        <v>1137</v>
      </c>
      <c r="H20" s="111" t="s">
        <v>121</v>
      </c>
      <c r="I20" s="95">
        <v>9</v>
      </c>
    </row>
    <row r="21" spans="1:11" ht="45" customHeight="1" x14ac:dyDescent="0.45">
      <c r="A21" s="3">
        <v>50</v>
      </c>
      <c r="B21" s="100" t="s">
        <v>1126</v>
      </c>
      <c r="C21" s="85" t="s">
        <v>1127</v>
      </c>
      <c r="D21" s="85" t="s">
        <v>1128</v>
      </c>
      <c r="E21" s="85" t="s">
        <v>1129</v>
      </c>
      <c r="F21" s="85" t="s">
        <v>1130</v>
      </c>
      <c r="G21" s="85" t="s">
        <v>1131</v>
      </c>
      <c r="H21" s="111" t="s">
        <v>121</v>
      </c>
      <c r="I21" s="95">
        <v>8</v>
      </c>
    </row>
    <row r="22" spans="1:11" ht="46.05" customHeight="1" x14ac:dyDescent="0.45">
      <c r="A22" s="3">
        <v>43</v>
      </c>
      <c r="B22" s="100" t="s">
        <v>1120</v>
      </c>
      <c r="C22" s="85" t="s">
        <v>1121</v>
      </c>
      <c r="D22" s="85" t="s">
        <v>1122</v>
      </c>
      <c r="E22" s="85" t="s">
        <v>1123</v>
      </c>
      <c r="F22" s="85" t="s">
        <v>1124</v>
      </c>
      <c r="G22" s="85" t="s">
        <v>1125</v>
      </c>
      <c r="H22" s="111" t="s">
        <v>121</v>
      </c>
      <c r="I22" s="96">
        <v>7</v>
      </c>
    </row>
    <row r="23" spans="1:11" s="2" customFormat="1" ht="45" customHeight="1" thickBot="1" x14ac:dyDescent="0.5">
      <c r="A23" s="3">
        <v>36</v>
      </c>
      <c r="B23" s="101" t="s">
        <v>1114</v>
      </c>
      <c r="C23" s="102" t="s">
        <v>1115</v>
      </c>
      <c r="D23" s="102" t="s">
        <v>1116</v>
      </c>
      <c r="E23" s="102" t="s">
        <v>1117</v>
      </c>
      <c r="F23" s="102" t="s">
        <v>1118</v>
      </c>
      <c r="G23" s="102" t="s">
        <v>1119</v>
      </c>
      <c r="H23" s="105" t="s">
        <v>121</v>
      </c>
      <c r="I23" s="95">
        <v>6</v>
      </c>
      <c r="J23" s="3"/>
    </row>
    <row r="24" spans="1:11" ht="45" customHeight="1" thickTop="1" x14ac:dyDescent="0.45">
      <c r="A24" s="3">
        <v>29</v>
      </c>
      <c r="B24" s="106" t="s">
        <v>1111</v>
      </c>
      <c r="C24" s="107" t="s">
        <v>1112</v>
      </c>
      <c r="D24" s="107" t="s">
        <v>1113</v>
      </c>
      <c r="E24" s="113" t="s">
        <v>121</v>
      </c>
      <c r="F24" s="113" t="s">
        <v>119</v>
      </c>
      <c r="G24" s="113" t="s">
        <v>120</v>
      </c>
      <c r="H24" s="112" t="s">
        <v>121</v>
      </c>
      <c r="I24" s="95">
        <v>5</v>
      </c>
      <c r="J24" s="2"/>
      <c r="K24" s="3"/>
    </row>
    <row r="25" spans="1:11" ht="45" customHeight="1" x14ac:dyDescent="0.45">
      <c r="A25" s="3">
        <v>22</v>
      </c>
      <c r="B25" s="100" t="s">
        <v>1103</v>
      </c>
      <c r="C25" s="85" t="s">
        <v>1104</v>
      </c>
      <c r="D25" s="85" t="s">
        <v>1105</v>
      </c>
      <c r="E25" s="85" t="s">
        <v>1106</v>
      </c>
      <c r="F25" s="85" t="s">
        <v>1109</v>
      </c>
      <c r="G25" s="85" t="s">
        <v>1110</v>
      </c>
      <c r="H25" s="111" t="s">
        <v>121</v>
      </c>
      <c r="I25" s="95">
        <v>4</v>
      </c>
      <c r="J25" s="2"/>
      <c r="K25" s="3"/>
    </row>
    <row r="26" spans="1:11" ht="45" customHeight="1" x14ac:dyDescent="0.45">
      <c r="A26" s="3">
        <v>15</v>
      </c>
      <c r="B26" s="100" t="s">
        <v>1097</v>
      </c>
      <c r="C26" s="85" t="s">
        <v>1098</v>
      </c>
      <c r="D26" s="85" t="s">
        <v>1099</v>
      </c>
      <c r="E26" s="85" t="s">
        <v>1100</v>
      </c>
      <c r="F26" s="85" t="s">
        <v>1101</v>
      </c>
      <c r="G26" s="85" t="s">
        <v>1102</v>
      </c>
      <c r="H26" s="111" t="s">
        <v>121</v>
      </c>
      <c r="I26" s="95">
        <v>3</v>
      </c>
      <c r="J26" s="2"/>
      <c r="K26" s="3"/>
    </row>
    <row r="27" spans="1:11" ht="45" customHeight="1" x14ac:dyDescent="0.45">
      <c r="A27" s="3">
        <v>8</v>
      </c>
      <c r="B27" s="100" t="s">
        <v>1091</v>
      </c>
      <c r="C27" s="85" t="s">
        <v>1092</v>
      </c>
      <c r="D27" s="85" t="s">
        <v>1093</v>
      </c>
      <c r="E27" s="85" t="s">
        <v>1094</v>
      </c>
      <c r="F27" s="85" t="s">
        <v>1095</v>
      </c>
      <c r="G27" s="85" t="s">
        <v>1096</v>
      </c>
      <c r="H27" s="111" t="s">
        <v>121</v>
      </c>
      <c r="I27" s="95">
        <v>2</v>
      </c>
      <c r="J27" s="2"/>
      <c r="K27" s="3"/>
    </row>
    <row r="28" spans="1:11" ht="45" customHeight="1" thickBot="1" x14ac:dyDescent="0.5">
      <c r="A28" s="3">
        <v>1</v>
      </c>
      <c r="B28" s="114" t="s">
        <v>121</v>
      </c>
      <c r="C28" s="115" t="s">
        <v>119</v>
      </c>
      <c r="D28" s="115" t="s">
        <v>120</v>
      </c>
      <c r="E28" s="115" t="s">
        <v>121</v>
      </c>
      <c r="F28" s="115" t="s">
        <v>121</v>
      </c>
      <c r="G28" s="97" t="s">
        <v>1089</v>
      </c>
      <c r="H28" s="108" t="s">
        <v>1090</v>
      </c>
      <c r="J28" s="2"/>
      <c r="K28" s="3"/>
    </row>
    <row r="29" spans="1:11" ht="25.05" customHeight="1" x14ac:dyDescent="0.45">
      <c r="A29" s="3"/>
      <c r="B29" s="3">
        <v>1</v>
      </c>
      <c r="C29" s="3">
        <v>2</v>
      </c>
      <c r="D29" s="3">
        <v>3</v>
      </c>
      <c r="E29" s="3">
        <v>4</v>
      </c>
      <c r="F29" s="3">
        <v>5</v>
      </c>
      <c r="G29" s="3">
        <v>6</v>
      </c>
      <c r="H29" s="3">
        <v>7</v>
      </c>
      <c r="J29" s="2"/>
      <c r="K29" s="3"/>
    </row>
    <row r="32" spans="1:11" ht="31.5" customHeight="1" x14ac:dyDescent="0.85">
      <c r="B32" s="5" t="s">
        <v>37</v>
      </c>
    </row>
    <row r="33" spans="2:5" ht="31.5" customHeight="1" thickBot="1" x14ac:dyDescent="0.5">
      <c r="B33" s="2"/>
      <c r="C33" s="24" t="s">
        <v>38</v>
      </c>
      <c r="D33" s="24" t="s">
        <v>39</v>
      </c>
      <c r="E33" s="24" t="s">
        <v>40</v>
      </c>
    </row>
    <row r="34" spans="2:5" ht="31.5" customHeight="1" x14ac:dyDescent="0.45">
      <c r="B34" s="3" t="s">
        <v>24</v>
      </c>
      <c r="C34" s="25" t="s">
        <v>120</v>
      </c>
      <c r="D34" s="26">
        <v>-8</v>
      </c>
      <c r="E34" s="27">
        <v>-52.8</v>
      </c>
    </row>
    <row r="35" spans="2:5" ht="31.5" customHeight="1" x14ac:dyDescent="0.45">
      <c r="B35" s="3" t="s">
        <v>25</v>
      </c>
      <c r="C35" s="87" t="s">
        <v>121</v>
      </c>
      <c r="D35" s="88">
        <v>-5.5</v>
      </c>
      <c r="E35" s="89">
        <v>-29.6</v>
      </c>
    </row>
    <row r="36" spans="2:5" ht="31.5" customHeight="1" x14ac:dyDescent="0.45">
      <c r="B36" s="3" t="s">
        <v>26</v>
      </c>
      <c r="C36" s="28" t="s">
        <v>119</v>
      </c>
      <c r="D36" s="4">
        <v>-4.5</v>
      </c>
      <c r="E36" s="6">
        <v>-22.4</v>
      </c>
    </row>
    <row r="37" spans="2:5" ht="31.5" customHeight="1" x14ac:dyDescent="0.45">
      <c r="B37" s="3" t="s">
        <v>27</v>
      </c>
      <c r="C37" s="90"/>
      <c r="D37" s="91"/>
      <c r="E37" s="92"/>
    </row>
    <row r="38" spans="2:5" ht="31.5" customHeight="1" x14ac:dyDescent="0.45">
      <c r="B38" s="3" t="s">
        <v>28</v>
      </c>
      <c r="C38" s="87"/>
      <c r="D38" s="88"/>
      <c r="E38" s="89"/>
    </row>
    <row r="39" spans="2:5" ht="31.5" customHeight="1" x14ac:dyDescent="0.45">
      <c r="B39" s="3" t="s">
        <v>29</v>
      </c>
      <c r="C39" s="28"/>
      <c r="D39" s="4"/>
      <c r="E39" s="6"/>
    </row>
    <row r="40" spans="2:5" ht="31.5" customHeight="1" x14ac:dyDescent="0.45">
      <c r="B40" s="3" t="s">
        <v>30</v>
      </c>
      <c r="C40" s="28"/>
      <c r="D40" s="4"/>
      <c r="E40" s="6"/>
    </row>
    <row r="41" spans="2:5" ht="31.5" customHeight="1" x14ac:dyDescent="0.45">
      <c r="B41" s="3" t="s">
        <v>31</v>
      </c>
      <c r="C41" s="28"/>
      <c r="D41" s="4"/>
      <c r="E41" s="6"/>
    </row>
    <row r="42" spans="2:5" ht="31.5" customHeight="1" x14ac:dyDescent="0.45">
      <c r="B42" s="3" t="s">
        <v>32</v>
      </c>
      <c r="C42" s="28"/>
      <c r="D42" s="4"/>
      <c r="E42" s="6"/>
    </row>
    <row r="43" spans="2:5" ht="31.5" customHeight="1" x14ac:dyDescent="0.45">
      <c r="B43" s="3" t="s">
        <v>33</v>
      </c>
      <c r="C43" s="28"/>
      <c r="D43" s="4"/>
      <c r="E43" s="6"/>
    </row>
    <row r="44" spans="2:5" ht="31.5" customHeight="1" x14ac:dyDescent="0.45">
      <c r="B44" s="3" t="s">
        <v>34</v>
      </c>
      <c r="C44" s="28"/>
      <c r="D44" s="4"/>
      <c r="E44" s="6"/>
    </row>
    <row r="45" spans="2:5" ht="31.5" customHeight="1" thickBot="1" x14ac:dyDescent="0.5">
      <c r="B45" s="3" t="s">
        <v>35</v>
      </c>
      <c r="C45" s="29"/>
      <c r="D45" s="7"/>
      <c r="E45" s="8"/>
    </row>
    <row r="56" spans="18:19" x14ac:dyDescent="0.45">
      <c r="R56" s="23"/>
      <c r="S56" s="23"/>
    </row>
    <row r="57" spans="18:19" x14ac:dyDescent="0.45">
      <c r="R57" s="23"/>
      <c r="S57" s="23"/>
    </row>
    <row r="58" spans="18:19" x14ac:dyDescent="0.45">
      <c r="R58" s="23"/>
      <c r="S58" s="23"/>
    </row>
    <row r="59" spans="18:19" x14ac:dyDescent="0.45">
      <c r="R59" s="23"/>
      <c r="S59" s="23"/>
    </row>
  </sheetData>
  <protectedRanges>
    <protectedRange sqref="D2:H9 I23:I27 C34:E36 C38:E45 J14:J19 I14:I18 B24:H29 J24:J29 I29 B14:H19" name="Range1"/>
  </protectedRanges>
  <mergeCells count="13">
    <mergeCell ref="J2:K2"/>
    <mergeCell ref="J3:K3"/>
    <mergeCell ref="B10:C10"/>
    <mergeCell ref="D6:H9"/>
    <mergeCell ref="B6:C9"/>
    <mergeCell ref="B5:C5"/>
    <mergeCell ref="D5:H5"/>
    <mergeCell ref="D2:H2"/>
    <mergeCell ref="B2:C2"/>
    <mergeCell ref="B3:C3"/>
    <mergeCell ref="D3:H3"/>
    <mergeCell ref="B4:C4"/>
    <mergeCell ref="D4:H4"/>
  </mergeCells>
  <phoneticPr fontId="22" type="noConversion"/>
  <pageMargins left="0.7" right="0.7" top="0.75" bottom="0.75" header="0.3" footer="0.3"/>
  <legacyDrawing r:id="rId1"/>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3CC4D-2771-CC4A-AE32-61764CBB3605}">
  <dimension ref="A1:D108"/>
  <sheetViews>
    <sheetView zoomScale="90" zoomScaleNormal="90" workbookViewId="0">
      <selection sqref="A1:B1"/>
    </sheetView>
  </sheetViews>
  <sheetFormatPr defaultColWidth="10.6640625" defaultRowHeight="14.25" x14ac:dyDescent="0.45"/>
  <cols>
    <col min="2" max="2" width="32.796875" bestFit="1" customWidth="1"/>
    <col min="3" max="3" width="15.1328125" bestFit="1" customWidth="1"/>
  </cols>
  <sheetData>
    <row r="1" spans="1:4" ht="14.65" thickBot="1" x14ac:dyDescent="0.5">
      <c r="A1" s="274" t="s">
        <v>1172</v>
      </c>
      <c r="B1" s="274"/>
      <c r="C1" s="210">
        <v>44587.760416666664</v>
      </c>
    </row>
    <row r="2" spans="1:4" ht="14.65" thickBot="1" x14ac:dyDescent="0.5">
      <c r="A2" s="213" t="s">
        <v>17</v>
      </c>
      <c r="B2" s="213" t="s">
        <v>18</v>
      </c>
      <c r="C2" s="214" t="s">
        <v>1173</v>
      </c>
      <c r="D2" s="215" t="s">
        <v>1174</v>
      </c>
    </row>
    <row r="3" spans="1:4" x14ac:dyDescent="0.45">
      <c r="A3" s="218">
        <v>1</v>
      </c>
      <c r="B3" s="216" t="str">
        <f>'Tray Configuration'!B28</f>
        <v>Ouachita</v>
      </c>
      <c r="C3" s="217">
        <f>C1</f>
        <v>44587.760416666664</v>
      </c>
      <c r="D3" s="219">
        <v>15</v>
      </c>
    </row>
    <row r="4" spans="1:4" x14ac:dyDescent="0.45">
      <c r="A4" s="220">
        <v>2</v>
      </c>
      <c r="B4" s="216" t="str">
        <f>'Tray Configuration'!C28</f>
        <v>Sipsey</v>
      </c>
      <c r="C4" s="217">
        <f>C3+"0:08:57"*D3</f>
        <v>44587.853645833333</v>
      </c>
      <c r="D4" s="219">
        <v>15</v>
      </c>
    </row>
    <row r="5" spans="1:4" x14ac:dyDescent="0.45">
      <c r="A5" s="220">
        <v>3</v>
      </c>
      <c r="B5" s="216" t="str">
        <f>'Tray Configuration'!D28</f>
        <v>Iceland</v>
      </c>
      <c r="C5" s="217">
        <f>C4+"0:08:57"*D4</f>
        <v>44587.946875000001</v>
      </c>
      <c r="D5" s="219">
        <v>15</v>
      </c>
    </row>
    <row r="6" spans="1:4" x14ac:dyDescent="0.45">
      <c r="A6" s="220">
        <v>4</v>
      </c>
      <c r="B6" s="216" t="str">
        <f>'Tray Configuration'!E28</f>
        <v>Ouachita</v>
      </c>
      <c r="C6" s="217">
        <f>C5+"0:08:57"*D5</f>
        <v>44588.04010416667</v>
      </c>
      <c r="D6" s="219">
        <v>15</v>
      </c>
    </row>
    <row r="7" spans="1:4" x14ac:dyDescent="0.45">
      <c r="A7" s="220">
        <v>5</v>
      </c>
      <c r="B7" s="216" t="str">
        <f>'Tray Configuration'!F28</f>
        <v>Ouachita</v>
      </c>
      <c r="C7" s="217">
        <f t="shared" ref="C7:C35" si="0">C6+"0:08:57"*D6</f>
        <v>44588.133333333339</v>
      </c>
      <c r="D7" s="219">
        <v>15</v>
      </c>
    </row>
    <row r="8" spans="1:4" x14ac:dyDescent="0.45">
      <c r="A8" s="220">
        <v>6</v>
      </c>
      <c r="B8" s="216" t="str">
        <f>'Tray Configuration'!G28</f>
        <v>WAIS_SFM01_2_RAW_20210607</v>
      </c>
      <c r="C8" s="217">
        <f t="shared" si="0"/>
        <v>44588.226562500007</v>
      </c>
      <c r="D8" s="219">
        <v>6</v>
      </c>
    </row>
    <row r="9" spans="1:4" x14ac:dyDescent="0.45">
      <c r="A9" s="220">
        <v>7</v>
      </c>
      <c r="B9" s="216" t="str">
        <f>'Tray Configuration'!H28</f>
        <v>WAIS_SFM02_1_RAW_20210607</v>
      </c>
      <c r="C9" s="217">
        <f t="shared" si="0"/>
        <v>44588.263854166675</v>
      </c>
      <c r="D9" s="219">
        <v>6</v>
      </c>
    </row>
    <row r="10" spans="1:4" x14ac:dyDescent="0.45">
      <c r="A10" s="220">
        <v>8</v>
      </c>
      <c r="B10" s="216" t="str">
        <f>'Tray Configuration'!B27</f>
        <v>WAIS_SFM03_1_RAW_20210607</v>
      </c>
      <c r="C10" s="217">
        <f t="shared" si="0"/>
        <v>44588.301145833342</v>
      </c>
      <c r="D10" s="219">
        <v>6</v>
      </c>
    </row>
    <row r="11" spans="1:4" x14ac:dyDescent="0.45">
      <c r="A11" s="221">
        <v>9</v>
      </c>
      <c r="B11" s="216" t="str">
        <f>'Tray Configuration'!C27</f>
        <v>WAIS_SFM04_1_RAW_20210607</v>
      </c>
      <c r="C11" s="217">
        <f t="shared" si="0"/>
        <v>44588.33843750001</v>
      </c>
      <c r="D11" s="219">
        <v>6</v>
      </c>
    </row>
    <row r="12" spans="1:4" x14ac:dyDescent="0.45">
      <c r="A12" s="221">
        <v>10</v>
      </c>
      <c r="B12" s="216" t="str">
        <f>'Tray Configuration'!D27</f>
        <v>WAIS_SFM05_1_RAW_20210607</v>
      </c>
      <c r="C12" s="217">
        <f t="shared" si="0"/>
        <v>44588.375729166677</v>
      </c>
      <c r="D12" s="219">
        <v>6</v>
      </c>
    </row>
    <row r="13" spans="1:4" x14ac:dyDescent="0.45">
      <c r="A13" s="221">
        <v>11</v>
      </c>
      <c r="B13" s="216" t="str">
        <f>'Tray Configuration'!E27</f>
        <v>WAIS_SFM06_1_RAW_20210607</v>
      </c>
      <c r="C13" s="217">
        <f t="shared" si="0"/>
        <v>44588.413020833344</v>
      </c>
      <c r="D13" s="219">
        <v>6</v>
      </c>
    </row>
    <row r="14" spans="1:4" x14ac:dyDescent="0.45">
      <c r="A14" s="221">
        <v>12</v>
      </c>
      <c r="B14" s="216" t="str">
        <f>'Tray Configuration'!F27</f>
        <v>WAIS_SFM07_1_RAW_20210607</v>
      </c>
      <c r="C14" s="217">
        <f t="shared" si="0"/>
        <v>44588.450312500012</v>
      </c>
      <c r="D14" s="219">
        <v>6</v>
      </c>
    </row>
    <row r="15" spans="1:4" x14ac:dyDescent="0.45">
      <c r="A15" s="221">
        <v>13</v>
      </c>
      <c r="B15" s="216" t="str">
        <f>'Tray Configuration'!G27</f>
        <v>WAIS_SFT01_1_RAW_20210606</v>
      </c>
      <c r="C15" s="217">
        <f t="shared" si="0"/>
        <v>44588.487604166679</v>
      </c>
      <c r="D15" s="219">
        <v>6</v>
      </c>
    </row>
    <row r="16" spans="1:4" x14ac:dyDescent="0.45">
      <c r="A16" s="221">
        <v>14</v>
      </c>
      <c r="B16" s="216" t="str">
        <f>'Tray Configuration'!H27</f>
        <v>Ouachita</v>
      </c>
      <c r="C16" s="217">
        <f t="shared" si="0"/>
        <v>44588.524895833347</v>
      </c>
      <c r="D16" s="219">
        <v>6</v>
      </c>
    </row>
    <row r="17" spans="1:4" x14ac:dyDescent="0.45">
      <c r="A17" s="221">
        <v>15</v>
      </c>
      <c r="B17" s="216" t="str">
        <f>'Tray Configuration'!B26</f>
        <v>WAIS_SFT02_1_RAW_20210606</v>
      </c>
      <c r="C17" s="217">
        <f t="shared" si="0"/>
        <v>44588.562187500014</v>
      </c>
      <c r="D17" s="219">
        <v>6</v>
      </c>
    </row>
    <row r="18" spans="1:4" x14ac:dyDescent="0.45">
      <c r="A18" s="221">
        <v>16</v>
      </c>
      <c r="B18" s="216" t="str">
        <f>'Tray Configuration'!C26</f>
        <v>WAIS_01M01_1_RAW_20210607</v>
      </c>
      <c r="C18" s="217">
        <f t="shared" si="0"/>
        <v>44588.599479166682</v>
      </c>
      <c r="D18" s="219">
        <v>6</v>
      </c>
    </row>
    <row r="19" spans="1:4" x14ac:dyDescent="0.45">
      <c r="A19" s="221">
        <v>17</v>
      </c>
      <c r="B19" s="216" t="str">
        <f>'Tray Configuration'!D26</f>
        <v>WAIS_01M02_1_RAW_20210607</v>
      </c>
      <c r="C19" s="217">
        <f t="shared" si="0"/>
        <v>44588.636770833349</v>
      </c>
      <c r="D19" s="219">
        <v>6</v>
      </c>
    </row>
    <row r="20" spans="1:4" x14ac:dyDescent="0.45">
      <c r="A20" s="221">
        <v>18</v>
      </c>
      <c r="B20" s="216" t="str">
        <f>'Tray Configuration'!E26</f>
        <v>WAIS_01M03_1_RAW_20210607</v>
      </c>
      <c r="C20" s="217">
        <f t="shared" si="0"/>
        <v>44588.674062500017</v>
      </c>
      <c r="D20" s="219">
        <v>6</v>
      </c>
    </row>
    <row r="21" spans="1:4" x14ac:dyDescent="0.45">
      <c r="A21" s="221">
        <v>19</v>
      </c>
      <c r="B21" s="216" t="str">
        <f>'Tray Configuration'!F26</f>
        <v>WAIS_01M04_1_RAW_20210607</v>
      </c>
      <c r="C21" s="217">
        <f t="shared" si="0"/>
        <v>44588.711354166684</v>
      </c>
      <c r="D21" s="219">
        <v>6</v>
      </c>
    </row>
    <row r="22" spans="1:4" x14ac:dyDescent="0.45">
      <c r="A22" s="221">
        <v>20</v>
      </c>
      <c r="B22" s="216" t="str">
        <f>'Tray Configuration'!G26</f>
        <v>WAIS_01M05_1_RAW_20210607</v>
      </c>
      <c r="C22" s="217">
        <f t="shared" si="0"/>
        <v>44588.748645833351</v>
      </c>
      <c r="D22" s="219">
        <v>6</v>
      </c>
    </row>
    <row r="23" spans="1:4" x14ac:dyDescent="0.45">
      <c r="A23" s="221">
        <v>21</v>
      </c>
      <c r="B23" s="216" t="str">
        <f>'Tray Configuration'!H26</f>
        <v>Ouachita</v>
      </c>
      <c r="C23" s="217">
        <f t="shared" si="0"/>
        <v>44588.785937500019</v>
      </c>
      <c r="D23" s="219">
        <v>6</v>
      </c>
    </row>
    <row r="24" spans="1:4" x14ac:dyDescent="0.45">
      <c r="A24" s="221">
        <v>22</v>
      </c>
      <c r="B24" s="216" t="str">
        <f>'Tray Configuration'!B25</f>
        <v>WAIS_01M06_1_RAW_20210607</v>
      </c>
      <c r="C24" s="217">
        <f t="shared" si="0"/>
        <v>44588.823229166686</v>
      </c>
      <c r="D24" s="219">
        <v>6</v>
      </c>
    </row>
    <row r="25" spans="1:4" x14ac:dyDescent="0.45">
      <c r="A25" s="221">
        <v>23</v>
      </c>
      <c r="B25" s="216" t="str">
        <f>'Tray Configuration'!C25</f>
        <v>WAIS_20M04_1_RAW_20210607</v>
      </c>
      <c r="C25" s="217">
        <f t="shared" si="0"/>
        <v>44588.860520833354</v>
      </c>
      <c r="D25" s="219">
        <v>6</v>
      </c>
    </row>
    <row r="26" spans="1:4" x14ac:dyDescent="0.45">
      <c r="A26" s="221">
        <v>24</v>
      </c>
      <c r="B26" s="216" t="str">
        <f>'Tray Configuration'!D25</f>
        <v>WAIS_20M05_1_RAW_20210607</v>
      </c>
      <c r="C26" s="217">
        <f t="shared" si="0"/>
        <v>44588.897812500021</v>
      </c>
      <c r="D26" s="219">
        <v>6</v>
      </c>
    </row>
    <row r="27" spans="1:4" x14ac:dyDescent="0.45">
      <c r="A27" s="221">
        <v>25</v>
      </c>
      <c r="B27" s="216" t="str">
        <f>'Tray Configuration'!E25</f>
        <v>WAIS_02M01_1_RAW_20210607</v>
      </c>
      <c r="C27" s="217">
        <f t="shared" si="0"/>
        <v>44588.935104166689</v>
      </c>
      <c r="D27" s="219">
        <v>6</v>
      </c>
    </row>
    <row r="28" spans="1:4" x14ac:dyDescent="0.45">
      <c r="A28" s="221">
        <v>26</v>
      </c>
      <c r="B28" s="216" t="str">
        <f>'Tray Configuration'!F25</f>
        <v>WAIS_02M02_1_RAW_20210607</v>
      </c>
      <c r="C28" s="217">
        <f t="shared" si="0"/>
        <v>44588.972395833356</v>
      </c>
      <c r="D28" s="219">
        <v>6</v>
      </c>
    </row>
    <row r="29" spans="1:4" x14ac:dyDescent="0.45">
      <c r="A29" s="222">
        <v>27</v>
      </c>
      <c r="B29" s="216" t="str">
        <f>'Tray Configuration'!G25</f>
        <v>WAIS_02M03_1_RAW_20210607</v>
      </c>
      <c r="C29" s="217">
        <f t="shared" si="0"/>
        <v>44589.009687500024</v>
      </c>
      <c r="D29" s="219">
        <v>6</v>
      </c>
    </row>
    <row r="30" spans="1:4" x14ac:dyDescent="0.45">
      <c r="A30" s="221">
        <v>28</v>
      </c>
      <c r="B30" s="216" t="str">
        <f>'Tray Configuration'!H25</f>
        <v>Ouachita</v>
      </c>
      <c r="C30" s="217">
        <f t="shared" si="0"/>
        <v>44589.046979166691</v>
      </c>
      <c r="D30" s="219">
        <v>6</v>
      </c>
    </row>
    <row r="31" spans="1:4" x14ac:dyDescent="0.45">
      <c r="A31" s="221">
        <v>29</v>
      </c>
      <c r="B31" s="216" t="str">
        <f>'Tray Configuration'!B24</f>
        <v>WAIS_02M05_1_RAW_20210607_spring</v>
      </c>
      <c r="C31" s="217">
        <f t="shared" si="0"/>
        <v>44589.084270833358</v>
      </c>
      <c r="D31" s="219">
        <v>6</v>
      </c>
    </row>
    <row r="32" spans="1:4" x14ac:dyDescent="0.45">
      <c r="A32" s="221">
        <v>30</v>
      </c>
      <c r="B32" s="216" t="str">
        <f>'Tray Configuration'!C24</f>
        <v>WAIS_02M06_1_RAW_20210607</v>
      </c>
      <c r="C32" s="217">
        <f t="shared" si="0"/>
        <v>44589.121562500026</v>
      </c>
      <c r="D32" s="219">
        <v>6</v>
      </c>
    </row>
    <row r="33" spans="1:4" x14ac:dyDescent="0.45">
      <c r="A33" s="221">
        <v>31</v>
      </c>
      <c r="B33" s="216" t="str">
        <f>'Tray Configuration'!D24</f>
        <v>WAIS_02M07_1_RAW_20210607</v>
      </c>
      <c r="C33" s="217">
        <f t="shared" si="0"/>
        <v>44589.158854166693</v>
      </c>
      <c r="D33" s="219">
        <v>6</v>
      </c>
    </row>
    <row r="34" spans="1:4" x14ac:dyDescent="0.45">
      <c r="A34" s="221">
        <v>32</v>
      </c>
      <c r="B34" s="216" t="str">
        <f>'Tray Configuration'!E24</f>
        <v>Ouachita</v>
      </c>
      <c r="C34" s="217">
        <f t="shared" si="0"/>
        <v>44589.196145833361</v>
      </c>
      <c r="D34" s="219">
        <v>15</v>
      </c>
    </row>
    <row r="35" spans="1:4" x14ac:dyDescent="0.45">
      <c r="A35" s="221">
        <v>33</v>
      </c>
      <c r="B35" s="216" t="str">
        <f>'Tray Configuration'!F24</f>
        <v>Sipsey</v>
      </c>
      <c r="C35" s="217">
        <f t="shared" si="0"/>
        <v>44589.289375000029</v>
      </c>
      <c r="D35" s="219">
        <v>15</v>
      </c>
    </row>
    <row r="36" spans="1:4" x14ac:dyDescent="0.45">
      <c r="A36" s="221">
        <v>34</v>
      </c>
      <c r="B36" s="216" t="str">
        <f>'Tray Configuration'!G24</f>
        <v>Iceland</v>
      </c>
      <c r="C36" s="217">
        <f>C35+"0:08:57"*D35</f>
        <v>44589.382604166698</v>
      </c>
      <c r="D36" s="219">
        <v>15</v>
      </c>
    </row>
    <row r="37" spans="1:4" ht="14.65" thickBot="1" x14ac:dyDescent="0.5">
      <c r="A37" s="226">
        <v>35</v>
      </c>
      <c r="B37" s="223" t="str">
        <f>'Tray Configuration'!H24</f>
        <v>Ouachita</v>
      </c>
      <c r="C37" s="224">
        <f>C36+"0:08:57"*D36</f>
        <v>44589.475833333367</v>
      </c>
      <c r="D37" s="225">
        <v>15</v>
      </c>
    </row>
    <row r="38" spans="1:4" x14ac:dyDescent="0.45">
      <c r="A38" s="228">
        <v>36</v>
      </c>
      <c r="B38" s="216" t="str">
        <f>'Tray Configuration'!B23</f>
        <v>WAIS_04M02_2_RAW_20210607</v>
      </c>
      <c r="C38" s="217">
        <f t="shared" ref="C38:C43" si="1">C37+"0:08:57"*D37</f>
        <v>44589.569062500035</v>
      </c>
      <c r="D38" s="219">
        <v>6</v>
      </c>
    </row>
    <row r="39" spans="1:4" x14ac:dyDescent="0.45">
      <c r="A39" s="221">
        <v>37</v>
      </c>
      <c r="B39" s="216" t="str">
        <f>'Tray Configuration'!C23</f>
        <v>WAIS_04M05_2_RAW_20210607</v>
      </c>
      <c r="C39" s="217">
        <f t="shared" si="1"/>
        <v>44589.606354166703</v>
      </c>
      <c r="D39" s="219">
        <v>6</v>
      </c>
    </row>
    <row r="40" spans="1:4" x14ac:dyDescent="0.45">
      <c r="A40" s="221">
        <v>38</v>
      </c>
      <c r="B40" s="216" t="str">
        <f>'Tray Configuration'!D23</f>
        <v>WAIS_04M09_2_RAW_20210607</v>
      </c>
      <c r="C40" s="217">
        <f t="shared" si="1"/>
        <v>44589.64364583337</v>
      </c>
      <c r="D40" s="219">
        <v>6</v>
      </c>
    </row>
    <row r="41" spans="1:4" x14ac:dyDescent="0.45">
      <c r="A41" s="221">
        <v>39</v>
      </c>
      <c r="B41" s="216" t="str">
        <f>'Tray Configuration'!E23</f>
        <v>WAIS_02M04_1_RAW_20210607</v>
      </c>
      <c r="C41" s="217">
        <f t="shared" si="1"/>
        <v>44589.680937500038</v>
      </c>
      <c r="D41" s="219">
        <v>6</v>
      </c>
    </row>
    <row r="42" spans="1:4" x14ac:dyDescent="0.45">
      <c r="A42" s="221">
        <v>40</v>
      </c>
      <c r="B42" s="216" t="str">
        <f>'Tray Configuration'!F23</f>
        <v>WAIS_02M05_1_RAW_20210607</v>
      </c>
      <c r="C42" s="217">
        <f t="shared" si="1"/>
        <v>44589.718229166705</v>
      </c>
      <c r="D42" s="219">
        <v>6</v>
      </c>
    </row>
    <row r="43" spans="1:4" x14ac:dyDescent="0.45">
      <c r="A43" s="221">
        <v>41</v>
      </c>
      <c r="B43" s="216" t="str">
        <f>'Tray Configuration'!G23</f>
        <v>WAIS_02M08_1_RAW_20210607</v>
      </c>
      <c r="C43" s="217">
        <f t="shared" si="1"/>
        <v>44589.755520833372</v>
      </c>
      <c r="D43" s="219">
        <v>6</v>
      </c>
    </row>
    <row r="44" spans="1:4" x14ac:dyDescent="0.45">
      <c r="A44" s="221">
        <v>42</v>
      </c>
      <c r="B44" s="216" t="str">
        <f>'Tray Configuration'!H23</f>
        <v>Ouachita</v>
      </c>
      <c r="C44" s="217">
        <f>C43+"0:08:57"*D43</f>
        <v>44589.79281250004</v>
      </c>
      <c r="D44" s="219">
        <v>6</v>
      </c>
    </row>
    <row r="45" spans="1:4" x14ac:dyDescent="0.45">
      <c r="A45" s="221">
        <v>43</v>
      </c>
      <c r="B45" s="216" t="str">
        <f>'Tray Configuration'!B22</f>
        <v>WAIS_02M10_1_RAW_20210607</v>
      </c>
      <c r="C45" s="217">
        <f t="shared" ref="C45:C50" si="2">C44+"0:08:57"*D44</f>
        <v>44589.830104166707</v>
      </c>
      <c r="D45" s="219">
        <v>6</v>
      </c>
    </row>
    <row r="46" spans="1:4" x14ac:dyDescent="0.45">
      <c r="A46" s="221">
        <v>44</v>
      </c>
      <c r="B46" s="216" t="str">
        <f>'Tray Configuration'!C22</f>
        <v>WAIS_02M11_1_RAW_20210607</v>
      </c>
      <c r="C46" s="217">
        <f t="shared" si="2"/>
        <v>44589.867395833375</v>
      </c>
      <c r="D46" s="219">
        <v>6</v>
      </c>
    </row>
    <row r="47" spans="1:4" x14ac:dyDescent="0.45">
      <c r="A47" s="221">
        <v>45</v>
      </c>
      <c r="B47" s="216" t="str">
        <f>'Tray Configuration'!D22</f>
        <v>WAIS_04M01_1_RAW_20210607</v>
      </c>
      <c r="C47" s="217">
        <f t="shared" si="2"/>
        <v>44589.904687500042</v>
      </c>
      <c r="D47" s="219">
        <v>6</v>
      </c>
    </row>
    <row r="48" spans="1:4" x14ac:dyDescent="0.45">
      <c r="A48" s="221">
        <v>46</v>
      </c>
      <c r="B48" s="216" t="str">
        <f>'Tray Configuration'!E22</f>
        <v>WAIS_04M03_1_RAW_20210607</v>
      </c>
      <c r="C48" s="217">
        <f t="shared" si="2"/>
        <v>44589.94197916671</v>
      </c>
      <c r="D48" s="219">
        <v>6</v>
      </c>
    </row>
    <row r="49" spans="1:4" x14ac:dyDescent="0.45">
      <c r="A49" s="221">
        <v>47</v>
      </c>
      <c r="B49" s="216" t="str">
        <f>'Tray Configuration'!F22</f>
        <v>WAIS_04M04_1_RAW_20210607</v>
      </c>
      <c r="C49" s="217">
        <f t="shared" si="2"/>
        <v>44589.979270833377</v>
      </c>
      <c r="D49" s="219">
        <v>6</v>
      </c>
    </row>
    <row r="50" spans="1:4" x14ac:dyDescent="0.45">
      <c r="A50" s="221">
        <v>48</v>
      </c>
      <c r="B50" s="216" t="str">
        <f>'Tray Configuration'!G22</f>
        <v>WAIS_04M06_1_RAW_20210607</v>
      </c>
      <c r="C50" s="217">
        <f t="shared" si="2"/>
        <v>44590.016562500045</v>
      </c>
      <c r="D50" s="219">
        <v>6</v>
      </c>
    </row>
    <row r="51" spans="1:4" x14ac:dyDescent="0.45">
      <c r="A51" s="221">
        <v>49</v>
      </c>
      <c r="B51" s="216" t="str">
        <f>'Tray Configuration'!H22</f>
        <v>Ouachita</v>
      </c>
      <c r="C51" s="217">
        <f>C50+"0:08:57"*D50</f>
        <v>44590.053854166712</v>
      </c>
      <c r="D51" s="219">
        <v>6</v>
      </c>
    </row>
    <row r="52" spans="1:4" x14ac:dyDescent="0.45">
      <c r="A52" s="221">
        <v>50</v>
      </c>
      <c r="B52" s="216" t="str">
        <f>'Tray Configuration'!B21</f>
        <v>WAIS_04M07_1_RAW_20210607</v>
      </c>
      <c r="C52" s="217">
        <f t="shared" ref="C52:C57" si="3">C51+"0:08:57"*D51</f>
        <v>44590.091145833379</v>
      </c>
      <c r="D52" s="219">
        <v>6</v>
      </c>
    </row>
    <row r="53" spans="1:4" x14ac:dyDescent="0.45">
      <c r="A53" s="221">
        <v>51</v>
      </c>
      <c r="B53" s="216" t="str">
        <f>'Tray Configuration'!C21</f>
        <v>WAIS_04M08_1_RAW__20210607</v>
      </c>
      <c r="C53" s="217">
        <f t="shared" si="3"/>
        <v>44590.128437500047</v>
      </c>
      <c r="D53" s="219">
        <v>6</v>
      </c>
    </row>
    <row r="54" spans="1:4" x14ac:dyDescent="0.45">
      <c r="A54" s="221">
        <v>52</v>
      </c>
      <c r="B54" s="216" t="str">
        <f>'Tray Configuration'!D21</f>
        <v>WAIS_04M10_1_RAW_20210607</v>
      </c>
      <c r="C54" s="217">
        <f t="shared" si="3"/>
        <v>44590.165729166714</v>
      </c>
      <c r="D54" s="219">
        <v>6</v>
      </c>
    </row>
    <row r="55" spans="1:4" x14ac:dyDescent="0.45">
      <c r="A55" s="221">
        <v>53</v>
      </c>
      <c r="B55" s="216" t="str">
        <f>'Tray Configuration'!E21</f>
        <v>WAIS_04M11_1_RAW_20210607</v>
      </c>
      <c r="C55" s="217">
        <f t="shared" si="3"/>
        <v>44590.203020833382</v>
      </c>
      <c r="D55" s="219">
        <v>6</v>
      </c>
    </row>
    <row r="56" spans="1:4" x14ac:dyDescent="0.45">
      <c r="A56" s="221">
        <v>54</v>
      </c>
      <c r="B56" s="216" t="str">
        <f>'Tray Configuration'!F21</f>
        <v>WAIS_04W03_1_RAW_20210607</v>
      </c>
      <c r="C56" s="217">
        <f t="shared" si="3"/>
        <v>44590.240312500049</v>
      </c>
      <c r="D56" s="219">
        <v>6</v>
      </c>
    </row>
    <row r="57" spans="1:4" x14ac:dyDescent="0.45">
      <c r="A57" s="221">
        <v>55</v>
      </c>
      <c r="B57" s="216" t="str">
        <f>'Tray Configuration'!G21</f>
        <v>WAIS_04W02_1_RAW_20210607</v>
      </c>
      <c r="C57" s="217">
        <f t="shared" si="3"/>
        <v>44590.277604166717</v>
      </c>
      <c r="D57" s="219">
        <v>6</v>
      </c>
    </row>
    <row r="58" spans="1:4" x14ac:dyDescent="0.45">
      <c r="A58" s="221">
        <v>56</v>
      </c>
      <c r="B58" s="216" t="str">
        <f>'Tray Configuration'!H21</f>
        <v>Ouachita</v>
      </c>
      <c r="C58" s="217">
        <f>C57+"0:08:57"*D57</f>
        <v>44590.314895833384</v>
      </c>
      <c r="D58" s="219">
        <v>6</v>
      </c>
    </row>
    <row r="59" spans="1:4" x14ac:dyDescent="0.45">
      <c r="A59" s="221">
        <v>57</v>
      </c>
      <c r="B59" s="216" t="str">
        <f>'Tray Configuration'!B20</f>
        <v>WAIS_04W04_1_RAW_20210607</v>
      </c>
      <c r="C59" s="217">
        <f t="shared" ref="C59:C64" si="4">C58+"0:08:57"*D58</f>
        <v>44590.352187500052</v>
      </c>
      <c r="D59" s="219">
        <v>6</v>
      </c>
    </row>
    <row r="60" spans="1:4" x14ac:dyDescent="0.45">
      <c r="A60" s="221">
        <v>58</v>
      </c>
      <c r="B60" s="216" t="str">
        <f>'Tray Configuration'!C20</f>
        <v>WAIS_04T02_1_RAW_20210607</v>
      </c>
      <c r="C60" s="217">
        <f t="shared" si="4"/>
        <v>44590.389479166719</v>
      </c>
      <c r="D60" s="219">
        <v>6</v>
      </c>
    </row>
    <row r="61" spans="1:4" x14ac:dyDescent="0.45">
      <c r="A61" s="221">
        <v>59</v>
      </c>
      <c r="B61" s="216" t="str">
        <f>'Tray Configuration'!D20</f>
        <v>WAIS_SFM01_1_RAW_20210723</v>
      </c>
      <c r="C61" s="217">
        <f t="shared" si="4"/>
        <v>44590.426770833386</v>
      </c>
      <c r="D61" s="219">
        <v>6</v>
      </c>
    </row>
    <row r="62" spans="1:4" x14ac:dyDescent="0.45">
      <c r="A62" s="221">
        <v>60</v>
      </c>
      <c r="B62" s="216" t="str">
        <f>'Tray Configuration'!E20</f>
        <v>WAIS_SFM05_1_RAW_20210713</v>
      </c>
      <c r="C62" s="217">
        <f t="shared" si="4"/>
        <v>44590.464062500054</v>
      </c>
      <c r="D62" s="219">
        <v>6</v>
      </c>
    </row>
    <row r="63" spans="1:4" x14ac:dyDescent="0.45">
      <c r="A63" s="221">
        <v>61</v>
      </c>
      <c r="B63" s="216" t="str">
        <f>'Tray Configuration'!F20</f>
        <v>WAIS_SFT01_1_RAW_20210713</v>
      </c>
      <c r="C63" s="217">
        <f t="shared" si="4"/>
        <v>44590.501354166721</v>
      </c>
      <c r="D63" s="219">
        <v>6</v>
      </c>
    </row>
    <row r="64" spans="1:4" x14ac:dyDescent="0.45">
      <c r="A64" s="221">
        <v>62</v>
      </c>
      <c r="B64" s="216" t="str">
        <f>'Tray Configuration'!G20</f>
        <v>WAIS_01M02_1_RAW_20210713</v>
      </c>
      <c r="C64" s="217">
        <f t="shared" si="4"/>
        <v>44590.538645833389</v>
      </c>
      <c r="D64" s="219">
        <v>6</v>
      </c>
    </row>
    <row r="65" spans="1:4" x14ac:dyDescent="0.45">
      <c r="A65" s="221">
        <v>63</v>
      </c>
      <c r="B65" s="216" t="str">
        <f>'Tray Configuration'!H20</f>
        <v>Ouachita</v>
      </c>
      <c r="C65" s="217">
        <f>C64+"0:08:57"*D64</f>
        <v>44590.575937500056</v>
      </c>
      <c r="D65" s="219">
        <v>6</v>
      </c>
    </row>
    <row r="66" spans="1:4" x14ac:dyDescent="0.45">
      <c r="A66" s="221">
        <v>64</v>
      </c>
      <c r="B66" s="216" t="str">
        <f>'Tray Configuration'!B19</f>
        <v>WAIS_01M05_1_RAW_20210713</v>
      </c>
      <c r="C66" s="217">
        <f t="shared" ref="C66:C70" si="5">C65+"0:08:57"*D65</f>
        <v>44590.613229166724</v>
      </c>
      <c r="D66" s="219">
        <v>6</v>
      </c>
    </row>
    <row r="67" spans="1:4" x14ac:dyDescent="0.45">
      <c r="A67" s="221">
        <v>65</v>
      </c>
      <c r="B67" s="216" t="str">
        <f>'Tray Configuration'!C19</f>
        <v>WAIS_20M05_1_RAW_20210713</v>
      </c>
      <c r="C67" s="217">
        <f t="shared" si="5"/>
        <v>44590.650520833391</v>
      </c>
      <c r="D67" s="219">
        <v>6</v>
      </c>
    </row>
    <row r="68" spans="1:4" x14ac:dyDescent="0.45">
      <c r="A68" s="221">
        <v>66</v>
      </c>
      <c r="B68" s="216" t="str">
        <f>'Tray Configuration'!D19</f>
        <v>WAIS_02M05_1_RAW_20210713</v>
      </c>
      <c r="C68" s="217">
        <f t="shared" si="5"/>
        <v>44590.687812500058</v>
      </c>
      <c r="D68" s="219">
        <v>6</v>
      </c>
    </row>
    <row r="69" spans="1:4" x14ac:dyDescent="0.45">
      <c r="A69" s="221">
        <v>67</v>
      </c>
      <c r="B69" s="216" t="str">
        <f>'Tray Configuration'!E19</f>
        <v>Ouachita</v>
      </c>
      <c r="C69" s="217">
        <f t="shared" si="5"/>
        <v>44590.725104166726</v>
      </c>
      <c r="D69" s="219">
        <v>15</v>
      </c>
    </row>
    <row r="70" spans="1:4" x14ac:dyDescent="0.45">
      <c r="A70" s="221">
        <v>68</v>
      </c>
      <c r="B70" s="216" t="str">
        <f>'Tray Configuration'!F19</f>
        <v>Sipsey</v>
      </c>
      <c r="C70" s="217">
        <f t="shared" si="5"/>
        <v>44590.818333333395</v>
      </c>
      <c r="D70" s="219">
        <v>15</v>
      </c>
    </row>
    <row r="71" spans="1:4" x14ac:dyDescent="0.45">
      <c r="A71" s="221">
        <v>69</v>
      </c>
      <c r="B71" s="216" t="str">
        <f>'Tray Configuration'!G19</f>
        <v>Iceland</v>
      </c>
      <c r="C71" s="217">
        <f>C70+"0:08:57"*D70</f>
        <v>44590.911562500063</v>
      </c>
      <c r="D71" s="219">
        <v>15</v>
      </c>
    </row>
    <row r="72" spans="1:4" ht="14.65" thickBot="1" x14ac:dyDescent="0.5">
      <c r="A72" s="226">
        <v>70</v>
      </c>
      <c r="B72" s="223" t="str">
        <f>'Tray Configuration'!H19</f>
        <v>Ouachita</v>
      </c>
      <c r="C72" s="224">
        <f>C71+"0:08:57"*D71</f>
        <v>44591.004791666732</v>
      </c>
      <c r="D72" s="225">
        <v>15</v>
      </c>
    </row>
    <row r="73" spans="1:4" x14ac:dyDescent="0.45">
      <c r="A73" s="228">
        <v>71</v>
      </c>
      <c r="B73" s="216" t="str">
        <f>'Tray Configuration'!B18</f>
        <v>WAIS_02M05_1_RAW_20210713</v>
      </c>
      <c r="C73" s="229">
        <f t="shared" ref="C73:C78" si="6">C72+"0:08:57"*D72</f>
        <v>44591.0980208334</v>
      </c>
      <c r="D73" s="219">
        <v>6</v>
      </c>
    </row>
    <row r="74" spans="1:4" x14ac:dyDescent="0.45">
      <c r="A74" s="221">
        <v>72</v>
      </c>
      <c r="B74" s="216" t="str">
        <f>'Tray Configuration'!C18</f>
        <v>WAIS_02M07_1_RAW_20210713</v>
      </c>
      <c r="C74" s="217">
        <f t="shared" si="6"/>
        <v>44591.135312500068</v>
      </c>
      <c r="D74" s="219">
        <v>6</v>
      </c>
    </row>
    <row r="75" spans="1:4" x14ac:dyDescent="0.45">
      <c r="A75" s="221">
        <v>73</v>
      </c>
      <c r="B75" s="216" t="str">
        <f>'Tray Configuration'!D18</f>
        <v>WAIS_02M10_1_RAW_20210713</v>
      </c>
      <c r="C75" s="217">
        <f t="shared" si="6"/>
        <v>44591.172604166735</v>
      </c>
      <c r="D75" s="219">
        <v>6</v>
      </c>
    </row>
    <row r="76" spans="1:4" x14ac:dyDescent="0.45">
      <c r="A76" s="221">
        <v>74</v>
      </c>
      <c r="B76" s="216" t="str">
        <f>'Tray Configuration'!E18</f>
        <v>WAIS_02M11_1_RAW_20210713</v>
      </c>
      <c r="C76" s="217">
        <f t="shared" si="6"/>
        <v>44591.209895833403</v>
      </c>
      <c r="D76" s="219">
        <v>6</v>
      </c>
    </row>
    <row r="77" spans="1:4" x14ac:dyDescent="0.45">
      <c r="A77" s="221">
        <v>75</v>
      </c>
      <c r="B77" s="216" t="str">
        <f>'Tray Configuration'!F18</f>
        <v>WAIS_04M01_1_RAW_20210713</v>
      </c>
      <c r="C77" s="217">
        <f t="shared" si="6"/>
        <v>44591.24718750007</v>
      </c>
      <c r="D77" s="219">
        <v>6</v>
      </c>
    </row>
    <row r="78" spans="1:4" x14ac:dyDescent="0.45">
      <c r="A78" s="221">
        <v>76</v>
      </c>
      <c r="B78" s="216" t="str">
        <f>'Tray Configuration'!G18</f>
        <v>WAIS_04M03_1_RAW_20210713</v>
      </c>
      <c r="C78" s="217">
        <f t="shared" si="6"/>
        <v>44591.284479166738</v>
      </c>
      <c r="D78" s="219">
        <v>6</v>
      </c>
    </row>
    <row r="79" spans="1:4" x14ac:dyDescent="0.45">
      <c r="A79" s="221">
        <v>77</v>
      </c>
      <c r="B79" s="216" t="str">
        <f>'Tray Configuration'!H18</f>
        <v>Ouachita</v>
      </c>
      <c r="C79" s="217">
        <f>C78+"0:08:57"*D78</f>
        <v>44591.321770833405</v>
      </c>
      <c r="D79" s="219">
        <v>6</v>
      </c>
    </row>
    <row r="80" spans="1:4" x14ac:dyDescent="0.45">
      <c r="A80" s="221">
        <v>78</v>
      </c>
      <c r="B80" s="216" t="str">
        <f>'Tray Configuration'!B17</f>
        <v>WAIS_04M04_1_RAW_20210713</v>
      </c>
      <c r="C80" s="217">
        <f t="shared" ref="C80:C85" si="7">C79+"0:08:57"*D79</f>
        <v>44591.359062500072</v>
      </c>
      <c r="D80" s="219">
        <v>6</v>
      </c>
    </row>
    <row r="81" spans="1:4" x14ac:dyDescent="0.45">
      <c r="A81" s="221">
        <v>79</v>
      </c>
      <c r="B81" s="216" t="str">
        <f>'Tray Configuration'!C17</f>
        <v>WAIS_04M06_1_RAW_20210713</v>
      </c>
      <c r="C81" s="217">
        <f t="shared" si="7"/>
        <v>44591.39635416674</v>
      </c>
      <c r="D81" s="219">
        <v>6</v>
      </c>
    </row>
    <row r="82" spans="1:4" x14ac:dyDescent="0.45">
      <c r="A82" s="221">
        <v>80</v>
      </c>
      <c r="B82" s="216" t="str">
        <f>'Tray Configuration'!D17</f>
        <v>WAIS_04M08_1_RAW_20210713</v>
      </c>
      <c r="C82" s="217">
        <f t="shared" si="7"/>
        <v>44591.433645833407</v>
      </c>
      <c r="D82" s="219">
        <v>6</v>
      </c>
    </row>
    <row r="83" spans="1:4" x14ac:dyDescent="0.45">
      <c r="A83" s="221">
        <v>81</v>
      </c>
      <c r="B83" s="216" t="str">
        <f>'Tray Configuration'!E17</f>
        <v>WAIS_04W03_1_RAW_20210713</v>
      </c>
      <c r="C83" s="217">
        <f t="shared" si="7"/>
        <v>44591.470937500075</v>
      </c>
      <c r="D83" s="219">
        <v>6</v>
      </c>
    </row>
    <row r="84" spans="1:4" x14ac:dyDescent="0.45">
      <c r="A84" s="221">
        <v>82</v>
      </c>
      <c r="B84" s="216" t="str">
        <f>'Tray Configuration'!F17</f>
        <v>WAIS_04W04_1_RAW_20210713</v>
      </c>
      <c r="C84" s="217">
        <f t="shared" si="7"/>
        <v>44591.508229166742</v>
      </c>
      <c r="D84" s="219">
        <v>6</v>
      </c>
    </row>
    <row r="85" spans="1:4" x14ac:dyDescent="0.45">
      <c r="A85" s="221">
        <v>83</v>
      </c>
      <c r="B85" s="216" t="str">
        <f>'Tray Configuration'!G17</f>
        <v>WAIS_N04D_1_RAW_20210723</v>
      </c>
      <c r="C85" s="217">
        <f t="shared" si="7"/>
        <v>44591.54552083341</v>
      </c>
      <c r="D85" s="219">
        <v>6</v>
      </c>
    </row>
    <row r="86" spans="1:4" x14ac:dyDescent="0.45">
      <c r="A86" s="221">
        <v>84</v>
      </c>
      <c r="B86" s="216" t="str">
        <f>'Tray Configuration'!H17</f>
        <v>Ouachita</v>
      </c>
      <c r="C86" s="217">
        <f>C85+"0:08:57"*D85</f>
        <v>44591.582812500077</v>
      </c>
      <c r="D86" s="219">
        <v>6</v>
      </c>
    </row>
    <row r="87" spans="1:4" x14ac:dyDescent="0.45">
      <c r="A87" s="221">
        <v>85</v>
      </c>
      <c r="B87" s="216" t="str">
        <f>'Tray Configuration'!B16</f>
        <v>WAIS_SFT01_1_RAW_20210809</v>
      </c>
      <c r="C87" s="217">
        <f t="shared" ref="C87:C92" si="8">C86+"0:08:57"*D86</f>
        <v>44591.620104166745</v>
      </c>
      <c r="D87" s="219">
        <v>6</v>
      </c>
    </row>
    <row r="88" spans="1:4" x14ac:dyDescent="0.45">
      <c r="A88" s="221">
        <v>86</v>
      </c>
      <c r="B88" s="216" t="str">
        <f>'Tray Configuration'!C16</f>
        <v>WAIS_01M01_1_RAW_20210809</v>
      </c>
      <c r="C88" s="217">
        <f t="shared" si="8"/>
        <v>44591.657395833412</v>
      </c>
      <c r="D88" s="219">
        <v>6</v>
      </c>
    </row>
    <row r="89" spans="1:4" x14ac:dyDescent="0.45">
      <c r="A89" s="221">
        <v>87</v>
      </c>
      <c r="B89" s="216" t="str">
        <f>'Tray Configuration'!D16</f>
        <v>WAIS_01M05_1_RAW_20210809</v>
      </c>
      <c r="C89" s="217">
        <f t="shared" si="8"/>
        <v>44591.694687500079</v>
      </c>
      <c r="D89" s="219">
        <v>6</v>
      </c>
    </row>
    <row r="90" spans="1:4" x14ac:dyDescent="0.45">
      <c r="A90" s="221">
        <v>88</v>
      </c>
      <c r="B90" s="216" t="str">
        <f>'Tray Configuration'!E16</f>
        <v>WAIS_02M05_1_RAW_20210809</v>
      </c>
      <c r="C90" s="217">
        <f t="shared" si="8"/>
        <v>44591.731979166747</v>
      </c>
      <c r="D90" s="219">
        <v>6</v>
      </c>
    </row>
    <row r="91" spans="1:4" x14ac:dyDescent="0.45">
      <c r="A91" s="221">
        <v>89</v>
      </c>
      <c r="B91" s="216" t="str">
        <f>'Tray Configuration'!F16</f>
        <v>WAIS_02M06_1_RAW_20210809</v>
      </c>
      <c r="C91" s="217">
        <f t="shared" si="8"/>
        <v>44591.769270833414</v>
      </c>
      <c r="D91" s="219">
        <v>6</v>
      </c>
    </row>
    <row r="92" spans="1:4" x14ac:dyDescent="0.45">
      <c r="A92" s="221">
        <v>90</v>
      </c>
      <c r="B92" s="216" t="str">
        <f>'Tray Configuration'!G16</f>
        <v>WAIS_04M01_1_RAW_20210809</v>
      </c>
      <c r="C92" s="217">
        <f t="shared" si="8"/>
        <v>44591.806562500082</v>
      </c>
      <c r="D92" s="219">
        <v>6</v>
      </c>
    </row>
    <row r="93" spans="1:4" x14ac:dyDescent="0.45">
      <c r="A93" s="221">
        <v>91</v>
      </c>
      <c r="B93" s="216" t="str">
        <f>'Tray Configuration'!H16</f>
        <v>Ouachita</v>
      </c>
      <c r="C93" s="217">
        <f>C92+"0:08:57"*D92</f>
        <v>44591.843854166749</v>
      </c>
      <c r="D93" s="219">
        <v>6</v>
      </c>
    </row>
    <row r="94" spans="1:4" x14ac:dyDescent="0.45">
      <c r="A94" s="221">
        <v>92</v>
      </c>
      <c r="B94" s="216" t="str">
        <f>'Tray Configuration'!B15</f>
        <v>WAIS_04M03_1_RAW_20210809</v>
      </c>
      <c r="C94" s="217">
        <f t="shared" ref="C94:C99" si="9">C93+"0:08:57"*D93</f>
        <v>44591.881145833417</v>
      </c>
      <c r="D94" s="219">
        <v>6</v>
      </c>
    </row>
    <row r="95" spans="1:4" x14ac:dyDescent="0.45">
      <c r="A95" s="221">
        <v>93</v>
      </c>
      <c r="B95" s="216" t="str">
        <f>'Tray Configuration'!C15</f>
        <v>WAIS_04M04_1_RAW_20210809</v>
      </c>
      <c r="C95" s="217">
        <f t="shared" si="9"/>
        <v>44591.918437500084</v>
      </c>
      <c r="D95" s="219">
        <v>6</v>
      </c>
    </row>
    <row r="96" spans="1:4" x14ac:dyDescent="0.45">
      <c r="A96" s="221">
        <v>94</v>
      </c>
      <c r="B96" s="216" t="str">
        <f>'Tray Configuration'!D15</f>
        <v>WAIS_04M05_1_RAW_20210810_S</v>
      </c>
      <c r="C96" s="217">
        <f t="shared" si="9"/>
        <v>44591.955729166752</v>
      </c>
      <c r="D96" s="219">
        <v>6</v>
      </c>
    </row>
    <row r="97" spans="1:4" x14ac:dyDescent="0.45">
      <c r="A97" s="221">
        <v>95</v>
      </c>
      <c r="B97" s="216" t="str">
        <f>'Tray Configuration'!E15</f>
        <v>WAIS_04M06_1_RAW_20210809</v>
      </c>
      <c r="C97" s="217">
        <f t="shared" si="9"/>
        <v>44591.993020833419</v>
      </c>
      <c r="D97" s="219">
        <v>6</v>
      </c>
    </row>
    <row r="98" spans="1:4" x14ac:dyDescent="0.45">
      <c r="A98" s="221">
        <v>96</v>
      </c>
      <c r="B98" s="216" t="str">
        <f>'Tray Configuration'!F15</f>
        <v>WAIS_02M07_1_RAW_20210809</v>
      </c>
      <c r="C98" s="217">
        <f t="shared" si="9"/>
        <v>44592.030312500086</v>
      </c>
      <c r="D98" s="219">
        <v>6</v>
      </c>
    </row>
    <row r="99" spans="1:4" x14ac:dyDescent="0.45">
      <c r="A99" s="221">
        <v>97</v>
      </c>
      <c r="B99" s="216" t="str">
        <f>'Tray Configuration'!G15</f>
        <v>WAIS_04M08_1_RAW_20210809</v>
      </c>
      <c r="C99" s="217">
        <f t="shared" si="9"/>
        <v>44592.067604166754</v>
      </c>
      <c r="D99" s="219">
        <v>6</v>
      </c>
    </row>
    <row r="100" spans="1:4" x14ac:dyDescent="0.45">
      <c r="A100" s="221">
        <v>98</v>
      </c>
      <c r="B100" s="216" t="str">
        <f>'Tray Configuration'!H15</f>
        <v>Ouachita</v>
      </c>
      <c r="C100" s="217">
        <f>C99+"0:08:57"*D99</f>
        <v>44592.104895833421</v>
      </c>
      <c r="D100" s="219">
        <v>6</v>
      </c>
    </row>
    <row r="101" spans="1:4" x14ac:dyDescent="0.45">
      <c r="A101" s="221">
        <v>99</v>
      </c>
      <c r="B101" s="216" t="str">
        <f>'Tray Configuration'!B14</f>
        <v>WAIS_04M09_1_RAW_20210810_S</v>
      </c>
      <c r="C101" s="217">
        <f t="shared" ref="C101:C105" si="10">C100+"0:08:57"*D100</f>
        <v>44592.142187500089</v>
      </c>
      <c r="D101" s="219">
        <v>6</v>
      </c>
    </row>
    <row r="102" spans="1:4" x14ac:dyDescent="0.45">
      <c r="A102" s="221">
        <v>100</v>
      </c>
      <c r="B102" s="216" t="str">
        <f>'Tray Configuration'!C14</f>
        <v>WAIS_04W03_1_RAW_20210809</v>
      </c>
      <c r="C102" s="217">
        <f t="shared" si="10"/>
        <v>44592.179479166756</v>
      </c>
      <c r="D102" s="219">
        <v>6</v>
      </c>
    </row>
    <row r="103" spans="1:4" x14ac:dyDescent="0.45">
      <c r="A103" s="221">
        <v>101</v>
      </c>
      <c r="B103" s="216" t="str">
        <f>'Tray Configuration'!D14</f>
        <v>WAIS_04W04_1_RAW_20210809</v>
      </c>
      <c r="C103" s="217">
        <f t="shared" si="10"/>
        <v>44592.216770833424</v>
      </c>
      <c r="D103" s="219">
        <v>6</v>
      </c>
    </row>
    <row r="104" spans="1:4" x14ac:dyDescent="0.45">
      <c r="A104" s="221">
        <v>102</v>
      </c>
      <c r="B104" s="216" t="str">
        <f>'Tray Configuration'!E14</f>
        <v>Ouachita</v>
      </c>
      <c r="C104" s="217">
        <f t="shared" si="10"/>
        <v>44592.254062500091</v>
      </c>
      <c r="D104" s="219">
        <v>15</v>
      </c>
    </row>
    <row r="105" spans="1:4" x14ac:dyDescent="0.45">
      <c r="A105" s="221">
        <v>103</v>
      </c>
      <c r="B105" s="216" t="str">
        <f>'Tray Configuration'!F14</f>
        <v>Sipsey</v>
      </c>
      <c r="C105" s="217">
        <f t="shared" si="10"/>
        <v>44592.34729166676</v>
      </c>
      <c r="D105" s="219">
        <v>15</v>
      </c>
    </row>
    <row r="106" spans="1:4" x14ac:dyDescent="0.45">
      <c r="A106" s="221">
        <v>104</v>
      </c>
      <c r="B106" s="216" t="str">
        <f>'Tray Configuration'!G14</f>
        <v>Iceland</v>
      </c>
      <c r="C106" s="217">
        <f>C105+"0:08:57"*D105</f>
        <v>44592.440520833428</v>
      </c>
      <c r="D106" s="219">
        <v>15</v>
      </c>
    </row>
    <row r="107" spans="1:4" ht="14.65" thickBot="1" x14ac:dyDescent="0.5">
      <c r="A107" s="221">
        <v>105</v>
      </c>
      <c r="B107" s="223" t="str">
        <f>'Tray Configuration'!H14</f>
        <v>Ouachita</v>
      </c>
      <c r="C107" s="224">
        <f>C106+"0:08:57"*D106</f>
        <v>44592.533750000097</v>
      </c>
      <c r="D107" s="225">
        <v>15</v>
      </c>
    </row>
    <row r="108" spans="1:4" ht="14.65" thickBot="1" x14ac:dyDescent="0.5">
      <c r="A108" s="212"/>
      <c r="B108" s="211" t="s">
        <v>1175</v>
      </c>
      <c r="C108" s="227">
        <f>C107+"0:08:57"*D107</f>
        <v>44592.626979166766</v>
      </c>
      <c r="D108" s="212"/>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784"/>
  <sheetViews>
    <sheetView zoomScale="90" zoomScaleNormal="90" workbookViewId="0"/>
  </sheetViews>
  <sheetFormatPr defaultColWidth="10.6640625" defaultRowHeight="14.25" x14ac:dyDescent="0.45"/>
  <sheetData>
    <row r="1" spans="1:35" x14ac:dyDescent="0.45">
      <c r="A1" t="s">
        <v>42</v>
      </c>
      <c r="B1" t="s">
        <v>43</v>
      </c>
      <c r="C1" t="s">
        <v>44</v>
      </c>
      <c r="D1" t="s">
        <v>45</v>
      </c>
      <c r="E1" t="s">
        <v>46</v>
      </c>
      <c r="F1" t="s">
        <v>47</v>
      </c>
      <c r="G1" t="s">
        <v>48</v>
      </c>
      <c r="H1" t="s">
        <v>49</v>
      </c>
      <c r="I1" t="s">
        <v>50</v>
      </c>
      <c r="J1" t="s">
        <v>51</v>
      </c>
      <c r="K1" t="s">
        <v>52</v>
      </c>
      <c r="L1" t="s">
        <v>53</v>
      </c>
      <c r="M1" t="s">
        <v>54</v>
      </c>
      <c r="N1" t="s">
        <v>72</v>
      </c>
      <c r="O1" t="s">
        <v>0</v>
      </c>
      <c r="P1" t="s">
        <v>1</v>
      </c>
      <c r="Q1" t="s">
        <v>2</v>
      </c>
      <c r="R1" t="s">
        <v>3</v>
      </c>
      <c r="S1" t="s">
        <v>4</v>
      </c>
      <c r="T1" t="s">
        <v>5</v>
      </c>
      <c r="U1" t="s">
        <v>73</v>
      </c>
      <c r="V1" t="s">
        <v>74</v>
      </c>
      <c r="W1" t="s">
        <v>75</v>
      </c>
      <c r="X1" t="s">
        <v>76</v>
      </c>
      <c r="Y1" t="s">
        <v>77</v>
      </c>
      <c r="Z1" t="s">
        <v>78</v>
      </c>
      <c r="AA1" t="s">
        <v>79</v>
      </c>
      <c r="AB1" t="s">
        <v>80</v>
      </c>
      <c r="AC1" t="s">
        <v>81</v>
      </c>
      <c r="AD1" t="s">
        <v>6</v>
      </c>
      <c r="AE1" t="s">
        <v>7</v>
      </c>
      <c r="AF1" t="s">
        <v>8</v>
      </c>
      <c r="AG1" t="s">
        <v>9</v>
      </c>
      <c r="AH1" t="s">
        <v>10</v>
      </c>
      <c r="AI1" t="s">
        <v>82</v>
      </c>
    </row>
    <row r="2" spans="1:35" x14ac:dyDescent="0.45">
      <c r="A2">
        <v>1</v>
      </c>
      <c r="B2" t="s">
        <v>137</v>
      </c>
      <c r="C2" t="s">
        <v>138</v>
      </c>
      <c r="D2" t="s">
        <v>83</v>
      </c>
      <c r="E2">
        <v>1</v>
      </c>
      <c r="F2">
        <v>-6.157</v>
      </c>
      <c r="G2">
        <v>-35.965000000000003</v>
      </c>
      <c r="H2">
        <v>15927</v>
      </c>
      <c r="I2">
        <v>-1</v>
      </c>
      <c r="J2">
        <v>1</v>
      </c>
      <c r="K2" t="s">
        <v>55</v>
      </c>
      <c r="L2" t="s">
        <v>55</v>
      </c>
      <c r="M2" t="s">
        <v>56</v>
      </c>
      <c r="N2">
        <v>1643242917.6700001</v>
      </c>
      <c r="O2">
        <v>0.436</v>
      </c>
      <c r="P2">
        <v>0.71</v>
      </c>
      <c r="Q2">
        <v>63.462000000000003</v>
      </c>
      <c r="R2">
        <v>-6.0000000000000001E-3</v>
      </c>
      <c r="S2">
        <v>-8.0000000000000002E-3</v>
      </c>
      <c r="T2">
        <v>1.528</v>
      </c>
      <c r="U2">
        <v>90.903999999999996</v>
      </c>
      <c r="V2">
        <v>16.731000000000002</v>
      </c>
      <c r="W2">
        <v>2.3730000000000002</v>
      </c>
      <c r="X2">
        <v>93.123999999999995</v>
      </c>
      <c r="Y2">
        <v>0.9</v>
      </c>
      <c r="Z2">
        <v>0.19</v>
      </c>
      <c r="AA2">
        <v>1.1999999999999999E-3</v>
      </c>
      <c r="AB2">
        <v>1.1999999999999999E-3</v>
      </c>
      <c r="AC2">
        <v>1</v>
      </c>
      <c r="AD2">
        <v>39.561999999999998</v>
      </c>
      <c r="AE2">
        <v>1</v>
      </c>
      <c r="AF2">
        <v>1</v>
      </c>
      <c r="AG2">
        <v>1</v>
      </c>
      <c r="AH2" t="s">
        <v>84</v>
      </c>
      <c r="AI2">
        <v>0</v>
      </c>
    </row>
    <row r="3" spans="1:35" x14ac:dyDescent="0.45">
      <c r="A3">
        <v>2</v>
      </c>
      <c r="B3" t="s">
        <v>137</v>
      </c>
      <c r="C3" t="s">
        <v>139</v>
      </c>
      <c r="D3" t="s">
        <v>83</v>
      </c>
      <c r="E3">
        <v>2</v>
      </c>
      <c r="F3">
        <v>-5.8029999999999999</v>
      </c>
      <c r="G3">
        <v>-32.536999999999999</v>
      </c>
      <c r="H3">
        <v>16178</v>
      </c>
      <c r="I3">
        <v>-1</v>
      </c>
      <c r="J3">
        <v>1</v>
      </c>
      <c r="K3" t="s">
        <v>55</v>
      </c>
      <c r="L3" t="s">
        <v>55</v>
      </c>
      <c r="M3" t="s">
        <v>56</v>
      </c>
      <c r="N3">
        <v>1643243455.1500001</v>
      </c>
      <c r="O3">
        <v>0.20300000000000001</v>
      </c>
      <c r="P3">
        <v>0.438</v>
      </c>
      <c r="Q3">
        <v>56.777000000000001</v>
      </c>
      <c r="R3">
        <v>0</v>
      </c>
      <c r="S3">
        <v>-4.0000000000000001E-3</v>
      </c>
      <c r="T3">
        <v>1.36</v>
      </c>
      <c r="U3">
        <v>91.161000000000001</v>
      </c>
      <c r="V3">
        <v>23.036000000000001</v>
      </c>
      <c r="W3">
        <v>2.1739999999999999</v>
      </c>
      <c r="X3">
        <v>85.009</v>
      </c>
      <c r="Y3">
        <v>0.90100000000000002</v>
      </c>
      <c r="Z3">
        <v>0.36899999999999999</v>
      </c>
      <c r="AA3">
        <v>0</v>
      </c>
      <c r="AB3">
        <v>0</v>
      </c>
      <c r="AC3">
        <v>1</v>
      </c>
      <c r="AD3">
        <v>39.5</v>
      </c>
      <c r="AE3">
        <v>1</v>
      </c>
      <c r="AF3">
        <v>1</v>
      </c>
      <c r="AG3">
        <v>1</v>
      </c>
      <c r="AH3" t="s">
        <v>84</v>
      </c>
      <c r="AI3">
        <v>0</v>
      </c>
    </row>
    <row r="4" spans="1:35" x14ac:dyDescent="0.45">
      <c r="A4">
        <v>3</v>
      </c>
      <c r="B4" t="s">
        <v>137</v>
      </c>
      <c r="C4" t="s">
        <v>140</v>
      </c>
      <c r="D4" t="s">
        <v>83</v>
      </c>
      <c r="E4">
        <v>3</v>
      </c>
      <c r="F4">
        <v>-5.7309999999999999</v>
      </c>
      <c r="G4">
        <v>-31.58</v>
      </c>
      <c r="H4">
        <v>16185</v>
      </c>
      <c r="I4">
        <v>-1</v>
      </c>
      <c r="J4">
        <v>1</v>
      </c>
      <c r="K4" t="s">
        <v>55</v>
      </c>
      <c r="L4" t="s">
        <v>55</v>
      </c>
      <c r="M4" t="s">
        <v>56</v>
      </c>
      <c r="N4">
        <v>1643243993</v>
      </c>
      <c r="O4">
        <v>0.19700000000000001</v>
      </c>
      <c r="P4">
        <v>0.435</v>
      </c>
      <c r="Q4">
        <v>55.37</v>
      </c>
      <c r="R4">
        <v>0</v>
      </c>
      <c r="S4">
        <v>-4.0000000000000001E-3</v>
      </c>
      <c r="T4">
        <v>1.33</v>
      </c>
      <c r="U4">
        <v>90.340999999999994</v>
      </c>
      <c r="V4">
        <v>24.695</v>
      </c>
      <c r="W4">
        <v>2.1890000000000001</v>
      </c>
      <c r="X4">
        <v>84.617999999999995</v>
      </c>
      <c r="Y4">
        <v>0.89900000000000002</v>
      </c>
      <c r="Z4">
        <v>0.67600000000000005</v>
      </c>
      <c r="AA4">
        <v>0</v>
      </c>
      <c r="AB4">
        <v>0</v>
      </c>
      <c r="AC4">
        <v>1</v>
      </c>
      <c r="AD4">
        <v>39.5</v>
      </c>
      <c r="AE4">
        <v>1</v>
      </c>
      <c r="AF4">
        <v>1</v>
      </c>
      <c r="AG4">
        <v>1</v>
      </c>
      <c r="AH4" t="s">
        <v>84</v>
      </c>
      <c r="AI4">
        <v>0</v>
      </c>
    </row>
    <row r="5" spans="1:35" x14ac:dyDescent="0.45">
      <c r="A5">
        <v>4</v>
      </c>
      <c r="B5" t="s">
        <v>137</v>
      </c>
      <c r="C5" t="s">
        <v>141</v>
      </c>
      <c r="D5" t="s">
        <v>83</v>
      </c>
      <c r="E5">
        <v>4</v>
      </c>
      <c r="F5">
        <v>-5.6449999999999996</v>
      </c>
      <c r="G5">
        <v>-31.138000000000002</v>
      </c>
      <c r="H5">
        <v>16175</v>
      </c>
      <c r="I5">
        <v>0</v>
      </c>
      <c r="J5">
        <v>1</v>
      </c>
      <c r="K5" t="s">
        <v>55</v>
      </c>
      <c r="L5" t="s">
        <v>55</v>
      </c>
      <c r="M5" t="s">
        <v>56</v>
      </c>
      <c r="N5">
        <v>1643244530.4300001</v>
      </c>
      <c r="O5">
        <v>0.20799999999999999</v>
      </c>
      <c r="P5">
        <v>0.437</v>
      </c>
      <c r="Q5">
        <v>56.118000000000002</v>
      </c>
      <c r="R5">
        <v>0</v>
      </c>
      <c r="S5">
        <v>-2E-3</v>
      </c>
      <c r="T5">
        <v>1.359</v>
      </c>
      <c r="U5">
        <v>90.167000000000002</v>
      </c>
      <c r="V5">
        <v>25.021000000000001</v>
      </c>
      <c r="W5">
        <v>2.2250000000000001</v>
      </c>
      <c r="X5">
        <v>83.912999999999997</v>
      </c>
      <c r="Y5">
        <v>0.90500000000000003</v>
      </c>
      <c r="Z5">
        <v>0.71499999999999997</v>
      </c>
      <c r="AA5">
        <v>0</v>
      </c>
      <c r="AB5">
        <v>0</v>
      </c>
      <c r="AC5">
        <v>1</v>
      </c>
      <c r="AD5">
        <v>39.5</v>
      </c>
      <c r="AE5">
        <v>1</v>
      </c>
      <c r="AF5">
        <v>1</v>
      </c>
      <c r="AG5">
        <v>1</v>
      </c>
      <c r="AH5" t="s">
        <v>84</v>
      </c>
      <c r="AI5">
        <v>0</v>
      </c>
    </row>
    <row r="6" spans="1:35" x14ac:dyDescent="0.45">
      <c r="A6">
        <v>5</v>
      </c>
      <c r="B6" t="s">
        <v>137</v>
      </c>
      <c r="C6" t="s">
        <v>142</v>
      </c>
      <c r="D6" t="s">
        <v>83</v>
      </c>
      <c r="E6">
        <v>5</v>
      </c>
      <c r="F6">
        <v>-5.657</v>
      </c>
      <c r="G6">
        <v>-30.907</v>
      </c>
      <c r="H6">
        <v>16300</v>
      </c>
      <c r="I6">
        <v>0</v>
      </c>
      <c r="J6">
        <v>1</v>
      </c>
      <c r="K6" t="s">
        <v>55</v>
      </c>
      <c r="L6" t="s">
        <v>55</v>
      </c>
      <c r="M6" t="s">
        <v>56</v>
      </c>
      <c r="N6">
        <v>1643245068.24</v>
      </c>
      <c r="O6">
        <v>0.20799999999999999</v>
      </c>
      <c r="P6">
        <v>0.40100000000000002</v>
      </c>
      <c r="Q6">
        <v>55.642000000000003</v>
      </c>
      <c r="R6">
        <v>1E-3</v>
      </c>
      <c r="S6">
        <v>-3.0000000000000001E-3</v>
      </c>
      <c r="T6">
        <v>1.3320000000000001</v>
      </c>
      <c r="U6">
        <v>90.885000000000005</v>
      </c>
      <c r="V6">
        <v>24.356000000000002</v>
      </c>
      <c r="W6">
        <v>2.3570000000000002</v>
      </c>
      <c r="X6">
        <v>87.427000000000007</v>
      </c>
      <c r="Y6">
        <v>0.90700000000000003</v>
      </c>
      <c r="Z6">
        <v>1.038</v>
      </c>
      <c r="AA6">
        <v>0</v>
      </c>
      <c r="AB6">
        <v>0</v>
      </c>
      <c r="AC6">
        <v>1</v>
      </c>
      <c r="AD6">
        <v>39.5</v>
      </c>
      <c r="AE6">
        <v>1</v>
      </c>
      <c r="AF6">
        <v>1</v>
      </c>
      <c r="AG6">
        <v>1</v>
      </c>
      <c r="AH6" t="s">
        <v>84</v>
      </c>
      <c r="AI6">
        <v>0</v>
      </c>
    </row>
    <row r="7" spans="1:35" x14ac:dyDescent="0.45">
      <c r="A7">
        <v>6</v>
      </c>
      <c r="B7" t="s">
        <v>137</v>
      </c>
      <c r="C7" t="s">
        <v>143</v>
      </c>
      <c r="D7" t="s">
        <v>83</v>
      </c>
      <c r="E7">
        <v>6</v>
      </c>
      <c r="F7">
        <v>-5.6660000000000004</v>
      </c>
      <c r="G7">
        <v>-30.648</v>
      </c>
      <c r="H7">
        <v>16353</v>
      </c>
      <c r="I7">
        <v>0</v>
      </c>
      <c r="J7">
        <v>1</v>
      </c>
      <c r="K7" t="s">
        <v>55</v>
      </c>
      <c r="L7" t="s">
        <v>55</v>
      </c>
      <c r="M7" t="s">
        <v>56</v>
      </c>
      <c r="N7">
        <v>1643245604.4100001</v>
      </c>
      <c r="O7">
        <v>0.20699999999999999</v>
      </c>
      <c r="P7">
        <v>0.436</v>
      </c>
      <c r="Q7">
        <v>55.548000000000002</v>
      </c>
      <c r="R7">
        <v>0</v>
      </c>
      <c r="S7">
        <v>-1E-3</v>
      </c>
      <c r="T7">
        <v>1.337</v>
      </c>
      <c r="U7">
        <v>91.150999999999996</v>
      </c>
      <c r="V7">
        <v>24.013000000000002</v>
      </c>
      <c r="W7">
        <v>2.427</v>
      </c>
      <c r="X7">
        <v>88.912999999999997</v>
      </c>
      <c r="Y7">
        <v>0.89800000000000002</v>
      </c>
      <c r="Z7">
        <v>1.2110000000000001</v>
      </c>
      <c r="AA7">
        <v>0</v>
      </c>
      <c r="AB7">
        <v>0</v>
      </c>
      <c r="AC7">
        <v>1</v>
      </c>
      <c r="AD7">
        <v>39.438000000000002</v>
      </c>
      <c r="AE7">
        <v>1</v>
      </c>
      <c r="AF7">
        <v>1</v>
      </c>
      <c r="AG7">
        <v>1</v>
      </c>
      <c r="AH7" t="s">
        <v>84</v>
      </c>
      <c r="AI7">
        <v>0</v>
      </c>
    </row>
    <row r="8" spans="1:35" x14ac:dyDescent="0.45">
      <c r="A8">
        <v>7</v>
      </c>
      <c r="B8" t="s">
        <v>137</v>
      </c>
      <c r="C8" t="s">
        <v>144</v>
      </c>
      <c r="D8" t="s">
        <v>83</v>
      </c>
      <c r="E8">
        <v>7</v>
      </c>
      <c r="F8">
        <v>-5.609</v>
      </c>
      <c r="G8">
        <v>-30.593</v>
      </c>
      <c r="H8">
        <v>16278</v>
      </c>
      <c r="I8">
        <v>0</v>
      </c>
      <c r="J8">
        <v>1</v>
      </c>
      <c r="K8" t="s">
        <v>55</v>
      </c>
      <c r="L8" t="s">
        <v>55</v>
      </c>
      <c r="M8" t="s">
        <v>56</v>
      </c>
      <c r="N8">
        <v>1643246142.27</v>
      </c>
      <c r="O8">
        <v>0.21199999999999999</v>
      </c>
      <c r="P8">
        <v>0.375</v>
      </c>
      <c r="Q8">
        <v>55.511000000000003</v>
      </c>
      <c r="R8">
        <v>1E-3</v>
      </c>
      <c r="S8">
        <v>-1E-3</v>
      </c>
      <c r="T8">
        <v>1.3360000000000001</v>
      </c>
      <c r="U8">
        <v>90.465999999999994</v>
      </c>
      <c r="V8">
        <v>24.631</v>
      </c>
      <c r="W8">
        <v>2.359</v>
      </c>
      <c r="X8">
        <v>87.802999999999997</v>
      </c>
      <c r="Y8">
        <v>0.9</v>
      </c>
      <c r="Z8">
        <v>1.2210000000000001</v>
      </c>
      <c r="AA8">
        <v>0</v>
      </c>
      <c r="AB8">
        <v>0</v>
      </c>
      <c r="AC8">
        <v>1</v>
      </c>
      <c r="AD8">
        <v>39.5</v>
      </c>
      <c r="AE8">
        <v>1</v>
      </c>
      <c r="AF8">
        <v>1</v>
      </c>
      <c r="AG8">
        <v>1</v>
      </c>
      <c r="AH8" t="s">
        <v>84</v>
      </c>
      <c r="AI8">
        <v>0</v>
      </c>
    </row>
    <row r="9" spans="1:35" x14ac:dyDescent="0.45">
      <c r="A9">
        <v>8</v>
      </c>
      <c r="B9" t="s">
        <v>137</v>
      </c>
      <c r="C9" t="s">
        <v>145</v>
      </c>
      <c r="D9" t="s">
        <v>83</v>
      </c>
      <c r="E9">
        <v>8</v>
      </c>
      <c r="F9">
        <v>-5.6210000000000004</v>
      </c>
      <c r="G9">
        <v>-30.379000000000001</v>
      </c>
      <c r="H9">
        <v>16283</v>
      </c>
      <c r="I9">
        <v>0</v>
      </c>
      <c r="J9">
        <v>1</v>
      </c>
      <c r="K9" t="s">
        <v>55</v>
      </c>
      <c r="L9" t="s">
        <v>55</v>
      </c>
      <c r="M9" t="s">
        <v>56</v>
      </c>
      <c r="N9">
        <v>1643246679.8699999</v>
      </c>
      <c r="O9">
        <v>0.189</v>
      </c>
      <c r="P9">
        <v>0.436</v>
      </c>
      <c r="Q9">
        <v>55.472000000000001</v>
      </c>
      <c r="R9">
        <v>0</v>
      </c>
      <c r="S9">
        <v>-3.0000000000000001E-3</v>
      </c>
      <c r="T9">
        <v>1.33</v>
      </c>
      <c r="U9">
        <v>90.245999999999995</v>
      </c>
      <c r="V9">
        <v>25.88</v>
      </c>
      <c r="W9">
        <v>2.2589999999999999</v>
      </c>
      <c r="X9">
        <v>85.147999999999996</v>
      </c>
      <c r="Y9">
        <v>0.91400000000000003</v>
      </c>
      <c r="Z9">
        <v>1.022</v>
      </c>
      <c r="AA9">
        <v>0</v>
      </c>
      <c r="AB9">
        <v>0</v>
      </c>
      <c r="AC9">
        <v>1</v>
      </c>
      <c r="AD9">
        <v>39.5</v>
      </c>
      <c r="AE9">
        <v>1</v>
      </c>
      <c r="AF9">
        <v>1</v>
      </c>
      <c r="AG9">
        <v>1</v>
      </c>
      <c r="AH9" t="s">
        <v>84</v>
      </c>
      <c r="AI9">
        <v>0</v>
      </c>
    </row>
    <row r="10" spans="1:35" x14ac:dyDescent="0.45">
      <c r="A10">
        <v>9</v>
      </c>
      <c r="B10" t="s">
        <v>137</v>
      </c>
      <c r="C10" t="s">
        <v>146</v>
      </c>
      <c r="D10" t="s">
        <v>83</v>
      </c>
      <c r="E10">
        <v>9</v>
      </c>
      <c r="F10">
        <v>-5.6520000000000001</v>
      </c>
      <c r="G10">
        <v>-30.399000000000001</v>
      </c>
      <c r="H10">
        <v>16276</v>
      </c>
      <c r="I10">
        <v>0</v>
      </c>
      <c r="J10">
        <v>1</v>
      </c>
      <c r="K10" t="s">
        <v>55</v>
      </c>
      <c r="L10" t="s">
        <v>55</v>
      </c>
      <c r="M10" t="s">
        <v>56</v>
      </c>
      <c r="N10">
        <v>1643247218</v>
      </c>
      <c r="O10">
        <v>0.189</v>
      </c>
      <c r="P10">
        <v>0.41899999999999998</v>
      </c>
      <c r="Q10">
        <v>56.209000000000003</v>
      </c>
      <c r="R10">
        <v>1E-3</v>
      </c>
      <c r="S10">
        <v>-2E-3</v>
      </c>
      <c r="T10">
        <v>1.349</v>
      </c>
      <c r="U10">
        <v>90.19</v>
      </c>
      <c r="V10">
        <v>26.11</v>
      </c>
      <c r="W10">
        <v>2.2349999999999999</v>
      </c>
      <c r="X10">
        <v>84.381</v>
      </c>
      <c r="Y10">
        <v>0.90900000000000003</v>
      </c>
      <c r="Z10">
        <v>0.90400000000000003</v>
      </c>
      <c r="AA10">
        <v>0</v>
      </c>
      <c r="AB10">
        <v>0</v>
      </c>
      <c r="AC10">
        <v>1</v>
      </c>
      <c r="AD10">
        <v>39.5</v>
      </c>
      <c r="AE10">
        <v>1</v>
      </c>
      <c r="AF10">
        <v>1</v>
      </c>
      <c r="AG10">
        <v>1</v>
      </c>
      <c r="AH10" t="s">
        <v>84</v>
      </c>
      <c r="AI10">
        <v>0</v>
      </c>
    </row>
    <row r="11" spans="1:35" x14ac:dyDescent="0.45">
      <c r="A11">
        <v>10</v>
      </c>
      <c r="B11" t="s">
        <v>137</v>
      </c>
      <c r="C11" t="s">
        <v>147</v>
      </c>
      <c r="D11" t="s">
        <v>83</v>
      </c>
      <c r="E11">
        <v>10</v>
      </c>
      <c r="F11">
        <v>-5.6310000000000002</v>
      </c>
      <c r="G11">
        <v>-30.408000000000001</v>
      </c>
      <c r="H11">
        <v>16311</v>
      </c>
      <c r="I11">
        <v>0</v>
      </c>
      <c r="J11">
        <v>1</v>
      </c>
      <c r="K11" t="s">
        <v>55</v>
      </c>
      <c r="L11" t="s">
        <v>55</v>
      </c>
      <c r="M11" t="s">
        <v>56</v>
      </c>
      <c r="N11">
        <v>1643247755.5899999</v>
      </c>
      <c r="O11">
        <v>0.185</v>
      </c>
      <c r="P11">
        <v>0.39700000000000002</v>
      </c>
      <c r="Q11">
        <v>55.61</v>
      </c>
      <c r="R11">
        <v>0</v>
      </c>
      <c r="S11">
        <v>-2E-3</v>
      </c>
      <c r="T11">
        <v>1.335</v>
      </c>
      <c r="U11">
        <v>90.557000000000002</v>
      </c>
      <c r="V11">
        <v>25.904</v>
      </c>
      <c r="W11">
        <v>2.2210000000000001</v>
      </c>
      <c r="X11">
        <v>84.608999999999995</v>
      </c>
      <c r="Y11">
        <v>0.90500000000000003</v>
      </c>
      <c r="Z11">
        <v>0.80700000000000005</v>
      </c>
      <c r="AA11">
        <v>0</v>
      </c>
      <c r="AB11">
        <v>0</v>
      </c>
      <c r="AC11">
        <v>1</v>
      </c>
      <c r="AD11">
        <v>39.5</v>
      </c>
      <c r="AE11">
        <v>1</v>
      </c>
      <c r="AF11">
        <v>1</v>
      </c>
      <c r="AG11">
        <v>1</v>
      </c>
      <c r="AH11" t="s">
        <v>84</v>
      </c>
      <c r="AI11">
        <v>0</v>
      </c>
    </row>
    <row r="12" spans="1:35" x14ac:dyDescent="0.45">
      <c r="A12">
        <v>11</v>
      </c>
      <c r="B12" t="s">
        <v>137</v>
      </c>
      <c r="C12" t="s">
        <v>148</v>
      </c>
      <c r="D12" t="s">
        <v>83</v>
      </c>
      <c r="E12">
        <v>11</v>
      </c>
      <c r="F12">
        <v>-5.6459999999999999</v>
      </c>
      <c r="G12">
        <v>-30.393999999999998</v>
      </c>
      <c r="H12">
        <v>16297</v>
      </c>
      <c r="I12">
        <v>0</v>
      </c>
      <c r="J12">
        <v>1</v>
      </c>
      <c r="K12" t="s">
        <v>55</v>
      </c>
      <c r="L12" t="s">
        <v>55</v>
      </c>
      <c r="M12" t="s">
        <v>56</v>
      </c>
      <c r="N12">
        <v>1643248292.74</v>
      </c>
      <c r="O12">
        <v>0.183</v>
      </c>
      <c r="P12">
        <v>0.44700000000000001</v>
      </c>
      <c r="Q12">
        <v>56.484000000000002</v>
      </c>
      <c r="R12">
        <v>0</v>
      </c>
      <c r="S12">
        <v>0</v>
      </c>
      <c r="T12">
        <v>1.3560000000000001</v>
      </c>
      <c r="U12">
        <v>90.584000000000003</v>
      </c>
      <c r="V12">
        <v>25.667000000000002</v>
      </c>
      <c r="W12">
        <v>2.2370000000000001</v>
      </c>
      <c r="X12">
        <v>84.340999999999994</v>
      </c>
      <c r="Y12">
        <v>0.90800000000000003</v>
      </c>
      <c r="Z12">
        <v>0.875</v>
      </c>
      <c r="AA12">
        <v>0</v>
      </c>
      <c r="AB12">
        <v>0</v>
      </c>
      <c r="AC12">
        <v>1</v>
      </c>
      <c r="AD12">
        <v>39.5</v>
      </c>
      <c r="AE12">
        <v>1</v>
      </c>
      <c r="AF12">
        <v>1</v>
      </c>
      <c r="AG12">
        <v>1</v>
      </c>
      <c r="AH12" t="s">
        <v>84</v>
      </c>
      <c r="AI12">
        <v>0</v>
      </c>
    </row>
    <row r="13" spans="1:35" x14ac:dyDescent="0.45">
      <c r="A13">
        <v>12</v>
      </c>
      <c r="B13" t="s">
        <v>137</v>
      </c>
      <c r="C13" t="s">
        <v>149</v>
      </c>
      <c r="D13" t="s">
        <v>83</v>
      </c>
      <c r="E13">
        <v>12</v>
      </c>
      <c r="F13">
        <v>-5.5789999999999997</v>
      </c>
      <c r="G13">
        <v>-30.263999999999999</v>
      </c>
      <c r="H13">
        <v>16257</v>
      </c>
      <c r="I13">
        <v>0</v>
      </c>
      <c r="J13">
        <v>1</v>
      </c>
      <c r="K13" t="s">
        <v>55</v>
      </c>
      <c r="L13" t="s">
        <v>55</v>
      </c>
      <c r="M13" t="s">
        <v>56</v>
      </c>
      <c r="N13">
        <v>1643248829.6400001</v>
      </c>
      <c r="O13">
        <v>0.20100000000000001</v>
      </c>
      <c r="P13">
        <v>0.42599999999999999</v>
      </c>
      <c r="Q13">
        <v>56.456000000000003</v>
      </c>
      <c r="R13">
        <v>1E-3</v>
      </c>
      <c r="S13">
        <v>0</v>
      </c>
      <c r="T13">
        <v>1.3540000000000001</v>
      </c>
      <c r="U13">
        <v>90.634</v>
      </c>
      <c r="V13">
        <v>25.202000000000002</v>
      </c>
      <c r="W13">
        <v>2.1629999999999998</v>
      </c>
      <c r="X13">
        <v>83.927000000000007</v>
      </c>
      <c r="Y13">
        <v>0.92600000000000005</v>
      </c>
      <c r="Z13">
        <v>0.59399999999999997</v>
      </c>
      <c r="AA13">
        <v>0</v>
      </c>
      <c r="AB13">
        <v>0</v>
      </c>
      <c r="AC13">
        <v>1</v>
      </c>
      <c r="AD13">
        <v>39.5</v>
      </c>
      <c r="AE13">
        <v>1</v>
      </c>
      <c r="AF13">
        <v>1</v>
      </c>
      <c r="AG13">
        <v>1</v>
      </c>
      <c r="AH13" t="s">
        <v>84</v>
      </c>
      <c r="AI13">
        <v>0</v>
      </c>
    </row>
    <row r="14" spans="1:35" x14ac:dyDescent="0.45">
      <c r="A14">
        <v>13</v>
      </c>
      <c r="B14" t="s">
        <v>137</v>
      </c>
      <c r="C14" t="s">
        <v>150</v>
      </c>
      <c r="D14" t="s">
        <v>83</v>
      </c>
      <c r="E14">
        <v>13</v>
      </c>
      <c r="F14">
        <v>-5.5750000000000002</v>
      </c>
      <c r="G14">
        <v>-30.216000000000001</v>
      </c>
      <c r="H14">
        <v>16231</v>
      </c>
      <c r="I14">
        <v>0</v>
      </c>
      <c r="J14">
        <v>1</v>
      </c>
      <c r="K14" t="s">
        <v>55</v>
      </c>
      <c r="L14" t="s">
        <v>55</v>
      </c>
      <c r="M14" t="s">
        <v>56</v>
      </c>
      <c r="N14">
        <v>1643249366.28</v>
      </c>
      <c r="O14">
        <v>0.20300000000000001</v>
      </c>
      <c r="P14">
        <v>0.41599999999999998</v>
      </c>
      <c r="Q14">
        <v>55.276000000000003</v>
      </c>
      <c r="R14">
        <v>1E-3</v>
      </c>
      <c r="S14">
        <v>0</v>
      </c>
      <c r="T14">
        <v>1.3220000000000001</v>
      </c>
      <c r="U14">
        <v>90.444000000000003</v>
      </c>
      <c r="V14">
        <v>24.672999999999998</v>
      </c>
      <c r="W14">
        <v>2.2130000000000001</v>
      </c>
      <c r="X14">
        <v>85.789000000000001</v>
      </c>
      <c r="Y14">
        <v>0.90500000000000003</v>
      </c>
      <c r="Z14">
        <v>0.76900000000000002</v>
      </c>
      <c r="AA14">
        <v>0</v>
      </c>
      <c r="AB14">
        <v>0</v>
      </c>
      <c r="AC14">
        <v>1</v>
      </c>
      <c r="AD14">
        <v>39.5</v>
      </c>
      <c r="AE14">
        <v>1</v>
      </c>
      <c r="AF14">
        <v>1</v>
      </c>
      <c r="AG14">
        <v>1</v>
      </c>
      <c r="AH14" t="s">
        <v>84</v>
      </c>
      <c r="AI14">
        <v>0</v>
      </c>
    </row>
    <row r="15" spans="1:35" x14ac:dyDescent="0.45">
      <c r="A15">
        <v>14</v>
      </c>
      <c r="B15" t="s">
        <v>137</v>
      </c>
      <c r="C15" t="s">
        <v>151</v>
      </c>
      <c r="D15" t="s">
        <v>83</v>
      </c>
      <c r="E15">
        <v>14</v>
      </c>
      <c r="F15">
        <v>-5.6340000000000003</v>
      </c>
      <c r="G15">
        <v>-30.181000000000001</v>
      </c>
      <c r="H15">
        <v>16213</v>
      </c>
      <c r="I15">
        <v>0</v>
      </c>
      <c r="J15">
        <v>1</v>
      </c>
      <c r="K15" t="s">
        <v>55</v>
      </c>
      <c r="L15" t="s">
        <v>55</v>
      </c>
      <c r="M15" t="s">
        <v>56</v>
      </c>
      <c r="N15">
        <v>1643249905.0999999</v>
      </c>
      <c r="O15">
        <v>0.20599999999999999</v>
      </c>
      <c r="P15">
        <v>0.42199999999999999</v>
      </c>
      <c r="Q15">
        <v>55.780999999999999</v>
      </c>
      <c r="R15">
        <v>1E-3</v>
      </c>
      <c r="S15">
        <v>0</v>
      </c>
      <c r="T15">
        <v>1.347</v>
      </c>
      <c r="U15">
        <v>90.569000000000003</v>
      </c>
      <c r="V15">
        <v>24.236000000000001</v>
      </c>
      <c r="W15">
        <v>2.1920000000000002</v>
      </c>
      <c r="X15">
        <v>85.448999999999998</v>
      </c>
      <c r="Y15">
        <v>0.90700000000000003</v>
      </c>
      <c r="Z15">
        <v>0.61399999999999999</v>
      </c>
      <c r="AA15">
        <v>0</v>
      </c>
      <c r="AB15">
        <v>0</v>
      </c>
      <c r="AC15">
        <v>1</v>
      </c>
      <c r="AD15">
        <v>39.5</v>
      </c>
      <c r="AE15">
        <v>1</v>
      </c>
      <c r="AF15">
        <v>1</v>
      </c>
      <c r="AG15">
        <v>1</v>
      </c>
      <c r="AH15" t="s">
        <v>84</v>
      </c>
      <c r="AI15">
        <v>0</v>
      </c>
    </row>
    <row r="16" spans="1:35" x14ac:dyDescent="0.45">
      <c r="A16">
        <v>15</v>
      </c>
      <c r="B16" t="s">
        <v>137</v>
      </c>
      <c r="C16" t="s">
        <v>152</v>
      </c>
      <c r="D16" t="s">
        <v>83</v>
      </c>
      <c r="E16">
        <v>15</v>
      </c>
      <c r="F16">
        <v>-5.5970000000000004</v>
      </c>
      <c r="G16">
        <v>-30.045999999999999</v>
      </c>
      <c r="H16">
        <v>16151</v>
      </c>
      <c r="I16">
        <v>0</v>
      </c>
      <c r="J16">
        <v>1</v>
      </c>
      <c r="K16" t="s">
        <v>55</v>
      </c>
      <c r="L16" t="s">
        <v>55</v>
      </c>
      <c r="M16" t="s">
        <v>56</v>
      </c>
      <c r="N16">
        <v>1643250441.79</v>
      </c>
      <c r="O16">
        <v>0.20100000000000001</v>
      </c>
      <c r="P16">
        <v>0.41</v>
      </c>
      <c r="Q16">
        <v>55.148000000000003</v>
      </c>
      <c r="R16">
        <v>0</v>
      </c>
      <c r="S16">
        <v>-1E-3</v>
      </c>
      <c r="T16">
        <v>1.3240000000000001</v>
      </c>
      <c r="U16">
        <v>89.974000000000004</v>
      </c>
      <c r="V16">
        <v>24.44</v>
      </c>
      <c r="W16">
        <v>2.2280000000000002</v>
      </c>
      <c r="X16">
        <v>85.387</v>
      </c>
      <c r="Y16">
        <v>0.92</v>
      </c>
      <c r="Z16">
        <v>0.80200000000000005</v>
      </c>
      <c r="AA16">
        <v>0</v>
      </c>
      <c r="AB16">
        <v>0</v>
      </c>
      <c r="AC16">
        <v>1</v>
      </c>
      <c r="AD16">
        <v>39.438000000000002</v>
      </c>
      <c r="AE16">
        <v>1</v>
      </c>
      <c r="AF16">
        <v>1</v>
      </c>
      <c r="AG16">
        <v>1</v>
      </c>
      <c r="AH16" t="s">
        <v>84</v>
      </c>
      <c r="AI16">
        <v>0</v>
      </c>
    </row>
    <row r="17" spans="1:35" x14ac:dyDescent="0.45">
      <c r="A17">
        <v>16</v>
      </c>
      <c r="B17" t="s">
        <v>153</v>
      </c>
      <c r="C17" t="s">
        <v>154</v>
      </c>
      <c r="D17" t="s">
        <v>85</v>
      </c>
      <c r="E17">
        <v>1</v>
      </c>
      <c r="F17">
        <v>-4.7169999999999996</v>
      </c>
      <c r="G17">
        <v>-23.954999999999998</v>
      </c>
      <c r="H17">
        <v>16278</v>
      </c>
      <c r="I17">
        <v>-1</v>
      </c>
      <c r="J17">
        <v>1</v>
      </c>
      <c r="K17" t="s">
        <v>55</v>
      </c>
      <c r="L17" t="s">
        <v>55</v>
      </c>
      <c r="M17" t="s">
        <v>56</v>
      </c>
      <c r="N17">
        <v>1643250980.01</v>
      </c>
      <c r="O17">
        <v>0.183</v>
      </c>
      <c r="P17">
        <v>0.39900000000000002</v>
      </c>
      <c r="Q17">
        <v>55.429000000000002</v>
      </c>
      <c r="R17">
        <v>1E-3</v>
      </c>
      <c r="S17">
        <v>-1E-3</v>
      </c>
      <c r="T17">
        <v>1.339</v>
      </c>
      <c r="U17">
        <v>90.51</v>
      </c>
      <c r="V17">
        <v>23.675999999999998</v>
      </c>
      <c r="W17">
        <v>2.4260000000000002</v>
      </c>
      <c r="X17">
        <v>90.149000000000001</v>
      </c>
      <c r="Y17">
        <v>0.90400000000000003</v>
      </c>
      <c r="Z17">
        <v>1.4179999999999999</v>
      </c>
      <c r="AA17">
        <v>0</v>
      </c>
      <c r="AB17">
        <v>0</v>
      </c>
      <c r="AC17">
        <v>1</v>
      </c>
      <c r="AD17">
        <v>39.438000000000002</v>
      </c>
      <c r="AE17">
        <v>1</v>
      </c>
      <c r="AF17">
        <v>2</v>
      </c>
      <c r="AG17">
        <v>1</v>
      </c>
      <c r="AH17" t="s">
        <v>84</v>
      </c>
      <c r="AI17">
        <v>0</v>
      </c>
    </row>
    <row r="18" spans="1:35" x14ac:dyDescent="0.45">
      <c r="A18">
        <v>17</v>
      </c>
      <c r="B18" t="s">
        <v>153</v>
      </c>
      <c r="C18" t="s">
        <v>155</v>
      </c>
      <c r="D18" t="s">
        <v>85</v>
      </c>
      <c r="E18">
        <v>2</v>
      </c>
      <c r="F18">
        <v>-4.6630000000000003</v>
      </c>
      <c r="G18">
        <v>-23.387</v>
      </c>
      <c r="H18">
        <v>16287</v>
      </c>
      <c r="I18">
        <v>-1</v>
      </c>
      <c r="J18">
        <v>1</v>
      </c>
      <c r="K18" t="s">
        <v>55</v>
      </c>
      <c r="L18" t="s">
        <v>55</v>
      </c>
      <c r="M18" t="s">
        <v>56</v>
      </c>
      <c r="N18">
        <v>1643251515.4100001</v>
      </c>
      <c r="O18">
        <v>0.21099999999999999</v>
      </c>
      <c r="P18">
        <v>0.45</v>
      </c>
      <c r="Q18">
        <v>55.051000000000002</v>
      </c>
      <c r="R18">
        <v>1E-3</v>
      </c>
      <c r="S18">
        <v>-2E-3</v>
      </c>
      <c r="T18">
        <v>1.3180000000000001</v>
      </c>
      <c r="U18">
        <v>90.444000000000003</v>
      </c>
      <c r="V18">
        <v>21.387</v>
      </c>
      <c r="W18">
        <v>2.7589999999999999</v>
      </c>
      <c r="X18">
        <v>97.388999999999996</v>
      </c>
      <c r="Y18">
        <v>0.92300000000000004</v>
      </c>
      <c r="Z18">
        <v>2.3639999999999999</v>
      </c>
      <c r="AA18">
        <v>0</v>
      </c>
      <c r="AB18">
        <v>0</v>
      </c>
      <c r="AC18">
        <v>1</v>
      </c>
      <c r="AD18">
        <v>39.5</v>
      </c>
      <c r="AE18">
        <v>1</v>
      </c>
      <c r="AF18">
        <v>2</v>
      </c>
      <c r="AG18">
        <v>1</v>
      </c>
      <c r="AH18" t="s">
        <v>84</v>
      </c>
      <c r="AI18">
        <v>0</v>
      </c>
    </row>
    <row r="19" spans="1:35" x14ac:dyDescent="0.45">
      <c r="A19">
        <v>18</v>
      </c>
      <c r="B19" t="s">
        <v>153</v>
      </c>
      <c r="C19" t="s">
        <v>156</v>
      </c>
      <c r="D19" t="s">
        <v>85</v>
      </c>
      <c r="E19">
        <v>3</v>
      </c>
      <c r="F19">
        <v>-4.6989999999999998</v>
      </c>
      <c r="G19">
        <v>-23.288</v>
      </c>
      <c r="H19">
        <v>16084</v>
      </c>
      <c r="I19">
        <v>-1</v>
      </c>
      <c r="J19">
        <v>1</v>
      </c>
      <c r="K19" t="s">
        <v>55</v>
      </c>
      <c r="L19" t="s">
        <v>55</v>
      </c>
      <c r="M19" t="s">
        <v>56</v>
      </c>
      <c r="N19">
        <v>1643252052.99</v>
      </c>
      <c r="O19">
        <v>0.19</v>
      </c>
      <c r="P19">
        <v>0.41599999999999998</v>
      </c>
      <c r="Q19">
        <v>55.768000000000001</v>
      </c>
      <c r="R19">
        <v>0</v>
      </c>
      <c r="S19">
        <v>-1E-3</v>
      </c>
      <c r="T19">
        <v>1.347</v>
      </c>
      <c r="U19">
        <v>89.192999999999998</v>
      </c>
      <c r="V19">
        <v>21.013000000000002</v>
      </c>
      <c r="W19">
        <v>2.7160000000000002</v>
      </c>
      <c r="X19">
        <v>96.870999999999995</v>
      </c>
      <c r="Y19">
        <v>0.89700000000000002</v>
      </c>
      <c r="Z19">
        <v>2.528</v>
      </c>
      <c r="AA19">
        <v>0</v>
      </c>
      <c r="AB19">
        <v>0</v>
      </c>
      <c r="AC19">
        <v>1</v>
      </c>
      <c r="AD19">
        <v>39.438000000000002</v>
      </c>
      <c r="AE19">
        <v>1</v>
      </c>
      <c r="AF19">
        <v>2</v>
      </c>
      <c r="AG19">
        <v>1</v>
      </c>
      <c r="AH19" t="s">
        <v>84</v>
      </c>
      <c r="AI19">
        <v>0</v>
      </c>
    </row>
    <row r="20" spans="1:35" x14ac:dyDescent="0.45">
      <c r="A20">
        <v>19</v>
      </c>
      <c r="B20" t="s">
        <v>153</v>
      </c>
      <c r="C20" t="s">
        <v>157</v>
      </c>
      <c r="D20" t="s">
        <v>85</v>
      </c>
      <c r="E20">
        <v>4</v>
      </c>
      <c r="F20">
        <v>-4.6879999999999997</v>
      </c>
      <c r="G20">
        <v>-23.297999999999998</v>
      </c>
      <c r="H20">
        <v>16266</v>
      </c>
      <c r="I20">
        <v>0</v>
      </c>
      <c r="J20">
        <v>1</v>
      </c>
      <c r="K20" t="s">
        <v>55</v>
      </c>
      <c r="L20" t="s">
        <v>55</v>
      </c>
      <c r="M20" t="s">
        <v>56</v>
      </c>
      <c r="N20">
        <v>1643252589.95</v>
      </c>
      <c r="O20">
        <v>0.19700000000000001</v>
      </c>
      <c r="P20">
        <v>0.38</v>
      </c>
      <c r="Q20">
        <v>55.933</v>
      </c>
      <c r="R20">
        <v>1E-3</v>
      </c>
      <c r="S20">
        <v>0</v>
      </c>
      <c r="T20">
        <v>1.3420000000000001</v>
      </c>
      <c r="U20">
        <v>90.337000000000003</v>
      </c>
      <c r="V20">
        <v>22.44</v>
      </c>
      <c r="W20">
        <v>2.5379999999999998</v>
      </c>
      <c r="X20">
        <v>94.052000000000007</v>
      </c>
      <c r="Y20">
        <v>0.91600000000000004</v>
      </c>
      <c r="Z20">
        <v>2.056</v>
      </c>
      <c r="AA20">
        <v>0</v>
      </c>
      <c r="AB20">
        <v>0</v>
      </c>
      <c r="AC20">
        <v>1</v>
      </c>
      <c r="AD20">
        <v>39.5</v>
      </c>
      <c r="AE20">
        <v>1</v>
      </c>
      <c r="AF20">
        <v>2</v>
      </c>
      <c r="AG20">
        <v>1</v>
      </c>
      <c r="AH20" t="s">
        <v>84</v>
      </c>
      <c r="AI20">
        <v>0</v>
      </c>
    </row>
    <row r="21" spans="1:35" x14ac:dyDescent="0.45">
      <c r="A21">
        <v>20</v>
      </c>
      <c r="B21" t="s">
        <v>153</v>
      </c>
      <c r="C21" t="s">
        <v>158</v>
      </c>
      <c r="D21" t="s">
        <v>85</v>
      </c>
      <c r="E21">
        <v>5</v>
      </c>
      <c r="F21">
        <v>-4.6500000000000004</v>
      </c>
      <c r="G21">
        <v>-23.238</v>
      </c>
      <c r="H21">
        <v>16304</v>
      </c>
      <c r="I21">
        <v>0</v>
      </c>
      <c r="J21">
        <v>1</v>
      </c>
      <c r="K21" t="s">
        <v>55</v>
      </c>
      <c r="L21" t="s">
        <v>55</v>
      </c>
      <c r="M21" t="s">
        <v>56</v>
      </c>
      <c r="N21">
        <v>1643253127.1300001</v>
      </c>
      <c r="O21">
        <v>0.193</v>
      </c>
      <c r="P21">
        <v>0.39600000000000002</v>
      </c>
      <c r="Q21">
        <v>53.71</v>
      </c>
      <c r="R21">
        <v>1E-3</v>
      </c>
      <c r="S21">
        <v>0</v>
      </c>
      <c r="T21">
        <v>1.2949999999999999</v>
      </c>
      <c r="U21">
        <v>90.504000000000005</v>
      </c>
      <c r="V21">
        <v>23.882000000000001</v>
      </c>
      <c r="W21">
        <v>2.3889999999999998</v>
      </c>
      <c r="X21">
        <v>90.515000000000001</v>
      </c>
      <c r="Y21">
        <v>0.92400000000000004</v>
      </c>
      <c r="Z21">
        <v>1.5880000000000001</v>
      </c>
      <c r="AA21">
        <v>0</v>
      </c>
      <c r="AB21">
        <v>0</v>
      </c>
      <c r="AC21">
        <v>1</v>
      </c>
      <c r="AD21">
        <v>39.5</v>
      </c>
      <c r="AE21">
        <v>1</v>
      </c>
      <c r="AF21">
        <v>2</v>
      </c>
      <c r="AG21">
        <v>1</v>
      </c>
      <c r="AH21" t="s">
        <v>84</v>
      </c>
      <c r="AI21">
        <v>0</v>
      </c>
    </row>
    <row r="22" spans="1:35" x14ac:dyDescent="0.45">
      <c r="A22">
        <v>21</v>
      </c>
      <c r="B22" t="s">
        <v>153</v>
      </c>
      <c r="C22" t="s">
        <v>159</v>
      </c>
      <c r="D22" t="s">
        <v>85</v>
      </c>
      <c r="E22">
        <v>6</v>
      </c>
      <c r="F22">
        <v>-4.649</v>
      </c>
      <c r="G22">
        <v>-23.1</v>
      </c>
      <c r="H22">
        <v>16218</v>
      </c>
      <c r="I22">
        <v>0</v>
      </c>
      <c r="J22">
        <v>1</v>
      </c>
      <c r="K22" t="s">
        <v>55</v>
      </c>
      <c r="L22" t="s">
        <v>55</v>
      </c>
      <c r="M22" t="s">
        <v>56</v>
      </c>
      <c r="N22">
        <v>1643253665.9200001</v>
      </c>
      <c r="O22">
        <v>0.192</v>
      </c>
      <c r="P22">
        <v>0.432</v>
      </c>
      <c r="Q22">
        <v>56.091000000000001</v>
      </c>
      <c r="R22">
        <v>1E-3</v>
      </c>
      <c r="S22">
        <v>-1E-3</v>
      </c>
      <c r="T22">
        <v>1.3480000000000001</v>
      </c>
      <c r="U22">
        <v>90.085999999999999</v>
      </c>
      <c r="V22">
        <v>24.497</v>
      </c>
      <c r="W22">
        <v>2.29</v>
      </c>
      <c r="X22">
        <v>87.177999999999997</v>
      </c>
      <c r="Y22">
        <v>0.92400000000000004</v>
      </c>
      <c r="Z22">
        <v>1.1180000000000001</v>
      </c>
      <c r="AA22">
        <v>0</v>
      </c>
      <c r="AB22">
        <v>0</v>
      </c>
      <c r="AC22">
        <v>1</v>
      </c>
      <c r="AD22">
        <v>39.5</v>
      </c>
      <c r="AE22">
        <v>1</v>
      </c>
      <c r="AF22">
        <v>2</v>
      </c>
      <c r="AG22">
        <v>1</v>
      </c>
      <c r="AH22" t="s">
        <v>84</v>
      </c>
      <c r="AI22">
        <v>0</v>
      </c>
    </row>
    <row r="23" spans="1:35" x14ac:dyDescent="0.45">
      <c r="A23">
        <v>22</v>
      </c>
      <c r="B23" t="s">
        <v>153</v>
      </c>
      <c r="C23" t="s">
        <v>160</v>
      </c>
      <c r="D23" t="s">
        <v>85</v>
      </c>
      <c r="E23">
        <v>7</v>
      </c>
      <c r="F23">
        <v>-4.6520000000000001</v>
      </c>
      <c r="G23">
        <v>-23.143999999999998</v>
      </c>
      <c r="H23">
        <v>16211</v>
      </c>
      <c r="I23">
        <v>0</v>
      </c>
      <c r="J23">
        <v>1</v>
      </c>
      <c r="K23" t="s">
        <v>55</v>
      </c>
      <c r="L23" t="s">
        <v>55</v>
      </c>
      <c r="M23" t="s">
        <v>56</v>
      </c>
      <c r="N23">
        <v>1643254202.5599999</v>
      </c>
      <c r="O23">
        <v>0.19800000000000001</v>
      </c>
      <c r="P23">
        <v>0.42099999999999999</v>
      </c>
      <c r="Q23">
        <v>56.063000000000002</v>
      </c>
      <c r="R23">
        <v>0</v>
      </c>
      <c r="S23">
        <v>1E-3</v>
      </c>
      <c r="T23">
        <v>1.341</v>
      </c>
      <c r="U23">
        <v>89.83</v>
      </c>
      <c r="V23">
        <v>25.423999999999999</v>
      </c>
      <c r="W23">
        <v>2.1659999999999999</v>
      </c>
      <c r="X23">
        <v>85.558999999999997</v>
      </c>
      <c r="Y23">
        <v>0.91200000000000003</v>
      </c>
      <c r="Z23">
        <v>0.95299999999999996</v>
      </c>
      <c r="AA23">
        <v>0</v>
      </c>
      <c r="AB23">
        <v>0</v>
      </c>
      <c r="AC23">
        <v>1</v>
      </c>
      <c r="AD23">
        <v>39.438000000000002</v>
      </c>
      <c r="AE23">
        <v>1</v>
      </c>
      <c r="AF23">
        <v>2</v>
      </c>
      <c r="AG23">
        <v>1</v>
      </c>
      <c r="AH23" t="s">
        <v>84</v>
      </c>
      <c r="AI23">
        <v>0</v>
      </c>
    </row>
    <row r="24" spans="1:35" x14ac:dyDescent="0.45">
      <c r="A24">
        <v>23</v>
      </c>
      <c r="B24" t="s">
        <v>153</v>
      </c>
      <c r="C24" t="s">
        <v>161</v>
      </c>
      <c r="D24" t="s">
        <v>85</v>
      </c>
      <c r="E24">
        <v>8</v>
      </c>
      <c r="F24">
        <v>-4.641</v>
      </c>
      <c r="G24">
        <v>-23.077999999999999</v>
      </c>
      <c r="H24">
        <v>16258</v>
      </c>
      <c r="I24">
        <v>0</v>
      </c>
      <c r="J24">
        <v>1</v>
      </c>
      <c r="K24" t="s">
        <v>55</v>
      </c>
      <c r="L24" t="s">
        <v>55</v>
      </c>
      <c r="M24" t="s">
        <v>56</v>
      </c>
      <c r="N24">
        <v>1643254738.99</v>
      </c>
      <c r="O24">
        <v>0.19400000000000001</v>
      </c>
      <c r="P24">
        <v>0.41899999999999998</v>
      </c>
      <c r="Q24">
        <v>55.643999999999998</v>
      </c>
      <c r="R24">
        <v>0</v>
      </c>
      <c r="S24">
        <v>-2E-3</v>
      </c>
      <c r="T24">
        <v>1.3420000000000001</v>
      </c>
      <c r="U24">
        <v>90.16</v>
      </c>
      <c r="V24">
        <v>25.114999999999998</v>
      </c>
      <c r="W24">
        <v>2.2029999999999998</v>
      </c>
      <c r="X24">
        <v>86.778000000000006</v>
      </c>
      <c r="Y24">
        <v>0.91400000000000003</v>
      </c>
      <c r="Z24">
        <v>1.1539999999999999</v>
      </c>
      <c r="AA24">
        <v>0</v>
      </c>
      <c r="AB24">
        <v>0</v>
      </c>
      <c r="AC24">
        <v>1</v>
      </c>
      <c r="AD24">
        <v>39.5</v>
      </c>
      <c r="AE24">
        <v>1</v>
      </c>
      <c r="AF24">
        <v>2</v>
      </c>
      <c r="AG24">
        <v>1</v>
      </c>
      <c r="AH24" t="s">
        <v>84</v>
      </c>
      <c r="AI24">
        <v>0</v>
      </c>
    </row>
    <row r="25" spans="1:35" x14ac:dyDescent="0.45">
      <c r="A25">
        <v>24</v>
      </c>
      <c r="B25" t="s">
        <v>153</v>
      </c>
      <c r="C25" t="s">
        <v>162</v>
      </c>
      <c r="D25" t="s">
        <v>85</v>
      </c>
      <c r="E25">
        <v>9</v>
      </c>
      <c r="F25">
        <v>-4.6369999999999996</v>
      </c>
      <c r="G25">
        <v>-23.119</v>
      </c>
      <c r="H25">
        <v>16275</v>
      </c>
      <c r="I25">
        <v>0</v>
      </c>
      <c r="J25">
        <v>1</v>
      </c>
      <c r="K25" t="s">
        <v>55</v>
      </c>
      <c r="L25" t="s">
        <v>55</v>
      </c>
      <c r="M25" t="s">
        <v>56</v>
      </c>
      <c r="N25">
        <v>1643255278.3599999</v>
      </c>
      <c r="O25">
        <v>0.186</v>
      </c>
      <c r="P25">
        <v>0.40799999999999997</v>
      </c>
      <c r="Q25">
        <v>55.735999999999997</v>
      </c>
      <c r="R25">
        <v>1E-3</v>
      </c>
      <c r="S25">
        <v>0</v>
      </c>
      <c r="T25">
        <v>1.3420000000000001</v>
      </c>
      <c r="U25">
        <v>90.236999999999995</v>
      </c>
      <c r="V25">
        <v>24.849</v>
      </c>
      <c r="W25">
        <v>2.2839999999999998</v>
      </c>
      <c r="X25">
        <v>87.87</v>
      </c>
      <c r="Y25">
        <v>0.90600000000000003</v>
      </c>
      <c r="Z25">
        <v>1.1779999999999999</v>
      </c>
      <c r="AA25">
        <v>0</v>
      </c>
      <c r="AB25">
        <v>0</v>
      </c>
      <c r="AC25">
        <v>1</v>
      </c>
      <c r="AD25">
        <v>39.438000000000002</v>
      </c>
      <c r="AE25">
        <v>1</v>
      </c>
      <c r="AF25">
        <v>2</v>
      </c>
      <c r="AG25">
        <v>1</v>
      </c>
      <c r="AH25" t="s">
        <v>84</v>
      </c>
      <c r="AI25">
        <v>0</v>
      </c>
    </row>
    <row r="26" spans="1:35" x14ac:dyDescent="0.45">
      <c r="A26">
        <v>25</v>
      </c>
      <c r="B26" t="s">
        <v>153</v>
      </c>
      <c r="C26" t="s">
        <v>163</v>
      </c>
      <c r="D26" t="s">
        <v>85</v>
      </c>
      <c r="E26">
        <v>10</v>
      </c>
      <c r="F26">
        <v>-4.6100000000000003</v>
      </c>
      <c r="G26">
        <v>-23.007000000000001</v>
      </c>
      <c r="H26">
        <v>16237</v>
      </c>
      <c r="I26">
        <v>0</v>
      </c>
      <c r="J26">
        <v>1</v>
      </c>
      <c r="K26" t="s">
        <v>55</v>
      </c>
      <c r="L26" t="s">
        <v>55</v>
      </c>
      <c r="M26" t="s">
        <v>56</v>
      </c>
      <c r="N26">
        <v>1643255814.77</v>
      </c>
      <c r="O26">
        <v>0.20799999999999999</v>
      </c>
      <c r="P26">
        <v>0.40799999999999997</v>
      </c>
      <c r="Q26">
        <v>55.273000000000003</v>
      </c>
      <c r="R26">
        <v>1E-3</v>
      </c>
      <c r="S26">
        <v>0</v>
      </c>
      <c r="T26">
        <v>1.3320000000000001</v>
      </c>
      <c r="U26">
        <v>90.239000000000004</v>
      </c>
      <c r="V26">
        <v>23.576000000000001</v>
      </c>
      <c r="W26">
        <v>2.4220000000000002</v>
      </c>
      <c r="X26">
        <v>89.995000000000005</v>
      </c>
      <c r="Y26">
        <v>0.91900000000000004</v>
      </c>
      <c r="Z26">
        <v>1.415</v>
      </c>
      <c r="AA26">
        <v>0</v>
      </c>
      <c r="AB26">
        <v>0</v>
      </c>
      <c r="AC26">
        <v>1</v>
      </c>
      <c r="AD26">
        <v>39.438000000000002</v>
      </c>
      <c r="AE26">
        <v>1</v>
      </c>
      <c r="AF26">
        <v>2</v>
      </c>
      <c r="AG26">
        <v>1</v>
      </c>
      <c r="AH26" t="s">
        <v>84</v>
      </c>
      <c r="AI26">
        <v>0</v>
      </c>
    </row>
    <row r="27" spans="1:35" x14ac:dyDescent="0.45">
      <c r="A27">
        <v>26</v>
      </c>
      <c r="B27" t="s">
        <v>153</v>
      </c>
      <c r="C27" t="s">
        <v>164</v>
      </c>
      <c r="D27" t="s">
        <v>85</v>
      </c>
      <c r="E27">
        <v>11</v>
      </c>
      <c r="F27">
        <v>-4.6130000000000004</v>
      </c>
      <c r="G27">
        <v>-22.969000000000001</v>
      </c>
      <c r="H27">
        <v>16281</v>
      </c>
      <c r="I27">
        <v>0</v>
      </c>
      <c r="J27">
        <v>1</v>
      </c>
      <c r="K27" t="s">
        <v>55</v>
      </c>
      <c r="L27" t="s">
        <v>55</v>
      </c>
      <c r="M27" t="s">
        <v>56</v>
      </c>
      <c r="N27">
        <v>1643256351.04</v>
      </c>
      <c r="O27">
        <v>0.247</v>
      </c>
      <c r="P27">
        <v>0.42299999999999999</v>
      </c>
      <c r="Q27">
        <v>54.679000000000002</v>
      </c>
      <c r="R27">
        <v>1E-3</v>
      </c>
      <c r="S27">
        <v>1E-3</v>
      </c>
      <c r="T27">
        <v>1.3260000000000001</v>
      </c>
      <c r="U27">
        <v>90.652000000000001</v>
      </c>
      <c r="V27">
        <v>22.969000000000001</v>
      </c>
      <c r="W27">
        <v>2.4620000000000002</v>
      </c>
      <c r="X27">
        <v>91.533000000000001</v>
      </c>
      <c r="Y27">
        <v>0.91100000000000003</v>
      </c>
      <c r="Z27">
        <v>1.5509999999999999</v>
      </c>
      <c r="AA27">
        <v>0</v>
      </c>
      <c r="AB27">
        <v>0</v>
      </c>
      <c r="AC27">
        <v>1</v>
      </c>
      <c r="AD27">
        <v>39.438000000000002</v>
      </c>
      <c r="AE27">
        <v>1</v>
      </c>
      <c r="AF27">
        <v>2</v>
      </c>
      <c r="AG27">
        <v>1</v>
      </c>
      <c r="AH27" t="s">
        <v>84</v>
      </c>
      <c r="AI27">
        <v>0</v>
      </c>
    </row>
    <row r="28" spans="1:35" x14ac:dyDescent="0.45">
      <c r="A28">
        <v>27</v>
      </c>
      <c r="B28" t="s">
        <v>153</v>
      </c>
      <c r="C28" t="s">
        <v>165</v>
      </c>
      <c r="D28" t="s">
        <v>85</v>
      </c>
      <c r="E28">
        <v>12</v>
      </c>
      <c r="F28">
        <v>-4.577</v>
      </c>
      <c r="G28">
        <v>-22.997</v>
      </c>
      <c r="H28">
        <v>16185</v>
      </c>
      <c r="I28">
        <v>0</v>
      </c>
      <c r="J28">
        <v>1</v>
      </c>
      <c r="K28" t="s">
        <v>55</v>
      </c>
      <c r="L28" t="s">
        <v>55</v>
      </c>
      <c r="M28" t="s">
        <v>56</v>
      </c>
      <c r="N28">
        <v>1643256888.54</v>
      </c>
      <c r="O28">
        <v>0.22700000000000001</v>
      </c>
      <c r="P28">
        <v>0.41599999999999998</v>
      </c>
      <c r="Q28">
        <v>55.704999999999998</v>
      </c>
      <c r="R28">
        <v>1E-3</v>
      </c>
      <c r="S28">
        <v>-1E-3</v>
      </c>
      <c r="T28">
        <v>1.3380000000000001</v>
      </c>
      <c r="U28">
        <v>90.203999999999994</v>
      </c>
      <c r="V28">
        <v>22.367999999999999</v>
      </c>
      <c r="W28">
        <v>2.5059999999999998</v>
      </c>
      <c r="X28">
        <v>91.686999999999998</v>
      </c>
      <c r="Y28">
        <v>0.92300000000000004</v>
      </c>
      <c r="Z28">
        <v>1.498</v>
      </c>
      <c r="AA28">
        <v>0</v>
      </c>
      <c r="AB28">
        <v>0</v>
      </c>
      <c r="AC28">
        <v>1</v>
      </c>
      <c r="AD28">
        <v>39.375</v>
      </c>
      <c r="AE28">
        <v>1</v>
      </c>
      <c r="AF28">
        <v>2</v>
      </c>
      <c r="AG28">
        <v>1</v>
      </c>
      <c r="AH28" t="s">
        <v>84</v>
      </c>
      <c r="AI28">
        <v>0</v>
      </c>
    </row>
    <row r="29" spans="1:35" x14ac:dyDescent="0.45">
      <c r="A29">
        <v>28</v>
      </c>
      <c r="B29" t="s">
        <v>153</v>
      </c>
      <c r="C29" t="s">
        <v>166</v>
      </c>
      <c r="D29" t="s">
        <v>85</v>
      </c>
      <c r="E29">
        <v>13</v>
      </c>
      <c r="F29">
        <v>-4.5350000000000001</v>
      </c>
      <c r="G29">
        <v>-22.949000000000002</v>
      </c>
      <c r="H29">
        <v>16261</v>
      </c>
      <c r="I29">
        <v>0</v>
      </c>
      <c r="J29">
        <v>1</v>
      </c>
      <c r="K29" t="s">
        <v>55</v>
      </c>
      <c r="L29" t="s">
        <v>55</v>
      </c>
      <c r="M29" t="s">
        <v>56</v>
      </c>
      <c r="N29">
        <v>1643257425.5</v>
      </c>
      <c r="O29">
        <v>0.23200000000000001</v>
      </c>
      <c r="P29">
        <v>0.379</v>
      </c>
      <c r="Q29">
        <v>54.960999999999999</v>
      </c>
      <c r="R29">
        <v>1E-3</v>
      </c>
      <c r="S29">
        <v>0</v>
      </c>
      <c r="T29">
        <v>1.325</v>
      </c>
      <c r="U29">
        <v>90.533000000000001</v>
      </c>
      <c r="V29">
        <v>23.26</v>
      </c>
      <c r="W29">
        <v>2.452</v>
      </c>
      <c r="X29">
        <v>90.4</v>
      </c>
      <c r="Y29">
        <v>0.91500000000000004</v>
      </c>
      <c r="Z29">
        <v>1.395</v>
      </c>
      <c r="AA29">
        <v>0</v>
      </c>
      <c r="AB29">
        <v>0</v>
      </c>
      <c r="AC29">
        <v>1</v>
      </c>
      <c r="AD29">
        <v>39.438000000000002</v>
      </c>
      <c r="AE29">
        <v>1</v>
      </c>
      <c r="AF29">
        <v>2</v>
      </c>
      <c r="AG29">
        <v>1</v>
      </c>
      <c r="AH29" t="s">
        <v>84</v>
      </c>
      <c r="AI29">
        <v>0</v>
      </c>
    </row>
    <row r="30" spans="1:35" x14ac:dyDescent="0.45">
      <c r="A30">
        <v>29</v>
      </c>
      <c r="B30" t="s">
        <v>153</v>
      </c>
      <c r="C30" t="s">
        <v>167</v>
      </c>
      <c r="D30" t="s">
        <v>85</v>
      </c>
      <c r="E30">
        <v>14</v>
      </c>
      <c r="F30">
        <v>-4.5060000000000002</v>
      </c>
      <c r="G30">
        <v>-22.867999999999999</v>
      </c>
      <c r="H30">
        <v>16315</v>
      </c>
      <c r="I30">
        <v>0</v>
      </c>
      <c r="J30">
        <v>1</v>
      </c>
      <c r="K30" t="s">
        <v>55</v>
      </c>
      <c r="L30" t="s">
        <v>55</v>
      </c>
      <c r="M30" t="s">
        <v>56</v>
      </c>
      <c r="N30">
        <v>1643257962.1199999</v>
      </c>
      <c r="O30">
        <v>0.223</v>
      </c>
      <c r="P30">
        <v>0.38500000000000001</v>
      </c>
      <c r="Q30">
        <v>55.715000000000003</v>
      </c>
      <c r="R30">
        <v>0</v>
      </c>
      <c r="S30">
        <v>-1E-3</v>
      </c>
      <c r="T30">
        <v>1.335</v>
      </c>
      <c r="U30">
        <v>90.614999999999995</v>
      </c>
      <c r="V30">
        <v>23.86</v>
      </c>
      <c r="W30">
        <v>2.4689999999999999</v>
      </c>
      <c r="X30">
        <v>90.349000000000004</v>
      </c>
      <c r="Y30">
        <v>0.92600000000000005</v>
      </c>
      <c r="Z30">
        <v>1.47</v>
      </c>
      <c r="AA30">
        <v>0</v>
      </c>
      <c r="AB30">
        <v>0</v>
      </c>
      <c r="AC30">
        <v>1</v>
      </c>
      <c r="AD30">
        <v>39.438000000000002</v>
      </c>
      <c r="AE30">
        <v>1</v>
      </c>
      <c r="AF30">
        <v>2</v>
      </c>
      <c r="AG30">
        <v>1</v>
      </c>
      <c r="AH30" t="s">
        <v>84</v>
      </c>
      <c r="AI30">
        <v>0</v>
      </c>
    </row>
    <row r="31" spans="1:35" x14ac:dyDescent="0.45">
      <c r="A31">
        <v>30</v>
      </c>
      <c r="B31" t="s">
        <v>153</v>
      </c>
      <c r="C31" t="s">
        <v>168</v>
      </c>
      <c r="D31" t="s">
        <v>85</v>
      </c>
      <c r="E31">
        <v>15</v>
      </c>
      <c r="F31">
        <v>-4.4829999999999997</v>
      </c>
      <c r="G31">
        <v>-22.861000000000001</v>
      </c>
      <c r="H31">
        <v>16281</v>
      </c>
      <c r="I31">
        <v>0</v>
      </c>
      <c r="J31">
        <v>1</v>
      </c>
      <c r="K31" t="s">
        <v>55</v>
      </c>
      <c r="L31" t="s">
        <v>55</v>
      </c>
      <c r="M31" t="s">
        <v>56</v>
      </c>
      <c r="N31">
        <v>1643258497.8699999</v>
      </c>
      <c r="O31">
        <v>0.191</v>
      </c>
      <c r="P31">
        <v>0.39200000000000002</v>
      </c>
      <c r="Q31">
        <v>55.578000000000003</v>
      </c>
      <c r="R31">
        <v>1E-3</v>
      </c>
      <c r="S31">
        <v>0</v>
      </c>
      <c r="T31">
        <v>1.3340000000000001</v>
      </c>
      <c r="U31">
        <v>90.430999999999997</v>
      </c>
      <c r="V31">
        <v>24.504000000000001</v>
      </c>
      <c r="W31">
        <v>2.3439999999999999</v>
      </c>
      <c r="X31">
        <v>88.25</v>
      </c>
      <c r="Y31">
        <v>0.91900000000000004</v>
      </c>
      <c r="Z31">
        <v>1.1719999999999999</v>
      </c>
      <c r="AA31">
        <v>0</v>
      </c>
      <c r="AB31">
        <v>0</v>
      </c>
      <c r="AC31">
        <v>1</v>
      </c>
      <c r="AD31">
        <v>39.438000000000002</v>
      </c>
      <c r="AE31">
        <v>1</v>
      </c>
      <c r="AF31">
        <v>2</v>
      </c>
      <c r="AG31">
        <v>1</v>
      </c>
      <c r="AH31" t="s">
        <v>84</v>
      </c>
      <c r="AI31">
        <v>0</v>
      </c>
    </row>
    <row r="32" spans="1:35" x14ac:dyDescent="0.45">
      <c r="A32">
        <v>31</v>
      </c>
      <c r="B32" t="s">
        <v>169</v>
      </c>
      <c r="C32" t="s">
        <v>170</v>
      </c>
      <c r="D32" t="s">
        <v>86</v>
      </c>
      <c r="E32">
        <v>1</v>
      </c>
      <c r="F32">
        <v>-7.6929999999999996</v>
      </c>
      <c r="G32">
        <v>-49.616</v>
      </c>
      <c r="H32">
        <v>16302</v>
      </c>
      <c r="I32">
        <v>-1</v>
      </c>
      <c r="J32">
        <v>1</v>
      </c>
      <c r="K32" t="s">
        <v>55</v>
      </c>
      <c r="L32" t="s">
        <v>55</v>
      </c>
      <c r="M32" t="s">
        <v>56</v>
      </c>
      <c r="N32">
        <v>1643259036.5599999</v>
      </c>
      <c r="O32">
        <v>0.20799999999999999</v>
      </c>
      <c r="P32">
        <v>0.38800000000000001</v>
      </c>
      <c r="Q32">
        <v>56.164000000000001</v>
      </c>
      <c r="R32">
        <v>1E-3</v>
      </c>
      <c r="S32">
        <v>1E-3</v>
      </c>
      <c r="T32">
        <v>1.3520000000000001</v>
      </c>
      <c r="U32">
        <v>90.811999999999998</v>
      </c>
      <c r="V32">
        <v>23.995999999999999</v>
      </c>
      <c r="W32">
        <v>2.3839999999999999</v>
      </c>
      <c r="X32">
        <v>88.415999999999997</v>
      </c>
      <c r="Y32">
        <v>0.92600000000000005</v>
      </c>
      <c r="Z32">
        <v>1.2410000000000001</v>
      </c>
      <c r="AA32">
        <v>0</v>
      </c>
      <c r="AB32">
        <v>0</v>
      </c>
      <c r="AC32">
        <v>1</v>
      </c>
      <c r="AD32">
        <v>39.5</v>
      </c>
      <c r="AE32">
        <v>1</v>
      </c>
      <c r="AF32">
        <v>3</v>
      </c>
      <c r="AG32">
        <v>1</v>
      </c>
      <c r="AH32" t="s">
        <v>84</v>
      </c>
      <c r="AI32">
        <v>0</v>
      </c>
    </row>
    <row r="33" spans="1:35" x14ac:dyDescent="0.45">
      <c r="A33">
        <v>32</v>
      </c>
      <c r="B33" t="s">
        <v>169</v>
      </c>
      <c r="C33" t="s">
        <v>171</v>
      </c>
      <c r="D33" t="s">
        <v>86</v>
      </c>
      <c r="E33">
        <v>2</v>
      </c>
      <c r="F33">
        <v>-7.85</v>
      </c>
      <c r="G33">
        <v>-51.915999999999997</v>
      </c>
      <c r="H33">
        <v>16229</v>
      </c>
      <c r="I33">
        <v>-1</v>
      </c>
      <c r="J33">
        <v>1</v>
      </c>
      <c r="K33" t="s">
        <v>55</v>
      </c>
      <c r="L33" t="s">
        <v>55</v>
      </c>
      <c r="M33" t="s">
        <v>56</v>
      </c>
      <c r="N33">
        <v>1643259572.5599999</v>
      </c>
      <c r="O33">
        <v>0.17499999999999999</v>
      </c>
      <c r="P33">
        <v>0.38600000000000001</v>
      </c>
      <c r="Q33">
        <v>55.77</v>
      </c>
      <c r="R33">
        <v>1E-3</v>
      </c>
      <c r="S33">
        <v>2E-3</v>
      </c>
      <c r="T33">
        <v>1.34</v>
      </c>
      <c r="U33">
        <v>90.325999999999993</v>
      </c>
      <c r="V33">
        <v>23.716999999999999</v>
      </c>
      <c r="W33">
        <v>2.4209999999999998</v>
      </c>
      <c r="X33">
        <v>88.888999999999996</v>
      </c>
      <c r="Y33">
        <v>0.92100000000000004</v>
      </c>
      <c r="Z33">
        <v>1.357</v>
      </c>
      <c r="AA33">
        <v>0</v>
      </c>
      <c r="AB33">
        <v>0</v>
      </c>
      <c r="AC33">
        <v>1</v>
      </c>
      <c r="AD33">
        <v>39.5</v>
      </c>
      <c r="AE33">
        <v>1</v>
      </c>
      <c r="AF33">
        <v>3</v>
      </c>
      <c r="AG33">
        <v>1</v>
      </c>
      <c r="AH33" t="s">
        <v>84</v>
      </c>
      <c r="AI33">
        <v>0</v>
      </c>
    </row>
    <row r="34" spans="1:35" x14ac:dyDescent="0.45">
      <c r="A34">
        <v>33</v>
      </c>
      <c r="B34" t="s">
        <v>169</v>
      </c>
      <c r="C34" t="s">
        <v>172</v>
      </c>
      <c r="D34" t="s">
        <v>86</v>
      </c>
      <c r="E34">
        <v>3</v>
      </c>
      <c r="F34">
        <v>-7.8949999999999996</v>
      </c>
      <c r="G34">
        <v>-52.305</v>
      </c>
      <c r="H34">
        <v>16284</v>
      </c>
      <c r="I34">
        <v>-1</v>
      </c>
      <c r="J34">
        <v>1</v>
      </c>
      <c r="K34" t="s">
        <v>55</v>
      </c>
      <c r="L34" t="s">
        <v>55</v>
      </c>
      <c r="M34" t="s">
        <v>56</v>
      </c>
      <c r="N34">
        <v>1643260109.03</v>
      </c>
      <c r="O34">
        <v>0.20200000000000001</v>
      </c>
      <c r="P34">
        <v>0.39900000000000002</v>
      </c>
      <c r="Q34">
        <v>54.837000000000003</v>
      </c>
      <c r="R34">
        <v>1E-3</v>
      </c>
      <c r="S34">
        <v>2E-3</v>
      </c>
      <c r="T34">
        <v>1.329</v>
      </c>
      <c r="U34">
        <v>90.572000000000003</v>
      </c>
      <c r="V34">
        <v>24.509</v>
      </c>
      <c r="W34">
        <v>2.371</v>
      </c>
      <c r="X34">
        <v>87.418000000000006</v>
      </c>
      <c r="Y34">
        <v>0.91200000000000003</v>
      </c>
      <c r="Z34">
        <v>1.1459999999999999</v>
      </c>
      <c r="AA34">
        <v>0</v>
      </c>
      <c r="AB34">
        <v>0</v>
      </c>
      <c r="AC34">
        <v>1</v>
      </c>
      <c r="AD34">
        <v>39.438000000000002</v>
      </c>
      <c r="AE34">
        <v>1</v>
      </c>
      <c r="AF34">
        <v>3</v>
      </c>
      <c r="AG34">
        <v>1</v>
      </c>
      <c r="AH34" t="s">
        <v>84</v>
      </c>
      <c r="AI34">
        <v>0</v>
      </c>
    </row>
    <row r="35" spans="1:35" x14ac:dyDescent="0.45">
      <c r="A35">
        <v>34</v>
      </c>
      <c r="B35" t="s">
        <v>169</v>
      </c>
      <c r="C35" t="s">
        <v>173</v>
      </c>
      <c r="D35" t="s">
        <v>86</v>
      </c>
      <c r="E35">
        <v>4</v>
      </c>
      <c r="F35">
        <v>-7.891</v>
      </c>
      <c r="G35">
        <v>-52.555</v>
      </c>
      <c r="H35">
        <v>16240</v>
      </c>
      <c r="I35">
        <v>0</v>
      </c>
      <c r="J35">
        <v>1</v>
      </c>
      <c r="K35" t="s">
        <v>55</v>
      </c>
      <c r="L35" t="s">
        <v>55</v>
      </c>
      <c r="M35" t="s">
        <v>56</v>
      </c>
      <c r="N35">
        <v>1643260645.96</v>
      </c>
      <c r="O35">
        <v>0.2</v>
      </c>
      <c r="P35">
        <v>0.38800000000000001</v>
      </c>
      <c r="Q35">
        <v>55.298999999999999</v>
      </c>
      <c r="R35">
        <v>1E-3</v>
      </c>
      <c r="S35">
        <v>2E-3</v>
      </c>
      <c r="T35">
        <v>1.335</v>
      </c>
      <c r="U35">
        <v>90.176000000000002</v>
      </c>
      <c r="V35">
        <v>24.940999999999999</v>
      </c>
      <c r="W35">
        <v>2.35</v>
      </c>
      <c r="X35">
        <v>86.442999999999998</v>
      </c>
      <c r="Y35">
        <v>0.92300000000000004</v>
      </c>
      <c r="Z35">
        <v>1.135</v>
      </c>
      <c r="AA35">
        <v>0</v>
      </c>
      <c r="AB35">
        <v>0</v>
      </c>
      <c r="AC35">
        <v>1</v>
      </c>
      <c r="AD35">
        <v>39.438000000000002</v>
      </c>
      <c r="AE35">
        <v>1</v>
      </c>
      <c r="AF35">
        <v>3</v>
      </c>
      <c r="AG35">
        <v>1</v>
      </c>
      <c r="AH35" t="s">
        <v>84</v>
      </c>
      <c r="AI35">
        <v>0</v>
      </c>
    </row>
    <row r="36" spans="1:35" x14ac:dyDescent="0.45">
      <c r="A36">
        <v>35</v>
      </c>
      <c r="B36" t="s">
        <v>169</v>
      </c>
      <c r="C36" t="s">
        <v>174</v>
      </c>
      <c r="D36" t="s">
        <v>86</v>
      </c>
      <c r="E36">
        <v>5</v>
      </c>
      <c r="F36">
        <v>-7.9260000000000002</v>
      </c>
      <c r="G36">
        <v>-52.707999999999998</v>
      </c>
      <c r="H36">
        <v>16295</v>
      </c>
      <c r="I36">
        <v>0</v>
      </c>
      <c r="J36">
        <v>1</v>
      </c>
      <c r="K36" t="s">
        <v>55</v>
      </c>
      <c r="L36" t="s">
        <v>55</v>
      </c>
      <c r="M36" t="s">
        <v>56</v>
      </c>
      <c r="N36">
        <v>1643261183.6800001</v>
      </c>
      <c r="O36">
        <v>0.20399999999999999</v>
      </c>
      <c r="P36">
        <v>0.372</v>
      </c>
      <c r="Q36">
        <v>55.243000000000002</v>
      </c>
      <c r="R36">
        <v>1E-3</v>
      </c>
      <c r="S36">
        <v>1E-3</v>
      </c>
      <c r="T36">
        <v>1.3280000000000001</v>
      </c>
      <c r="U36">
        <v>90.927000000000007</v>
      </c>
      <c r="V36">
        <v>24.152999999999999</v>
      </c>
      <c r="W36">
        <v>2.3540000000000001</v>
      </c>
      <c r="X36">
        <v>87.132000000000005</v>
      </c>
      <c r="Y36">
        <v>0.91100000000000003</v>
      </c>
      <c r="Z36">
        <v>0.99099999999999999</v>
      </c>
      <c r="AA36">
        <v>0</v>
      </c>
      <c r="AB36">
        <v>0</v>
      </c>
      <c r="AC36">
        <v>1</v>
      </c>
      <c r="AD36">
        <v>39.438000000000002</v>
      </c>
      <c r="AE36">
        <v>1</v>
      </c>
      <c r="AF36">
        <v>3</v>
      </c>
      <c r="AG36">
        <v>1</v>
      </c>
      <c r="AH36" t="s">
        <v>84</v>
      </c>
      <c r="AI36">
        <v>0</v>
      </c>
    </row>
    <row r="37" spans="1:35" x14ac:dyDescent="0.45">
      <c r="A37">
        <v>36</v>
      </c>
      <c r="B37" t="s">
        <v>169</v>
      </c>
      <c r="C37" t="s">
        <v>175</v>
      </c>
      <c r="D37" t="s">
        <v>86</v>
      </c>
      <c r="E37">
        <v>6</v>
      </c>
      <c r="F37">
        <v>-7.9059999999999997</v>
      </c>
      <c r="G37">
        <v>-52.743000000000002</v>
      </c>
      <c r="H37">
        <v>16254</v>
      </c>
      <c r="I37">
        <v>0</v>
      </c>
      <c r="J37">
        <v>1</v>
      </c>
      <c r="K37" t="s">
        <v>55</v>
      </c>
      <c r="L37" t="s">
        <v>55</v>
      </c>
      <c r="M37" t="s">
        <v>56</v>
      </c>
      <c r="N37">
        <v>1643261721.6600001</v>
      </c>
      <c r="O37">
        <v>0.192</v>
      </c>
      <c r="P37">
        <v>0.40799999999999997</v>
      </c>
      <c r="Q37">
        <v>55.915999999999997</v>
      </c>
      <c r="R37">
        <v>1E-3</v>
      </c>
      <c r="S37">
        <v>1E-3</v>
      </c>
      <c r="T37">
        <v>1.343</v>
      </c>
      <c r="U37">
        <v>90.363</v>
      </c>
      <c r="V37">
        <v>24.734000000000002</v>
      </c>
      <c r="W37">
        <v>2.3359999999999999</v>
      </c>
      <c r="X37">
        <v>86.697000000000003</v>
      </c>
      <c r="Y37">
        <v>0.91600000000000004</v>
      </c>
      <c r="Z37">
        <v>1.0589999999999999</v>
      </c>
      <c r="AA37">
        <v>0</v>
      </c>
      <c r="AB37">
        <v>0</v>
      </c>
      <c r="AC37">
        <v>1</v>
      </c>
      <c r="AD37">
        <v>39.438000000000002</v>
      </c>
      <c r="AE37">
        <v>1</v>
      </c>
      <c r="AF37">
        <v>3</v>
      </c>
      <c r="AG37">
        <v>1</v>
      </c>
      <c r="AH37" t="s">
        <v>84</v>
      </c>
      <c r="AI37">
        <v>0</v>
      </c>
    </row>
    <row r="38" spans="1:35" x14ac:dyDescent="0.45">
      <c r="A38">
        <v>37</v>
      </c>
      <c r="B38" t="s">
        <v>169</v>
      </c>
      <c r="C38" t="s">
        <v>176</v>
      </c>
      <c r="D38" t="s">
        <v>86</v>
      </c>
      <c r="E38">
        <v>7</v>
      </c>
      <c r="F38">
        <v>-7.8959999999999999</v>
      </c>
      <c r="G38">
        <v>-52.777000000000001</v>
      </c>
      <c r="H38">
        <v>16263</v>
      </c>
      <c r="I38">
        <v>0</v>
      </c>
      <c r="J38">
        <v>1</v>
      </c>
      <c r="K38" t="s">
        <v>55</v>
      </c>
      <c r="L38" t="s">
        <v>55</v>
      </c>
      <c r="M38" t="s">
        <v>56</v>
      </c>
      <c r="N38">
        <v>1643262258.27</v>
      </c>
      <c r="O38">
        <v>0.214</v>
      </c>
      <c r="P38">
        <v>0.38700000000000001</v>
      </c>
      <c r="Q38">
        <v>54.377000000000002</v>
      </c>
      <c r="R38">
        <v>0</v>
      </c>
      <c r="S38">
        <v>2E-3</v>
      </c>
      <c r="T38">
        <v>1.3149999999999999</v>
      </c>
      <c r="U38">
        <v>90.397000000000006</v>
      </c>
      <c r="V38">
        <v>24.417999999999999</v>
      </c>
      <c r="W38">
        <v>2.35</v>
      </c>
      <c r="X38">
        <v>87.831999999999994</v>
      </c>
      <c r="Y38">
        <v>0.91900000000000004</v>
      </c>
      <c r="Z38">
        <v>1.1080000000000001</v>
      </c>
      <c r="AA38">
        <v>0</v>
      </c>
      <c r="AB38">
        <v>0</v>
      </c>
      <c r="AC38">
        <v>1</v>
      </c>
      <c r="AD38">
        <v>39.438000000000002</v>
      </c>
      <c r="AE38">
        <v>1</v>
      </c>
      <c r="AF38">
        <v>3</v>
      </c>
      <c r="AG38">
        <v>1</v>
      </c>
      <c r="AH38" t="s">
        <v>84</v>
      </c>
      <c r="AI38">
        <v>0</v>
      </c>
    </row>
    <row r="39" spans="1:35" x14ac:dyDescent="0.45">
      <c r="A39">
        <v>38</v>
      </c>
      <c r="B39" t="s">
        <v>169</v>
      </c>
      <c r="C39" t="s">
        <v>177</v>
      </c>
      <c r="D39" t="s">
        <v>86</v>
      </c>
      <c r="E39">
        <v>8</v>
      </c>
      <c r="F39">
        <v>-7.944</v>
      </c>
      <c r="G39">
        <v>-52.893999999999998</v>
      </c>
      <c r="H39">
        <v>16289</v>
      </c>
      <c r="I39">
        <v>0</v>
      </c>
      <c r="J39">
        <v>1</v>
      </c>
      <c r="K39" t="s">
        <v>55</v>
      </c>
      <c r="L39" t="s">
        <v>55</v>
      </c>
      <c r="M39" t="s">
        <v>56</v>
      </c>
      <c r="N39">
        <v>1643262796.1800001</v>
      </c>
      <c r="O39">
        <v>0.20799999999999999</v>
      </c>
      <c r="P39">
        <v>0.42199999999999999</v>
      </c>
      <c r="Q39">
        <v>55.814</v>
      </c>
      <c r="R39">
        <v>1E-3</v>
      </c>
      <c r="S39">
        <v>1E-3</v>
      </c>
      <c r="T39">
        <v>1.335</v>
      </c>
      <c r="U39">
        <v>90.637</v>
      </c>
      <c r="V39">
        <v>24.9</v>
      </c>
      <c r="W39">
        <v>2.2989999999999999</v>
      </c>
      <c r="X39">
        <v>86.162999999999997</v>
      </c>
      <c r="Y39">
        <v>0.91900000000000004</v>
      </c>
      <c r="Z39">
        <v>0.97399999999999998</v>
      </c>
      <c r="AA39">
        <v>0</v>
      </c>
      <c r="AB39">
        <v>0</v>
      </c>
      <c r="AC39">
        <v>1</v>
      </c>
      <c r="AD39">
        <v>39.375</v>
      </c>
      <c r="AE39">
        <v>1</v>
      </c>
      <c r="AF39">
        <v>3</v>
      </c>
      <c r="AG39">
        <v>1</v>
      </c>
      <c r="AH39" t="s">
        <v>84</v>
      </c>
      <c r="AI39">
        <v>0</v>
      </c>
    </row>
    <row r="40" spans="1:35" x14ac:dyDescent="0.45">
      <c r="A40">
        <v>39</v>
      </c>
      <c r="B40" t="s">
        <v>169</v>
      </c>
      <c r="C40" t="s">
        <v>178</v>
      </c>
      <c r="D40" t="s">
        <v>86</v>
      </c>
      <c r="E40">
        <v>9</v>
      </c>
      <c r="F40">
        <v>-7.9180000000000001</v>
      </c>
      <c r="G40">
        <v>-52.780999999999999</v>
      </c>
      <c r="H40">
        <v>16407</v>
      </c>
      <c r="I40">
        <v>0</v>
      </c>
      <c r="J40">
        <v>1</v>
      </c>
      <c r="K40" t="s">
        <v>55</v>
      </c>
      <c r="L40" t="s">
        <v>55</v>
      </c>
      <c r="M40" t="s">
        <v>56</v>
      </c>
      <c r="N40">
        <v>1643263333.73</v>
      </c>
      <c r="O40">
        <v>0.20699999999999999</v>
      </c>
      <c r="P40">
        <v>0.37</v>
      </c>
      <c r="Q40">
        <v>55.216000000000001</v>
      </c>
      <c r="R40">
        <v>1E-3</v>
      </c>
      <c r="S40">
        <v>2E-3</v>
      </c>
      <c r="T40">
        <v>1.323</v>
      </c>
      <c r="U40">
        <v>91.02</v>
      </c>
      <c r="V40">
        <v>25.91</v>
      </c>
      <c r="W40">
        <v>2.2810000000000001</v>
      </c>
      <c r="X40">
        <v>85.665000000000006</v>
      </c>
      <c r="Y40">
        <v>0.92</v>
      </c>
      <c r="Z40">
        <v>0.91900000000000004</v>
      </c>
      <c r="AA40">
        <v>0</v>
      </c>
      <c r="AB40">
        <v>0</v>
      </c>
      <c r="AC40">
        <v>1</v>
      </c>
      <c r="AD40">
        <v>39.438000000000002</v>
      </c>
      <c r="AE40">
        <v>1</v>
      </c>
      <c r="AF40">
        <v>3</v>
      </c>
      <c r="AG40">
        <v>1</v>
      </c>
      <c r="AH40" t="s">
        <v>84</v>
      </c>
      <c r="AI40">
        <v>0</v>
      </c>
    </row>
    <row r="41" spans="1:35" x14ac:dyDescent="0.45">
      <c r="A41">
        <v>40</v>
      </c>
      <c r="B41" t="s">
        <v>169</v>
      </c>
      <c r="C41" t="s">
        <v>179</v>
      </c>
      <c r="D41" t="s">
        <v>86</v>
      </c>
      <c r="E41">
        <v>10</v>
      </c>
      <c r="F41">
        <v>-7.9180000000000001</v>
      </c>
      <c r="G41">
        <v>-52.863</v>
      </c>
      <c r="H41">
        <v>16181</v>
      </c>
      <c r="I41">
        <v>0</v>
      </c>
      <c r="J41">
        <v>1</v>
      </c>
      <c r="K41" t="s">
        <v>55</v>
      </c>
      <c r="L41" t="s">
        <v>55</v>
      </c>
      <c r="M41" t="s">
        <v>56</v>
      </c>
      <c r="N41">
        <v>1643263870.54</v>
      </c>
      <c r="O41">
        <v>0.20399999999999999</v>
      </c>
      <c r="P41">
        <v>0.42599999999999999</v>
      </c>
      <c r="Q41">
        <v>54.588000000000001</v>
      </c>
      <c r="R41">
        <v>1E-3</v>
      </c>
      <c r="S41">
        <v>1E-3</v>
      </c>
      <c r="T41">
        <v>1.319</v>
      </c>
      <c r="U41">
        <v>89.700999999999993</v>
      </c>
      <c r="V41">
        <v>27.03</v>
      </c>
      <c r="W41">
        <v>2.0499999999999998</v>
      </c>
      <c r="X41">
        <v>80.194999999999993</v>
      </c>
      <c r="Y41">
        <v>0.91300000000000003</v>
      </c>
      <c r="Z41">
        <v>0.29299999999999998</v>
      </c>
      <c r="AA41">
        <v>0</v>
      </c>
      <c r="AB41">
        <v>0</v>
      </c>
      <c r="AC41">
        <v>1</v>
      </c>
      <c r="AD41">
        <v>39.438000000000002</v>
      </c>
      <c r="AE41">
        <v>1</v>
      </c>
      <c r="AF41">
        <v>3</v>
      </c>
      <c r="AG41">
        <v>1</v>
      </c>
      <c r="AH41" t="s">
        <v>84</v>
      </c>
      <c r="AI41">
        <v>0</v>
      </c>
    </row>
    <row r="42" spans="1:35" x14ac:dyDescent="0.45">
      <c r="A42">
        <v>41</v>
      </c>
      <c r="B42" t="s">
        <v>169</v>
      </c>
      <c r="C42" t="s">
        <v>180</v>
      </c>
      <c r="D42" t="s">
        <v>86</v>
      </c>
      <c r="E42">
        <v>11</v>
      </c>
      <c r="F42">
        <v>-7.9820000000000002</v>
      </c>
      <c r="G42">
        <v>-52.923999999999999</v>
      </c>
      <c r="H42">
        <v>16319</v>
      </c>
      <c r="I42">
        <v>0</v>
      </c>
      <c r="J42">
        <v>1</v>
      </c>
      <c r="K42" t="s">
        <v>55</v>
      </c>
      <c r="L42" t="s">
        <v>55</v>
      </c>
      <c r="M42" t="s">
        <v>56</v>
      </c>
      <c r="N42">
        <v>1643264408.01</v>
      </c>
      <c r="O42">
        <v>0.20399999999999999</v>
      </c>
      <c r="P42">
        <v>0.443</v>
      </c>
      <c r="Q42">
        <v>55.947000000000003</v>
      </c>
      <c r="R42">
        <v>1E-3</v>
      </c>
      <c r="S42">
        <v>1E-3</v>
      </c>
      <c r="T42">
        <v>1.3380000000000001</v>
      </c>
      <c r="U42">
        <v>90.578999999999994</v>
      </c>
      <c r="V42">
        <v>27.366</v>
      </c>
      <c r="W42">
        <v>2.0289999999999999</v>
      </c>
      <c r="X42">
        <v>80.063999999999993</v>
      </c>
      <c r="Y42">
        <v>0.92500000000000004</v>
      </c>
      <c r="Z42">
        <v>0.254</v>
      </c>
      <c r="AA42">
        <v>0</v>
      </c>
      <c r="AB42">
        <v>0</v>
      </c>
      <c r="AC42">
        <v>1</v>
      </c>
      <c r="AD42">
        <v>39.438000000000002</v>
      </c>
      <c r="AE42">
        <v>1</v>
      </c>
      <c r="AF42">
        <v>3</v>
      </c>
      <c r="AG42">
        <v>1</v>
      </c>
      <c r="AH42" t="s">
        <v>84</v>
      </c>
      <c r="AI42">
        <v>0</v>
      </c>
    </row>
    <row r="43" spans="1:35" x14ac:dyDescent="0.45">
      <c r="A43">
        <v>42</v>
      </c>
      <c r="B43" t="s">
        <v>169</v>
      </c>
      <c r="C43" t="s">
        <v>181</v>
      </c>
      <c r="D43" t="s">
        <v>86</v>
      </c>
      <c r="E43">
        <v>12</v>
      </c>
      <c r="F43">
        <v>-8.0190000000000001</v>
      </c>
      <c r="G43">
        <v>-52.959000000000003</v>
      </c>
      <c r="H43">
        <v>16266</v>
      </c>
      <c r="I43">
        <v>0</v>
      </c>
      <c r="J43">
        <v>1</v>
      </c>
      <c r="K43" t="s">
        <v>55</v>
      </c>
      <c r="L43" t="s">
        <v>55</v>
      </c>
      <c r="M43" t="s">
        <v>56</v>
      </c>
      <c r="N43">
        <v>1643264944.3499999</v>
      </c>
      <c r="O43">
        <v>0.19800000000000001</v>
      </c>
      <c r="P43">
        <v>0.41799999999999998</v>
      </c>
      <c r="Q43">
        <v>54.667999999999999</v>
      </c>
      <c r="R43">
        <v>1E-3</v>
      </c>
      <c r="S43">
        <v>1E-3</v>
      </c>
      <c r="T43">
        <v>1.3160000000000001</v>
      </c>
      <c r="U43">
        <v>90.293999999999997</v>
      </c>
      <c r="V43">
        <v>26.713000000000001</v>
      </c>
      <c r="W43">
        <v>2.0249999999999999</v>
      </c>
      <c r="X43">
        <v>81.510000000000005</v>
      </c>
      <c r="Y43">
        <v>0.91900000000000004</v>
      </c>
      <c r="Z43">
        <v>0.41</v>
      </c>
      <c r="AA43">
        <v>0</v>
      </c>
      <c r="AB43">
        <v>0</v>
      </c>
      <c r="AC43">
        <v>1</v>
      </c>
      <c r="AD43">
        <v>39.438000000000002</v>
      </c>
      <c r="AE43">
        <v>1</v>
      </c>
      <c r="AF43">
        <v>3</v>
      </c>
      <c r="AG43">
        <v>1</v>
      </c>
      <c r="AH43" t="s">
        <v>84</v>
      </c>
      <c r="AI43">
        <v>0</v>
      </c>
    </row>
    <row r="44" spans="1:35" x14ac:dyDescent="0.45">
      <c r="A44">
        <v>43</v>
      </c>
      <c r="B44" t="s">
        <v>169</v>
      </c>
      <c r="C44" t="s">
        <v>182</v>
      </c>
      <c r="D44" t="s">
        <v>86</v>
      </c>
      <c r="E44">
        <v>13</v>
      </c>
      <c r="F44">
        <v>-8.0150000000000006</v>
      </c>
      <c r="G44">
        <v>-53.055</v>
      </c>
      <c r="H44">
        <v>16188</v>
      </c>
      <c r="I44">
        <v>0</v>
      </c>
      <c r="J44">
        <v>1</v>
      </c>
      <c r="K44" t="s">
        <v>55</v>
      </c>
      <c r="L44" t="s">
        <v>55</v>
      </c>
      <c r="M44" t="s">
        <v>56</v>
      </c>
      <c r="N44">
        <v>1643265482.23</v>
      </c>
      <c r="O44">
        <v>0.20200000000000001</v>
      </c>
      <c r="P44">
        <v>0.42099999999999999</v>
      </c>
      <c r="Q44">
        <v>55.485999999999997</v>
      </c>
      <c r="R44">
        <v>1E-3</v>
      </c>
      <c r="S44">
        <v>1E-3</v>
      </c>
      <c r="T44">
        <v>1.333</v>
      </c>
      <c r="U44">
        <v>89.796999999999997</v>
      </c>
      <c r="V44">
        <v>26.202000000000002</v>
      </c>
      <c r="W44">
        <v>2.0779999999999998</v>
      </c>
      <c r="X44">
        <v>82.406999999999996</v>
      </c>
      <c r="Y44">
        <v>0.93300000000000005</v>
      </c>
      <c r="Z44">
        <v>0.64100000000000001</v>
      </c>
      <c r="AA44">
        <v>0</v>
      </c>
      <c r="AB44">
        <v>0</v>
      </c>
      <c r="AC44">
        <v>1</v>
      </c>
      <c r="AD44">
        <v>39.438000000000002</v>
      </c>
      <c r="AE44">
        <v>1</v>
      </c>
      <c r="AF44">
        <v>3</v>
      </c>
      <c r="AG44">
        <v>1</v>
      </c>
      <c r="AH44" t="s">
        <v>84</v>
      </c>
      <c r="AI44">
        <v>0</v>
      </c>
    </row>
    <row r="45" spans="1:35" x14ac:dyDescent="0.45">
      <c r="A45">
        <v>44</v>
      </c>
      <c r="B45" t="s">
        <v>169</v>
      </c>
      <c r="C45" t="s">
        <v>183</v>
      </c>
      <c r="D45" t="s">
        <v>86</v>
      </c>
      <c r="E45">
        <v>14</v>
      </c>
      <c r="F45">
        <v>-8.0419999999999998</v>
      </c>
      <c r="G45">
        <v>-53.017000000000003</v>
      </c>
      <c r="H45">
        <v>16326</v>
      </c>
      <c r="I45">
        <v>0</v>
      </c>
      <c r="J45">
        <v>1</v>
      </c>
      <c r="K45" t="s">
        <v>55</v>
      </c>
      <c r="L45" t="s">
        <v>55</v>
      </c>
      <c r="M45" t="s">
        <v>56</v>
      </c>
      <c r="N45">
        <v>1643266018.55</v>
      </c>
      <c r="O45">
        <v>0.20399999999999999</v>
      </c>
      <c r="P45">
        <v>0.38500000000000001</v>
      </c>
      <c r="Q45">
        <v>55.94</v>
      </c>
      <c r="R45">
        <v>1E-3</v>
      </c>
      <c r="S45">
        <v>1E-3</v>
      </c>
      <c r="T45">
        <v>1.339</v>
      </c>
      <c r="U45">
        <v>90.635999999999996</v>
      </c>
      <c r="V45">
        <v>24.648</v>
      </c>
      <c r="W45">
        <v>2.2749999999999999</v>
      </c>
      <c r="X45">
        <v>88.128</v>
      </c>
      <c r="Y45">
        <v>0.92400000000000004</v>
      </c>
      <c r="Z45">
        <v>1.2210000000000001</v>
      </c>
      <c r="AA45">
        <v>0</v>
      </c>
      <c r="AB45">
        <v>0</v>
      </c>
      <c r="AC45">
        <v>1</v>
      </c>
      <c r="AD45">
        <v>39.438000000000002</v>
      </c>
      <c r="AE45">
        <v>1</v>
      </c>
      <c r="AF45">
        <v>3</v>
      </c>
      <c r="AG45">
        <v>1</v>
      </c>
      <c r="AH45" t="s">
        <v>84</v>
      </c>
      <c r="AI45">
        <v>0</v>
      </c>
    </row>
    <row r="46" spans="1:35" x14ac:dyDescent="0.45">
      <c r="A46">
        <v>45</v>
      </c>
      <c r="B46" t="s">
        <v>169</v>
      </c>
      <c r="C46" t="s">
        <v>184</v>
      </c>
      <c r="D46" t="s">
        <v>86</v>
      </c>
      <c r="E46">
        <v>15</v>
      </c>
      <c r="F46">
        <v>-8.0129999999999999</v>
      </c>
      <c r="G46">
        <v>-52.991999999999997</v>
      </c>
      <c r="H46">
        <v>16300</v>
      </c>
      <c r="I46">
        <v>0</v>
      </c>
      <c r="J46">
        <v>1</v>
      </c>
      <c r="K46" t="s">
        <v>55</v>
      </c>
      <c r="L46" t="s">
        <v>55</v>
      </c>
      <c r="M46" t="s">
        <v>56</v>
      </c>
      <c r="N46">
        <v>1643266555.73</v>
      </c>
      <c r="O46">
        <v>0.20799999999999999</v>
      </c>
      <c r="P46">
        <v>0.37</v>
      </c>
      <c r="Q46">
        <v>55.073</v>
      </c>
      <c r="R46">
        <v>0</v>
      </c>
      <c r="S46">
        <v>1E-3</v>
      </c>
      <c r="T46">
        <v>1.329</v>
      </c>
      <c r="U46">
        <v>90.742999999999995</v>
      </c>
      <c r="V46">
        <v>24.361000000000001</v>
      </c>
      <c r="W46">
        <v>2.2770000000000001</v>
      </c>
      <c r="X46">
        <v>87.495999999999995</v>
      </c>
      <c r="Y46">
        <v>0.90400000000000003</v>
      </c>
      <c r="Z46">
        <v>1.0920000000000001</v>
      </c>
      <c r="AA46">
        <v>0</v>
      </c>
      <c r="AB46">
        <v>0</v>
      </c>
      <c r="AC46">
        <v>1</v>
      </c>
      <c r="AD46">
        <v>39.438000000000002</v>
      </c>
      <c r="AE46">
        <v>1</v>
      </c>
      <c r="AF46">
        <v>3</v>
      </c>
      <c r="AG46">
        <v>1</v>
      </c>
      <c r="AH46" t="s">
        <v>84</v>
      </c>
      <c r="AI46">
        <v>0</v>
      </c>
    </row>
    <row r="47" spans="1:35" x14ac:dyDescent="0.45">
      <c r="A47">
        <v>46</v>
      </c>
      <c r="B47" t="s">
        <v>185</v>
      </c>
      <c r="C47" t="s">
        <v>186</v>
      </c>
      <c r="D47" t="s">
        <v>87</v>
      </c>
      <c r="E47">
        <v>1</v>
      </c>
      <c r="F47">
        <v>-5.7220000000000004</v>
      </c>
      <c r="G47">
        <v>-32.353999999999999</v>
      </c>
      <c r="H47">
        <v>16189</v>
      </c>
      <c r="I47">
        <v>-1</v>
      </c>
      <c r="J47">
        <v>1</v>
      </c>
      <c r="K47" t="s">
        <v>55</v>
      </c>
      <c r="L47" t="s">
        <v>55</v>
      </c>
      <c r="M47" t="s">
        <v>56</v>
      </c>
      <c r="N47">
        <v>1643267093.23</v>
      </c>
      <c r="O47">
        <v>0.20699999999999999</v>
      </c>
      <c r="P47">
        <v>0.44800000000000001</v>
      </c>
      <c r="Q47">
        <v>55.328000000000003</v>
      </c>
      <c r="R47">
        <v>0</v>
      </c>
      <c r="S47">
        <v>-2E-3</v>
      </c>
      <c r="T47">
        <v>1.3340000000000001</v>
      </c>
      <c r="U47">
        <v>90.019000000000005</v>
      </c>
      <c r="V47">
        <v>24.026</v>
      </c>
      <c r="W47">
        <v>2.2690000000000001</v>
      </c>
      <c r="X47">
        <v>87.42</v>
      </c>
      <c r="Y47">
        <v>0.93300000000000005</v>
      </c>
      <c r="Z47">
        <v>1.208</v>
      </c>
      <c r="AA47">
        <v>0</v>
      </c>
      <c r="AB47">
        <v>0</v>
      </c>
      <c r="AC47">
        <v>1</v>
      </c>
      <c r="AD47">
        <v>39.5</v>
      </c>
      <c r="AE47">
        <v>1</v>
      </c>
      <c r="AF47">
        <v>4</v>
      </c>
      <c r="AG47">
        <v>1</v>
      </c>
      <c r="AH47" t="s">
        <v>84</v>
      </c>
      <c r="AI47">
        <v>0</v>
      </c>
    </row>
    <row r="48" spans="1:35" x14ac:dyDescent="0.45">
      <c r="A48">
        <v>47</v>
      </c>
      <c r="B48" t="s">
        <v>185</v>
      </c>
      <c r="C48" t="s">
        <v>187</v>
      </c>
      <c r="D48" t="s">
        <v>87</v>
      </c>
      <c r="E48">
        <v>2</v>
      </c>
      <c r="F48">
        <v>-5.5960000000000001</v>
      </c>
      <c r="G48">
        <v>-30.718</v>
      </c>
      <c r="H48">
        <v>16314</v>
      </c>
      <c r="I48">
        <v>-1</v>
      </c>
      <c r="J48">
        <v>1</v>
      </c>
      <c r="K48" t="s">
        <v>55</v>
      </c>
      <c r="L48" t="s">
        <v>55</v>
      </c>
      <c r="M48" t="s">
        <v>56</v>
      </c>
      <c r="N48">
        <v>1643267631.51</v>
      </c>
      <c r="O48">
        <v>0.20200000000000001</v>
      </c>
      <c r="P48">
        <v>0.38900000000000001</v>
      </c>
      <c r="Q48">
        <v>51.948</v>
      </c>
      <c r="R48">
        <v>1E-3</v>
      </c>
      <c r="S48">
        <v>0</v>
      </c>
      <c r="T48">
        <v>1.3029999999999999</v>
      </c>
      <c r="U48">
        <v>90.942999999999998</v>
      </c>
      <c r="V48">
        <v>23.434999999999999</v>
      </c>
      <c r="W48">
        <v>2.3679999999999999</v>
      </c>
      <c r="X48">
        <v>89.335999999999999</v>
      </c>
      <c r="Y48">
        <v>0.92500000000000004</v>
      </c>
      <c r="Z48">
        <v>1.4730000000000001</v>
      </c>
      <c r="AA48">
        <v>0</v>
      </c>
      <c r="AB48">
        <v>0</v>
      </c>
      <c r="AC48">
        <v>1</v>
      </c>
      <c r="AD48">
        <v>39.438000000000002</v>
      </c>
      <c r="AE48">
        <v>1</v>
      </c>
      <c r="AF48">
        <v>4</v>
      </c>
      <c r="AG48">
        <v>1</v>
      </c>
      <c r="AH48" t="s">
        <v>84</v>
      </c>
      <c r="AI48">
        <v>0</v>
      </c>
    </row>
    <row r="49" spans="1:35" x14ac:dyDescent="0.45">
      <c r="A49">
        <v>48</v>
      </c>
      <c r="B49" t="s">
        <v>185</v>
      </c>
      <c r="C49" t="s">
        <v>188</v>
      </c>
      <c r="D49" t="s">
        <v>87</v>
      </c>
      <c r="E49">
        <v>3</v>
      </c>
      <c r="F49">
        <v>-5.5960000000000001</v>
      </c>
      <c r="G49">
        <v>-30.376000000000001</v>
      </c>
      <c r="H49">
        <v>16280</v>
      </c>
      <c r="I49">
        <v>-1</v>
      </c>
      <c r="J49">
        <v>1</v>
      </c>
      <c r="K49" t="s">
        <v>55</v>
      </c>
      <c r="L49" t="s">
        <v>55</v>
      </c>
      <c r="M49" t="s">
        <v>56</v>
      </c>
      <c r="N49">
        <v>1643268167.23</v>
      </c>
      <c r="O49">
        <v>0.224</v>
      </c>
      <c r="P49">
        <v>0.40600000000000003</v>
      </c>
      <c r="Q49">
        <v>56.305</v>
      </c>
      <c r="R49">
        <v>1E-3</v>
      </c>
      <c r="S49">
        <v>0</v>
      </c>
      <c r="T49">
        <v>1.351</v>
      </c>
      <c r="U49">
        <v>90.376999999999995</v>
      </c>
      <c r="V49">
        <v>24.3</v>
      </c>
      <c r="W49">
        <v>2.3319999999999999</v>
      </c>
      <c r="X49">
        <v>88.296999999999997</v>
      </c>
      <c r="Y49">
        <v>0.92500000000000004</v>
      </c>
      <c r="Z49">
        <v>1.383</v>
      </c>
      <c r="AA49">
        <v>0</v>
      </c>
      <c r="AB49">
        <v>0</v>
      </c>
      <c r="AC49">
        <v>1</v>
      </c>
      <c r="AD49">
        <v>39.438000000000002</v>
      </c>
      <c r="AE49">
        <v>1</v>
      </c>
      <c r="AF49">
        <v>4</v>
      </c>
      <c r="AG49">
        <v>1</v>
      </c>
      <c r="AH49" t="s">
        <v>84</v>
      </c>
      <c r="AI49">
        <v>0</v>
      </c>
    </row>
    <row r="50" spans="1:35" x14ac:dyDescent="0.45">
      <c r="A50">
        <v>49</v>
      </c>
      <c r="B50" t="s">
        <v>185</v>
      </c>
      <c r="C50" t="s">
        <v>189</v>
      </c>
      <c r="D50" t="s">
        <v>87</v>
      </c>
      <c r="E50">
        <v>4</v>
      </c>
      <c r="F50">
        <v>-5.5549999999999997</v>
      </c>
      <c r="G50">
        <v>-30.210999999999999</v>
      </c>
      <c r="H50">
        <v>16283</v>
      </c>
      <c r="I50">
        <v>0</v>
      </c>
      <c r="J50">
        <v>1</v>
      </c>
      <c r="K50" t="s">
        <v>55</v>
      </c>
      <c r="L50" t="s">
        <v>55</v>
      </c>
      <c r="M50" t="s">
        <v>56</v>
      </c>
      <c r="N50">
        <v>1643268703.3800001</v>
      </c>
      <c r="O50">
        <v>0.21099999999999999</v>
      </c>
      <c r="P50">
        <v>0.39100000000000001</v>
      </c>
      <c r="Q50">
        <v>54.55</v>
      </c>
      <c r="R50">
        <v>0</v>
      </c>
      <c r="S50">
        <v>-3.0000000000000001E-3</v>
      </c>
      <c r="T50">
        <v>1.3169999999999999</v>
      </c>
      <c r="U50">
        <v>90.409000000000006</v>
      </c>
      <c r="V50">
        <v>24.146000000000001</v>
      </c>
      <c r="W50">
        <v>2.343</v>
      </c>
      <c r="X50">
        <v>89.048000000000002</v>
      </c>
      <c r="Y50">
        <v>0.91700000000000004</v>
      </c>
      <c r="Z50">
        <v>1.4259999999999999</v>
      </c>
      <c r="AA50">
        <v>0</v>
      </c>
      <c r="AB50">
        <v>0</v>
      </c>
      <c r="AC50">
        <v>1</v>
      </c>
      <c r="AD50">
        <v>39.438000000000002</v>
      </c>
      <c r="AE50">
        <v>1</v>
      </c>
      <c r="AF50">
        <v>4</v>
      </c>
      <c r="AG50">
        <v>1</v>
      </c>
      <c r="AH50" t="s">
        <v>84</v>
      </c>
      <c r="AI50">
        <v>0</v>
      </c>
    </row>
    <row r="51" spans="1:35" x14ac:dyDescent="0.45">
      <c r="A51">
        <v>50</v>
      </c>
      <c r="B51" t="s">
        <v>185</v>
      </c>
      <c r="C51" t="s">
        <v>190</v>
      </c>
      <c r="D51" t="s">
        <v>87</v>
      </c>
      <c r="E51">
        <v>5</v>
      </c>
      <c r="F51">
        <v>-5.593</v>
      </c>
      <c r="G51">
        <v>-30.07</v>
      </c>
      <c r="H51">
        <v>16256</v>
      </c>
      <c r="I51">
        <v>0</v>
      </c>
      <c r="J51">
        <v>1</v>
      </c>
      <c r="K51" t="s">
        <v>55</v>
      </c>
      <c r="L51" t="s">
        <v>55</v>
      </c>
      <c r="M51" t="s">
        <v>56</v>
      </c>
      <c r="N51">
        <v>1643269241.9100001</v>
      </c>
      <c r="O51">
        <v>0.2</v>
      </c>
      <c r="P51">
        <v>0.46300000000000002</v>
      </c>
      <c r="Q51">
        <v>55.095999999999997</v>
      </c>
      <c r="R51">
        <v>1E-3</v>
      </c>
      <c r="S51">
        <v>-2E-3</v>
      </c>
      <c r="T51">
        <v>1.337</v>
      </c>
      <c r="U51">
        <v>90.519000000000005</v>
      </c>
      <c r="V51">
        <v>23.565000000000001</v>
      </c>
      <c r="W51">
        <v>2.3199999999999998</v>
      </c>
      <c r="X51">
        <v>88.718000000000004</v>
      </c>
      <c r="Y51">
        <v>0.93400000000000005</v>
      </c>
      <c r="Z51">
        <v>1.276</v>
      </c>
      <c r="AA51">
        <v>0</v>
      </c>
      <c r="AB51">
        <v>0</v>
      </c>
      <c r="AC51">
        <v>1</v>
      </c>
      <c r="AD51">
        <v>39.438000000000002</v>
      </c>
      <c r="AE51">
        <v>1</v>
      </c>
      <c r="AF51">
        <v>4</v>
      </c>
      <c r="AG51">
        <v>1</v>
      </c>
      <c r="AH51" t="s">
        <v>84</v>
      </c>
      <c r="AI51">
        <v>0</v>
      </c>
    </row>
    <row r="52" spans="1:35" x14ac:dyDescent="0.45">
      <c r="A52">
        <v>51</v>
      </c>
      <c r="B52" t="s">
        <v>185</v>
      </c>
      <c r="C52" t="s">
        <v>191</v>
      </c>
      <c r="D52" t="s">
        <v>87</v>
      </c>
      <c r="E52">
        <v>6</v>
      </c>
      <c r="F52">
        <v>-5.5590000000000002</v>
      </c>
      <c r="G52">
        <v>-30.068999999999999</v>
      </c>
      <c r="H52">
        <v>16255</v>
      </c>
      <c r="I52">
        <v>0</v>
      </c>
      <c r="J52">
        <v>1</v>
      </c>
      <c r="K52" t="s">
        <v>55</v>
      </c>
      <c r="L52" t="s">
        <v>55</v>
      </c>
      <c r="M52" t="s">
        <v>56</v>
      </c>
      <c r="N52">
        <v>1643269779.22</v>
      </c>
      <c r="O52">
        <v>0.21199999999999999</v>
      </c>
      <c r="P52">
        <v>0.39800000000000002</v>
      </c>
      <c r="Q52">
        <v>55.488999999999997</v>
      </c>
      <c r="R52">
        <v>0</v>
      </c>
      <c r="S52">
        <v>-1E-3</v>
      </c>
      <c r="T52">
        <v>1.3340000000000001</v>
      </c>
      <c r="U52">
        <v>90.272000000000006</v>
      </c>
      <c r="V52">
        <v>23.754000000000001</v>
      </c>
      <c r="W52">
        <v>2.391</v>
      </c>
      <c r="X52">
        <v>89.528000000000006</v>
      </c>
      <c r="Y52">
        <v>0.92700000000000005</v>
      </c>
      <c r="Z52">
        <v>1.5580000000000001</v>
      </c>
      <c r="AA52">
        <v>0</v>
      </c>
      <c r="AB52">
        <v>0</v>
      </c>
      <c r="AC52">
        <v>1</v>
      </c>
      <c r="AD52">
        <v>39.438000000000002</v>
      </c>
      <c r="AE52">
        <v>1</v>
      </c>
      <c r="AF52">
        <v>4</v>
      </c>
      <c r="AG52">
        <v>1</v>
      </c>
      <c r="AH52" t="s">
        <v>84</v>
      </c>
      <c r="AI52">
        <v>0</v>
      </c>
    </row>
    <row r="53" spans="1:35" x14ac:dyDescent="0.45">
      <c r="A53">
        <v>52</v>
      </c>
      <c r="B53" t="s">
        <v>185</v>
      </c>
      <c r="C53" t="s">
        <v>192</v>
      </c>
      <c r="D53" t="s">
        <v>87</v>
      </c>
      <c r="E53">
        <v>7</v>
      </c>
      <c r="F53">
        <v>-5.532</v>
      </c>
      <c r="G53">
        <v>-29.998999999999999</v>
      </c>
      <c r="H53">
        <v>16315</v>
      </c>
      <c r="I53">
        <v>0</v>
      </c>
      <c r="J53">
        <v>1</v>
      </c>
      <c r="K53" t="s">
        <v>55</v>
      </c>
      <c r="L53" t="s">
        <v>55</v>
      </c>
      <c r="M53" t="s">
        <v>56</v>
      </c>
      <c r="N53">
        <v>1643270316.1300001</v>
      </c>
      <c r="O53">
        <v>0.20699999999999999</v>
      </c>
      <c r="P53">
        <v>0.41</v>
      </c>
      <c r="Q53">
        <v>55.033000000000001</v>
      </c>
      <c r="R53">
        <v>1E-3</v>
      </c>
      <c r="S53">
        <v>0</v>
      </c>
      <c r="T53">
        <v>1.327</v>
      </c>
      <c r="U53">
        <v>90.906999999999996</v>
      </c>
      <c r="V53">
        <v>23.632999999999999</v>
      </c>
      <c r="W53">
        <v>2.33</v>
      </c>
      <c r="X53">
        <v>89.347999999999999</v>
      </c>
      <c r="Y53">
        <v>0.91500000000000004</v>
      </c>
      <c r="Z53">
        <v>1.3819999999999999</v>
      </c>
      <c r="AA53">
        <v>0</v>
      </c>
      <c r="AB53">
        <v>0</v>
      </c>
      <c r="AC53">
        <v>1</v>
      </c>
      <c r="AD53">
        <v>39.438000000000002</v>
      </c>
      <c r="AE53">
        <v>1</v>
      </c>
      <c r="AF53">
        <v>4</v>
      </c>
      <c r="AG53">
        <v>1</v>
      </c>
      <c r="AH53" t="s">
        <v>84</v>
      </c>
      <c r="AI53">
        <v>0</v>
      </c>
    </row>
    <row r="54" spans="1:35" x14ac:dyDescent="0.45">
      <c r="A54">
        <v>53</v>
      </c>
      <c r="B54" t="s">
        <v>185</v>
      </c>
      <c r="C54" t="s">
        <v>193</v>
      </c>
      <c r="D54" t="s">
        <v>87</v>
      </c>
      <c r="E54">
        <v>8</v>
      </c>
      <c r="F54">
        <v>-5.5629999999999997</v>
      </c>
      <c r="G54">
        <v>-29.934000000000001</v>
      </c>
      <c r="H54">
        <v>16287</v>
      </c>
      <c r="I54">
        <v>0</v>
      </c>
      <c r="J54">
        <v>1</v>
      </c>
      <c r="K54" t="s">
        <v>55</v>
      </c>
      <c r="L54" t="s">
        <v>55</v>
      </c>
      <c r="M54" t="s">
        <v>56</v>
      </c>
      <c r="N54">
        <v>1643270853.3</v>
      </c>
      <c r="O54">
        <v>0.20699999999999999</v>
      </c>
      <c r="P54">
        <v>0.41099999999999998</v>
      </c>
      <c r="Q54">
        <v>55.158000000000001</v>
      </c>
      <c r="R54">
        <v>1E-3</v>
      </c>
      <c r="S54">
        <v>0</v>
      </c>
      <c r="T54">
        <v>1.321</v>
      </c>
      <c r="U54">
        <v>90.483000000000004</v>
      </c>
      <c r="V54">
        <v>24.015999999999998</v>
      </c>
      <c r="W54">
        <v>2.3439999999999999</v>
      </c>
      <c r="X54">
        <v>89.099000000000004</v>
      </c>
      <c r="Y54">
        <v>0.92900000000000005</v>
      </c>
      <c r="Z54">
        <v>1.427</v>
      </c>
      <c r="AA54">
        <v>0</v>
      </c>
      <c r="AB54">
        <v>0</v>
      </c>
      <c r="AC54">
        <v>1</v>
      </c>
      <c r="AD54">
        <v>39.5</v>
      </c>
      <c r="AE54">
        <v>1</v>
      </c>
      <c r="AF54">
        <v>4</v>
      </c>
      <c r="AG54">
        <v>1</v>
      </c>
      <c r="AH54" t="s">
        <v>84</v>
      </c>
      <c r="AI54">
        <v>0</v>
      </c>
    </row>
    <row r="55" spans="1:35" x14ac:dyDescent="0.45">
      <c r="A55">
        <v>54</v>
      </c>
      <c r="B55" t="s">
        <v>185</v>
      </c>
      <c r="C55" t="s">
        <v>194</v>
      </c>
      <c r="D55" t="s">
        <v>87</v>
      </c>
      <c r="E55">
        <v>9</v>
      </c>
      <c r="F55">
        <v>-5.54</v>
      </c>
      <c r="G55">
        <v>-29.853999999999999</v>
      </c>
      <c r="H55">
        <v>16258</v>
      </c>
      <c r="I55">
        <v>0</v>
      </c>
      <c r="J55">
        <v>1</v>
      </c>
      <c r="K55" t="s">
        <v>55</v>
      </c>
      <c r="L55" t="s">
        <v>55</v>
      </c>
      <c r="M55" t="s">
        <v>56</v>
      </c>
      <c r="N55">
        <v>1643271388.97</v>
      </c>
      <c r="O55">
        <v>0.20799999999999999</v>
      </c>
      <c r="P55">
        <v>0.41599999999999998</v>
      </c>
      <c r="Q55">
        <v>54.276000000000003</v>
      </c>
      <c r="R55">
        <v>1E-3</v>
      </c>
      <c r="S55">
        <v>1E-3</v>
      </c>
      <c r="T55">
        <v>1.3009999999999999</v>
      </c>
      <c r="U55">
        <v>90.298000000000002</v>
      </c>
      <c r="V55">
        <v>24.137</v>
      </c>
      <c r="W55">
        <v>2.3450000000000002</v>
      </c>
      <c r="X55">
        <v>88.233000000000004</v>
      </c>
      <c r="Y55">
        <v>0.92700000000000005</v>
      </c>
      <c r="Z55">
        <v>1.302</v>
      </c>
      <c r="AA55">
        <v>0</v>
      </c>
      <c r="AB55">
        <v>0</v>
      </c>
      <c r="AC55">
        <v>1</v>
      </c>
      <c r="AD55">
        <v>39.375</v>
      </c>
      <c r="AE55">
        <v>1</v>
      </c>
      <c r="AF55">
        <v>4</v>
      </c>
      <c r="AG55">
        <v>1</v>
      </c>
      <c r="AH55" t="s">
        <v>84</v>
      </c>
      <c r="AI55">
        <v>0</v>
      </c>
    </row>
    <row r="56" spans="1:35" x14ac:dyDescent="0.45">
      <c r="A56">
        <v>55</v>
      </c>
      <c r="B56" t="s">
        <v>185</v>
      </c>
      <c r="C56" t="s">
        <v>195</v>
      </c>
      <c r="D56" t="s">
        <v>87</v>
      </c>
      <c r="E56">
        <v>10</v>
      </c>
      <c r="F56">
        <v>-5.55</v>
      </c>
      <c r="G56">
        <v>-29.957000000000001</v>
      </c>
      <c r="H56">
        <v>16309</v>
      </c>
      <c r="I56">
        <v>0</v>
      </c>
      <c r="J56">
        <v>1</v>
      </c>
      <c r="K56" t="s">
        <v>55</v>
      </c>
      <c r="L56" t="s">
        <v>55</v>
      </c>
      <c r="M56" t="s">
        <v>56</v>
      </c>
      <c r="N56">
        <v>1643271927.9200001</v>
      </c>
      <c r="O56">
        <v>0.20200000000000001</v>
      </c>
      <c r="P56">
        <v>0.39700000000000002</v>
      </c>
      <c r="Q56">
        <v>55.225999999999999</v>
      </c>
      <c r="R56">
        <v>1E-3</v>
      </c>
      <c r="S56">
        <v>0</v>
      </c>
      <c r="T56">
        <v>1.3320000000000001</v>
      </c>
      <c r="U56">
        <v>90.81</v>
      </c>
      <c r="V56">
        <v>24.718</v>
      </c>
      <c r="W56">
        <v>2.2599999999999998</v>
      </c>
      <c r="X56">
        <v>86.241</v>
      </c>
      <c r="Y56">
        <v>0.94899999999999995</v>
      </c>
      <c r="Z56">
        <v>1.008</v>
      </c>
      <c r="AA56">
        <v>0</v>
      </c>
      <c r="AB56">
        <v>0</v>
      </c>
      <c r="AC56">
        <v>1</v>
      </c>
      <c r="AD56">
        <v>39.438000000000002</v>
      </c>
      <c r="AE56">
        <v>1</v>
      </c>
      <c r="AF56">
        <v>4</v>
      </c>
      <c r="AG56">
        <v>1</v>
      </c>
      <c r="AH56" t="s">
        <v>84</v>
      </c>
      <c r="AI56">
        <v>0</v>
      </c>
    </row>
    <row r="57" spans="1:35" x14ac:dyDescent="0.45">
      <c r="A57">
        <v>56</v>
      </c>
      <c r="B57" t="s">
        <v>185</v>
      </c>
      <c r="C57" t="s">
        <v>196</v>
      </c>
      <c r="D57" t="s">
        <v>87</v>
      </c>
      <c r="E57">
        <v>11</v>
      </c>
      <c r="F57">
        <v>-5.548</v>
      </c>
      <c r="G57">
        <v>-29.891999999999999</v>
      </c>
      <c r="H57">
        <v>16299</v>
      </c>
      <c r="I57">
        <v>0</v>
      </c>
      <c r="J57">
        <v>1</v>
      </c>
      <c r="K57" t="s">
        <v>55</v>
      </c>
      <c r="L57" t="s">
        <v>55</v>
      </c>
      <c r="M57" t="s">
        <v>56</v>
      </c>
      <c r="N57">
        <v>1643272464.01</v>
      </c>
      <c r="O57">
        <v>0.216</v>
      </c>
      <c r="P57">
        <v>0.38300000000000001</v>
      </c>
      <c r="Q57">
        <v>54.594000000000001</v>
      </c>
      <c r="R57">
        <v>1E-3</v>
      </c>
      <c r="S57">
        <v>0</v>
      </c>
      <c r="T57">
        <v>1.3120000000000001</v>
      </c>
      <c r="U57">
        <v>90.518000000000001</v>
      </c>
      <c r="V57">
        <v>24.443999999999999</v>
      </c>
      <c r="W57">
        <v>2.2989999999999999</v>
      </c>
      <c r="X57">
        <v>88.069000000000003</v>
      </c>
      <c r="Y57">
        <v>0.92900000000000005</v>
      </c>
      <c r="Z57">
        <v>1.26</v>
      </c>
      <c r="AA57">
        <v>0</v>
      </c>
      <c r="AB57">
        <v>0</v>
      </c>
      <c r="AC57">
        <v>1</v>
      </c>
      <c r="AD57">
        <v>39.375</v>
      </c>
      <c r="AE57">
        <v>1</v>
      </c>
      <c r="AF57">
        <v>4</v>
      </c>
      <c r="AG57">
        <v>1</v>
      </c>
      <c r="AH57" t="s">
        <v>84</v>
      </c>
      <c r="AI57">
        <v>0</v>
      </c>
    </row>
    <row r="58" spans="1:35" x14ac:dyDescent="0.45">
      <c r="A58">
        <v>57</v>
      </c>
      <c r="B58" t="s">
        <v>185</v>
      </c>
      <c r="C58" t="s">
        <v>197</v>
      </c>
      <c r="D58" t="s">
        <v>87</v>
      </c>
      <c r="E58">
        <v>12</v>
      </c>
      <c r="F58">
        <v>-5.5810000000000004</v>
      </c>
      <c r="G58">
        <v>-29.977</v>
      </c>
      <c r="H58">
        <v>16258</v>
      </c>
      <c r="I58">
        <v>0</v>
      </c>
      <c r="J58">
        <v>1</v>
      </c>
      <c r="K58" t="s">
        <v>55</v>
      </c>
      <c r="L58" t="s">
        <v>55</v>
      </c>
      <c r="M58" t="s">
        <v>56</v>
      </c>
      <c r="N58">
        <v>1643273001.8199999</v>
      </c>
      <c r="O58">
        <v>0.215</v>
      </c>
      <c r="P58">
        <v>0.40200000000000002</v>
      </c>
      <c r="Q58">
        <v>55.661000000000001</v>
      </c>
      <c r="R58">
        <v>0</v>
      </c>
      <c r="S58">
        <v>0</v>
      </c>
      <c r="T58">
        <v>1.3440000000000001</v>
      </c>
      <c r="U58">
        <v>90.248000000000005</v>
      </c>
      <c r="V58">
        <v>25.599</v>
      </c>
      <c r="W58">
        <v>2.1930000000000001</v>
      </c>
      <c r="X58">
        <v>84.494</v>
      </c>
      <c r="Y58">
        <v>0.93100000000000005</v>
      </c>
      <c r="Z58">
        <v>0.80400000000000005</v>
      </c>
      <c r="AA58">
        <v>0</v>
      </c>
      <c r="AB58">
        <v>0</v>
      </c>
      <c r="AC58">
        <v>1</v>
      </c>
      <c r="AD58">
        <v>39.438000000000002</v>
      </c>
      <c r="AE58">
        <v>1</v>
      </c>
      <c r="AF58">
        <v>4</v>
      </c>
      <c r="AG58">
        <v>1</v>
      </c>
      <c r="AH58" t="s">
        <v>84</v>
      </c>
      <c r="AI58">
        <v>0</v>
      </c>
    </row>
    <row r="59" spans="1:35" x14ac:dyDescent="0.45">
      <c r="A59">
        <v>58</v>
      </c>
      <c r="B59" t="s">
        <v>185</v>
      </c>
      <c r="C59" t="s">
        <v>198</v>
      </c>
      <c r="D59" t="s">
        <v>87</v>
      </c>
      <c r="E59">
        <v>13</v>
      </c>
      <c r="F59">
        <v>-5.5679999999999996</v>
      </c>
      <c r="G59">
        <v>-29.832000000000001</v>
      </c>
      <c r="H59">
        <v>16316</v>
      </c>
      <c r="I59">
        <v>0</v>
      </c>
      <c r="J59">
        <v>1</v>
      </c>
      <c r="K59" t="s">
        <v>55</v>
      </c>
      <c r="L59" t="s">
        <v>55</v>
      </c>
      <c r="M59" t="s">
        <v>56</v>
      </c>
      <c r="N59">
        <v>1643273538.23</v>
      </c>
      <c r="O59">
        <v>0.20200000000000001</v>
      </c>
      <c r="P59">
        <v>0.36799999999999999</v>
      </c>
      <c r="Q59">
        <v>54.399000000000001</v>
      </c>
      <c r="R59">
        <v>1E-3</v>
      </c>
      <c r="S59">
        <v>0</v>
      </c>
      <c r="T59">
        <v>1.304</v>
      </c>
      <c r="U59">
        <v>90.453999999999994</v>
      </c>
      <c r="V59">
        <v>26.704999999999998</v>
      </c>
      <c r="W59">
        <v>2.1320000000000001</v>
      </c>
      <c r="X59">
        <v>82.021000000000001</v>
      </c>
      <c r="Y59">
        <v>0.93500000000000005</v>
      </c>
      <c r="Z59">
        <v>0.55400000000000005</v>
      </c>
      <c r="AA59">
        <v>0</v>
      </c>
      <c r="AB59">
        <v>0</v>
      </c>
      <c r="AC59">
        <v>1</v>
      </c>
      <c r="AD59">
        <v>39.438000000000002</v>
      </c>
      <c r="AE59">
        <v>1</v>
      </c>
      <c r="AF59">
        <v>4</v>
      </c>
      <c r="AG59">
        <v>1</v>
      </c>
      <c r="AH59" t="s">
        <v>84</v>
      </c>
      <c r="AI59">
        <v>0</v>
      </c>
    </row>
    <row r="60" spans="1:35" x14ac:dyDescent="0.45">
      <c r="A60">
        <v>59</v>
      </c>
      <c r="B60" t="s">
        <v>185</v>
      </c>
      <c r="C60" t="s">
        <v>199</v>
      </c>
      <c r="D60" t="s">
        <v>87</v>
      </c>
      <c r="E60">
        <v>14</v>
      </c>
      <c r="F60">
        <v>-5.5739999999999998</v>
      </c>
      <c r="G60">
        <v>-29.847000000000001</v>
      </c>
      <c r="H60">
        <v>16234</v>
      </c>
      <c r="I60">
        <v>0</v>
      </c>
      <c r="J60">
        <v>1</v>
      </c>
      <c r="K60" t="s">
        <v>55</v>
      </c>
      <c r="L60" t="s">
        <v>55</v>
      </c>
      <c r="M60" t="s">
        <v>56</v>
      </c>
      <c r="N60">
        <v>1643274076.0999999</v>
      </c>
      <c r="O60">
        <v>0.22</v>
      </c>
      <c r="P60">
        <v>0.39300000000000002</v>
      </c>
      <c r="Q60">
        <v>54.276000000000003</v>
      </c>
      <c r="R60">
        <v>1E-3</v>
      </c>
      <c r="S60">
        <v>1E-3</v>
      </c>
      <c r="T60">
        <v>1.2989999999999999</v>
      </c>
      <c r="U60">
        <v>89.867999999999995</v>
      </c>
      <c r="V60">
        <v>26.024000000000001</v>
      </c>
      <c r="W60">
        <v>2.1920000000000002</v>
      </c>
      <c r="X60">
        <v>83.888000000000005</v>
      </c>
      <c r="Y60">
        <v>0.93200000000000005</v>
      </c>
      <c r="Z60">
        <v>0.90300000000000002</v>
      </c>
      <c r="AA60">
        <v>0</v>
      </c>
      <c r="AB60">
        <v>0</v>
      </c>
      <c r="AC60">
        <v>1</v>
      </c>
      <c r="AD60">
        <v>39.375</v>
      </c>
      <c r="AE60">
        <v>1</v>
      </c>
      <c r="AF60">
        <v>4</v>
      </c>
      <c r="AG60">
        <v>1</v>
      </c>
      <c r="AH60" t="s">
        <v>84</v>
      </c>
      <c r="AI60">
        <v>0</v>
      </c>
    </row>
    <row r="61" spans="1:35" x14ac:dyDescent="0.45">
      <c r="A61">
        <v>60</v>
      </c>
      <c r="B61" t="s">
        <v>185</v>
      </c>
      <c r="C61" t="s">
        <v>200</v>
      </c>
      <c r="D61" t="s">
        <v>87</v>
      </c>
      <c r="E61">
        <v>15</v>
      </c>
      <c r="F61">
        <v>-5.609</v>
      </c>
      <c r="G61">
        <v>-29.902000000000001</v>
      </c>
      <c r="H61">
        <v>16289</v>
      </c>
      <c r="I61">
        <v>0</v>
      </c>
      <c r="J61">
        <v>1</v>
      </c>
      <c r="K61" t="s">
        <v>55</v>
      </c>
      <c r="L61" t="s">
        <v>55</v>
      </c>
      <c r="M61" t="s">
        <v>56</v>
      </c>
      <c r="N61">
        <v>1643274614.1099999</v>
      </c>
      <c r="O61">
        <v>0.20499999999999999</v>
      </c>
      <c r="P61">
        <v>0.375</v>
      </c>
      <c r="Q61">
        <v>55.152000000000001</v>
      </c>
      <c r="R61">
        <v>2E-3</v>
      </c>
      <c r="S61">
        <v>1E-3</v>
      </c>
      <c r="T61">
        <v>1.3360000000000001</v>
      </c>
      <c r="U61">
        <v>90.522000000000006</v>
      </c>
      <c r="V61">
        <v>25.454000000000001</v>
      </c>
      <c r="W61">
        <v>2.2170000000000001</v>
      </c>
      <c r="X61">
        <v>84.417000000000002</v>
      </c>
      <c r="Y61">
        <v>0.94099999999999995</v>
      </c>
      <c r="Z61">
        <v>0.71599999999999997</v>
      </c>
      <c r="AA61">
        <v>0</v>
      </c>
      <c r="AB61">
        <v>0</v>
      </c>
      <c r="AC61">
        <v>1</v>
      </c>
      <c r="AD61">
        <v>39.375</v>
      </c>
      <c r="AE61">
        <v>1</v>
      </c>
      <c r="AF61">
        <v>4</v>
      </c>
      <c r="AG61">
        <v>1</v>
      </c>
      <c r="AH61" t="s">
        <v>84</v>
      </c>
      <c r="AI61">
        <v>0</v>
      </c>
    </row>
    <row r="62" spans="1:35" x14ac:dyDescent="0.45">
      <c r="A62">
        <v>61</v>
      </c>
      <c r="B62" t="s">
        <v>201</v>
      </c>
      <c r="C62" t="s">
        <v>202</v>
      </c>
      <c r="D62" t="s">
        <v>88</v>
      </c>
      <c r="E62">
        <v>1</v>
      </c>
      <c r="F62">
        <v>-5.5730000000000004</v>
      </c>
      <c r="G62">
        <v>-29.838000000000001</v>
      </c>
      <c r="H62">
        <v>16191</v>
      </c>
      <c r="I62">
        <v>-1</v>
      </c>
      <c r="J62">
        <v>1</v>
      </c>
      <c r="K62" t="s">
        <v>55</v>
      </c>
      <c r="L62" t="s">
        <v>55</v>
      </c>
      <c r="M62" t="s">
        <v>56</v>
      </c>
      <c r="N62">
        <v>1643275151.55</v>
      </c>
      <c r="O62">
        <v>0.193</v>
      </c>
      <c r="P62">
        <v>0.44900000000000001</v>
      </c>
      <c r="Q62">
        <v>55.234000000000002</v>
      </c>
      <c r="R62">
        <v>0</v>
      </c>
      <c r="S62">
        <v>0</v>
      </c>
      <c r="T62">
        <v>1.319</v>
      </c>
      <c r="U62">
        <v>90.084999999999994</v>
      </c>
      <c r="V62">
        <v>24.795000000000002</v>
      </c>
      <c r="W62">
        <v>2.206</v>
      </c>
      <c r="X62">
        <v>84.935000000000002</v>
      </c>
      <c r="Y62">
        <v>0.94599999999999995</v>
      </c>
      <c r="Z62">
        <v>0.82399999999999995</v>
      </c>
      <c r="AA62">
        <v>0</v>
      </c>
      <c r="AB62">
        <v>0</v>
      </c>
      <c r="AC62">
        <v>1</v>
      </c>
      <c r="AD62">
        <v>39.375</v>
      </c>
      <c r="AE62">
        <v>1</v>
      </c>
      <c r="AF62">
        <v>5</v>
      </c>
      <c r="AG62">
        <v>1</v>
      </c>
      <c r="AH62" t="s">
        <v>84</v>
      </c>
      <c r="AI62">
        <v>0</v>
      </c>
    </row>
    <row r="63" spans="1:35" x14ac:dyDescent="0.45">
      <c r="A63">
        <v>62</v>
      </c>
      <c r="B63" t="s">
        <v>201</v>
      </c>
      <c r="C63" t="s">
        <v>203</v>
      </c>
      <c r="D63" t="s">
        <v>88</v>
      </c>
      <c r="E63">
        <v>2</v>
      </c>
      <c r="F63">
        <v>-5.5739999999999998</v>
      </c>
      <c r="G63">
        <v>-29.821000000000002</v>
      </c>
      <c r="H63">
        <v>16281</v>
      </c>
      <c r="I63">
        <v>-1</v>
      </c>
      <c r="J63">
        <v>1</v>
      </c>
      <c r="K63" t="s">
        <v>55</v>
      </c>
      <c r="L63" t="s">
        <v>55</v>
      </c>
      <c r="M63" t="s">
        <v>56</v>
      </c>
      <c r="N63">
        <v>1643275688.02</v>
      </c>
      <c r="O63">
        <v>0.20799999999999999</v>
      </c>
      <c r="P63">
        <v>0.39100000000000001</v>
      </c>
      <c r="Q63">
        <v>54.793999999999997</v>
      </c>
      <c r="R63">
        <v>1E-3</v>
      </c>
      <c r="S63">
        <v>0</v>
      </c>
      <c r="T63">
        <v>1.3160000000000001</v>
      </c>
      <c r="U63">
        <v>90.459000000000003</v>
      </c>
      <c r="V63">
        <v>24.754000000000001</v>
      </c>
      <c r="W63">
        <v>2.29</v>
      </c>
      <c r="X63">
        <v>86.662999999999997</v>
      </c>
      <c r="Y63">
        <v>0.92600000000000005</v>
      </c>
      <c r="Z63">
        <v>1.024</v>
      </c>
      <c r="AA63">
        <v>0</v>
      </c>
      <c r="AB63">
        <v>0</v>
      </c>
      <c r="AC63">
        <v>1</v>
      </c>
      <c r="AD63">
        <v>39.375</v>
      </c>
      <c r="AE63">
        <v>1</v>
      </c>
      <c r="AF63">
        <v>5</v>
      </c>
      <c r="AG63">
        <v>1</v>
      </c>
      <c r="AH63" t="s">
        <v>84</v>
      </c>
      <c r="AI63">
        <v>0</v>
      </c>
    </row>
    <row r="64" spans="1:35" x14ac:dyDescent="0.45">
      <c r="A64">
        <v>63</v>
      </c>
      <c r="B64" t="s">
        <v>201</v>
      </c>
      <c r="C64" t="s">
        <v>204</v>
      </c>
      <c r="D64" t="s">
        <v>88</v>
      </c>
      <c r="E64">
        <v>3</v>
      </c>
      <c r="F64">
        <v>-5.5469999999999997</v>
      </c>
      <c r="G64">
        <v>-29.853999999999999</v>
      </c>
      <c r="H64">
        <v>16302</v>
      </c>
      <c r="I64">
        <v>-1</v>
      </c>
      <c r="J64">
        <v>1</v>
      </c>
      <c r="K64" t="s">
        <v>55</v>
      </c>
      <c r="L64" t="s">
        <v>55</v>
      </c>
      <c r="M64" t="s">
        <v>56</v>
      </c>
      <c r="N64">
        <v>1643276225.77</v>
      </c>
      <c r="O64">
        <v>0.21</v>
      </c>
      <c r="P64">
        <v>0.40300000000000002</v>
      </c>
      <c r="Q64">
        <v>54.576999999999998</v>
      </c>
      <c r="R64">
        <v>1E-3</v>
      </c>
      <c r="S64">
        <v>1E-3</v>
      </c>
      <c r="T64">
        <v>1.3069999999999999</v>
      </c>
      <c r="U64">
        <v>90.68</v>
      </c>
      <c r="V64">
        <v>25.248999999999999</v>
      </c>
      <c r="W64">
        <v>2.242</v>
      </c>
      <c r="X64">
        <v>85.052000000000007</v>
      </c>
      <c r="Y64">
        <v>0.95099999999999996</v>
      </c>
      <c r="Z64">
        <v>0.76500000000000001</v>
      </c>
      <c r="AA64">
        <v>0</v>
      </c>
      <c r="AB64">
        <v>0</v>
      </c>
      <c r="AC64">
        <v>1</v>
      </c>
      <c r="AD64">
        <v>39.438000000000002</v>
      </c>
      <c r="AE64">
        <v>1</v>
      </c>
      <c r="AF64">
        <v>5</v>
      </c>
      <c r="AG64">
        <v>1</v>
      </c>
      <c r="AH64" t="s">
        <v>84</v>
      </c>
      <c r="AI64">
        <v>0</v>
      </c>
    </row>
    <row r="65" spans="1:35" x14ac:dyDescent="0.45">
      <c r="A65">
        <v>64</v>
      </c>
      <c r="B65" t="s">
        <v>201</v>
      </c>
      <c r="C65" t="s">
        <v>205</v>
      </c>
      <c r="D65" t="s">
        <v>88</v>
      </c>
      <c r="E65">
        <v>4</v>
      </c>
      <c r="F65">
        <v>-5.5410000000000004</v>
      </c>
      <c r="G65">
        <v>-29.742000000000001</v>
      </c>
      <c r="H65">
        <v>16287</v>
      </c>
      <c r="I65">
        <v>0</v>
      </c>
      <c r="J65">
        <v>1</v>
      </c>
      <c r="K65" t="s">
        <v>55</v>
      </c>
      <c r="L65" t="s">
        <v>55</v>
      </c>
      <c r="M65" t="s">
        <v>56</v>
      </c>
      <c r="N65">
        <v>1643276762.3800001</v>
      </c>
      <c r="O65">
        <v>0.20499999999999999</v>
      </c>
      <c r="P65">
        <v>0.433</v>
      </c>
      <c r="Q65">
        <v>55.701999999999998</v>
      </c>
      <c r="R65">
        <v>1E-3</v>
      </c>
      <c r="S65">
        <v>0</v>
      </c>
      <c r="T65">
        <v>1.3380000000000001</v>
      </c>
      <c r="U65">
        <v>90.460999999999999</v>
      </c>
      <c r="V65">
        <v>24.622</v>
      </c>
      <c r="W65">
        <v>2.3540000000000001</v>
      </c>
      <c r="X65">
        <v>87.388999999999996</v>
      </c>
      <c r="Y65">
        <v>0.91600000000000004</v>
      </c>
      <c r="Z65">
        <v>1.2</v>
      </c>
      <c r="AA65">
        <v>0</v>
      </c>
      <c r="AB65">
        <v>0</v>
      </c>
      <c r="AC65">
        <v>1</v>
      </c>
      <c r="AD65">
        <v>39.438000000000002</v>
      </c>
      <c r="AE65">
        <v>1</v>
      </c>
      <c r="AF65">
        <v>5</v>
      </c>
      <c r="AG65">
        <v>1</v>
      </c>
      <c r="AH65" t="s">
        <v>84</v>
      </c>
      <c r="AI65">
        <v>0</v>
      </c>
    </row>
    <row r="66" spans="1:35" x14ac:dyDescent="0.45">
      <c r="A66">
        <v>65</v>
      </c>
      <c r="B66" t="s">
        <v>201</v>
      </c>
      <c r="C66" t="s">
        <v>206</v>
      </c>
      <c r="D66" t="s">
        <v>88</v>
      </c>
      <c r="E66">
        <v>5</v>
      </c>
      <c r="F66">
        <v>-5.5430000000000001</v>
      </c>
      <c r="G66">
        <v>-29.763999999999999</v>
      </c>
      <c r="H66">
        <v>16279</v>
      </c>
      <c r="I66">
        <v>0</v>
      </c>
      <c r="J66">
        <v>1</v>
      </c>
      <c r="K66" t="s">
        <v>55</v>
      </c>
      <c r="L66" t="s">
        <v>55</v>
      </c>
      <c r="M66" t="s">
        <v>56</v>
      </c>
      <c r="N66">
        <v>1643277300.4100001</v>
      </c>
      <c r="O66">
        <v>0.21299999999999999</v>
      </c>
      <c r="P66">
        <v>0.40500000000000003</v>
      </c>
      <c r="Q66">
        <v>54.744</v>
      </c>
      <c r="R66">
        <v>1E-3</v>
      </c>
      <c r="S66">
        <v>-1E-3</v>
      </c>
      <c r="T66">
        <v>1.3240000000000001</v>
      </c>
      <c r="U66">
        <v>90.308999999999997</v>
      </c>
      <c r="V66">
        <v>25.166</v>
      </c>
      <c r="W66">
        <v>2.294</v>
      </c>
      <c r="X66">
        <v>86.224000000000004</v>
      </c>
      <c r="Y66">
        <v>0.91100000000000003</v>
      </c>
      <c r="Z66">
        <v>1.0720000000000001</v>
      </c>
      <c r="AA66">
        <v>0</v>
      </c>
      <c r="AB66">
        <v>0</v>
      </c>
      <c r="AC66">
        <v>1</v>
      </c>
      <c r="AD66">
        <v>39.438000000000002</v>
      </c>
      <c r="AE66">
        <v>1</v>
      </c>
      <c r="AF66">
        <v>5</v>
      </c>
      <c r="AG66">
        <v>1</v>
      </c>
      <c r="AH66" t="s">
        <v>84</v>
      </c>
      <c r="AI66">
        <v>0</v>
      </c>
    </row>
    <row r="67" spans="1:35" x14ac:dyDescent="0.45">
      <c r="A67">
        <v>66</v>
      </c>
      <c r="B67" t="s">
        <v>201</v>
      </c>
      <c r="C67" t="s">
        <v>207</v>
      </c>
      <c r="D67" t="s">
        <v>88</v>
      </c>
      <c r="E67">
        <v>6</v>
      </c>
      <c r="F67">
        <v>-5.55</v>
      </c>
      <c r="G67">
        <v>-29.725999999999999</v>
      </c>
      <c r="H67">
        <v>16238</v>
      </c>
      <c r="I67">
        <v>0</v>
      </c>
      <c r="J67">
        <v>1</v>
      </c>
      <c r="K67" t="s">
        <v>55</v>
      </c>
      <c r="L67" t="s">
        <v>55</v>
      </c>
      <c r="M67" t="s">
        <v>56</v>
      </c>
      <c r="N67">
        <v>1643277838.1500001</v>
      </c>
      <c r="O67">
        <v>0.19600000000000001</v>
      </c>
      <c r="P67">
        <v>0.41099999999999998</v>
      </c>
      <c r="Q67">
        <v>55.469000000000001</v>
      </c>
      <c r="R67">
        <v>0</v>
      </c>
      <c r="S67">
        <v>0</v>
      </c>
      <c r="T67">
        <v>1.3320000000000001</v>
      </c>
      <c r="U67">
        <v>90.069000000000003</v>
      </c>
      <c r="V67">
        <v>25.257000000000001</v>
      </c>
      <c r="W67">
        <v>2.2810000000000001</v>
      </c>
      <c r="X67">
        <v>85.356999999999999</v>
      </c>
      <c r="Y67">
        <v>0.92900000000000005</v>
      </c>
      <c r="Z67">
        <v>1.006</v>
      </c>
      <c r="AA67">
        <v>0</v>
      </c>
      <c r="AB67">
        <v>0</v>
      </c>
      <c r="AC67">
        <v>1</v>
      </c>
      <c r="AD67">
        <v>39.438000000000002</v>
      </c>
      <c r="AE67">
        <v>1</v>
      </c>
      <c r="AF67">
        <v>5</v>
      </c>
      <c r="AG67">
        <v>1</v>
      </c>
      <c r="AH67" t="s">
        <v>84</v>
      </c>
      <c r="AI67">
        <v>0</v>
      </c>
    </row>
    <row r="68" spans="1:35" x14ac:dyDescent="0.45">
      <c r="A68">
        <v>67</v>
      </c>
      <c r="B68" t="s">
        <v>201</v>
      </c>
      <c r="C68" t="s">
        <v>208</v>
      </c>
      <c r="D68" t="s">
        <v>88</v>
      </c>
      <c r="E68">
        <v>7</v>
      </c>
      <c r="F68">
        <v>-5.5510000000000002</v>
      </c>
      <c r="G68">
        <v>-29.742999999999999</v>
      </c>
      <c r="H68">
        <v>16272</v>
      </c>
      <c r="I68">
        <v>0</v>
      </c>
      <c r="J68">
        <v>1</v>
      </c>
      <c r="K68" t="s">
        <v>55</v>
      </c>
      <c r="L68" t="s">
        <v>55</v>
      </c>
      <c r="M68" t="s">
        <v>56</v>
      </c>
      <c r="N68">
        <v>1643278375.77</v>
      </c>
      <c r="O68">
        <v>0.19</v>
      </c>
      <c r="P68">
        <v>0.374</v>
      </c>
      <c r="Q68">
        <v>54.774000000000001</v>
      </c>
      <c r="R68">
        <v>1E-3</v>
      </c>
      <c r="S68">
        <v>-1E-3</v>
      </c>
      <c r="T68">
        <v>1.3149999999999999</v>
      </c>
      <c r="U68">
        <v>90.588999999999999</v>
      </c>
      <c r="V68">
        <v>24.823</v>
      </c>
      <c r="W68">
        <v>2.2799999999999998</v>
      </c>
      <c r="X68">
        <v>85.370999999999995</v>
      </c>
      <c r="Y68">
        <v>0.93200000000000005</v>
      </c>
      <c r="Z68">
        <v>0.81799999999999995</v>
      </c>
      <c r="AA68">
        <v>0</v>
      </c>
      <c r="AB68">
        <v>0</v>
      </c>
      <c r="AC68">
        <v>1</v>
      </c>
      <c r="AD68">
        <v>39.438000000000002</v>
      </c>
      <c r="AE68">
        <v>1</v>
      </c>
      <c r="AF68">
        <v>5</v>
      </c>
      <c r="AG68">
        <v>1</v>
      </c>
      <c r="AH68" t="s">
        <v>84</v>
      </c>
      <c r="AI68">
        <v>0</v>
      </c>
    </row>
    <row r="69" spans="1:35" x14ac:dyDescent="0.45">
      <c r="A69">
        <v>68</v>
      </c>
      <c r="B69" t="s">
        <v>201</v>
      </c>
      <c r="C69" t="s">
        <v>209</v>
      </c>
      <c r="D69" t="s">
        <v>88</v>
      </c>
      <c r="E69">
        <v>8</v>
      </c>
      <c r="F69">
        <v>-5.5369999999999999</v>
      </c>
      <c r="G69">
        <v>-29.763999999999999</v>
      </c>
      <c r="H69">
        <v>16247</v>
      </c>
      <c r="I69">
        <v>0</v>
      </c>
      <c r="J69">
        <v>1</v>
      </c>
      <c r="K69" t="s">
        <v>55</v>
      </c>
      <c r="L69" t="s">
        <v>55</v>
      </c>
      <c r="M69" t="s">
        <v>56</v>
      </c>
      <c r="N69">
        <v>1643278913.27</v>
      </c>
      <c r="O69">
        <v>0.20499999999999999</v>
      </c>
      <c r="P69">
        <v>0.376</v>
      </c>
      <c r="Q69">
        <v>55.981999999999999</v>
      </c>
      <c r="R69">
        <v>0</v>
      </c>
      <c r="S69">
        <v>0</v>
      </c>
      <c r="T69">
        <v>1.333</v>
      </c>
      <c r="U69">
        <v>90.08</v>
      </c>
      <c r="V69">
        <v>25.63</v>
      </c>
      <c r="W69">
        <v>2.226</v>
      </c>
      <c r="X69">
        <v>84.628</v>
      </c>
      <c r="Y69">
        <v>0.97299999999999998</v>
      </c>
      <c r="Z69">
        <v>0.91900000000000004</v>
      </c>
      <c r="AA69">
        <v>0</v>
      </c>
      <c r="AB69">
        <v>0</v>
      </c>
      <c r="AC69">
        <v>1</v>
      </c>
      <c r="AD69">
        <v>39.375</v>
      </c>
      <c r="AE69">
        <v>1</v>
      </c>
      <c r="AF69">
        <v>5</v>
      </c>
      <c r="AG69">
        <v>1</v>
      </c>
      <c r="AH69" t="s">
        <v>84</v>
      </c>
      <c r="AI69">
        <v>0</v>
      </c>
    </row>
    <row r="70" spans="1:35" x14ac:dyDescent="0.45">
      <c r="A70">
        <v>69</v>
      </c>
      <c r="B70" t="s">
        <v>201</v>
      </c>
      <c r="C70" t="s">
        <v>210</v>
      </c>
      <c r="D70" t="s">
        <v>88</v>
      </c>
      <c r="E70">
        <v>9</v>
      </c>
      <c r="F70">
        <v>-5.5380000000000003</v>
      </c>
      <c r="G70">
        <v>-29.716000000000001</v>
      </c>
      <c r="H70">
        <v>16264</v>
      </c>
      <c r="I70">
        <v>0</v>
      </c>
      <c r="J70">
        <v>1</v>
      </c>
      <c r="K70" t="s">
        <v>55</v>
      </c>
      <c r="L70" t="s">
        <v>55</v>
      </c>
      <c r="M70" t="s">
        <v>56</v>
      </c>
      <c r="N70">
        <v>1643279451.01</v>
      </c>
      <c r="O70">
        <v>0.191</v>
      </c>
      <c r="P70">
        <v>0.39900000000000002</v>
      </c>
      <c r="Q70">
        <v>55.228000000000002</v>
      </c>
      <c r="R70">
        <v>1E-3</v>
      </c>
      <c r="S70">
        <v>-1E-3</v>
      </c>
      <c r="T70">
        <v>1.3240000000000001</v>
      </c>
      <c r="U70">
        <v>90.331000000000003</v>
      </c>
      <c r="V70">
        <v>25.05</v>
      </c>
      <c r="W70">
        <v>2.2919999999999998</v>
      </c>
      <c r="X70">
        <v>85.82</v>
      </c>
      <c r="Y70">
        <v>0.92900000000000005</v>
      </c>
      <c r="Z70">
        <v>1.0089999999999999</v>
      </c>
      <c r="AA70">
        <v>0</v>
      </c>
      <c r="AB70">
        <v>0</v>
      </c>
      <c r="AC70">
        <v>1</v>
      </c>
      <c r="AD70">
        <v>39.375</v>
      </c>
      <c r="AE70">
        <v>1</v>
      </c>
      <c r="AF70">
        <v>5</v>
      </c>
      <c r="AG70">
        <v>1</v>
      </c>
      <c r="AH70" t="s">
        <v>84</v>
      </c>
      <c r="AI70">
        <v>0</v>
      </c>
    </row>
    <row r="71" spans="1:35" x14ac:dyDescent="0.45">
      <c r="A71">
        <v>70</v>
      </c>
      <c r="B71" t="s">
        <v>201</v>
      </c>
      <c r="C71" t="s">
        <v>211</v>
      </c>
      <c r="D71" t="s">
        <v>88</v>
      </c>
      <c r="E71">
        <v>10</v>
      </c>
      <c r="F71">
        <v>-5.5629999999999997</v>
      </c>
      <c r="G71">
        <v>-29.756</v>
      </c>
      <c r="H71">
        <v>16216</v>
      </c>
      <c r="I71">
        <v>0</v>
      </c>
      <c r="J71">
        <v>1</v>
      </c>
      <c r="K71" t="s">
        <v>55</v>
      </c>
      <c r="L71" t="s">
        <v>55</v>
      </c>
      <c r="M71" t="s">
        <v>56</v>
      </c>
      <c r="N71">
        <v>1643279988.03</v>
      </c>
      <c r="O71">
        <v>0.19700000000000001</v>
      </c>
      <c r="P71">
        <v>0.438</v>
      </c>
      <c r="Q71">
        <v>55.427999999999997</v>
      </c>
      <c r="R71">
        <v>1E-3</v>
      </c>
      <c r="S71">
        <v>1E-3</v>
      </c>
      <c r="T71">
        <v>1.329</v>
      </c>
      <c r="U71">
        <v>89.938000000000002</v>
      </c>
      <c r="V71">
        <v>25.071000000000002</v>
      </c>
      <c r="W71">
        <v>2.2789999999999999</v>
      </c>
      <c r="X71">
        <v>85.918000000000006</v>
      </c>
      <c r="Y71">
        <v>0.94699999999999995</v>
      </c>
      <c r="Z71">
        <v>1.0820000000000001</v>
      </c>
      <c r="AA71">
        <v>0</v>
      </c>
      <c r="AB71">
        <v>0</v>
      </c>
      <c r="AC71">
        <v>1</v>
      </c>
      <c r="AD71">
        <v>39.438000000000002</v>
      </c>
      <c r="AE71">
        <v>1</v>
      </c>
      <c r="AF71">
        <v>5</v>
      </c>
      <c r="AG71">
        <v>1</v>
      </c>
      <c r="AH71" t="s">
        <v>84</v>
      </c>
      <c r="AI71">
        <v>0</v>
      </c>
    </row>
    <row r="72" spans="1:35" x14ac:dyDescent="0.45">
      <c r="A72">
        <v>71</v>
      </c>
      <c r="B72" t="s">
        <v>201</v>
      </c>
      <c r="C72" t="s">
        <v>212</v>
      </c>
      <c r="D72" t="s">
        <v>88</v>
      </c>
      <c r="E72">
        <v>11</v>
      </c>
      <c r="F72">
        <v>-5.5339999999999998</v>
      </c>
      <c r="G72">
        <v>-29.763999999999999</v>
      </c>
      <c r="H72">
        <v>16242</v>
      </c>
      <c r="I72">
        <v>0</v>
      </c>
      <c r="J72">
        <v>1</v>
      </c>
      <c r="K72" t="s">
        <v>55</v>
      </c>
      <c r="L72" t="s">
        <v>55</v>
      </c>
      <c r="M72" t="s">
        <v>56</v>
      </c>
      <c r="N72">
        <v>1643280525.3599999</v>
      </c>
      <c r="O72">
        <v>0.20300000000000001</v>
      </c>
      <c r="P72">
        <v>0.41399999999999998</v>
      </c>
      <c r="Q72">
        <v>54.006999999999998</v>
      </c>
      <c r="R72">
        <v>1E-3</v>
      </c>
      <c r="S72">
        <v>0</v>
      </c>
      <c r="T72">
        <v>1.31</v>
      </c>
      <c r="U72">
        <v>90.239000000000004</v>
      </c>
      <c r="V72">
        <v>24.956</v>
      </c>
      <c r="W72">
        <v>2.2949999999999999</v>
      </c>
      <c r="X72">
        <v>85.703000000000003</v>
      </c>
      <c r="Y72">
        <v>0.93200000000000005</v>
      </c>
      <c r="Z72">
        <v>1.0389999999999999</v>
      </c>
      <c r="AA72">
        <v>0</v>
      </c>
      <c r="AB72">
        <v>0</v>
      </c>
      <c r="AC72">
        <v>1</v>
      </c>
      <c r="AD72">
        <v>39.375</v>
      </c>
      <c r="AE72">
        <v>1</v>
      </c>
      <c r="AF72">
        <v>5</v>
      </c>
      <c r="AG72">
        <v>1</v>
      </c>
      <c r="AH72" t="s">
        <v>84</v>
      </c>
      <c r="AI72">
        <v>0</v>
      </c>
    </row>
    <row r="73" spans="1:35" x14ac:dyDescent="0.45">
      <c r="A73">
        <v>72</v>
      </c>
      <c r="B73" t="s">
        <v>201</v>
      </c>
      <c r="C73" t="s">
        <v>213</v>
      </c>
      <c r="D73" t="s">
        <v>88</v>
      </c>
      <c r="E73">
        <v>12</v>
      </c>
      <c r="F73">
        <v>-5.5250000000000004</v>
      </c>
      <c r="G73">
        <v>-29.783999999999999</v>
      </c>
      <c r="H73">
        <v>16249</v>
      </c>
      <c r="I73">
        <v>0</v>
      </c>
      <c r="J73">
        <v>1</v>
      </c>
      <c r="K73" t="s">
        <v>55</v>
      </c>
      <c r="L73" t="s">
        <v>55</v>
      </c>
      <c r="M73" t="s">
        <v>56</v>
      </c>
      <c r="N73">
        <v>1643281063.46</v>
      </c>
      <c r="O73">
        <v>0.21099999999999999</v>
      </c>
      <c r="P73">
        <v>0.39</v>
      </c>
      <c r="Q73">
        <v>54.503</v>
      </c>
      <c r="R73">
        <v>1E-3</v>
      </c>
      <c r="S73">
        <v>1E-3</v>
      </c>
      <c r="T73">
        <v>1.31</v>
      </c>
      <c r="U73">
        <v>90.195999999999998</v>
      </c>
      <c r="V73">
        <v>25.003</v>
      </c>
      <c r="W73">
        <v>2.2759999999999998</v>
      </c>
      <c r="X73">
        <v>86.210999999999999</v>
      </c>
      <c r="Y73">
        <v>0.95599999999999996</v>
      </c>
      <c r="Z73">
        <v>1.071</v>
      </c>
      <c r="AA73">
        <v>0</v>
      </c>
      <c r="AB73">
        <v>0</v>
      </c>
      <c r="AC73">
        <v>1</v>
      </c>
      <c r="AD73">
        <v>39.375</v>
      </c>
      <c r="AE73">
        <v>1</v>
      </c>
      <c r="AF73">
        <v>5</v>
      </c>
      <c r="AG73">
        <v>1</v>
      </c>
      <c r="AH73" t="s">
        <v>84</v>
      </c>
      <c r="AI73">
        <v>0</v>
      </c>
    </row>
    <row r="74" spans="1:35" x14ac:dyDescent="0.45">
      <c r="A74">
        <v>73</v>
      </c>
      <c r="B74" t="s">
        <v>201</v>
      </c>
      <c r="C74" t="s">
        <v>214</v>
      </c>
      <c r="D74" t="s">
        <v>88</v>
      </c>
      <c r="E74">
        <v>13</v>
      </c>
      <c r="F74">
        <v>-5.5739999999999998</v>
      </c>
      <c r="G74">
        <v>-29.699000000000002</v>
      </c>
      <c r="H74">
        <v>16278</v>
      </c>
      <c r="I74">
        <v>0</v>
      </c>
      <c r="J74">
        <v>1</v>
      </c>
      <c r="K74" t="s">
        <v>55</v>
      </c>
      <c r="L74" t="s">
        <v>55</v>
      </c>
      <c r="M74" t="s">
        <v>56</v>
      </c>
      <c r="N74">
        <v>1643281600.1700001</v>
      </c>
      <c r="O74">
        <v>0.20699999999999999</v>
      </c>
      <c r="P74">
        <v>0.45400000000000001</v>
      </c>
      <c r="Q74">
        <v>53.793999999999997</v>
      </c>
      <c r="R74">
        <v>1E-3</v>
      </c>
      <c r="S74">
        <v>0</v>
      </c>
      <c r="T74">
        <v>1.298</v>
      </c>
      <c r="U74">
        <v>90.33</v>
      </c>
      <c r="V74">
        <v>25.172999999999998</v>
      </c>
      <c r="W74">
        <v>2.2850000000000001</v>
      </c>
      <c r="X74">
        <v>85.977000000000004</v>
      </c>
      <c r="Y74">
        <v>0.94</v>
      </c>
      <c r="Z74">
        <v>1.0429999999999999</v>
      </c>
      <c r="AA74">
        <v>0</v>
      </c>
      <c r="AB74">
        <v>0</v>
      </c>
      <c r="AC74">
        <v>1</v>
      </c>
      <c r="AD74">
        <v>39.375</v>
      </c>
      <c r="AE74">
        <v>1</v>
      </c>
      <c r="AF74">
        <v>5</v>
      </c>
      <c r="AG74">
        <v>1</v>
      </c>
      <c r="AH74" t="s">
        <v>84</v>
      </c>
      <c r="AI74">
        <v>0</v>
      </c>
    </row>
    <row r="75" spans="1:35" x14ac:dyDescent="0.45">
      <c r="A75">
        <v>74</v>
      </c>
      <c r="B75" t="s">
        <v>201</v>
      </c>
      <c r="C75" t="s">
        <v>215</v>
      </c>
      <c r="D75" t="s">
        <v>88</v>
      </c>
      <c r="E75">
        <v>14</v>
      </c>
      <c r="F75">
        <v>-5.5620000000000003</v>
      </c>
      <c r="G75">
        <v>-29.773</v>
      </c>
      <c r="H75">
        <v>16273</v>
      </c>
      <c r="I75">
        <v>0</v>
      </c>
      <c r="J75">
        <v>1</v>
      </c>
      <c r="K75" t="s">
        <v>55</v>
      </c>
      <c r="L75" t="s">
        <v>55</v>
      </c>
      <c r="M75" t="s">
        <v>56</v>
      </c>
      <c r="N75">
        <v>1643282139.49</v>
      </c>
      <c r="O75">
        <v>0.22</v>
      </c>
      <c r="P75">
        <v>0.39700000000000002</v>
      </c>
      <c r="Q75">
        <v>55.429000000000002</v>
      </c>
      <c r="R75">
        <v>1E-3</v>
      </c>
      <c r="S75">
        <v>0</v>
      </c>
      <c r="T75">
        <v>1.331</v>
      </c>
      <c r="U75">
        <v>90.207999999999998</v>
      </c>
      <c r="V75">
        <v>25.297000000000001</v>
      </c>
      <c r="W75">
        <v>2.2869999999999999</v>
      </c>
      <c r="X75">
        <v>86.066999999999993</v>
      </c>
      <c r="Y75">
        <v>0.96599999999999997</v>
      </c>
      <c r="Z75">
        <v>1.131</v>
      </c>
      <c r="AA75">
        <v>0</v>
      </c>
      <c r="AB75">
        <v>0</v>
      </c>
      <c r="AC75">
        <v>1</v>
      </c>
      <c r="AD75">
        <v>39.438000000000002</v>
      </c>
      <c r="AE75">
        <v>1</v>
      </c>
      <c r="AF75">
        <v>5</v>
      </c>
      <c r="AG75">
        <v>1</v>
      </c>
      <c r="AH75" t="s">
        <v>84</v>
      </c>
      <c r="AI75">
        <v>0</v>
      </c>
    </row>
    <row r="76" spans="1:35" x14ac:dyDescent="0.45">
      <c r="A76">
        <v>75</v>
      </c>
      <c r="B76" t="s">
        <v>201</v>
      </c>
      <c r="C76" t="s">
        <v>216</v>
      </c>
      <c r="D76" t="s">
        <v>88</v>
      </c>
      <c r="E76">
        <v>15</v>
      </c>
      <c r="F76">
        <v>-5.5519999999999996</v>
      </c>
      <c r="G76">
        <v>-29.716999999999999</v>
      </c>
      <c r="H76">
        <v>16257</v>
      </c>
      <c r="I76">
        <v>0</v>
      </c>
      <c r="J76">
        <v>1</v>
      </c>
      <c r="K76" t="s">
        <v>55</v>
      </c>
      <c r="L76" t="s">
        <v>55</v>
      </c>
      <c r="M76" t="s">
        <v>56</v>
      </c>
      <c r="N76">
        <v>1643282673.5999999</v>
      </c>
      <c r="O76">
        <v>0.22600000000000001</v>
      </c>
      <c r="P76">
        <v>0.39500000000000002</v>
      </c>
      <c r="Q76">
        <v>53.26</v>
      </c>
      <c r="R76">
        <v>1E-3</v>
      </c>
      <c r="S76">
        <v>-1E-3</v>
      </c>
      <c r="T76">
        <v>1.292</v>
      </c>
      <c r="U76">
        <v>90.367000000000004</v>
      </c>
      <c r="V76">
        <v>25.62</v>
      </c>
      <c r="W76">
        <v>2.198</v>
      </c>
      <c r="X76">
        <v>83.341999999999999</v>
      </c>
      <c r="Y76">
        <v>0.95399999999999996</v>
      </c>
      <c r="Z76">
        <v>0.75600000000000001</v>
      </c>
      <c r="AA76">
        <v>0</v>
      </c>
      <c r="AB76">
        <v>0</v>
      </c>
      <c r="AC76">
        <v>1</v>
      </c>
      <c r="AD76">
        <v>39.375</v>
      </c>
      <c r="AE76">
        <v>1</v>
      </c>
      <c r="AF76">
        <v>5</v>
      </c>
      <c r="AG76">
        <v>1</v>
      </c>
      <c r="AH76" t="s">
        <v>84</v>
      </c>
      <c r="AI76">
        <v>0</v>
      </c>
    </row>
    <row r="77" spans="1:35" x14ac:dyDescent="0.45">
      <c r="A77">
        <v>76</v>
      </c>
      <c r="B77" t="s">
        <v>217</v>
      </c>
      <c r="C77" t="s">
        <v>218</v>
      </c>
      <c r="D77" t="s">
        <v>89</v>
      </c>
      <c r="E77">
        <v>1</v>
      </c>
      <c r="F77">
        <v>-5.9169999999999998</v>
      </c>
      <c r="G77">
        <v>-36.238999999999997</v>
      </c>
      <c r="H77">
        <v>16239</v>
      </c>
      <c r="I77">
        <v>-1</v>
      </c>
      <c r="J77">
        <v>1</v>
      </c>
      <c r="K77" t="s">
        <v>55</v>
      </c>
      <c r="L77" t="s">
        <v>55</v>
      </c>
      <c r="M77" t="s">
        <v>56</v>
      </c>
      <c r="N77">
        <v>1643283213.3699999</v>
      </c>
      <c r="O77">
        <v>0.17899999999999999</v>
      </c>
      <c r="P77">
        <v>0.38400000000000001</v>
      </c>
      <c r="Q77">
        <v>54.668999999999997</v>
      </c>
      <c r="R77">
        <v>1E-3</v>
      </c>
      <c r="S77">
        <v>2E-3</v>
      </c>
      <c r="T77">
        <v>1.3140000000000001</v>
      </c>
      <c r="U77">
        <v>90.236000000000004</v>
      </c>
      <c r="V77">
        <v>25.555</v>
      </c>
      <c r="W77">
        <v>2.2010000000000001</v>
      </c>
      <c r="X77">
        <v>83.605999999999995</v>
      </c>
      <c r="Y77">
        <v>0.95399999999999996</v>
      </c>
      <c r="Z77">
        <v>0.80500000000000005</v>
      </c>
      <c r="AA77">
        <v>0</v>
      </c>
      <c r="AB77">
        <v>0</v>
      </c>
      <c r="AC77">
        <v>1</v>
      </c>
      <c r="AD77">
        <v>39.438000000000002</v>
      </c>
      <c r="AE77">
        <v>1</v>
      </c>
      <c r="AF77">
        <v>6</v>
      </c>
      <c r="AG77">
        <v>2</v>
      </c>
      <c r="AH77" t="s">
        <v>84</v>
      </c>
      <c r="AI77">
        <v>0</v>
      </c>
    </row>
    <row r="78" spans="1:35" x14ac:dyDescent="0.45">
      <c r="A78">
        <v>77</v>
      </c>
      <c r="B78" t="s">
        <v>217</v>
      </c>
      <c r="C78" t="s">
        <v>219</v>
      </c>
      <c r="D78" t="s">
        <v>89</v>
      </c>
      <c r="E78">
        <v>2</v>
      </c>
      <c r="F78">
        <v>-5.9429999999999996</v>
      </c>
      <c r="G78">
        <v>-36.851999999999997</v>
      </c>
      <c r="H78">
        <v>16303</v>
      </c>
      <c r="I78">
        <v>-1</v>
      </c>
      <c r="J78">
        <v>1</v>
      </c>
      <c r="K78" t="s">
        <v>55</v>
      </c>
      <c r="L78" t="s">
        <v>55</v>
      </c>
      <c r="M78" t="s">
        <v>56</v>
      </c>
      <c r="N78">
        <v>1643283750.6099999</v>
      </c>
      <c r="O78">
        <v>0.20499999999999999</v>
      </c>
      <c r="P78">
        <v>0.373</v>
      </c>
      <c r="Q78">
        <v>55.517000000000003</v>
      </c>
      <c r="R78">
        <v>0</v>
      </c>
      <c r="S78">
        <v>0</v>
      </c>
      <c r="T78">
        <v>1.331</v>
      </c>
      <c r="U78">
        <v>90.555000000000007</v>
      </c>
      <c r="V78">
        <v>25.251000000000001</v>
      </c>
      <c r="W78">
        <v>2.2749999999999999</v>
      </c>
      <c r="X78">
        <v>85.688000000000002</v>
      </c>
      <c r="Y78">
        <v>0.94</v>
      </c>
      <c r="Z78">
        <v>1.0149999999999999</v>
      </c>
      <c r="AA78">
        <v>0</v>
      </c>
      <c r="AB78">
        <v>0</v>
      </c>
      <c r="AC78">
        <v>1</v>
      </c>
      <c r="AD78">
        <v>39.311999999999998</v>
      </c>
      <c r="AE78">
        <v>1</v>
      </c>
      <c r="AF78">
        <v>6</v>
      </c>
      <c r="AG78">
        <v>2</v>
      </c>
      <c r="AH78" t="s">
        <v>84</v>
      </c>
      <c r="AI78">
        <v>0</v>
      </c>
    </row>
    <row r="79" spans="1:35" x14ac:dyDescent="0.45">
      <c r="A79">
        <v>78</v>
      </c>
      <c r="B79" t="s">
        <v>217</v>
      </c>
      <c r="C79" t="s">
        <v>220</v>
      </c>
      <c r="D79" t="s">
        <v>89</v>
      </c>
      <c r="E79">
        <v>3</v>
      </c>
      <c r="F79">
        <v>-5.931</v>
      </c>
      <c r="G79">
        <v>-36.869999999999997</v>
      </c>
      <c r="H79">
        <v>16223</v>
      </c>
      <c r="I79">
        <v>-1</v>
      </c>
      <c r="J79">
        <v>1</v>
      </c>
      <c r="K79" t="s">
        <v>55</v>
      </c>
      <c r="L79" t="s">
        <v>55</v>
      </c>
      <c r="M79" t="s">
        <v>56</v>
      </c>
      <c r="N79">
        <v>1643284287.71</v>
      </c>
      <c r="O79">
        <v>0.20100000000000001</v>
      </c>
      <c r="P79">
        <v>0.41899999999999998</v>
      </c>
      <c r="Q79">
        <v>55.176000000000002</v>
      </c>
      <c r="R79">
        <v>0</v>
      </c>
      <c r="S79">
        <v>2E-3</v>
      </c>
      <c r="T79">
        <v>1.3240000000000001</v>
      </c>
      <c r="U79">
        <v>90.085999999999999</v>
      </c>
      <c r="V79">
        <v>25.029</v>
      </c>
      <c r="W79">
        <v>2.2730000000000001</v>
      </c>
      <c r="X79">
        <v>85.429000000000002</v>
      </c>
      <c r="Y79">
        <v>0.93400000000000005</v>
      </c>
      <c r="Z79">
        <v>1.0569999999999999</v>
      </c>
      <c r="AA79">
        <v>0</v>
      </c>
      <c r="AB79">
        <v>0</v>
      </c>
      <c r="AC79">
        <v>1</v>
      </c>
      <c r="AD79">
        <v>39.438000000000002</v>
      </c>
      <c r="AE79">
        <v>1</v>
      </c>
      <c r="AF79">
        <v>6</v>
      </c>
      <c r="AG79">
        <v>2</v>
      </c>
      <c r="AH79" t="s">
        <v>84</v>
      </c>
      <c r="AI79">
        <v>0</v>
      </c>
    </row>
    <row r="80" spans="1:35" x14ac:dyDescent="0.45">
      <c r="A80">
        <v>79</v>
      </c>
      <c r="B80" t="s">
        <v>217</v>
      </c>
      <c r="C80" t="s">
        <v>221</v>
      </c>
      <c r="D80" t="s">
        <v>89</v>
      </c>
      <c r="E80">
        <v>4</v>
      </c>
      <c r="F80">
        <v>-5.9379999999999997</v>
      </c>
      <c r="G80">
        <v>-36.866999999999997</v>
      </c>
      <c r="H80">
        <v>16244</v>
      </c>
      <c r="I80">
        <v>0</v>
      </c>
      <c r="J80">
        <v>1</v>
      </c>
      <c r="K80" t="s">
        <v>55</v>
      </c>
      <c r="L80" t="s">
        <v>55</v>
      </c>
      <c r="M80" t="s">
        <v>56</v>
      </c>
      <c r="N80">
        <v>1643284824.9200001</v>
      </c>
      <c r="O80">
        <v>0.20300000000000001</v>
      </c>
      <c r="P80">
        <v>0.40300000000000002</v>
      </c>
      <c r="Q80">
        <v>54.198</v>
      </c>
      <c r="R80">
        <v>1E-3</v>
      </c>
      <c r="S80">
        <v>0</v>
      </c>
      <c r="T80">
        <v>1.3089999999999999</v>
      </c>
      <c r="U80">
        <v>90.298000000000002</v>
      </c>
      <c r="V80">
        <v>24.757999999999999</v>
      </c>
      <c r="W80">
        <v>2.2589999999999999</v>
      </c>
      <c r="X80">
        <v>86.138000000000005</v>
      </c>
      <c r="Y80">
        <v>0.94099999999999995</v>
      </c>
      <c r="Z80">
        <v>1.0660000000000001</v>
      </c>
      <c r="AA80">
        <v>0</v>
      </c>
      <c r="AB80">
        <v>0</v>
      </c>
      <c r="AC80">
        <v>1</v>
      </c>
      <c r="AD80">
        <v>39.375</v>
      </c>
      <c r="AE80">
        <v>1</v>
      </c>
      <c r="AF80">
        <v>6</v>
      </c>
      <c r="AG80">
        <v>2</v>
      </c>
      <c r="AH80" t="s">
        <v>84</v>
      </c>
      <c r="AI80">
        <v>0</v>
      </c>
    </row>
    <row r="81" spans="1:35" x14ac:dyDescent="0.45">
      <c r="A81">
        <v>80</v>
      </c>
      <c r="B81" t="s">
        <v>217</v>
      </c>
      <c r="C81" t="s">
        <v>222</v>
      </c>
      <c r="D81" t="s">
        <v>89</v>
      </c>
      <c r="E81">
        <v>5</v>
      </c>
      <c r="F81">
        <v>-5.952</v>
      </c>
      <c r="G81">
        <v>-36.927999999999997</v>
      </c>
      <c r="H81">
        <v>16274</v>
      </c>
      <c r="I81">
        <v>0</v>
      </c>
      <c r="J81">
        <v>1</v>
      </c>
      <c r="K81" t="s">
        <v>55</v>
      </c>
      <c r="L81" t="s">
        <v>55</v>
      </c>
      <c r="M81" t="s">
        <v>56</v>
      </c>
      <c r="N81">
        <v>1643285363.5599999</v>
      </c>
      <c r="O81">
        <v>0.219</v>
      </c>
      <c r="P81">
        <v>0.39600000000000002</v>
      </c>
      <c r="Q81">
        <v>55.161999999999999</v>
      </c>
      <c r="R81">
        <v>1E-3</v>
      </c>
      <c r="S81">
        <v>1E-3</v>
      </c>
      <c r="T81">
        <v>1.335</v>
      </c>
      <c r="U81">
        <v>90.177999999999997</v>
      </c>
      <c r="V81">
        <v>25.318000000000001</v>
      </c>
      <c r="W81">
        <v>2.29</v>
      </c>
      <c r="X81">
        <v>86.215000000000003</v>
      </c>
      <c r="Y81">
        <v>0.96499999999999997</v>
      </c>
      <c r="Z81">
        <v>1.1850000000000001</v>
      </c>
      <c r="AA81">
        <v>0</v>
      </c>
      <c r="AB81">
        <v>0</v>
      </c>
      <c r="AC81">
        <v>1</v>
      </c>
      <c r="AD81">
        <v>39.438000000000002</v>
      </c>
      <c r="AE81">
        <v>1</v>
      </c>
      <c r="AF81">
        <v>6</v>
      </c>
      <c r="AG81">
        <v>2</v>
      </c>
      <c r="AH81" t="s">
        <v>84</v>
      </c>
      <c r="AI81">
        <v>0</v>
      </c>
    </row>
    <row r="82" spans="1:35" x14ac:dyDescent="0.45">
      <c r="A82">
        <v>81</v>
      </c>
      <c r="B82" t="s">
        <v>217</v>
      </c>
      <c r="C82" t="s">
        <v>223</v>
      </c>
      <c r="D82" t="s">
        <v>89</v>
      </c>
      <c r="E82">
        <v>6</v>
      </c>
      <c r="F82">
        <v>-5.9240000000000004</v>
      </c>
      <c r="G82">
        <v>-36.991</v>
      </c>
      <c r="H82">
        <v>16251</v>
      </c>
      <c r="I82">
        <v>0</v>
      </c>
      <c r="J82">
        <v>1</v>
      </c>
      <c r="K82" t="s">
        <v>55</v>
      </c>
      <c r="L82" t="s">
        <v>55</v>
      </c>
      <c r="M82" t="s">
        <v>56</v>
      </c>
      <c r="N82">
        <v>1643285898.54</v>
      </c>
      <c r="O82">
        <v>0.19400000000000001</v>
      </c>
      <c r="P82">
        <v>0.42099999999999999</v>
      </c>
      <c r="Q82">
        <v>54.670999999999999</v>
      </c>
      <c r="R82">
        <v>0</v>
      </c>
      <c r="S82">
        <v>-2E-3</v>
      </c>
      <c r="T82">
        <v>1.3160000000000001</v>
      </c>
      <c r="U82">
        <v>90.305999999999997</v>
      </c>
      <c r="V82">
        <v>24.978000000000002</v>
      </c>
      <c r="W82">
        <v>2.2599999999999998</v>
      </c>
      <c r="X82">
        <v>85.578000000000003</v>
      </c>
      <c r="Y82">
        <v>0.95799999999999996</v>
      </c>
      <c r="Z82">
        <v>1.034</v>
      </c>
      <c r="AA82">
        <v>0</v>
      </c>
      <c r="AB82">
        <v>0</v>
      </c>
      <c r="AC82">
        <v>1</v>
      </c>
      <c r="AD82">
        <v>39.375</v>
      </c>
      <c r="AE82">
        <v>1</v>
      </c>
      <c r="AF82">
        <v>6</v>
      </c>
      <c r="AG82">
        <v>2</v>
      </c>
      <c r="AH82" t="s">
        <v>84</v>
      </c>
      <c r="AI82">
        <v>0</v>
      </c>
    </row>
    <row r="83" spans="1:35" x14ac:dyDescent="0.45">
      <c r="A83">
        <v>82</v>
      </c>
      <c r="B83" t="s">
        <v>224</v>
      </c>
      <c r="C83" t="s">
        <v>225</v>
      </c>
      <c r="D83" t="s">
        <v>90</v>
      </c>
      <c r="E83">
        <v>1</v>
      </c>
      <c r="F83">
        <v>-5.9489999999999998</v>
      </c>
      <c r="G83">
        <v>-37.005000000000003</v>
      </c>
      <c r="H83">
        <v>16237</v>
      </c>
      <c r="I83">
        <v>-1</v>
      </c>
      <c r="J83">
        <v>1</v>
      </c>
      <c r="K83" t="s">
        <v>55</v>
      </c>
      <c r="L83" t="s">
        <v>55</v>
      </c>
      <c r="M83" t="s">
        <v>56</v>
      </c>
      <c r="N83">
        <v>1643286437.8699999</v>
      </c>
      <c r="O83">
        <v>0.218</v>
      </c>
      <c r="P83">
        <v>0.42799999999999999</v>
      </c>
      <c r="Q83">
        <v>54.728000000000002</v>
      </c>
      <c r="R83">
        <v>2E-3</v>
      </c>
      <c r="S83">
        <v>2E-3</v>
      </c>
      <c r="T83">
        <v>1.3169999999999999</v>
      </c>
      <c r="U83">
        <v>90.22</v>
      </c>
      <c r="V83">
        <v>24.905999999999999</v>
      </c>
      <c r="W83">
        <v>2.282</v>
      </c>
      <c r="X83">
        <v>85.82</v>
      </c>
      <c r="Y83">
        <v>0.94199999999999995</v>
      </c>
      <c r="Z83">
        <v>0.99099999999999999</v>
      </c>
      <c r="AA83">
        <v>0</v>
      </c>
      <c r="AB83">
        <v>0</v>
      </c>
      <c r="AC83">
        <v>1</v>
      </c>
      <c r="AD83">
        <v>39.375</v>
      </c>
      <c r="AE83">
        <v>1</v>
      </c>
      <c r="AF83">
        <v>7</v>
      </c>
      <c r="AG83">
        <v>2</v>
      </c>
      <c r="AH83" t="s">
        <v>84</v>
      </c>
      <c r="AI83">
        <v>0</v>
      </c>
    </row>
    <row r="84" spans="1:35" x14ac:dyDescent="0.45">
      <c r="A84">
        <v>83</v>
      </c>
      <c r="B84" t="s">
        <v>224</v>
      </c>
      <c r="C84" t="s">
        <v>226</v>
      </c>
      <c r="D84" t="s">
        <v>90</v>
      </c>
      <c r="E84">
        <v>2</v>
      </c>
      <c r="F84">
        <v>-5.9480000000000004</v>
      </c>
      <c r="G84">
        <v>-37.081000000000003</v>
      </c>
      <c r="H84">
        <v>16218</v>
      </c>
      <c r="I84">
        <v>-1</v>
      </c>
      <c r="J84">
        <v>1</v>
      </c>
      <c r="K84" t="s">
        <v>55</v>
      </c>
      <c r="L84" t="s">
        <v>55</v>
      </c>
      <c r="M84" t="s">
        <v>56</v>
      </c>
      <c r="N84">
        <v>1643286974.22</v>
      </c>
      <c r="O84">
        <v>0.183</v>
      </c>
      <c r="P84">
        <v>0.38900000000000001</v>
      </c>
      <c r="Q84">
        <v>54.158000000000001</v>
      </c>
      <c r="R84">
        <v>1E-3</v>
      </c>
      <c r="S84">
        <v>0</v>
      </c>
      <c r="T84">
        <v>1.2969999999999999</v>
      </c>
      <c r="U84">
        <v>90.173000000000002</v>
      </c>
      <c r="V84">
        <v>24.722999999999999</v>
      </c>
      <c r="W84">
        <v>2.2469999999999999</v>
      </c>
      <c r="X84">
        <v>86.091999999999999</v>
      </c>
      <c r="Y84">
        <v>0.94699999999999995</v>
      </c>
      <c r="Z84">
        <v>1.002</v>
      </c>
      <c r="AA84">
        <v>0</v>
      </c>
      <c r="AB84">
        <v>0</v>
      </c>
      <c r="AC84">
        <v>1</v>
      </c>
      <c r="AD84">
        <v>39.375</v>
      </c>
      <c r="AE84">
        <v>1</v>
      </c>
      <c r="AF84">
        <v>7</v>
      </c>
      <c r="AG84">
        <v>2</v>
      </c>
      <c r="AH84" t="s">
        <v>84</v>
      </c>
      <c r="AI84">
        <v>0</v>
      </c>
    </row>
    <row r="85" spans="1:35" x14ac:dyDescent="0.45">
      <c r="A85">
        <v>84</v>
      </c>
      <c r="B85" t="s">
        <v>224</v>
      </c>
      <c r="C85" t="s">
        <v>227</v>
      </c>
      <c r="D85" t="s">
        <v>90</v>
      </c>
      <c r="E85">
        <v>3</v>
      </c>
      <c r="F85">
        <v>-5.9370000000000003</v>
      </c>
      <c r="G85">
        <v>-37.1</v>
      </c>
      <c r="H85">
        <v>16287</v>
      </c>
      <c r="I85">
        <v>-1</v>
      </c>
      <c r="J85">
        <v>1</v>
      </c>
      <c r="K85" t="s">
        <v>55</v>
      </c>
      <c r="L85" t="s">
        <v>55</v>
      </c>
      <c r="M85" t="s">
        <v>56</v>
      </c>
      <c r="N85">
        <v>1643287511.8900001</v>
      </c>
      <c r="O85">
        <v>0.20300000000000001</v>
      </c>
      <c r="P85">
        <v>0.376</v>
      </c>
      <c r="Q85">
        <v>54.670999999999999</v>
      </c>
      <c r="R85">
        <v>1E-3</v>
      </c>
      <c r="S85">
        <v>0</v>
      </c>
      <c r="T85">
        <v>1.321</v>
      </c>
      <c r="U85">
        <v>90.412999999999997</v>
      </c>
      <c r="V85">
        <v>25.154</v>
      </c>
      <c r="W85">
        <v>2.29</v>
      </c>
      <c r="X85">
        <v>86.24</v>
      </c>
      <c r="Y85">
        <v>0.93500000000000005</v>
      </c>
      <c r="Z85">
        <v>1.0149999999999999</v>
      </c>
      <c r="AA85">
        <v>0</v>
      </c>
      <c r="AB85">
        <v>0</v>
      </c>
      <c r="AC85">
        <v>1</v>
      </c>
      <c r="AD85">
        <v>39.311999999999998</v>
      </c>
      <c r="AE85">
        <v>1</v>
      </c>
      <c r="AF85">
        <v>7</v>
      </c>
      <c r="AG85">
        <v>2</v>
      </c>
      <c r="AH85" t="s">
        <v>84</v>
      </c>
      <c r="AI85">
        <v>0</v>
      </c>
    </row>
    <row r="86" spans="1:35" x14ac:dyDescent="0.45">
      <c r="A86">
        <v>85</v>
      </c>
      <c r="B86" t="s">
        <v>224</v>
      </c>
      <c r="C86" t="s">
        <v>228</v>
      </c>
      <c r="D86" t="s">
        <v>90</v>
      </c>
      <c r="E86">
        <v>4</v>
      </c>
      <c r="F86">
        <v>-5.9539999999999997</v>
      </c>
      <c r="G86">
        <v>-37.064</v>
      </c>
      <c r="H86">
        <v>16222</v>
      </c>
      <c r="I86">
        <v>0</v>
      </c>
      <c r="J86">
        <v>1</v>
      </c>
      <c r="K86" t="s">
        <v>55</v>
      </c>
      <c r="L86" t="s">
        <v>55</v>
      </c>
      <c r="M86" t="s">
        <v>56</v>
      </c>
      <c r="N86">
        <v>1643288048.8900001</v>
      </c>
      <c r="O86">
        <v>0.216</v>
      </c>
      <c r="P86">
        <v>0.40500000000000003</v>
      </c>
      <c r="Q86">
        <v>54.67</v>
      </c>
      <c r="R86">
        <v>1E-3</v>
      </c>
      <c r="S86">
        <v>1E-3</v>
      </c>
      <c r="T86">
        <v>1.3120000000000001</v>
      </c>
      <c r="U86">
        <v>90.055000000000007</v>
      </c>
      <c r="V86">
        <v>25.096</v>
      </c>
      <c r="W86">
        <v>2.3010000000000002</v>
      </c>
      <c r="X86">
        <v>85.393000000000001</v>
      </c>
      <c r="Y86">
        <v>0.96899999999999997</v>
      </c>
      <c r="Z86">
        <v>1.022</v>
      </c>
      <c r="AA86">
        <v>0</v>
      </c>
      <c r="AB86">
        <v>0</v>
      </c>
      <c r="AC86">
        <v>1</v>
      </c>
      <c r="AD86">
        <v>39.438000000000002</v>
      </c>
      <c r="AE86">
        <v>1</v>
      </c>
      <c r="AF86">
        <v>7</v>
      </c>
      <c r="AG86">
        <v>2</v>
      </c>
      <c r="AH86" t="s">
        <v>84</v>
      </c>
      <c r="AI86">
        <v>0</v>
      </c>
    </row>
    <row r="87" spans="1:35" x14ac:dyDescent="0.45">
      <c r="A87">
        <v>86</v>
      </c>
      <c r="B87" t="s">
        <v>224</v>
      </c>
      <c r="C87" t="s">
        <v>229</v>
      </c>
      <c r="D87" t="s">
        <v>90</v>
      </c>
      <c r="E87">
        <v>5</v>
      </c>
      <c r="F87">
        <v>-5.968</v>
      </c>
      <c r="G87">
        <v>-37.061</v>
      </c>
      <c r="H87">
        <v>16309</v>
      </c>
      <c r="I87">
        <v>0</v>
      </c>
      <c r="J87">
        <v>1</v>
      </c>
      <c r="K87" t="s">
        <v>55</v>
      </c>
      <c r="L87" t="s">
        <v>55</v>
      </c>
      <c r="M87" t="s">
        <v>56</v>
      </c>
      <c r="N87">
        <v>1643288585.6199999</v>
      </c>
      <c r="O87">
        <v>0.20399999999999999</v>
      </c>
      <c r="P87">
        <v>0.32200000000000001</v>
      </c>
      <c r="Q87">
        <v>54.341000000000001</v>
      </c>
      <c r="R87">
        <v>1E-3</v>
      </c>
      <c r="S87">
        <v>0</v>
      </c>
      <c r="T87">
        <v>1.319</v>
      </c>
      <c r="U87">
        <v>90.570999999999998</v>
      </c>
      <c r="V87">
        <v>25.143000000000001</v>
      </c>
      <c r="W87">
        <v>2.2999999999999998</v>
      </c>
      <c r="X87">
        <v>86.298000000000002</v>
      </c>
      <c r="Y87">
        <v>0.93200000000000005</v>
      </c>
      <c r="Z87">
        <v>0.98899999999999999</v>
      </c>
      <c r="AA87">
        <v>0</v>
      </c>
      <c r="AB87">
        <v>0</v>
      </c>
      <c r="AC87">
        <v>1</v>
      </c>
      <c r="AD87">
        <v>39.375</v>
      </c>
      <c r="AE87">
        <v>1</v>
      </c>
      <c r="AF87">
        <v>7</v>
      </c>
      <c r="AG87">
        <v>2</v>
      </c>
      <c r="AH87" t="s">
        <v>84</v>
      </c>
      <c r="AI87">
        <v>0</v>
      </c>
    </row>
    <row r="88" spans="1:35" x14ac:dyDescent="0.45">
      <c r="A88">
        <v>87</v>
      </c>
      <c r="B88" t="s">
        <v>224</v>
      </c>
      <c r="C88" t="s">
        <v>230</v>
      </c>
      <c r="D88" t="s">
        <v>90</v>
      </c>
      <c r="E88">
        <v>6</v>
      </c>
      <c r="F88">
        <v>-5.9550000000000001</v>
      </c>
      <c r="G88">
        <v>-37.112000000000002</v>
      </c>
      <c r="H88">
        <v>16259</v>
      </c>
      <c r="I88">
        <v>0</v>
      </c>
      <c r="J88">
        <v>1</v>
      </c>
      <c r="K88" t="s">
        <v>55</v>
      </c>
      <c r="L88" t="s">
        <v>55</v>
      </c>
      <c r="M88" t="s">
        <v>56</v>
      </c>
      <c r="N88">
        <v>1643289123.8</v>
      </c>
      <c r="O88">
        <v>0.221</v>
      </c>
      <c r="P88">
        <v>0.36599999999999999</v>
      </c>
      <c r="Q88">
        <v>54.890999999999998</v>
      </c>
      <c r="R88">
        <v>1E-3</v>
      </c>
      <c r="S88">
        <v>0</v>
      </c>
      <c r="T88">
        <v>1.323</v>
      </c>
      <c r="U88">
        <v>90.180999999999997</v>
      </c>
      <c r="V88">
        <v>24.94</v>
      </c>
      <c r="W88">
        <v>2.3029999999999999</v>
      </c>
      <c r="X88">
        <v>86.870999999999995</v>
      </c>
      <c r="Y88">
        <v>0.95799999999999996</v>
      </c>
      <c r="Z88">
        <v>1.181</v>
      </c>
      <c r="AA88">
        <v>0</v>
      </c>
      <c r="AB88">
        <v>0</v>
      </c>
      <c r="AC88">
        <v>1</v>
      </c>
      <c r="AD88">
        <v>39.375</v>
      </c>
      <c r="AE88">
        <v>1</v>
      </c>
      <c r="AF88">
        <v>7</v>
      </c>
      <c r="AG88">
        <v>2</v>
      </c>
      <c r="AH88" t="s">
        <v>84</v>
      </c>
      <c r="AI88">
        <v>0</v>
      </c>
    </row>
    <row r="89" spans="1:35" x14ac:dyDescent="0.45">
      <c r="A89">
        <v>88</v>
      </c>
      <c r="B89" t="s">
        <v>231</v>
      </c>
      <c r="C89" t="s">
        <v>232</v>
      </c>
      <c r="D89" t="s">
        <v>91</v>
      </c>
      <c r="E89">
        <v>1</v>
      </c>
      <c r="F89">
        <v>-5.9180000000000001</v>
      </c>
      <c r="G89">
        <v>-36.973999999999997</v>
      </c>
      <c r="H89">
        <v>16232</v>
      </c>
      <c r="I89">
        <v>-1</v>
      </c>
      <c r="J89">
        <v>1</v>
      </c>
      <c r="K89" t="s">
        <v>55</v>
      </c>
      <c r="L89" t="s">
        <v>55</v>
      </c>
      <c r="M89" t="s">
        <v>56</v>
      </c>
      <c r="N89">
        <v>1643289660.02</v>
      </c>
      <c r="O89">
        <v>0.20200000000000001</v>
      </c>
      <c r="P89">
        <v>0.35699999999999998</v>
      </c>
      <c r="Q89">
        <v>54.868000000000002</v>
      </c>
      <c r="R89">
        <v>1E-3</v>
      </c>
      <c r="S89">
        <v>1E-3</v>
      </c>
      <c r="T89">
        <v>1.3220000000000001</v>
      </c>
      <c r="U89">
        <v>90.063000000000002</v>
      </c>
      <c r="V89">
        <v>24.856999999999999</v>
      </c>
      <c r="W89">
        <v>2.335</v>
      </c>
      <c r="X89">
        <v>86.522999999999996</v>
      </c>
      <c r="Y89">
        <v>0.94399999999999995</v>
      </c>
      <c r="Z89">
        <v>1.1579999999999999</v>
      </c>
      <c r="AA89">
        <v>0</v>
      </c>
      <c r="AB89">
        <v>0</v>
      </c>
      <c r="AC89">
        <v>1</v>
      </c>
      <c r="AD89">
        <v>39.311999999999998</v>
      </c>
      <c r="AE89">
        <v>1</v>
      </c>
      <c r="AF89">
        <v>8</v>
      </c>
      <c r="AG89">
        <v>2</v>
      </c>
      <c r="AH89" t="s">
        <v>84</v>
      </c>
      <c r="AI89">
        <v>0</v>
      </c>
    </row>
    <row r="90" spans="1:35" x14ac:dyDescent="0.45">
      <c r="A90">
        <v>89</v>
      </c>
      <c r="B90" t="s">
        <v>231</v>
      </c>
      <c r="C90" t="s">
        <v>233</v>
      </c>
      <c r="D90" t="s">
        <v>91</v>
      </c>
      <c r="E90">
        <v>2</v>
      </c>
      <c r="F90">
        <v>-5.907</v>
      </c>
      <c r="G90">
        <v>-36.96</v>
      </c>
      <c r="H90">
        <v>16233</v>
      </c>
      <c r="I90">
        <v>-1</v>
      </c>
      <c r="J90">
        <v>1</v>
      </c>
      <c r="K90" t="s">
        <v>55</v>
      </c>
      <c r="L90" t="s">
        <v>55</v>
      </c>
      <c r="M90" t="s">
        <v>56</v>
      </c>
      <c r="N90">
        <v>1643290197.3800001</v>
      </c>
      <c r="O90">
        <v>0.20100000000000001</v>
      </c>
      <c r="P90">
        <v>0.40300000000000002</v>
      </c>
      <c r="Q90">
        <v>55.183</v>
      </c>
      <c r="R90">
        <v>1E-3</v>
      </c>
      <c r="S90">
        <v>1E-3</v>
      </c>
      <c r="T90">
        <v>1.3220000000000001</v>
      </c>
      <c r="U90">
        <v>90.262</v>
      </c>
      <c r="V90">
        <v>25.143000000000001</v>
      </c>
      <c r="W90">
        <v>2.2530000000000001</v>
      </c>
      <c r="X90">
        <v>84.694000000000003</v>
      </c>
      <c r="Y90">
        <v>0.94399999999999995</v>
      </c>
      <c r="Z90">
        <v>0.84299999999999997</v>
      </c>
      <c r="AA90">
        <v>0</v>
      </c>
      <c r="AB90">
        <v>0</v>
      </c>
      <c r="AC90">
        <v>1</v>
      </c>
      <c r="AD90">
        <v>39.375</v>
      </c>
      <c r="AE90">
        <v>1</v>
      </c>
      <c r="AF90">
        <v>8</v>
      </c>
      <c r="AG90">
        <v>2</v>
      </c>
      <c r="AH90" t="s">
        <v>84</v>
      </c>
      <c r="AI90">
        <v>0</v>
      </c>
    </row>
    <row r="91" spans="1:35" x14ac:dyDescent="0.45">
      <c r="A91">
        <v>90</v>
      </c>
      <c r="B91" t="s">
        <v>231</v>
      </c>
      <c r="C91" t="s">
        <v>234</v>
      </c>
      <c r="D91" t="s">
        <v>91</v>
      </c>
      <c r="E91">
        <v>3</v>
      </c>
      <c r="F91">
        <v>-5.9029999999999996</v>
      </c>
      <c r="G91">
        <v>-36.911999999999999</v>
      </c>
      <c r="H91">
        <v>16242</v>
      </c>
      <c r="I91">
        <v>-1</v>
      </c>
      <c r="J91">
        <v>1</v>
      </c>
      <c r="K91" t="s">
        <v>55</v>
      </c>
      <c r="L91" t="s">
        <v>55</v>
      </c>
      <c r="M91" t="s">
        <v>56</v>
      </c>
      <c r="N91">
        <v>1643290734.25</v>
      </c>
      <c r="O91">
        <v>0.221</v>
      </c>
      <c r="P91">
        <v>0.433</v>
      </c>
      <c r="Q91">
        <v>55.741</v>
      </c>
      <c r="R91">
        <v>0</v>
      </c>
      <c r="S91">
        <v>-1E-3</v>
      </c>
      <c r="T91">
        <v>1.335</v>
      </c>
      <c r="U91">
        <v>90.027000000000001</v>
      </c>
      <c r="V91">
        <v>25.114000000000001</v>
      </c>
      <c r="W91">
        <v>2.3359999999999999</v>
      </c>
      <c r="X91">
        <v>86.350999999999999</v>
      </c>
      <c r="Y91">
        <v>0.95199999999999996</v>
      </c>
      <c r="Z91">
        <v>1.1439999999999999</v>
      </c>
      <c r="AA91">
        <v>0</v>
      </c>
      <c r="AB91">
        <v>0</v>
      </c>
      <c r="AC91">
        <v>1</v>
      </c>
      <c r="AD91">
        <v>39.311999999999998</v>
      </c>
      <c r="AE91">
        <v>1</v>
      </c>
      <c r="AF91">
        <v>8</v>
      </c>
      <c r="AG91">
        <v>2</v>
      </c>
      <c r="AH91" t="s">
        <v>84</v>
      </c>
      <c r="AI91">
        <v>0</v>
      </c>
    </row>
    <row r="92" spans="1:35" x14ac:dyDescent="0.45">
      <c r="A92">
        <v>91</v>
      </c>
      <c r="B92" t="s">
        <v>231</v>
      </c>
      <c r="C92" t="s">
        <v>235</v>
      </c>
      <c r="D92" t="s">
        <v>91</v>
      </c>
      <c r="E92">
        <v>4</v>
      </c>
      <c r="F92">
        <v>-5.9450000000000003</v>
      </c>
      <c r="G92">
        <v>-36.957999999999998</v>
      </c>
      <c r="H92">
        <v>16191</v>
      </c>
      <c r="I92">
        <v>0</v>
      </c>
      <c r="J92">
        <v>1</v>
      </c>
      <c r="K92" t="s">
        <v>55</v>
      </c>
      <c r="L92" t="s">
        <v>55</v>
      </c>
      <c r="M92" t="s">
        <v>56</v>
      </c>
      <c r="N92">
        <v>1643291270.25</v>
      </c>
      <c r="O92">
        <v>0.218</v>
      </c>
      <c r="P92">
        <v>0.39500000000000002</v>
      </c>
      <c r="Q92">
        <v>53.558</v>
      </c>
      <c r="R92">
        <v>1E-3</v>
      </c>
      <c r="S92">
        <v>1E-3</v>
      </c>
      <c r="T92">
        <v>1.292</v>
      </c>
      <c r="U92">
        <v>89.766000000000005</v>
      </c>
      <c r="V92">
        <v>25.151</v>
      </c>
      <c r="W92">
        <v>2.3109999999999999</v>
      </c>
      <c r="X92">
        <v>85.477000000000004</v>
      </c>
      <c r="Y92">
        <v>0.95699999999999996</v>
      </c>
      <c r="Z92">
        <v>1.0389999999999999</v>
      </c>
      <c r="AA92">
        <v>0</v>
      </c>
      <c r="AB92">
        <v>0</v>
      </c>
      <c r="AC92">
        <v>1</v>
      </c>
      <c r="AD92">
        <v>39.375</v>
      </c>
      <c r="AE92">
        <v>1</v>
      </c>
      <c r="AF92">
        <v>8</v>
      </c>
      <c r="AG92">
        <v>2</v>
      </c>
      <c r="AH92" t="s">
        <v>84</v>
      </c>
      <c r="AI92">
        <v>0</v>
      </c>
    </row>
    <row r="93" spans="1:35" x14ac:dyDescent="0.45">
      <c r="A93">
        <v>92</v>
      </c>
      <c r="B93" t="s">
        <v>231</v>
      </c>
      <c r="C93" t="s">
        <v>236</v>
      </c>
      <c r="D93" t="s">
        <v>91</v>
      </c>
      <c r="E93">
        <v>5</v>
      </c>
      <c r="F93">
        <v>-5.9569999999999999</v>
      </c>
      <c r="G93">
        <v>-36.991999999999997</v>
      </c>
      <c r="H93">
        <v>16316</v>
      </c>
      <c r="I93">
        <v>0</v>
      </c>
      <c r="J93">
        <v>1</v>
      </c>
      <c r="K93" t="s">
        <v>55</v>
      </c>
      <c r="L93" t="s">
        <v>55</v>
      </c>
      <c r="M93" t="s">
        <v>56</v>
      </c>
      <c r="N93">
        <v>1643291809.1500001</v>
      </c>
      <c r="O93">
        <v>0.21299999999999999</v>
      </c>
      <c r="P93">
        <v>0.46400000000000002</v>
      </c>
      <c r="Q93">
        <v>55.448</v>
      </c>
      <c r="R93">
        <v>1E-3</v>
      </c>
      <c r="S93">
        <v>0</v>
      </c>
      <c r="T93">
        <v>1.331</v>
      </c>
      <c r="U93">
        <v>90.328000000000003</v>
      </c>
      <c r="V93">
        <v>24.712</v>
      </c>
      <c r="W93">
        <v>2.4159999999999999</v>
      </c>
      <c r="X93">
        <v>89.201999999999998</v>
      </c>
      <c r="Y93">
        <v>0.96</v>
      </c>
      <c r="Z93">
        <v>1.4670000000000001</v>
      </c>
      <c r="AA93">
        <v>0</v>
      </c>
      <c r="AB93">
        <v>0</v>
      </c>
      <c r="AC93">
        <v>1</v>
      </c>
      <c r="AD93">
        <v>39.311999999999998</v>
      </c>
      <c r="AE93">
        <v>1</v>
      </c>
      <c r="AF93">
        <v>8</v>
      </c>
      <c r="AG93">
        <v>2</v>
      </c>
      <c r="AH93" t="s">
        <v>84</v>
      </c>
      <c r="AI93">
        <v>0</v>
      </c>
    </row>
    <row r="94" spans="1:35" x14ac:dyDescent="0.45">
      <c r="A94">
        <v>93</v>
      </c>
      <c r="B94" t="s">
        <v>231</v>
      </c>
      <c r="C94" t="s">
        <v>237</v>
      </c>
      <c r="D94" t="s">
        <v>91</v>
      </c>
      <c r="E94">
        <v>6</v>
      </c>
      <c r="F94">
        <v>-5.9290000000000003</v>
      </c>
      <c r="G94">
        <v>-37.017000000000003</v>
      </c>
      <c r="H94">
        <v>16194</v>
      </c>
      <c r="I94">
        <v>0</v>
      </c>
      <c r="J94">
        <v>1</v>
      </c>
      <c r="K94" t="s">
        <v>55</v>
      </c>
      <c r="L94" t="s">
        <v>55</v>
      </c>
      <c r="M94" t="s">
        <v>56</v>
      </c>
      <c r="N94">
        <v>1643292345.22</v>
      </c>
      <c r="O94">
        <v>0.188</v>
      </c>
      <c r="P94">
        <v>0.41</v>
      </c>
      <c r="Q94">
        <v>54.362000000000002</v>
      </c>
      <c r="R94">
        <v>0</v>
      </c>
      <c r="S94">
        <v>-1E-3</v>
      </c>
      <c r="T94">
        <v>1.3089999999999999</v>
      </c>
      <c r="U94">
        <v>89.863</v>
      </c>
      <c r="V94">
        <v>24.670999999999999</v>
      </c>
      <c r="W94">
        <v>2.3109999999999999</v>
      </c>
      <c r="X94">
        <v>86.599000000000004</v>
      </c>
      <c r="Y94">
        <v>0.96599999999999997</v>
      </c>
      <c r="Z94">
        <v>1.1359999999999999</v>
      </c>
      <c r="AA94">
        <v>0</v>
      </c>
      <c r="AB94">
        <v>0</v>
      </c>
      <c r="AC94">
        <v>1</v>
      </c>
      <c r="AD94">
        <v>39.375</v>
      </c>
      <c r="AE94">
        <v>1</v>
      </c>
      <c r="AF94">
        <v>8</v>
      </c>
      <c r="AG94">
        <v>2</v>
      </c>
      <c r="AH94" t="s">
        <v>84</v>
      </c>
      <c r="AI94">
        <v>0</v>
      </c>
    </row>
    <row r="95" spans="1:35" x14ac:dyDescent="0.45">
      <c r="A95">
        <v>94</v>
      </c>
      <c r="B95" t="s">
        <v>238</v>
      </c>
      <c r="C95" t="s">
        <v>239</v>
      </c>
      <c r="D95" t="s">
        <v>92</v>
      </c>
      <c r="E95">
        <v>1</v>
      </c>
      <c r="F95">
        <v>-5.9020000000000001</v>
      </c>
      <c r="G95">
        <v>-36.991999999999997</v>
      </c>
      <c r="H95">
        <v>16261</v>
      </c>
      <c r="I95">
        <v>-1</v>
      </c>
      <c r="J95">
        <v>1</v>
      </c>
      <c r="K95" t="s">
        <v>55</v>
      </c>
      <c r="L95" t="s">
        <v>55</v>
      </c>
      <c r="M95" t="s">
        <v>56</v>
      </c>
      <c r="N95">
        <v>1643292884.78</v>
      </c>
      <c r="O95">
        <v>0.2</v>
      </c>
      <c r="P95">
        <v>0.41099999999999998</v>
      </c>
      <c r="Q95">
        <v>55.378999999999998</v>
      </c>
      <c r="R95">
        <v>1E-3</v>
      </c>
      <c r="S95">
        <v>0</v>
      </c>
      <c r="T95">
        <v>1.3360000000000001</v>
      </c>
      <c r="U95">
        <v>90.234999999999999</v>
      </c>
      <c r="V95">
        <v>24.97</v>
      </c>
      <c r="W95">
        <v>2.347</v>
      </c>
      <c r="X95">
        <v>86.658000000000001</v>
      </c>
      <c r="Y95">
        <v>0.96299999999999997</v>
      </c>
      <c r="Z95">
        <v>1.1439999999999999</v>
      </c>
      <c r="AA95">
        <v>0</v>
      </c>
      <c r="AB95">
        <v>0</v>
      </c>
      <c r="AC95">
        <v>1</v>
      </c>
      <c r="AD95">
        <v>39.375</v>
      </c>
      <c r="AE95">
        <v>1</v>
      </c>
      <c r="AF95">
        <v>9</v>
      </c>
      <c r="AG95">
        <v>2</v>
      </c>
      <c r="AH95" t="s">
        <v>84</v>
      </c>
      <c r="AI95">
        <v>0</v>
      </c>
    </row>
    <row r="96" spans="1:35" x14ac:dyDescent="0.45">
      <c r="A96">
        <v>95</v>
      </c>
      <c r="B96" t="s">
        <v>238</v>
      </c>
      <c r="C96" t="s">
        <v>240</v>
      </c>
      <c r="D96" t="s">
        <v>92</v>
      </c>
      <c r="E96">
        <v>2</v>
      </c>
      <c r="F96">
        <v>-5.9349999999999996</v>
      </c>
      <c r="G96">
        <v>-37.031999999999996</v>
      </c>
      <c r="H96">
        <v>16244</v>
      </c>
      <c r="I96">
        <v>-1</v>
      </c>
      <c r="J96">
        <v>1</v>
      </c>
      <c r="K96" t="s">
        <v>55</v>
      </c>
      <c r="L96" t="s">
        <v>55</v>
      </c>
      <c r="M96" t="s">
        <v>56</v>
      </c>
      <c r="N96">
        <v>1643293419.5</v>
      </c>
      <c r="O96">
        <v>0.20499999999999999</v>
      </c>
      <c r="P96">
        <v>0.33900000000000002</v>
      </c>
      <c r="Q96">
        <v>53.987000000000002</v>
      </c>
      <c r="R96">
        <v>0</v>
      </c>
      <c r="S96">
        <v>-1E-3</v>
      </c>
      <c r="T96">
        <v>1.2989999999999999</v>
      </c>
      <c r="U96">
        <v>90.106999999999999</v>
      </c>
      <c r="V96">
        <v>24.545000000000002</v>
      </c>
      <c r="W96">
        <v>2.3969999999999998</v>
      </c>
      <c r="X96">
        <v>87.78</v>
      </c>
      <c r="Y96">
        <v>0.97199999999999998</v>
      </c>
      <c r="Z96">
        <v>1.2809999999999999</v>
      </c>
      <c r="AA96">
        <v>0</v>
      </c>
      <c r="AB96">
        <v>0</v>
      </c>
      <c r="AC96">
        <v>1</v>
      </c>
      <c r="AD96">
        <v>39.311999999999998</v>
      </c>
      <c r="AE96">
        <v>1</v>
      </c>
      <c r="AF96">
        <v>9</v>
      </c>
      <c r="AG96">
        <v>2</v>
      </c>
      <c r="AH96" t="s">
        <v>84</v>
      </c>
      <c r="AI96">
        <v>0</v>
      </c>
    </row>
    <row r="97" spans="1:35" x14ac:dyDescent="0.45">
      <c r="A97">
        <v>96</v>
      </c>
      <c r="B97" t="s">
        <v>238</v>
      </c>
      <c r="C97" t="s">
        <v>241</v>
      </c>
      <c r="D97" t="s">
        <v>92</v>
      </c>
      <c r="E97">
        <v>3</v>
      </c>
      <c r="F97">
        <v>-5.9470000000000001</v>
      </c>
      <c r="G97">
        <v>-37.048999999999999</v>
      </c>
      <c r="H97">
        <v>16199</v>
      </c>
      <c r="I97">
        <v>-1</v>
      </c>
      <c r="J97">
        <v>1</v>
      </c>
      <c r="K97" t="s">
        <v>55</v>
      </c>
      <c r="L97" t="s">
        <v>55</v>
      </c>
      <c r="M97" t="s">
        <v>56</v>
      </c>
      <c r="N97">
        <v>1643293958.8</v>
      </c>
      <c r="O97">
        <v>0.22</v>
      </c>
      <c r="P97">
        <v>0.38100000000000001</v>
      </c>
      <c r="Q97">
        <v>55.03</v>
      </c>
      <c r="R97">
        <v>1E-3</v>
      </c>
      <c r="S97">
        <v>1E-3</v>
      </c>
      <c r="T97">
        <v>1.3260000000000001</v>
      </c>
      <c r="U97">
        <v>89.778999999999996</v>
      </c>
      <c r="V97">
        <v>25.053999999999998</v>
      </c>
      <c r="W97">
        <v>2.3260000000000001</v>
      </c>
      <c r="X97">
        <v>86.037999999999997</v>
      </c>
      <c r="Y97">
        <v>0.95399999999999996</v>
      </c>
      <c r="Z97">
        <v>1.143</v>
      </c>
      <c r="AA97">
        <v>0</v>
      </c>
      <c r="AB97">
        <v>0</v>
      </c>
      <c r="AC97">
        <v>1</v>
      </c>
      <c r="AD97">
        <v>39.375</v>
      </c>
      <c r="AE97">
        <v>1</v>
      </c>
      <c r="AF97">
        <v>9</v>
      </c>
      <c r="AG97">
        <v>2</v>
      </c>
      <c r="AH97" t="s">
        <v>84</v>
      </c>
      <c r="AI97">
        <v>0</v>
      </c>
    </row>
    <row r="98" spans="1:35" x14ac:dyDescent="0.45">
      <c r="A98">
        <v>97</v>
      </c>
      <c r="B98" t="s">
        <v>238</v>
      </c>
      <c r="C98" t="s">
        <v>242</v>
      </c>
      <c r="D98" t="s">
        <v>92</v>
      </c>
      <c r="E98">
        <v>4</v>
      </c>
      <c r="F98">
        <v>-5.931</v>
      </c>
      <c r="G98">
        <v>-37.067</v>
      </c>
      <c r="H98">
        <v>16257</v>
      </c>
      <c r="I98">
        <v>0</v>
      </c>
      <c r="J98">
        <v>1</v>
      </c>
      <c r="K98" t="s">
        <v>55</v>
      </c>
      <c r="L98" t="s">
        <v>55</v>
      </c>
      <c r="M98" t="s">
        <v>56</v>
      </c>
      <c r="N98">
        <v>1643294495.53</v>
      </c>
      <c r="O98">
        <v>0.19400000000000001</v>
      </c>
      <c r="P98">
        <v>0.46100000000000002</v>
      </c>
      <c r="Q98">
        <v>55.029000000000003</v>
      </c>
      <c r="R98">
        <v>0</v>
      </c>
      <c r="S98">
        <v>2E-3</v>
      </c>
      <c r="T98">
        <v>1.3240000000000001</v>
      </c>
      <c r="U98">
        <v>90.186999999999998</v>
      </c>
      <c r="V98">
        <v>25.157</v>
      </c>
      <c r="W98">
        <v>2.3090000000000002</v>
      </c>
      <c r="X98">
        <v>86.037000000000006</v>
      </c>
      <c r="Y98">
        <v>0.95499999999999996</v>
      </c>
      <c r="Z98">
        <v>1.0529999999999999</v>
      </c>
      <c r="AA98">
        <v>0</v>
      </c>
      <c r="AB98">
        <v>0</v>
      </c>
      <c r="AC98">
        <v>1</v>
      </c>
      <c r="AD98">
        <v>39.375</v>
      </c>
      <c r="AE98">
        <v>1</v>
      </c>
      <c r="AF98">
        <v>9</v>
      </c>
      <c r="AG98">
        <v>2</v>
      </c>
      <c r="AH98" t="s">
        <v>84</v>
      </c>
      <c r="AI98">
        <v>0</v>
      </c>
    </row>
    <row r="99" spans="1:35" x14ac:dyDescent="0.45">
      <c r="A99">
        <v>98</v>
      </c>
      <c r="B99" t="s">
        <v>238</v>
      </c>
      <c r="C99" t="s">
        <v>243</v>
      </c>
      <c r="D99" t="s">
        <v>92</v>
      </c>
      <c r="E99">
        <v>5</v>
      </c>
      <c r="F99">
        <v>-5.9059999999999997</v>
      </c>
      <c r="G99">
        <v>-37.030999999999999</v>
      </c>
      <c r="H99">
        <v>16207</v>
      </c>
      <c r="I99">
        <v>0</v>
      </c>
      <c r="J99">
        <v>1</v>
      </c>
      <c r="K99" t="s">
        <v>55</v>
      </c>
      <c r="L99" t="s">
        <v>55</v>
      </c>
      <c r="M99" t="s">
        <v>56</v>
      </c>
      <c r="N99">
        <v>1643295032.1300001</v>
      </c>
      <c r="O99">
        <v>0.20200000000000001</v>
      </c>
      <c r="P99">
        <v>0.39700000000000002</v>
      </c>
      <c r="Q99">
        <v>54.158000000000001</v>
      </c>
      <c r="R99">
        <v>1E-3</v>
      </c>
      <c r="S99">
        <v>0</v>
      </c>
      <c r="T99">
        <v>1.3069999999999999</v>
      </c>
      <c r="U99">
        <v>90.125</v>
      </c>
      <c r="V99">
        <v>25.024999999999999</v>
      </c>
      <c r="W99">
        <v>2.2949999999999999</v>
      </c>
      <c r="X99">
        <v>84.56</v>
      </c>
      <c r="Y99">
        <v>0.96499999999999997</v>
      </c>
      <c r="Z99">
        <v>0.78400000000000003</v>
      </c>
      <c r="AA99">
        <v>0</v>
      </c>
      <c r="AB99">
        <v>0</v>
      </c>
      <c r="AC99">
        <v>1</v>
      </c>
      <c r="AD99">
        <v>39.375</v>
      </c>
      <c r="AE99">
        <v>1</v>
      </c>
      <c r="AF99">
        <v>9</v>
      </c>
      <c r="AG99">
        <v>2</v>
      </c>
      <c r="AH99" t="s">
        <v>84</v>
      </c>
      <c r="AI99">
        <v>0</v>
      </c>
    </row>
    <row r="100" spans="1:35" x14ac:dyDescent="0.45">
      <c r="A100">
        <v>99</v>
      </c>
      <c r="B100" t="s">
        <v>238</v>
      </c>
      <c r="C100" t="s">
        <v>244</v>
      </c>
      <c r="D100" t="s">
        <v>92</v>
      </c>
      <c r="E100">
        <v>6</v>
      </c>
      <c r="F100">
        <v>-5.96</v>
      </c>
      <c r="G100">
        <v>-37.1</v>
      </c>
      <c r="H100">
        <v>16254</v>
      </c>
      <c r="I100">
        <v>0</v>
      </c>
      <c r="J100">
        <v>1</v>
      </c>
      <c r="K100" t="s">
        <v>55</v>
      </c>
      <c r="L100" t="s">
        <v>55</v>
      </c>
      <c r="M100" t="s">
        <v>56</v>
      </c>
      <c r="N100">
        <v>1643295570.23</v>
      </c>
      <c r="O100">
        <v>0.19700000000000001</v>
      </c>
      <c r="P100">
        <v>0.438</v>
      </c>
      <c r="Q100">
        <v>54.956000000000003</v>
      </c>
      <c r="R100">
        <v>0</v>
      </c>
      <c r="S100">
        <v>0</v>
      </c>
      <c r="T100">
        <v>1.3169999999999999</v>
      </c>
      <c r="U100">
        <v>90.325999999999993</v>
      </c>
      <c r="V100">
        <v>24.768999999999998</v>
      </c>
      <c r="W100">
        <v>2.2949999999999999</v>
      </c>
      <c r="X100">
        <v>86.343000000000004</v>
      </c>
      <c r="Y100">
        <v>0.97099999999999997</v>
      </c>
      <c r="Z100">
        <v>0.97499999999999998</v>
      </c>
      <c r="AA100">
        <v>0</v>
      </c>
      <c r="AB100">
        <v>0</v>
      </c>
      <c r="AC100">
        <v>1</v>
      </c>
      <c r="AD100">
        <v>39.375</v>
      </c>
      <c r="AE100">
        <v>1</v>
      </c>
      <c r="AF100">
        <v>9</v>
      </c>
      <c r="AG100">
        <v>2</v>
      </c>
      <c r="AH100" t="s">
        <v>84</v>
      </c>
      <c r="AI100">
        <v>0</v>
      </c>
    </row>
    <row r="101" spans="1:35" x14ac:dyDescent="0.45">
      <c r="A101">
        <v>100</v>
      </c>
      <c r="B101" t="s">
        <v>245</v>
      </c>
      <c r="C101" t="s">
        <v>246</v>
      </c>
      <c r="D101" t="s">
        <v>93</v>
      </c>
      <c r="E101">
        <v>1</v>
      </c>
      <c r="F101">
        <v>-5.9279999999999999</v>
      </c>
      <c r="G101">
        <v>-36.993000000000002</v>
      </c>
      <c r="H101">
        <v>16220</v>
      </c>
      <c r="I101">
        <v>-1</v>
      </c>
      <c r="J101">
        <v>1</v>
      </c>
      <c r="K101" t="s">
        <v>55</v>
      </c>
      <c r="L101" t="s">
        <v>55</v>
      </c>
      <c r="M101" t="s">
        <v>56</v>
      </c>
      <c r="N101">
        <v>1643296107.0799999</v>
      </c>
      <c r="O101">
        <v>0.21</v>
      </c>
      <c r="P101">
        <v>0.39800000000000002</v>
      </c>
      <c r="Q101">
        <v>54.679000000000002</v>
      </c>
      <c r="R101">
        <v>1E-3</v>
      </c>
      <c r="S101">
        <v>-1E-3</v>
      </c>
      <c r="T101">
        <v>1.3149999999999999</v>
      </c>
      <c r="U101">
        <v>90.034000000000006</v>
      </c>
      <c r="V101">
        <v>25.097000000000001</v>
      </c>
      <c r="W101">
        <v>2.3050000000000002</v>
      </c>
      <c r="X101">
        <v>85.501000000000005</v>
      </c>
      <c r="Y101">
        <v>0.94299999999999995</v>
      </c>
      <c r="Z101">
        <v>0.98899999999999999</v>
      </c>
      <c r="AA101">
        <v>0</v>
      </c>
      <c r="AB101">
        <v>0</v>
      </c>
      <c r="AC101">
        <v>1</v>
      </c>
      <c r="AD101">
        <v>39.375</v>
      </c>
      <c r="AE101">
        <v>1</v>
      </c>
      <c r="AF101">
        <v>10</v>
      </c>
      <c r="AG101">
        <v>2</v>
      </c>
      <c r="AH101" t="s">
        <v>84</v>
      </c>
      <c r="AI101">
        <v>0</v>
      </c>
    </row>
    <row r="102" spans="1:35" x14ac:dyDescent="0.45">
      <c r="A102">
        <v>101</v>
      </c>
      <c r="B102" t="s">
        <v>245</v>
      </c>
      <c r="C102" t="s">
        <v>247</v>
      </c>
      <c r="D102" t="s">
        <v>93</v>
      </c>
      <c r="E102">
        <v>2</v>
      </c>
      <c r="F102">
        <v>-5.9660000000000002</v>
      </c>
      <c r="G102">
        <v>-36.994</v>
      </c>
      <c r="H102">
        <v>16226</v>
      </c>
      <c r="I102">
        <v>-1</v>
      </c>
      <c r="J102">
        <v>1</v>
      </c>
      <c r="K102" t="s">
        <v>55</v>
      </c>
      <c r="L102" t="s">
        <v>55</v>
      </c>
      <c r="M102" t="s">
        <v>56</v>
      </c>
      <c r="N102">
        <v>1643296645.6700001</v>
      </c>
      <c r="O102">
        <v>0.20100000000000001</v>
      </c>
      <c r="P102">
        <v>0.39200000000000002</v>
      </c>
      <c r="Q102">
        <v>56.021999999999998</v>
      </c>
      <c r="R102">
        <v>1E-3</v>
      </c>
      <c r="S102">
        <v>0</v>
      </c>
      <c r="T102">
        <v>1.337</v>
      </c>
      <c r="U102">
        <v>90.2</v>
      </c>
      <c r="V102">
        <v>24.684000000000001</v>
      </c>
      <c r="W102">
        <v>2.319</v>
      </c>
      <c r="X102">
        <v>86.08</v>
      </c>
      <c r="Y102">
        <v>0.98099999999999998</v>
      </c>
      <c r="Z102">
        <v>0.98699999999999999</v>
      </c>
      <c r="AA102">
        <v>0</v>
      </c>
      <c r="AB102">
        <v>0</v>
      </c>
      <c r="AC102">
        <v>1</v>
      </c>
      <c r="AD102">
        <v>39.375</v>
      </c>
      <c r="AE102">
        <v>1</v>
      </c>
      <c r="AF102">
        <v>10</v>
      </c>
      <c r="AG102">
        <v>2</v>
      </c>
      <c r="AH102" t="s">
        <v>84</v>
      </c>
      <c r="AI102">
        <v>0</v>
      </c>
    </row>
    <row r="103" spans="1:35" x14ac:dyDescent="0.45">
      <c r="A103">
        <v>102</v>
      </c>
      <c r="B103" t="s">
        <v>245</v>
      </c>
      <c r="C103" t="s">
        <v>248</v>
      </c>
      <c r="D103" t="s">
        <v>93</v>
      </c>
      <c r="E103">
        <v>3</v>
      </c>
      <c r="F103">
        <v>-5.9450000000000003</v>
      </c>
      <c r="G103">
        <v>-36.954999999999998</v>
      </c>
      <c r="H103">
        <v>16227</v>
      </c>
      <c r="I103">
        <v>-1</v>
      </c>
      <c r="J103">
        <v>1</v>
      </c>
      <c r="K103" t="s">
        <v>55</v>
      </c>
      <c r="L103" t="s">
        <v>55</v>
      </c>
      <c r="M103" t="s">
        <v>56</v>
      </c>
      <c r="N103">
        <v>1643297180.8</v>
      </c>
      <c r="O103">
        <v>0.19900000000000001</v>
      </c>
      <c r="P103">
        <v>0.40300000000000002</v>
      </c>
      <c r="Q103">
        <v>54.344000000000001</v>
      </c>
      <c r="R103">
        <v>1E-3</v>
      </c>
      <c r="S103">
        <v>1E-3</v>
      </c>
      <c r="T103">
        <v>1.3120000000000001</v>
      </c>
      <c r="U103">
        <v>90.048000000000002</v>
      </c>
      <c r="V103">
        <v>24.984000000000002</v>
      </c>
      <c r="W103">
        <v>2.302</v>
      </c>
      <c r="X103">
        <v>86.055999999999997</v>
      </c>
      <c r="Y103">
        <v>0.94499999999999995</v>
      </c>
      <c r="Z103">
        <v>1.101</v>
      </c>
      <c r="AA103">
        <v>0</v>
      </c>
      <c r="AB103">
        <v>0</v>
      </c>
      <c r="AC103">
        <v>1</v>
      </c>
      <c r="AD103">
        <v>39.375</v>
      </c>
      <c r="AE103">
        <v>1</v>
      </c>
      <c r="AF103">
        <v>10</v>
      </c>
      <c r="AG103">
        <v>2</v>
      </c>
      <c r="AH103" t="s">
        <v>84</v>
      </c>
      <c r="AI103">
        <v>0</v>
      </c>
    </row>
    <row r="104" spans="1:35" x14ac:dyDescent="0.45">
      <c r="A104">
        <v>103</v>
      </c>
      <c r="B104" t="s">
        <v>245</v>
      </c>
      <c r="C104" t="s">
        <v>249</v>
      </c>
      <c r="D104" t="s">
        <v>93</v>
      </c>
      <c r="E104">
        <v>4</v>
      </c>
      <c r="F104">
        <v>-5.931</v>
      </c>
      <c r="G104">
        <v>-36.948</v>
      </c>
      <c r="H104">
        <v>16214</v>
      </c>
      <c r="I104">
        <v>0</v>
      </c>
      <c r="J104">
        <v>1</v>
      </c>
      <c r="K104" t="s">
        <v>55</v>
      </c>
      <c r="L104" t="s">
        <v>55</v>
      </c>
      <c r="M104" t="s">
        <v>56</v>
      </c>
      <c r="N104">
        <v>1643297718.04</v>
      </c>
      <c r="O104">
        <v>0.192</v>
      </c>
      <c r="P104">
        <v>0.434</v>
      </c>
      <c r="Q104">
        <v>55.3</v>
      </c>
      <c r="R104">
        <v>1E-3</v>
      </c>
      <c r="S104">
        <v>1E-3</v>
      </c>
      <c r="T104">
        <v>1.327</v>
      </c>
      <c r="U104">
        <v>90.096000000000004</v>
      </c>
      <c r="V104">
        <v>24.283000000000001</v>
      </c>
      <c r="W104">
        <v>2.34</v>
      </c>
      <c r="X104">
        <v>87.501999999999995</v>
      </c>
      <c r="Y104">
        <v>0.95</v>
      </c>
      <c r="Z104">
        <v>1.204</v>
      </c>
      <c r="AA104">
        <v>0</v>
      </c>
      <c r="AB104">
        <v>0</v>
      </c>
      <c r="AC104">
        <v>1</v>
      </c>
      <c r="AD104">
        <v>39.375</v>
      </c>
      <c r="AE104">
        <v>1</v>
      </c>
      <c r="AF104">
        <v>10</v>
      </c>
      <c r="AG104">
        <v>2</v>
      </c>
      <c r="AH104" t="s">
        <v>84</v>
      </c>
      <c r="AI104">
        <v>0</v>
      </c>
    </row>
    <row r="105" spans="1:35" x14ac:dyDescent="0.45">
      <c r="A105">
        <v>104</v>
      </c>
      <c r="B105" t="s">
        <v>245</v>
      </c>
      <c r="C105" t="s">
        <v>250</v>
      </c>
      <c r="D105" t="s">
        <v>93</v>
      </c>
      <c r="E105">
        <v>5</v>
      </c>
      <c r="F105">
        <v>-5.9290000000000003</v>
      </c>
      <c r="G105">
        <v>-36.947000000000003</v>
      </c>
      <c r="H105">
        <v>16254</v>
      </c>
      <c r="I105">
        <v>0</v>
      </c>
      <c r="J105">
        <v>1</v>
      </c>
      <c r="K105" t="s">
        <v>55</v>
      </c>
      <c r="L105" t="s">
        <v>55</v>
      </c>
      <c r="M105" t="s">
        <v>56</v>
      </c>
      <c r="N105">
        <v>1643298254.3299999</v>
      </c>
      <c r="O105">
        <v>0.19900000000000001</v>
      </c>
      <c r="P105">
        <v>0.45100000000000001</v>
      </c>
      <c r="Q105">
        <v>54.045000000000002</v>
      </c>
      <c r="R105">
        <v>1E-3</v>
      </c>
      <c r="S105">
        <v>0</v>
      </c>
      <c r="T105">
        <v>1.3069999999999999</v>
      </c>
      <c r="U105">
        <v>90.236999999999995</v>
      </c>
      <c r="V105">
        <v>24.827999999999999</v>
      </c>
      <c r="W105">
        <v>2.351</v>
      </c>
      <c r="X105">
        <v>86.358000000000004</v>
      </c>
      <c r="Y105">
        <v>0.95699999999999996</v>
      </c>
      <c r="Z105">
        <v>1.161</v>
      </c>
      <c r="AA105">
        <v>0</v>
      </c>
      <c r="AB105">
        <v>0</v>
      </c>
      <c r="AC105">
        <v>1</v>
      </c>
      <c r="AD105">
        <v>39.375</v>
      </c>
      <c r="AE105">
        <v>1</v>
      </c>
      <c r="AF105">
        <v>10</v>
      </c>
      <c r="AG105">
        <v>2</v>
      </c>
      <c r="AH105" t="s">
        <v>84</v>
      </c>
      <c r="AI105">
        <v>0</v>
      </c>
    </row>
    <row r="106" spans="1:35" x14ac:dyDescent="0.45">
      <c r="A106">
        <v>105</v>
      </c>
      <c r="B106" t="s">
        <v>245</v>
      </c>
      <c r="C106" t="s">
        <v>251</v>
      </c>
      <c r="D106" t="s">
        <v>93</v>
      </c>
      <c r="E106">
        <v>6</v>
      </c>
      <c r="F106">
        <v>-5.8879999999999999</v>
      </c>
      <c r="G106">
        <v>-36.908999999999999</v>
      </c>
      <c r="H106">
        <v>16218</v>
      </c>
      <c r="I106">
        <v>0</v>
      </c>
      <c r="J106">
        <v>1</v>
      </c>
      <c r="K106" t="s">
        <v>55</v>
      </c>
      <c r="L106" t="s">
        <v>55</v>
      </c>
      <c r="M106" t="s">
        <v>56</v>
      </c>
      <c r="N106">
        <v>1643298792.72</v>
      </c>
      <c r="O106">
        <v>0.20799999999999999</v>
      </c>
      <c r="P106">
        <v>0.39200000000000002</v>
      </c>
      <c r="Q106">
        <v>55.689</v>
      </c>
      <c r="R106">
        <v>1E-3</v>
      </c>
      <c r="S106">
        <v>0</v>
      </c>
      <c r="T106">
        <v>1.339</v>
      </c>
      <c r="U106">
        <v>90.052000000000007</v>
      </c>
      <c r="V106">
        <v>24.588999999999999</v>
      </c>
      <c r="W106">
        <v>2.3559999999999999</v>
      </c>
      <c r="X106">
        <v>86.893000000000001</v>
      </c>
      <c r="Y106">
        <v>0.96599999999999997</v>
      </c>
      <c r="Z106">
        <v>1.1479999999999999</v>
      </c>
      <c r="AA106">
        <v>0</v>
      </c>
      <c r="AB106">
        <v>0</v>
      </c>
      <c r="AC106">
        <v>1</v>
      </c>
      <c r="AD106">
        <v>39.311999999999998</v>
      </c>
      <c r="AE106">
        <v>1</v>
      </c>
      <c r="AF106">
        <v>10</v>
      </c>
      <c r="AG106">
        <v>2</v>
      </c>
      <c r="AH106" t="s">
        <v>84</v>
      </c>
      <c r="AI106">
        <v>0</v>
      </c>
    </row>
    <row r="107" spans="1:35" x14ac:dyDescent="0.45">
      <c r="A107">
        <v>106</v>
      </c>
      <c r="B107" t="s">
        <v>252</v>
      </c>
      <c r="C107" t="s">
        <v>253</v>
      </c>
      <c r="D107" t="s">
        <v>94</v>
      </c>
      <c r="E107">
        <v>1</v>
      </c>
      <c r="F107">
        <v>-5.8959999999999999</v>
      </c>
      <c r="G107">
        <v>-36.97</v>
      </c>
      <c r="H107">
        <v>16268</v>
      </c>
      <c r="I107">
        <v>-1</v>
      </c>
      <c r="J107">
        <v>1</v>
      </c>
      <c r="K107" t="s">
        <v>55</v>
      </c>
      <c r="L107" t="s">
        <v>55</v>
      </c>
      <c r="M107" t="s">
        <v>56</v>
      </c>
      <c r="N107">
        <v>1643299327.1600001</v>
      </c>
      <c r="O107">
        <v>0.19600000000000001</v>
      </c>
      <c r="P107">
        <v>0.42099999999999999</v>
      </c>
      <c r="Q107">
        <v>54.631999999999998</v>
      </c>
      <c r="R107">
        <v>1E-3</v>
      </c>
      <c r="S107">
        <v>1E-3</v>
      </c>
      <c r="T107">
        <v>1.3180000000000001</v>
      </c>
      <c r="U107">
        <v>90.215999999999994</v>
      </c>
      <c r="V107">
        <v>24.88</v>
      </c>
      <c r="W107">
        <v>2.3330000000000002</v>
      </c>
      <c r="X107">
        <v>87.355000000000004</v>
      </c>
      <c r="Y107">
        <v>0.96899999999999997</v>
      </c>
      <c r="Z107">
        <v>1.3140000000000001</v>
      </c>
      <c r="AA107">
        <v>0</v>
      </c>
      <c r="AB107">
        <v>0</v>
      </c>
      <c r="AC107">
        <v>1</v>
      </c>
      <c r="AD107">
        <v>39.375</v>
      </c>
      <c r="AE107">
        <v>1</v>
      </c>
      <c r="AF107">
        <v>11</v>
      </c>
      <c r="AG107">
        <v>2</v>
      </c>
      <c r="AH107" t="s">
        <v>84</v>
      </c>
      <c r="AI107">
        <v>0</v>
      </c>
    </row>
    <row r="108" spans="1:35" x14ac:dyDescent="0.45">
      <c r="A108">
        <v>107</v>
      </c>
      <c r="B108" t="s">
        <v>252</v>
      </c>
      <c r="C108" t="s">
        <v>254</v>
      </c>
      <c r="D108" t="s">
        <v>94</v>
      </c>
      <c r="E108">
        <v>2</v>
      </c>
      <c r="F108">
        <v>-5.9320000000000004</v>
      </c>
      <c r="G108">
        <v>-36.942999999999998</v>
      </c>
      <c r="H108">
        <v>16235</v>
      </c>
      <c r="I108">
        <v>-1</v>
      </c>
      <c r="J108">
        <v>1</v>
      </c>
      <c r="K108" t="s">
        <v>55</v>
      </c>
      <c r="L108" t="s">
        <v>55</v>
      </c>
      <c r="M108" t="s">
        <v>56</v>
      </c>
      <c r="N108">
        <v>1643299866.78</v>
      </c>
      <c r="O108">
        <v>0.182</v>
      </c>
      <c r="P108">
        <v>0.42299999999999999</v>
      </c>
      <c r="Q108">
        <v>55.11</v>
      </c>
      <c r="R108">
        <v>0</v>
      </c>
      <c r="S108">
        <v>-2E-3</v>
      </c>
      <c r="T108">
        <v>1.337</v>
      </c>
      <c r="U108">
        <v>90.522999999999996</v>
      </c>
      <c r="V108">
        <v>24.192</v>
      </c>
      <c r="W108">
        <v>2.3260000000000001</v>
      </c>
      <c r="X108">
        <v>86.221000000000004</v>
      </c>
      <c r="Y108">
        <v>0.95499999999999996</v>
      </c>
      <c r="Z108">
        <v>0.98699999999999999</v>
      </c>
      <c r="AA108">
        <v>0</v>
      </c>
      <c r="AB108">
        <v>0</v>
      </c>
      <c r="AC108">
        <v>1</v>
      </c>
      <c r="AD108">
        <v>39.311999999999998</v>
      </c>
      <c r="AE108">
        <v>1</v>
      </c>
      <c r="AF108">
        <v>11</v>
      </c>
      <c r="AG108">
        <v>2</v>
      </c>
      <c r="AH108" t="s">
        <v>84</v>
      </c>
      <c r="AI108">
        <v>0</v>
      </c>
    </row>
    <row r="109" spans="1:35" x14ac:dyDescent="0.45">
      <c r="A109">
        <v>108</v>
      </c>
      <c r="B109" t="s">
        <v>252</v>
      </c>
      <c r="C109" t="s">
        <v>255</v>
      </c>
      <c r="D109" t="s">
        <v>94</v>
      </c>
      <c r="E109">
        <v>3</v>
      </c>
      <c r="F109">
        <v>-5.9169999999999998</v>
      </c>
      <c r="G109">
        <v>-36.9</v>
      </c>
      <c r="H109">
        <v>16228</v>
      </c>
      <c r="I109">
        <v>-1</v>
      </c>
      <c r="J109">
        <v>1</v>
      </c>
      <c r="K109" t="s">
        <v>55</v>
      </c>
      <c r="L109" t="s">
        <v>55</v>
      </c>
      <c r="M109" t="s">
        <v>56</v>
      </c>
      <c r="N109">
        <v>1643300401.8900001</v>
      </c>
      <c r="O109">
        <v>0.21299999999999999</v>
      </c>
      <c r="P109">
        <v>0.42499999999999999</v>
      </c>
      <c r="Q109">
        <v>54.026000000000003</v>
      </c>
      <c r="R109">
        <v>2E-3</v>
      </c>
      <c r="S109">
        <v>0</v>
      </c>
      <c r="T109">
        <v>1.2989999999999999</v>
      </c>
      <c r="U109">
        <v>90.14</v>
      </c>
      <c r="V109">
        <v>24.748000000000001</v>
      </c>
      <c r="W109">
        <v>2.3039999999999998</v>
      </c>
      <c r="X109">
        <v>86.054000000000002</v>
      </c>
      <c r="Y109">
        <v>0.995</v>
      </c>
      <c r="Z109">
        <v>1.0189999999999999</v>
      </c>
      <c r="AA109">
        <v>0</v>
      </c>
      <c r="AB109">
        <v>0</v>
      </c>
      <c r="AC109">
        <v>1</v>
      </c>
      <c r="AD109">
        <v>39.438000000000002</v>
      </c>
      <c r="AE109">
        <v>1</v>
      </c>
      <c r="AF109">
        <v>11</v>
      </c>
      <c r="AG109">
        <v>2</v>
      </c>
      <c r="AH109" t="s">
        <v>84</v>
      </c>
      <c r="AI109">
        <v>0</v>
      </c>
    </row>
    <row r="110" spans="1:35" x14ac:dyDescent="0.45">
      <c r="A110">
        <v>109</v>
      </c>
      <c r="B110" t="s">
        <v>252</v>
      </c>
      <c r="C110" t="s">
        <v>256</v>
      </c>
      <c r="D110" t="s">
        <v>94</v>
      </c>
      <c r="E110">
        <v>4</v>
      </c>
      <c r="F110">
        <v>-5.9249999999999998</v>
      </c>
      <c r="G110">
        <v>-36.956000000000003</v>
      </c>
      <c r="H110">
        <v>16232</v>
      </c>
      <c r="I110">
        <v>0</v>
      </c>
      <c r="J110">
        <v>1</v>
      </c>
      <c r="K110" t="s">
        <v>55</v>
      </c>
      <c r="L110" t="s">
        <v>55</v>
      </c>
      <c r="M110" t="s">
        <v>56</v>
      </c>
      <c r="N110">
        <v>1643300940.3599999</v>
      </c>
      <c r="O110">
        <v>0.17799999999999999</v>
      </c>
      <c r="P110">
        <v>0.41199999999999998</v>
      </c>
      <c r="Q110">
        <v>54.828000000000003</v>
      </c>
      <c r="R110">
        <v>1E-3</v>
      </c>
      <c r="S110">
        <v>1E-3</v>
      </c>
      <c r="T110">
        <v>1.325</v>
      </c>
      <c r="U110">
        <v>90.010999999999996</v>
      </c>
      <c r="V110">
        <v>24.867000000000001</v>
      </c>
      <c r="W110">
        <v>2.367</v>
      </c>
      <c r="X110">
        <v>86.805999999999997</v>
      </c>
      <c r="Y110">
        <v>1.0009999999999999</v>
      </c>
      <c r="Z110">
        <v>1.155</v>
      </c>
      <c r="AA110">
        <v>0</v>
      </c>
      <c r="AB110">
        <v>0</v>
      </c>
      <c r="AC110">
        <v>1</v>
      </c>
      <c r="AD110">
        <v>39.375</v>
      </c>
      <c r="AE110">
        <v>1</v>
      </c>
      <c r="AF110">
        <v>11</v>
      </c>
      <c r="AG110">
        <v>2</v>
      </c>
      <c r="AH110" t="s">
        <v>84</v>
      </c>
      <c r="AI110">
        <v>0</v>
      </c>
    </row>
    <row r="111" spans="1:35" x14ac:dyDescent="0.45">
      <c r="A111">
        <v>110</v>
      </c>
      <c r="B111" t="s">
        <v>252</v>
      </c>
      <c r="C111" t="s">
        <v>257</v>
      </c>
      <c r="D111" t="s">
        <v>94</v>
      </c>
      <c r="E111">
        <v>5</v>
      </c>
      <c r="F111">
        <v>-5.9160000000000004</v>
      </c>
      <c r="G111">
        <v>-36.97</v>
      </c>
      <c r="H111">
        <v>16229</v>
      </c>
      <c r="I111">
        <v>0</v>
      </c>
      <c r="J111">
        <v>1</v>
      </c>
      <c r="K111" t="s">
        <v>55</v>
      </c>
      <c r="L111" t="s">
        <v>55</v>
      </c>
      <c r="M111" t="s">
        <v>56</v>
      </c>
      <c r="N111">
        <v>1643301476.8900001</v>
      </c>
      <c r="O111">
        <v>0.19</v>
      </c>
      <c r="P111">
        <v>0.39600000000000002</v>
      </c>
      <c r="Q111">
        <v>54.884</v>
      </c>
      <c r="R111">
        <v>1E-3</v>
      </c>
      <c r="S111">
        <v>2E-3</v>
      </c>
      <c r="T111">
        <v>1.31</v>
      </c>
      <c r="U111">
        <v>90.085999999999999</v>
      </c>
      <c r="V111">
        <v>24.87</v>
      </c>
      <c r="W111">
        <v>2.3290000000000002</v>
      </c>
      <c r="X111">
        <v>86.311999999999998</v>
      </c>
      <c r="Y111">
        <v>0.98499999999999999</v>
      </c>
      <c r="Z111">
        <v>1.1379999999999999</v>
      </c>
      <c r="AA111">
        <v>0</v>
      </c>
      <c r="AB111">
        <v>0</v>
      </c>
      <c r="AC111">
        <v>1</v>
      </c>
      <c r="AD111">
        <v>39.375</v>
      </c>
      <c r="AE111">
        <v>1</v>
      </c>
      <c r="AF111">
        <v>11</v>
      </c>
      <c r="AG111">
        <v>2</v>
      </c>
      <c r="AH111" t="s">
        <v>84</v>
      </c>
      <c r="AI111">
        <v>0</v>
      </c>
    </row>
    <row r="112" spans="1:35" x14ac:dyDescent="0.45">
      <c r="A112">
        <v>111</v>
      </c>
      <c r="B112" t="s">
        <v>252</v>
      </c>
      <c r="C112" t="s">
        <v>258</v>
      </c>
      <c r="D112" t="s">
        <v>94</v>
      </c>
      <c r="E112">
        <v>6</v>
      </c>
      <c r="F112">
        <v>-5.9569999999999999</v>
      </c>
      <c r="G112">
        <v>-36.965000000000003</v>
      </c>
      <c r="H112">
        <v>16258</v>
      </c>
      <c r="I112">
        <v>0</v>
      </c>
      <c r="J112">
        <v>1</v>
      </c>
      <c r="K112" t="s">
        <v>55</v>
      </c>
      <c r="L112" t="s">
        <v>55</v>
      </c>
      <c r="M112" t="s">
        <v>56</v>
      </c>
      <c r="N112">
        <v>1643302015.1300001</v>
      </c>
      <c r="O112">
        <v>0.2</v>
      </c>
      <c r="P112">
        <v>0.40899999999999997</v>
      </c>
      <c r="Q112">
        <v>54.954000000000001</v>
      </c>
      <c r="R112">
        <v>1E-3</v>
      </c>
      <c r="S112">
        <v>1E-3</v>
      </c>
      <c r="T112">
        <v>1.3280000000000001</v>
      </c>
      <c r="U112">
        <v>90.332999999999998</v>
      </c>
      <c r="V112">
        <v>24.908999999999999</v>
      </c>
      <c r="W112">
        <v>2.3559999999999999</v>
      </c>
      <c r="X112">
        <v>86.078000000000003</v>
      </c>
      <c r="Y112">
        <v>0.97099999999999997</v>
      </c>
      <c r="Z112">
        <v>1.1240000000000001</v>
      </c>
      <c r="AA112">
        <v>0</v>
      </c>
      <c r="AB112">
        <v>0</v>
      </c>
      <c r="AC112">
        <v>1</v>
      </c>
      <c r="AD112">
        <v>39.375</v>
      </c>
      <c r="AE112">
        <v>1</v>
      </c>
      <c r="AF112">
        <v>11</v>
      </c>
      <c r="AG112">
        <v>2</v>
      </c>
      <c r="AH112" t="s">
        <v>84</v>
      </c>
      <c r="AI112">
        <v>0</v>
      </c>
    </row>
    <row r="113" spans="1:35" x14ac:dyDescent="0.45">
      <c r="A113">
        <v>112</v>
      </c>
      <c r="B113" t="s">
        <v>259</v>
      </c>
      <c r="C113" t="s">
        <v>260</v>
      </c>
      <c r="D113" t="s">
        <v>95</v>
      </c>
      <c r="E113">
        <v>1</v>
      </c>
      <c r="F113">
        <v>-5.9560000000000004</v>
      </c>
      <c r="G113">
        <v>-37.188000000000002</v>
      </c>
      <c r="H113">
        <v>16266</v>
      </c>
      <c r="I113">
        <v>-1</v>
      </c>
      <c r="J113">
        <v>1</v>
      </c>
      <c r="K113" t="s">
        <v>55</v>
      </c>
      <c r="L113" t="s">
        <v>55</v>
      </c>
      <c r="M113" t="s">
        <v>56</v>
      </c>
      <c r="N113">
        <v>1643302552.2</v>
      </c>
      <c r="O113">
        <v>0.182</v>
      </c>
      <c r="P113">
        <v>0.40799999999999997</v>
      </c>
      <c r="Q113">
        <v>55.527999999999999</v>
      </c>
      <c r="R113">
        <v>1E-3</v>
      </c>
      <c r="S113">
        <v>-1E-3</v>
      </c>
      <c r="T113">
        <v>1.3260000000000001</v>
      </c>
      <c r="U113">
        <v>90.134</v>
      </c>
      <c r="V113">
        <v>24.920999999999999</v>
      </c>
      <c r="W113">
        <v>2.3860000000000001</v>
      </c>
      <c r="X113">
        <v>87.445999999999998</v>
      </c>
      <c r="Y113">
        <v>1.014</v>
      </c>
      <c r="Z113">
        <v>1.385</v>
      </c>
      <c r="AA113">
        <v>0</v>
      </c>
      <c r="AB113">
        <v>0</v>
      </c>
      <c r="AC113">
        <v>1</v>
      </c>
      <c r="AD113">
        <v>39.375</v>
      </c>
      <c r="AE113">
        <v>1</v>
      </c>
      <c r="AF113">
        <v>12</v>
      </c>
      <c r="AG113">
        <v>2</v>
      </c>
      <c r="AH113" t="s">
        <v>84</v>
      </c>
      <c r="AI113">
        <v>0</v>
      </c>
    </row>
    <row r="114" spans="1:35" x14ac:dyDescent="0.45">
      <c r="A114">
        <v>113</v>
      </c>
      <c r="B114" t="s">
        <v>259</v>
      </c>
      <c r="C114" t="s">
        <v>261</v>
      </c>
      <c r="D114" t="s">
        <v>95</v>
      </c>
      <c r="E114">
        <v>2</v>
      </c>
      <c r="F114">
        <v>-5.9370000000000003</v>
      </c>
      <c r="G114">
        <v>-37.176000000000002</v>
      </c>
      <c r="H114">
        <v>16223</v>
      </c>
      <c r="I114">
        <v>-1</v>
      </c>
      <c r="J114">
        <v>1</v>
      </c>
      <c r="K114" t="s">
        <v>55</v>
      </c>
      <c r="L114" t="s">
        <v>55</v>
      </c>
      <c r="M114" t="s">
        <v>56</v>
      </c>
      <c r="N114">
        <v>1643303089.04</v>
      </c>
      <c r="O114">
        <v>0.21</v>
      </c>
      <c r="P114">
        <v>0.40600000000000003</v>
      </c>
      <c r="Q114">
        <v>54.32</v>
      </c>
      <c r="R114">
        <v>1E-3</v>
      </c>
      <c r="S114">
        <v>1E-3</v>
      </c>
      <c r="T114">
        <v>1.319</v>
      </c>
      <c r="U114">
        <v>89.953999999999994</v>
      </c>
      <c r="V114">
        <v>24.754000000000001</v>
      </c>
      <c r="W114">
        <v>2.339</v>
      </c>
      <c r="X114">
        <v>87.245999999999995</v>
      </c>
      <c r="Y114">
        <v>0.97799999999999998</v>
      </c>
      <c r="Z114">
        <v>1.298</v>
      </c>
      <c r="AA114">
        <v>0</v>
      </c>
      <c r="AB114">
        <v>0</v>
      </c>
      <c r="AC114">
        <v>1</v>
      </c>
      <c r="AD114">
        <v>39.375</v>
      </c>
      <c r="AE114">
        <v>1</v>
      </c>
      <c r="AF114">
        <v>12</v>
      </c>
      <c r="AG114">
        <v>2</v>
      </c>
      <c r="AH114" t="s">
        <v>84</v>
      </c>
      <c r="AI114">
        <v>0</v>
      </c>
    </row>
    <row r="115" spans="1:35" x14ac:dyDescent="0.45">
      <c r="A115">
        <v>114</v>
      </c>
      <c r="B115" t="s">
        <v>259</v>
      </c>
      <c r="C115" t="s">
        <v>262</v>
      </c>
      <c r="D115" t="s">
        <v>95</v>
      </c>
      <c r="E115">
        <v>3</v>
      </c>
      <c r="F115">
        <v>-5.9889999999999999</v>
      </c>
      <c r="G115">
        <v>-37.158999999999999</v>
      </c>
      <c r="H115">
        <v>16237</v>
      </c>
      <c r="I115">
        <v>-1</v>
      </c>
      <c r="J115">
        <v>1</v>
      </c>
      <c r="K115" t="s">
        <v>55</v>
      </c>
      <c r="L115" t="s">
        <v>55</v>
      </c>
      <c r="M115" t="s">
        <v>56</v>
      </c>
      <c r="N115">
        <v>1643303626.1700001</v>
      </c>
      <c r="O115">
        <v>0.20799999999999999</v>
      </c>
      <c r="P115">
        <v>0.41099999999999998</v>
      </c>
      <c r="Q115">
        <v>56.091999999999999</v>
      </c>
      <c r="R115">
        <v>1E-3</v>
      </c>
      <c r="S115">
        <v>1E-3</v>
      </c>
      <c r="T115">
        <v>1.335</v>
      </c>
      <c r="U115">
        <v>90.043000000000006</v>
      </c>
      <c r="V115">
        <v>25.081</v>
      </c>
      <c r="W115">
        <v>2.3220000000000001</v>
      </c>
      <c r="X115">
        <v>86.162999999999997</v>
      </c>
      <c r="Y115">
        <v>1.0249999999999999</v>
      </c>
      <c r="Z115">
        <v>1.036</v>
      </c>
      <c r="AA115">
        <v>0</v>
      </c>
      <c r="AB115">
        <v>0</v>
      </c>
      <c r="AC115">
        <v>1</v>
      </c>
      <c r="AD115">
        <v>39.375</v>
      </c>
      <c r="AE115">
        <v>1</v>
      </c>
      <c r="AF115">
        <v>12</v>
      </c>
      <c r="AG115">
        <v>2</v>
      </c>
      <c r="AH115" t="s">
        <v>84</v>
      </c>
      <c r="AI115">
        <v>0</v>
      </c>
    </row>
    <row r="116" spans="1:35" x14ac:dyDescent="0.45">
      <c r="A116">
        <v>115</v>
      </c>
      <c r="B116" t="s">
        <v>259</v>
      </c>
      <c r="C116" t="s">
        <v>263</v>
      </c>
      <c r="D116" t="s">
        <v>95</v>
      </c>
      <c r="E116">
        <v>4</v>
      </c>
      <c r="F116">
        <v>-5.9660000000000002</v>
      </c>
      <c r="G116">
        <v>-37.095999999999997</v>
      </c>
      <c r="H116">
        <v>16266</v>
      </c>
      <c r="I116">
        <v>0</v>
      </c>
      <c r="J116">
        <v>1</v>
      </c>
      <c r="K116" t="s">
        <v>55</v>
      </c>
      <c r="L116" t="s">
        <v>55</v>
      </c>
      <c r="M116" t="s">
        <v>56</v>
      </c>
      <c r="N116">
        <v>1643304162.6400001</v>
      </c>
      <c r="O116">
        <v>0.21299999999999999</v>
      </c>
      <c r="P116">
        <v>0.35799999999999998</v>
      </c>
      <c r="Q116">
        <v>54.100999999999999</v>
      </c>
      <c r="R116">
        <v>1E-3</v>
      </c>
      <c r="S116">
        <v>0</v>
      </c>
      <c r="T116">
        <v>1.3089999999999999</v>
      </c>
      <c r="U116">
        <v>90.144000000000005</v>
      </c>
      <c r="V116">
        <v>24.907</v>
      </c>
      <c r="W116">
        <v>2.3820000000000001</v>
      </c>
      <c r="X116">
        <v>87.488</v>
      </c>
      <c r="Y116">
        <v>1.002</v>
      </c>
      <c r="Z116">
        <v>1.252</v>
      </c>
      <c r="AA116">
        <v>0</v>
      </c>
      <c r="AB116">
        <v>0</v>
      </c>
      <c r="AC116">
        <v>1</v>
      </c>
      <c r="AD116">
        <v>39.375</v>
      </c>
      <c r="AE116">
        <v>1</v>
      </c>
      <c r="AF116">
        <v>12</v>
      </c>
      <c r="AG116">
        <v>2</v>
      </c>
      <c r="AH116" t="s">
        <v>84</v>
      </c>
      <c r="AI116">
        <v>0</v>
      </c>
    </row>
    <row r="117" spans="1:35" x14ac:dyDescent="0.45">
      <c r="A117">
        <v>116</v>
      </c>
      <c r="B117" t="s">
        <v>259</v>
      </c>
      <c r="C117" t="s">
        <v>264</v>
      </c>
      <c r="D117" t="s">
        <v>95</v>
      </c>
      <c r="E117">
        <v>5</v>
      </c>
      <c r="F117">
        <v>-5.99</v>
      </c>
      <c r="G117">
        <v>-37.22</v>
      </c>
      <c r="H117">
        <v>16212</v>
      </c>
      <c r="I117">
        <v>0</v>
      </c>
      <c r="J117">
        <v>1</v>
      </c>
      <c r="K117" t="s">
        <v>55</v>
      </c>
      <c r="L117" t="s">
        <v>55</v>
      </c>
      <c r="M117" t="s">
        <v>56</v>
      </c>
      <c r="N117">
        <v>1643304700.21</v>
      </c>
      <c r="O117">
        <v>0.224</v>
      </c>
      <c r="P117">
        <v>0.38300000000000001</v>
      </c>
      <c r="Q117">
        <v>54.401000000000003</v>
      </c>
      <c r="R117">
        <v>1E-3</v>
      </c>
      <c r="S117">
        <v>0</v>
      </c>
      <c r="T117">
        <v>1.3140000000000001</v>
      </c>
      <c r="U117">
        <v>89.977000000000004</v>
      </c>
      <c r="V117">
        <v>24.771999999999998</v>
      </c>
      <c r="W117">
        <v>2.3279999999999998</v>
      </c>
      <c r="X117">
        <v>86.576999999999998</v>
      </c>
      <c r="Y117">
        <v>1.0029999999999999</v>
      </c>
      <c r="Z117">
        <v>1.0580000000000001</v>
      </c>
      <c r="AA117">
        <v>0</v>
      </c>
      <c r="AB117">
        <v>0</v>
      </c>
      <c r="AC117">
        <v>1</v>
      </c>
      <c r="AD117">
        <v>39.375</v>
      </c>
      <c r="AE117">
        <v>1</v>
      </c>
      <c r="AF117">
        <v>12</v>
      </c>
      <c r="AG117">
        <v>2</v>
      </c>
      <c r="AH117" t="s">
        <v>84</v>
      </c>
      <c r="AI117">
        <v>0</v>
      </c>
    </row>
    <row r="118" spans="1:35" x14ac:dyDescent="0.45">
      <c r="A118">
        <v>117</v>
      </c>
      <c r="B118" t="s">
        <v>259</v>
      </c>
      <c r="C118" t="s">
        <v>265</v>
      </c>
      <c r="D118" t="s">
        <v>95</v>
      </c>
      <c r="E118">
        <v>6</v>
      </c>
      <c r="F118">
        <v>-5.9820000000000002</v>
      </c>
      <c r="G118">
        <v>-37.191000000000003</v>
      </c>
      <c r="H118">
        <v>16275</v>
      </c>
      <c r="I118">
        <v>0</v>
      </c>
      <c r="J118">
        <v>1</v>
      </c>
      <c r="K118" t="s">
        <v>55</v>
      </c>
      <c r="L118" t="s">
        <v>55</v>
      </c>
      <c r="M118" t="s">
        <v>56</v>
      </c>
      <c r="N118">
        <v>1643305236.74</v>
      </c>
      <c r="O118">
        <v>0.20799999999999999</v>
      </c>
      <c r="P118">
        <v>0.40400000000000003</v>
      </c>
      <c r="Q118">
        <v>54.692999999999998</v>
      </c>
      <c r="R118">
        <v>2E-3</v>
      </c>
      <c r="S118">
        <v>1E-3</v>
      </c>
      <c r="T118">
        <v>1.3049999999999999</v>
      </c>
      <c r="U118">
        <v>90.225999999999999</v>
      </c>
      <c r="V118">
        <v>25.152999999999999</v>
      </c>
      <c r="W118">
        <v>2.3450000000000002</v>
      </c>
      <c r="X118">
        <v>86.611999999999995</v>
      </c>
      <c r="Y118">
        <v>1.0269999999999999</v>
      </c>
      <c r="Z118">
        <v>1.1100000000000001</v>
      </c>
      <c r="AA118">
        <v>0</v>
      </c>
      <c r="AB118">
        <v>0</v>
      </c>
      <c r="AC118">
        <v>1</v>
      </c>
      <c r="AD118">
        <v>39.375</v>
      </c>
      <c r="AE118">
        <v>1</v>
      </c>
      <c r="AF118">
        <v>12</v>
      </c>
      <c r="AG118">
        <v>2</v>
      </c>
      <c r="AH118" t="s">
        <v>84</v>
      </c>
      <c r="AI118">
        <v>0</v>
      </c>
    </row>
    <row r="119" spans="1:35" x14ac:dyDescent="0.45">
      <c r="A119">
        <v>118</v>
      </c>
      <c r="B119" t="s">
        <v>266</v>
      </c>
      <c r="C119" t="s">
        <v>267</v>
      </c>
      <c r="D119" t="s">
        <v>96</v>
      </c>
      <c r="E119">
        <v>1</v>
      </c>
      <c r="F119">
        <v>-5.7869999999999999</v>
      </c>
      <c r="G119">
        <v>-36.752000000000002</v>
      </c>
      <c r="H119">
        <v>16243</v>
      </c>
      <c r="I119">
        <v>-1</v>
      </c>
      <c r="J119">
        <v>1</v>
      </c>
      <c r="K119" t="s">
        <v>55</v>
      </c>
      <c r="L119" t="s">
        <v>55</v>
      </c>
      <c r="M119" t="s">
        <v>56</v>
      </c>
      <c r="N119">
        <v>1643305773.8499999</v>
      </c>
      <c r="O119">
        <v>0.184</v>
      </c>
      <c r="P119">
        <v>0.377</v>
      </c>
      <c r="Q119">
        <v>55.454000000000001</v>
      </c>
      <c r="R119">
        <v>1E-3</v>
      </c>
      <c r="S119">
        <v>0</v>
      </c>
      <c r="T119">
        <v>1.33</v>
      </c>
      <c r="U119">
        <v>90.091999999999999</v>
      </c>
      <c r="V119">
        <v>24.975000000000001</v>
      </c>
      <c r="W119">
        <v>2.3279999999999998</v>
      </c>
      <c r="X119">
        <v>86.441000000000003</v>
      </c>
      <c r="Y119">
        <v>1.0209999999999999</v>
      </c>
      <c r="Z119">
        <v>1.1539999999999999</v>
      </c>
      <c r="AA119">
        <v>0</v>
      </c>
      <c r="AB119">
        <v>0</v>
      </c>
      <c r="AC119">
        <v>1</v>
      </c>
      <c r="AD119">
        <v>39.375</v>
      </c>
      <c r="AE119">
        <v>1</v>
      </c>
      <c r="AF119">
        <v>13</v>
      </c>
      <c r="AG119">
        <v>2</v>
      </c>
      <c r="AH119" t="s">
        <v>84</v>
      </c>
      <c r="AI119">
        <v>0</v>
      </c>
    </row>
    <row r="120" spans="1:35" x14ac:dyDescent="0.45">
      <c r="A120">
        <v>119</v>
      </c>
      <c r="B120" t="s">
        <v>266</v>
      </c>
      <c r="C120" t="s">
        <v>268</v>
      </c>
      <c r="D120" t="s">
        <v>96</v>
      </c>
      <c r="E120">
        <v>2</v>
      </c>
      <c r="F120">
        <v>-5.798</v>
      </c>
      <c r="G120">
        <v>-36.695999999999998</v>
      </c>
      <c r="H120">
        <v>16288</v>
      </c>
      <c r="I120">
        <v>-1</v>
      </c>
      <c r="J120">
        <v>1</v>
      </c>
      <c r="K120" t="s">
        <v>55</v>
      </c>
      <c r="L120" t="s">
        <v>55</v>
      </c>
      <c r="M120" t="s">
        <v>56</v>
      </c>
      <c r="N120">
        <v>1643306311.6400001</v>
      </c>
      <c r="O120">
        <v>0.216</v>
      </c>
      <c r="P120">
        <v>0.46</v>
      </c>
      <c r="Q120">
        <v>55.264000000000003</v>
      </c>
      <c r="R120">
        <v>1E-3</v>
      </c>
      <c r="S120">
        <v>3.0000000000000001E-3</v>
      </c>
      <c r="T120">
        <v>1.325</v>
      </c>
      <c r="U120">
        <v>90.402000000000001</v>
      </c>
      <c r="V120">
        <v>25.123999999999999</v>
      </c>
      <c r="W120">
        <v>2.3239999999999998</v>
      </c>
      <c r="X120">
        <v>86.405000000000001</v>
      </c>
      <c r="Y120">
        <v>1.0049999999999999</v>
      </c>
      <c r="Z120">
        <v>1.046</v>
      </c>
      <c r="AA120">
        <v>0</v>
      </c>
      <c r="AB120">
        <v>0</v>
      </c>
      <c r="AC120">
        <v>1</v>
      </c>
      <c r="AD120">
        <v>39.375</v>
      </c>
      <c r="AE120">
        <v>1</v>
      </c>
      <c r="AF120">
        <v>13</v>
      </c>
      <c r="AG120">
        <v>2</v>
      </c>
      <c r="AH120" t="s">
        <v>84</v>
      </c>
      <c r="AI120">
        <v>0</v>
      </c>
    </row>
    <row r="121" spans="1:35" x14ac:dyDescent="0.45">
      <c r="A121">
        <v>120</v>
      </c>
      <c r="B121" t="s">
        <v>266</v>
      </c>
      <c r="C121" t="s">
        <v>269</v>
      </c>
      <c r="D121" t="s">
        <v>96</v>
      </c>
      <c r="E121">
        <v>3</v>
      </c>
      <c r="F121">
        <v>-5.7629999999999999</v>
      </c>
      <c r="G121">
        <v>-36.713000000000001</v>
      </c>
      <c r="H121">
        <v>16370</v>
      </c>
      <c r="I121">
        <v>-1</v>
      </c>
      <c r="J121">
        <v>1</v>
      </c>
      <c r="K121" t="s">
        <v>55</v>
      </c>
      <c r="L121" t="s">
        <v>55</v>
      </c>
      <c r="M121" t="s">
        <v>56</v>
      </c>
      <c r="N121">
        <v>1643306849.26</v>
      </c>
      <c r="O121">
        <v>0.185</v>
      </c>
      <c r="P121">
        <v>0.39</v>
      </c>
      <c r="Q121">
        <v>54.456000000000003</v>
      </c>
      <c r="R121">
        <v>1E-3</v>
      </c>
      <c r="S121">
        <v>1E-3</v>
      </c>
      <c r="T121">
        <v>1.3160000000000001</v>
      </c>
      <c r="U121">
        <v>90.876000000000005</v>
      </c>
      <c r="V121">
        <v>25.466000000000001</v>
      </c>
      <c r="W121">
        <v>2.3220000000000001</v>
      </c>
      <c r="X121">
        <v>85.938000000000002</v>
      </c>
      <c r="Y121">
        <v>1.0489999999999999</v>
      </c>
      <c r="Z121">
        <v>0.999</v>
      </c>
      <c r="AA121">
        <v>0</v>
      </c>
      <c r="AB121">
        <v>0</v>
      </c>
      <c r="AC121">
        <v>1</v>
      </c>
      <c r="AD121">
        <v>39.375</v>
      </c>
      <c r="AE121">
        <v>1</v>
      </c>
      <c r="AF121">
        <v>13</v>
      </c>
      <c r="AG121">
        <v>2</v>
      </c>
      <c r="AH121" t="s">
        <v>84</v>
      </c>
      <c r="AI121">
        <v>0</v>
      </c>
    </row>
    <row r="122" spans="1:35" x14ac:dyDescent="0.45">
      <c r="A122">
        <v>121</v>
      </c>
      <c r="B122" t="s">
        <v>266</v>
      </c>
      <c r="C122" t="s">
        <v>270</v>
      </c>
      <c r="D122" t="s">
        <v>96</v>
      </c>
      <c r="E122">
        <v>4</v>
      </c>
      <c r="F122">
        <v>-5.8220000000000001</v>
      </c>
      <c r="G122">
        <v>-36.773000000000003</v>
      </c>
      <c r="H122">
        <v>16269</v>
      </c>
      <c r="I122">
        <v>0</v>
      </c>
      <c r="J122">
        <v>1</v>
      </c>
      <c r="K122" t="s">
        <v>55</v>
      </c>
      <c r="L122" t="s">
        <v>55</v>
      </c>
      <c r="M122" t="s">
        <v>56</v>
      </c>
      <c r="N122">
        <v>1643307385.28</v>
      </c>
      <c r="O122">
        <v>0.20799999999999999</v>
      </c>
      <c r="P122">
        <v>0.38300000000000001</v>
      </c>
      <c r="Q122">
        <v>54.591999999999999</v>
      </c>
      <c r="R122">
        <v>1E-3</v>
      </c>
      <c r="S122">
        <v>1E-3</v>
      </c>
      <c r="T122">
        <v>1.3160000000000001</v>
      </c>
      <c r="U122">
        <v>90.262</v>
      </c>
      <c r="V122">
        <v>25.350999999999999</v>
      </c>
      <c r="W122">
        <v>2.2970000000000002</v>
      </c>
      <c r="X122">
        <v>85.52</v>
      </c>
      <c r="Y122">
        <v>1.016</v>
      </c>
      <c r="Z122">
        <v>1.0329999999999999</v>
      </c>
      <c r="AA122">
        <v>0</v>
      </c>
      <c r="AB122">
        <v>0</v>
      </c>
      <c r="AC122">
        <v>1</v>
      </c>
      <c r="AD122">
        <v>39.375</v>
      </c>
      <c r="AE122">
        <v>1</v>
      </c>
      <c r="AF122">
        <v>13</v>
      </c>
      <c r="AG122">
        <v>2</v>
      </c>
      <c r="AH122" t="s">
        <v>84</v>
      </c>
      <c r="AI122">
        <v>0</v>
      </c>
    </row>
    <row r="123" spans="1:35" x14ac:dyDescent="0.45">
      <c r="A123">
        <v>122</v>
      </c>
      <c r="B123" t="s">
        <v>266</v>
      </c>
      <c r="C123" t="s">
        <v>271</v>
      </c>
      <c r="D123" t="s">
        <v>96</v>
      </c>
      <c r="E123">
        <v>5</v>
      </c>
      <c r="F123">
        <v>-5.8079999999999998</v>
      </c>
      <c r="G123">
        <v>-36.706000000000003</v>
      </c>
      <c r="H123">
        <v>16224</v>
      </c>
      <c r="I123">
        <v>0</v>
      </c>
      <c r="J123">
        <v>1</v>
      </c>
      <c r="K123" t="s">
        <v>55</v>
      </c>
      <c r="L123" t="s">
        <v>55</v>
      </c>
      <c r="M123" t="s">
        <v>56</v>
      </c>
      <c r="N123">
        <v>1643307922.2</v>
      </c>
      <c r="O123">
        <v>0.218</v>
      </c>
      <c r="P123">
        <v>0.40100000000000002</v>
      </c>
      <c r="Q123">
        <v>54.851999999999997</v>
      </c>
      <c r="R123">
        <v>1E-3</v>
      </c>
      <c r="S123">
        <v>0</v>
      </c>
      <c r="T123">
        <v>1.302</v>
      </c>
      <c r="U123">
        <v>89.825000000000003</v>
      </c>
      <c r="V123">
        <v>24.844000000000001</v>
      </c>
      <c r="W123">
        <v>2.35</v>
      </c>
      <c r="X123">
        <v>87.363</v>
      </c>
      <c r="Y123">
        <v>1.028</v>
      </c>
      <c r="Z123">
        <v>1.304</v>
      </c>
      <c r="AA123">
        <v>0</v>
      </c>
      <c r="AB123">
        <v>0</v>
      </c>
      <c r="AC123">
        <v>1</v>
      </c>
      <c r="AD123">
        <v>39.375</v>
      </c>
      <c r="AE123">
        <v>1</v>
      </c>
      <c r="AF123">
        <v>13</v>
      </c>
      <c r="AG123">
        <v>2</v>
      </c>
      <c r="AH123" t="s">
        <v>84</v>
      </c>
      <c r="AI123">
        <v>0</v>
      </c>
    </row>
    <row r="124" spans="1:35" x14ac:dyDescent="0.45">
      <c r="A124">
        <v>123</v>
      </c>
      <c r="B124" t="s">
        <v>266</v>
      </c>
      <c r="C124" t="s">
        <v>272</v>
      </c>
      <c r="D124" t="s">
        <v>96</v>
      </c>
      <c r="E124">
        <v>6</v>
      </c>
      <c r="F124">
        <v>-5.8140000000000001</v>
      </c>
      <c r="G124">
        <v>-36.700000000000003</v>
      </c>
      <c r="H124">
        <v>16262</v>
      </c>
      <c r="I124">
        <v>0</v>
      </c>
      <c r="J124">
        <v>1</v>
      </c>
      <c r="K124" t="s">
        <v>55</v>
      </c>
      <c r="L124" t="s">
        <v>55</v>
      </c>
      <c r="M124" t="s">
        <v>56</v>
      </c>
      <c r="N124">
        <v>1643308460.95</v>
      </c>
      <c r="O124">
        <v>0.224</v>
      </c>
      <c r="P124">
        <v>0.38900000000000001</v>
      </c>
      <c r="Q124">
        <v>56.015000000000001</v>
      </c>
      <c r="R124">
        <v>2E-3</v>
      </c>
      <c r="S124">
        <v>0</v>
      </c>
      <c r="T124">
        <v>1.337</v>
      </c>
      <c r="U124">
        <v>90.38</v>
      </c>
      <c r="V124">
        <v>24.79</v>
      </c>
      <c r="W124">
        <v>2.2989999999999999</v>
      </c>
      <c r="X124">
        <v>86.400999999999996</v>
      </c>
      <c r="Y124">
        <v>1.0580000000000001</v>
      </c>
      <c r="Z124">
        <v>1.0089999999999999</v>
      </c>
      <c r="AA124">
        <v>0</v>
      </c>
      <c r="AB124">
        <v>0</v>
      </c>
      <c r="AC124">
        <v>1</v>
      </c>
      <c r="AD124">
        <v>39.375</v>
      </c>
      <c r="AE124">
        <v>1</v>
      </c>
      <c r="AF124">
        <v>13</v>
      </c>
      <c r="AG124">
        <v>2</v>
      </c>
      <c r="AH124" t="s">
        <v>84</v>
      </c>
      <c r="AI124">
        <v>0</v>
      </c>
    </row>
    <row r="125" spans="1:35" x14ac:dyDescent="0.45">
      <c r="A125">
        <v>124</v>
      </c>
      <c r="B125" t="s">
        <v>273</v>
      </c>
      <c r="C125" t="s">
        <v>274</v>
      </c>
      <c r="D125" t="s">
        <v>97</v>
      </c>
      <c r="E125">
        <v>1</v>
      </c>
      <c r="F125">
        <v>-5.5609999999999999</v>
      </c>
      <c r="G125">
        <v>-30.423999999999999</v>
      </c>
      <c r="H125">
        <v>16139</v>
      </c>
      <c r="I125">
        <v>-1</v>
      </c>
      <c r="J125">
        <v>1</v>
      </c>
      <c r="K125" t="s">
        <v>55</v>
      </c>
      <c r="L125" t="s">
        <v>55</v>
      </c>
      <c r="M125" t="s">
        <v>56</v>
      </c>
      <c r="N125">
        <v>1643308995.53</v>
      </c>
      <c r="O125">
        <v>0.221</v>
      </c>
      <c r="P125">
        <v>0.375</v>
      </c>
      <c r="Q125">
        <v>54.216999999999999</v>
      </c>
      <c r="R125">
        <v>0</v>
      </c>
      <c r="S125">
        <v>0</v>
      </c>
      <c r="T125">
        <v>1.294</v>
      </c>
      <c r="U125">
        <v>89.463999999999999</v>
      </c>
      <c r="V125">
        <v>25.050999999999998</v>
      </c>
      <c r="W125">
        <v>2.2610000000000001</v>
      </c>
      <c r="X125">
        <v>85.144999999999996</v>
      </c>
      <c r="Y125">
        <v>1.044</v>
      </c>
      <c r="Z125">
        <v>0.98799999999999999</v>
      </c>
      <c r="AA125">
        <v>0</v>
      </c>
      <c r="AB125">
        <v>0</v>
      </c>
      <c r="AC125">
        <v>1</v>
      </c>
      <c r="AD125">
        <v>39.375</v>
      </c>
      <c r="AE125">
        <v>1</v>
      </c>
      <c r="AF125">
        <v>14</v>
      </c>
      <c r="AG125">
        <v>2</v>
      </c>
      <c r="AH125" t="s">
        <v>84</v>
      </c>
      <c r="AI125">
        <v>0</v>
      </c>
    </row>
    <row r="126" spans="1:35" x14ac:dyDescent="0.45">
      <c r="A126">
        <v>125</v>
      </c>
      <c r="B126" t="s">
        <v>273</v>
      </c>
      <c r="C126" t="s">
        <v>275</v>
      </c>
      <c r="D126" t="s">
        <v>97</v>
      </c>
      <c r="E126">
        <v>2</v>
      </c>
      <c r="F126">
        <v>-5.5339999999999998</v>
      </c>
      <c r="G126">
        <v>-29.873000000000001</v>
      </c>
      <c r="H126">
        <v>16320</v>
      </c>
      <c r="I126">
        <v>-1</v>
      </c>
      <c r="J126">
        <v>1</v>
      </c>
      <c r="K126" t="s">
        <v>55</v>
      </c>
      <c r="L126" t="s">
        <v>55</v>
      </c>
      <c r="M126" t="s">
        <v>56</v>
      </c>
      <c r="N126">
        <v>1643309535.1400001</v>
      </c>
      <c r="O126">
        <v>0.20300000000000001</v>
      </c>
      <c r="P126">
        <v>0.372</v>
      </c>
      <c r="Q126">
        <v>54.24</v>
      </c>
      <c r="R126">
        <v>2E-3</v>
      </c>
      <c r="S126">
        <v>0</v>
      </c>
      <c r="T126">
        <v>1.3160000000000001</v>
      </c>
      <c r="U126">
        <v>90.613</v>
      </c>
      <c r="V126">
        <v>24.890999999999998</v>
      </c>
      <c r="W126">
        <v>2.3079999999999998</v>
      </c>
      <c r="X126">
        <v>87.012</v>
      </c>
      <c r="Y126">
        <v>1.034</v>
      </c>
      <c r="Z126">
        <v>1.1419999999999999</v>
      </c>
      <c r="AA126">
        <v>0</v>
      </c>
      <c r="AB126">
        <v>0</v>
      </c>
      <c r="AC126">
        <v>1</v>
      </c>
      <c r="AD126">
        <v>39.438000000000002</v>
      </c>
      <c r="AE126">
        <v>1</v>
      </c>
      <c r="AF126">
        <v>14</v>
      </c>
      <c r="AG126">
        <v>2</v>
      </c>
      <c r="AH126" t="s">
        <v>84</v>
      </c>
      <c r="AI126">
        <v>0</v>
      </c>
    </row>
    <row r="127" spans="1:35" x14ac:dyDescent="0.45">
      <c r="A127">
        <v>126</v>
      </c>
      <c r="B127" t="s">
        <v>273</v>
      </c>
      <c r="C127" t="s">
        <v>276</v>
      </c>
      <c r="D127" t="s">
        <v>97</v>
      </c>
      <c r="E127">
        <v>3</v>
      </c>
      <c r="F127">
        <v>-5.5679999999999996</v>
      </c>
      <c r="G127">
        <v>-29.835999999999999</v>
      </c>
      <c r="H127">
        <v>16381</v>
      </c>
      <c r="I127">
        <v>-1</v>
      </c>
      <c r="J127">
        <v>1</v>
      </c>
      <c r="K127" t="s">
        <v>55</v>
      </c>
      <c r="L127" t="s">
        <v>55</v>
      </c>
      <c r="M127" t="s">
        <v>56</v>
      </c>
      <c r="N127">
        <v>1643310070.98</v>
      </c>
      <c r="O127">
        <v>0.216</v>
      </c>
      <c r="P127">
        <v>0.41199999999999998</v>
      </c>
      <c r="Q127">
        <v>55.103000000000002</v>
      </c>
      <c r="R127">
        <v>0</v>
      </c>
      <c r="S127">
        <v>-1E-3</v>
      </c>
      <c r="T127">
        <v>1.3320000000000001</v>
      </c>
      <c r="U127">
        <v>90.817999999999998</v>
      </c>
      <c r="V127">
        <v>25.774000000000001</v>
      </c>
      <c r="W127">
        <v>2.2789999999999999</v>
      </c>
      <c r="X127">
        <v>85.968999999999994</v>
      </c>
      <c r="Y127">
        <v>1.046</v>
      </c>
      <c r="Z127">
        <v>1.0449999999999999</v>
      </c>
      <c r="AA127">
        <v>0</v>
      </c>
      <c r="AB127">
        <v>0</v>
      </c>
      <c r="AC127">
        <v>1</v>
      </c>
      <c r="AD127">
        <v>39.375</v>
      </c>
      <c r="AE127">
        <v>1</v>
      </c>
      <c r="AF127">
        <v>14</v>
      </c>
      <c r="AG127">
        <v>2</v>
      </c>
      <c r="AH127" t="s">
        <v>84</v>
      </c>
      <c r="AI127">
        <v>0</v>
      </c>
    </row>
    <row r="128" spans="1:35" x14ac:dyDescent="0.45">
      <c r="A128">
        <v>127</v>
      </c>
      <c r="B128" t="s">
        <v>273</v>
      </c>
      <c r="C128" t="s">
        <v>277</v>
      </c>
      <c r="D128" t="s">
        <v>97</v>
      </c>
      <c r="E128">
        <v>4</v>
      </c>
      <c r="F128">
        <v>-5.5190000000000001</v>
      </c>
      <c r="G128">
        <v>-29.645</v>
      </c>
      <c r="H128">
        <v>16307</v>
      </c>
      <c r="I128">
        <v>0</v>
      </c>
      <c r="J128">
        <v>1</v>
      </c>
      <c r="K128" t="s">
        <v>55</v>
      </c>
      <c r="L128" t="s">
        <v>55</v>
      </c>
      <c r="M128" t="s">
        <v>56</v>
      </c>
      <c r="N128">
        <v>1643310608.6300001</v>
      </c>
      <c r="O128">
        <v>0.20599999999999999</v>
      </c>
      <c r="P128">
        <v>0.44600000000000001</v>
      </c>
      <c r="Q128">
        <v>55.087000000000003</v>
      </c>
      <c r="R128">
        <v>1E-3</v>
      </c>
      <c r="S128">
        <v>0</v>
      </c>
      <c r="T128">
        <v>1.3320000000000001</v>
      </c>
      <c r="U128">
        <v>90.807000000000002</v>
      </c>
      <c r="V128">
        <v>24.774999999999999</v>
      </c>
      <c r="W128">
        <v>2.302</v>
      </c>
      <c r="X128">
        <v>85.673000000000002</v>
      </c>
      <c r="Y128">
        <v>1.0349999999999999</v>
      </c>
      <c r="Z128">
        <v>0.86899999999999999</v>
      </c>
      <c r="AA128">
        <v>0</v>
      </c>
      <c r="AB128">
        <v>0</v>
      </c>
      <c r="AC128">
        <v>1</v>
      </c>
      <c r="AD128">
        <v>39.375</v>
      </c>
      <c r="AE128">
        <v>1</v>
      </c>
      <c r="AF128">
        <v>14</v>
      </c>
      <c r="AG128">
        <v>2</v>
      </c>
      <c r="AH128" t="s">
        <v>84</v>
      </c>
      <c r="AI128">
        <v>0</v>
      </c>
    </row>
    <row r="129" spans="1:35" x14ac:dyDescent="0.45">
      <c r="A129">
        <v>128</v>
      </c>
      <c r="B129" t="s">
        <v>273</v>
      </c>
      <c r="C129" t="s">
        <v>278</v>
      </c>
      <c r="D129" t="s">
        <v>97</v>
      </c>
      <c r="E129">
        <v>5</v>
      </c>
      <c r="F129">
        <v>-5.5570000000000004</v>
      </c>
      <c r="G129">
        <v>-29.811</v>
      </c>
      <c r="H129">
        <v>16266</v>
      </c>
      <c r="I129">
        <v>0</v>
      </c>
      <c r="J129">
        <v>1</v>
      </c>
      <c r="K129" t="s">
        <v>55</v>
      </c>
      <c r="L129" t="s">
        <v>55</v>
      </c>
      <c r="M129" t="s">
        <v>56</v>
      </c>
      <c r="N129">
        <v>1643311145.1900001</v>
      </c>
      <c r="O129">
        <v>0.19400000000000001</v>
      </c>
      <c r="P129">
        <v>0.41699999999999998</v>
      </c>
      <c r="Q129">
        <v>55.067</v>
      </c>
      <c r="R129">
        <v>1E-3</v>
      </c>
      <c r="S129">
        <v>1E-3</v>
      </c>
      <c r="T129">
        <v>1.327</v>
      </c>
      <c r="U129">
        <v>90.406000000000006</v>
      </c>
      <c r="V129">
        <v>25.236999999999998</v>
      </c>
      <c r="W129">
        <v>2.2130000000000001</v>
      </c>
      <c r="X129">
        <v>84.775999999999996</v>
      </c>
      <c r="Y129">
        <v>1.052</v>
      </c>
      <c r="Z129">
        <v>0.85599999999999998</v>
      </c>
      <c r="AA129">
        <v>0</v>
      </c>
      <c r="AB129">
        <v>0</v>
      </c>
      <c r="AC129">
        <v>1</v>
      </c>
      <c r="AD129">
        <v>39.375</v>
      </c>
      <c r="AE129">
        <v>1</v>
      </c>
      <c r="AF129">
        <v>14</v>
      </c>
      <c r="AG129">
        <v>2</v>
      </c>
      <c r="AH129" t="s">
        <v>84</v>
      </c>
      <c r="AI129">
        <v>0</v>
      </c>
    </row>
    <row r="130" spans="1:35" x14ac:dyDescent="0.45">
      <c r="A130">
        <v>129</v>
      </c>
      <c r="B130" t="s">
        <v>273</v>
      </c>
      <c r="C130" t="s">
        <v>279</v>
      </c>
      <c r="D130" t="s">
        <v>97</v>
      </c>
      <c r="E130">
        <v>6</v>
      </c>
      <c r="F130">
        <v>-5.5339999999999998</v>
      </c>
      <c r="G130">
        <v>-29.75</v>
      </c>
      <c r="H130">
        <v>16305</v>
      </c>
      <c r="I130">
        <v>0</v>
      </c>
      <c r="J130">
        <v>1</v>
      </c>
      <c r="K130" t="s">
        <v>55</v>
      </c>
      <c r="L130" t="s">
        <v>55</v>
      </c>
      <c r="M130" t="s">
        <v>56</v>
      </c>
      <c r="N130">
        <v>1643311681.8299999</v>
      </c>
      <c r="O130">
        <v>0.20399999999999999</v>
      </c>
      <c r="P130">
        <v>0.40699999999999997</v>
      </c>
      <c r="Q130">
        <v>54.737000000000002</v>
      </c>
      <c r="R130">
        <v>1E-3</v>
      </c>
      <c r="S130">
        <v>0</v>
      </c>
      <c r="T130">
        <v>1.321</v>
      </c>
      <c r="U130">
        <v>90.641000000000005</v>
      </c>
      <c r="V130">
        <v>24.850999999999999</v>
      </c>
      <c r="W130">
        <v>2.3180000000000001</v>
      </c>
      <c r="X130">
        <v>86.498000000000005</v>
      </c>
      <c r="Y130">
        <v>1.022</v>
      </c>
      <c r="Z130">
        <v>1.0289999999999999</v>
      </c>
      <c r="AA130">
        <v>0</v>
      </c>
      <c r="AB130">
        <v>0</v>
      </c>
      <c r="AC130">
        <v>1</v>
      </c>
      <c r="AD130">
        <v>39.375</v>
      </c>
      <c r="AE130">
        <v>1</v>
      </c>
      <c r="AF130">
        <v>14</v>
      </c>
      <c r="AG130">
        <v>2</v>
      </c>
      <c r="AH130" t="s">
        <v>84</v>
      </c>
      <c r="AI130">
        <v>0</v>
      </c>
    </row>
    <row r="131" spans="1:35" x14ac:dyDescent="0.45">
      <c r="A131">
        <v>130</v>
      </c>
      <c r="B131" t="s">
        <v>280</v>
      </c>
      <c r="C131" t="s">
        <v>281</v>
      </c>
      <c r="D131" t="s">
        <v>98</v>
      </c>
      <c r="E131">
        <v>1</v>
      </c>
      <c r="F131">
        <v>-5.9119999999999999</v>
      </c>
      <c r="G131">
        <v>-36.491</v>
      </c>
      <c r="H131">
        <v>16289</v>
      </c>
      <c r="I131">
        <v>-1</v>
      </c>
      <c r="J131">
        <v>1</v>
      </c>
      <c r="K131" t="s">
        <v>55</v>
      </c>
      <c r="L131" t="s">
        <v>55</v>
      </c>
      <c r="M131" t="s">
        <v>56</v>
      </c>
      <c r="N131">
        <v>1643312218.2</v>
      </c>
      <c r="O131">
        <v>0.19700000000000001</v>
      </c>
      <c r="P131">
        <v>0.38900000000000001</v>
      </c>
      <c r="Q131">
        <v>55.606000000000002</v>
      </c>
      <c r="R131">
        <v>0</v>
      </c>
      <c r="S131">
        <v>1E-3</v>
      </c>
      <c r="T131">
        <v>1.319</v>
      </c>
      <c r="U131">
        <v>90.260999999999996</v>
      </c>
      <c r="V131">
        <v>25.202000000000002</v>
      </c>
      <c r="W131">
        <v>2.3260000000000001</v>
      </c>
      <c r="X131">
        <v>86.674000000000007</v>
      </c>
      <c r="Y131">
        <v>1.0349999999999999</v>
      </c>
      <c r="Z131">
        <v>1.169</v>
      </c>
      <c r="AA131">
        <v>0</v>
      </c>
      <c r="AB131">
        <v>0</v>
      </c>
      <c r="AC131">
        <v>1</v>
      </c>
      <c r="AD131">
        <v>39.375</v>
      </c>
      <c r="AE131">
        <v>1</v>
      </c>
      <c r="AF131">
        <v>15</v>
      </c>
      <c r="AG131">
        <v>2</v>
      </c>
      <c r="AH131" t="s">
        <v>84</v>
      </c>
      <c r="AI131">
        <v>0</v>
      </c>
    </row>
    <row r="132" spans="1:35" x14ac:dyDescent="0.45">
      <c r="A132">
        <v>131</v>
      </c>
      <c r="B132" t="s">
        <v>280</v>
      </c>
      <c r="C132" t="s">
        <v>282</v>
      </c>
      <c r="D132" t="s">
        <v>98</v>
      </c>
      <c r="E132">
        <v>2</v>
      </c>
      <c r="F132">
        <v>-5.89</v>
      </c>
      <c r="G132">
        <v>-36.906999999999996</v>
      </c>
      <c r="H132">
        <v>16312</v>
      </c>
      <c r="I132">
        <v>-1</v>
      </c>
      <c r="J132">
        <v>1</v>
      </c>
      <c r="K132" t="s">
        <v>55</v>
      </c>
      <c r="L132" t="s">
        <v>55</v>
      </c>
      <c r="M132" t="s">
        <v>56</v>
      </c>
      <c r="N132">
        <v>1643312755.3299999</v>
      </c>
      <c r="O132">
        <v>0.188</v>
      </c>
      <c r="P132">
        <v>0.38900000000000001</v>
      </c>
      <c r="Q132">
        <v>54.286999999999999</v>
      </c>
      <c r="R132">
        <v>0</v>
      </c>
      <c r="S132">
        <v>1E-3</v>
      </c>
      <c r="T132">
        <v>1.323</v>
      </c>
      <c r="U132">
        <v>90.546999999999997</v>
      </c>
      <c r="V132">
        <v>25.341000000000001</v>
      </c>
      <c r="W132">
        <v>2.2909999999999999</v>
      </c>
      <c r="X132">
        <v>85.799000000000007</v>
      </c>
      <c r="Y132">
        <v>1.026</v>
      </c>
      <c r="Z132">
        <v>0.99199999999999999</v>
      </c>
      <c r="AA132">
        <v>0</v>
      </c>
      <c r="AB132">
        <v>0</v>
      </c>
      <c r="AC132">
        <v>1</v>
      </c>
      <c r="AD132">
        <v>39.311999999999998</v>
      </c>
      <c r="AE132">
        <v>1</v>
      </c>
      <c r="AF132">
        <v>15</v>
      </c>
      <c r="AG132">
        <v>2</v>
      </c>
      <c r="AH132" t="s">
        <v>84</v>
      </c>
      <c r="AI132">
        <v>0</v>
      </c>
    </row>
    <row r="133" spans="1:35" x14ac:dyDescent="0.45">
      <c r="A133">
        <v>132</v>
      </c>
      <c r="B133" t="s">
        <v>280</v>
      </c>
      <c r="C133" t="s">
        <v>283</v>
      </c>
      <c r="D133" t="s">
        <v>98</v>
      </c>
      <c r="E133">
        <v>3</v>
      </c>
      <c r="F133">
        <v>-5.8650000000000002</v>
      </c>
      <c r="G133">
        <v>-36.975999999999999</v>
      </c>
      <c r="H133">
        <v>16225</v>
      </c>
      <c r="I133">
        <v>-1</v>
      </c>
      <c r="J133">
        <v>1</v>
      </c>
      <c r="K133" t="s">
        <v>55</v>
      </c>
      <c r="L133" t="s">
        <v>55</v>
      </c>
      <c r="M133" t="s">
        <v>56</v>
      </c>
      <c r="N133">
        <v>1643313292.4100001</v>
      </c>
      <c r="O133">
        <v>0.19900000000000001</v>
      </c>
      <c r="P133">
        <v>0.39700000000000002</v>
      </c>
      <c r="Q133">
        <v>55.850999999999999</v>
      </c>
      <c r="R133">
        <v>1E-3</v>
      </c>
      <c r="S133">
        <v>-1E-3</v>
      </c>
      <c r="T133">
        <v>1.325</v>
      </c>
      <c r="U133">
        <v>90.04</v>
      </c>
      <c r="V133">
        <v>25.187000000000001</v>
      </c>
      <c r="W133">
        <v>2.282</v>
      </c>
      <c r="X133">
        <v>85.403000000000006</v>
      </c>
      <c r="Y133">
        <v>1.0349999999999999</v>
      </c>
      <c r="Z133">
        <v>0.94</v>
      </c>
      <c r="AA133">
        <v>0</v>
      </c>
      <c r="AB133">
        <v>0</v>
      </c>
      <c r="AC133">
        <v>1</v>
      </c>
      <c r="AD133">
        <v>39.375</v>
      </c>
      <c r="AE133">
        <v>1</v>
      </c>
      <c r="AF133">
        <v>15</v>
      </c>
      <c r="AG133">
        <v>2</v>
      </c>
      <c r="AH133" t="s">
        <v>84</v>
      </c>
      <c r="AI133">
        <v>0</v>
      </c>
    </row>
    <row r="134" spans="1:35" x14ac:dyDescent="0.45">
      <c r="A134">
        <v>133</v>
      </c>
      <c r="B134" t="s">
        <v>280</v>
      </c>
      <c r="C134" t="s">
        <v>284</v>
      </c>
      <c r="D134" t="s">
        <v>98</v>
      </c>
      <c r="E134">
        <v>4</v>
      </c>
      <c r="F134">
        <v>-5.9359999999999999</v>
      </c>
      <c r="G134">
        <v>-37.149000000000001</v>
      </c>
      <c r="H134">
        <v>16259</v>
      </c>
      <c r="I134">
        <v>0</v>
      </c>
      <c r="J134">
        <v>1</v>
      </c>
      <c r="K134" t="s">
        <v>55</v>
      </c>
      <c r="L134" t="s">
        <v>55</v>
      </c>
      <c r="M134" t="s">
        <v>56</v>
      </c>
      <c r="N134">
        <v>1643313828.6700001</v>
      </c>
      <c r="O134">
        <v>0.2</v>
      </c>
      <c r="P134">
        <v>0.35799999999999998</v>
      </c>
      <c r="Q134">
        <v>55.112000000000002</v>
      </c>
      <c r="R134">
        <v>0</v>
      </c>
      <c r="S134">
        <v>0</v>
      </c>
      <c r="T134">
        <v>1.3240000000000001</v>
      </c>
      <c r="U134">
        <v>90.326999999999998</v>
      </c>
      <c r="V134">
        <v>25.181000000000001</v>
      </c>
      <c r="W134">
        <v>2.254</v>
      </c>
      <c r="X134">
        <v>85.207999999999998</v>
      </c>
      <c r="Y134">
        <v>1.0149999999999999</v>
      </c>
      <c r="Z134">
        <v>0.89700000000000002</v>
      </c>
      <c r="AA134">
        <v>0</v>
      </c>
      <c r="AB134">
        <v>0</v>
      </c>
      <c r="AC134">
        <v>1</v>
      </c>
      <c r="AD134">
        <v>39.375</v>
      </c>
      <c r="AE134">
        <v>1</v>
      </c>
      <c r="AF134">
        <v>15</v>
      </c>
      <c r="AG134">
        <v>2</v>
      </c>
      <c r="AH134" t="s">
        <v>84</v>
      </c>
      <c r="AI134">
        <v>0</v>
      </c>
    </row>
    <row r="135" spans="1:35" x14ac:dyDescent="0.45">
      <c r="A135">
        <v>134</v>
      </c>
      <c r="B135" t="s">
        <v>280</v>
      </c>
      <c r="C135" t="s">
        <v>285</v>
      </c>
      <c r="D135" t="s">
        <v>98</v>
      </c>
      <c r="E135">
        <v>5</v>
      </c>
      <c r="F135">
        <v>-5.8869999999999996</v>
      </c>
      <c r="G135">
        <v>-37.119999999999997</v>
      </c>
      <c r="H135">
        <v>16331</v>
      </c>
      <c r="I135">
        <v>0</v>
      </c>
      <c r="J135">
        <v>1</v>
      </c>
      <c r="K135" t="s">
        <v>55</v>
      </c>
      <c r="L135" t="s">
        <v>55</v>
      </c>
      <c r="M135" t="s">
        <v>56</v>
      </c>
      <c r="N135">
        <v>1643314367.3199999</v>
      </c>
      <c r="O135">
        <v>0.189</v>
      </c>
      <c r="P135">
        <v>0.38</v>
      </c>
      <c r="Q135">
        <v>55.073</v>
      </c>
      <c r="R135">
        <v>1E-3</v>
      </c>
      <c r="S135">
        <v>0</v>
      </c>
      <c r="T135">
        <v>1.33</v>
      </c>
      <c r="U135">
        <v>90.793000000000006</v>
      </c>
      <c r="V135">
        <v>25.507000000000001</v>
      </c>
      <c r="W135">
        <v>2.2389999999999999</v>
      </c>
      <c r="X135">
        <v>84.713999999999999</v>
      </c>
      <c r="Y135">
        <v>1.006</v>
      </c>
      <c r="Z135">
        <v>0.79500000000000004</v>
      </c>
      <c r="AA135">
        <v>0</v>
      </c>
      <c r="AB135">
        <v>0</v>
      </c>
      <c r="AC135">
        <v>1</v>
      </c>
      <c r="AD135">
        <v>39.438000000000002</v>
      </c>
      <c r="AE135">
        <v>1</v>
      </c>
      <c r="AF135">
        <v>15</v>
      </c>
      <c r="AG135">
        <v>2</v>
      </c>
      <c r="AH135" t="s">
        <v>84</v>
      </c>
      <c r="AI135">
        <v>0</v>
      </c>
    </row>
    <row r="136" spans="1:35" x14ac:dyDescent="0.45">
      <c r="A136">
        <v>135</v>
      </c>
      <c r="B136" t="s">
        <v>280</v>
      </c>
      <c r="C136" t="s">
        <v>286</v>
      </c>
      <c r="D136" t="s">
        <v>98</v>
      </c>
      <c r="E136">
        <v>6</v>
      </c>
      <c r="F136">
        <v>-5.8689999999999998</v>
      </c>
      <c r="G136">
        <v>-37.170999999999999</v>
      </c>
      <c r="H136">
        <v>16278</v>
      </c>
      <c r="I136">
        <v>0</v>
      </c>
      <c r="J136">
        <v>1</v>
      </c>
      <c r="K136" t="s">
        <v>55</v>
      </c>
      <c r="L136" t="s">
        <v>55</v>
      </c>
      <c r="M136" t="s">
        <v>56</v>
      </c>
      <c r="N136">
        <v>1643314902.3499999</v>
      </c>
      <c r="O136">
        <v>0.22900000000000001</v>
      </c>
      <c r="P136">
        <v>0.34200000000000003</v>
      </c>
      <c r="Q136">
        <v>54.286000000000001</v>
      </c>
      <c r="R136">
        <v>1E-3</v>
      </c>
      <c r="S136">
        <v>1E-3</v>
      </c>
      <c r="T136">
        <v>1.306</v>
      </c>
      <c r="U136">
        <v>90.661000000000001</v>
      </c>
      <c r="V136">
        <v>25.24</v>
      </c>
      <c r="W136">
        <v>2.2360000000000002</v>
      </c>
      <c r="X136">
        <v>84.251999999999995</v>
      </c>
      <c r="Y136">
        <v>1.0009999999999999</v>
      </c>
      <c r="Z136">
        <v>0.68100000000000005</v>
      </c>
      <c r="AA136">
        <v>0</v>
      </c>
      <c r="AB136">
        <v>0</v>
      </c>
      <c r="AC136">
        <v>1</v>
      </c>
      <c r="AD136">
        <v>39.438000000000002</v>
      </c>
      <c r="AE136">
        <v>1</v>
      </c>
      <c r="AF136">
        <v>15</v>
      </c>
      <c r="AG136">
        <v>2</v>
      </c>
      <c r="AH136" t="s">
        <v>84</v>
      </c>
      <c r="AI136">
        <v>0</v>
      </c>
    </row>
    <row r="137" spans="1:35" x14ac:dyDescent="0.45">
      <c r="A137">
        <v>136</v>
      </c>
      <c r="B137" t="s">
        <v>287</v>
      </c>
      <c r="C137" t="s">
        <v>288</v>
      </c>
      <c r="D137" t="s">
        <v>99</v>
      </c>
      <c r="E137">
        <v>1</v>
      </c>
      <c r="F137">
        <v>-6.0030000000000001</v>
      </c>
      <c r="G137">
        <v>-37.244</v>
      </c>
      <c r="H137">
        <v>16332</v>
      </c>
      <c r="I137">
        <v>-1</v>
      </c>
      <c r="J137">
        <v>1</v>
      </c>
      <c r="K137" t="s">
        <v>55</v>
      </c>
      <c r="L137" t="s">
        <v>55</v>
      </c>
      <c r="M137" t="s">
        <v>56</v>
      </c>
      <c r="N137">
        <v>1643315441.3900001</v>
      </c>
      <c r="O137">
        <v>0.22500000000000001</v>
      </c>
      <c r="P137">
        <v>0.40300000000000002</v>
      </c>
      <c r="Q137">
        <v>55.8</v>
      </c>
      <c r="R137">
        <v>1E-3</v>
      </c>
      <c r="S137">
        <v>0</v>
      </c>
      <c r="T137">
        <v>1.3380000000000001</v>
      </c>
      <c r="U137">
        <v>90.361000000000004</v>
      </c>
      <c r="V137">
        <v>25.608000000000001</v>
      </c>
      <c r="W137">
        <v>2.2949999999999999</v>
      </c>
      <c r="X137">
        <v>86.941999999999993</v>
      </c>
      <c r="Y137">
        <v>1.03</v>
      </c>
      <c r="Z137">
        <v>1.236</v>
      </c>
      <c r="AA137">
        <v>0</v>
      </c>
      <c r="AB137">
        <v>0</v>
      </c>
      <c r="AC137">
        <v>1</v>
      </c>
      <c r="AD137">
        <v>39.438000000000002</v>
      </c>
      <c r="AE137">
        <v>1</v>
      </c>
      <c r="AF137">
        <v>16</v>
      </c>
      <c r="AG137">
        <v>2</v>
      </c>
      <c r="AH137" t="s">
        <v>84</v>
      </c>
      <c r="AI137">
        <v>0</v>
      </c>
    </row>
    <row r="138" spans="1:35" x14ac:dyDescent="0.45">
      <c r="A138">
        <v>137</v>
      </c>
      <c r="B138" t="s">
        <v>287</v>
      </c>
      <c r="C138" t="s">
        <v>289</v>
      </c>
      <c r="D138" t="s">
        <v>99</v>
      </c>
      <c r="E138">
        <v>2</v>
      </c>
      <c r="F138">
        <v>-5.9870000000000001</v>
      </c>
      <c r="G138">
        <v>-37.292000000000002</v>
      </c>
      <c r="H138">
        <v>16283</v>
      </c>
      <c r="I138">
        <v>-1</v>
      </c>
      <c r="J138">
        <v>1</v>
      </c>
      <c r="K138" t="s">
        <v>55</v>
      </c>
      <c r="L138" t="s">
        <v>55</v>
      </c>
      <c r="M138" t="s">
        <v>56</v>
      </c>
      <c r="N138">
        <v>1643315977.4400001</v>
      </c>
      <c r="O138">
        <v>0.215</v>
      </c>
      <c r="P138">
        <v>0.40799999999999997</v>
      </c>
      <c r="Q138">
        <v>54.502000000000002</v>
      </c>
      <c r="R138">
        <v>2E-3</v>
      </c>
      <c r="S138">
        <v>1E-3</v>
      </c>
      <c r="T138">
        <v>1.321</v>
      </c>
      <c r="U138">
        <v>90.32</v>
      </c>
      <c r="V138">
        <v>25.305</v>
      </c>
      <c r="W138">
        <v>2.2949999999999999</v>
      </c>
      <c r="X138">
        <v>85.906999999999996</v>
      </c>
      <c r="Y138">
        <v>0.98899999999999999</v>
      </c>
      <c r="Z138">
        <v>1.1379999999999999</v>
      </c>
      <c r="AA138">
        <v>0</v>
      </c>
      <c r="AB138">
        <v>0</v>
      </c>
      <c r="AC138">
        <v>1</v>
      </c>
      <c r="AD138">
        <v>39.438000000000002</v>
      </c>
      <c r="AE138">
        <v>1</v>
      </c>
      <c r="AF138">
        <v>16</v>
      </c>
      <c r="AG138">
        <v>2</v>
      </c>
      <c r="AH138" t="s">
        <v>84</v>
      </c>
      <c r="AI138">
        <v>0</v>
      </c>
    </row>
    <row r="139" spans="1:35" x14ac:dyDescent="0.45">
      <c r="A139">
        <v>138</v>
      </c>
      <c r="B139" t="s">
        <v>287</v>
      </c>
      <c r="C139" t="s">
        <v>290</v>
      </c>
      <c r="D139" t="s">
        <v>99</v>
      </c>
      <c r="E139">
        <v>3</v>
      </c>
      <c r="F139">
        <v>-5.98</v>
      </c>
      <c r="G139">
        <v>-37.347999999999999</v>
      </c>
      <c r="H139">
        <v>16288</v>
      </c>
      <c r="I139">
        <v>-1</v>
      </c>
      <c r="J139">
        <v>1</v>
      </c>
      <c r="K139" t="s">
        <v>55</v>
      </c>
      <c r="L139" t="s">
        <v>55</v>
      </c>
      <c r="M139" t="s">
        <v>56</v>
      </c>
      <c r="N139">
        <v>1643316514.3299999</v>
      </c>
      <c r="O139">
        <v>0.20499999999999999</v>
      </c>
      <c r="P139">
        <v>0.40799999999999997</v>
      </c>
      <c r="Q139">
        <v>55.18</v>
      </c>
      <c r="R139">
        <v>0</v>
      </c>
      <c r="S139">
        <v>1E-3</v>
      </c>
      <c r="T139">
        <v>1.3240000000000001</v>
      </c>
      <c r="U139">
        <v>90.42</v>
      </c>
      <c r="V139">
        <v>25.7</v>
      </c>
      <c r="W139">
        <v>2.2240000000000002</v>
      </c>
      <c r="X139">
        <v>84.31</v>
      </c>
      <c r="Y139">
        <v>1.014</v>
      </c>
      <c r="Z139">
        <v>0.83299999999999996</v>
      </c>
      <c r="AA139">
        <v>0</v>
      </c>
      <c r="AB139">
        <v>0</v>
      </c>
      <c r="AC139">
        <v>1</v>
      </c>
      <c r="AD139">
        <v>39.438000000000002</v>
      </c>
      <c r="AE139">
        <v>1</v>
      </c>
      <c r="AF139">
        <v>16</v>
      </c>
      <c r="AG139">
        <v>2</v>
      </c>
      <c r="AH139" t="s">
        <v>84</v>
      </c>
      <c r="AI139">
        <v>0</v>
      </c>
    </row>
    <row r="140" spans="1:35" x14ac:dyDescent="0.45">
      <c r="A140">
        <v>139</v>
      </c>
      <c r="B140" t="s">
        <v>287</v>
      </c>
      <c r="C140" t="s">
        <v>291</v>
      </c>
      <c r="D140" t="s">
        <v>99</v>
      </c>
      <c r="E140">
        <v>4</v>
      </c>
      <c r="F140">
        <v>-5.9809999999999999</v>
      </c>
      <c r="G140">
        <v>-37.298999999999999</v>
      </c>
      <c r="H140">
        <v>16307</v>
      </c>
      <c r="I140">
        <v>0</v>
      </c>
      <c r="J140">
        <v>1</v>
      </c>
      <c r="K140" t="s">
        <v>55</v>
      </c>
      <c r="L140" t="s">
        <v>55</v>
      </c>
      <c r="M140" t="s">
        <v>56</v>
      </c>
      <c r="N140">
        <v>1643317050.5799999</v>
      </c>
      <c r="O140">
        <v>0.21099999999999999</v>
      </c>
      <c r="P140">
        <v>0.35899999999999999</v>
      </c>
      <c r="Q140">
        <v>53.869</v>
      </c>
      <c r="R140">
        <v>1E-3</v>
      </c>
      <c r="S140">
        <v>-1E-3</v>
      </c>
      <c r="T140">
        <v>1.31</v>
      </c>
      <c r="U140">
        <v>90.581000000000003</v>
      </c>
      <c r="V140">
        <v>25.103999999999999</v>
      </c>
      <c r="W140">
        <v>2.298</v>
      </c>
      <c r="X140">
        <v>86.067999999999998</v>
      </c>
      <c r="Y140">
        <v>1.008</v>
      </c>
      <c r="Z140">
        <v>1.0309999999999999</v>
      </c>
      <c r="AA140">
        <v>0</v>
      </c>
      <c r="AB140">
        <v>0</v>
      </c>
      <c r="AC140">
        <v>1</v>
      </c>
      <c r="AD140">
        <v>39.438000000000002</v>
      </c>
      <c r="AE140">
        <v>1</v>
      </c>
      <c r="AF140">
        <v>16</v>
      </c>
      <c r="AG140">
        <v>2</v>
      </c>
      <c r="AH140" t="s">
        <v>84</v>
      </c>
      <c r="AI140">
        <v>0</v>
      </c>
    </row>
    <row r="141" spans="1:35" x14ac:dyDescent="0.45">
      <c r="A141">
        <v>140</v>
      </c>
      <c r="B141" t="s">
        <v>287</v>
      </c>
      <c r="C141" t="s">
        <v>292</v>
      </c>
      <c r="D141" t="s">
        <v>99</v>
      </c>
      <c r="E141">
        <v>5</v>
      </c>
      <c r="F141">
        <v>-5.96</v>
      </c>
      <c r="G141">
        <v>-37.341999999999999</v>
      </c>
      <c r="H141">
        <v>16272</v>
      </c>
      <c r="I141">
        <v>0</v>
      </c>
      <c r="J141">
        <v>1</v>
      </c>
      <c r="K141" t="s">
        <v>55</v>
      </c>
      <c r="L141" t="s">
        <v>55</v>
      </c>
      <c r="M141" t="s">
        <v>56</v>
      </c>
      <c r="N141">
        <v>1643317588.1700001</v>
      </c>
      <c r="O141">
        <v>0.192</v>
      </c>
      <c r="P141">
        <v>0.41899999999999998</v>
      </c>
      <c r="Q141">
        <v>55.451000000000001</v>
      </c>
      <c r="R141">
        <v>1E-3</v>
      </c>
      <c r="S141">
        <v>-1E-3</v>
      </c>
      <c r="T141">
        <v>1.33</v>
      </c>
      <c r="U141">
        <v>90.760999999999996</v>
      </c>
      <c r="V141">
        <v>24.591000000000001</v>
      </c>
      <c r="W141">
        <v>2.2360000000000002</v>
      </c>
      <c r="X141">
        <v>85.156000000000006</v>
      </c>
      <c r="Y141">
        <v>1.0289999999999999</v>
      </c>
      <c r="Z141">
        <v>0.751</v>
      </c>
      <c r="AA141">
        <v>0</v>
      </c>
      <c r="AB141">
        <v>0</v>
      </c>
      <c r="AC141">
        <v>1</v>
      </c>
      <c r="AD141">
        <v>39.438000000000002</v>
      </c>
      <c r="AE141">
        <v>1</v>
      </c>
      <c r="AF141">
        <v>16</v>
      </c>
      <c r="AG141">
        <v>2</v>
      </c>
      <c r="AH141" t="s">
        <v>84</v>
      </c>
      <c r="AI141">
        <v>0</v>
      </c>
    </row>
    <row r="142" spans="1:35" x14ac:dyDescent="0.45">
      <c r="A142">
        <v>141</v>
      </c>
      <c r="B142" t="s">
        <v>287</v>
      </c>
      <c r="C142" t="s">
        <v>293</v>
      </c>
      <c r="D142" t="s">
        <v>99</v>
      </c>
      <c r="E142">
        <v>6</v>
      </c>
      <c r="F142">
        <v>-5.98</v>
      </c>
      <c r="G142">
        <v>-37.357999999999997</v>
      </c>
      <c r="H142">
        <v>16277</v>
      </c>
      <c r="I142">
        <v>0</v>
      </c>
      <c r="J142">
        <v>1</v>
      </c>
      <c r="K142" t="s">
        <v>55</v>
      </c>
      <c r="L142" t="s">
        <v>55</v>
      </c>
      <c r="M142" t="s">
        <v>56</v>
      </c>
      <c r="N142">
        <v>1643318124.3</v>
      </c>
      <c r="O142">
        <v>0.21299999999999999</v>
      </c>
      <c r="P142">
        <v>0.45600000000000002</v>
      </c>
      <c r="Q142">
        <v>54.77</v>
      </c>
      <c r="R142">
        <v>0</v>
      </c>
      <c r="S142">
        <v>2E-3</v>
      </c>
      <c r="T142">
        <v>1.3160000000000001</v>
      </c>
      <c r="U142">
        <v>90.305000000000007</v>
      </c>
      <c r="V142">
        <v>25.239000000000001</v>
      </c>
      <c r="W142">
        <v>2.3210000000000002</v>
      </c>
      <c r="X142">
        <v>85.900999999999996</v>
      </c>
      <c r="Y142">
        <v>1.022</v>
      </c>
      <c r="Z142">
        <v>1.1020000000000001</v>
      </c>
      <c r="AA142">
        <v>0</v>
      </c>
      <c r="AB142">
        <v>0</v>
      </c>
      <c r="AC142">
        <v>1</v>
      </c>
      <c r="AD142">
        <v>39.375</v>
      </c>
      <c r="AE142">
        <v>1</v>
      </c>
      <c r="AF142">
        <v>16</v>
      </c>
      <c r="AG142">
        <v>2</v>
      </c>
      <c r="AH142" t="s">
        <v>84</v>
      </c>
      <c r="AI142">
        <v>0</v>
      </c>
    </row>
    <row r="143" spans="1:35" x14ac:dyDescent="0.45">
      <c r="A143">
        <v>142</v>
      </c>
      <c r="B143" t="s">
        <v>294</v>
      </c>
      <c r="C143" t="s">
        <v>295</v>
      </c>
      <c r="D143" t="s">
        <v>100</v>
      </c>
      <c r="E143">
        <v>1</v>
      </c>
      <c r="F143">
        <v>-5.9960000000000004</v>
      </c>
      <c r="G143">
        <v>-37.35</v>
      </c>
      <c r="H143">
        <v>16264</v>
      </c>
      <c r="I143">
        <v>-1</v>
      </c>
      <c r="J143">
        <v>1</v>
      </c>
      <c r="K143" t="s">
        <v>55</v>
      </c>
      <c r="L143" t="s">
        <v>55</v>
      </c>
      <c r="M143" t="s">
        <v>56</v>
      </c>
      <c r="N143">
        <v>1643318662.8099999</v>
      </c>
      <c r="O143">
        <v>0.219</v>
      </c>
      <c r="P143">
        <v>0.42299999999999999</v>
      </c>
      <c r="Q143">
        <v>55.698</v>
      </c>
      <c r="R143">
        <v>1E-3</v>
      </c>
      <c r="S143">
        <v>1E-3</v>
      </c>
      <c r="T143">
        <v>1.34</v>
      </c>
      <c r="U143">
        <v>90.241</v>
      </c>
      <c r="V143">
        <v>25.446000000000002</v>
      </c>
      <c r="W143">
        <v>2.3029999999999999</v>
      </c>
      <c r="X143">
        <v>85.206000000000003</v>
      </c>
      <c r="Y143">
        <v>0.999</v>
      </c>
      <c r="Z143">
        <v>1.01</v>
      </c>
      <c r="AA143">
        <v>0</v>
      </c>
      <c r="AB143">
        <v>0</v>
      </c>
      <c r="AC143">
        <v>1</v>
      </c>
      <c r="AD143">
        <v>39.438000000000002</v>
      </c>
      <c r="AE143">
        <v>1</v>
      </c>
      <c r="AF143">
        <v>17</v>
      </c>
      <c r="AG143">
        <v>2</v>
      </c>
      <c r="AH143" t="s">
        <v>84</v>
      </c>
      <c r="AI143">
        <v>0</v>
      </c>
    </row>
    <row r="144" spans="1:35" x14ac:dyDescent="0.45">
      <c r="A144">
        <v>143</v>
      </c>
      <c r="B144" t="s">
        <v>294</v>
      </c>
      <c r="C144" t="s">
        <v>296</v>
      </c>
      <c r="D144" t="s">
        <v>100</v>
      </c>
      <c r="E144">
        <v>2</v>
      </c>
      <c r="F144">
        <v>-5.9909999999999997</v>
      </c>
      <c r="G144">
        <v>-37.356999999999999</v>
      </c>
      <c r="H144">
        <v>16370</v>
      </c>
      <c r="I144">
        <v>-1</v>
      </c>
      <c r="J144">
        <v>1</v>
      </c>
      <c r="K144" t="s">
        <v>55</v>
      </c>
      <c r="L144" t="s">
        <v>55</v>
      </c>
      <c r="M144" t="s">
        <v>56</v>
      </c>
      <c r="N144">
        <v>1643319198.3699999</v>
      </c>
      <c r="O144">
        <v>0.20599999999999999</v>
      </c>
      <c r="P144">
        <v>0.38900000000000001</v>
      </c>
      <c r="Q144">
        <v>54.765000000000001</v>
      </c>
      <c r="R144">
        <v>1E-3</v>
      </c>
      <c r="S144">
        <v>2E-3</v>
      </c>
      <c r="T144">
        <v>1.3109999999999999</v>
      </c>
      <c r="U144">
        <v>90.838999999999999</v>
      </c>
      <c r="V144">
        <v>25.63</v>
      </c>
      <c r="W144">
        <v>2.2829999999999999</v>
      </c>
      <c r="X144">
        <v>85.653999999999996</v>
      </c>
      <c r="Y144">
        <v>1.022</v>
      </c>
      <c r="Z144">
        <v>1</v>
      </c>
      <c r="AA144">
        <v>0</v>
      </c>
      <c r="AB144">
        <v>0</v>
      </c>
      <c r="AC144">
        <v>1</v>
      </c>
      <c r="AD144">
        <v>39.375</v>
      </c>
      <c r="AE144">
        <v>1</v>
      </c>
      <c r="AF144">
        <v>17</v>
      </c>
      <c r="AG144">
        <v>2</v>
      </c>
      <c r="AH144" t="s">
        <v>84</v>
      </c>
      <c r="AI144">
        <v>0</v>
      </c>
    </row>
    <row r="145" spans="1:35" x14ac:dyDescent="0.45">
      <c r="A145">
        <v>144</v>
      </c>
      <c r="B145" t="s">
        <v>294</v>
      </c>
      <c r="C145" t="s">
        <v>297</v>
      </c>
      <c r="D145" t="s">
        <v>100</v>
      </c>
      <c r="E145">
        <v>3</v>
      </c>
      <c r="F145">
        <v>-5.97</v>
      </c>
      <c r="G145">
        <v>-37.299999999999997</v>
      </c>
      <c r="H145">
        <v>16290</v>
      </c>
      <c r="I145">
        <v>-1</v>
      </c>
      <c r="J145">
        <v>1</v>
      </c>
      <c r="K145" t="s">
        <v>55</v>
      </c>
      <c r="L145" t="s">
        <v>55</v>
      </c>
      <c r="M145" t="s">
        <v>56</v>
      </c>
      <c r="N145">
        <v>1643319737.8699999</v>
      </c>
      <c r="O145">
        <v>0.21099999999999999</v>
      </c>
      <c r="P145">
        <v>0.373</v>
      </c>
      <c r="Q145">
        <v>54.984999999999999</v>
      </c>
      <c r="R145">
        <v>1E-3</v>
      </c>
      <c r="S145">
        <v>2E-3</v>
      </c>
      <c r="T145">
        <v>1.3280000000000001</v>
      </c>
      <c r="U145">
        <v>90.272999999999996</v>
      </c>
      <c r="V145">
        <v>25.263999999999999</v>
      </c>
      <c r="W145">
        <v>2.3079999999999998</v>
      </c>
      <c r="X145">
        <v>86.652000000000001</v>
      </c>
      <c r="Y145">
        <v>1.0349999999999999</v>
      </c>
      <c r="Z145">
        <v>1.2030000000000001</v>
      </c>
      <c r="AA145">
        <v>0</v>
      </c>
      <c r="AB145">
        <v>0</v>
      </c>
      <c r="AC145">
        <v>1</v>
      </c>
      <c r="AD145">
        <v>39.438000000000002</v>
      </c>
      <c r="AE145">
        <v>1</v>
      </c>
      <c r="AF145">
        <v>17</v>
      </c>
      <c r="AG145">
        <v>2</v>
      </c>
      <c r="AH145" t="s">
        <v>84</v>
      </c>
      <c r="AI145">
        <v>0</v>
      </c>
    </row>
    <row r="146" spans="1:35" x14ac:dyDescent="0.45">
      <c r="A146">
        <v>145</v>
      </c>
      <c r="B146" t="s">
        <v>294</v>
      </c>
      <c r="C146" t="s">
        <v>298</v>
      </c>
      <c r="D146" t="s">
        <v>100</v>
      </c>
      <c r="E146">
        <v>4</v>
      </c>
      <c r="F146">
        <v>-5.9729999999999999</v>
      </c>
      <c r="G146">
        <v>-37.356999999999999</v>
      </c>
      <c r="H146">
        <v>16310</v>
      </c>
      <c r="I146">
        <v>0</v>
      </c>
      <c r="J146">
        <v>1</v>
      </c>
      <c r="K146" t="s">
        <v>55</v>
      </c>
      <c r="L146" t="s">
        <v>55</v>
      </c>
      <c r="M146" t="s">
        <v>56</v>
      </c>
      <c r="N146">
        <v>1643320274.95</v>
      </c>
      <c r="O146">
        <v>0.21299999999999999</v>
      </c>
      <c r="P146">
        <v>0.38700000000000001</v>
      </c>
      <c r="Q146">
        <v>55.363999999999997</v>
      </c>
      <c r="R146">
        <v>0</v>
      </c>
      <c r="S146">
        <v>0</v>
      </c>
      <c r="T146">
        <v>1.3280000000000001</v>
      </c>
      <c r="U146">
        <v>90.734999999999999</v>
      </c>
      <c r="V146">
        <v>25.221</v>
      </c>
      <c r="W146">
        <v>2.226</v>
      </c>
      <c r="X146">
        <v>85.242000000000004</v>
      </c>
      <c r="Y146">
        <v>1.0289999999999999</v>
      </c>
      <c r="Z146">
        <v>0.81699999999999995</v>
      </c>
      <c r="AA146">
        <v>0</v>
      </c>
      <c r="AB146">
        <v>0</v>
      </c>
      <c r="AC146">
        <v>1</v>
      </c>
      <c r="AD146">
        <v>39.5</v>
      </c>
      <c r="AE146">
        <v>1</v>
      </c>
      <c r="AF146">
        <v>17</v>
      </c>
      <c r="AG146">
        <v>2</v>
      </c>
      <c r="AH146" t="s">
        <v>84</v>
      </c>
      <c r="AI146">
        <v>0</v>
      </c>
    </row>
    <row r="147" spans="1:35" x14ac:dyDescent="0.45">
      <c r="A147">
        <v>146</v>
      </c>
      <c r="B147" t="s">
        <v>294</v>
      </c>
      <c r="C147" t="s">
        <v>299</v>
      </c>
      <c r="D147" t="s">
        <v>100</v>
      </c>
      <c r="E147">
        <v>5</v>
      </c>
      <c r="F147">
        <v>-6.0010000000000003</v>
      </c>
      <c r="G147">
        <v>-37.363</v>
      </c>
      <c r="H147">
        <v>16358</v>
      </c>
      <c r="I147">
        <v>0</v>
      </c>
      <c r="J147">
        <v>1</v>
      </c>
      <c r="K147" t="s">
        <v>55</v>
      </c>
      <c r="L147" t="s">
        <v>55</v>
      </c>
      <c r="M147" t="s">
        <v>56</v>
      </c>
      <c r="N147">
        <v>1643320811.3699999</v>
      </c>
      <c r="O147">
        <v>0.20499999999999999</v>
      </c>
      <c r="P147">
        <v>0.40300000000000002</v>
      </c>
      <c r="Q147">
        <v>54.281999999999996</v>
      </c>
      <c r="R147">
        <v>1E-3</v>
      </c>
      <c r="S147">
        <v>1E-3</v>
      </c>
      <c r="T147">
        <v>1.3240000000000001</v>
      </c>
      <c r="U147">
        <v>90.405000000000001</v>
      </c>
      <c r="V147">
        <v>25.488</v>
      </c>
      <c r="W147">
        <v>2.3929999999999998</v>
      </c>
      <c r="X147">
        <v>87.947999999999993</v>
      </c>
      <c r="Y147">
        <v>0.98499999999999999</v>
      </c>
      <c r="Z147">
        <v>1.4870000000000001</v>
      </c>
      <c r="AA147">
        <v>0</v>
      </c>
      <c r="AB147">
        <v>0</v>
      </c>
      <c r="AC147">
        <v>1</v>
      </c>
      <c r="AD147">
        <v>39.5</v>
      </c>
      <c r="AE147">
        <v>1</v>
      </c>
      <c r="AF147">
        <v>17</v>
      </c>
      <c r="AG147">
        <v>2</v>
      </c>
      <c r="AH147" t="s">
        <v>84</v>
      </c>
      <c r="AI147">
        <v>0</v>
      </c>
    </row>
    <row r="148" spans="1:35" x14ac:dyDescent="0.45">
      <c r="A148">
        <v>147</v>
      </c>
      <c r="B148" t="s">
        <v>294</v>
      </c>
      <c r="C148" t="s">
        <v>300</v>
      </c>
      <c r="D148" t="s">
        <v>100</v>
      </c>
      <c r="E148">
        <v>6</v>
      </c>
      <c r="F148">
        <v>-5.9950000000000001</v>
      </c>
      <c r="G148">
        <v>-37.408000000000001</v>
      </c>
      <c r="H148">
        <v>16265</v>
      </c>
      <c r="I148">
        <v>0</v>
      </c>
      <c r="J148">
        <v>1</v>
      </c>
      <c r="K148" t="s">
        <v>55</v>
      </c>
      <c r="L148" t="s">
        <v>55</v>
      </c>
      <c r="M148" t="s">
        <v>56</v>
      </c>
      <c r="N148">
        <v>1643321348.5899999</v>
      </c>
      <c r="O148">
        <v>0.20399999999999999</v>
      </c>
      <c r="P148">
        <v>0.39100000000000001</v>
      </c>
      <c r="Q148">
        <v>56.625</v>
      </c>
      <c r="R148">
        <v>1E-3</v>
      </c>
      <c r="S148">
        <v>2E-3</v>
      </c>
      <c r="T148">
        <v>1.345</v>
      </c>
      <c r="U148">
        <v>90.119</v>
      </c>
      <c r="V148">
        <v>25.588999999999999</v>
      </c>
      <c r="W148">
        <v>2.2930000000000001</v>
      </c>
      <c r="X148">
        <v>85.519000000000005</v>
      </c>
      <c r="Y148">
        <v>1.012</v>
      </c>
      <c r="Z148">
        <v>1.048</v>
      </c>
      <c r="AA148">
        <v>0</v>
      </c>
      <c r="AB148">
        <v>0</v>
      </c>
      <c r="AC148">
        <v>1</v>
      </c>
      <c r="AD148">
        <v>39.5</v>
      </c>
      <c r="AE148">
        <v>1</v>
      </c>
      <c r="AF148">
        <v>17</v>
      </c>
      <c r="AG148">
        <v>2</v>
      </c>
      <c r="AH148" t="s">
        <v>84</v>
      </c>
      <c r="AI148">
        <v>0</v>
      </c>
    </row>
    <row r="149" spans="1:35" x14ac:dyDescent="0.45">
      <c r="A149">
        <v>148</v>
      </c>
      <c r="B149" t="s">
        <v>301</v>
      </c>
      <c r="C149" t="s">
        <v>302</v>
      </c>
      <c r="D149" t="s">
        <v>101</v>
      </c>
      <c r="E149">
        <v>1</v>
      </c>
      <c r="F149">
        <v>-5.7839999999999998</v>
      </c>
      <c r="G149">
        <v>-36.655000000000001</v>
      </c>
      <c r="H149">
        <v>16365</v>
      </c>
      <c r="I149">
        <v>-1</v>
      </c>
      <c r="J149">
        <v>1</v>
      </c>
      <c r="K149" t="s">
        <v>55</v>
      </c>
      <c r="L149" t="s">
        <v>55</v>
      </c>
      <c r="M149" t="s">
        <v>56</v>
      </c>
      <c r="N149">
        <v>1643321884.71</v>
      </c>
      <c r="O149">
        <v>0.20599999999999999</v>
      </c>
      <c r="P149">
        <v>0.40899999999999997</v>
      </c>
      <c r="Q149">
        <v>54.542999999999999</v>
      </c>
      <c r="R149">
        <v>1E-3</v>
      </c>
      <c r="S149">
        <v>-1E-3</v>
      </c>
      <c r="T149">
        <v>1.3120000000000001</v>
      </c>
      <c r="U149">
        <v>90.697999999999993</v>
      </c>
      <c r="V149">
        <v>25.949000000000002</v>
      </c>
      <c r="W149">
        <v>2.2959999999999998</v>
      </c>
      <c r="X149">
        <v>85.397999999999996</v>
      </c>
      <c r="Y149">
        <v>1.0249999999999999</v>
      </c>
      <c r="Z149">
        <v>0.98799999999999999</v>
      </c>
      <c r="AA149">
        <v>0</v>
      </c>
      <c r="AB149">
        <v>0</v>
      </c>
      <c r="AC149">
        <v>1</v>
      </c>
      <c r="AD149">
        <v>39.438000000000002</v>
      </c>
      <c r="AE149">
        <v>1</v>
      </c>
      <c r="AF149">
        <v>18</v>
      </c>
      <c r="AG149">
        <v>2</v>
      </c>
      <c r="AH149" t="s">
        <v>84</v>
      </c>
      <c r="AI149">
        <v>0</v>
      </c>
    </row>
    <row r="150" spans="1:35" x14ac:dyDescent="0.45">
      <c r="A150">
        <v>149</v>
      </c>
      <c r="B150" t="s">
        <v>301</v>
      </c>
      <c r="C150" t="s">
        <v>303</v>
      </c>
      <c r="D150" t="s">
        <v>101</v>
      </c>
      <c r="E150">
        <v>2</v>
      </c>
      <c r="F150">
        <v>-5.8019999999999996</v>
      </c>
      <c r="G150">
        <v>-36.609000000000002</v>
      </c>
      <c r="H150">
        <v>16329</v>
      </c>
      <c r="I150">
        <v>-1</v>
      </c>
      <c r="J150">
        <v>1</v>
      </c>
      <c r="K150" t="s">
        <v>55</v>
      </c>
      <c r="L150" t="s">
        <v>55</v>
      </c>
      <c r="M150" t="s">
        <v>56</v>
      </c>
      <c r="N150">
        <v>1643322422.8199999</v>
      </c>
      <c r="O150">
        <v>0.20599999999999999</v>
      </c>
      <c r="P150">
        <v>0.40799999999999997</v>
      </c>
      <c r="Q150">
        <v>56.15</v>
      </c>
      <c r="R150">
        <v>1E-3</v>
      </c>
      <c r="S150">
        <v>2E-3</v>
      </c>
      <c r="T150">
        <v>1.3360000000000001</v>
      </c>
      <c r="U150">
        <v>90.766000000000005</v>
      </c>
      <c r="V150">
        <v>25.306000000000001</v>
      </c>
      <c r="W150">
        <v>2.2589999999999999</v>
      </c>
      <c r="X150">
        <v>85.281999999999996</v>
      </c>
      <c r="Y150">
        <v>1.0189999999999999</v>
      </c>
      <c r="Z150">
        <v>0.84499999999999997</v>
      </c>
      <c r="AA150">
        <v>0</v>
      </c>
      <c r="AB150">
        <v>0</v>
      </c>
      <c r="AC150">
        <v>1</v>
      </c>
      <c r="AD150">
        <v>39.375</v>
      </c>
      <c r="AE150">
        <v>1</v>
      </c>
      <c r="AF150">
        <v>18</v>
      </c>
      <c r="AG150">
        <v>2</v>
      </c>
      <c r="AH150" t="s">
        <v>84</v>
      </c>
      <c r="AI150">
        <v>0</v>
      </c>
    </row>
    <row r="151" spans="1:35" x14ac:dyDescent="0.45">
      <c r="A151">
        <v>150</v>
      </c>
      <c r="B151" t="s">
        <v>301</v>
      </c>
      <c r="C151" t="s">
        <v>304</v>
      </c>
      <c r="D151" t="s">
        <v>101</v>
      </c>
      <c r="E151">
        <v>3</v>
      </c>
      <c r="F151">
        <v>-5.8410000000000002</v>
      </c>
      <c r="G151">
        <v>-36.603999999999999</v>
      </c>
      <c r="H151">
        <v>16294</v>
      </c>
      <c r="I151">
        <v>-1</v>
      </c>
      <c r="J151">
        <v>1</v>
      </c>
      <c r="K151" t="s">
        <v>55</v>
      </c>
      <c r="L151" t="s">
        <v>55</v>
      </c>
      <c r="M151" t="s">
        <v>56</v>
      </c>
      <c r="N151">
        <v>1643322959.6800001</v>
      </c>
      <c r="O151">
        <v>0.19</v>
      </c>
      <c r="P151">
        <v>0.40500000000000003</v>
      </c>
      <c r="Q151">
        <v>55.610999999999997</v>
      </c>
      <c r="R151">
        <v>0</v>
      </c>
      <c r="S151">
        <v>2E-3</v>
      </c>
      <c r="T151">
        <v>1.33</v>
      </c>
      <c r="U151">
        <v>90.24</v>
      </c>
      <c r="V151">
        <v>25.233000000000001</v>
      </c>
      <c r="W151">
        <v>2.3460000000000001</v>
      </c>
      <c r="X151">
        <v>86.882000000000005</v>
      </c>
      <c r="Y151">
        <v>1.0289999999999999</v>
      </c>
      <c r="Z151">
        <v>1.2969999999999999</v>
      </c>
      <c r="AA151">
        <v>0</v>
      </c>
      <c r="AB151">
        <v>0</v>
      </c>
      <c r="AC151">
        <v>1</v>
      </c>
      <c r="AD151">
        <v>39.5</v>
      </c>
      <c r="AE151">
        <v>1</v>
      </c>
      <c r="AF151">
        <v>18</v>
      </c>
      <c r="AG151">
        <v>2</v>
      </c>
      <c r="AH151" t="s">
        <v>84</v>
      </c>
      <c r="AI151">
        <v>0</v>
      </c>
    </row>
    <row r="152" spans="1:35" x14ac:dyDescent="0.45">
      <c r="A152">
        <v>151</v>
      </c>
      <c r="B152" t="s">
        <v>301</v>
      </c>
      <c r="C152" t="s">
        <v>305</v>
      </c>
      <c r="D152" t="s">
        <v>101</v>
      </c>
      <c r="E152">
        <v>4</v>
      </c>
      <c r="F152">
        <v>-5.7949999999999999</v>
      </c>
      <c r="G152">
        <v>-36.640999999999998</v>
      </c>
      <c r="H152">
        <v>16322</v>
      </c>
      <c r="I152">
        <v>0</v>
      </c>
      <c r="J152">
        <v>1</v>
      </c>
      <c r="K152" t="s">
        <v>55</v>
      </c>
      <c r="L152" t="s">
        <v>55</v>
      </c>
      <c r="M152" t="s">
        <v>56</v>
      </c>
      <c r="N152">
        <v>1643323495.6800001</v>
      </c>
      <c r="O152">
        <v>0.21299999999999999</v>
      </c>
      <c r="P152">
        <v>0.41099999999999998</v>
      </c>
      <c r="Q152">
        <v>53.872999999999998</v>
      </c>
      <c r="R152">
        <v>1E-3</v>
      </c>
      <c r="S152">
        <v>1E-3</v>
      </c>
      <c r="T152">
        <v>1.3080000000000001</v>
      </c>
      <c r="U152">
        <v>90.935000000000002</v>
      </c>
      <c r="V152">
        <v>24.492000000000001</v>
      </c>
      <c r="W152">
        <v>2.3260000000000001</v>
      </c>
      <c r="X152">
        <v>86.795000000000002</v>
      </c>
      <c r="Y152">
        <v>0.97499999999999998</v>
      </c>
      <c r="Z152">
        <v>1.0449999999999999</v>
      </c>
      <c r="AA152">
        <v>0</v>
      </c>
      <c r="AB152">
        <v>0</v>
      </c>
      <c r="AC152">
        <v>1</v>
      </c>
      <c r="AD152">
        <v>39.438000000000002</v>
      </c>
      <c r="AE152">
        <v>1</v>
      </c>
      <c r="AF152">
        <v>18</v>
      </c>
      <c r="AG152">
        <v>2</v>
      </c>
      <c r="AH152" t="s">
        <v>84</v>
      </c>
      <c r="AI152">
        <v>0</v>
      </c>
    </row>
    <row r="153" spans="1:35" x14ac:dyDescent="0.45">
      <c r="A153">
        <v>152</v>
      </c>
      <c r="B153" t="s">
        <v>301</v>
      </c>
      <c r="C153" t="s">
        <v>306</v>
      </c>
      <c r="D153" t="s">
        <v>101</v>
      </c>
      <c r="E153">
        <v>5</v>
      </c>
      <c r="F153">
        <v>-5.798</v>
      </c>
      <c r="G153">
        <v>-36.625</v>
      </c>
      <c r="H153">
        <v>16306</v>
      </c>
      <c r="I153">
        <v>0</v>
      </c>
      <c r="J153">
        <v>1</v>
      </c>
      <c r="K153" t="s">
        <v>55</v>
      </c>
      <c r="L153" t="s">
        <v>55</v>
      </c>
      <c r="M153" t="s">
        <v>56</v>
      </c>
      <c r="N153">
        <v>1643324033.1700001</v>
      </c>
      <c r="O153">
        <v>0.20200000000000001</v>
      </c>
      <c r="P153">
        <v>0.434</v>
      </c>
      <c r="Q153">
        <v>54.56</v>
      </c>
      <c r="R153">
        <v>1E-3</v>
      </c>
      <c r="S153">
        <v>1E-3</v>
      </c>
      <c r="T153">
        <v>1.3169999999999999</v>
      </c>
      <c r="U153">
        <v>90.625</v>
      </c>
      <c r="V153">
        <v>25.08</v>
      </c>
      <c r="W153">
        <v>2.3090000000000002</v>
      </c>
      <c r="X153">
        <v>85.917000000000002</v>
      </c>
      <c r="Y153">
        <v>1.0009999999999999</v>
      </c>
      <c r="Z153">
        <v>0.92800000000000005</v>
      </c>
      <c r="AA153">
        <v>0</v>
      </c>
      <c r="AB153">
        <v>0</v>
      </c>
      <c r="AC153">
        <v>1</v>
      </c>
      <c r="AD153">
        <v>39.438000000000002</v>
      </c>
      <c r="AE153">
        <v>1</v>
      </c>
      <c r="AF153">
        <v>18</v>
      </c>
      <c r="AG153">
        <v>2</v>
      </c>
      <c r="AH153" t="s">
        <v>84</v>
      </c>
      <c r="AI153">
        <v>0</v>
      </c>
    </row>
    <row r="154" spans="1:35" x14ac:dyDescent="0.45">
      <c r="A154">
        <v>153</v>
      </c>
      <c r="B154" t="s">
        <v>301</v>
      </c>
      <c r="C154" t="s">
        <v>307</v>
      </c>
      <c r="D154" t="s">
        <v>101</v>
      </c>
      <c r="E154">
        <v>6</v>
      </c>
      <c r="F154">
        <v>-5.81</v>
      </c>
      <c r="G154">
        <v>-36.478999999999999</v>
      </c>
      <c r="H154">
        <v>16343</v>
      </c>
      <c r="I154">
        <v>0</v>
      </c>
      <c r="J154">
        <v>1</v>
      </c>
      <c r="K154" t="s">
        <v>55</v>
      </c>
      <c r="L154" t="s">
        <v>55</v>
      </c>
      <c r="M154" t="s">
        <v>56</v>
      </c>
      <c r="N154">
        <v>1643324569.8</v>
      </c>
      <c r="O154">
        <v>0.20499999999999999</v>
      </c>
      <c r="P154">
        <v>0.41499999999999998</v>
      </c>
      <c r="Q154">
        <v>54.978999999999999</v>
      </c>
      <c r="R154">
        <v>1E-3</v>
      </c>
      <c r="S154">
        <v>1E-3</v>
      </c>
      <c r="T154">
        <v>1.3129999999999999</v>
      </c>
      <c r="U154">
        <v>90.575999999999993</v>
      </c>
      <c r="V154">
        <v>25.204000000000001</v>
      </c>
      <c r="W154">
        <v>2.359</v>
      </c>
      <c r="X154">
        <v>87.076999999999998</v>
      </c>
      <c r="Y154">
        <v>1.03</v>
      </c>
      <c r="Z154">
        <v>1.268</v>
      </c>
      <c r="AA154">
        <v>0</v>
      </c>
      <c r="AB154">
        <v>0</v>
      </c>
      <c r="AC154">
        <v>1</v>
      </c>
      <c r="AD154">
        <v>39.5</v>
      </c>
      <c r="AE154">
        <v>1</v>
      </c>
      <c r="AF154">
        <v>18</v>
      </c>
      <c r="AG154">
        <v>2</v>
      </c>
      <c r="AH154" t="s">
        <v>84</v>
      </c>
      <c r="AI154">
        <v>0</v>
      </c>
    </row>
    <row r="155" spans="1:35" x14ac:dyDescent="0.45">
      <c r="A155">
        <v>154</v>
      </c>
      <c r="B155" t="s">
        <v>308</v>
      </c>
      <c r="C155" t="s">
        <v>309</v>
      </c>
      <c r="D155" t="s">
        <v>102</v>
      </c>
      <c r="E155">
        <v>1</v>
      </c>
      <c r="F155">
        <v>-5.8460000000000001</v>
      </c>
      <c r="G155">
        <v>-36.802999999999997</v>
      </c>
      <c r="H155">
        <v>16213</v>
      </c>
      <c r="I155">
        <v>-1</v>
      </c>
      <c r="J155">
        <v>1</v>
      </c>
      <c r="K155" t="s">
        <v>55</v>
      </c>
      <c r="L155" t="s">
        <v>55</v>
      </c>
      <c r="M155" t="s">
        <v>56</v>
      </c>
      <c r="N155">
        <v>1643325109.01</v>
      </c>
      <c r="O155">
        <v>0.19800000000000001</v>
      </c>
      <c r="P155">
        <v>0.438</v>
      </c>
      <c r="Q155">
        <v>55.606999999999999</v>
      </c>
      <c r="R155">
        <v>1E-3</v>
      </c>
      <c r="S155">
        <v>2E-3</v>
      </c>
      <c r="T155">
        <v>1.3340000000000001</v>
      </c>
      <c r="U155">
        <v>89.876999999999995</v>
      </c>
      <c r="V155">
        <v>24.904</v>
      </c>
      <c r="W155">
        <v>2.3290000000000002</v>
      </c>
      <c r="X155">
        <v>86.634</v>
      </c>
      <c r="Y155">
        <v>0.97699999999999998</v>
      </c>
      <c r="Z155">
        <v>1.292</v>
      </c>
      <c r="AA155">
        <v>0</v>
      </c>
      <c r="AB155">
        <v>0</v>
      </c>
      <c r="AC155">
        <v>1</v>
      </c>
      <c r="AD155">
        <v>39.438000000000002</v>
      </c>
      <c r="AE155">
        <v>1</v>
      </c>
      <c r="AF155">
        <v>19</v>
      </c>
      <c r="AG155">
        <v>2</v>
      </c>
      <c r="AH155" t="s">
        <v>84</v>
      </c>
      <c r="AI155">
        <v>0</v>
      </c>
    </row>
    <row r="156" spans="1:35" x14ac:dyDescent="0.45">
      <c r="A156">
        <v>155</v>
      </c>
      <c r="B156" t="s">
        <v>308</v>
      </c>
      <c r="C156" t="s">
        <v>310</v>
      </c>
      <c r="D156" t="s">
        <v>102</v>
      </c>
      <c r="E156">
        <v>2</v>
      </c>
      <c r="F156">
        <v>-5.8710000000000004</v>
      </c>
      <c r="G156">
        <v>-36.786999999999999</v>
      </c>
      <c r="H156">
        <v>16296</v>
      </c>
      <c r="I156">
        <v>-1</v>
      </c>
      <c r="J156">
        <v>1</v>
      </c>
      <c r="K156" t="s">
        <v>55</v>
      </c>
      <c r="L156" t="s">
        <v>55</v>
      </c>
      <c r="M156" t="s">
        <v>56</v>
      </c>
      <c r="N156">
        <v>1643325645.3</v>
      </c>
      <c r="O156">
        <v>0.20499999999999999</v>
      </c>
      <c r="P156">
        <v>0.38</v>
      </c>
      <c r="Q156">
        <v>54.209000000000003</v>
      </c>
      <c r="R156">
        <v>1E-3</v>
      </c>
      <c r="S156">
        <v>1E-3</v>
      </c>
      <c r="T156">
        <v>1.3</v>
      </c>
      <c r="U156">
        <v>90.628</v>
      </c>
      <c r="V156">
        <v>25.06</v>
      </c>
      <c r="W156">
        <v>2.2559999999999998</v>
      </c>
      <c r="X156">
        <v>85.513000000000005</v>
      </c>
      <c r="Y156">
        <v>0.97099999999999997</v>
      </c>
      <c r="Z156">
        <v>0.95</v>
      </c>
      <c r="AA156">
        <v>0</v>
      </c>
      <c r="AB156">
        <v>0</v>
      </c>
      <c r="AC156">
        <v>1</v>
      </c>
      <c r="AD156">
        <v>39.5</v>
      </c>
      <c r="AE156">
        <v>1</v>
      </c>
      <c r="AF156">
        <v>19</v>
      </c>
      <c r="AG156">
        <v>2</v>
      </c>
      <c r="AH156" t="s">
        <v>84</v>
      </c>
      <c r="AI156">
        <v>0</v>
      </c>
    </row>
    <row r="157" spans="1:35" x14ac:dyDescent="0.45">
      <c r="A157">
        <v>156</v>
      </c>
      <c r="B157" t="s">
        <v>308</v>
      </c>
      <c r="C157" t="s">
        <v>311</v>
      </c>
      <c r="D157" t="s">
        <v>102</v>
      </c>
      <c r="E157">
        <v>3</v>
      </c>
      <c r="F157">
        <v>-5.8620000000000001</v>
      </c>
      <c r="G157">
        <v>-36.764000000000003</v>
      </c>
      <c r="H157">
        <v>16262</v>
      </c>
      <c r="I157">
        <v>-1</v>
      </c>
      <c r="J157">
        <v>1</v>
      </c>
      <c r="K157" t="s">
        <v>55</v>
      </c>
      <c r="L157" t="s">
        <v>55</v>
      </c>
      <c r="M157" t="s">
        <v>56</v>
      </c>
      <c r="N157">
        <v>1643326184.23</v>
      </c>
      <c r="O157">
        <v>0.20399999999999999</v>
      </c>
      <c r="P157">
        <v>0.38</v>
      </c>
      <c r="Q157">
        <v>54.503999999999998</v>
      </c>
      <c r="R157">
        <v>1E-3</v>
      </c>
      <c r="S157">
        <v>0</v>
      </c>
      <c r="T157">
        <v>1.3089999999999999</v>
      </c>
      <c r="U157">
        <v>90.135999999999996</v>
      </c>
      <c r="V157">
        <v>25.263000000000002</v>
      </c>
      <c r="W157">
        <v>2.3039999999999998</v>
      </c>
      <c r="X157">
        <v>86.334000000000003</v>
      </c>
      <c r="Y157">
        <v>1.016</v>
      </c>
      <c r="Z157">
        <v>1.159</v>
      </c>
      <c r="AA157">
        <v>0</v>
      </c>
      <c r="AB157">
        <v>0</v>
      </c>
      <c r="AC157">
        <v>1</v>
      </c>
      <c r="AD157">
        <v>39.561999999999998</v>
      </c>
      <c r="AE157">
        <v>1</v>
      </c>
      <c r="AF157">
        <v>19</v>
      </c>
      <c r="AG157">
        <v>2</v>
      </c>
      <c r="AH157" t="s">
        <v>84</v>
      </c>
      <c r="AI157">
        <v>0</v>
      </c>
    </row>
    <row r="158" spans="1:35" x14ac:dyDescent="0.45">
      <c r="A158">
        <v>157</v>
      </c>
      <c r="B158" t="s">
        <v>308</v>
      </c>
      <c r="C158" t="s">
        <v>312</v>
      </c>
      <c r="D158" t="s">
        <v>102</v>
      </c>
      <c r="E158">
        <v>4</v>
      </c>
      <c r="F158">
        <v>-5.8159999999999998</v>
      </c>
      <c r="G158">
        <v>-36.777999999999999</v>
      </c>
      <c r="H158">
        <v>16281</v>
      </c>
      <c r="I158">
        <v>0</v>
      </c>
      <c r="J158">
        <v>1</v>
      </c>
      <c r="K158" t="s">
        <v>55</v>
      </c>
      <c r="L158" t="s">
        <v>55</v>
      </c>
      <c r="M158" t="s">
        <v>56</v>
      </c>
      <c r="N158">
        <v>1643326720.77</v>
      </c>
      <c r="O158">
        <v>0.217</v>
      </c>
      <c r="P158">
        <v>0.4</v>
      </c>
      <c r="Q158">
        <v>55.375999999999998</v>
      </c>
      <c r="R158">
        <v>1E-3</v>
      </c>
      <c r="S158">
        <v>-1E-3</v>
      </c>
      <c r="T158">
        <v>1.321</v>
      </c>
      <c r="U158">
        <v>90.361000000000004</v>
      </c>
      <c r="V158">
        <v>25.167000000000002</v>
      </c>
      <c r="W158">
        <v>2.302</v>
      </c>
      <c r="X158">
        <v>85.817999999999998</v>
      </c>
      <c r="Y158">
        <v>1.002</v>
      </c>
      <c r="Z158">
        <v>1.1140000000000001</v>
      </c>
      <c r="AA158">
        <v>0</v>
      </c>
      <c r="AB158">
        <v>0</v>
      </c>
      <c r="AC158">
        <v>1</v>
      </c>
      <c r="AD158">
        <v>39.5</v>
      </c>
      <c r="AE158">
        <v>1</v>
      </c>
      <c r="AF158">
        <v>19</v>
      </c>
      <c r="AG158">
        <v>2</v>
      </c>
      <c r="AH158" t="s">
        <v>84</v>
      </c>
      <c r="AI158">
        <v>0</v>
      </c>
    </row>
    <row r="159" spans="1:35" x14ac:dyDescent="0.45">
      <c r="A159">
        <v>158</v>
      </c>
      <c r="B159" t="s">
        <v>308</v>
      </c>
      <c r="C159" t="s">
        <v>313</v>
      </c>
      <c r="D159" t="s">
        <v>102</v>
      </c>
      <c r="E159">
        <v>5</v>
      </c>
      <c r="F159">
        <v>-5.8579999999999997</v>
      </c>
      <c r="G159">
        <v>-36.758000000000003</v>
      </c>
      <c r="H159">
        <v>16302</v>
      </c>
      <c r="I159">
        <v>0</v>
      </c>
      <c r="J159">
        <v>1</v>
      </c>
      <c r="K159" t="s">
        <v>55</v>
      </c>
      <c r="L159" t="s">
        <v>55</v>
      </c>
      <c r="M159" t="s">
        <v>56</v>
      </c>
      <c r="N159">
        <v>1643327257.74</v>
      </c>
      <c r="O159">
        <v>0.20200000000000001</v>
      </c>
      <c r="P159">
        <v>0.39</v>
      </c>
      <c r="Q159">
        <v>54.094999999999999</v>
      </c>
      <c r="R159">
        <v>1E-3</v>
      </c>
      <c r="S159">
        <v>1E-3</v>
      </c>
      <c r="T159">
        <v>1.3129999999999999</v>
      </c>
      <c r="U159">
        <v>90.635000000000005</v>
      </c>
      <c r="V159">
        <v>24.800999999999998</v>
      </c>
      <c r="W159">
        <v>2.2989999999999999</v>
      </c>
      <c r="X159">
        <v>86.524000000000001</v>
      </c>
      <c r="Y159">
        <v>0.98299999999999998</v>
      </c>
      <c r="Z159">
        <v>1.022</v>
      </c>
      <c r="AA159">
        <v>0</v>
      </c>
      <c r="AB159">
        <v>0</v>
      </c>
      <c r="AC159">
        <v>1</v>
      </c>
      <c r="AD159">
        <v>39.561999999999998</v>
      </c>
      <c r="AE159">
        <v>1</v>
      </c>
      <c r="AF159">
        <v>19</v>
      </c>
      <c r="AG159">
        <v>2</v>
      </c>
      <c r="AH159" t="s">
        <v>84</v>
      </c>
      <c r="AI159">
        <v>0</v>
      </c>
    </row>
    <row r="160" spans="1:35" x14ac:dyDescent="0.45">
      <c r="A160">
        <v>159</v>
      </c>
      <c r="B160" t="s">
        <v>308</v>
      </c>
      <c r="C160" t="s">
        <v>314</v>
      </c>
      <c r="D160" t="s">
        <v>102</v>
      </c>
      <c r="E160">
        <v>6</v>
      </c>
      <c r="F160">
        <v>-5.8319999999999999</v>
      </c>
      <c r="G160">
        <v>-36.738</v>
      </c>
      <c r="H160">
        <v>16287</v>
      </c>
      <c r="I160">
        <v>0</v>
      </c>
      <c r="J160">
        <v>1</v>
      </c>
      <c r="K160" t="s">
        <v>55</v>
      </c>
      <c r="L160" t="s">
        <v>55</v>
      </c>
      <c r="M160" t="s">
        <v>56</v>
      </c>
      <c r="N160">
        <v>1643327795.21</v>
      </c>
      <c r="O160">
        <v>0.186</v>
      </c>
      <c r="P160">
        <v>0.43099999999999999</v>
      </c>
      <c r="Q160">
        <v>55.55</v>
      </c>
      <c r="R160">
        <v>0</v>
      </c>
      <c r="S160">
        <v>0</v>
      </c>
      <c r="T160">
        <v>1.333</v>
      </c>
      <c r="U160">
        <v>90.539000000000001</v>
      </c>
      <c r="V160">
        <v>24.972000000000001</v>
      </c>
      <c r="W160">
        <v>2.2850000000000001</v>
      </c>
      <c r="X160">
        <v>86.129000000000005</v>
      </c>
      <c r="Y160">
        <v>0.999</v>
      </c>
      <c r="Z160">
        <v>0.97099999999999997</v>
      </c>
      <c r="AA160">
        <v>0</v>
      </c>
      <c r="AB160">
        <v>0</v>
      </c>
      <c r="AC160">
        <v>1</v>
      </c>
      <c r="AD160">
        <v>39.561999999999998</v>
      </c>
      <c r="AE160">
        <v>1</v>
      </c>
      <c r="AF160">
        <v>19</v>
      </c>
      <c r="AG160">
        <v>2</v>
      </c>
      <c r="AH160" t="s">
        <v>84</v>
      </c>
      <c r="AI160">
        <v>0</v>
      </c>
    </row>
    <row r="161" spans="1:35" x14ac:dyDescent="0.45">
      <c r="A161">
        <v>160</v>
      </c>
      <c r="B161" t="s">
        <v>315</v>
      </c>
      <c r="C161" t="s">
        <v>316</v>
      </c>
      <c r="D161" t="s">
        <v>103</v>
      </c>
      <c r="E161">
        <v>1</v>
      </c>
      <c r="F161">
        <v>-5.8579999999999997</v>
      </c>
      <c r="G161">
        <v>-36.951000000000001</v>
      </c>
      <c r="H161">
        <v>16341</v>
      </c>
      <c r="I161">
        <v>-1</v>
      </c>
      <c r="J161">
        <v>1</v>
      </c>
      <c r="K161" t="s">
        <v>55</v>
      </c>
      <c r="L161" t="s">
        <v>55</v>
      </c>
      <c r="M161" t="s">
        <v>56</v>
      </c>
      <c r="N161">
        <v>1643328332.52</v>
      </c>
      <c r="O161">
        <v>0.19600000000000001</v>
      </c>
      <c r="P161">
        <v>0.40400000000000003</v>
      </c>
      <c r="Q161">
        <v>54.612000000000002</v>
      </c>
      <c r="R161">
        <v>1E-3</v>
      </c>
      <c r="S161">
        <v>0</v>
      </c>
      <c r="T161">
        <v>1.3120000000000001</v>
      </c>
      <c r="U161">
        <v>90.822999999999993</v>
      </c>
      <c r="V161">
        <v>25.186</v>
      </c>
      <c r="W161">
        <v>2.3010000000000002</v>
      </c>
      <c r="X161">
        <v>86.087000000000003</v>
      </c>
      <c r="Y161">
        <v>1.018</v>
      </c>
      <c r="Z161">
        <v>0.90100000000000002</v>
      </c>
      <c r="AA161">
        <v>0</v>
      </c>
      <c r="AB161">
        <v>0</v>
      </c>
      <c r="AC161">
        <v>1</v>
      </c>
      <c r="AD161">
        <v>39.561999999999998</v>
      </c>
      <c r="AE161">
        <v>1</v>
      </c>
      <c r="AF161">
        <v>20</v>
      </c>
      <c r="AG161">
        <v>2</v>
      </c>
      <c r="AH161" t="s">
        <v>84</v>
      </c>
      <c r="AI161">
        <v>0</v>
      </c>
    </row>
    <row r="162" spans="1:35" x14ac:dyDescent="0.45">
      <c r="A162">
        <v>161</v>
      </c>
      <c r="B162" t="s">
        <v>315</v>
      </c>
      <c r="C162" t="s">
        <v>317</v>
      </c>
      <c r="D162" t="s">
        <v>103</v>
      </c>
      <c r="E162">
        <v>2</v>
      </c>
      <c r="F162">
        <v>-5.8490000000000002</v>
      </c>
      <c r="G162">
        <v>-36.966000000000001</v>
      </c>
      <c r="H162">
        <v>16302</v>
      </c>
      <c r="I162">
        <v>-1</v>
      </c>
      <c r="J162">
        <v>1</v>
      </c>
      <c r="K162" t="s">
        <v>55</v>
      </c>
      <c r="L162" t="s">
        <v>55</v>
      </c>
      <c r="M162" t="s">
        <v>56</v>
      </c>
      <c r="N162">
        <v>1643328869.9200001</v>
      </c>
      <c r="O162">
        <v>0.20100000000000001</v>
      </c>
      <c r="P162">
        <v>0.40500000000000003</v>
      </c>
      <c r="Q162">
        <v>55.814</v>
      </c>
      <c r="R162">
        <v>0</v>
      </c>
      <c r="S162">
        <v>1E-3</v>
      </c>
      <c r="T162">
        <v>1.341</v>
      </c>
      <c r="U162">
        <v>90.617999999999995</v>
      </c>
      <c r="V162">
        <v>25.715</v>
      </c>
      <c r="W162">
        <v>2.214</v>
      </c>
      <c r="X162">
        <v>83.864000000000004</v>
      </c>
      <c r="Y162">
        <v>1.0209999999999999</v>
      </c>
      <c r="Z162">
        <v>0.68400000000000005</v>
      </c>
      <c r="AA162">
        <v>0</v>
      </c>
      <c r="AB162">
        <v>0</v>
      </c>
      <c r="AC162">
        <v>1</v>
      </c>
      <c r="AD162">
        <v>39.5</v>
      </c>
      <c r="AE162">
        <v>1</v>
      </c>
      <c r="AF162">
        <v>20</v>
      </c>
      <c r="AG162">
        <v>2</v>
      </c>
      <c r="AH162" t="s">
        <v>84</v>
      </c>
      <c r="AI162">
        <v>0</v>
      </c>
    </row>
    <row r="163" spans="1:35" x14ac:dyDescent="0.45">
      <c r="A163">
        <v>162</v>
      </c>
      <c r="B163" t="s">
        <v>315</v>
      </c>
      <c r="C163" t="s">
        <v>318</v>
      </c>
      <c r="D163" t="s">
        <v>103</v>
      </c>
      <c r="E163">
        <v>3</v>
      </c>
      <c r="F163">
        <v>-5.8550000000000004</v>
      </c>
      <c r="G163">
        <v>-36.984000000000002</v>
      </c>
      <c r="H163">
        <v>16342</v>
      </c>
      <c r="I163">
        <v>-1</v>
      </c>
      <c r="J163">
        <v>1</v>
      </c>
      <c r="K163" t="s">
        <v>55</v>
      </c>
      <c r="L163" t="s">
        <v>55</v>
      </c>
      <c r="M163" t="s">
        <v>56</v>
      </c>
      <c r="N163">
        <v>1643329407.79</v>
      </c>
      <c r="O163">
        <v>0.222</v>
      </c>
      <c r="P163">
        <v>0.41399999999999998</v>
      </c>
      <c r="Q163">
        <v>54.98</v>
      </c>
      <c r="R163">
        <v>2E-3</v>
      </c>
      <c r="S163">
        <v>1E-3</v>
      </c>
      <c r="T163">
        <v>1.3169999999999999</v>
      </c>
      <c r="U163">
        <v>90.641999999999996</v>
      </c>
      <c r="V163">
        <v>25.622</v>
      </c>
      <c r="W163">
        <v>2.2930000000000001</v>
      </c>
      <c r="X163">
        <v>85.528999999999996</v>
      </c>
      <c r="Y163">
        <v>1.0169999999999999</v>
      </c>
      <c r="Z163">
        <v>1.0409999999999999</v>
      </c>
      <c r="AA163">
        <v>0</v>
      </c>
      <c r="AB163">
        <v>0</v>
      </c>
      <c r="AC163">
        <v>1</v>
      </c>
      <c r="AD163">
        <v>39.5</v>
      </c>
      <c r="AE163">
        <v>1</v>
      </c>
      <c r="AF163">
        <v>20</v>
      </c>
      <c r="AG163">
        <v>2</v>
      </c>
      <c r="AH163" t="s">
        <v>84</v>
      </c>
      <c r="AI163">
        <v>0</v>
      </c>
    </row>
    <row r="164" spans="1:35" x14ac:dyDescent="0.45">
      <c r="A164">
        <v>163</v>
      </c>
      <c r="B164" t="s">
        <v>315</v>
      </c>
      <c r="C164" t="s">
        <v>319</v>
      </c>
      <c r="D164" t="s">
        <v>103</v>
      </c>
      <c r="E164">
        <v>4</v>
      </c>
      <c r="F164">
        <v>-5.8840000000000003</v>
      </c>
      <c r="G164">
        <v>-36.933999999999997</v>
      </c>
      <c r="H164">
        <v>16306</v>
      </c>
      <c r="I164">
        <v>0</v>
      </c>
      <c r="J164">
        <v>1</v>
      </c>
      <c r="K164" t="s">
        <v>55</v>
      </c>
      <c r="L164" t="s">
        <v>55</v>
      </c>
      <c r="M164" t="s">
        <v>56</v>
      </c>
      <c r="N164">
        <v>1643329943.8399999</v>
      </c>
      <c r="O164">
        <v>0.19</v>
      </c>
      <c r="P164">
        <v>0.40400000000000003</v>
      </c>
      <c r="Q164">
        <v>55.436</v>
      </c>
      <c r="R164">
        <v>1E-3</v>
      </c>
      <c r="S164">
        <v>0</v>
      </c>
      <c r="T164">
        <v>1.3280000000000001</v>
      </c>
      <c r="U164">
        <v>90.683000000000007</v>
      </c>
      <c r="V164">
        <v>25.303000000000001</v>
      </c>
      <c r="W164">
        <v>2.254</v>
      </c>
      <c r="X164">
        <v>84.814999999999998</v>
      </c>
      <c r="Y164">
        <v>0.99399999999999999</v>
      </c>
      <c r="Z164">
        <v>0.88800000000000001</v>
      </c>
      <c r="AA164">
        <v>0</v>
      </c>
      <c r="AB164">
        <v>0</v>
      </c>
      <c r="AC164">
        <v>1</v>
      </c>
      <c r="AD164">
        <v>39.561999999999998</v>
      </c>
      <c r="AE164">
        <v>1</v>
      </c>
      <c r="AF164">
        <v>20</v>
      </c>
      <c r="AG164">
        <v>2</v>
      </c>
      <c r="AH164" t="s">
        <v>84</v>
      </c>
      <c r="AI164">
        <v>0</v>
      </c>
    </row>
    <row r="165" spans="1:35" x14ac:dyDescent="0.45">
      <c r="A165">
        <v>164</v>
      </c>
      <c r="B165" t="s">
        <v>315</v>
      </c>
      <c r="C165" t="s">
        <v>320</v>
      </c>
      <c r="D165" t="s">
        <v>103</v>
      </c>
      <c r="E165">
        <v>5</v>
      </c>
      <c r="F165">
        <v>-5.843</v>
      </c>
      <c r="G165">
        <v>-36.97</v>
      </c>
      <c r="H165">
        <v>16325</v>
      </c>
      <c r="I165">
        <v>0</v>
      </c>
      <c r="J165">
        <v>1</v>
      </c>
      <c r="K165" t="s">
        <v>55</v>
      </c>
      <c r="L165" t="s">
        <v>55</v>
      </c>
      <c r="M165" t="s">
        <v>56</v>
      </c>
      <c r="N165">
        <v>1643330481.3900001</v>
      </c>
      <c r="O165">
        <v>0.182</v>
      </c>
      <c r="P165">
        <v>0.42799999999999999</v>
      </c>
      <c r="Q165">
        <v>54.524000000000001</v>
      </c>
      <c r="R165">
        <v>0</v>
      </c>
      <c r="S165">
        <v>0</v>
      </c>
      <c r="T165">
        <v>1.327</v>
      </c>
      <c r="U165">
        <v>90.486000000000004</v>
      </c>
      <c r="V165">
        <v>25.391999999999999</v>
      </c>
      <c r="W165">
        <v>2.3239999999999998</v>
      </c>
      <c r="X165">
        <v>86.805999999999997</v>
      </c>
      <c r="Y165">
        <v>0.997</v>
      </c>
      <c r="Z165">
        <v>1.1930000000000001</v>
      </c>
      <c r="AA165">
        <v>0</v>
      </c>
      <c r="AB165">
        <v>0</v>
      </c>
      <c r="AC165">
        <v>1</v>
      </c>
      <c r="AD165">
        <v>39.625</v>
      </c>
      <c r="AE165">
        <v>1</v>
      </c>
      <c r="AF165">
        <v>20</v>
      </c>
      <c r="AG165">
        <v>2</v>
      </c>
      <c r="AH165" t="s">
        <v>84</v>
      </c>
      <c r="AI165">
        <v>0</v>
      </c>
    </row>
    <row r="166" spans="1:35" x14ac:dyDescent="0.45">
      <c r="A166">
        <v>165</v>
      </c>
      <c r="B166" t="s">
        <v>315</v>
      </c>
      <c r="C166" t="s">
        <v>321</v>
      </c>
      <c r="D166" t="s">
        <v>103</v>
      </c>
      <c r="E166">
        <v>6</v>
      </c>
      <c r="F166">
        <v>-5.8630000000000004</v>
      </c>
      <c r="G166">
        <v>-36.985999999999997</v>
      </c>
      <c r="H166">
        <v>16348</v>
      </c>
      <c r="I166">
        <v>0</v>
      </c>
      <c r="J166">
        <v>1</v>
      </c>
      <c r="K166" t="s">
        <v>55</v>
      </c>
      <c r="L166" t="s">
        <v>55</v>
      </c>
      <c r="M166" t="s">
        <v>56</v>
      </c>
      <c r="N166">
        <v>1643331018.7</v>
      </c>
      <c r="O166">
        <v>0.192</v>
      </c>
      <c r="P166">
        <v>0.377</v>
      </c>
      <c r="Q166">
        <v>54.938000000000002</v>
      </c>
      <c r="R166">
        <v>1E-3</v>
      </c>
      <c r="S166">
        <v>1E-3</v>
      </c>
      <c r="T166">
        <v>1.3160000000000001</v>
      </c>
      <c r="U166">
        <v>90.718000000000004</v>
      </c>
      <c r="V166">
        <v>25.753</v>
      </c>
      <c r="W166">
        <v>2.2879999999999998</v>
      </c>
      <c r="X166">
        <v>85.033000000000001</v>
      </c>
      <c r="Y166">
        <v>1.0069999999999999</v>
      </c>
      <c r="Z166">
        <v>0.95599999999999996</v>
      </c>
      <c r="AA166">
        <v>0</v>
      </c>
      <c r="AB166">
        <v>0</v>
      </c>
      <c r="AC166">
        <v>1</v>
      </c>
      <c r="AD166">
        <v>39.625</v>
      </c>
      <c r="AE166">
        <v>1</v>
      </c>
      <c r="AF166">
        <v>20</v>
      </c>
      <c r="AG166">
        <v>2</v>
      </c>
      <c r="AH166" t="s">
        <v>84</v>
      </c>
      <c r="AI166">
        <v>0</v>
      </c>
    </row>
    <row r="167" spans="1:35" x14ac:dyDescent="0.45">
      <c r="A167">
        <v>166</v>
      </c>
      <c r="B167" t="s">
        <v>322</v>
      </c>
      <c r="C167" t="s">
        <v>323</v>
      </c>
      <c r="D167" t="s">
        <v>104</v>
      </c>
      <c r="E167">
        <v>1</v>
      </c>
      <c r="F167">
        <v>-5.56</v>
      </c>
      <c r="G167">
        <v>-30.439</v>
      </c>
      <c r="H167">
        <v>16323</v>
      </c>
      <c r="I167">
        <v>-1</v>
      </c>
      <c r="J167">
        <v>1</v>
      </c>
      <c r="K167" t="s">
        <v>55</v>
      </c>
      <c r="L167" t="s">
        <v>55</v>
      </c>
      <c r="M167" t="s">
        <v>56</v>
      </c>
      <c r="N167">
        <v>1643331556.0699999</v>
      </c>
      <c r="O167">
        <v>0.186</v>
      </c>
      <c r="P167">
        <v>0.41199999999999998</v>
      </c>
      <c r="Q167">
        <v>55.113999999999997</v>
      </c>
      <c r="R167">
        <v>1E-3</v>
      </c>
      <c r="S167">
        <v>0</v>
      </c>
      <c r="T167">
        <v>1.325</v>
      </c>
      <c r="U167">
        <v>90.563999999999993</v>
      </c>
      <c r="V167">
        <v>25.327999999999999</v>
      </c>
      <c r="W167">
        <v>2.2719999999999998</v>
      </c>
      <c r="X167">
        <v>86.248999999999995</v>
      </c>
      <c r="Y167">
        <v>1.02</v>
      </c>
      <c r="Z167">
        <v>1.099</v>
      </c>
      <c r="AA167">
        <v>0</v>
      </c>
      <c r="AB167">
        <v>0</v>
      </c>
      <c r="AC167">
        <v>1</v>
      </c>
      <c r="AD167">
        <v>39.688000000000002</v>
      </c>
      <c r="AE167">
        <v>1</v>
      </c>
      <c r="AF167">
        <v>21</v>
      </c>
      <c r="AG167">
        <v>2</v>
      </c>
      <c r="AH167" t="s">
        <v>84</v>
      </c>
      <c r="AI167">
        <v>0</v>
      </c>
    </row>
    <row r="168" spans="1:35" x14ac:dyDescent="0.45">
      <c r="A168">
        <v>167</v>
      </c>
      <c r="B168" t="s">
        <v>322</v>
      </c>
      <c r="C168" t="s">
        <v>324</v>
      </c>
      <c r="D168" t="s">
        <v>104</v>
      </c>
      <c r="E168">
        <v>2</v>
      </c>
      <c r="F168">
        <v>-5.5259999999999998</v>
      </c>
      <c r="G168">
        <v>-29.88</v>
      </c>
      <c r="H168">
        <v>16373</v>
      </c>
      <c r="I168">
        <v>-1</v>
      </c>
      <c r="J168">
        <v>1</v>
      </c>
      <c r="K168" t="s">
        <v>55</v>
      </c>
      <c r="L168" t="s">
        <v>55</v>
      </c>
      <c r="M168" t="s">
        <v>56</v>
      </c>
      <c r="N168">
        <v>1643332090.79</v>
      </c>
      <c r="O168">
        <v>0.21</v>
      </c>
      <c r="P168">
        <v>0.44600000000000001</v>
      </c>
      <c r="Q168">
        <v>53.155999999999999</v>
      </c>
      <c r="R168">
        <v>1E-3</v>
      </c>
      <c r="S168">
        <v>-1E-3</v>
      </c>
      <c r="T168">
        <v>1.2749999999999999</v>
      </c>
      <c r="U168">
        <v>90.837999999999994</v>
      </c>
      <c r="V168">
        <v>26.039000000000001</v>
      </c>
      <c r="W168">
        <v>2.262</v>
      </c>
      <c r="X168">
        <v>84.688000000000002</v>
      </c>
      <c r="Y168">
        <v>1.0089999999999999</v>
      </c>
      <c r="Z168">
        <v>0.84799999999999998</v>
      </c>
      <c r="AA168">
        <v>0</v>
      </c>
      <c r="AB168">
        <v>0</v>
      </c>
      <c r="AC168">
        <v>1</v>
      </c>
      <c r="AD168">
        <v>39.625</v>
      </c>
      <c r="AE168">
        <v>1</v>
      </c>
      <c r="AF168">
        <v>21</v>
      </c>
      <c r="AG168">
        <v>2</v>
      </c>
      <c r="AH168" t="s">
        <v>84</v>
      </c>
      <c r="AI168">
        <v>0</v>
      </c>
    </row>
    <row r="169" spans="1:35" x14ac:dyDescent="0.45">
      <c r="A169">
        <v>168</v>
      </c>
      <c r="B169" t="s">
        <v>322</v>
      </c>
      <c r="C169" t="s">
        <v>325</v>
      </c>
      <c r="D169" t="s">
        <v>104</v>
      </c>
      <c r="E169">
        <v>3</v>
      </c>
      <c r="F169">
        <v>-5.577</v>
      </c>
      <c r="G169">
        <v>-29.824999999999999</v>
      </c>
      <c r="H169">
        <v>16362</v>
      </c>
      <c r="I169">
        <v>-1</v>
      </c>
      <c r="J169">
        <v>1</v>
      </c>
      <c r="K169" t="s">
        <v>55</v>
      </c>
      <c r="L169" t="s">
        <v>55</v>
      </c>
      <c r="M169" t="s">
        <v>56</v>
      </c>
      <c r="N169">
        <v>1643332629.8299999</v>
      </c>
      <c r="O169">
        <v>0.20399999999999999</v>
      </c>
      <c r="P169">
        <v>0.39800000000000002</v>
      </c>
      <c r="Q169">
        <v>55.387999999999998</v>
      </c>
      <c r="R169">
        <v>1E-3</v>
      </c>
      <c r="S169">
        <v>2E-3</v>
      </c>
      <c r="T169">
        <v>1.333</v>
      </c>
      <c r="U169">
        <v>90.977000000000004</v>
      </c>
      <c r="V169">
        <v>25.548999999999999</v>
      </c>
      <c r="W169">
        <v>2.2650000000000001</v>
      </c>
      <c r="X169">
        <v>84.66</v>
      </c>
      <c r="Y169">
        <v>1.0229999999999999</v>
      </c>
      <c r="Z169">
        <v>0.78</v>
      </c>
      <c r="AA169">
        <v>0</v>
      </c>
      <c r="AB169">
        <v>0</v>
      </c>
      <c r="AC169">
        <v>1</v>
      </c>
      <c r="AD169">
        <v>39.625</v>
      </c>
      <c r="AE169">
        <v>1</v>
      </c>
      <c r="AF169">
        <v>21</v>
      </c>
      <c r="AG169">
        <v>2</v>
      </c>
      <c r="AH169" t="s">
        <v>84</v>
      </c>
      <c r="AI169">
        <v>0</v>
      </c>
    </row>
    <row r="170" spans="1:35" x14ac:dyDescent="0.45">
      <c r="A170">
        <v>169</v>
      </c>
      <c r="B170" t="s">
        <v>322</v>
      </c>
      <c r="C170" t="s">
        <v>326</v>
      </c>
      <c r="D170" t="s">
        <v>104</v>
      </c>
      <c r="E170">
        <v>4</v>
      </c>
      <c r="F170">
        <v>-5.5259999999999998</v>
      </c>
      <c r="G170">
        <v>-29.704999999999998</v>
      </c>
      <c r="H170">
        <v>16275</v>
      </c>
      <c r="I170">
        <v>0</v>
      </c>
      <c r="J170">
        <v>1</v>
      </c>
      <c r="K170" t="s">
        <v>55</v>
      </c>
      <c r="L170" t="s">
        <v>55</v>
      </c>
      <c r="M170" t="s">
        <v>56</v>
      </c>
      <c r="N170">
        <v>1643333166.03</v>
      </c>
      <c r="O170">
        <v>0.20599999999999999</v>
      </c>
      <c r="P170">
        <v>0.39300000000000002</v>
      </c>
      <c r="Q170">
        <v>54.412999999999997</v>
      </c>
      <c r="R170">
        <v>0</v>
      </c>
      <c r="S170">
        <v>-2E-3</v>
      </c>
      <c r="T170">
        <v>1.31</v>
      </c>
      <c r="U170">
        <v>90.16</v>
      </c>
      <c r="V170">
        <v>25.623000000000001</v>
      </c>
      <c r="W170">
        <v>2.2890000000000001</v>
      </c>
      <c r="X170">
        <v>85.596000000000004</v>
      </c>
      <c r="Y170">
        <v>1.04</v>
      </c>
      <c r="Z170">
        <v>1.115</v>
      </c>
      <c r="AA170">
        <v>0</v>
      </c>
      <c r="AB170">
        <v>0</v>
      </c>
      <c r="AC170">
        <v>1</v>
      </c>
      <c r="AD170">
        <v>39.625</v>
      </c>
      <c r="AE170">
        <v>1</v>
      </c>
      <c r="AF170">
        <v>21</v>
      </c>
      <c r="AG170">
        <v>2</v>
      </c>
      <c r="AH170" t="s">
        <v>84</v>
      </c>
      <c r="AI170">
        <v>0</v>
      </c>
    </row>
    <row r="171" spans="1:35" x14ac:dyDescent="0.45">
      <c r="A171">
        <v>170</v>
      </c>
      <c r="B171" t="s">
        <v>322</v>
      </c>
      <c r="C171" t="s">
        <v>327</v>
      </c>
      <c r="D171" t="s">
        <v>104</v>
      </c>
      <c r="E171">
        <v>5</v>
      </c>
      <c r="F171">
        <v>-5.5369999999999999</v>
      </c>
      <c r="G171">
        <v>-29.675999999999998</v>
      </c>
      <c r="H171">
        <v>16296</v>
      </c>
      <c r="I171">
        <v>0</v>
      </c>
      <c r="J171">
        <v>1</v>
      </c>
      <c r="K171" t="s">
        <v>55</v>
      </c>
      <c r="L171" t="s">
        <v>55</v>
      </c>
      <c r="M171" t="s">
        <v>56</v>
      </c>
      <c r="N171">
        <v>1643333703.1300001</v>
      </c>
      <c r="O171">
        <v>0.188</v>
      </c>
      <c r="P171">
        <v>0.375</v>
      </c>
      <c r="Q171">
        <v>54.829000000000001</v>
      </c>
      <c r="R171">
        <v>1E-3</v>
      </c>
      <c r="S171">
        <v>1E-3</v>
      </c>
      <c r="T171">
        <v>1.323</v>
      </c>
      <c r="U171">
        <v>90.536000000000001</v>
      </c>
      <c r="V171">
        <v>25.57</v>
      </c>
      <c r="W171">
        <v>2.2440000000000002</v>
      </c>
      <c r="X171">
        <v>84.332999999999998</v>
      </c>
      <c r="Y171">
        <v>1.0069999999999999</v>
      </c>
      <c r="Z171">
        <v>0.87</v>
      </c>
      <c r="AA171">
        <v>0</v>
      </c>
      <c r="AB171">
        <v>0</v>
      </c>
      <c r="AC171">
        <v>1</v>
      </c>
      <c r="AD171">
        <v>39.625</v>
      </c>
      <c r="AE171">
        <v>1</v>
      </c>
      <c r="AF171">
        <v>21</v>
      </c>
      <c r="AG171">
        <v>2</v>
      </c>
      <c r="AH171" t="s">
        <v>84</v>
      </c>
      <c r="AI171">
        <v>0</v>
      </c>
    </row>
    <row r="172" spans="1:35" x14ac:dyDescent="0.45">
      <c r="A172">
        <v>171</v>
      </c>
      <c r="B172" t="s">
        <v>322</v>
      </c>
      <c r="C172" t="s">
        <v>328</v>
      </c>
      <c r="D172" t="s">
        <v>104</v>
      </c>
      <c r="E172">
        <v>6</v>
      </c>
      <c r="F172">
        <v>-5.5380000000000003</v>
      </c>
      <c r="G172">
        <v>-29.623000000000001</v>
      </c>
      <c r="H172">
        <v>16280</v>
      </c>
      <c r="I172">
        <v>0</v>
      </c>
      <c r="J172">
        <v>1</v>
      </c>
      <c r="K172" t="s">
        <v>55</v>
      </c>
      <c r="L172" t="s">
        <v>55</v>
      </c>
      <c r="M172" t="s">
        <v>56</v>
      </c>
      <c r="N172">
        <v>1643334240.24</v>
      </c>
      <c r="O172">
        <v>0.19</v>
      </c>
      <c r="P172">
        <v>0.34599999999999997</v>
      </c>
      <c r="Q172">
        <v>55.167999999999999</v>
      </c>
      <c r="R172">
        <v>0</v>
      </c>
      <c r="S172">
        <v>-1E-3</v>
      </c>
      <c r="T172">
        <v>1.3280000000000001</v>
      </c>
      <c r="U172">
        <v>90.563000000000002</v>
      </c>
      <c r="V172">
        <v>25.041</v>
      </c>
      <c r="W172">
        <v>2.2759999999999998</v>
      </c>
      <c r="X172">
        <v>85.141999999999996</v>
      </c>
      <c r="Y172">
        <v>1.024</v>
      </c>
      <c r="Z172">
        <v>0.95299999999999996</v>
      </c>
      <c r="AA172">
        <v>0</v>
      </c>
      <c r="AB172">
        <v>0</v>
      </c>
      <c r="AC172">
        <v>1</v>
      </c>
      <c r="AD172">
        <v>39.625</v>
      </c>
      <c r="AE172">
        <v>1</v>
      </c>
      <c r="AF172">
        <v>21</v>
      </c>
      <c r="AG172">
        <v>2</v>
      </c>
      <c r="AH172" t="s">
        <v>84</v>
      </c>
      <c r="AI172">
        <v>0</v>
      </c>
    </row>
    <row r="173" spans="1:35" x14ac:dyDescent="0.45">
      <c r="A173">
        <v>172</v>
      </c>
      <c r="B173" t="s">
        <v>329</v>
      </c>
      <c r="C173" t="s">
        <v>330</v>
      </c>
      <c r="D173" t="s">
        <v>105</v>
      </c>
      <c r="E173">
        <v>1</v>
      </c>
      <c r="F173">
        <v>-5.77</v>
      </c>
      <c r="G173">
        <v>-35.883000000000003</v>
      </c>
      <c r="H173">
        <v>16176</v>
      </c>
      <c r="I173">
        <v>-1</v>
      </c>
      <c r="J173">
        <v>1</v>
      </c>
      <c r="K173" t="s">
        <v>55</v>
      </c>
      <c r="L173" t="s">
        <v>55</v>
      </c>
      <c r="M173" t="s">
        <v>56</v>
      </c>
      <c r="N173">
        <v>1643334775.1500001</v>
      </c>
      <c r="O173">
        <v>0.184</v>
      </c>
      <c r="P173">
        <v>0.42399999999999999</v>
      </c>
      <c r="Q173">
        <v>54.301000000000002</v>
      </c>
      <c r="R173">
        <v>0</v>
      </c>
      <c r="S173">
        <v>2E-3</v>
      </c>
      <c r="T173">
        <v>1.3080000000000001</v>
      </c>
      <c r="U173">
        <v>89.644999999999996</v>
      </c>
      <c r="V173">
        <v>25.484000000000002</v>
      </c>
      <c r="W173">
        <v>2.23</v>
      </c>
      <c r="X173">
        <v>84.611999999999995</v>
      </c>
      <c r="Y173">
        <v>1</v>
      </c>
      <c r="Z173">
        <v>0.98399999999999999</v>
      </c>
      <c r="AA173">
        <v>0</v>
      </c>
      <c r="AB173">
        <v>0</v>
      </c>
      <c r="AC173">
        <v>1</v>
      </c>
      <c r="AD173">
        <v>39.561999999999998</v>
      </c>
      <c r="AE173">
        <v>1</v>
      </c>
      <c r="AF173">
        <v>22</v>
      </c>
      <c r="AG173">
        <v>2</v>
      </c>
      <c r="AH173" t="s">
        <v>84</v>
      </c>
      <c r="AI173">
        <v>0</v>
      </c>
    </row>
    <row r="174" spans="1:35" x14ac:dyDescent="0.45">
      <c r="A174">
        <v>173</v>
      </c>
      <c r="B174" t="s">
        <v>329</v>
      </c>
      <c r="C174" t="s">
        <v>331</v>
      </c>
      <c r="D174" t="s">
        <v>105</v>
      </c>
      <c r="E174">
        <v>2</v>
      </c>
      <c r="F174">
        <v>-5.8159999999999998</v>
      </c>
      <c r="G174">
        <v>-36.345999999999997</v>
      </c>
      <c r="H174">
        <v>16404</v>
      </c>
      <c r="I174">
        <v>-1</v>
      </c>
      <c r="J174">
        <v>1</v>
      </c>
      <c r="K174" t="s">
        <v>55</v>
      </c>
      <c r="L174" t="s">
        <v>55</v>
      </c>
      <c r="M174" t="s">
        <v>56</v>
      </c>
      <c r="N174">
        <v>1643335313.8699999</v>
      </c>
      <c r="O174">
        <v>0.20699999999999999</v>
      </c>
      <c r="P174">
        <v>0.41799999999999998</v>
      </c>
      <c r="Q174">
        <v>55.991</v>
      </c>
      <c r="R174">
        <v>0</v>
      </c>
      <c r="S174">
        <v>1E-3</v>
      </c>
      <c r="T174">
        <v>1.3340000000000001</v>
      </c>
      <c r="U174">
        <v>91.150999999999996</v>
      </c>
      <c r="V174">
        <v>25.427</v>
      </c>
      <c r="W174">
        <v>2.2829999999999999</v>
      </c>
      <c r="X174">
        <v>86.072000000000003</v>
      </c>
      <c r="Y174">
        <v>1.05</v>
      </c>
      <c r="Z174">
        <v>1.0489999999999999</v>
      </c>
      <c r="AA174">
        <v>0</v>
      </c>
      <c r="AB174">
        <v>0</v>
      </c>
      <c r="AC174">
        <v>1</v>
      </c>
      <c r="AD174">
        <v>39.625</v>
      </c>
      <c r="AE174">
        <v>1</v>
      </c>
      <c r="AF174">
        <v>22</v>
      </c>
      <c r="AG174">
        <v>2</v>
      </c>
      <c r="AH174" t="s">
        <v>84</v>
      </c>
      <c r="AI174">
        <v>0</v>
      </c>
    </row>
    <row r="175" spans="1:35" x14ac:dyDescent="0.45">
      <c r="A175">
        <v>174</v>
      </c>
      <c r="B175" t="s">
        <v>329</v>
      </c>
      <c r="C175" t="s">
        <v>332</v>
      </c>
      <c r="D175" t="s">
        <v>105</v>
      </c>
      <c r="E175">
        <v>3</v>
      </c>
      <c r="F175">
        <v>-5.8289999999999997</v>
      </c>
      <c r="G175">
        <v>-36.395000000000003</v>
      </c>
      <c r="H175">
        <v>16234</v>
      </c>
      <c r="I175">
        <v>-1</v>
      </c>
      <c r="J175">
        <v>1</v>
      </c>
      <c r="K175" t="s">
        <v>55</v>
      </c>
      <c r="L175" t="s">
        <v>55</v>
      </c>
      <c r="M175" t="s">
        <v>56</v>
      </c>
      <c r="N175">
        <v>1643335849.6800001</v>
      </c>
      <c r="O175">
        <v>0.19400000000000001</v>
      </c>
      <c r="P175">
        <v>0.36799999999999999</v>
      </c>
      <c r="Q175">
        <v>54.567999999999998</v>
      </c>
      <c r="R175">
        <v>1E-3</v>
      </c>
      <c r="S175">
        <v>0</v>
      </c>
      <c r="T175">
        <v>1.3180000000000001</v>
      </c>
      <c r="U175">
        <v>90.203999999999994</v>
      </c>
      <c r="V175">
        <v>25.045999999999999</v>
      </c>
      <c r="W175">
        <v>2.2559999999999998</v>
      </c>
      <c r="X175">
        <v>85.396000000000001</v>
      </c>
      <c r="Y175">
        <v>1.04</v>
      </c>
      <c r="Z175">
        <v>0.95299999999999996</v>
      </c>
      <c r="AA175">
        <v>0</v>
      </c>
      <c r="AB175">
        <v>0</v>
      </c>
      <c r="AC175">
        <v>1</v>
      </c>
      <c r="AD175">
        <v>39.561999999999998</v>
      </c>
      <c r="AE175">
        <v>1</v>
      </c>
      <c r="AF175">
        <v>22</v>
      </c>
      <c r="AG175">
        <v>2</v>
      </c>
      <c r="AH175" t="s">
        <v>84</v>
      </c>
      <c r="AI175">
        <v>0</v>
      </c>
    </row>
    <row r="176" spans="1:35" x14ac:dyDescent="0.45">
      <c r="A176">
        <v>175</v>
      </c>
      <c r="B176" t="s">
        <v>329</v>
      </c>
      <c r="C176" t="s">
        <v>333</v>
      </c>
      <c r="D176" t="s">
        <v>105</v>
      </c>
      <c r="E176">
        <v>4</v>
      </c>
      <c r="F176">
        <v>-5.7990000000000004</v>
      </c>
      <c r="G176">
        <v>-36.51</v>
      </c>
      <c r="H176">
        <v>16287</v>
      </c>
      <c r="I176">
        <v>0</v>
      </c>
      <c r="J176">
        <v>1</v>
      </c>
      <c r="K176" t="s">
        <v>55</v>
      </c>
      <c r="L176" t="s">
        <v>55</v>
      </c>
      <c r="M176" t="s">
        <v>56</v>
      </c>
      <c r="N176">
        <v>1643336387.47</v>
      </c>
      <c r="O176">
        <v>0.189</v>
      </c>
      <c r="P176">
        <v>0.42599999999999999</v>
      </c>
      <c r="Q176">
        <v>55.366</v>
      </c>
      <c r="R176">
        <v>0</v>
      </c>
      <c r="S176">
        <v>2E-3</v>
      </c>
      <c r="T176">
        <v>1.3280000000000001</v>
      </c>
      <c r="U176">
        <v>90.396000000000001</v>
      </c>
      <c r="V176">
        <v>25.081</v>
      </c>
      <c r="W176">
        <v>2.302</v>
      </c>
      <c r="X176">
        <v>86.210999999999999</v>
      </c>
      <c r="Y176">
        <v>1.0589999999999999</v>
      </c>
      <c r="Z176">
        <v>1.2230000000000001</v>
      </c>
      <c r="AA176">
        <v>0</v>
      </c>
      <c r="AB176">
        <v>0</v>
      </c>
      <c r="AC176">
        <v>1</v>
      </c>
      <c r="AD176">
        <v>39.561999999999998</v>
      </c>
      <c r="AE176">
        <v>1</v>
      </c>
      <c r="AF176">
        <v>22</v>
      </c>
      <c r="AG176">
        <v>2</v>
      </c>
      <c r="AH176" t="s">
        <v>84</v>
      </c>
      <c r="AI176">
        <v>0</v>
      </c>
    </row>
    <row r="177" spans="1:35" x14ac:dyDescent="0.45">
      <c r="A177">
        <v>176</v>
      </c>
      <c r="B177" t="s">
        <v>329</v>
      </c>
      <c r="C177" t="s">
        <v>334</v>
      </c>
      <c r="D177" t="s">
        <v>105</v>
      </c>
      <c r="E177">
        <v>5</v>
      </c>
      <c r="F177">
        <v>-5.835</v>
      </c>
      <c r="G177">
        <v>-36.640999999999998</v>
      </c>
      <c r="H177">
        <v>16282</v>
      </c>
      <c r="I177">
        <v>0</v>
      </c>
      <c r="J177">
        <v>1</v>
      </c>
      <c r="K177" t="s">
        <v>55</v>
      </c>
      <c r="L177" t="s">
        <v>55</v>
      </c>
      <c r="M177" t="s">
        <v>56</v>
      </c>
      <c r="N177">
        <v>1643336923.8199999</v>
      </c>
      <c r="O177">
        <v>0.20300000000000001</v>
      </c>
      <c r="P177">
        <v>0.42099999999999999</v>
      </c>
      <c r="Q177">
        <v>54.893999999999998</v>
      </c>
      <c r="R177">
        <v>1E-3</v>
      </c>
      <c r="S177">
        <v>0</v>
      </c>
      <c r="T177">
        <v>1.3109999999999999</v>
      </c>
      <c r="U177">
        <v>90.278999999999996</v>
      </c>
      <c r="V177">
        <v>25.709</v>
      </c>
      <c r="W177">
        <v>2.2480000000000002</v>
      </c>
      <c r="X177">
        <v>85.135000000000005</v>
      </c>
      <c r="Y177">
        <v>1.0369999999999999</v>
      </c>
      <c r="Z177">
        <v>1</v>
      </c>
      <c r="AA177">
        <v>0</v>
      </c>
      <c r="AB177">
        <v>0</v>
      </c>
      <c r="AC177">
        <v>1</v>
      </c>
      <c r="AD177">
        <v>39.5</v>
      </c>
      <c r="AE177">
        <v>1</v>
      </c>
      <c r="AF177">
        <v>22</v>
      </c>
      <c r="AG177">
        <v>2</v>
      </c>
      <c r="AH177" t="s">
        <v>84</v>
      </c>
      <c r="AI177">
        <v>0</v>
      </c>
    </row>
    <row r="178" spans="1:35" x14ac:dyDescent="0.45">
      <c r="A178">
        <v>177</v>
      </c>
      <c r="B178" t="s">
        <v>329</v>
      </c>
      <c r="C178" t="s">
        <v>335</v>
      </c>
      <c r="D178" t="s">
        <v>105</v>
      </c>
      <c r="E178">
        <v>6</v>
      </c>
      <c r="F178">
        <v>-5.8129999999999997</v>
      </c>
      <c r="G178">
        <v>-36.554000000000002</v>
      </c>
      <c r="H178">
        <v>16298</v>
      </c>
      <c r="I178">
        <v>0</v>
      </c>
      <c r="J178">
        <v>1</v>
      </c>
      <c r="K178" t="s">
        <v>55</v>
      </c>
      <c r="L178" t="s">
        <v>55</v>
      </c>
      <c r="M178" t="s">
        <v>56</v>
      </c>
      <c r="N178">
        <v>1643337461.47</v>
      </c>
      <c r="O178">
        <v>0.20799999999999999</v>
      </c>
      <c r="P178">
        <v>0.36199999999999999</v>
      </c>
      <c r="Q178">
        <v>55.473999999999997</v>
      </c>
      <c r="R178">
        <v>1E-3</v>
      </c>
      <c r="S178">
        <v>1E-3</v>
      </c>
      <c r="T178">
        <v>1.3320000000000001</v>
      </c>
      <c r="U178">
        <v>90.494</v>
      </c>
      <c r="V178">
        <v>25.664000000000001</v>
      </c>
      <c r="W178">
        <v>2.2519999999999998</v>
      </c>
      <c r="X178">
        <v>84.445999999999998</v>
      </c>
      <c r="Y178">
        <v>1.0489999999999999</v>
      </c>
      <c r="Z178">
        <v>0.88100000000000001</v>
      </c>
      <c r="AA178">
        <v>0</v>
      </c>
      <c r="AB178">
        <v>0</v>
      </c>
      <c r="AC178">
        <v>1</v>
      </c>
      <c r="AD178">
        <v>39.5</v>
      </c>
      <c r="AE178">
        <v>1</v>
      </c>
      <c r="AF178">
        <v>22</v>
      </c>
      <c r="AG178">
        <v>2</v>
      </c>
      <c r="AH178" t="s">
        <v>84</v>
      </c>
      <c r="AI178">
        <v>0</v>
      </c>
    </row>
    <row r="179" spans="1:35" x14ac:dyDescent="0.45">
      <c r="A179">
        <v>178</v>
      </c>
      <c r="B179" t="s">
        <v>336</v>
      </c>
      <c r="C179" t="s">
        <v>337</v>
      </c>
      <c r="D179" t="s">
        <v>106</v>
      </c>
      <c r="E179">
        <v>1</v>
      </c>
      <c r="F179">
        <v>-6.0170000000000003</v>
      </c>
      <c r="G179">
        <v>-37.039000000000001</v>
      </c>
      <c r="H179">
        <v>16310</v>
      </c>
      <c r="I179">
        <v>-1</v>
      </c>
      <c r="J179">
        <v>1</v>
      </c>
      <c r="K179" t="s">
        <v>55</v>
      </c>
      <c r="L179" t="s">
        <v>55</v>
      </c>
      <c r="M179" t="s">
        <v>56</v>
      </c>
      <c r="N179">
        <v>1643337997.53</v>
      </c>
      <c r="O179">
        <v>0.20399999999999999</v>
      </c>
      <c r="P179">
        <v>0.41299999999999998</v>
      </c>
      <c r="Q179">
        <v>54.966000000000001</v>
      </c>
      <c r="R179">
        <v>0</v>
      </c>
      <c r="S179">
        <v>1E-3</v>
      </c>
      <c r="T179">
        <v>1.32</v>
      </c>
      <c r="U179">
        <v>90.513999999999996</v>
      </c>
      <c r="V179">
        <v>25.384</v>
      </c>
      <c r="W179">
        <v>2.2629999999999999</v>
      </c>
      <c r="X179">
        <v>85.763999999999996</v>
      </c>
      <c r="Y179">
        <v>1.0629999999999999</v>
      </c>
      <c r="Z179">
        <v>1.0669999999999999</v>
      </c>
      <c r="AA179">
        <v>0</v>
      </c>
      <c r="AB179">
        <v>0</v>
      </c>
      <c r="AC179">
        <v>1</v>
      </c>
      <c r="AD179">
        <v>39.5</v>
      </c>
      <c r="AE179">
        <v>1</v>
      </c>
      <c r="AF179">
        <v>23</v>
      </c>
      <c r="AG179">
        <v>2</v>
      </c>
      <c r="AH179" t="s">
        <v>84</v>
      </c>
      <c r="AI179">
        <v>0</v>
      </c>
    </row>
    <row r="180" spans="1:35" x14ac:dyDescent="0.45">
      <c r="A180">
        <v>179</v>
      </c>
      <c r="B180" t="s">
        <v>336</v>
      </c>
      <c r="C180" t="s">
        <v>338</v>
      </c>
      <c r="D180" t="s">
        <v>106</v>
      </c>
      <c r="E180">
        <v>2</v>
      </c>
      <c r="F180">
        <v>-6.0270000000000001</v>
      </c>
      <c r="G180">
        <v>-37.11</v>
      </c>
      <c r="H180">
        <v>16408</v>
      </c>
      <c r="I180">
        <v>-1</v>
      </c>
      <c r="J180">
        <v>1</v>
      </c>
      <c r="K180" t="s">
        <v>55</v>
      </c>
      <c r="L180" t="s">
        <v>55</v>
      </c>
      <c r="M180" t="s">
        <v>56</v>
      </c>
      <c r="N180">
        <v>1643338535.4100001</v>
      </c>
      <c r="O180">
        <v>0.192</v>
      </c>
      <c r="P180">
        <v>0.36399999999999999</v>
      </c>
      <c r="Q180">
        <v>55.423000000000002</v>
      </c>
      <c r="R180">
        <v>0</v>
      </c>
      <c r="S180">
        <v>2E-3</v>
      </c>
      <c r="T180">
        <v>1.34</v>
      </c>
      <c r="U180">
        <v>90.748999999999995</v>
      </c>
      <c r="V180">
        <v>25.716999999999999</v>
      </c>
      <c r="W180">
        <v>2.339</v>
      </c>
      <c r="X180">
        <v>87.525999999999996</v>
      </c>
      <c r="Y180">
        <v>1.0449999999999999</v>
      </c>
      <c r="Z180">
        <v>1.393</v>
      </c>
      <c r="AA180">
        <v>0</v>
      </c>
      <c r="AB180">
        <v>0</v>
      </c>
      <c r="AC180">
        <v>1</v>
      </c>
      <c r="AD180">
        <v>39.561999999999998</v>
      </c>
      <c r="AE180">
        <v>1</v>
      </c>
      <c r="AF180">
        <v>23</v>
      </c>
      <c r="AG180">
        <v>2</v>
      </c>
      <c r="AH180" t="s">
        <v>84</v>
      </c>
      <c r="AI180">
        <v>0</v>
      </c>
    </row>
    <row r="181" spans="1:35" x14ac:dyDescent="0.45">
      <c r="A181">
        <v>180</v>
      </c>
      <c r="B181" t="s">
        <v>336</v>
      </c>
      <c r="C181" t="s">
        <v>339</v>
      </c>
      <c r="D181" t="s">
        <v>106</v>
      </c>
      <c r="E181">
        <v>3</v>
      </c>
      <c r="F181">
        <v>-6</v>
      </c>
      <c r="G181">
        <v>-37.067999999999998</v>
      </c>
      <c r="H181">
        <v>16337</v>
      </c>
      <c r="I181">
        <v>-1</v>
      </c>
      <c r="J181">
        <v>1</v>
      </c>
      <c r="K181" t="s">
        <v>55</v>
      </c>
      <c r="L181" t="s">
        <v>55</v>
      </c>
      <c r="M181" t="s">
        <v>56</v>
      </c>
      <c r="N181">
        <v>1643339071.8</v>
      </c>
      <c r="O181">
        <v>0.192</v>
      </c>
      <c r="P181">
        <v>0.36699999999999999</v>
      </c>
      <c r="Q181">
        <v>53.704999999999998</v>
      </c>
      <c r="R181">
        <v>0</v>
      </c>
      <c r="S181">
        <v>1E-3</v>
      </c>
      <c r="T181">
        <v>1.302</v>
      </c>
      <c r="U181">
        <v>90.727000000000004</v>
      </c>
      <c r="V181">
        <v>25.876999999999999</v>
      </c>
      <c r="W181">
        <v>2.254</v>
      </c>
      <c r="X181">
        <v>84.477999999999994</v>
      </c>
      <c r="Y181">
        <v>1.042</v>
      </c>
      <c r="Z181">
        <v>0.80300000000000005</v>
      </c>
      <c r="AA181">
        <v>0</v>
      </c>
      <c r="AB181">
        <v>0</v>
      </c>
      <c r="AC181">
        <v>1</v>
      </c>
      <c r="AD181">
        <v>39.5</v>
      </c>
      <c r="AE181">
        <v>1</v>
      </c>
      <c r="AF181">
        <v>23</v>
      </c>
      <c r="AG181">
        <v>2</v>
      </c>
      <c r="AH181" t="s">
        <v>84</v>
      </c>
      <c r="AI181">
        <v>0</v>
      </c>
    </row>
    <row r="182" spans="1:35" x14ac:dyDescent="0.45">
      <c r="A182">
        <v>181</v>
      </c>
      <c r="B182" t="s">
        <v>336</v>
      </c>
      <c r="C182" t="s">
        <v>340</v>
      </c>
      <c r="D182" t="s">
        <v>106</v>
      </c>
      <c r="E182">
        <v>4</v>
      </c>
      <c r="F182">
        <v>-6.0229999999999997</v>
      </c>
      <c r="G182">
        <v>-37.136000000000003</v>
      </c>
      <c r="H182">
        <v>16307</v>
      </c>
      <c r="I182">
        <v>0</v>
      </c>
      <c r="J182">
        <v>1</v>
      </c>
      <c r="K182" t="s">
        <v>55</v>
      </c>
      <c r="L182" t="s">
        <v>55</v>
      </c>
      <c r="M182" t="s">
        <v>56</v>
      </c>
      <c r="N182">
        <v>1643339609.97</v>
      </c>
      <c r="O182">
        <v>0.182</v>
      </c>
      <c r="P182">
        <v>0.40600000000000003</v>
      </c>
      <c r="Q182">
        <v>55.811</v>
      </c>
      <c r="R182">
        <v>1E-3</v>
      </c>
      <c r="S182">
        <v>1E-3</v>
      </c>
      <c r="T182">
        <v>1.335</v>
      </c>
      <c r="U182">
        <v>90.62</v>
      </c>
      <c r="V182">
        <v>25.526</v>
      </c>
      <c r="W182">
        <v>2.2229999999999999</v>
      </c>
      <c r="X182">
        <v>84.784000000000006</v>
      </c>
      <c r="Y182">
        <v>1.044</v>
      </c>
      <c r="Z182">
        <v>0.89100000000000001</v>
      </c>
      <c r="AA182">
        <v>0</v>
      </c>
      <c r="AB182">
        <v>0</v>
      </c>
      <c r="AC182">
        <v>1</v>
      </c>
      <c r="AD182">
        <v>39.625</v>
      </c>
      <c r="AE182">
        <v>1</v>
      </c>
      <c r="AF182">
        <v>23</v>
      </c>
      <c r="AG182">
        <v>2</v>
      </c>
      <c r="AH182" t="s">
        <v>84</v>
      </c>
      <c r="AI182">
        <v>0</v>
      </c>
    </row>
    <row r="183" spans="1:35" x14ac:dyDescent="0.45">
      <c r="A183">
        <v>182</v>
      </c>
      <c r="B183" t="s">
        <v>336</v>
      </c>
      <c r="C183" t="s">
        <v>341</v>
      </c>
      <c r="D183" t="s">
        <v>106</v>
      </c>
      <c r="E183">
        <v>5</v>
      </c>
      <c r="F183">
        <v>-6.0369999999999999</v>
      </c>
      <c r="G183">
        <v>-37.161999999999999</v>
      </c>
      <c r="H183">
        <v>16259</v>
      </c>
      <c r="I183">
        <v>0</v>
      </c>
      <c r="J183">
        <v>1</v>
      </c>
      <c r="K183" t="s">
        <v>55</v>
      </c>
      <c r="L183" t="s">
        <v>55</v>
      </c>
      <c r="M183" t="s">
        <v>56</v>
      </c>
      <c r="N183">
        <v>1643340146.0599999</v>
      </c>
      <c r="O183">
        <v>0.20300000000000001</v>
      </c>
      <c r="P183">
        <v>0.38300000000000001</v>
      </c>
      <c r="Q183">
        <v>54.046999999999997</v>
      </c>
      <c r="R183">
        <v>0</v>
      </c>
      <c r="S183">
        <v>0</v>
      </c>
      <c r="T183">
        <v>1.3049999999999999</v>
      </c>
      <c r="U183">
        <v>90.337000000000003</v>
      </c>
      <c r="V183">
        <v>25.280999999999999</v>
      </c>
      <c r="W183">
        <v>2.242</v>
      </c>
      <c r="X183">
        <v>84.963999999999999</v>
      </c>
      <c r="Y183">
        <v>1.0469999999999999</v>
      </c>
      <c r="Z183">
        <v>0.90700000000000003</v>
      </c>
      <c r="AA183">
        <v>0</v>
      </c>
      <c r="AB183">
        <v>0</v>
      </c>
      <c r="AC183">
        <v>1</v>
      </c>
      <c r="AD183">
        <v>39.5</v>
      </c>
      <c r="AE183">
        <v>1</v>
      </c>
      <c r="AF183">
        <v>23</v>
      </c>
      <c r="AG183">
        <v>2</v>
      </c>
      <c r="AH183" t="s">
        <v>84</v>
      </c>
      <c r="AI183">
        <v>0</v>
      </c>
    </row>
    <row r="184" spans="1:35" x14ac:dyDescent="0.45">
      <c r="A184">
        <v>183</v>
      </c>
      <c r="B184" t="s">
        <v>336</v>
      </c>
      <c r="C184" t="s">
        <v>342</v>
      </c>
      <c r="D184" t="s">
        <v>106</v>
      </c>
      <c r="E184">
        <v>6</v>
      </c>
      <c r="F184">
        <v>-6.0229999999999997</v>
      </c>
      <c r="G184">
        <v>-37.159999999999997</v>
      </c>
      <c r="H184">
        <v>16259</v>
      </c>
      <c r="I184">
        <v>0</v>
      </c>
      <c r="J184">
        <v>1</v>
      </c>
      <c r="K184" t="s">
        <v>55</v>
      </c>
      <c r="L184" t="s">
        <v>55</v>
      </c>
      <c r="M184" t="s">
        <v>56</v>
      </c>
      <c r="N184">
        <v>1643340684.5799999</v>
      </c>
      <c r="O184">
        <v>0.19700000000000001</v>
      </c>
      <c r="P184">
        <v>0.34100000000000003</v>
      </c>
      <c r="Q184">
        <v>54.494</v>
      </c>
      <c r="R184">
        <v>1E-3</v>
      </c>
      <c r="S184">
        <v>0</v>
      </c>
      <c r="T184">
        <v>1.3080000000000001</v>
      </c>
      <c r="U184">
        <v>90.204999999999998</v>
      </c>
      <c r="V184">
        <v>25.635999999999999</v>
      </c>
      <c r="W184">
        <v>2.2799999999999998</v>
      </c>
      <c r="X184">
        <v>84.698999999999998</v>
      </c>
      <c r="Y184">
        <v>1.052</v>
      </c>
      <c r="Z184">
        <v>0.98099999999999998</v>
      </c>
      <c r="AA184">
        <v>0</v>
      </c>
      <c r="AB184">
        <v>0</v>
      </c>
      <c r="AC184">
        <v>1</v>
      </c>
      <c r="AD184">
        <v>39.561999999999998</v>
      </c>
      <c r="AE184">
        <v>1</v>
      </c>
      <c r="AF184">
        <v>23</v>
      </c>
      <c r="AG184">
        <v>2</v>
      </c>
      <c r="AH184" t="s">
        <v>84</v>
      </c>
      <c r="AI184">
        <v>0</v>
      </c>
    </row>
    <row r="185" spans="1:35" x14ac:dyDescent="0.45">
      <c r="A185">
        <v>184</v>
      </c>
      <c r="B185" t="s">
        <v>343</v>
      </c>
      <c r="C185" t="s">
        <v>344</v>
      </c>
      <c r="D185" t="s">
        <v>107</v>
      </c>
      <c r="E185">
        <v>1</v>
      </c>
      <c r="F185">
        <v>-6.0330000000000004</v>
      </c>
      <c r="G185">
        <v>-37.357999999999997</v>
      </c>
      <c r="H185">
        <v>16322</v>
      </c>
      <c r="I185">
        <v>-1</v>
      </c>
      <c r="J185">
        <v>1</v>
      </c>
      <c r="K185" t="s">
        <v>55</v>
      </c>
      <c r="L185" t="s">
        <v>55</v>
      </c>
      <c r="M185" t="s">
        <v>56</v>
      </c>
      <c r="N185">
        <v>1643341219.5999999</v>
      </c>
      <c r="O185">
        <v>0.19900000000000001</v>
      </c>
      <c r="P185">
        <v>0.38700000000000001</v>
      </c>
      <c r="Q185">
        <v>54.369</v>
      </c>
      <c r="R185">
        <v>1E-3</v>
      </c>
      <c r="S185">
        <v>0</v>
      </c>
      <c r="T185">
        <v>1.3140000000000001</v>
      </c>
      <c r="U185">
        <v>90.811999999999998</v>
      </c>
      <c r="V185">
        <v>25.466999999999999</v>
      </c>
      <c r="W185">
        <v>2.2229999999999999</v>
      </c>
      <c r="X185">
        <v>84.352000000000004</v>
      </c>
      <c r="Y185">
        <v>1.04</v>
      </c>
      <c r="Z185">
        <v>0.80500000000000005</v>
      </c>
      <c r="AA185">
        <v>0</v>
      </c>
      <c r="AB185">
        <v>0</v>
      </c>
      <c r="AC185">
        <v>1</v>
      </c>
      <c r="AD185">
        <v>39.561999999999998</v>
      </c>
      <c r="AE185">
        <v>1</v>
      </c>
      <c r="AF185">
        <v>24</v>
      </c>
      <c r="AG185">
        <v>2</v>
      </c>
      <c r="AH185" t="s">
        <v>84</v>
      </c>
      <c r="AI185">
        <v>0</v>
      </c>
    </row>
    <row r="186" spans="1:35" x14ac:dyDescent="0.45">
      <c r="A186">
        <v>185</v>
      </c>
      <c r="B186" t="s">
        <v>343</v>
      </c>
      <c r="C186" t="s">
        <v>345</v>
      </c>
      <c r="D186" t="s">
        <v>107</v>
      </c>
      <c r="E186">
        <v>2</v>
      </c>
      <c r="F186">
        <v>-6.0389999999999997</v>
      </c>
      <c r="G186">
        <v>-37.451000000000001</v>
      </c>
      <c r="H186">
        <v>16299</v>
      </c>
      <c r="I186">
        <v>-1</v>
      </c>
      <c r="J186">
        <v>1</v>
      </c>
      <c r="K186" t="s">
        <v>55</v>
      </c>
      <c r="L186" t="s">
        <v>55</v>
      </c>
      <c r="M186" t="s">
        <v>56</v>
      </c>
      <c r="N186">
        <v>1643341757.8699999</v>
      </c>
      <c r="O186">
        <v>0.183</v>
      </c>
      <c r="P186">
        <v>0.39600000000000002</v>
      </c>
      <c r="Q186">
        <v>54.366999999999997</v>
      </c>
      <c r="R186">
        <v>1E-3</v>
      </c>
      <c r="S186">
        <v>-1E-3</v>
      </c>
      <c r="T186">
        <v>1.3089999999999999</v>
      </c>
      <c r="U186">
        <v>90.283000000000001</v>
      </c>
      <c r="V186">
        <v>25.655999999999999</v>
      </c>
      <c r="W186">
        <v>2.3050000000000002</v>
      </c>
      <c r="X186">
        <v>85.876999999999995</v>
      </c>
      <c r="Y186">
        <v>1.0629999999999999</v>
      </c>
      <c r="Z186">
        <v>1.2050000000000001</v>
      </c>
      <c r="AA186">
        <v>0</v>
      </c>
      <c r="AB186">
        <v>0</v>
      </c>
      <c r="AC186">
        <v>1</v>
      </c>
      <c r="AD186">
        <v>39.561999999999998</v>
      </c>
      <c r="AE186">
        <v>1</v>
      </c>
      <c r="AF186">
        <v>24</v>
      </c>
      <c r="AG186">
        <v>2</v>
      </c>
      <c r="AH186" t="s">
        <v>84</v>
      </c>
      <c r="AI186">
        <v>0</v>
      </c>
    </row>
    <row r="187" spans="1:35" x14ac:dyDescent="0.45">
      <c r="A187">
        <v>186</v>
      </c>
      <c r="B187" t="s">
        <v>343</v>
      </c>
      <c r="C187" t="s">
        <v>346</v>
      </c>
      <c r="D187" t="s">
        <v>107</v>
      </c>
      <c r="E187">
        <v>3</v>
      </c>
      <c r="F187">
        <v>-6.05</v>
      </c>
      <c r="G187">
        <v>-37.405999999999999</v>
      </c>
      <c r="H187">
        <v>16318</v>
      </c>
      <c r="I187">
        <v>-1</v>
      </c>
      <c r="J187">
        <v>1</v>
      </c>
      <c r="K187" t="s">
        <v>55</v>
      </c>
      <c r="L187" t="s">
        <v>55</v>
      </c>
      <c r="M187" t="s">
        <v>56</v>
      </c>
      <c r="N187">
        <v>1643342294.1600001</v>
      </c>
      <c r="O187">
        <v>0.19400000000000001</v>
      </c>
      <c r="P187">
        <v>0.38600000000000001</v>
      </c>
      <c r="Q187">
        <v>56.298000000000002</v>
      </c>
      <c r="R187">
        <v>1E-3</v>
      </c>
      <c r="S187">
        <v>-1E-3</v>
      </c>
      <c r="T187">
        <v>1.3460000000000001</v>
      </c>
      <c r="U187">
        <v>91.043999999999997</v>
      </c>
      <c r="V187">
        <v>24.849</v>
      </c>
      <c r="W187">
        <v>2.2269999999999999</v>
      </c>
      <c r="X187">
        <v>84.846000000000004</v>
      </c>
      <c r="Y187">
        <v>1.046</v>
      </c>
      <c r="Z187">
        <v>0.72199999999999998</v>
      </c>
      <c r="AA187">
        <v>0</v>
      </c>
      <c r="AB187">
        <v>0</v>
      </c>
      <c r="AC187">
        <v>1</v>
      </c>
      <c r="AD187">
        <v>39.438000000000002</v>
      </c>
      <c r="AE187">
        <v>1</v>
      </c>
      <c r="AF187">
        <v>24</v>
      </c>
      <c r="AG187">
        <v>2</v>
      </c>
      <c r="AH187" t="s">
        <v>84</v>
      </c>
      <c r="AI187">
        <v>0</v>
      </c>
    </row>
    <row r="188" spans="1:35" x14ac:dyDescent="0.45">
      <c r="A188">
        <v>187</v>
      </c>
      <c r="B188" t="s">
        <v>343</v>
      </c>
      <c r="C188" t="s">
        <v>347</v>
      </c>
      <c r="D188" t="s">
        <v>107</v>
      </c>
      <c r="E188">
        <v>4</v>
      </c>
      <c r="F188">
        <v>-6.032</v>
      </c>
      <c r="G188">
        <v>-37.497</v>
      </c>
      <c r="H188">
        <v>16279</v>
      </c>
      <c r="I188">
        <v>0</v>
      </c>
      <c r="J188">
        <v>1</v>
      </c>
      <c r="K188" t="s">
        <v>55</v>
      </c>
      <c r="L188" t="s">
        <v>55</v>
      </c>
      <c r="M188" t="s">
        <v>56</v>
      </c>
      <c r="N188">
        <v>1643342831.49</v>
      </c>
      <c r="O188">
        <v>0.191</v>
      </c>
      <c r="P188">
        <v>0.42299999999999999</v>
      </c>
      <c r="Q188">
        <v>54.347000000000001</v>
      </c>
      <c r="R188">
        <v>1E-3</v>
      </c>
      <c r="S188">
        <v>0</v>
      </c>
      <c r="T188">
        <v>1.3089999999999999</v>
      </c>
      <c r="U188">
        <v>90.38</v>
      </c>
      <c r="V188">
        <v>24.888000000000002</v>
      </c>
      <c r="W188">
        <v>2.3279999999999998</v>
      </c>
      <c r="X188">
        <v>86.905000000000001</v>
      </c>
      <c r="Y188">
        <v>1.0469999999999999</v>
      </c>
      <c r="Z188">
        <v>1.1850000000000001</v>
      </c>
      <c r="AA188">
        <v>0</v>
      </c>
      <c r="AB188">
        <v>0</v>
      </c>
      <c r="AC188">
        <v>1</v>
      </c>
      <c r="AD188">
        <v>39.5</v>
      </c>
      <c r="AE188">
        <v>1</v>
      </c>
      <c r="AF188">
        <v>24</v>
      </c>
      <c r="AG188">
        <v>2</v>
      </c>
      <c r="AH188" t="s">
        <v>84</v>
      </c>
      <c r="AI188">
        <v>0</v>
      </c>
    </row>
    <row r="189" spans="1:35" x14ac:dyDescent="0.45">
      <c r="A189">
        <v>188</v>
      </c>
      <c r="B189" t="s">
        <v>343</v>
      </c>
      <c r="C189" t="s">
        <v>348</v>
      </c>
      <c r="D189" t="s">
        <v>107</v>
      </c>
      <c r="E189">
        <v>5</v>
      </c>
      <c r="F189">
        <v>-6.0629999999999997</v>
      </c>
      <c r="G189">
        <v>-37.457999999999998</v>
      </c>
      <c r="H189">
        <v>16311</v>
      </c>
      <c r="I189">
        <v>0</v>
      </c>
      <c r="J189">
        <v>1</v>
      </c>
      <c r="K189" t="s">
        <v>55</v>
      </c>
      <c r="L189" t="s">
        <v>55</v>
      </c>
      <c r="M189" t="s">
        <v>56</v>
      </c>
      <c r="N189">
        <v>1643343368.6900001</v>
      </c>
      <c r="O189">
        <v>0.21</v>
      </c>
      <c r="P189">
        <v>0.35499999999999998</v>
      </c>
      <c r="Q189">
        <v>54.529000000000003</v>
      </c>
      <c r="R189">
        <v>2E-3</v>
      </c>
      <c r="S189">
        <v>2E-3</v>
      </c>
      <c r="T189">
        <v>1.3120000000000001</v>
      </c>
      <c r="U189">
        <v>90.501999999999995</v>
      </c>
      <c r="V189">
        <v>25.414000000000001</v>
      </c>
      <c r="W189">
        <v>2.3130000000000002</v>
      </c>
      <c r="X189">
        <v>85.965999999999994</v>
      </c>
      <c r="Y189">
        <v>1.0449999999999999</v>
      </c>
      <c r="Z189">
        <v>0.98499999999999999</v>
      </c>
      <c r="AA189">
        <v>0</v>
      </c>
      <c r="AB189">
        <v>0</v>
      </c>
      <c r="AC189">
        <v>1</v>
      </c>
      <c r="AD189">
        <v>39.5</v>
      </c>
      <c r="AE189">
        <v>1</v>
      </c>
      <c r="AF189">
        <v>24</v>
      </c>
      <c r="AG189">
        <v>2</v>
      </c>
      <c r="AH189" t="s">
        <v>84</v>
      </c>
      <c r="AI189">
        <v>0</v>
      </c>
    </row>
    <row r="190" spans="1:35" x14ac:dyDescent="0.45">
      <c r="A190">
        <v>189</v>
      </c>
      <c r="B190" t="s">
        <v>343</v>
      </c>
      <c r="C190" t="s">
        <v>349</v>
      </c>
      <c r="D190" t="s">
        <v>107</v>
      </c>
      <c r="E190">
        <v>6</v>
      </c>
      <c r="F190">
        <v>-6.0789999999999997</v>
      </c>
      <c r="G190">
        <v>-37.478000000000002</v>
      </c>
      <c r="H190">
        <v>16299</v>
      </c>
      <c r="I190">
        <v>0</v>
      </c>
      <c r="J190">
        <v>1</v>
      </c>
      <c r="K190" t="s">
        <v>55</v>
      </c>
      <c r="L190" t="s">
        <v>55</v>
      </c>
      <c r="M190" t="s">
        <v>56</v>
      </c>
      <c r="N190">
        <v>1643343904.99</v>
      </c>
      <c r="O190">
        <v>0.20100000000000001</v>
      </c>
      <c r="P190">
        <v>0.40100000000000002</v>
      </c>
      <c r="Q190">
        <v>55.988999999999997</v>
      </c>
      <c r="R190">
        <v>0</v>
      </c>
      <c r="S190">
        <v>0</v>
      </c>
      <c r="T190">
        <v>1.333</v>
      </c>
      <c r="U190">
        <v>90.369</v>
      </c>
      <c r="V190">
        <v>26.363</v>
      </c>
      <c r="W190">
        <v>2.218</v>
      </c>
      <c r="X190">
        <v>83.265000000000001</v>
      </c>
      <c r="Y190">
        <v>1.0549999999999999</v>
      </c>
      <c r="Z190">
        <v>0.77400000000000002</v>
      </c>
      <c r="AA190">
        <v>0</v>
      </c>
      <c r="AB190">
        <v>0</v>
      </c>
      <c r="AC190">
        <v>1</v>
      </c>
      <c r="AD190">
        <v>39.5</v>
      </c>
      <c r="AE190">
        <v>1</v>
      </c>
      <c r="AF190">
        <v>24</v>
      </c>
      <c r="AG190">
        <v>2</v>
      </c>
      <c r="AH190" t="s">
        <v>84</v>
      </c>
      <c r="AI190">
        <v>0</v>
      </c>
    </row>
    <row r="191" spans="1:35" x14ac:dyDescent="0.45">
      <c r="A191">
        <v>190</v>
      </c>
      <c r="B191" t="s">
        <v>350</v>
      </c>
      <c r="C191" t="s">
        <v>351</v>
      </c>
      <c r="D191" t="s">
        <v>108</v>
      </c>
      <c r="E191">
        <v>1</v>
      </c>
      <c r="F191">
        <v>-5.859</v>
      </c>
      <c r="G191">
        <v>-36.676000000000002</v>
      </c>
      <c r="H191">
        <v>16239</v>
      </c>
      <c r="I191">
        <v>-1</v>
      </c>
      <c r="J191">
        <v>1</v>
      </c>
      <c r="K191" t="s">
        <v>55</v>
      </c>
      <c r="L191" t="s">
        <v>55</v>
      </c>
      <c r="M191" t="s">
        <v>56</v>
      </c>
      <c r="N191">
        <v>1643344441.2</v>
      </c>
      <c r="O191">
        <v>0.20499999999999999</v>
      </c>
      <c r="P191">
        <v>0.40899999999999997</v>
      </c>
      <c r="Q191">
        <v>53.759</v>
      </c>
      <c r="R191">
        <v>1E-3</v>
      </c>
      <c r="S191">
        <v>1E-3</v>
      </c>
      <c r="T191">
        <v>1.3049999999999999</v>
      </c>
      <c r="U191">
        <v>90.057000000000002</v>
      </c>
      <c r="V191">
        <v>25.225999999999999</v>
      </c>
      <c r="W191">
        <v>2.3079999999999998</v>
      </c>
      <c r="X191">
        <v>86.194000000000003</v>
      </c>
      <c r="Y191">
        <v>1.034</v>
      </c>
      <c r="Z191">
        <v>1.129</v>
      </c>
      <c r="AA191">
        <v>0</v>
      </c>
      <c r="AB191">
        <v>0</v>
      </c>
      <c r="AC191">
        <v>1</v>
      </c>
      <c r="AD191">
        <v>39.438000000000002</v>
      </c>
      <c r="AE191">
        <v>1</v>
      </c>
      <c r="AF191">
        <v>25</v>
      </c>
      <c r="AG191">
        <v>2</v>
      </c>
      <c r="AH191" t="s">
        <v>84</v>
      </c>
      <c r="AI191">
        <v>0</v>
      </c>
    </row>
    <row r="192" spans="1:35" x14ac:dyDescent="0.45">
      <c r="A192">
        <v>191</v>
      </c>
      <c r="B192" t="s">
        <v>350</v>
      </c>
      <c r="C192" t="s">
        <v>352</v>
      </c>
      <c r="D192" t="s">
        <v>108</v>
      </c>
      <c r="E192">
        <v>2</v>
      </c>
      <c r="F192">
        <v>-5.8570000000000002</v>
      </c>
      <c r="G192">
        <v>-36.715000000000003</v>
      </c>
      <c r="H192">
        <v>16352</v>
      </c>
      <c r="I192">
        <v>-1</v>
      </c>
      <c r="J192">
        <v>1</v>
      </c>
      <c r="K192" t="s">
        <v>55</v>
      </c>
      <c r="L192" t="s">
        <v>55</v>
      </c>
      <c r="M192" t="s">
        <v>56</v>
      </c>
      <c r="N192">
        <v>1643344978.8599999</v>
      </c>
      <c r="O192">
        <v>0.20399999999999999</v>
      </c>
      <c r="P192">
        <v>0.35799999999999998</v>
      </c>
      <c r="Q192">
        <v>54.793999999999997</v>
      </c>
      <c r="R192">
        <v>1E-3</v>
      </c>
      <c r="S192">
        <v>1E-3</v>
      </c>
      <c r="T192">
        <v>1.3160000000000001</v>
      </c>
      <c r="U192">
        <v>90.736000000000004</v>
      </c>
      <c r="V192">
        <v>25.571999999999999</v>
      </c>
      <c r="W192">
        <v>2.2989999999999999</v>
      </c>
      <c r="X192">
        <v>85.724999999999994</v>
      </c>
      <c r="Y192">
        <v>1.0660000000000001</v>
      </c>
      <c r="Z192">
        <v>0.99099999999999999</v>
      </c>
      <c r="AA192">
        <v>0</v>
      </c>
      <c r="AB192">
        <v>0</v>
      </c>
      <c r="AC192">
        <v>1</v>
      </c>
      <c r="AD192">
        <v>39.561999999999998</v>
      </c>
      <c r="AE192">
        <v>1</v>
      </c>
      <c r="AF192">
        <v>25</v>
      </c>
      <c r="AG192">
        <v>2</v>
      </c>
      <c r="AH192" t="s">
        <v>84</v>
      </c>
      <c r="AI192">
        <v>0</v>
      </c>
    </row>
    <row r="193" spans="1:35" x14ac:dyDescent="0.45">
      <c r="A193">
        <v>192</v>
      </c>
      <c r="B193" t="s">
        <v>350</v>
      </c>
      <c r="C193" t="s">
        <v>353</v>
      </c>
      <c r="D193" t="s">
        <v>108</v>
      </c>
      <c r="E193">
        <v>3</v>
      </c>
      <c r="F193">
        <v>-5.835</v>
      </c>
      <c r="G193">
        <v>-36.56</v>
      </c>
      <c r="H193">
        <v>16279</v>
      </c>
      <c r="I193">
        <v>-1</v>
      </c>
      <c r="J193">
        <v>1</v>
      </c>
      <c r="K193" t="s">
        <v>55</v>
      </c>
      <c r="L193" t="s">
        <v>55</v>
      </c>
      <c r="M193" t="s">
        <v>56</v>
      </c>
      <c r="N193">
        <v>1643345515.4200001</v>
      </c>
      <c r="O193">
        <v>0.20200000000000001</v>
      </c>
      <c r="P193">
        <v>0.35099999999999998</v>
      </c>
      <c r="Q193">
        <v>54.512</v>
      </c>
      <c r="R193">
        <v>1E-3</v>
      </c>
      <c r="S193">
        <v>1E-3</v>
      </c>
      <c r="T193">
        <v>1.32</v>
      </c>
      <c r="U193">
        <v>90.363</v>
      </c>
      <c r="V193">
        <v>25.004999999999999</v>
      </c>
      <c r="W193">
        <v>2.31</v>
      </c>
      <c r="X193">
        <v>86.628</v>
      </c>
      <c r="Y193">
        <v>1.026</v>
      </c>
      <c r="Z193">
        <v>1.0549999999999999</v>
      </c>
      <c r="AA193">
        <v>0</v>
      </c>
      <c r="AB193">
        <v>0</v>
      </c>
      <c r="AC193">
        <v>1</v>
      </c>
      <c r="AD193">
        <v>39.561999999999998</v>
      </c>
      <c r="AE193">
        <v>1</v>
      </c>
      <c r="AF193">
        <v>25</v>
      </c>
      <c r="AG193">
        <v>2</v>
      </c>
      <c r="AH193" t="s">
        <v>84</v>
      </c>
      <c r="AI193">
        <v>0</v>
      </c>
    </row>
    <row r="194" spans="1:35" x14ac:dyDescent="0.45">
      <c r="A194">
        <v>193</v>
      </c>
      <c r="B194" t="s">
        <v>350</v>
      </c>
      <c r="C194" t="s">
        <v>354</v>
      </c>
      <c r="D194" t="s">
        <v>108</v>
      </c>
      <c r="E194">
        <v>4</v>
      </c>
      <c r="F194">
        <v>-5.8819999999999997</v>
      </c>
      <c r="G194">
        <v>-36.625</v>
      </c>
      <c r="H194">
        <v>16328</v>
      </c>
      <c r="I194">
        <v>0</v>
      </c>
      <c r="J194">
        <v>1</v>
      </c>
      <c r="K194" t="s">
        <v>55</v>
      </c>
      <c r="L194" t="s">
        <v>55</v>
      </c>
      <c r="M194" t="s">
        <v>56</v>
      </c>
      <c r="N194">
        <v>1643346053.3800001</v>
      </c>
      <c r="O194">
        <v>0.21299999999999999</v>
      </c>
      <c r="P194">
        <v>0.41899999999999998</v>
      </c>
      <c r="Q194">
        <v>54.99</v>
      </c>
      <c r="R194">
        <v>1E-3</v>
      </c>
      <c r="S194">
        <v>0</v>
      </c>
      <c r="T194">
        <v>1.3260000000000001</v>
      </c>
      <c r="U194">
        <v>90.963999999999999</v>
      </c>
      <c r="V194">
        <v>24.312999999999999</v>
      </c>
      <c r="W194">
        <v>2.3260000000000001</v>
      </c>
      <c r="X194">
        <v>87.325999999999993</v>
      </c>
      <c r="Y194">
        <v>1.06</v>
      </c>
      <c r="Z194">
        <v>1.1080000000000001</v>
      </c>
      <c r="AA194">
        <v>0</v>
      </c>
      <c r="AB194">
        <v>0</v>
      </c>
      <c r="AC194">
        <v>1</v>
      </c>
      <c r="AD194">
        <v>39.561999999999998</v>
      </c>
      <c r="AE194">
        <v>1</v>
      </c>
      <c r="AF194">
        <v>25</v>
      </c>
      <c r="AG194">
        <v>2</v>
      </c>
      <c r="AH194" t="s">
        <v>84</v>
      </c>
      <c r="AI194">
        <v>0</v>
      </c>
    </row>
    <row r="195" spans="1:35" x14ac:dyDescent="0.45">
      <c r="A195">
        <v>194</v>
      </c>
      <c r="B195" t="s">
        <v>350</v>
      </c>
      <c r="C195" t="s">
        <v>355</v>
      </c>
      <c r="D195" t="s">
        <v>108</v>
      </c>
      <c r="E195">
        <v>5</v>
      </c>
      <c r="F195">
        <v>-5.7969999999999997</v>
      </c>
      <c r="G195">
        <v>-36.534999999999997</v>
      </c>
      <c r="H195">
        <v>16323</v>
      </c>
      <c r="I195">
        <v>0</v>
      </c>
      <c r="J195">
        <v>1</v>
      </c>
      <c r="K195" t="s">
        <v>55</v>
      </c>
      <c r="L195" t="s">
        <v>55</v>
      </c>
      <c r="M195" t="s">
        <v>56</v>
      </c>
      <c r="N195">
        <v>1643346591.01</v>
      </c>
      <c r="O195">
        <v>0.22700000000000001</v>
      </c>
      <c r="P195">
        <v>0.41499999999999998</v>
      </c>
      <c r="Q195">
        <v>54.781999999999996</v>
      </c>
      <c r="R195">
        <v>1E-3</v>
      </c>
      <c r="S195">
        <v>0</v>
      </c>
      <c r="T195">
        <v>1.3340000000000001</v>
      </c>
      <c r="U195">
        <v>90.742999999999995</v>
      </c>
      <c r="V195">
        <v>24.922000000000001</v>
      </c>
      <c r="W195">
        <v>2.34</v>
      </c>
      <c r="X195">
        <v>86.873999999999995</v>
      </c>
      <c r="Y195">
        <v>1.0009999999999999</v>
      </c>
      <c r="Z195">
        <v>0.95699999999999996</v>
      </c>
      <c r="AA195">
        <v>0</v>
      </c>
      <c r="AB195">
        <v>0</v>
      </c>
      <c r="AC195">
        <v>1</v>
      </c>
      <c r="AD195">
        <v>39.561999999999998</v>
      </c>
      <c r="AE195">
        <v>1</v>
      </c>
      <c r="AF195">
        <v>25</v>
      </c>
      <c r="AG195">
        <v>2</v>
      </c>
      <c r="AH195" t="s">
        <v>84</v>
      </c>
      <c r="AI195">
        <v>0</v>
      </c>
    </row>
    <row r="196" spans="1:35" x14ac:dyDescent="0.45">
      <c r="A196">
        <v>195</v>
      </c>
      <c r="B196" t="s">
        <v>350</v>
      </c>
      <c r="C196" t="s">
        <v>356</v>
      </c>
      <c r="D196" t="s">
        <v>108</v>
      </c>
      <c r="E196">
        <v>6</v>
      </c>
      <c r="F196">
        <v>-5.8179999999999996</v>
      </c>
      <c r="G196">
        <v>-36.616</v>
      </c>
      <c r="H196">
        <v>16297</v>
      </c>
      <c r="I196">
        <v>0</v>
      </c>
      <c r="J196">
        <v>1</v>
      </c>
      <c r="K196" t="s">
        <v>55</v>
      </c>
      <c r="L196" t="s">
        <v>55</v>
      </c>
      <c r="M196" t="s">
        <v>56</v>
      </c>
      <c r="N196">
        <v>1643347125.9400001</v>
      </c>
      <c r="O196">
        <v>0.20399999999999999</v>
      </c>
      <c r="P196">
        <v>0.40799999999999997</v>
      </c>
      <c r="Q196">
        <v>54.685000000000002</v>
      </c>
      <c r="R196">
        <v>1E-3</v>
      </c>
      <c r="S196">
        <v>1E-3</v>
      </c>
      <c r="T196">
        <v>1.3140000000000001</v>
      </c>
      <c r="U196">
        <v>90.644999999999996</v>
      </c>
      <c r="V196">
        <v>24.707999999999998</v>
      </c>
      <c r="W196">
        <v>2.3199999999999998</v>
      </c>
      <c r="X196">
        <v>86.768000000000001</v>
      </c>
      <c r="Y196">
        <v>1.0549999999999999</v>
      </c>
      <c r="Z196">
        <v>1.024</v>
      </c>
      <c r="AA196">
        <v>0</v>
      </c>
      <c r="AB196">
        <v>0</v>
      </c>
      <c r="AC196">
        <v>1</v>
      </c>
      <c r="AD196">
        <v>39.625</v>
      </c>
      <c r="AE196">
        <v>1</v>
      </c>
      <c r="AF196">
        <v>25</v>
      </c>
      <c r="AG196">
        <v>2</v>
      </c>
      <c r="AH196" t="s">
        <v>84</v>
      </c>
      <c r="AI196">
        <v>0</v>
      </c>
    </row>
    <row r="197" spans="1:35" x14ac:dyDescent="0.45">
      <c r="A197">
        <v>196</v>
      </c>
      <c r="B197" t="s">
        <v>357</v>
      </c>
      <c r="C197" t="s">
        <v>358</v>
      </c>
      <c r="D197" t="s">
        <v>109</v>
      </c>
      <c r="E197">
        <v>1</v>
      </c>
      <c r="F197">
        <v>-5.8440000000000003</v>
      </c>
      <c r="G197">
        <v>-36.698999999999998</v>
      </c>
      <c r="H197">
        <v>16319</v>
      </c>
      <c r="I197">
        <v>-1</v>
      </c>
      <c r="J197">
        <v>1</v>
      </c>
      <c r="K197" t="s">
        <v>55</v>
      </c>
      <c r="L197" t="s">
        <v>55</v>
      </c>
      <c r="M197" t="s">
        <v>56</v>
      </c>
      <c r="N197">
        <v>1643347662.8599999</v>
      </c>
      <c r="O197">
        <v>0.21299999999999999</v>
      </c>
      <c r="P197">
        <v>0.40899999999999997</v>
      </c>
      <c r="Q197">
        <v>53.3</v>
      </c>
      <c r="R197">
        <v>2E-3</v>
      </c>
      <c r="S197">
        <v>-1E-3</v>
      </c>
      <c r="T197">
        <v>1.2889999999999999</v>
      </c>
      <c r="U197">
        <v>90.95</v>
      </c>
      <c r="V197">
        <v>23.834</v>
      </c>
      <c r="W197">
        <v>2.387</v>
      </c>
      <c r="X197">
        <v>88.8</v>
      </c>
      <c r="Y197">
        <v>1.054</v>
      </c>
      <c r="Z197">
        <v>1.3089999999999999</v>
      </c>
      <c r="AA197">
        <v>0</v>
      </c>
      <c r="AB197">
        <v>0</v>
      </c>
      <c r="AC197">
        <v>1</v>
      </c>
      <c r="AD197">
        <v>39.561999999999998</v>
      </c>
      <c r="AE197">
        <v>1</v>
      </c>
      <c r="AF197">
        <v>26</v>
      </c>
      <c r="AG197">
        <v>2</v>
      </c>
      <c r="AH197" t="s">
        <v>84</v>
      </c>
      <c r="AI197">
        <v>0</v>
      </c>
    </row>
    <row r="198" spans="1:35" x14ac:dyDescent="0.45">
      <c r="A198">
        <v>197</v>
      </c>
      <c r="B198" t="s">
        <v>357</v>
      </c>
      <c r="C198" t="s">
        <v>359</v>
      </c>
      <c r="D198" t="s">
        <v>109</v>
      </c>
      <c r="E198">
        <v>2</v>
      </c>
      <c r="F198">
        <v>-5.8719999999999999</v>
      </c>
      <c r="G198">
        <v>-36.676000000000002</v>
      </c>
      <c r="H198">
        <v>16331</v>
      </c>
      <c r="I198">
        <v>-1</v>
      </c>
      <c r="J198">
        <v>1</v>
      </c>
      <c r="K198" t="s">
        <v>55</v>
      </c>
      <c r="L198" t="s">
        <v>55</v>
      </c>
      <c r="M198" t="s">
        <v>56</v>
      </c>
      <c r="N198">
        <v>1643348200.8499999</v>
      </c>
      <c r="O198">
        <v>0.217</v>
      </c>
      <c r="P198">
        <v>0.42</v>
      </c>
      <c r="Q198">
        <v>54.792999999999999</v>
      </c>
      <c r="R198">
        <v>1E-3</v>
      </c>
      <c r="S198">
        <v>0</v>
      </c>
      <c r="T198">
        <v>1.3149999999999999</v>
      </c>
      <c r="U198">
        <v>90.671000000000006</v>
      </c>
      <c r="V198">
        <v>23.207999999999998</v>
      </c>
      <c r="W198">
        <v>2.56</v>
      </c>
      <c r="X198">
        <v>92.655000000000001</v>
      </c>
      <c r="Y198">
        <v>1.05</v>
      </c>
      <c r="Z198">
        <v>1.87</v>
      </c>
      <c r="AA198">
        <v>0</v>
      </c>
      <c r="AB198">
        <v>0</v>
      </c>
      <c r="AC198">
        <v>1</v>
      </c>
      <c r="AD198">
        <v>39.561999999999998</v>
      </c>
      <c r="AE198">
        <v>1</v>
      </c>
      <c r="AF198">
        <v>26</v>
      </c>
      <c r="AG198">
        <v>2</v>
      </c>
      <c r="AH198" t="s">
        <v>84</v>
      </c>
      <c r="AI198">
        <v>0</v>
      </c>
    </row>
    <row r="199" spans="1:35" x14ac:dyDescent="0.45">
      <c r="A199">
        <v>198</v>
      </c>
      <c r="B199" t="s">
        <v>357</v>
      </c>
      <c r="C199" t="s">
        <v>360</v>
      </c>
      <c r="D199" t="s">
        <v>109</v>
      </c>
      <c r="E199">
        <v>3</v>
      </c>
      <c r="F199">
        <v>-5.8710000000000004</v>
      </c>
      <c r="G199">
        <v>-36.695999999999998</v>
      </c>
      <c r="H199">
        <v>16291</v>
      </c>
      <c r="I199">
        <v>-1</v>
      </c>
      <c r="J199">
        <v>1</v>
      </c>
      <c r="K199" t="s">
        <v>55</v>
      </c>
      <c r="L199" t="s">
        <v>55</v>
      </c>
      <c r="M199" t="s">
        <v>56</v>
      </c>
      <c r="N199">
        <v>1643348738.22</v>
      </c>
      <c r="O199">
        <v>0.19800000000000001</v>
      </c>
      <c r="P199">
        <v>0.4</v>
      </c>
      <c r="Q199">
        <v>55.325000000000003</v>
      </c>
      <c r="R199">
        <v>1E-3</v>
      </c>
      <c r="S199">
        <v>0</v>
      </c>
      <c r="T199">
        <v>1.329</v>
      </c>
      <c r="U199">
        <v>90.721000000000004</v>
      </c>
      <c r="V199">
        <v>24.016999999999999</v>
      </c>
      <c r="W199">
        <v>2.3679999999999999</v>
      </c>
      <c r="X199">
        <v>88.146000000000001</v>
      </c>
      <c r="Y199">
        <v>1.044</v>
      </c>
      <c r="Z199">
        <v>1.1619999999999999</v>
      </c>
      <c r="AA199">
        <v>0</v>
      </c>
      <c r="AB199">
        <v>0</v>
      </c>
      <c r="AC199">
        <v>1</v>
      </c>
      <c r="AD199">
        <v>39.561999999999998</v>
      </c>
      <c r="AE199">
        <v>1</v>
      </c>
      <c r="AF199">
        <v>26</v>
      </c>
      <c r="AG199">
        <v>2</v>
      </c>
      <c r="AH199" t="s">
        <v>84</v>
      </c>
      <c r="AI199">
        <v>0</v>
      </c>
    </row>
    <row r="200" spans="1:35" x14ac:dyDescent="0.45">
      <c r="A200">
        <v>199</v>
      </c>
      <c r="B200" t="s">
        <v>357</v>
      </c>
      <c r="C200" t="s">
        <v>361</v>
      </c>
      <c r="D200" t="s">
        <v>109</v>
      </c>
      <c r="E200">
        <v>4</v>
      </c>
      <c r="F200">
        <v>-5.8650000000000002</v>
      </c>
      <c r="G200">
        <v>-36.668999999999997</v>
      </c>
      <c r="H200">
        <v>16329</v>
      </c>
      <c r="I200">
        <v>0</v>
      </c>
      <c r="J200">
        <v>1</v>
      </c>
      <c r="K200" t="s">
        <v>55</v>
      </c>
      <c r="L200" t="s">
        <v>55</v>
      </c>
      <c r="M200" t="s">
        <v>56</v>
      </c>
      <c r="N200">
        <v>1643349274.3800001</v>
      </c>
      <c r="O200">
        <v>0.23799999999999999</v>
      </c>
      <c r="P200">
        <v>0.39</v>
      </c>
      <c r="Q200">
        <v>54.771999999999998</v>
      </c>
      <c r="R200">
        <v>0</v>
      </c>
      <c r="S200">
        <v>-1E-3</v>
      </c>
      <c r="T200">
        <v>1.3140000000000001</v>
      </c>
      <c r="U200">
        <v>91.125</v>
      </c>
      <c r="V200">
        <v>24.712</v>
      </c>
      <c r="W200">
        <v>2.2989999999999999</v>
      </c>
      <c r="X200">
        <v>85.344999999999999</v>
      </c>
      <c r="Y200">
        <v>1.05</v>
      </c>
      <c r="Z200">
        <v>0.82399999999999995</v>
      </c>
      <c r="AA200">
        <v>0</v>
      </c>
      <c r="AB200">
        <v>0</v>
      </c>
      <c r="AC200">
        <v>1</v>
      </c>
      <c r="AD200">
        <v>39.561999999999998</v>
      </c>
      <c r="AE200">
        <v>1</v>
      </c>
      <c r="AF200">
        <v>26</v>
      </c>
      <c r="AG200">
        <v>2</v>
      </c>
      <c r="AH200" t="s">
        <v>84</v>
      </c>
      <c r="AI200">
        <v>0</v>
      </c>
    </row>
    <row r="201" spans="1:35" x14ac:dyDescent="0.45">
      <c r="A201">
        <v>200</v>
      </c>
      <c r="B201" t="s">
        <v>357</v>
      </c>
      <c r="C201" t="s">
        <v>362</v>
      </c>
      <c r="D201" t="s">
        <v>109</v>
      </c>
      <c r="E201">
        <v>5</v>
      </c>
      <c r="F201">
        <v>-5.8609999999999998</v>
      </c>
      <c r="G201">
        <v>-36.735999999999997</v>
      </c>
      <c r="H201">
        <v>16400</v>
      </c>
      <c r="I201">
        <v>0</v>
      </c>
      <c r="J201">
        <v>1</v>
      </c>
      <c r="K201" t="s">
        <v>55</v>
      </c>
      <c r="L201" t="s">
        <v>55</v>
      </c>
      <c r="M201" t="s">
        <v>56</v>
      </c>
      <c r="N201">
        <v>1643349812.1500001</v>
      </c>
      <c r="O201">
        <v>0.16800000000000001</v>
      </c>
      <c r="P201">
        <v>0.376</v>
      </c>
      <c r="Q201">
        <v>54.539000000000001</v>
      </c>
      <c r="R201">
        <v>1E-3</v>
      </c>
      <c r="S201">
        <v>2E-3</v>
      </c>
      <c r="T201">
        <v>1.319</v>
      </c>
      <c r="U201">
        <v>91.055000000000007</v>
      </c>
      <c r="V201">
        <v>25.178999999999998</v>
      </c>
      <c r="W201">
        <v>2.3260000000000001</v>
      </c>
      <c r="X201">
        <v>87.466999999999999</v>
      </c>
      <c r="Y201">
        <v>1.0449999999999999</v>
      </c>
      <c r="Z201">
        <v>1.2230000000000001</v>
      </c>
      <c r="AA201">
        <v>0</v>
      </c>
      <c r="AB201">
        <v>0</v>
      </c>
      <c r="AC201">
        <v>1</v>
      </c>
      <c r="AD201">
        <v>39.561999999999998</v>
      </c>
      <c r="AE201">
        <v>1</v>
      </c>
      <c r="AF201">
        <v>26</v>
      </c>
      <c r="AG201">
        <v>2</v>
      </c>
      <c r="AH201" t="s">
        <v>84</v>
      </c>
      <c r="AI201">
        <v>0</v>
      </c>
    </row>
    <row r="202" spans="1:35" x14ac:dyDescent="0.45">
      <c r="A202">
        <v>201</v>
      </c>
      <c r="B202" t="s">
        <v>357</v>
      </c>
      <c r="C202" t="s">
        <v>363</v>
      </c>
      <c r="D202" t="s">
        <v>109</v>
      </c>
      <c r="E202">
        <v>6</v>
      </c>
      <c r="F202">
        <v>-5.835</v>
      </c>
      <c r="G202">
        <v>-36.762</v>
      </c>
      <c r="H202">
        <v>16285</v>
      </c>
      <c r="I202">
        <v>0</v>
      </c>
      <c r="J202">
        <v>1</v>
      </c>
      <c r="K202" t="s">
        <v>55</v>
      </c>
      <c r="L202" t="s">
        <v>55</v>
      </c>
      <c r="M202" t="s">
        <v>56</v>
      </c>
      <c r="N202">
        <v>1643350349.6700001</v>
      </c>
      <c r="O202">
        <v>0.21199999999999999</v>
      </c>
      <c r="P202">
        <v>0.34599999999999997</v>
      </c>
      <c r="Q202">
        <v>54.594999999999999</v>
      </c>
      <c r="R202">
        <v>1E-3</v>
      </c>
      <c r="S202">
        <v>0</v>
      </c>
      <c r="T202">
        <v>1.31</v>
      </c>
      <c r="U202">
        <v>90.533000000000001</v>
      </c>
      <c r="V202">
        <v>24.446999999999999</v>
      </c>
      <c r="W202">
        <v>2.351</v>
      </c>
      <c r="X202">
        <v>87.823999999999998</v>
      </c>
      <c r="Y202">
        <v>1.056</v>
      </c>
      <c r="Z202">
        <v>1.2849999999999999</v>
      </c>
      <c r="AA202">
        <v>0</v>
      </c>
      <c r="AB202">
        <v>0</v>
      </c>
      <c r="AC202">
        <v>1</v>
      </c>
      <c r="AD202">
        <v>39.561999999999998</v>
      </c>
      <c r="AE202">
        <v>1</v>
      </c>
      <c r="AF202">
        <v>26</v>
      </c>
      <c r="AG202">
        <v>2</v>
      </c>
      <c r="AH202" t="s">
        <v>84</v>
      </c>
      <c r="AI202">
        <v>0</v>
      </c>
    </row>
    <row r="203" spans="1:35" x14ac:dyDescent="0.45">
      <c r="A203">
        <v>202</v>
      </c>
      <c r="B203" t="s">
        <v>364</v>
      </c>
      <c r="C203" t="s">
        <v>365</v>
      </c>
      <c r="D203" t="s">
        <v>110</v>
      </c>
      <c r="E203">
        <v>1</v>
      </c>
      <c r="F203">
        <v>-5.899</v>
      </c>
      <c r="G203">
        <v>-36.771999999999998</v>
      </c>
      <c r="H203">
        <v>16262</v>
      </c>
      <c r="I203">
        <v>-1</v>
      </c>
      <c r="J203">
        <v>1</v>
      </c>
      <c r="K203" t="s">
        <v>55</v>
      </c>
      <c r="L203" t="s">
        <v>55</v>
      </c>
      <c r="M203" t="s">
        <v>56</v>
      </c>
      <c r="N203">
        <v>1643350885.5</v>
      </c>
      <c r="O203">
        <v>0.21</v>
      </c>
      <c r="P203">
        <v>0.432</v>
      </c>
      <c r="Q203">
        <v>54.801000000000002</v>
      </c>
      <c r="R203">
        <v>2E-3</v>
      </c>
      <c r="S203">
        <v>2E-3</v>
      </c>
      <c r="T203">
        <v>1.32</v>
      </c>
      <c r="U203">
        <v>90.269000000000005</v>
      </c>
      <c r="V203">
        <v>24.683</v>
      </c>
      <c r="W203">
        <v>2.3290000000000002</v>
      </c>
      <c r="X203">
        <v>87.438000000000002</v>
      </c>
      <c r="Y203">
        <v>1.0429999999999999</v>
      </c>
      <c r="Z203">
        <v>1.194</v>
      </c>
      <c r="AA203">
        <v>0</v>
      </c>
      <c r="AB203">
        <v>0</v>
      </c>
      <c r="AC203">
        <v>1</v>
      </c>
      <c r="AD203">
        <v>39.5</v>
      </c>
      <c r="AE203">
        <v>1</v>
      </c>
      <c r="AF203">
        <v>27</v>
      </c>
      <c r="AG203">
        <v>2</v>
      </c>
      <c r="AH203" t="s">
        <v>84</v>
      </c>
      <c r="AI203">
        <v>0</v>
      </c>
    </row>
    <row r="204" spans="1:35" x14ac:dyDescent="0.45">
      <c r="A204">
        <v>203</v>
      </c>
      <c r="B204" t="s">
        <v>364</v>
      </c>
      <c r="C204" t="s">
        <v>366</v>
      </c>
      <c r="D204" t="s">
        <v>110</v>
      </c>
      <c r="E204">
        <v>2</v>
      </c>
      <c r="F204">
        <v>-5.8609999999999998</v>
      </c>
      <c r="G204">
        <v>-36.759</v>
      </c>
      <c r="H204">
        <v>16305</v>
      </c>
      <c r="I204">
        <v>-1</v>
      </c>
      <c r="J204">
        <v>1</v>
      </c>
      <c r="K204" t="s">
        <v>55</v>
      </c>
      <c r="L204" t="s">
        <v>55</v>
      </c>
      <c r="M204" t="s">
        <v>56</v>
      </c>
      <c r="N204">
        <v>1643351424.27</v>
      </c>
      <c r="O204">
        <v>0.21</v>
      </c>
      <c r="P204">
        <v>0.376</v>
      </c>
      <c r="Q204">
        <v>54.923000000000002</v>
      </c>
      <c r="R204">
        <v>1E-3</v>
      </c>
      <c r="S204">
        <v>0</v>
      </c>
      <c r="T204">
        <v>1.3169999999999999</v>
      </c>
      <c r="U204">
        <v>90.372</v>
      </c>
      <c r="V204">
        <v>25.242000000000001</v>
      </c>
      <c r="W204">
        <v>2.3220000000000001</v>
      </c>
      <c r="X204">
        <v>86.980999999999995</v>
      </c>
      <c r="Y204">
        <v>1.05</v>
      </c>
      <c r="Z204">
        <v>1.25</v>
      </c>
      <c r="AA204">
        <v>0</v>
      </c>
      <c r="AB204">
        <v>0</v>
      </c>
      <c r="AC204">
        <v>1</v>
      </c>
      <c r="AD204">
        <v>39.438000000000002</v>
      </c>
      <c r="AE204">
        <v>1</v>
      </c>
      <c r="AF204">
        <v>27</v>
      </c>
      <c r="AG204">
        <v>2</v>
      </c>
      <c r="AH204" t="s">
        <v>84</v>
      </c>
      <c r="AI204">
        <v>0</v>
      </c>
    </row>
    <row r="205" spans="1:35" x14ac:dyDescent="0.45">
      <c r="A205">
        <v>204</v>
      </c>
      <c r="B205" t="s">
        <v>364</v>
      </c>
      <c r="C205" t="s">
        <v>367</v>
      </c>
      <c r="D205" t="s">
        <v>110</v>
      </c>
      <c r="E205">
        <v>3</v>
      </c>
      <c r="F205">
        <v>-5.8849999999999998</v>
      </c>
      <c r="G205">
        <v>-36.734999999999999</v>
      </c>
      <c r="H205">
        <v>16320</v>
      </c>
      <c r="I205">
        <v>-1</v>
      </c>
      <c r="J205">
        <v>1</v>
      </c>
      <c r="K205" t="s">
        <v>55</v>
      </c>
      <c r="L205" t="s">
        <v>55</v>
      </c>
      <c r="M205" t="s">
        <v>56</v>
      </c>
      <c r="N205">
        <v>1643351960.03</v>
      </c>
      <c r="O205">
        <v>0.20499999999999999</v>
      </c>
      <c r="P205">
        <v>0.40600000000000003</v>
      </c>
      <c r="Q205">
        <v>55.161000000000001</v>
      </c>
      <c r="R205">
        <v>0</v>
      </c>
      <c r="S205">
        <v>1E-3</v>
      </c>
      <c r="T205">
        <v>1.321</v>
      </c>
      <c r="U205">
        <v>90.781999999999996</v>
      </c>
      <c r="V205">
        <v>24.611999999999998</v>
      </c>
      <c r="W205">
        <v>2.31</v>
      </c>
      <c r="X205">
        <v>87.138999999999996</v>
      </c>
      <c r="Y205">
        <v>1.0509999999999999</v>
      </c>
      <c r="Z205">
        <v>1.069</v>
      </c>
      <c r="AA205">
        <v>0</v>
      </c>
      <c r="AB205">
        <v>0</v>
      </c>
      <c r="AC205">
        <v>1</v>
      </c>
      <c r="AD205">
        <v>39.5</v>
      </c>
      <c r="AE205">
        <v>1</v>
      </c>
      <c r="AF205">
        <v>27</v>
      </c>
      <c r="AG205">
        <v>2</v>
      </c>
      <c r="AH205" t="s">
        <v>84</v>
      </c>
      <c r="AI205">
        <v>0</v>
      </c>
    </row>
    <row r="206" spans="1:35" x14ac:dyDescent="0.45">
      <c r="A206">
        <v>205</v>
      </c>
      <c r="B206" t="s">
        <v>364</v>
      </c>
      <c r="C206" t="s">
        <v>368</v>
      </c>
      <c r="D206" t="s">
        <v>110</v>
      </c>
      <c r="E206">
        <v>4</v>
      </c>
      <c r="F206">
        <v>-5.8769999999999998</v>
      </c>
      <c r="G206">
        <v>-36.722000000000001</v>
      </c>
      <c r="H206">
        <v>16357</v>
      </c>
      <c r="I206">
        <v>0</v>
      </c>
      <c r="J206">
        <v>1</v>
      </c>
      <c r="K206" t="s">
        <v>55</v>
      </c>
      <c r="L206" t="s">
        <v>55</v>
      </c>
      <c r="M206" t="s">
        <v>56</v>
      </c>
      <c r="N206">
        <v>1643352497.46</v>
      </c>
      <c r="O206">
        <v>0.20699999999999999</v>
      </c>
      <c r="P206">
        <v>0.436</v>
      </c>
      <c r="Q206">
        <v>54.259</v>
      </c>
      <c r="R206">
        <v>0</v>
      </c>
      <c r="S206">
        <v>1E-3</v>
      </c>
      <c r="T206">
        <v>1.3049999999999999</v>
      </c>
      <c r="U206">
        <v>90.951999999999998</v>
      </c>
      <c r="V206">
        <v>25.41</v>
      </c>
      <c r="W206">
        <v>2.2519999999999998</v>
      </c>
      <c r="X206">
        <v>85.414000000000001</v>
      </c>
      <c r="Y206">
        <v>1.0489999999999999</v>
      </c>
      <c r="Z206">
        <v>0.94599999999999995</v>
      </c>
      <c r="AA206">
        <v>0</v>
      </c>
      <c r="AB206">
        <v>0</v>
      </c>
      <c r="AC206">
        <v>1</v>
      </c>
      <c r="AD206">
        <v>39.561999999999998</v>
      </c>
      <c r="AE206">
        <v>1</v>
      </c>
      <c r="AF206">
        <v>27</v>
      </c>
      <c r="AG206">
        <v>2</v>
      </c>
      <c r="AH206" t="s">
        <v>84</v>
      </c>
      <c r="AI206">
        <v>0</v>
      </c>
    </row>
    <row r="207" spans="1:35" x14ac:dyDescent="0.45">
      <c r="A207">
        <v>206</v>
      </c>
      <c r="B207" t="s">
        <v>364</v>
      </c>
      <c r="C207" t="s">
        <v>369</v>
      </c>
      <c r="D207" t="s">
        <v>110</v>
      </c>
      <c r="E207">
        <v>5</v>
      </c>
      <c r="F207">
        <v>-5.8929999999999998</v>
      </c>
      <c r="G207">
        <v>-36.768000000000001</v>
      </c>
      <c r="H207">
        <v>16319</v>
      </c>
      <c r="I207">
        <v>0</v>
      </c>
      <c r="J207">
        <v>1</v>
      </c>
      <c r="K207" t="s">
        <v>55</v>
      </c>
      <c r="L207" t="s">
        <v>55</v>
      </c>
      <c r="M207" t="s">
        <v>56</v>
      </c>
      <c r="N207">
        <v>1643353035.0899999</v>
      </c>
      <c r="O207">
        <v>0.19900000000000001</v>
      </c>
      <c r="P207">
        <v>0.378</v>
      </c>
      <c r="Q207">
        <v>55.4</v>
      </c>
      <c r="R207">
        <v>1E-3</v>
      </c>
      <c r="S207">
        <v>2E-3</v>
      </c>
      <c r="T207">
        <v>1.33</v>
      </c>
      <c r="U207">
        <v>90.986999999999995</v>
      </c>
      <c r="V207">
        <v>25.222999999999999</v>
      </c>
      <c r="W207">
        <v>2.2000000000000002</v>
      </c>
      <c r="X207">
        <v>84.111999999999995</v>
      </c>
      <c r="Y207">
        <v>1.042</v>
      </c>
      <c r="Z207">
        <v>0.64600000000000002</v>
      </c>
      <c r="AA207">
        <v>0</v>
      </c>
      <c r="AB207">
        <v>0</v>
      </c>
      <c r="AC207">
        <v>1</v>
      </c>
      <c r="AD207">
        <v>39.5</v>
      </c>
      <c r="AE207">
        <v>1</v>
      </c>
      <c r="AF207">
        <v>27</v>
      </c>
      <c r="AG207">
        <v>2</v>
      </c>
      <c r="AH207" t="s">
        <v>84</v>
      </c>
      <c r="AI207">
        <v>0</v>
      </c>
    </row>
    <row r="208" spans="1:35" x14ac:dyDescent="0.45">
      <c r="A208">
        <v>207</v>
      </c>
      <c r="B208" t="s">
        <v>364</v>
      </c>
      <c r="C208" t="s">
        <v>370</v>
      </c>
      <c r="D208" t="s">
        <v>110</v>
      </c>
      <c r="E208">
        <v>6</v>
      </c>
      <c r="F208">
        <v>-5.8760000000000003</v>
      </c>
      <c r="G208">
        <v>-36.765000000000001</v>
      </c>
      <c r="H208">
        <v>16303</v>
      </c>
      <c r="I208">
        <v>0</v>
      </c>
      <c r="J208">
        <v>1</v>
      </c>
      <c r="K208" t="s">
        <v>55</v>
      </c>
      <c r="L208" t="s">
        <v>55</v>
      </c>
      <c r="M208" t="s">
        <v>56</v>
      </c>
      <c r="N208">
        <v>1643353571.8199999</v>
      </c>
      <c r="O208">
        <v>0.21099999999999999</v>
      </c>
      <c r="P208">
        <v>0.40500000000000003</v>
      </c>
      <c r="Q208">
        <v>54.987000000000002</v>
      </c>
      <c r="R208">
        <v>1E-3</v>
      </c>
      <c r="S208">
        <v>0</v>
      </c>
      <c r="T208">
        <v>1.3149999999999999</v>
      </c>
      <c r="U208">
        <v>90.787000000000006</v>
      </c>
      <c r="V208">
        <v>24.709</v>
      </c>
      <c r="W208">
        <v>2.274</v>
      </c>
      <c r="X208">
        <v>86.263000000000005</v>
      </c>
      <c r="Y208">
        <v>1.0509999999999999</v>
      </c>
      <c r="Z208">
        <v>0.98099999999999998</v>
      </c>
      <c r="AA208">
        <v>0</v>
      </c>
      <c r="AB208">
        <v>0</v>
      </c>
      <c r="AC208">
        <v>1</v>
      </c>
      <c r="AD208">
        <v>39.561999999999998</v>
      </c>
      <c r="AE208">
        <v>1</v>
      </c>
      <c r="AF208">
        <v>27</v>
      </c>
      <c r="AG208">
        <v>2</v>
      </c>
      <c r="AH208" t="s">
        <v>84</v>
      </c>
      <c r="AI208">
        <v>0</v>
      </c>
    </row>
    <row r="209" spans="1:35" x14ac:dyDescent="0.45">
      <c r="A209">
        <v>208</v>
      </c>
      <c r="B209" t="s">
        <v>371</v>
      </c>
      <c r="C209" t="s">
        <v>372</v>
      </c>
      <c r="D209" t="s">
        <v>111</v>
      </c>
      <c r="E209">
        <v>1</v>
      </c>
      <c r="F209">
        <v>-5.5449999999999999</v>
      </c>
      <c r="G209">
        <v>-30.445</v>
      </c>
      <c r="H209">
        <v>16226</v>
      </c>
      <c r="I209">
        <v>-1</v>
      </c>
      <c r="J209">
        <v>1</v>
      </c>
      <c r="K209" t="s">
        <v>55</v>
      </c>
      <c r="L209" t="s">
        <v>55</v>
      </c>
      <c r="M209" t="s">
        <v>56</v>
      </c>
      <c r="N209">
        <v>1643354109.5799999</v>
      </c>
      <c r="O209">
        <v>0.20699999999999999</v>
      </c>
      <c r="P209">
        <v>0.379</v>
      </c>
      <c r="Q209">
        <v>54.02</v>
      </c>
      <c r="R209">
        <v>0</v>
      </c>
      <c r="S209">
        <v>0</v>
      </c>
      <c r="T209">
        <v>1.3149999999999999</v>
      </c>
      <c r="U209">
        <v>90.296000000000006</v>
      </c>
      <c r="V209">
        <v>25.056000000000001</v>
      </c>
      <c r="W209">
        <v>2.214</v>
      </c>
      <c r="X209">
        <v>84.656999999999996</v>
      </c>
      <c r="Y209">
        <v>1.0409999999999999</v>
      </c>
      <c r="Z209">
        <v>0.77800000000000002</v>
      </c>
      <c r="AA209">
        <v>0</v>
      </c>
      <c r="AB209">
        <v>0</v>
      </c>
      <c r="AC209">
        <v>1</v>
      </c>
      <c r="AD209">
        <v>39.561999999999998</v>
      </c>
      <c r="AE209">
        <v>1</v>
      </c>
      <c r="AF209">
        <v>28</v>
      </c>
      <c r="AG209">
        <v>2</v>
      </c>
      <c r="AH209" t="s">
        <v>84</v>
      </c>
      <c r="AI209">
        <v>0</v>
      </c>
    </row>
    <row r="210" spans="1:35" x14ac:dyDescent="0.45">
      <c r="A210">
        <v>209</v>
      </c>
      <c r="B210" t="s">
        <v>371</v>
      </c>
      <c r="C210" t="s">
        <v>373</v>
      </c>
      <c r="D210" t="s">
        <v>111</v>
      </c>
      <c r="E210">
        <v>2</v>
      </c>
      <c r="F210">
        <v>-5.5570000000000004</v>
      </c>
      <c r="G210">
        <v>-29.914999999999999</v>
      </c>
      <c r="H210">
        <v>16333</v>
      </c>
      <c r="I210">
        <v>-1</v>
      </c>
      <c r="J210">
        <v>1</v>
      </c>
      <c r="K210" t="s">
        <v>55</v>
      </c>
      <c r="L210" t="s">
        <v>55</v>
      </c>
      <c r="M210" t="s">
        <v>56</v>
      </c>
      <c r="N210">
        <v>1643354646.45</v>
      </c>
      <c r="O210">
        <v>0.193</v>
      </c>
      <c r="P210">
        <v>0.376</v>
      </c>
      <c r="Q210">
        <v>54.991999999999997</v>
      </c>
      <c r="R210">
        <v>1E-3</v>
      </c>
      <c r="S210">
        <v>1E-3</v>
      </c>
      <c r="T210">
        <v>1.3169999999999999</v>
      </c>
      <c r="U210">
        <v>90.825000000000003</v>
      </c>
      <c r="V210">
        <v>24.988</v>
      </c>
      <c r="W210">
        <v>2.2879999999999998</v>
      </c>
      <c r="X210">
        <v>86.370999999999995</v>
      </c>
      <c r="Y210">
        <v>1.0429999999999999</v>
      </c>
      <c r="Z210">
        <v>0.90600000000000003</v>
      </c>
      <c r="AA210">
        <v>0</v>
      </c>
      <c r="AB210">
        <v>0</v>
      </c>
      <c r="AC210">
        <v>1</v>
      </c>
      <c r="AD210">
        <v>39.5</v>
      </c>
      <c r="AE210">
        <v>1</v>
      </c>
      <c r="AF210">
        <v>28</v>
      </c>
      <c r="AG210">
        <v>2</v>
      </c>
      <c r="AH210" t="s">
        <v>84</v>
      </c>
      <c r="AI210">
        <v>0</v>
      </c>
    </row>
    <row r="211" spans="1:35" x14ac:dyDescent="0.45">
      <c r="A211">
        <v>210</v>
      </c>
      <c r="B211" t="s">
        <v>371</v>
      </c>
      <c r="C211" t="s">
        <v>374</v>
      </c>
      <c r="D211" t="s">
        <v>111</v>
      </c>
      <c r="E211">
        <v>3</v>
      </c>
      <c r="F211">
        <v>-5.5170000000000003</v>
      </c>
      <c r="G211">
        <v>-29.792999999999999</v>
      </c>
      <c r="H211">
        <v>16328</v>
      </c>
      <c r="I211">
        <v>-1</v>
      </c>
      <c r="J211">
        <v>1</v>
      </c>
      <c r="K211" t="s">
        <v>55</v>
      </c>
      <c r="L211" t="s">
        <v>55</v>
      </c>
      <c r="M211" t="s">
        <v>56</v>
      </c>
      <c r="N211">
        <v>1643355183.77</v>
      </c>
      <c r="O211">
        <v>0.20799999999999999</v>
      </c>
      <c r="P211">
        <v>0.38400000000000001</v>
      </c>
      <c r="Q211">
        <v>55.177999999999997</v>
      </c>
      <c r="R211">
        <v>1E-3</v>
      </c>
      <c r="S211">
        <v>1E-3</v>
      </c>
      <c r="T211">
        <v>1.3280000000000001</v>
      </c>
      <c r="U211">
        <v>90.974999999999994</v>
      </c>
      <c r="V211">
        <v>25.370999999999999</v>
      </c>
      <c r="W211">
        <v>2.1789999999999998</v>
      </c>
      <c r="X211">
        <v>84.084999999999994</v>
      </c>
      <c r="Y211">
        <v>1.048</v>
      </c>
      <c r="Z211">
        <v>0.623</v>
      </c>
      <c r="AA211">
        <v>0</v>
      </c>
      <c r="AB211">
        <v>0</v>
      </c>
      <c r="AC211">
        <v>1</v>
      </c>
      <c r="AD211">
        <v>39.561999999999998</v>
      </c>
      <c r="AE211">
        <v>1</v>
      </c>
      <c r="AF211">
        <v>28</v>
      </c>
      <c r="AG211">
        <v>2</v>
      </c>
      <c r="AH211" t="s">
        <v>84</v>
      </c>
      <c r="AI211">
        <v>0</v>
      </c>
    </row>
    <row r="212" spans="1:35" x14ac:dyDescent="0.45">
      <c r="A212">
        <v>211</v>
      </c>
      <c r="B212" t="s">
        <v>371</v>
      </c>
      <c r="C212" t="s">
        <v>375</v>
      </c>
      <c r="D212" t="s">
        <v>111</v>
      </c>
      <c r="E212">
        <v>4</v>
      </c>
      <c r="F212">
        <v>-5.5190000000000001</v>
      </c>
      <c r="G212">
        <v>-29.766999999999999</v>
      </c>
      <c r="H212">
        <v>16328</v>
      </c>
      <c r="I212">
        <v>0</v>
      </c>
      <c r="J212">
        <v>1</v>
      </c>
      <c r="K212" t="s">
        <v>55</v>
      </c>
      <c r="L212" t="s">
        <v>55</v>
      </c>
      <c r="M212" t="s">
        <v>56</v>
      </c>
      <c r="N212">
        <v>1643355719.6400001</v>
      </c>
      <c r="O212">
        <v>0.20200000000000001</v>
      </c>
      <c r="P212">
        <v>0.39700000000000002</v>
      </c>
      <c r="Q212">
        <v>54.939</v>
      </c>
      <c r="R212">
        <v>1E-3</v>
      </c>
      <c r="S212">
        <v>0</v>
      </c>
      <c r="T212">
        <v>1.3109999999999999</v>
      </c>
      <c r="U212">
        <v>90.882999999999996</v>
      </c>
      <c r="V212">
        <v>24.666</v>
      </c>
      <c r="W212">
        <v>2.2639999999999998</v>
      </c>
      <c r="X212">
        <v>86.962000000000003</v>
      </c>
      <c r="Y212">
        <v>1.0549999999999999</v>
      </c>
      <c r="Z212">
        <v>0.98799999999999999</v>
      </c>
      <c r="AA212">
        <v>0</v>
      </c>
      <c r="AB212">
        <v>0</v>
      </c>
      <c r="AC212">
        <v>1</v>
      </c>
      <c r="AD212">
        <v>39.5</v>
      </c>
      <c r="AE212">
        <v>1</v>
      </c>
      <c r="AF212">
        <v>28</v>
      </c>
      <c r="AG212">
        <v>2</v>
      </c>
      <c r="AH212" t="s">
        <v>84</v>
      </c>
      <c r="AI212">
        <v>0</v>
      </c>
    </row>
    <row r="213" spans="1:35" x14ac:dyDescent="0.45">
      <c r="A213">
        <v>212</v>
      </c>
      <c r="B213" t="s">
        <v>371</v>
      </c>
      <c r="C213" t="s">
        <v>376</v>
      </c>
      <c r="D213" t="s">
        <v>111</v>
      </c>
      <c r="E213">
        <v>5</v>
      </c>
      <c r="F213">
        <v>-5.5380000000000003</v>
      </c>
      <c r="G213">
        <v>-29.672000000000001</v>
      </c>
      <c r="H213">
        <v>16338</v>
      </c>
      <c r="I213">
        <v>0</v>
      </c>
      <c r="J213">
        <v>1</v>
      </c>
      <c r="K213" t="s">
        <v>55</v>
      </c>
      <c r="L213" t="s">
        <v>55</v>
      </c>
      <c r="M213" t="s">
        <v>56</v>
      </c>
      <c r="N213">
        <v>1643356257.6300001</v>
      </c>
      <c r="O213">
        <v>0.20799999999999999</v>
      </c>
      <c r="P213">
        <v>0.378</v>
      </c>
      <c r="Q213">
        <v>55.408999999999999</v>
      </c>
      <c r="R213">
        <v>1E-3</v>
      </c>
      <c r="S213">
        <v>0</v>
      </c>
      <c r="T213">
        <v>1.323</v>
      </c>
      <c r="U213">
        <v>90.971999999999994</v>
      </c>
      <c r="V213">
        <v>24.457000000000001</v>
      </c>
      <c r="W213">
        <v>2.3250000000000002</v>
      </c>
      <c r="X213">
        <v>87.751000000000005</v>
      </c>
      <c r="Y213">
        <v>1.036</v>
      </c>
      <c r="Z213">
        <v>1.0589999999999999</v>
      </c>
      <c r="AA213">
        <v>0</v>
      </c>
      <c r="AB213">
        <v>0</v>
      </c>
      <c r="AC213">
        <v>1</v>
      </c>
      <c r="AD213">
        <v>39.438000000000002</v>
      </c>
      <c r="AE213">
        <v>1</v>
      </c>
      <c r="AF213">
        <v>28</v>
      </c>
      <c r="AG213">
        <v>2</v>
      </c>
      <c r="AH213" t="s">
        <v>84</v>
      </c>
      <c r="AI213">
        <v>0</v>
      </c>
    </row>
    <row r="214" spans="1:35" x14ac:dyDescent="0.45">
      <c r="A214">
        <v>213</v>
      </c>
      <c r="B214" t="s">
        <v>371</v>
      </c>
      <c r="C214" t="s">
        <v>377</v>
      </c>
      <c r="D214" t="s">
        <v>111</v>
      </c>
      <c r="E214">
        <v>6</v>
      </c>
      <c r="F214">
        <v>-5.524</v>
      </c>
      <c r="G214">
        <v>-29.722000000000001</v>
      </c>
      <c r="H214">
        <v>16335</v>
      </c>
      <c r="I214">
        <v>0</v>
      </c>
      <c r="J214">
        <v>1</v>
      </c>
      <c r="K214" t="s">
        <v>55</v>
      </c>
      <c r="L214" t="s">
        <v>55</v>
      </c>
      <c r="M214" t="s">
        <v>56</v>
      </c>
      <c r="N214">
        <v>1643356794.23</v>
      </c>
      <c r="O214">
        <v>0.191</v>
      </c>
      <c r="P214">
        <v>0.442</v>
      </c>
      <c r="Q214">
        <v>55.48</v>
      </c>
      <c r="R214">
        <v>1E-3</v>
      </c>
      <c r="S214">
        <v>0</v>
      </c>
      <c r="T214">
        <v>1.327</v>
      </c>
      <c r="U214">
        <v>90.677000000000007</v>
      </c>
      <c r="V214">
        <v>24.835000000000001</v>
      </c>
      <c r="W214">
        <v>2.2989999999999999</v>
      </c>
      <c r="X214">
        <v>88.004000000000005</v>
      </c>
      <c r="Y214">
        <v>1.038</v>
      </c>
      <c r="Z214">
        <v>1.1719999999999999</v>
      </c>
      <c r="AA214">
        <v>0</v>
      </c>
      <c r="AB214">
        <v>0</v>
      </c>
      <c r="AC214">
        <v>1</v>
      </c>
      <c r="AD214">
        <v>39.5</v>
      </c>
      <c r="AE214">
        <v>1</v>
      </c>
      <c r="AF214">
        <v>28</v>
      </c>
      <c r="AG214">
        <v>2</v>
      </c>
      <c r="AH214" t="s">
        <v>84</v>
      </c>
      <c r="AI214">
        <v>0</v>
      </c>
    </row>
    <row r="215" spans="1:35" x14ac:dyDescent="0.45">
      <c r="A215">
        <v>214</v>
      </c>
      <c r="B215" t="s">
        <v>378</v>
      </c>
      <c r="C215" t="s">
        <v>379</v>
      </c>
      <c r="D215" t="s">
        <v>112</v>
      </c>
      <c r="E215">
        <v>1</v>
      </c>
      <c r="F215">
        <v>-5.8529999999999998</v>
      </c>
      <c r="G215">
        <v>-36.253999999999998</v>
      </c>
      <c r="H215">
        <v>16320</v>
      </c>
      <c r="I215">
        <v>-1</v>
      </c>
      <c r="J215">
        <v>1</v>
      </c>
      <c r="K215" t="s">
        <v>55</v>
      </c>
      <c r="L215" t="s">
        <v>55</v>
      </c>
      <c r="M215" t="s">
        <v>56</v>
      </c>
      <c r="N215">
        <v>1643357331.3800001</v>
      </c>
      <c r="O215">
        <v>0.20499999999999999</v>
      </c>
      <c r="P215">
        <v>0.438</v>
      </c>
      <c r="Q215">
        <v>54.173000000000002</v>
      </c>
      <c r="R215">
        <v>1E-3</v>
      </c>
      <c r="S215">
        <v>2E-3</v>
      </c>
      <c r="T215">
        <v>1.302</v>
      </c>
      <c r="U215">
        <v>90.766000000000005</v>
      </c>
      <c r="V215">
        <v>24.382000000000001</v>
      </c>
      <c r="W215">
        <v>2.3570000000000002</v>
      </c>
      <c r="X215">
        <v>88.105999999999995</v>
      </c>
      <c r="Y215">
        <v>1.0489999999999999</v>
      </c>
      <c r="Z215">
        <v>1.2529999999999999</v>
      </c>
      <c r="AA215">
        <v>0</v>
      </c>
      <c r="AB215">
        <v>0</v>
      </c>
      <c r="AC215">
        <v>1</v>
      </c>
      <c r="AD215">
        <v>39.5</v>
      </c>
      <c r="AE215">
        <v>1</v>
      </c>
      <c r="AF215">
        <v>29</v>
      </c>
      <c r="AG215">
        <v>2</v>
      </c>
      <c r="AH215" t="s">
        <v>84</v>
      </c>
      <c r="AI215">
        <v>0</v>
      </c>
    </row>
    <row r="216" spans="1:35" x14ac:dyDescent="0.45">
      <c r="A216">
        <v>215</v>
      </c>
      <c r="B216" t="s">
        <v>378</v>
      </c>
      <c r="C216" t="s">
        <v>380</v>
      </c>
      <c r="D216" t="s">
        <v>112</v>
      </c>
      <c r="E216">
        <v>2</v>
      </c>
      <c r="F216">
        <v>-5.85</v>
      </c>
      <c r="G216">
        <v>-36.752000000000002</v>
      </c>
      <c r="H216">
        <v>16333</v>
      </c>
      <c r="I216">
        <v>-1</v>
      </c>
      <c r="J216">
        <v>1</v>
      </c>
      <c r="K216" t="s">
        <v>55</v>
      </c>
      <c r="L216" t="s">
        <v>55</v>
      </c>
      <c r="M216" t="s">
        <v>56</v>
      </c>
      <c r="N216">
        <v>1643357868.04</v>
      </c>
      <c r="O216">
        <v>0.19</v>
      </c>
      <c r="P216">
        <v>0.40600000000000003</v>
      </c>
      <c r="Q216">
        <v>55.04</v>
      </c>
      <c r="R216">
        <v>1E-3</v>
      </c>
      <c r="S216">
        <v>1E-3</v>
      </c>
      <c r="T216">
        <v>1.327</v>
      </c>
      <c r="U216">
        <v>90.742000000000004</v>
      </c>
      <c r="V216">
        <v>25.071000000000002</v>
      </c>
      <c r="W216">
        <v>2.2879999999999998</v>
      </c>
      <c r="X216">
        <v>86.584000000000003</v>
      </c>
      <c r="Y216">
        <v>1.046</v>
      </c>
      <c r="Z216">
        <v>1.04</v>
      </c>
      <c r="AA216">
        <v>0</v>
      </c>
      <c r="AB216">
        <v>0</v>
      </c>
      <c r="AC216">
        <v>1</v>
      </c>
      <c r="AD216">
        <v>39.5</v>
      </c>
      <c r="AE216">
        <v>1</v>
      </c>
      <c r="AF216">
        <v>29</v>
      </c>
      <c r="AG216">
        <v>2</v>
      </c>
      <c r="AH216" t="s">
        <v>84</v>
      </c>
      <c r="AI216">
        <v>0</v>
      </c>
    </row>
    <row r="217" spans="1:35" x14ac:dyDescent="0.45">
      <c r="A217">
        <v>216</v>
      </c>
      <c r="B217" t="s">
        <v>378</v>
      </c>
      <c r="C217" t="s">
        <v>381</v>
      </c>
      <c r="D217" t="s">
        <v>112</v>
      </c>
      <c r="E217">
        <v>3</v>
      </c>
      <c r="F217">
        <v>-5.8760000000000003</v>
      </c>
      <c r="G217">
        <v>-36.97</v>
      </c>
      <c r="H217">
        <v>16287</v>
      </c>
      <c r="I217">
        <v>-1</v>
      </c>
      <c r="J217">
        <v>1</v>
      </c>
      <c r="K217" t="s">
        <v>55</v>
      </c>
      <c r="L217" t="s">
        <v>55</v>
      </c>
      <c r="M217" t="s">
        <v>56</v>
      </c>
      <c r="N217">
        <v>1643358403.3</v>
      </c>
      <c r="O217">
        <v>0.217</v>
      </c>
      <c r="P217">
        <v>0.42199999999999999</v>
      </c>
      <c r="Q217">
        <v>54.225000000000001</v>
      </c>
      <c r="R217">
        <v>0</v>
      </c>
      <c r="S217">
        <v>0</v>
      </c>
      <c r="T217">
        <v>1.3</v>
      </c>
      <c r="U217">
        <v>90.635000000000005</v>
      </c>
      <c r="V217">
        <v>24.536999999999999</v>
      </c>
      <c r="W217">
        <v>2.2719999999999998</v>
      </c>
      <c r="X217">
        <v>86.99</v>
      </c>
      <c r="Y217">
        <v>1.0269999999999999</v>
      </c>
      <c r="Z217">
        <v>1.0660000000000001</v>
      </c>
      <c r="AA217">
        <v>0</v>
      </c>
      <c r="AB217">
        <v>0</v>
      </c>
      <c r="AC217">
        <v>1</v>
      </c>
      <c r="AD217">
        <v>39.625</v>
      </c>
      <c r="AE217">
        <v>1</v>
      </c>
      <c r="AF217">
        <v>29</v>
      </c>
      <c r="AG217">
        <v>2</v>
      </c>
      <c r="AH217" t="s">
        <v>84</v>
      </c>
      <c r="AI217">
        <v>0</v>
      </c>
    </row>
    <row r="218" spans="1:35" x14ac:dyDescent="0.45">
      <c r="A218">
        <v>217</v>
      </c>
      <c r="B218" t="s">
        <v>378</v>
      </c>
      <c r="C218" t="s">
        <v>382</v>
      </c>
      <c r="D218" t="s">
        <v>112</v>
      </c>
      <c r="E218">
        <v>4</v>
      </c>
      <c r="F218">
        <v>-5.86</v>
      </c>
      <c r="G218">
        <v>-36.92</v>
      </c>
      <c r="H218">
        <v>16272</v>
      </c>
      <c r="I218">
        <v>0</v>
      </c>
      <c r="J218">
        <v>1</v>
      </c>
      <c r="K218" t="s">
        <v>55</v>
      </c>
      <c r="L218" t="s">
        <v>55</v>
      </c>
      <c r="M218" t="s">
        <v>56</v>
      </c>
      <c r="N218">
        <v>1643358942.4300001</v>
      </c>
      <c r="O218">
        <v>0.192</v>
      </c>
      <c r="P218">
        <v>0.44500000000000001</v>
      </c>
      <c r="Q218">
        <v>54.326999999999998</v>
      </c>
      <c r="R218">
        <v>0</v>
      </c>
      <c r="S218">
        <v>2E-3</v>
      </c>
      <c r="T218">
        <v>1.3120000000000001</v>
      </c>
      <c r="U218">
        <v>90.456000000000003</v>
      </c>
      <c r="V218">
        <v>24.23</v>
      </c>
      <c r="W218">
        <v>2.3170000000000002</v>
      </c>
      <c r="X218">
        <v>88.417000000000002</v>
      </c>
      <c r="Y218">
        <v>1.028</v>
      </c>
      <c r="Z218">
        <v>1.347</v>
      </c>
      <c r="AA218">
        <v>0</v>
      </c>
      <c r="AB218">
        <v>0</v>
      </c>
      <c r="AC218">
        <v>1</v>
      </c>
      <c r="AD218">
        <v>39.5</v>
      </c>
      <c r="AE218">
        <v>1</v>
      </c>
      <c r="AF218">
        <v>29</v>
      </c>
      <c r="AG218">
        <v>2</v>
      </c>
      <c r="AH218" t="s">
        <v>84</v>
      </c>
      <c r="AI218">
        <v>0</v>
      </c>
    </row>
    <row r="219" spans="1:35" x14ac:dyDescent="0.45">
      <c r="A219">
        <v>218</v>
      </c>
      <c r="B219" t="s">
        <v>378</v>
      </c>
      <c r="C219" t="s">
        <v>383</v>
      </c>
      <c r="D219" t="s">
        <v>112</v>
      </c>
      <c r="E219">
        <v>5</v>
      </c>
      <c r="F219">
        <v>-5.8840000000000003</v>
      </c>
      <c r="G219">
        <v>-37.01</v>
      </c>
      <c r="H219">
        <v>16234</v>
      </c>
      <c r="I219">
        <v>0</v>
      </c>
      <c r="J219">
        <v>1</v>
      </c>
      <c r="K219" t="s">
        <v>55</v>
      </c>
      <c r="L219" t="s">
        <v>55</v>
      </c>
      <c r="M219" t="s">
        <v>56</v>
      </c>
      <c r="N219">
        <v>1643359478.22</v>
      </c>
      <c r="O219">
        <v>0.20899999999999999</v>
      </c>
      <c r="P219">
        <v>0.374</v>
      </c>
      <c r="Q219">
        <v>55.38</v>
      </c>
      <c r="R219">
        <v>1E-3</v>
      </c>
      <c r="S219">
        <v>1E-3</v>
      </c>
      <c r="T219">
        <v>1.329</v>
      </c>
      <c r="U219">
        <v>90.364999999999995</v>
      </c>
      <c r="V219">
        <v>24.405999999999999</v>
      </c>
      <c r="W219">
        <v>2.2749999999999999</v>
      </c>
      <c r="X219">
        <v>86.468999999999994</v>
      </c>
      <c r="Y219">
        <v>1.0389999999999999</v>
      </c>
      <c r="Z219">
        <v>1.0900000000000001</v>
      </c>
      <c r="AA219">
        <v>0</v>
      </c>
      <c r="AB219">
        <v>0</v>
      </c>
      <c r="AC219">
        <v>1</v>
      </c>
      <c r="AD219">
        <v>39.561999999999998</v>
      </c>
      <c r="AE219">
        <v>1</v>
      </c>
      <c r="AF219">
        <v>29</v>
      </c>
      <c r="AG219">
        <v>2</v>
      </c>
      <c r="AH219" t="s">
        <v>84</v>
      </c>
      <c r="AI219">
        <v>0</v>
      </c>
    </row>
    <row r="220" spans="1:35" x14ac:dyDescent="0.45">
      <c r="A220">
        <v>219</v>
      </c>
      <c r="B220" t="s">
        <v>378</v>
      </c>
      <c r="C220" t="s">
        <v>384</v>
      </c>
      <c r="D220" t="s">
        <v>112</v>
      </c>
      <c r="E220">
        <v>6</v>
      </c>
      <c r="F220">
        <v>-5.8470000000000004</v>
      </c>
      <c r="G220">
        <v>-37.01</v>
      </c>
      <c r="H220">
        <v>16343</v>
      </c>
      <c r="I220">
        <v>0</v>
      </c>
      <c r="J220">
        <v>1</v>
      </c>
      <c r="K220" t="s">
        <v>55</v>
      </c>
      <c r="L220" t="s">
        <v>55</v>
      </c>
      <c r="M220" t="s">
        <v>56</v>
      </c>
      <c r="N220">
        <v>1643360015.3</v>
      </c>
      <c r="O220">
        <v>0.193</v>
      </c>
      <c r="P220">
        <v>0.4</v>
      </c>
      <c r="Q220">
        <v>54.695999999999998</v>
      </c>
      <c r="R220">
        <v>1E-3</v>
      </c>
      <c r="S220">
        <v>1E-3</v>
      </c>
      <c r="T220">
        <v>1.323</v>
      </c>
      <c r="U220">
        <v>90.917000000000002</v>
      </c>
      <c r="V220">
        <v>24.457999999999998</v>
      </c>
      <c r="W220">
        <v>2.3319999999999999</v>
      </c>
      <c r="X220">
        <v>88.069000000000003</v>
      </c>
      <c r="Y220">
        <v>1.038</v>
      </c>
      <c r="Z220">
        <v>1.214</v>
      </c>
      <c r="AA220">
        <v>0</v>
      </c>
      <c r="AB220">
        <v>0</v>
      </c>
      <c r="AC220">
        <v>1</v>
      </c>
      <c r="AD220">
        <v>39.5</v>
      </c>
      <c r="AE220">
        <v>1</v>
      </c>
      <c r="AF220">
        <v>29</v>
      </c>
      <c r="AG220">
        <v>2</v>
      </c>
      <c r="AH220" t="s">
        <v>84</v>
      </c>
      <c r="AI220">
        <v>0</v>
      </c>
    </row>
    <row r="221" spans="1:35" x14ac:dyDescent="0.45">
      <c r="A221">
        <v>220</v>
      </c>
      <c r="B221" t="s">
        <v>385</v>
      </c>
      <c r="C221" t="s">
        <v>386</v>
      </c>
      <c r="D221" t="s">
        <v>113</v>
      </c>
      <c r="E221">
        <v>1</v>
      </c>
      <c r="F221">
        <v>-5.9550000000000001</v>
      </c>
      <c r="G221">
        <v>-37.064</v>
      </c>
      <c r="H221">
        <v>16218</v>
      </c>
      <c r="I221">
        <v>-1</v>
      </c>
      <c r="J221">
        <v>1</v>
      </c>
      <c r="K221" t="s">
        <v>55</v>
      </c>
      <c r="L221" t="s">
        <v>55</v>
      </c>
      <c r="M221" t="s">
        <v>56</v>
      </c>
      <c r="N221">
        <v>1643360552.9300001</v>
      </c>
      <c r="O221">
        <v>0.19900000000000001</v>
      </c>
      <c r="P221">
        <v>0.38600000000000001</v>
      </c>
      <c r="Q221">
        <v>55.268999999999998</v>
      </c>
      <c r="R221">
        <v>1E-3</v>
      </c>
      <c r="S221">
        <v>1E-3</v>
      </c>
      <c r="T221">
        <v>1.3340000000000001</v>
      </c>
      <c r="U221">
        <v>90.111000000000004</v>
      </c>
      <c r="V221">
        <v>24.355</v>
      </c>
      <c r="W221">
        <v>2.298</v>
      </c>
      <c r="X221">
        <v>87.427999999999997</v>
      </c>
      <c r="Y221">
        <v>1.0309999999999999</v>
      </c>
      <c r="Z221">
        <v>1.1659999999999999</v>
      </c>
      <c r="AA221">
        <v>0</v>
      </c>
      <c r="AB221">
        <v>0</v>
      </c>
      <c r="AC221">
        <v>1</v>
      </c>
      <c r="AD221">
        <v>39.438000000000002</v>
      </c>
      <c r="AE221">
        <v>1</v>
      </c>
      <c r="AF221">
        <v>30</v>
      </c>
      <c r="AG221">
        <v>2</v>
      </c>
      <c r="AH221" t="s">
        <v>84</v>
      </c>
      <c r="AI221">
        <v>0</v>
      </c>
    </row>
    <row r="222" spans="1:35" x14ac:dyDescent="0.45">
      <c r="A222">
        <v>221</v>
      </c>
      <c r="B222" t="s">
        <v>385</v>
      </c>
      <c r="C222" t="s">
        <v>387</v>
      </c>
      <c r="D222" t="s">
        <v>113</v>
      </c>
      <c r="E222">
        <v>2</v>
      </c>
      <c r="F222">
        <v>-5.923</v>
      </c>
      <c r="G222">
        <v>-37.018999999999998</v>
      </c>
      <c r="H222">
        <v>16326</v>
      </c>
      <c r="I222">
        <v>-1</v>
      </c>
      <c r="J222">
        <v>1</v>
      </c>
      <c r="K222" t="s">
        <v>55</v>
      </c>
      <c r="L222" t="s">
        <v>55</v>
      </c>
      <c r="M222" t="s">
        <v>56</v>
      </c>
      <c r="N222">
        <v>1643361088.9000001</v>
      </c>
      <c r="O222">
        <v>0.20100000000000001</v>
      </c>
      <c r="P222">
        <v>0.42099999999999999</v>
      </c>
      <c r="Q222">
        <v>54.033000000000001</v>
      </c>
      <c r="R222">
        <v>2E-3</v>
      </c>
      <c r="S222">
        <v>0</v>
      </c>
      <c r="T222">
        <v>1.3009999999999999</v>
      </c>
      <c r="U222">
        <v>91.039000000000001</v>
      </c>
      <c r="V222">
        <v>24.533000000000001</v>
      </c>
      <c r="W222">
        <v>2.262</v>
      </c>
      <c r="X222">
        <v>86.42</v>
      </c>
      <c r="Y222">
        <v>1.024</v>
      </c>
      <c r="Z222">
        <v>0.89500000000000002</v>
      </c>
      <c r="AA222">
        <v>0</v>
      </c>
      <c r="AB222">
        <v>0</v>
      </c>
      <c r="AC222">
        <v>1</v>
      </c>
      <c r="AD222">
        <v>39.5</v>
      </c>
      <c r="AE222">
        <v>1</v>
      </c>
      <c r="AF222">
        <v>30</v>
      </c>
      <c r="AG222">
        <v>2</v>
      </c>
      <c r="AH222" t="s">
        <v>84</v>
      </c>
      <c r="AI222">
        <v>0</v>
      </c>
    </row>
    <row r="223" spans="1:35" x14ac:dyDescent="0.45">
      <c r="A223">
        <v>222</v>
      </c>
      <c r="B223" t="s">
        <v>385</v>
      </c>
      <c r="C223" t="s">
        <v>388</v>
      </c>
      <c r="D223" t="s">
        <v>113</v>
      </c>
      <c r="E223">
        <v>3</v>
      </c>
      <c r="F223">
        <v>-5.93</v>
      </c>
      <c r="G223">
        <v>-36.954999999999998</v>
      </c>
      <c r="H223">
        <v>16276</v>
      </c>
      <c r="I223">
        <v>-1</v>
      </c>
      <c r="J223">
        <v>1</v>
      </c>
      <c r="K223" t="s">
        <v>55</v>
      </c>
      <c r="L223" t="s">
        <v>55</v>
      </c>
      <c r="M223" t="s">
        <v>56</v>
      </c>
      <c r="N223">
        <v>1643361627.48</v>
      </c>
      <c r="O223">
        <v>0.20200000000000001</v>
      </c>
      <c r="P223">
        <v>0.439</v>
      </c>
      <c r="Q223">
        <v>55.298999999999999</v>
      </c>
      <c r="R223">
        <v>1E-3</v>
      </c>
      <c r="S223">
        <v>2E-3</v>
      </c>
      <c r="T223">
        <v>1.335</v>
      </c>
      <c r="U223">
        <v>90.628</v>
      </c>
      <c r="V223">
        <v>23.96</v>
      </c>
      <c r="W223">
        <v>2.3420000000000001</v>
      </c>
      <c r="X223">
        <v>88.251000000000005</v>
      </c>
      <c r="Y223">
        <v>1.018</v>
      </c>
      <c r="Z223">
        <v>1.1970000000000001</v>
      </c>
      <c r="AA223">
        <v>0</v>
      </c>
      <c r="AB223">
        <v>0</v>
      </c>
      <c r="AC223">
        <v>1</v>
      </c>
      <c r="AD223">
        <v>39.438000000000002</v>
      </c>
      <c r="AE223">
        <v>1</v>
      </c>
      <c r="AF223">
        <v>30</v>
      </c>
      <c r="AG223">
        <v>2</v>
      </c>
      <c r="AH223" t="s">
        <v>84</v>
      </c>
      <c r="AI223">
        <v>0</v>
      </c>
    </row>
    <row r="224" spans="1:35" x14ac:dyDescent="0.45">
      <c r="A224">
        <v>223</v>
      </c>
      <c r="B224" t="s">
        <v>385</v>
      </c>
      <c r="C224" t="s">
        <v>389</v>
      </c>
      <c r="D224" t="s">
        <v>113</v>
      </c>
      <c r="E224">
        <v>4</v>
      </c>
      <c r="F224">
        <v>-5.95</v>
      </c>
      <c r="G224">
        <v>-37.082000000000001</v>
      </c>
      <c r="H224">
        <v>16293</v>
      </c>
      <c r="I224">
        <v>0</v>
      </c>
      <c r="J224">
        <v>1</v>
      </c>
      <c r="K224" t="s">
        <v>55</v>
      </c>
      <c r="L224" t="s">
        <v>55</v>
      </c>
      <c r="M224" t="s">
        <v>56</v>
      </c>
      <c r="N224">
        <v>1643362162.5799999</v>
      </c>
      <c r="O224">
        <v>0.20799999999999999</v>
      </c>
      <c r="P224">
        <v>0.38500000000000001</v>
      </c>
      <c r="Q224">
        <v>54.963000000000001</v>
      </c>
      <c r="R224">
        <v>1E-3</v>
      </c>
      <c r="S224">
        <v>2E-3</v>
      </c>
      <c r="T224">
        <v>1.3089999999999999</v>
      </c>
      <c r="U224">
        <v>90.831999999999994</v>
      </c>
      <c r="V224">
        <v>24.510999999999999</v>
      </c>
      <c r="W224">
        <v>2.2770000000000001</v>
      </c>
      <c r="X224">
        <v>86.292000000000002</v>
      </c>
      <c r="Y224">
        <v>1.0269999999999999</v>
      </c>
      <c r="Z224">
        <v>0.90200000000000002</v>
      </c>
      <c r="AA224">
        <v>0</v>
      </c>
      <c r="AB224">
        <v>0</v>
      </c>
      <c r="AC224">
        <v>1</v>
      </c>
      <c r="AD224">
        <v>39.438000000000002</v>
      </c>
      <c r="AE224">
        <v>1</v>
      </c>
      <c r="AF224">
        <v>30</v>
      </c>
      <c r="AG224">
        <v>2</v>
      </c>
      <c r="AH224" t="s">
        <v>84</v>
      </c>
      <c r="AI224">
        <v>0</v>
      </c>
    </row>
    <row r="225" spans="1:35" x14ac:dyDescent="0.45">
      <c r="A225">
        <v>224</v>
      </c>
      <c r="B225" t="s">
        <v>385</v>
      </c>
      <c r="C225" t="s">
        <v>390</v>
      </c>
      <c r="D225" t="s">
        <v>113</v>
      </c>
      <c r="E225">
        <v>5</v>
      </c>
      <c r="F225">
        <v>-5.97</v>
      </c>
      <c r="G225">
        <v>-37.112000000000002</v>
      </c>
      <c r="H225">
        <v>16339</v>
      </c>
      <c r="I225">
        <v>0</v>
      </c>
      <c r="J225">
        <v>1</v>
      </c>
      <c r="K225" t="s">
        <v>55</v>
      </c>
      <c r="L225" t="s">
        <v>55</v>
      </c>
      <c r="M225" t="s">
        <v>56</v>
      </c>
      <c r="N225">
        <v>1643362699.2</v>
      </c>
      <c r="O225">
        <v>0.185</v>
      </c>
      <c r="P225">
        <v>0.42099999999999999</v>
      </c>
      <c r="Q225">
        <v>54.195</v>
      </c>
      <c r="R225">
        <v>1E-3</v>
      </c>
      <c r="S225">
        <v>1E-3</v>
      </c>
      <c r="T225">
        <v>1.3160000000000001</v>
      </c>
      <c r="U225">
        <v>90.912000000000006</v>
      </c>
      <c r="V225">
        <v>24.693000000000001</v>
      </c>
      <c r="W225">
        <v>2.262</v>
      </c>
      <c r="X225">
        <v>87.174999999999997</v>
      </c>
      <c r="Y225">
        <v>1.032</v>
      </c>
      <c r="Z225">
        <v>1.097</v>
      </c>
      <c r="AA225">
        <v>0</v>
      </c>
      <c r="AB225">
        <v>0</v>
      </c>
      <c r="AC225">
        <v>1</v>
      </c>
      <c r="AD225">
        <v>39.561999999999998</v>
      </c>
      <c r="AE225">
        <v>1</v>
      </c>
      <c r="AF225">
        <v>30</v>
      </c>
      <c r="AG225">
        <v>2</v>
      </c>
      <c r="AH225" t="s">
        <v>84</v>
      </c>
      <c r="AI225">
        <v>0</v>
      </c>
    </row>
    <row r="226" spans="1:35" x14ac:dyDescent="0.45">
      <c r="A226">
        <v>225</v>
      </c>
      <c r="B226" t="s">
        <v>385</v>
      </c>
      <c r="C226" t="s">
        <v>391</v>
      </c>
      <c r="D226" t="s">
        <v>113</v>
      </c>
      <c r="E226">
        <v>6</v>
      </c>
      <c r="F226">
        <v>-5.9189999999999996</v>
      </c>
      <c r="G226">
        <v>-36.933999999999997</v>
      </c>
      <c r="H226">
        <v>16274</v>
      </c>
      <c r="I226">
        <v>0</v>
      </c>
      <c r="J226">
        <v>1</v>
      </c>
      <c r="K226" t="s">
        <v>55</v>
      </c>
      <c r="L226" t="s">
        <v>55</v>
      </c>
      <c r="M226" t="s">
        <v>56</v>
      </c>
      <c r="N226">
        <v>1643363236.28</v>
      </c>
      <c r="O226">
        <v>0.19600000000000001</v>
      </c>
      <c r="P226">
        <v>0.39800000000000002</v>
      </c>
      <c r="Q226">
        <v>54.17</v>
      </c>
      <c r="R226">
        <v>1E-3</v>
      </c>
      <c r="S226">
        <v>1E-3</v>
      </c>
      <c r="T226">
        <v>1.3080000000000001</v>
      </c>
      <c r="U226">
        <v>90.483999999999995</v>
      </c>
      <c r="V226">
        <v>24.186</v>
      </c>
      <c r="W226">
        <v>2.3319999999999999</v>
      </c>
      <c r="X226">
        <v>88.251999999999995</v>
      </c>
      <c r="Y226">
        <v>1.02</v>
      </c>
      <c r="Z226">
        <v>1.2410000000000001</v>
      </c>
      <c r="AA226">
        <v>0</v>
      </c>
      <c r="AB226">
        <v>0</v>
      </c>
      <c r="AC226">
        <v>1</v>
      </c>
      <c r="AD226">
        <v>39.5</v>
      </c>
      <c r="AE226">
        <v>1</v>
      </c>
      <c r="AF226">
        <v>30</v>
      </c>
      <c r="AG226">
        <v>2</v>
      </c>
      <c r="AH226" t="s">
        <v>84</v>
      </c>
      <c r="AI226">
        <v>0</v>
      </c>
    </row>
    <row r="227" spans="1:35" x14ac:dyDescent="0.45">
      <c r="A227">
        <v>226</v>
      </c>
      <c r="B227" t="s">
        <v>392</v>
      </c>
      <c r="C227" t="s">
        <v>393</v>
      </c>
      <c r="D227" t="s">
        <v>114</v>
      </c>
      <c r="E227">
        <v>1</v>
      </c>
      <c r="F227">
        <v>-5.9850000000000003</v>
      </c>
      <c r="G227">
        <v>-37.231999999999999</v>
      </c>
      <c r="H227">
        <v>16274</v>
      </c>
      <c r="I227">
        <v>-1</v>
      </c>
      <c r="J227">
        <v>1</v>
      </c>
      <c r="K227" t="s">
        <v>55</v>
      </c>
      <c r="L227" t="s">
        <v>55</v>
      </c>
      <c r="M227" t="s">
        <v>56</v>
      </c>
      <c r="N227">
        <v>1643363772.78</v>
      </c>
      <c r="O227">
        <v>0.21099999999999999</v>
      </c>
      <c r="P227">
        <v>0.434</v>
      </c>
      <c r="Q227">
        <v>55.383000000000003</v>
      </c>
      <c r="R227">
        <v>1E-3</v>
      </c>
      <c r="S227">
        <v>1E-3</v>
      </c>
      <c r="T227">
        <v>1.3220000000000001</v>
      </c>
      <c r="U227">
        <v>90.406999999999996</v>
      </c>
      <c r="V227">
        <v>24.84</v>
      </c>
      <c r="W227">
        <v>2.294</v>
      </c>
      <c r="X227">
        <v>86.832999999999998</v>
      </c>
      <c r="Y227">
        <v>1.01</v>
      </c>
      <c r="Z227">
        <v>1.1060000000000001</v>
      </c>
      <c r="AA227">
        <v>0</v>
      </c>
      <c r="AB227">
        <v>0</v>
      </c>
      <c r="AC227">
        <v>1</v>
      </c>
      <c r="AD227">
        <v>39.5</v>
      </c>
      <c r="AE227">
        <v>1</v>
      </c>
      <c r="AF227">
        <v>31</v>
      </c>
      <c r="AG227">
        <v>2</v>
      </c>
      <c r="AH227" t="s">
        <v>84</v>
      </c>
      <c r="AI227">
        <v>0</v>
      </c>
    </row>
    <row r="228" spans="1:35" x14ac:dyDescent="0.45">
      <c r="A228">
        <v>227</v>
      </c>
      <c r="B228" t="s">
        <v>392</v>
      </c>
      <c r="C228" t="s">
        <v>394</v>
      </c>
      <c r="D228" t="s">
        <v>114</v>
      </c>
      <c r="E228">
        <v>2</v>
      </c>
      <c r="F228">
        <v>-5.95</v>
      </c>
      <c r="G228">
        <v>-37.164999999999999</v>
      </c>
      <c r="H228">
        <v>16345</v>
      </c>
      <c r="I228">
        <v>-1</v>
      </c>
      <c r="J228">
        <v>1</v>
      </c>
      <c r="K228" t="s">
        <v>55</v>
      </c>
      <c r="L228" t="s">
        <v>55</v>
      </c>
      <c r="M228" t="s">
        <v>56</v>
      </c>
      <c r="N228">
        <v>1643364309.75</v>
      </c>
      <c r="O228">
        <v>0.188</v>
      </c>
      <c r="P228">
        <v>0.38800000000000001</v>
      </c>
      <c r="Q228">
        <v>54.527000000000001</v>
      </c>
      <c r="R228">
        <v>1E-3</v>
      </c>
      <c r="S228">
        <v>1E-3</v>
      </c>
      <c r="T228">
        <v>1.3169999999999999</v>
      </c>
      <c r="U228">
        <v>90.864000000000004</v>
      </c>
      <c r="V228">
        <v>25.689</v>
      </c>
      <c r="W228">
        <v>2.2109999999999999</v>
      </c>
      <c r="X228">
        <v>84.671999999999997</v>
      </c>
      <c r="Y228">
        <v>1.0129999999999999</v>
      </c>
      <c r="Z228">
        <v>0.80300000000000005</v>
      </c>
      <c r="AA228">
        <v>0</v>
      </c>
      <c r="AB228">
        <v>0</v>
      </c>
      <c r="AC228">
        <v>1</v>
      </c>
      <c r="AD228">
        <v>39.561999999999998</v>
      </c>
      <c r="AE228">
        <v>1</v>
      </c>
      <c r="AF228">
        <v>31</v>
      </c>
      <c r="AG228">
        <v>2</v>
      </c>
      <c r="AH228" t="s">
        <v>84</v>
      </c>
      <c r="AI228">
        <v>0</v>
      </c>
    </row>
    <row r="229" spans="1:35" x14ac:dyDescent="0.45">
      <c r="A229">
        <v>228</v>
      </c>
      <c r="B229" t="s">
        <v>392</v>
      </c>
      <c r="C229" t="s">
        <v>395</v>
      </c>
      <c r="D229" t="s">
        <v>114</v>
      </c>
      <c r="E229">
        <v>3</v>
      </c>
      <c r="F229">
        <v>-5.9870000000000001</v>
      </c>
      <c r="G229">
        <v>-37.180999999999997</v>
      </c>
      <c r="H229">
        <v>16315</v>
      </c>
      <c r="I229">
        <v>-1</v>
      </c>
      <c r="J229">
        <v>1</v>
      </c>
      <c r="K229" t="s">
        <v>55</v>
      </c>
      <c r="L229" t="s">
        <v>55</v>
      </c>
      <c r="M229" t="s">
        <v>56</v>
      </c>
      <c r="N229">
        <v>1643364846.78</v>
      </c>
      <c r="O229">
        <v>0.20300000000000001</v>
      </c>
      <c r="P229">
        <v>0.41799999999999998</v>
      </c>
      <c r="Q229">
        <v>55.194000000000003</v>
      </c>
      <c r="R229">
        <v>1E-3</v>
      </c>
      <c r="S229">
        <v>1E-3</v>
      </c>
      <c r="T229">
        <v>1.327</v>
      </c>
      <c r="U229">
        <v>90.572999999999993</v>
      </c>
      <c r="V229">
        <v>25.513000000000002</v>
      </c>
      <c r="W229">
        <v>2.2730000000000001</v>
      </c>
      <c r="X229">
        <v>85.617000000000004</v>
      </c>
      <c r="Y229">
        <v>1.0329999999999999</v>
      </c>
      <c r="Z229">
        <v>0.97799999999999998</v>
      </c>
      <c r="AA229">
        <v>0</v>
      </c>
      <c r="AB229">
        <v>0</v>
      </c>
      <c r="AC229">
        <v>1</v>
      </c>
      <c r="AD229">
        <v>39.561999999999998</v>
      </c>
      <c r="AE229">
        <v>1</v>
      </c>
      <c r="AF229">
        <v>31</v>
      </c>
      <c r="AG229">
        <v>2</v>
      </c>
      <c r="AH229" t="s">
        <v>84</v>
      </c>
      <c r="AI229">
        <v>0</v>
      </c>
    </row>
    <row r="230" spans="1:35" x14ac:dyDescent="0.45">
      <c r="A230">
        <v>229</v>
      </c>
      <c r="B230" t="s">
        <v>392</v>
      </c>
      <c r="C230" t="s">
        <v>396</v>
      </c>
      <c r="D230" t="s">
        <v>114</v>
      </c>
      <c r="E230">
        <v>4</v>
      </c>
      <c r="F230">
        <v>-5.9660000000000002</v>
      </c>
      <c r="G230">
        <v>-37.134999999999998</v>
      </c>
      <c r="H230">
        <v>16337</v>
      </c>
      <c r="I230">
        <v>0</v>
      </c>
      <c r="J230">
        <v>1</v>
      </c>
      <c r="K230" t="s">
        <v>55</v>
      </c>
      <c r="L230" t="s">
        <v>55</v>
      </c>
      <c r="M230" t="s">
        <v>56</v>
      </c>
      <c r="N230">
        <v>1643365383.25</v>
      </c>
      <c r="O230">
        <v>0.21299999999999999</v>
      </c>
      <c r="P230">
        <v>0.41199999999999998</v>
      </c>
      <c r="Q230">
        <v>53.825000000000003</v>
      </c>
      <c r="R230">
        <v>1E-3</v>
      </c>
      <c r="S230">
        <v>-1E-3</v>
      </c>
      <c r="T230">
        <v>1.296</v>
      </c>
      <c r="U230">
        <v>90.795000000000002</v>
      </c>
      <c r="V230">
        <v>25.21</v>
      </c>
      <c r="W230">
        <v>2.254</v>
      </c>
      <c r="X230">
        <v>86.284999999999997</v>
      </c>
      <c r="Y230">
        <v>0.999</v>
      </c>
      <c r="Z230">
        <v>0.98</v>
      </c>
      <c r="AA230">
        <v>0</v>
      </c>
      <c r="AB230">
        <v>0</v>
      </c>
      <c r="AC230">
        <v>1</v>
      </c>
      <c r="AD230">
        <v>39.5</v>
      </c>
      <c r="AE230">
        <v>1</v>
      </c>
      <c r="AF230">
        <v>31</v>
      </c>
      <c r="AG230">
        <v>2</v>
      </c>
      <c r="AH230" t="s">
        <v>84</v>
      </c>
      <c r="AI230">
        <v>0</v>
      </c>
    </row>
    <row r="231" spans="1:35" x14ac:dyDescent="0.45">
      <c r="A231">
        <v>230</v>
      </c>
      <c r="B231" t="s">
        <v>392</v>
      </c>
      <c r="C231" t="s">
        <v>397</v>
      </c>
      <c r="D231" t="s">
        <v>114</v>
      </c>
      <c r="E231">
        <v>5</v>
      </c>
      <c r="F231">
        <v>-5.952</v>
      </c>
      <c r="G231">
        <v>-37.173999999999999</v>
      </c>
      <c r="H231">
        <v>16355</v>
      </c>
      <c r="I231">
        <v>0</v>
      </c>
      <c r="J231">
        <v>1</v>
      </c>
      <c r="K231" t="s">
        <v>55</v>
      </c>
      <c r="L231" t="s">
        <v>55</v>
      </c>
      <c r="M231" t="s">
        <v>56</v>
      </c>
      <c r="N231">
        <v>1643365921.8199999</v>
      </c>
      <c r="O231">
        <v>0.20699999999999999</v>
      </c>
      <c r="P231">
        <v>0.41799999999999998</v>
      </c>
      <c r="Q231">
        <v>56.832000000000001</v>
      </c>
      <c r="R231">
        <v>0</v>
      </c>
      <c r="S231">
        <v>1E-3</v>
      </c>
      <c r="T231">
        <v>1.351</v>
      </c>
      <c r="U231">
        <v>90.933999999999997</v>
      </c>
      <c r="V231">
        <v>25.603999999999999</v>
      </c>
      <c r="W231">
        <v>2.2410000000000001</v>
      </c>
      <c r="X231">
        <v>84.899000000000001</v>
      </c>
      <c r="Y231">
        <v>1.0189999999999999</v>
      </c>
      <c r="Z231">
        <v>0.78100000000000003</v>
      </c>
      <c r="AA231">
        <v>0</v>
      </c>
      <c r="AB231">
        <v>0</v>
      </c>
      <c r="AC231">
        <v>1</v>
      </c>
      <c r="AD231">
        <v>39.561999999999998</v>
      </c>
      <c r="AE231">
        <v>1</v>
      </c>
      <c r="AF231">
        <v>31</v>
      </c>
      <c r="AG231">
        <v>2</v>
      </c>
      <c r="AH231" t="s">
        <v>84</v>
      </c>
      <c r="AI231">
        <v>0</v>
      </c>
    </row>
    <row r="232" spans="1:35" x14ac:dyDescent="0.45">
      <c r="A232">
        <v>231</v>
      </c>
      <c r="B232" t="s">
        <v>392</v>
      </c>
      <c r="C232" t="s">
        <v>398</v>
      </c>
      <c r="D232" t="s">
        <v>114</v>
      </c>
      <c r="E232">
        <v>6</v>
      </c>
      <c r="F232">
        <v>-5.9329999999999998</v>
      </c>
      <c r="G232">
        <v>-37.168999999999997</v>
      </c>
      <c r="H232">
        <v>16314</v>
      </c>
      <c r="I232">
        <v>0</v>
      </c>
      <c r="J232">
        <v>1</v>
      </c>
      <c r="K232" t="s">
        <v>55</v>
      </c>
      <c r="L232" t="s">
        <v>55</v>
      </c>
      <c r="M232" t="s">
        <v>56</v>
      </c>
      <c r="N232">
        <v>1643366457.7</v>
      </c>
      <c r="O232">
        <v>0.188</v>
      </c>
      <c r="P232">
        <v>0.35699999999999998</v>
      </c>
      <c r="Q232">
        <v>54.328000000000003</v>
      </c>
      <c r="R232">
        <v>0</v>
      </c>
      <c r="S232">
        <v>1E-3</v>
      </c>
      <c r="T232">
        <v>1.3129999999999999</v>
      </c>
      <c r="U232">
        <v>90.873999999999995</v>
      </c>
      <c r="V232">
        <v>25.164000000000001</v>
      </c>
      <c r="W232">
        <v>2.1890000000000001</v>
      </c>
      <c r="X232">
        <v>85.003</v>
      </c>
      <c r="Y232">
        <v>1.012</v>
      </c>
      <c r="Z232">
        <v>0.80200000000000005</v>
      </c>
      <c r="AA232">
        <v>0</v>
      </c>
      <c r="AB232">
        <v>0</v>
      </c>
      <c r="AC232">
        <v>1</v>
      </c>
      <c r="AD232">
        <v>39.5</v>
      </c>
      <c r="AE232">
        <v>1</v>
      </c>
      <c r="AF232">
        <v>31</v>
      </c>
      <c r="AG232">
        <v>2</v>
      </c>
      <c r="AH232" t="s">
        <v>84</v>
      </c>
      <c r="AI232">
        <v>0</v>
      </c>
    </row>
    <row r="233" spans="1:35" x14ac:dyDescent="0.45">
      <c r="A233">
        <v>232</v>
      </c>
      <c r="B233" t="s">
        <v>399</v>
      </c>
      <c r="C233" t="s">
        <v>400</v>
      </c>
      <c r="D233" t="s">
        <v>115</v>
      </c>
      <c r="E233">
        <v>1</v>
      </c>
      <c r="F233">
        <v>-5.5780000000000003</v>
      </c>
      <c r="G233">
        <v>-30.425000000000001</v>
      </c>
      <c r="H233">
        <v>16341</v>
      </c>
      <c r="I233">
        <v>-1</v>
      </c>
      <c r="J233">
        <v>1</v>
      </c>
      <c r="K233" t="s">
        <v>55</v>
      </c>
      <c r="L233" t="s">
        <v>55</v>
      </c>
      <c r="M233" t="s">
        <v>56</v>
      </c>
      <c r="N233">
        <v>1643366995.6800001</v>
      </c>
      <c r="O233">
        <v>0.20300000000000001</v>
      </c>
      <c r="P233">
        <v>0.40100000000000002</v>
      </c>
      <c r="Q233">
        <v>54.612000000000002</v>
      </c>
      <c r="R233">
        <v>1E-3</v>
      </c>
      <c r="S233">
        <v>0</v>
      </c>
      <c r="T233">
        <v>1.3260000000000001</v>
      </c>
      <c r="U233">
        <v>90.900999999999996</v>
      </c>
      <c r="V233">
        <v>25.699000000000002</v>
      </c>
      <c r="W233">
        <v>2.1749999999999998</v>
      </c>
      <c r="X233">
        <v>84.135000000000005</v>
      </c>
      <c r="Y233">
        <v>0.98399999999999999</v>
      </c>
      <c r="Z233">
        <v>0.68600000000000005</v>
      </c>
      <c r="AA233">
        <v>0</v>
      </c>
      <c r="AB233">
        <v>0</v>
      </c>
      <c r="AC233">
        <v>1</v>
      </c>
      <c r="AD233">
        <v>39.5</v>
      </c>
      <c r="AE233">
        <v>1</v>
      </c>
      <c r="AF233">
        <v>32</v>
      </c>
      <c r="AG233">
        <v>3</v>
      </c>
      <c r="AH233" t="s">
        <v>84</v>
      </c>
      <c r="AI233">
        <v>0</v>
      </c>
    </row>
    <row r="234" spans="1:35" x14ac:dyDescent="0.45">
      <c r="A234">
        <v>233</v>
      </c>
      <c r="B234" t="s">
        <v>399</v>
      </c>
      <c r="C234" t="s">
        <v>401</v>
      </c>
      <c r="D234" t="s">
        <v>115</v>
      </c>
      <c r="E234">
        <v>2</v>
      </c>
      <c r="F234">
        <v>-5.5369999999999999</v>
      </c>
      <c r="G234">
        <v>-29.869</v>
      </c>
      <c r="H234">
        <v>16332</v>
      </c>
      <c r="I234">
        <v>-1</v>
      </c>
      <c r="J234">
        <v>1</v>
      </c>
      <c r="K234" t="s">
        <v>55</v>
      </c>
      <c r="L234" t="s">
        <v>55</v>
      </c>
      <c r="M234" t="s">
        <v>56</v>
      </c>
      <c r="N234">
        <v>1643367532.9300001</v>
      </c>
      <c r="O234">
        <v>0.21</v>
      </c>
      <c r="P234">
        <v>0.35299999999999998</v>
      </c>
      <c r="Q234">
        <v>54.701000000000001</v>
      </c>
      <c r="R234">
        <v>1E-3</v>
      </c>
      <c r="S234">
        <v>0</v>
      </c>
      <c r="T234">
        <v>1.3109999999999999</v>
      </c>
      <c r="U234">
        <v>90.998999999999995</v>
      </c>
      <c r="V234">
        <v>25.064</v>
      </c>
      <c r="W234">
        <v>2.2330000000000001</v>
      </c>
      <c r="X234">
        <v>85.304000000000002</v>
      </c>
      <c r="Y234">
        <v>0.97299999999999998</v>
      </c>
      <c r="Z234">
        <v>0.79300000000000004</v>
      </c>
      <c r="AA234">
        <v>0</v>
      </c>
      <c r="AB234">
        <v>0</v>
      </c>
      <c r="AC234">
        <v>1</v>
      </c>
      <c r="AD234">
        <v>39.5</v>
      </c>
      <c r="AE234">
        <v>1</v>
      </c>
      <c r="AF234">
        <v>32</v>
      </c>
      <c r="AG234">
        <v>3</v>
      </c>
      <c r="AH234" t="s">
        <v>84</v>
      </c>
      <c r="AI234">
        <v>0</v>
      </c>
    </row>
    <row r="235" spans="1:35" x14ac:dyDescent="0.45">
      <c r="A235">
        <v>234</v>
      </c>
      <c r="B235" t="s">
        <v>399</v>
      </c>
      <c r="C235" t="s">
        <v>402</v>
      </c>
      <c r="D235" t="s">
        <v>115</v>
      </c>
      <c r="E235">
        <v>3</v>
      </c>
      <c r="F235">
        <v>-5.5369999999999999</v>
      </c>
      <c r="G235">
        <v>-29.675999999999998</v>
      </c>
      <c r="H235">
        <v>16341</v>
      </c>
      <c r="I235">
        <v>-1</v>
      </c>
      <c r="J235">
        <v>1</v>
      </c>
      <c r="K235" t="s">
        <v>55</v>
      </c>
      <c r="L235" t="s">
        <v>55</v>
      </c>
      <c r="M235" t="s">
        <v>56</v>
      </c>
      <c r="N235">
        <v>1643368068.9000001</v>
      </c>
      <c r="O235">
        <v>0.223</v>
      </c>
      <c r="P235">
        <v>0.41299999999999998</v>
      </c>
      <c r="Q235">
        <v>55.19</v>
      </c>
      <c r="R235">
        <v>1E-3</v>
      </c>
      <c r="S235">
        <v>-1E-3</v>
      </c>
      <c r="T235">
        <v>1.3220000000000001</v>
      </c>
      <c r="U235">
        <v>91.013999999999996</v>
      </c>
      <c r="V235">
        <v>25.523</v>
      </c>
      <c r="W235">
        <v>2.2160000000000002</v>
      </c>
      <c r="X235">
        <v>83.991</v>
      </c>
      <c r="Y235">
        <v>0.96399999999999997</v>
      </c>
      <c r="Z235">
        <v>0.65900000000000003</v>
      </c>
      <c r="AA235">
        <v>0</v>
      </c>
      <c r="AB235">
        <v>0</v>
      </c>
      <c r="AC235">
        <v>1</v>
      </c>
      <c r="AD235">
        <v>39.5</v>
      </c>
      <c r="AE235">
        <v>1</v>
      </c>
      <c r="AF235">
        <v>32</v>
      </c>
      <c r="AG235">
        <v>3</v>
      </c>
      <c r="AH235" t="s">
        <v>84</v>
      </c>
      <c r="AI235">
        <v>0</v>
      </c>
    </row>
    <row r="236" spans="1:35" x14ac:dyDescent="0.45">
      <c r="A236">
        <v>235</v>
      </c>
      <c r="B236" t="s">
        <v>399</v>
      </c>
      <c r="C236" t="s">
        <v>403</v>
      </c>
      <c r="D236" t="s">
        <v>115</v>
      </c>
      <c r="E236">
        <v>4</v>
      </c>
      <c r="F236">
        <v>-5.375</v>
      </c>
      <c r="G236">
        <v>-29.664000000000001</v>
      </c>
      <c r="H236">
        <v>16385</v>
      </c>
      <c r="I236">
        <v>0</v>
      </c>
      <c r="J236">
        <v>1</v>
      </c>
      <c r="K236" t="s">
        <v>55</v>
      </c>
      <c r="L236" t="s">
        <v>55</v>
      </c>
      <c r="M236" t="s">
        <v>56</v>
      </c>
      <c r="N236">
        <v>1643368642.8499999</v>
      </c>
      <c r="O236">
        <v>0.61899999999999999</v>
      </c>
      <c r="P236">
        <v>0.36499999999999999</v>
      </c>
      <c r="Q236">
        <v>39.841000000000001</v>
      </c>
      <c r="R236">
        <v>-1.4E-2</v>
      </c>
      <c r="S236">
        <v>1E-3</v>
      </c>
      <c r="T236">
        <v>1.3160000000000001</v>
      </c>
      <c r="U236">
        <v>92.051000000000002</v>
      </c>
      <c r="V236">
        <v>23.047000000000001</v>
      </c>
      <c r="W236">
        <v>2.4910000000000001</v>
      </c>
      <c r="X236">
        <v>87.988</v>
      </c>
      <c r="Y236">
        <v>2.3620000000000001</v>
      </c>
      <c r="Z236">
        <v>0.61099999999999999</v>
      </c>
      <c r="AA236">
        <v>0</v>
      </c>
      <c r="AB236">
        <v>0</v>
      </c>
      <c r="AC236">
        <v>1</v>
      </c>
      <c r="AD236">
        <v>39.5</v>
      </c>
      <c r="AE236">
        <v>1</v>
      </c>
      <c r="AF236">
        <v>32</v>
      </c>
      <c r="AG236">
        <v>3</v>
      </c>
      <c r="AH236" t="s">
        <v>84</v>
      </c>
      <c r="AI236">
        <v>0</v>
      </c>
    </row>
    <row r="237" spans="1:35" x14ac:dyDescent="0.45">
      <c r="A237">
        <v>236</v>
      </c>
      <c r="B237" t="s">
        <v>399</v>
      </c>
      <c r="C237" t="s">
        <v>404</v>
      </c>
      <c r="D237" t="s">
        <v>115</v>
      </c>
      <c r="E237">
        <v>5</v>
      </c>
      <c r="F237">
        <v>-5.5110000000000001</v>
      </c>
      <c r="G237">
        <v>-29.609000000000002</v>
      </c>
      <c r="H237">
        <v>16374</v>
      </c>
      <c r="I237">
        <v>0</v>
      </c>
      <c r="J237">
        <v>1</v>
      </c>
      <c r="K237" t="s">
        <v>55</v>
      </c>
      <c r="L237" t="s">
        <v>55</v>
      </c>
      <c r="M237" t="s">
        <v>56</v>
      </c>
      <c r="N237">
        <v>1643369143.3</v>
      </c>
      <c r="O237">
        <v>0.20100000000000001</v>
      </c>
      <c r="P237">
        <v>0.39600000000000002</v>
      </c>
      <c r="Q237">
        <v>54.723999999999997</v>
      </c>
      <c r="R237">
        <v>0</v>
      </c>
      <c r="S237">
        <v>1E-3</v>
      </c>
      <c r="T237">
        <v>1.3129999999999999</v>
      </c>
      <c r="U237">
        <v>91.147999999999996</v>
      </c>
      <c r="V237">
        <v>24.919</v>
      </c>
      <c r="W237">
        <v>2.2759999999999998</v>
      </c>
      <c r="X237">
        <v>86.706999999999994</v>
      </c>
      <c r="Y237">
        <v>0.96399999999999997</v>
      </c>
      <c r="Z237">
        <v>0.97699999999999998</v>
      </c>
      <c r="AA237">
        <v>0</v>
      </c>
      <c r="AB237">
        <v>0</v>
      </c>
      <c r="AC237">
        <v>1</v>
      </c>
      <c r="AD237">
        <v>39.438000000000002</v>
      </c>
      <c r="AE237">
        <v>1</v>
      </c>
      <c r="AF237">
        <v>32</v>
      </c>
      <c r="AG237">
        <v>3</v>
      </c>
      <c r="AH237" t="s">
        <v>84</v>
      </c>
      <c r="AI237">
        <v>0</v>
      </c>
    </row>
    <row r="238" spans="1:35" x14ac:dyDescent="0.45">
      <c r="A238">
        <v>237</v>
      </c>
      <c r="B238" t="s">
        <v>399</v>
      </c>
      <c r="C238" t="s">
        <v>405</v>
      </c>
      <c r="D238" t="s">
        <v>115</v>
      </c>
      <c r="E238">
        <v>6</v>
      </c>
      <c r="F238">
        <v>-5.5140000000000002</v>
      </c>
      <c r="G238">
        <v>-29.661000000000001</v>
      </c>
      <c r="H238">
        <v>16321</v>
      </c>
      <c r="I238">
        <v>0</v>
      </c>
      <c r="J238">
        <v>1</v>
      </c>
      <c r="K238" t="s">
        <v>55</v>
      </c>
      <c r="L238" t="s">
        <v>55</v>
      </c>
      <c r="M238" t="s">
        <v>56</v>
      </c>
      <c r="N238">
        <v>1643369681.98</v>
      </c>
      <c r="O238">
        <v>0.192</v>
      </c>
      <c r="P238">
        <v>0.41099999999999998</v>
      </c>
      <c r="Q238">
        <v>55.19</v>
      </c>
      <c r="R238">
        <v>1E-3</v>
      </c>
      <c r="S238">
        <v>1E-3</v>
      </c>
      <c r="T238">
        <v>1.327</v>
      </c>
      <c r="U238">
        <v>90.677999999999997</v>
      </c>
      <c r="V238">
        <v>25.327000000000002</v>
      </c>
      <c r="W238">
        <v>2.3340000000000001</v>
      </c>
      <c r="X238">
        <v>85.873999999999995</v>
      </c>
      <c r="Y238">
        <v>0.94599999999999995</v>
      </c>
      <c r="Z238">
        <v>1.01</v>
      </c>
      <c r="AA238">
        <v>0</v>
      </c>
      <c r="AB238">
        <v>0</v>
      </c>
      <c r="AC238">
        <v>1</v>
      </c>
      <c r="AD238">
        <v>39.438000000000002</v>
      </c>
      <c r="AE238">
        <v>1</v>
      </c>
      <c r="AF238">
        <v>32</v>
      </c>
      <c r="AG238">
        <v>3</v>
      </c>
      <c r="AH238" t="s">
        <v>84</v>
      </c>
      <c r="AI238">
        <v>0</v>
      </c>
    </row>
    <row r="239" spans="1:35" x14ac:dyDescent="0.45">
      <c r="A239">
        <v>238</v>
      </c>
      <c r="B239" t="s">
        <v>399</v>
      </c>
      <c r="C239" t="s">
        <v>406</v>
      </c>
      <c r="D239" t="s">
        <v>115</v>
      </c>
      <c r="E239">
        <v>7</v>
      </c>
      <c r="F239">
        <v>-5.5490000000000004</v>
      </c>
      <c r="G239">
        <v>-29.638999999999999</v>
      </c>
      <c r="H239">
        <v>16320</v>
      </c>
      <c r="I239">
        <v>0</v>
      </c>
      <c r="J239">
        <v>1</v>
      </c>
      <c r="K239" t="s">
        <v>55</v>
      </c>
      <c r="L239" t="s">
        <v>55</v>
      </c>
      <c r="M239" t="s">
        <v>56</v>
      </c>
      <c r="N239">
        <v>1643370216.8699999</v>
      </c>
      <c r="O239">
        <v>0.19900000000000001</v>
      </c>
      <c r="P239">
        <v>0.40200000000000002</v>
      </c>
      <c r="Q239">
        <v>55.133000000000003</v>
      </c>
      <c r="R239">
        <v>1E-3</v>
      </c>
      <c r="S239">
        <v>2E-3</v>
      </c>
      <c r="T239">
        <v>1.3260000000000001</v>
      </c>
      <c r="U239">
        <v>90.456999999999994</v>
      </c>
      <c r="V239">
        <v>25.468</v>
      </c>
      <c r="W239">
        <v>2.35</v>
      </c>
      <c r="X239">
        <v>86.646000000000001</v>
      </c>
      <c r="Y239">
        <v>0.95499999999999996</v>
      </c>
      <c r="Z239">
        <v>1.194</v>
      </c>
      <c r="AA239">
        <v>0</v>
      </c>
      <c r="AB239">
        <v>0</v>
      </c>
      <c r="AC239">
        <v>1</v>
      </c>
      <c r="AD239">
        <v>39.438000000000002</v>
      </c>
      <c r="AE239">
        <v>1</v>
      </c>
      <c r="AF239">
        <v>32</v>
      </c>
      <c r="AG239">
        <v>3</v>
      </c>
      <c r="AH239" t="s">
        <v>84</v>
      </c>
      <c r="AI239">
        <v>0</v>
      </c>
    </row>
    <row r="240" spans="1:35" x14ac:dyDescent="0.45">
      <c r="A240">
        <v>239</v>
      </c>
      <c r="B240" t="s">
        <v>399</v>
      </c>
      <c r="C240" t="s">
        <v>407</v>
      </c>
      <c r="D240" t="s">
        <v>115</v>
      </c>
      <c r="E240">
        <v>8</v>
      </c>
      <c r="F240">
        <v>-5.53</v>
      </c>
      <c r="G240">
        <v>-29.574999999999999</v>
      </c>
      <c r="H240">
        <v>16325</v>
      </c>
      <c r="I240">
        <v>0</v>
      </c>
      <c r="J240">
        <v>1</v>
      </c>
      <c r="K240" t="s">
        <v>55</v>
      </c>
      <c r="L240" t="s">
        <v>55</v>
      </c>
      <c r="M240" t="s">
        <v>56</v>
      </c>
      <c r="N240">
        <v>1643370753.3900001</v>
      </c>
      <c r="O240">
        <v>0.20200000000000001</v>
      </c>
      <c r="P240">
        <v>0.375</v>
      </c>
      <c r="Q240">
        <v>54.777999999999999</v>
      </c>
      <c r="R240">
        <v>1E-3</v>
      </c>
      <c r="S240">
        <v>0</v>
      </c>
      <c r="T240">
        <v>1.3169999999999999</v>
      </c>
      <c r="U240">
        <v>90.745000000000005</v>
      </c>
      <c r="V240">
        <v>25.44</v>
      </c>
      <c r="W240">
        <v>2.2799999999999998</v>
      </c>
      <c r="X240">
        <v>85.144999999999996</v>
      </c>
      <c r="Y240">
        <v>0.94899999999999995</v>
      </c>
      <c r="Z240">
        <v>0.91800000000000004</v>
      </c>
      <c r="AA240">
        <v>0</v>
      </c>
      <c r="AB240">
        <v>0</v>
      </c>
      <c r="AC240">
        <v>1</v>
      </c>
      <c r="AD240">
        <v>39.438000000000002</v>
      </c>
      <c r="AE240">
        <v>1</v>
      </c>
      <c r="AF240">
        <v>32</v>
      </c>
      <c r="AG240">
        <v>3</v>
      </c>
      <c r="AH240" t="s">
        <v>84</v>
      </c>
      <c r="AI240">
        <v>0</v>
      </c>
    </row>
    <row r="241" spans="1:35" x14ac:dyDescent="0.45">
      <c r="A241">
        <v>240</v>
      </c>
      <c r="B241" t="s">
        <v>399</v>
      </c>
      <c r="C241" t="s">
        <v>408</v>
      </c>
      <c r="D241" t="s">
        <v>115</v>
      </c>
      <c r="E241">
        <v>9</v>
      </c>
      <c r="F241">
        <v>-5.5339999999999998</v>
      </c>
      <c r="G241">
        <v>-29.565999999999999</v>
      </c>
      <c r="H241">
        <v>16376</v>
      </c>
      <c r="I241">
        <v>0</v>
      </c>
      <c r="J241">
        <v>1</v>
      </c>
      <c r="K241" t="s">
        <v>55</v>
      </c>
      <c r="L241" t="s">
        <v>55</v>
      </c>
      <c r="M241" t="s">
        <v>56</v>
      </c>
      <c r="N241">
        <v>1643371292.0999999</v>
      </c>
      <c r="O241">
        <v>0.215</v>
      </c>
      <c r="P241">
        <v>0.38800000000000001</v>
      </c>
      <c r="Q241">
        <v>54.19</v>
      </c>
      <c r="R241">
        <v>1E-3</v>
      </c>
      <c r="S241">
        <v>0</v>
      </c>
      <c r="T241">
        <v>1.3080000000000001</v>
      </c>
      <c r="U241">
        <v>91.058999999999997</v>
      </c>
      <c r="V241">
        <v>25.065000000000001</v>
      </c>
      <c r="W241">
        <v>2.3090000000000002</v>
      </c>
      <c r="X241">
        <v>86.757999999999996</v>
      </c>
      <c r="Y241">
        <v>0.93</v>
      </c>
      <c r="Z241">
        <v>0.95899999999999996</v>
      </c>
      <c r="AA241">
        <v>0</v>
      </c>
      <c r="AB241">
        <v>0</v>
      </c>
      <c r="AC241">
        <v>1</v>
      </c>
      <c r="AD241">
        <v>39.5</v>
      </c>
      <c r="AE241">
        <v>1</v>
      </c>
      <c r="AF241">
        <v>32</v>
      </c>
      <c r="AG241">
        <v>3</v>
      </c>
      <c r="AH241" t="s">
        <v>84</v>
      </c>
      <c r="AI241">
        <v>0</v>
      </c>
    </row>
    <row r="242" spans="1:35" x14ac:dyDescent="0.45">
      <c r="A242">
        <v>241</v>
      </c>
      <c r="B242" t="s">
        <v>399</v>
      </c>
      <c r="C242" t="s">
        <v>409</v>
      </c>
      <c r="D242" t="s">
        <v>115</v>
      </c>
      <c r="E242">
        <v>10</v>
      </c>
      <c r="F242">
        <v>-5.5369999999999999</v>
      </c>
      <c r="G242">
        <v>-29.591999999999999</v>
      </c>
      <c r="H242">
        <v>16323</v>
      </c>
      <c r="I242">
        <v>0</v>
      </c>
      <c r="J242">
        <v>1</v>
      </c>
      <c r="K242" t="s">
        <v>55</v>
      </c>
      <c r="L242" t="s">
        <v>55</v>
      </c>
      <c r="M242" t="s">
        <v>56</v>
      </c>
      <c r="N242">
        <v>1643371829.5</v>
      </c>
      <c r="O242">
        <v>0.22900000000000001</v>
      </c>
      <c r="P242">
        <v>0.41199999999999998</v>
      </c>
      <c r="Q242">
        <v>54.195</v>
      </c>
      <c r="R242">
        <v>1E-3</v>
      </c>
      <c r="S242">
        <v>2E-3</v>
      </c>
      <c r="T242">
        <v>1.3149999999999999</v>
      </c>
      <c r="U242">
        <v>90.772999999999996</v>
      </c>
      <c r="V242">
        <v>25.605</v>
      </c>
      <c r="W242">
        <v>2.2480000000000002</v>
      </c>
      <c r="X242">
        <v>84.724000000000004</v>
      </c>
      <c r="Y242">
        <v>0.94299999999999995</v>
      </c>
      <c r="Z242">
        <v>0.874</v>
      </c>
      <c r="AA242">
        <v>0</v>
      </c>
      <c r="AB242">
        <v>0</v>
      </c>
      <c r="AC242">
        <v>1</v>
      </c>
      <c r="AD242">
        <v>39.5</v>
      </c>
      <c r="AE242">
        <v>1</v>
      </c>
      <c r="AF242">
        <v>32</v>
      </c>
      <c r="AG242">
        <v>3</v>
      </c>
      <c r="AH242" t="s">
        <v>84</v>
      </c>
      <c r="AI242">
        <v>0</v>
      </c>
    </row>
    <row r="243" spans="1:35" x14ac:dyDescent="0.45">
      <c r="A243">
        <v>242</v>
      </c>
      <c r="B243" t="s">
        <v>399</v>
      </c>
      <c r="C243" t="s">
        <v>410</v>
      </c>
      <c r="D243" t="s">
        <v>115</v>
      </c>
      <c r="E243">
        <v>11</v>
      </c>
      <c r="F243">
        <v>-5.5110000000000001</v>
      </c>
      <c r="G243">
        <v>-29.681000000000001</v>
      </c>
      <c r="H243">
        <v>16315</v>
      </c>
      <c r="I243">
        <v>0</v>
      </c>
      <c r="J243">
        <v>1</v>
      </c>
      <c r="K243" t="s">
        <v>55</v>
      </c>
      <c r="L243" t="s">
        <v>55</v>
      </c>
      <c r="M243" t="s">
        <v>56</v>
      </c>
      <c r="N243">
        <v>1643372366.25</v>
      </c>
      <c r="O243">
        <v>0.188</v>
      </c>
      <c r="P243">
        <v>0.42499999999999999</v>
      </c>
      <c r="Q243">
        <v>54.976999999999997</v>
      </c>
      <c r="R243">
        <v>1E-3</v>
      </c>
      <c r="S243">
        <v>0</v>
      </c>
      <c r="T243">
        <v>1.3180000000000001</v>
      </c>
      <c r="U243">
        <v>90.626000000000005</v>
      </c>
      <c r="V243">
        <v>25.416</v>
      </c>
      <c r="W243">
        <v>2.262</v>
      </c>
      <c r="X243">
        <v>85.474000000000004</v>
      </c>
      <c r="Y243">
        <v>0.93899999999999995</v>
      </c>
      <c r="Z243">
        <v>0.97699999999999998</v>
      </c>
      <c r="AA243">
        <v>0</v>
      </c>
      <c r="AB243">
        <v>0</v>
      </c>
      <c r="AC243">
        <v>1</v>
      </c>
      <c r="AD243">
        <v>39.5</v>
      </c>
      <c r="AE243">
        <v>1</v>
      </c>
      <c r="AF243">
        <v>32</v>
      </c>
      <c r="AG243">
        <v>3</v>
      </c>
      <c r="AH243" t="s">
        <v>84</v>
      </c>
      <c r="AI243">
        <v>0</v>
      </c>
    </row>
    <row r="244" spans="1:35" x14ac:dyDescent="0.45">
      <c r="A244">
        <v>243</v>
      </c>
      <c r="B244" t="s">
        <v>399</v>
      </c>
      <c r="C244" t="s">
        <v>411</v>
      </c>
      <c r="D244" t="s">
        <v>115</v>
      </c>
      <c r="E244">
        <v>12</v>
      </c>
      <c r="F244">
        <v>-5.5510000000000002</v>
      </c>
      <c r="G244">
        <v>-29.608000000000001</v>
      </c>
      <c r="H244">
        <v>16285</v>
      </c>
      <c r="I244">
        <v>0</v>
      </c>
      <c r="J244">
        <v>1</v>
      </c>
      <c r="K244" t="s">
        <v>55</v>
      </c>
      <c r="L244" t="s">
        <v>55</v>
      </c>
      <c r="M244" t="s">
        <v>56</v>
      </c>
      <c r="N244">
        <v>1643372902.75</v>
      </c>
      <c r="O244">
        <v>0.20899999999999999</v>
      </c>
      <c r="P244">
        <v>0.38300000000000001</v>
      </c>
      <c r="Q244">
        <v>54.19</v>
      </c>
      <c r="R244">
        <v>1E-3</v>
      </c>
      <c r="S244">
        <v>-1E-3</v>
      </c>
      <c r="T244">
        <v>1.3049999999999999</v>
      </c>
      <c r="U244">
        <v>90.513999999999996</v>
      </c>
      <c r="V244">
        <v>25.151</v>
      </c>
      <c r="W244">
        <v>2.3119999999999998</v>
      </c>
      <c r="X244">
        <v>85.600999999999999</v>
      </c>
      <c r="Y244">
        <v>0.93</v>
      </c>
      <c r="Z244">
        <v>1.0609999999999999</v>
      </c>
      <c r="AA244">
        <v>0</v>
      </c>
      <c r="AB244">
        <v>0</v>
      </c>
      <c r="AC244">
        <v>1</v>
      </c>
      <c r="AD244">
        <v>39.5</v>
      </c>
      <c r="AE244">
        <v>1</v>
      </c>
      <c r="AF244">
        <v>32</v>
      </c>
      <c r="AG244">
        <v>3</v>
      </c>
      <c r="AH244" t="s">
        <v>84</v>
      </c>
      <c r="AI244">
        <v>0</v>
      </c>
    </row>
    <row r="245" spans="1:35" x14ac:dyDescent="0.45">
      <c r="A245">
        <v>244</v>
      </c>
      <c r="B245" t="s">
        <v>399</v>
      </c>
      <c r="C245" t="s">
        <v>412</v>
      </c>
      <c r="D245" t="s">
        <v>115</v>
      </c>
      <c r="E245">
        <v>13</v>
      </c>
      <c r="F245">
        <v>-5.54</v>
      </c>
      <c r="G245">
        <v>-29.577000000000002</v>
      </c>
      <c r="H245">
        <v>16367</v>
      </c>
      <c r="I245">
        <v>0</v>
      </c>
      <c r="J245">
        <v>1</v>
      </c>
      <c r="K245" t="s">
        <v>55</v>
      </c>
      <c r="L245" t="s">
        <v>55</v>
      </c>
      <c r="M245" t="s">
        <v>56</v>
      </c>
      <c r="N245">
        <v>1643373441.7</v>
      </c>
      <c r="O245">
        <v>0.216</v>
      </c>
      <c r="P245">
        <v>0.376</v>
      </c>
      <c r="Q245">
        <v>55.497999999999998</v>
      </c>
      <c r="R245">
        <v>0</v>
      </c>
      <c r="S245">
        <v>0</v>
      </c>
      <c r="T245">
        <v>1.329</v>
      </c>
      <c r="U245">
        <v>90.85</v>
      </c>
      <c r="V245">
        <v>25.640999999999998</v>
      </c>
      <c r="W245">
        <v>2.2509999999999999</v>
      </c>
      <c r="X245">
        <v>85.837000000000003</v>
      </c>
      <c r="Y245">
        <v>0.95499999999999996</v>
      </c>
      <c r="Z245">
        <v>1.01</v>
      </c>
      <c r="AA245">
        <v>0</v>
      </c>
      <c r="AB245">
        <v>0</v>
      </c>
      <c r="AC245">
        <v>1</v>
      </c>
      <c r="AD245">
        <v>39.5</v>
      </c>
      <c r="AE245">
        <v>1</v>
      </c>
      <c r="AF245">
        <v>32</v>
      </c>
      <c r="AG245">
        <v>3</v>
      </c>
      <c r="AH245" t="s">
        <v>84</v>
      </c>
      <c r="AI245">
        <v>0</v>
      </c>
    </row>
    <row r="246" spans="1:35" x14ac:dyDescent="0.45">
      <c r="A246">
        <v>245</v>
      </c>
      <c r="B246" t="s">
        <v>399</v>
      </c>
      <c r="C246" t="s">
        <v>413</v>
      </c>
      <c r="D246" t="s">
        <v>115</v>
      </c>
      <c r="E246">
        <v>14</v>
      </c>
      <c r="F246">
        <v>-5.5439999999999996</v>
      </c>
      <c r="G246">
        <v>-29.512</v>
      </c>
      <c r="H246">
        <v>16296</v>
      </c>
      <c r="I246">
        <v>0</v>
      </c>
      <c r="J246">
        <v>1</v>
      </c>
      <c r="K246" t="s">
        <v>55</v>
      </c>
      <c r="L246" t="s">
        <v>55</v>
      </c>
      <c r="M246" t="s">
        <v>56</v>
      </c>
      <c r="N246">
        <v>1643373976.49</v>
      </c>
      <c r="O246">
        <v>0.21</v>
      </c>
      <c r="P246">
        <v>0.38100000000000001</v>
      </c>
      <c r="Q246">
        <v>54.341000000000001</v>
      </c>
      <c r="R246">
        <v>1E-3</v>
      </c>
      <c r="S246">
        <v>0</v>
      </c>
      <c r="T246">
        <v>1.306</v>
      </c>
      <c r="U246">
        <v>90.61</v>
      </c>
      <c r="V246">
        <v>25.31</v>
      </c>
      <c r="W246">
        <v>2.2509999999999999</v>
      </c>
      <c r="X246">
        <v>85.188999999999993</v>
      </c>
      <c r="Y246">
        <v>0.93100000000000005</v>
      </c>
      <c r="Z246">
        <v>1.0029999999999999</v>
      </c>
      <c r="AA246">
        <v>0</v>
      </c>
      <c r="AB246">
        <v>0</v>
      </c>
      <c r="AC246">
        <v>1</v>
      </c>
      <c r="AD246">
        <v>39.5</v>
      </c>
      <c r="AE246">
        <v>1</v>
      </c>
      <c r="AF246">
        <v>32</v>
      </c>
      <c r="AG246">
        <v>3</v>
      </c>
      <c r="AH246" t="s">
        <v>84</v>
      </c>
      <c r="AI246">
        <v>0</v>
      </c>
    </row>
    <row r="247" spans="1:35" x14ac:dyDescent="0.45">
      <c r="A247">
        <v>246</v>
      </c>
      <c r="B247" t="s">
        <v>399</v>
      </c>
      <c r="C247" t="s">
        <v>414</v>
      </c>
      <c r="D247" t="s">
        <v>115</v>
      </c>
      <c r="E247">
        <v>15</v>
      </c>
      <c r="F247">
        <v>-5.5250000000000004</v>
      </c>
      <c r="G247">
        <v>-29.638000000000002</v>
      </c>
      <c r="H247">
        <v>16259</v>
      </c>
      <c r="I247">
        <v>0</v>
      </c>
      <c r="J247">
        <v>1</v>
      </c>
      <c r="K247" t="s">
        <v>55</v>
      </c>
      <c r="L247" t="s">
        <v>55</v>
      </c>
      <c r="M247" t="s">
        <v>56</v>
      </c>
      <c r="N247">
        <v>1643374514.03</v>
      </c>
      <c r="O247">
        <v>0.2</v>
      </c>
      <c r="P247">
        <v>0.39700000000000002</v>
      </c>
      <c r="Q247">
        <v>54.313000000000002</v>
      </c>
      <c r="R247">
        <v>1E-3</v>
      </c>
      <c r="S247">
        <v>1E-3</v>
      </c>
      <c r="T247">
        <v>1.31</v>
      </c>
      <c r="U247">
        <v>90.213999999999999</v>
      </c>
      <c r="V247">
        <v>25.434000000000001</v>
      </c>
      <c r="W247">
        <v>2.27</v>
      </c>
      <c r="X247">
        <v>85.641000000000005</v>
      </c>
      <c r="Y247">
        <v>0.93799999999999994</v>
      </c>
      <c r="Z247">
        <v>1.1040000000000001</v>
      </c>
      <c r="AA247">
        <v>0</v>
      </c>
      <c r="AB247">
        <v>0</v>
      </c>
      <c r="AC247">
        <v>1</v>
      </c>
      <c r="AD247">
        <v>39.5</v>
      </c>
      <c r="AE247">
        <v>1</v>
      </c>
      <c r="AF247">
        <v>32</v>
      </c>
      <c r="AG247">
        <v>3</v>
      </c>
      <c r="AH247" t="s">
        <v>84</v>
      </c>
      <c r="AI247">
        <v>0</v>
      </c>
    </row>
    <row r="248" spans="1:35" x14ac:dyDescent="0.45">
      <c r="A248">
        <v>247</v>
      </c>
      <c r="B248" t="s">
        <v>415</v>
      </c>
      <c r="C248" t="s">
        <v>416</v>
      </c>
      <c r="D248" t="s">
        <v>116</v>
      </c>
      <c r="E248">
        <v>1</v>
      </c>
      <c r="F248">
        <v>-4.6500000000000004</v>
      </c>
      <c r="G248">
        <v>-23.373999999999999</v>
      </c>
      <c r="H248">
        <v>16279</v>
      </c>
      <c r="I248">
        <v>-1</v>
      </c>
      <c r="J248">
        <v>1</v>
      </c>
      <c r="K248" t="s">
        <v>55</v>
      </c>
      <c r="L248" t="s">
        <v>55</v>
      </c>
      <c r="M248" t="s">
        <v>56</v>
      </c>
      <c r="N248">
        <v>1643375049.6400001</v>
      </c>
      <c r="O248">
        <v>0.19500000000000001</v>
      </c>
      <c r="P248">
        <v>0.376</v>
      </c>
      <c r="Q248">
        <v>54.212000000000003</v>
      </c>
      <c r="R248">
        <v>1E-3</v>
      </c>
      <c r="S248">
        <v>0</v>
      </c>
      <c r="T248">
        <v>1.3029999999999999</v>
      </c>
      <c r="U248">
        <v>90.486000000000004</v>
      </c>
      <c r="V248">
        <v>25.294</v>
      </c>
      <c r="W248">
        <v>2.2490000000000001</v>
      </c>
      <c r="X248">
        <v>85.135000000000005</v>
      </c>
      <c r="Y248">
        <v>0.93300000000000005</v>
      </c>
      <c r="Z248">
        <v>0.94799999999999995</v>
      </c>
      <c r="AA248">
        <v>0</v>
      </c>
      <c r="AB248">
        <v>0</v>
      </c>
      <c r="AC248">
        <v>1</v>
      </c>
      <c r="AD248">
        <v>39.5</v>
      </c>
      <c r="AE248">
        <v>1</v>
      </c>
      <c r="AF248">
        <v>33</v>
      </c>
      <c r="AG248">
        <v>3</v>
      </c>
      <c r="AH248" t="s">
        <v>84</v>
      </c>
      <c r="AI248">
        <v>0</v>
      </c>
    </row>
    <row r="249" spans="1:35" x14ac:dyDescent="0.45">
      <c r="A249">
        <v>248</v>
      </c>
      <c r="B249" t="s">
        <v>415</v>
      </c>
      <c r="C249" t="s">
        <v>417</v>
      </c>
      <c r="D249" t="s">
        <v>116</v>
      </c>
      <c r="E249">
        <v>2</v>
      </c>
      <c r="F249">
        <v>-4.6029999999999998</v>
      </c>
      <c r="G249">
        <v>-22.809000000000001</v>
      </c>
      <c r="H249">
        <v>16342</v>
      </c>
      <c r="I249">
        <v>-1</v>
      </c>
      <c r="J249">
        <v>1</v>
      </c>
      <c r="K249" t="s">
        <v>55</v>
      </c>
      <c r="L249" t="s">
        <v>55</v>
      </c>
      <c r="M249" t="s">
        <v>56</v>
      </c>
      <c r="N249">
        <v>1643375587.4400001</v>
      </c>
      <c r="O249">
        <v>0.19800000000000001</v>
      </c>
      <c r="P249">
        <v>0.44600000000000001</v>
      </c>
      <c r="Q249">
        <v>54.264000000000003</v>
      </c>
      <c r="R249">
        <v>1E-3</v>
      </c>
      <c r="S249">
        <v>-1E-3</v>
      </c>
      <c r="T249">
        <v>1.3169999999999999</v>
      </c>
      <c r="U249">
        <v>90.813000000000002</v>
      </c>
      <c r="V249">
        <v>25.24</v>
      </c>
      <c r="W249">
        <v>2.2970000000000002</v>
      </c>
      <c r="X249">
        <v>86.337999999999994</v>
      </c>
      <c r="Y249">
        <v>0.92300000000000004</v>
      </c>
      <c r="Z249">
        <v>1.1419999999999999</v>
      </c>
      <c r="AA249">
        <v>0</v>
      </c>
      <c r="AB249">
        <v>0</v>
      </c>
      <c r="AC249">
        <v>1</v>
      </c>
      <c r="AD249">
        <v>39.561999999999998</v>
      </c>
      <c r="AE249">
        <v>1</v>
      </c>
      <c r="AF249">
        <v>33</v>
      </c>
      <c r="AG249">
        <v>3</v>
      </c>
      <c r="AH249" t="s">
        <v>84</v>
      </c>
      <c r="AI249">
        <v>0</v>
      </c>
    </row>
    <row r="250" spans="1:35" x14ac:dyDescent="0.45">
      <c r="A250">
        <v>249</v>
      </c>
      <c r="B250" t="s">
        <v>415</v>
      </c>
      <c r="C250" t="s">
        <v>418</v>
      </c>
      <c r="D250" t="s">
        <v>116</v>
      </c>
      <c r="E250">
        <v>3</v>
      </c>
      <c r="F250">
        <v>-4.5910000000000002</v>
      </c>
      <c r="G250">
        <v>-22.777999999999999</v>
      </c>
      <c r="H250">
        <v>16299</v>
      </c>
      <c r="I250">
        <v>-1</v>
      </c>
      <c r="J250">
        <v>1</v>
      </c>
      <c r="K250" t="s">
        <v>55</v>
      </c>
      <c r="L250" t="s">
        <v>55</v>
      </c>
      <c r="M250" t="s">
        <v>56</v>
      </c>
      <c r="N250">
        <v>1643376123.51</v>
      </c>
      <c r="O250">
        <v>0.20100000000000001</v>
      </c>
      <c r="P250">
        <v>0.378</v>
      </c>
      <c r="Q250">
        <v>54.527999999999999</v>
      </c>
      <c r="R250">
        <v>1E-3</v>
      </c>
      <c r="S250">
        <v>0</v>
      </c>
      <c r="T250">
        <v>1.31</v>
      </c>
      <c r="U250">
        <v>90.429000000000002</v>
      </c>
      <c r="V250">
        <v>24.981000000000002</v>
      </c>
      <c r="W250">
        <v>2.3330000000000002</v>
      </c>
      <c r="X250">
        <v>87.39</v>
      </c>
      <c r="Y250">
        <v>0.91700000000000004</v>
      </c>
      <c r="Z250">
        <v>1.3220000000000001</v>
      </c>
      <c r="AA250">
        <v>0</v>
      </c>
      <c r="AB250">
        <v>0</v>
      </c>
      <c r="AC250">
        <v>1</v>
      </c>
      <c r="AD250">
        <v>39.5</v>
      </c>
      <c r="AE250">
        <v>1</v>
      </c>
      <c r="AF250">
        <v>33</v>
      </c>
      <c r="AG250">
        <v>3</v>
      </c>
      <c r="AH250" t="s">
        <v>84</v>
      </c>
      <c r="AI250">
        <v>0</v>
      </c>
    </row>
    <row r="251" spans="1:35" x14ac:dyDescent="0.45">
      <c r="A251">
        <v>250</v>
      </c>
      <c r="B251" t="s">
        <v>415</v>
      </c>
      <c r="C251" t="s">
        <v>419</v>
      </c>
      <c r="D251" t="s">
        <v>116</v>
      </c>
      <c r="E251">
        <v>4</v>
      </c>
      <c r="F251">
        <v>-4.5910000000000002</v>
      </c>
      <c r="G251">
        <v>-22.72</v>
      </c>
      <c r="H251">
        <v>16289</v>
      </c>
      <c r="I251">
        <v>0</v>
      </c>
      <c r="J251">
        <v>1</v>
      </c>
      <c r="K251" t="s">
        <v>55</v>
      </c>
      <c r="L251" t="s">
        <v>55</v>
      </c>
      <c r="M251" t="s">
        <v>56</v>
      </c>
      <c r="N251">
        <v>1643376660.97</v>
      </c>
      <c r="O251">
        <v>0.20699999999999999</v>
      </c>
      <c r="P251">
        <v>0.39600000000000002</v>
      </c>
      <c r="Q251">
        <v>54.499000000000002</v>
      </c>
      <c r="R251">
        <v>0</v>
      </c>
      <c r="S251">
        <v>1E-3</v>
      </c>
      <c r="T251">
        <v>1.3120000000000001</v>
      </c>
      <c r="U251">
        <v>90.540999999999997</v>
      </c>
      <c r="V251">
        <v>24.693999999999999</v>
      </c>
      <c r="W251">
        <v>2.31</v>
      </c>
      <c r="X251">
        <v>87.174000000000007</v>
      </c>
      <c r="Y251">
        <v>0.91300000000000003</v>
      </c>
      <c r="Z251">
        <v>1.1599999999999999</v>
      </c>
      <c r="AA251">
        <v>0</v>
      </c>
      <c r="AB251">
        <v>0</v>
      </c>
      <c r="AC251">
        <v>1</v>
      </c>
      <c r="AD251">
        <v>39.561999999999998</v>
      </c>
      <c r="AE251">
        <v>1</v>
      </c>
      <c r="AF251">
        <v>33</v>
      </c>
      <c r="AG251">
        <v>3</v>
      </c>
      <c r="AH251" t="s">
        <v>84</v>
      </c>
      <c r="AI251">
        <v>0</v>
      </c>
    </row>
    <row r="252" spans="1:35" x14ac:dyDescent="0.45">
      <c r="A252">
        <v>251</v>
      </c>
      <c r="B252" t="s">
        <v>415</v>
      </c>
      <c r="C252" t="s">
        <v>420</v>
      </c>
      <c r="D252" t="s">
        <v>116</v>
      </c>
      <c r="E252">
        <v>5</v>
      </c>
      <c r="F252">
        <v>-4.6130000000000004</v>
      </c>
      <c r="G252">
        <v>-22.641999999999999</v>
      </c>
      <c r="H252">
        <v>16305</v>
      </c>
      <c r="I252">
        <v>0</v>
      </c>
      <c r="J252">
        <v>1</v>
      </c>
      <c r="K252" t="s">
        <v>55</v>
      </c>
      <c r="L252" t="s">
        <v>55</v>
      </c>
      <c r="M252" t="s">
        <v>56</v>
      </c>
      <c r="N252">
        <v>1643377196.4000001</v>
      </c>
      <c r="O252">
        <v>0.19800000000000001</v>
      </c>
      <c r="P252">
        <v>0.39200000000000002</v>
      </c>
      <c r="Q252">
        <v>54.485999999999997</v>
      </c>
      <c r="R252">
        <v>0</v>
      </c>
      <c r="S252">
        <v>0</v>
      </c>
      <c r="T252">
        <v>1.3080000000000001</v>
      </c>
      <c r="U252">
        <v>90.472999999999999</v>
      </c>
      <c r="V252">
        <v>25.594999999999999</v>
      </c>
      <c r="W252">
        <v>2.2749999999999999</v>
      </c>
      <c r="X252">
        <v>85.548000000000002</v>
      </c>
      <c r="Y252">
        <v>0.91200000000000003</v>
      </c>
      <c r="Z252">
        <v>1.05</v>
      </c>
      <c r="AA252">
        <v>0</v>
      </c>
      <c r="AB252">
        <v>0</v>
      </c>
      <c r="AC252">
        <v>1</v>
      </c>
      <c r="AD252">
        <v>39.561999999999998</v>
      </c>
      <c r="AE252">
        <v>1</v>
      </c>
      <c r="AF252">
        <v>33</v>
      </c>
      <c r="AG252">
        <v>3</v>
      </c>
      <c r="AH252" t="s">
        <v>84</v>
      </c>
      <c r="AI252">
        <v>0</v>
      </c>
    </row>
    <row r="253" spans="1:35" x14ac:dyDescent="0.45">
      <c r="A253">
        <v>252</v>
      </c>
      <c r="B253" t="s">
        <v>415</v>
      </c>
      <c r="C253" t="s">
        <v>421</v>
      </c>
      <c r="D253" t="s">
        <v>116</v>
      </c>
      <c r="E253">
        <v>6</v>
      </c>
      <c r="F253">
        <v>-4.5970000000000004</v>
      </c>
      <c r="G253">
        <v>-22.638000000000002</v>
      </c>
      <c r="H253">
        <v>16350</v>
      </c>
      <c r="I253">
        <v>0</v>
      </c>
      <c r="J253">
        <v>1</v>
      </c>
      <c r="K253" t="s">
        <v>55</v>
      </c>
      <c r="L253" t="s">
        <v>55</v>
      </c>
      <c r="M253" t="s">
        <v>56</v>
      </c>
      <c r="N253">
        <v>1643377734.8699999</v>
      </c>
      <c r="O253">
        <v>0.193</v>
      </c>
      <c r="P253">
        <v>0.377</v>
      </c>
      <c r="Q253">
        <v>55.002000000000002</v>
      </c>
      <c r="R253">
        <v>2E-3</v>
      </c>
      <c r="S253">
        <v>0</v>
      </c>
      <c r="T253">
        <v>1.3120000000000001</v>
      </c>
      <c r="U253">
        <v>90.840999999999994</v>
      </c>
      <c r="V253">
        <v>25.390999999999998</v>
      </c>
      <c r="W253">
        <v>2.2810000000000001</v>
      </c>
      <c r="X253">
        <v>85.757999999999996</v>
      </c>
      <c r="Y253">
        <v>0.94399999999999995</v>
      </c>
      <c r="Z253">
        <v>1.0349999999999999</v>
      </c>
      <c r="AA253">
        <v>0</v>
      </c>
      <c r="AB253">
        <v>0</v>
      </c>
      <c r="AC253">
        <v>1</v>
      </c>
      <c r="AD253">
        <v>39.561999999999998</v>
      </c>
      <c r="AE253">
        <v>1</v>
      </c>
      <c r="AF253">
        <v>33</v>
      </c>
      <c r="AG253">
        <v>3</v>
      </c>
      <c r="AH253" t="s">
        <v>84</v>
      </c>
      <c r="AI253">
        <v>0</v>
      </c>
    </row>
    <row r="254" spans="1:35" x14ac:dyDescent="0.45">
      <c r="A254">
        <v>253</v>
      </c>
      <c r="B254" t="s">
        <v>415</v>
      </c>
      <c r="C254" t="s">
        <v>422</v>
      </c>
      <c r="D254" t="s">
        <v>116</v>
      </c>
      <c r="E254">
        <v>7</v>
      </c>
      <c r="F254">
        <v>-4.556</v>
      </c>
      <c r="G254">
        <v>-22.603000000000002</v>
      </c>
      <c r="H254">
        <v>16370</v>
      </c>
      <c r="I254">
        <v>0</v>
      </c>
      <c r="J254">
        <v>1</v>
      </c>
      <c r="K254" t="s">
        <v>55</v>
      </c>
      <c r="L254" t="s">
        <v>55</v>
      </c>
      <c r="M254" t="s">
        <v>56</v>
      </c>
      <c r="N254">
        <v>1643378269.3099999</v>
      </c>
      <c r="O254">
        <v>0.20499999999999999</v>
      </c>
      <c r="P254">
        <v>0.39800000000000002</v>
      </c>
      <c r="Q254">
        <v>52.621000000000002</v>
      </c>
      <c r="R254">
        <v>1E-3</v>
      </c>
      <c r="S254">
        <v>0</v>
      </c>
      <c r="T254">
        <v>1.274</v>
      </c>
      <c r="U254">
        <v>91.134</v>
      </c>
      <c r="V254">
        <v>24.911000000000001</v>
      </c>
      <c r="W254">
        <v>2.3359999999999999</v>
      </c>
      <c r="X254">
        <v>86.545000000000002</v>
      </c>
      <c r="Y254">
        <v>0.93700000000000006</v>
      </c>
      <c r="Z254">
        <v>1.0229999999999999</v>
      </c>
      <c r="AA254">
        <v>0</v>
      </c>
      <c r="AB254">
        <v>0</v>
      </c>
      <c r="AC254">
        <v>1</v>
      </c>
      <c r="AD254">
        <v>39.5</v>
      </c>
      <c r="AE254">
        <v>1</v>
      </c>
      <c r="AF254">
        <v>33</v>
      </c>
      <c r="AG254">
        <v>3</v>
      </c>
      <c r="AH254" t="s">
        <v>84</v>
      </c>
      <c r="AI254">
        <v>0</v>
      </c>
    </row>
    <row r="255" spans="1:35" x14ac:dyDescent="0.45">
      <c r="A255">
        <v>254</v>
      </c>
      <c r="B255" t="s">
        <v>415</v>
      </c>
      <c r="C255" t="s">
        <v>423</v>
      </c>
      <c r="D255" t="s">
        <v>116</v>
      </c>
      <c r="E255">
        <v>8</v>
      </c>
      <c r="F255">
        <v>-4.5739999999999998</v>
      </c>
      <c r="G255">
        <v>-22.619</v>
      </c>
      <c r="H255">
        <v>16279</v>
      </c>
      <c r="I255">
        <v>0</v>
      </c>
      <c r="J255">
        <v>1</v>
      </c>
      <c r="K255" t="s">
        <v>55</v>
      </c>
      <c r="L255" t="s">
        <v>55</v>
      </c>
      <c r="M255" t="s">
        <v>56</v>
      </c>
      <c r="N255">
        <v>1643378807.0599999</v>
      </c>
      <c r="O255">
        <v>0.216</v>
      </c>
      <c r="P255">
        <v>0.39600000000000002</v>
      </c>
      <c r="Q255">
        <v>54.22</v>
      </c>
      <c r="R255">
        <v>1E-3</v>
      </c>
      <c r="S255">
        <v>0</v>
      </c>
      <c r="T255">
        <v>1.302</v>
      </c>
      <c r="U255">
        <v>90.409000000000006</v>
      </c>
      <c r="V255">
        <v>25</v>
      </c>
      <c r="W255">
        <v>2.2799999999999998</v>
      </c>
      <c r="X255">
        <v>86.481999999999999</v>
      </c>
      <c r="Y255">
        <v>0.93899999999999995</v>
      </c>
      <c r="Z255">
        <v>1.2150000000000001</v>
      </c>
      <c r="AA255">
        <v>0</v>
      </c>
      <c r="AB255">
        <v>0</v>
      </c>
      <c r="AC255">
        <v>1</v>
      </c>
      <c r="AD255">
        <v>39.5</v>
      </c>
      <c r="AE255">
        <v>1</v>
      </c>
      <c r="AF255">
        <v>33</v>
      </c>
      <c r="AG255">
        <v>3</v>
      </c>
      <c r="AH255" t="s">
        <v>84</v>
      </c>
      <c r="AI255">
        <v>0</v>
      </c>
    </row>
    <row r="256" spans="1:35" x14ac:dyDescent="0.45">
      <c r="A256">
        <v>255</v>
      </c>
      <c r="B256" t="s">
        <v>415</v>
      </c>
      <c r="C256" t="s">
        <v>424</v>
      </c>
      <c r="D256" t="s">
        <v>116</v>
      </c>
      <c r="E256">
        <v>9</v>
      </c>
      <c r="F256">
        <v>-4.6210000000000004</v>
      </c>
      <c r="G256">
        <v>-22.664999999999999</v>
      </c>
      <c r="H256">
        <v>16325</v>
      </c>
      <c r="I256">
        <v>0</v>
      </c>
      <c r="J256">
        <v>1</v>
      </c>
      <c r="K256" t="s">
        <v>55</v>
      </c>
      <c r="L256" t="s">
        <v>55</v>
      </c>
      <c r="M256" t="s">
        <v>56</v>
      </c>
      <c r="N256">
        <v>1643379343.51</v>
      </c>
      <c r="O256">
        <v>0.193</v>
      </c>
      <c r="P256">
        <v>0.48599999999999999</v>
      </c>
      <c r="Q256">
        <v>54.134</v>
      </c>
      <c r="R256">
        <v>1E-3</v>
      </c>
      <c r="S256">
        <v>-1E-3</v>
      </c>
      <c r="T256">
        <v>1.302</v>
      </c>
      <c r="U256">
        <v>90.727000000000004</v>
      </c>
      <c r="V256">
        <v>25.007000000000001</v>
      </c>
      <c r="W256">
        <v>2.298</v>
      </c>
      <c r="X256">
        <v>86.605999999999995</v>
      </c>
      <c r="Y256">
        <v>0.93799999999999994</v>
      </c>
      <c r="Z256">
        <v>1.147</v>
      </c>
      <c r="AA256">
        <v>0</v>
      </c>
      <c r="AB256">
        <v>0</v>
      </c>
      <c r="AC256">
        <v>1</v>
      </c>
      <c r="AD256">
        <v>39.5</v>
      </c>
      <c r="AE256">
        <v>1</v>
      </c>
      <c r="AF256">
        <v>33</v>
      </c>
      <c r="AG256">
        <v>3</v>
      </c>
      <c r="AH256" t="s">
        <v>84</v>
      </c>
      <c r="AI256">
        <v>0</v>
      </c>
    </row>
    <row r="257" spans="1:35" x14ac:dyDescent="0.45">
      <c r="A257">
        <v>256</v>
      </c>
      <c r="B257" t="s">
        <v>415</v>
      </c>
      <c r="C257" t="s">
        <v>425</v>
      </c>
      <c r="D257" t="s">
        <v>116</v>
      </c>
      <c r="E257">
        <v>10</v>
      </c>
      <c r="F257">
        <v>-4.577</v>
      </c>
      <c r="G257">
        <v>-22.553000000000001</v>
      </c>
      <c r="H257">
        <v>16320</v>
      </c>
      <c r="I257">
        <v>0</v>
      </c>
      <c r="J257">
        <v>1</v>
      </c>
      <c r="K257" t="s">
        <v>55</v>
      </c>
      <c r="L257" t="s">
        <v>55</v>
      </c>
      <c r="M257" t="s">
        <v>56</v>
      </c>
      <c r="N257">
        <v>1643379880.4200001</v>
      </c>
      <c r="O257">
        <v>0.22500000000000001</v>
      </c>
      <c r="P257">
        <v>0.41499999999999998</v>
      </c>
      <c r="Q257">
        <v>54.036000000000001</v>
      </c>
      <c r="R257">
        <v>0</v>
      </c>
      <c r="S257">
        <v>1E-3</v>
      </c>
      <c r="T257">
        <v>1.306</v>
      </c>
      <c r="U257">
        <v>90.513999999999996</v>
      </c>
      <c r="V257">
        <v>25.617000000000001</v>
      </c>
      <c r="W257">
        <v>2.3149999999999999</v>
      </c>
      <c r="X257">
        <v>85.653999999999996</v>
      </c>
      <c r="Y257">
        <v>0.93300000000000005</v>
      </c>
      <c r="Z257">
        <v>1.042</v>
      </c>
      <c r="AA257">
        <v>0</v>
      </c>
      <c r="AB257">
        <v>0</v>
      </c>
      <c r="AC257">
        <v>1</v>
      </c>
      <c r="AD257">
        <v>39.561999999999998</v>
      </c>
      <c r="AE257">
        <v>1</v>
      </c>
      <c r="AF257">
        <v>33</v>
      </c>
      <c r="AG257">
        <v>3</v>
      </c>
      <c r="AH257" t="s">
        <v>84</v>
      </c>
      <c r="AI257">
        <v>0</v>
      </c>
    </row>
    <row r="258" spans="1:35" x14ac:dyDescent="0.45">
      <c r="A258">
        <v>257</v>
      </c>
      <c r="B258" t="s">
        <v>415</v>
      </c>
      <c r="C258" t="s">
        <v>426</v>
      </c>
      <c r="D258" t="s">
        <v>116</v>
      </c>
      <c r="E258">
        <v>11</v>
      </c>
      <c r="F258">
        <v>-4.6130000000000004</v>
      </c>
      <c r="G258">
        <v>-22.57</v>
      </c>
      <c r="H258">
        <v>16355</v>
      </c>
      <c r="I258">
        <v>0</v>
      </c>
      <c r="J258">
        <v>1</v>
      </c>
      <c r="K258" t="s">
        <v>55</v>
      </c>
      <c r="L258" t="s">
        <v>55</v>
      </c>
      <c r="M258" t="s">
        <v>56</v>
      </c>
      <c r="N258">
        <v>1643380416.6600001</v>
      </c>
      <c r="O258">
        <v>0.22500000000000001</v>
      </c>
      <c r="P258">
        <v>0.434</v>
      </c>
      <c r="Q258">
        <v>54.326000000000001</v>
      </c>
      <c r="R258">
        <v>1E-3</v>
      </c>
      <c r="S258">
        <v>1E-3</v>
      </c>
      <c r="T258">
        <v>1.306</v>
      </c>
      <c r="U258">
        <v>90.769000000000005</v>
      </c>
      <c r="V258">
        <v>25.1</v>
      </c>
      <c r="W258">
        <v>2.3820000000000001</v>
      </c>
      <c r="X258">
        <v>87.272999999999996</v>
      </c>
      <c r="Y258">
        <v>0.93600000000000005</v>
      </c>
      <c r="Z258">
        <v>1.2290000000000001</v>
      </c>
      <c r="AA258">
        <v>0</v>
      </c>
      <c r="AB258">
        <v>0</v>
      </c>
      <c r="AC258">
        <v>1</v>
      </c>
      <c r="AD258">
        <v>39.561999999999998</v>
      </c>
      <c r="AE258">
        <v>1</v>
      </c>
      <c r="AF258">
        <v>33</v>
      </c>
      <c r="AG258">
        <v>3</v>
      </c>
      <c r="AH258" t="s">
        <v>84</v>
      </c>
      <c r="AI258">
        <v>0</v>
      </c>
    </row>
    <row r="259" spans="1:35" x14ac:dyDescent="0.45">
      <c r="A259">
        <v>258</v>
      </c>
      <c r="B259" t="s">
        <v>415</v>
      </c>
      <c r="C259" t="s">
        <v>427</v>
      </c>
      <c r="D259" t="s">
        <v>116</v>
      </c>
      <c r="E259">
        <v>12</v>
      </c>
      <c r="F259">
        <v>-4.5659999999999998</v>
      </c>
      <c r="G259">
        <v>-22.545000000000002</v>
      </c>
      <c r="H259">
        <v>16336</v>
      </c>
      <c r="I259">
        <v>0</v>
      </c>
      <c r="J259">
        <v>1</v>
      </c>
      <c r="K259" t="s">
        <v>55</v>
      </c>
      <c r="L259" t="s">
        <v>55</v>
      </c>
      <c r="M259" t="s">
        <v>56</v>
      </c>
      <c r="N259">
        <v>1643380954.0599999</v>
      </c>
      <c r="O259">
        <v>0.214</v>
      </c>
      <c r="P259">
        <v>0.42499999999999999</v>
      </c>
      <c r="Q259">
        <v>54.314</v>
      </c>
      <c r="R259">
        <v>1E-3</v>
      </c>
      <c r="S259">
        <v>-1E-3</v>
      </c>
      <c r="T259">
        <v>1.3120000000000001</v>
      </c>
      <c r="U259">
        <v>90.742999999999995</v>
      </c>
      <c r="V259">
        <v>25.056999999999999</v>
      </c>
      <c r="W259">
        <v>2.35</v>
      </c>
      <c r="X259">
        <v>86.978999999999999</v>
      </c>
      <c r="Y259">
        <v>0.92800000000000005</v>
      </c>
      <c r="Z259">
        <v>1.0429999999999999</v>
      </c>
      <c r="AA259">
        <v>0</v>
      </c>
      <c r="AB259">
        <v>0</v>
      </c>
      <c r="AC259">
        <v>1</v>
      </c>
      <c r="AD259">
        <v>39.561999999999998</v>
      </c>
      <c r="AE259">
        <v>1</v>
      </c>
      <c r="AF259">
        <v>33</v>
      </c>
      <c r="AG259">
        <v>3</v>
      </c>
      <c r="AH259" t="s">
        <v>84</v>
      </c>
      <c r="AI259">
        <v>0</v>
      </c>
    </row>
    <row r="260" spans="1:35" x14ac:dyDescent="0.45">
      <c r="A260">
        <v>259</v>
      </c>
      <c r="B260" t="s">
        <v>415</v>
      </c>
      <c r="C260" t="s">
        <v>428</v>
      </c>
      <c r="D260" t="s">
        <v>116</v>
      </c>
      <c r="E260">
        <v>13</v>
      </c>
      <c r="F260">
        <v>-4.5659999999999998</v>
      </c>
      <c r="G260">
        <v>-22.484000000000002</v>
      </c>
      <c r="H260">
        <v>16310</v>
      </c>
      <c r="I260">
        <v>0</v>
      </c>
      <c r="J260">
        <v>1</v>
      </c>
      <c r="K260" t="s">
        <v>55</v>
      </c>
      <c r="L260" t="s">
        <v>55</v>
      </c>
      <c r="M260" t="s">
        <v>56</v>
      </c>
      <c r="N260">
        <v>1643381490.0999999</v>
      </c>
      <c r="O260">
        <v>0.20899999999999999</v>
      </c>
      <c r="P260">
        <v>0.42499999999999999</v>
      </c>
      <c r="Q260">
        <v>54.28</v>
      </c>
      <c r="R260">
        <v>0</v>
      </c>
      <c r="S260">
        <v>0</v>
      </c>
      <c r="T260">
        <v>1.3009999999999999</v>
      </c>
      <c r="U260">
        <v>90.632000000000005</v>
      </c>
      <c r="V260">
        <v>25.23</v>
      </c>
      <c r="W260">
        <v>2.298</v>
      </c>
      <c r="X260">
        <v>85.924000000000007</v>
      </c>
      <c r="Y260">
        <v>0.94699999999999995</v>
      </c>
      <c r="Z260">
        <v>0.93500000000000005</v>
      </c>
      <c r="AA260">
        <v>0</v>
      </c>
      <c r="AB260">
        <v>0</v>
      </c>
      <c r="AC260">
        <v>1</v>
      </c>
      <c r="AD260">
        <v>39.625</v>
      </c>
      <c r="AE260">
        <v>1</v>
      </c>
      <c r="AF260">
        <v>33</v>
      </c>
      <c r="AG260">
        <v>3</v>
      </c>
      <c r="AH260" t="s">
        <v>84</v>
      </c>
      <c r="AI260">
        <v>0</v>
      </c>
    </row>
    <row r="261" spans="1:35" x14ac:dyDescent="0.45">
      <c r="A261">
        <v>260</v>
      </c>
      <c r="B261" t="s">
        <v>415</v>
      </c>
      <c r="C261" t="s">
        <v>429</v>
      </c>
      <c r="D261" t="s">
        <v>116</v>
      </c>
      <c r="E261">
        <v>14</v>
      </c>
      <c r="F261">
        <v>-4.58</v>
      </c>
      <c r="G261">
        <v>-22.684000000000001</v>
      </c>
      <c r="H261">
        <v>16285</v>
      </c>
      <c r="I261">
        <v>0</v>
      </c>
      <c r="J261">
        <v>1</v>
      </c>
      <c r="K261" t="s">
        <v>55</v>
      </c>
      <c r="L261" t="s">
        <v>55</v>
      </c>
      <c r="M261" t="s">
        <v>56</v>
      </c>
      <c r="N261">
        <v>1643382027.8699999</v>
      </c>
      <c r="O261">
        <v>0.19500000000000001</v>
      </c>
      <c r="P261">
        <v>0.41199999999999998</v>
      </c>
      <c r="Q261">
        <v>54.143999999999998</v>
      </c>
      <c r="R261">
        <v>0</v>
      </c>
      <c r="S261">
        <v>-1E-3</v>
      </c>
      <c r="T261">
        <v>1.3089999999999999</v>
      </c>
      <c r="U261">
        <v>90.614999999999995</v>
      </c>
      <c r="V261">
        <v>24.724</v>
      </c>
      <c r="W261">
        <v>2.3069999999999999</v>
      </c>
      <c r="X261">
        <v>86.575000000000003</v>
      </c>
      <c r="Y261">
        <v>0.93600000000000005</v>
      </c>
      <c r="Z261">
        <v>1.012</v>
      </c>
      <c r="AA261">
        <v>0</v>
      </c>
      <c r="AB261">
        <v>0</v>
      </c>
      <c r="AC261">
        <v>1</v>
      </c>
      <c r="AD261">
        <v>39.625</v>
      </c>
      <c r="AE261">
        <v>1</v>
      </c>
      <c r="AF261">
        <v>33</v>
      </c>
      <c r="AG261">
        <v>3</v>
      </c>
      <c r="AH261" t="s">
        <v>84</v>
      </c>
      <c r="AI261">
        <v>0</v>
      </c>
    </row>
    <row r="262" spans="1:35" x14ac:dyDescent="0.45">
      <c r="A262">
        <v>261</v>
      </c>
      <c r="B262" t="s">
        <v>415</v>
      </c>
      <c r="C262" t="s">
        <v>430</v>
      </c>
      <c r="D262" t="s">
        <v>116</v>
      </c>
      <c r="E262">
        <v>15</v>
      </c>
      <c r="F262">
        <v>-4.5730000000000004</v>
      </c>
      <c r="G262">
        <v>-22.555</v>
      </c>
      <c r="H262">
        <v>16398</v>
      </c>
      <c r="I262">
        <v>0</v>
      </c>
      <c r="J262">
        <v>1</v>
      </c>
      <c r="K262" t="s">
        <v>55</v>
      </c>
      <c r="L262" t="s">
        <v>55</v>
      </c>
      <c r="M262" t="s">
        <v>56</v>
      </c>
      <c r="N262">
        <v>1643382564.28</v>
      </c>
      <c r="O262">
        <v>0.192</v>
      </c>
      <c r="P262">
        <v>0.41599999999999998</v>
      </c>
      <c r="Q262">
        <v>55.192999999999998</v>
      </c>
      <c r="R262">
        <v>1E-3</v>
      </c>
      <c r="S262">
        <v>1E-3</v>
      </c>
      <c r="T262">
        <v>1.3149999999999999</v>
      </c>
      <c r="U262">
        <v>91.144000000000005</v>
      </c>
      <c r="V262">
        <v>25.081</v>
      </c>
      <c r="W262">
        <v>2.327</v>
      </c>
      <c r="X262">
        <v>87.084999999999994</v>
      </c>
      <c r="Y262">
        <v>0.93400000000000005</v>
      </c>
      <c r="Z262">
        <v>1.105</v>
      </c>
      <c r="AA262">
        <v>0</v>
      </c>
      <c r="AB262">
        <v>0</v>
      </c>
      <c r="AC262">
        <v>1</v>
      </c>
      <c r="AD262">
        <v>39.625</v>
      </c>
      <c r="AE262">
        <v>1</v>
      </c>
      <c r="AF262">
        <v>33</v>
      </c>
      <c r="AG262">
        <v>3</v>
      </c>
      <c r="AH262" t="s">
        <v>84</v>
      </c>
      <c r="AI262">
        <v>0</v>
      </c>
    </row>
    <row r="263" spans="1:35" x14ac:dyDescent="0.45">
      <c r="A263">
        <v>262</v>
      </c>
      <c r="B263" t="s">
        <v>431</v>
      </c>
      <c r="C263" t="s">
        <v>432</v>
      </c>
      <c r="D263" t="s">
        <v>117</v>
      </c>
      <c r="E263">
        <v>1</v>
      </c>
      <c r="F263">
        <v>-7.7670000000000003</v>
      </c>
      <c r="G263">
        <v>-49.155000000000001</v>
      </c>
      <c r="H263">
        <v>16420</v>
      </c>
      <c r="I263">
        <v>-1</v>
      </c>
      <c r="J263">
        <v>1</v>
      </c>
      <c r="K263" t="s">
        <v>55</v>
      </c>
      <c r="L263" t="s">
        <v>55</v>
      </c>
      <c r="M263" t="s">
        <v>56</v>
      </c>
      <c r="N263">
        <v>1643383100.02</v>
      </c>
      <c r="O263">
        <v>0.21299999999999999</v>
      </c>
      <c r="P263">
        <v>0.45700000000000002</v>
      </c>
      <c r="Q263">
        <v>53.531999999999996</v>
      </c>
      <c r="R263">
        <v>1E-3</v>
      </c>
      <c r="S263">
        <v>3.0000000000000001E-3</v>
      </c>
      <c r="T263">
        <v>1.2949999999999999</v>
      </c>
      <c r="U263">
        <v>91.034000000000006</v>
      </c>
      <c r="V263">
        <v>25.690999999999999</v>
      </c>
      <c r="W263">
        <v>2.3479999999999999</v>
      </c>
      <c r="X263">
        <v>87.209000000000003</v>
      </c>
      <c r="Y263">
        <v>0.94099999999999995</v>
      </c>
      <c r="Z263">
        <v>1.2430000000000001</v>
      </c>
      <c r="AA263">
        <v>0</v>
      </c>
      <c r="AB263">
        <v>0</v>
      </c>
      <c r="AC263">
        <v>1</v>
      </c>
      <c r="AD263">
        <v>39.688000000000002</v>
      </c>
      <c r="AE263">
        <v>1</v>
      </c>
      <c r="AF263">
        <v>34</v>
      </c>
      <c r="AG263">
        <v>3</v>
      </c>
      <c r="AH263" t="s">
        <v>84</v>
      </c>
      <c r="AI263">
        <v>0</v>
      </c>
    </row>
    <row r="264" spans="1:35" x14ac:dyDescent="0.45">
      <c r="A264">
        <v>263</v>
      </c>
      <c r="B264" t="s">
        <v>431</v>
      </c>
      <c r="C264" t="s">
        <v>433</v>
      </c>
      <c r="D264" t="s">
        <v>117</v>
      </c>
      <c r="E264">
        <v>2</v>
      </c>
      <c r="F264">
        <v>-7.9710000000000001</v>
      </c>
      <c r="G264">
        <v>-51.661000000000001</v>
      </c>
      <c r="H264">
        <v>16253</v>
      </c>
      <c r="I264">
        <v>-1</v>
      </c>
      <c r="J264">
        <v>1</v>
      </c>
      <c r="K264" t="s">
        <v>55</v>
      </c>
      <c r="L264" t="s">
        <v>55</v>
      </c>
      <c r="M264" t="s">
        <v>56</v>
      </c>
      <c r="N264">
        <v>1643383638.27</v>
      </c>
      <c r="O264">
        <v>0.20499999999999999</v>
      </c>
      <c r="P264">
        <v>0.41599999999999998</v>
      </c>
      <c r="Q264">
        <v>54.823999999999998</v>
      </c>
      <c r="R264">
        <v>1E-3</v>
      </c>
      <c r="S264">
        <v>2E-3</v>
      </c>
      <c r="T264">
        <v>1.3240000000000001</v>
      </c>
      <c r="U264">
        <v>90.320999999999998</v>
      </c>
      <c r="V264">
        <v>24.702999999999999</v>
      </c>
      <c r="W264">
        <v>2.3359999999999999</v>
      </c>
      <c r="X264">
        <v>87.013000000000005</v>
      </c>
      <c r="Y264">
        <v>0.93</v>
      </c>
      <c r="Z264">
        <v>1.1279999999999999</v>
      </c>
      <c r="AA264">
        <v>0</v>
      </c>
      <c r="AB264">
        <v>0</v>
      </c>
      <c r="AC264">
        <v>1</v>
      </c>
      <c r="AD264">
        <v>39.688000000000002</v>
      </c>
      <c r="AE264">
        <v>1</v>
      </c>
      <c r="AF264">
        <v>34</v>
      </c>
      <c r="AG264">
        <v>3</v>
      </c>
      <c r="AH264" t="s">
        <v>84</v>
      </c>
      <c r="AI264">
        <v>0</v>
      </c>
    </row>
    <row r="265" spans="1:35" x14ac:dyDescent="0.45">
      <c r="A265">
        <v>264</v>
      </c>
      <c r="B265" t="s">
        <v>431</v>
      </c>
      <c r="C265" t="s">
        <v>434</v>
      </c>
      <c r="D265" t="s">
        <v>117</v>
      </c>
      <c r="E265">
        <v>3</v>
      </c>
      <c r="F265">
        <v>-7.9560000000000004</v>
      </c>
      <c r="G265">
        <v>-52.054000000000002</v>
      </c>
      <c r="H265">
        <v>16355</v>
      </c>
      <c r="I265">
        <v>-1</v>
      </c>
      <c r="J265">
        <v>1</v>
      </c>
      <c r="K265" t="s">
        <v>55</v>
      </c>
      <c r="L265" t="s">
        <v>55</v>
      </c>
      <c r="M265" t="s">
        <v>56</v>
      </c>
      <c r="N265">
        <v>1643384173.3499999</v>
      </c>
      <c r="O265">
        <v>0.191</v>
      </c>
      <c r="P265">
        <v>0.4</v>
      </c>
      <c r="Q265">
        <v>53.201000000000001</v>
      </c>
      <c r="R265">
        <v>1E-3</v>
      </c>
      <c r="S265">
        <v>0</v>
      </c>
      <c r="T265">
        <v>1.2909999999999999</v>
      </c>
      <c r="U265">
        <v>90.888999999999996</v>
      </c>
      <c r="V265">
        <v>25.271999999999998</v>
      </c>
      <c r="W265">
        <v>2.2850000000000001</v>
      </c>
      <c r="X265">
        <v>86.334999999999994</v>
      </c>
      <c r="Y265">
        <v>0.94599999999999995</v>
      </c>
      <c r="Z265">
        <v>1</v>
      </c>
      <c r="AA265">
        <v>0</v>
      </c>
      <c r="AB265">
        <v>0</v>
      </c>
      <c r="AC265">
        <v>1</v>
      </c>
      <c r="AD265">
        <v>39.688000000000002</v>
      </c>
      <c r="AE265">
        <v>1</v>
      </c>
      <c r="AF265">
        <v>34</v>
      </c>
      <c r="AG265">
        <v>3</v>
      </c>
      <c r="AH265" t="s">
        <v>84</v>
      </c>
      <c r="AI265">
        <v>0</v>
      </c>
    </row>
    <row r="266" spans="1:35" x14ac:dyDescent="0.45">
      <c r="A266">
        <v>265</v>
      </c>
      <c r="B266" t="s">
        <v>431</v>
      </c>
      <c r="C266" t="s">
        <v>435</v>
      </c>
      <c r="D266" t="s">
        <v>117</v>
      </c>
      <c r="E266">
        <v>4</v>
      </c>
      <c r="F266">
        <v>-7.9740000000000002</v>
      </c>
      <c r="G266">
        <v>-52.220999999999997</v>
      </c>
      <c r="H266">
        <v>16373</v>
      </c>
      <c r="I266">
        <v>0</v>
      </c>
      <c r="J266">
        <v>1</v>
      </c>
      <c r="K266" t="s">
        <v>55</v>
      </c>
      <c r="L266" t="s">
        <v>55</v>
      </c>
      <c r="M266" t="s">
        <v>56</v>
      </c>
      <c r="N266">
        <v>1643384711.3800001</v>
      </c>
      <c r="O266">
        <v>0.19900000000000001</v>
      </c>
      <c r="P266">
        <v>0.44600000000000001</v>
      </c>
      <c r="Q266">
        <v>55.247</v>
      </c>
      <c r="R266">
        <v>1E-3</v>
      </c>
      <c r="S266">
        <v>3.0000000000000001E-3</v>
      </c>
      <c r="T266">
        <v>1.3320000000000001</v>
      </c>
      <c r="U266">
        <v>90.91</v>
      </c>
      <c r="V266">
        <v>24.831</v>
      </c>
      <c r="W266">
        <v>2.3889999999999998</v>
      </c>
      <c r="X266">
        <v>88.385000000000005</v>
      </c>
      <c r="Y266">
        <v>0.94</v>
      </c>
      <c r="Z266">
        <v>1.375</v>
      </c>
      <c r="AA266">
        <v>0</v>
      </c>
      <c r="AB266">
        <v>0</v>
      </c>
      <c r="AC266">
        <v>1</v>
      </c>
      <c r="AD266">
        <v>39.688000000000002</v>
      </c>
      <c r="AE266">
        <v>1</v>
      </c>
      <c r="AF266">
        <v>34</v>
      </c>
      <c r="AG266">
        <v>3</v>
      </c>
      <c r="AH266" t="s">
        <v>84</v>
      </c>
      <c r="AI266">
        <v>0</v>
      </c>
    </row>
    <row r="267" spans="1:35" x14ac:dyDescent="0.45">
      <c r="A267">
        <v>266</v>
      </c>
      <c r="B267" t="s">
        <v>431</v>
      </c>
      <c r="C267" t="s">
        <v>436</v>
      </c>
      <c r="D267" t="s">
        <v>117</v>
      </c>
      <c r="E267">
        <v>5</v>
      </c>
      <c r="F267">
        <v>-7.9859999999999998</v>
      </c>
      <c r="G267">
        <v>-52.369</v>
      </c>
      <c r="H267">
        <v>16328</v>
      </c>
      <c r="I267">
        <v>0</v>
      </c>
      <c r="J267">
        <v>1</v>
      </c>
      <c r="K267" t="s">
        <v>55</v>
      </c>
      <c r="L267" t="s">
        <v>55</v>
      </c>
      <c r="M267" t="s">
        <v>56</v>
      </c>
      <c r="N267">
        <v>1643385246.73</v>
      </c>
      <c r="O267">
        <v>0.19</v>
      </c>
      <c r="P267">
        <v>0.372</v>
      </c>
      <c r="Q267">
        <v>54.039000000000001</v>
      </c>
      <c r="R267">
        <v>-1E-3</v>
      </c>
      <c r="S267">
        <v>2E-3</v>
      </c>
      <c r="T267">
        <v>1.304</v>
      </c>
      <c r="U267">
        <v>90.617000000000004</v>
      </c>
      <c r="V267">
        <v>25.088999999999999</v>
      </c>
      <c r="W267">
        <v>2.327</v>
      </c>
      <c r="X267">
        <v>87.442999999999998</v>
      </c>
      <c r="Y267">
        <v>0.94799999999999995</v>
      </c>
      <c r="Z267">
        <v>1.202</v>
      </c>
      <c r="AA267">
        <v>0</v>
      </c>
      <c r="AB267">
        <v>0</v>
      </c>
      <c r="AC267">
        <v>1</v>
      </c>
      <c r="AD267">
        <v>39.75</v>
      </c>
      <c r="AE267">
        <v>1</v>
      </c>
      <c r="AF267">
        <v>34</v>
      </c>
      <c r="AG267">
        <v>3</v>
      </c>
      <c r="AH267" t="s">
        <v>84</v>
      </c>
      <c r="AI267">
        <v>0</v>
      </c>
    </row>
    <row r="268" spans="1:35" x14ac:dyDescent="0.45">
      <c r="A268">
        <v>267</v>
      </c>
      <c r="B268" t="s">
        <v>431</v>
      </c>
      <c r="C268" t="s">
        <v>437</v>
      </c>
      <c r="D268" t="s">
        <v>117</v>
      </c>
      <c r="E268">
        <v>6</v>
      </c>
      <c r="F268">
        <v>-7.9729999999999999</v>
      </c>
      <c r="G268">
        <v>-52.401000000000003</v>
      </c>
      <c r="H268">
        <v>16398</v>
      </c>
      <c r="I268">
        <v>0</v>
      </c>
      <c r="J268">
        <v>1</v>
      </c>
      <c r="K268" t="s">
        <v>55</v>
      </c>
      <c r="L268" t="s">
        <v>55</v>
      </c>
      <c r="M268" t="s">
        <v>56</v>
      </c>
      <c r="N268">
        <v>1643385785.3099999</v>
      </c>
      <c r="O268">
        <v>0.216</v>
      </c>
      <c r="P268">
        <v>0.42599999999999999</v>
      </c>
      <c r="Q268">
        <v>54.798000000000002</v>
      </c>
      <c r="R268">
        <v>1E-3</v>
      </c>
      <c r="S268">
        <v>1E-3</v>
      </c>
      <c r="T268">
        <v>1.323</v>
      </c>
      <c r="U268">
        <v>91.278999999999996</v>
      </c>
      <c r="V268">
        <v>25.055</v>
      </c>
      <c r="W268">
        <v>2.2999999999999998</v>
      </c>
      <c r="X268">
        <v>86.855000000000004</v>
      </c>
      <c r="Y268">
        <v>0.95199999999999996</v>
      </c>
      <c r="Z268">
        <v>1.073</v>
      </c>
      <c r="AA268">
        <v>0</v>
      </c>
      <c r="AB268">
        <v>0</v>
      </c>
      <c r="AC268">
        <v>1</v>
      </c>
      <c r="AD268">
        <v>39.75</v>
      </c>
      <c r="AE268">
        <v>1</v>
      </c>
      <c r="AF268">
        <v>34</v>
      </c>
      <c r="AG268">
        <v>3</v>
      </c>
      <c r="AH268" t="s">
        <v>84</v>
      </c>
      <c r="AI268">
        <v>0</v>
      </c>
    </row>
    <row r="269" spans="1:35" x14ac:dyDescent="0.45">
      <c r="A269">
        <v>268</v>
      </c>
      <c r="B269" t="s">
        <v>431</v>
      </c>
      <c r="C269" t="s">
        <v>438</v>
      </c>
      <c r="D269" t="s">
        <v>117</v>
      </c>
      <c r="E269">
        <v>7</v>
      </c>
      <c r="F269">
        <v>-7.9820000000000002</v>
      </c>
      <c r="G269">
        <v>-52.56</v>
      </c>
      <c r="H269">
        <v>16351</v>
      </c>
      <c r="I269">
        <v>0</v>
      </c>
      <c r="J269">
        <v>1</v>
      </c>
      <c r="K269" t="s">
        <v>55</v>
      </c>
      <c r="L269" t="s">
        <v>55</v>
      </c>
      <c r="M269" t="s">
        <v>56</v>
      </c>
      <c r="N269">
        <v>1643386320.72</v>
      </c>
      <c r="O269">
        <v>0.215</v>
      </c>
      <c r="P269">
        <v>0.44900000000000001</v>
      </c>
      <c r="Q269">
        <v>54.631</v>
      </c>
      <c r="R269">
        <v>1E-3</v>
      </c>
      <c r="S269">
        <v>2E-3</v>
      </c>
      <c r="T269">
        <v>1.3029999999999999</v>
      </c>
      <c r="U269">
        <v>90.762</v>
      </c>
      <c r="V269">
        <v>25.285</v>
      </c>
      <c r="W269">
        <v>2.339</v>
      </c>
      <c r="X269">
        <v>86.745999999999995</v>
      </c>
      <c r="Y269">
        <v>0.96599999999999997</v>
      </c>
      <c r="Z269">
        <v>1.1659999999999999</v>
      </c>
      <c r="AA269">
        <v>0</v>
      </c>
      <c r="AB269">
        <v>0</v>
      </c>
      <c r="AC269">
        <v>1</v>
      </c>
      <c r="AD269">
        <v>39.75</v>
      </c>
      <c r="AE269">
        <v>1</v>
      </c>
      <c r="AF269">
        <v>34</v>
      </c>
      <c r="AG269">
        <v>3</v>
      </c>
      <c r="AH269" t="s">
        <v>84</v>
      </c>
      <c r="AI269">
        <v>0</v>
      </c>
    </row>
    <row r="270" spans="1:35" x14ac:dyDescent="0.45">
      <c r="A270">
        <v>269</v>
      </c>
      <c r="B270" t="s">
        <v>431</v>
      </c>
      <c r="C270" t="s">
        <v>439</v>
      </c>
      <c r="D270" t="s">
        <v>117</v>
      </c>
      <c r="E270">
        <v>8</v>
      </c>
      <c r="F270">
        <v>-7.984</v>
      </c>
      <c r="G270">
        <v>-52.55</v>
      </c>
      <c r="H270">
        <v>16320</v>
      </c>
      <c r="I270">
        <v>0</v>
      </c>
      <c r="J270">
        <v>1</v>
      </c>
      <c r="K270" t="s">
        <v>55</v>
      </c>
      <c r="L270" t="s">
        <v>55</v>
      </c>
      <c r="M270" t="s">
        <v>56</v>
      </c>
      <c r="N270">
        <v>1643386857.6600001</v>
      </c>
      <c r="O270">
        <v>0.19500000000000001</v>
      </c>
      <c r="P270">
        <v>0.39900000000000002</v>
      </c>
      <c r="Q270">
        <v>54.09</v>
      </c>
      <c r="R270">
        <v>0</v>
      </c>
      <c r="S270">
        <v>0</v>
      </c>
      <c r="T270">
        <v>1.3120000000000001</v>
      </c>
      <c r="U270">
        <v>90.596999999999994</v>
      </c>
      <c r="V270">
        <v>24.835999999999999</v>
      </c>
      <c r="W270">
        <v>2.3580000000000001</v>
      </c>
      <c r="X270">
        <v>87.861000000000004</v>
      </c>
      <c r="Y270">
        <v>0.93799999999999994</v>
      </c>
      <c r="Z270">
        <v>1.357</v>
      </c>
      <c r="AA270">
        <v>0</v>
      </c>
      <c r="AB270">
        <v>0</v>
      </c>
      <c r="AC270">
        <v>1</v>
      </c>
      <c r="AD270">
        <v>39.75</v>
      </c>
      <c r="AE270">
        <v>1</v>
      </c>
      <c r="AF270">
        <v>34</v>
      </c>
      <c r="AG270">
        <v>3</v>
      </c>
      <c r="AH270" t="s">
        <v>84</v>
      </c>
      <c r="AI270">
        <v>0</v>
      </c>
    </row>
    <row r="271" spans="1:35" x14ac:dyDescent="0.45">
      <c r="A271">
        <v>270</v>
      </c>
      <c r="B271" t="s">
        <v>431</v>
      </c>
      <c r="C271" t="s">
        <v>440</v>
      </c>
      <c r="D271" t="s">
        <v>117</v>
      </c>
      <c r="E271">
        <v>9</v>
      </c>
      <c r="F271">
        <v>-8.0069999999999997</v>
      </c>
      <c r="G271">
        <v>-52.662999999999997</v>
      </c>
      <c r="H271">
        <v>16242</v>
      </c>
      <c r="I271">
        <v>0</v>
      </c>
      <c r="J271">
        <v>1</v>
      </c>
      <c r="K271" t="s">
        <v>55</v>
      </c>
      <c r="L271" t="s">
        <v>55</v>
      </c>
      <c r="M271" t="s">
        <v>56</v>
      </c>
      <c r="N271">
        <v>1643387394.0699999</v>
      </c>
      <c r="O271">
        <v>0.21199999999999999</v>
      </c>
      <c r="P271">
        <v>0.438</v>
      </c>
      <c r="Q271">
        <v>54.942</v>
      </c>
      <c r="R271">
        <v>0</v>
      </c>
      <c r="S271">
        <v>2E-3</v>
      </c>
      <c r="T271">
        <v>1.3140000000000001</v>
      </c>
      <c r="U271">
        <v>90.346000000000004</v>
      </c>
      <c r="V271">
        <v>24.72</v>
      </c>
      <c r="W271">
        <v>2.351</v>
      </c>
      <c r="X271">
        <v>86.213999999999999</v>
      </c>
      <c r="Y271">
        <v>0.95799999999999996</v>
      </c>
      <c r="Z271">
        <v>1.0780000000000001</v>
      </c>
      <c r="AA271">
        <v>0</v>
      </c>
      <c r="AB271">
        <v>0</v>
      </c>
      <c r="AC271">
        <v>1</v>
      </c>
      <c r="AD271">
        <v>39.75</v>
      </c>
      <c r="AE271">
        <v>1</v>
      </c>
      <c r="AF271">
        <v>34</v>
      </c>
      <c r="AG271">
        <v>3</v>
      </c>
      <c r="AH271" t="s">
        <v>84</v>
      </c>
      <c r="AI271">
        <v>0</v>
      </c>
    </row>
    <row r="272" spans="1:35" x14ac:dyDescent="0.45">
      <c r="A272">
        <v>271</v>
      </c>
      <c r="B272" t="s">
        <v>431</v>
      </c>
      <c r="C272" t="s">
        <v>441</v>
      </c>
      <c r="D272" t="s">
        <v>117</v>
      </c>
      <c r="E272">
        <v>10</v>
      </c>
      <c r="F272">
        <v>-8.0139999999999993</v>
      </c>
      <c r="G272">
        <v>-52.594000000000001</v>
      </c>
      <c r="H272">
        <v>16231</v>
      </c>
      <c r="I272">
        <v>0</v>
      </c>
      <c r="J272">
        <v>1</v>
      </c>
      <c r="K272" t="s">
        <v>55</v>
      </c>
      <c r="L272" t="s">
        <v>55</v>
      </c>
      <c r="M272" t="s">
        <v>56</v>
      </c>
      <c r="N272">
        <v>1643387930.3399999</v>
      </c>
      <c r="O272">
        <v>0.221</v>
      </c>
      <c r="P272">
        <v>0.41399999999999998</v>
      </c>
      <c r="Q272">
        <v>53.597000000000001</v>
      </c>
      <c r="R272">
        <v>1E-3</v>
      </c>
      <c r="S272">
        <v>1E-3</v>
      </c>
      <c r="T272">
        <v>1.2929999999999999</v>
      </c>
      <c r="U272">
        <v>90.063999999999993</v>
      </c>
      <c r="V272">
        <v>24.734000000000002</v>
      </c>
      <c r="W272">
        <v>2.3610000000000002</v>
      </c>
      <c r="X272">
        <v>87.311000000000007</v>
      </c>
      <c r="Y272">
        <v>0.94799999999999995</v>
      </c>
      <c r="Z272">
        <v>1.2370000000000001</v>
      </c>
      <c r="AA272">
        <v>0</v>
      </c>
      <c r="AB272">
        <v>0</v>
      </c>
      <c r="AC272">
        <v>1</v>
      </c>
      <c r="AD272">
        <v>39.75</v>
      </c>
      <c r="AE272">
        <v>1</v>
      </c>
      <c r="AF272">
        <v>34</v>
      </c>
      <c r="AG272">
        <v>3</v>
      </c>
      <c r="AH272" t="s">
        <v>84</v>
      </c>
      <c r="AI272">
        <v>0</v>
      </c>
    </row>
    <row r="273" spans="1:35" x14ac:dyDescent="0.45">
      <c r="A273">
        <v>272</v>
      </c>
      <c r="B273" t="s">
        <v>431</v>
      </c>
      <c r="C273" t="s">
        <v>442</v>
      </c>
      <c r="D273" t="s">
        <v>117</v>
      </c>
      <c r="E273">
        <v>11</v>
      </c>
      <c r="F273">
        <v>-8.0190000000000001</v>
      </c>
      <c r="G273">
        <v>-52.625</v>
      </c>
      <c r="H273">
        <v>16488</v>
      </c>
      <c r="I273">
        <v>0</v>
      </c>
      <c r="J273">
        <v>1</v>
      </c>
      <c r="K273" t="s">
        <v>55</v>
      </c>
      <c r="L273" t="s">
        <v>55</v>
      </c>
      <c r="M273" t="s">
        <v>56</v>
      </c>
      <c r="N273">
        <v>1643388467.01</v>
      </c>
      <c r="O273">
        <v>0.20300000000000001</v>
      </c>
      <c r="P273">
        <v>0.443</v>
      </c>
      <c r="Q273">
        <v>54.127000000000002</v>
      </c>
      <c r="R273">
        <v>1E-3</v>
      </c>
      <c r="S273">
        <v>1E-3</v>
      </c>
      <c r="T273">
        <v>1.3089999999999999</v>
      </c>
      <c r="U273">
        <v>91.644000000000005</v>
      </c>
      <c r="V273">
        <v>25.11</v>
      </c>
      <c r="W273">
        <v>2.4039999999999999</v>
      </c>
      <c r="X273">
        <v>88.506</v>
      </c>
      <c r="Y273">
        <v>0.94599999999999995</v>
      </c>
      <c r="Z273">
        <v>1.2969999999999999</v>
      </c>
      <c r="AA273">
        <v>0</v>
      </c>
      <c r="AB273">
        <v>0</v>
      </c>
      <c r="AC273">
        <v>1</v>
      </c>
      <c r="AD273">
        <v>39.75</v>
      </c>
      <c r="AE273">
        <v>1</v>
      </c>
      <c r="AF273">
        <v>34</v>
      </c>
      <c r="AG273">
        <v>3</v>
      </c>
      <c r="AH273" t="s">
        <v>84</v>
      </c>
      <c r="AI273">
        <v>0</v>
      </c>
    </row>
    <row r="274" spans="1:35" x14ac:dyDescent="0.45">
      <c r="A274">
        <v>273</v>
      </c>
      <c r="B274" t="s">
        <v>431</v>
      </c>
      <c r="C274" t="s">
        <v>443</v>
      </c>
      <c r="D274" t="s">
        <v>117</v>
      </c>
      <c r="E274">
        <v>12</v>
      </c>
      <c r="F274">
        <v>-8.0389999999999997</v>
      </c>
      <c r="G274">
        <v>-52.636000000000003</v>
      </c>
      <c r="H274">
        <v>16169</v>
      </c>
      <c r="I274">
        <v>0</v>
      </c>
      <c r="J274">
        <v>1</v>
      </c>
      <c r="K274" t="s">
        <v>55</v>
      </c>
      <c r="L274" t="s">
        <v>55</v>
      </c>
      <c r="M274" t="s">
        <v>56</v>
      </c>
      <c r="N274">
        <v>1643389004.4200001</v>
      </c>
      <c r="O274">
        <v>0.187</v>
      </c>
      <c r="P274">
        <v>0.44500000000000001</v>
      </c>
      <c r="Q274">
        <v>54.939</v>
      </c>
      <c r="R274">
        <v>1E-3</v>
      </c>
      <c r="S274">
        <v>1E-3</v>
      </c>
      <c r="T274">
        <v>1.3180000000000001</v>
      </c>
      <c r="U274">
        <v>89.734999999999999</v>
      </c>
      <c r="V274">
        <v>24.645</v>
      </c>
      <c r="W274">
        <v>2.3460000000000001</v>
      </c>
      <c r="X274">
        <v>86.393000000000001</v>
      </c>
      <c r="Y274">
        <v>0.96499999999999997</v>
      </c>
      <c r="Z274">
        <v>1.18</v>
      </c>
      <c r="AA274">
        <v>0</v>
      </c>
      <c r="AB274">
        <v>0</v>
      </c>
      <c r="AC274">
        <v>1</v>
      </c>
      <c r="AD274">
        <v>39.688000000000002</v>
      </c>
      <c r="AE274">
        <v>1</v>
      </c>
      <c r="AF274">
        <v>34</v>
      </c>
      <c r="AG274">
        <v>3</v>
      </c>
      <c r="AH274" t="s">
        <v>84</v>
      </c>
      <c r="AI274">
        <v>0</v>
      </c>
    </row>
    <row r="275" spans="1:35" x14ac:dyDescent="0.45">
      <c r="A275">
        <v>274</v>
      </c>
      <c r="B275" t="s">
        <v>431</v>
      </c>
      <c r="C275" t="s">
        <v>444</v>
      </c>
      <c r="D275" t="s">
        <v>117</v>
      </c>
      <c r="E275">
        <v>13</v>
      </c>
      <c r="F275">
        <v>-8.0050000000000008</v>
      </c>
      <c r="G275">
        <v>-52.716999999999999</v>
      </c>
      <c r="H275">
        <v>16376</v>
      </c>
      <c r="I275">
        <v>0</v>
      </c>
      <c r="J275">
        <v>1</v>
      </c>
      <c r="K275" t="s">
        <v>55</v>
      </c>
      <c r="L275" t="s">
        <v>55</v>
      </c>
      <c r="M275" t="s">
        <v>56</v>
      </c>
      <c r="N275">
        <v>1643389540.3399999</v>
      </c>
      <c r="O275">
        <v>0.19900000000000001</v>
      </c>
      <c r="P275">
        <v>0.47099999999999997</v>
      </c>
      <c r="Q275">
        <v>54.359000000000002</v>
      </c>
      <c r="R275">
        <v>1E-3</v>
      </c>
      <c r="S275">
        <v>0</v>
      </c>
      <c r="T275">
        <v>1.3</v>
      </c>
      <c r="U275">
        <v>90.915999999999997</v>
      </c>
      <c r="V275">
        <v>25.18</v>
      </c>
      <c r="W275">
        <v>2.3580000000000001</v>
      </c>
      <c r="X275">
        <v>87.567999999999998</v>
      </c>
      <c r="Y275">
        <v>0.95399999999999996</v>
      </c>
      <c r="Z275">
        <v>1.333</v>
      </c>
      <c r="AA275">
        <v>0</v>
      </c>
      <c r="AB275">
        <v>0</v>
      </c>
      <c r="AC275">
        <v>1</v>
      </c>
      <c r="AD275">
        <v>39.688000000000002</v>
      </c>
      <c r="AE275">
        <v>1</v>
      </c>
      <c r="AF275">
        <v>34</v>
      </c>
      <c r="AG275">
        <v>3</v>
      </c>
      <c r="AH275" t="s">
        <v>84</v>
      </c>
      <c r="AI275">
        <v>0</v>
      </c>
    </row>
    <row r="276" spans="1:35" x14ac:dyDescent="0.45">
      <c r="A276">
        <v>275</v>
      </c>
      <c r="B276" t="s">
        <v>431</v>
      </c>
      <c r="C276" t="s">
        <v>445</v>
      </c>
      <c r="D276" t="s">
        <v>117</v>
      </c>
      <c r="E276">
        <v>14</v>
      </c>
      <c r="F276">
        <v>-8.0210000000000008</v>
      </c>
      <c r="G276">
        <v>-52.755000000000003</v>
      </c>
      <c r="H276">
        <v>16283</v>
      </c>
      <c r="I276">
        <v>0</v>
      </c>
      <c r="J276">
        <v>1</v>
      </c>
      <c r="K276" t="s">
        <v>55</v>
      </c>
      <c r="L276" t="s">
        <v>55</v>
      </c>
      <c r="M276" t="s">
        <v>56</v>
      </c>
      <c r="N276">
        <v>1643390078.0699999</v>
      </c>
      <c r="O276">
        <v>0.2</v>
      </c>
      <c r="P276">
        <v>0.33700000000000002</v>
      </c>
      <c r="Q276">
        <v>54.753999999999998</v>
      </c>
      <c r="R276">
        <v>1E-3</v>
      </c>
      <c r="S276">
        <v>0</v>
      </c>
      <c r="T276">
        <v>1.3160000000000001</v>
      </c>
      <c r="U276">
        <v>90.247</v>
      </c>
      <c r="V276">
        <v>25.263999999999999</v>
      </c>
      <c r="W276">
        <v>2.3690000000000002</v>
      </c>
      <c r="X276">
        <v>86.93</v>
      </c>
      <c r="Y276">
        <v>0.96899999999999997</v>
      </c>
      <c r="Z276">
        <v>1.3480000000000001</v>
      </c>
      <c r="AA276">
        <v>0</v>
      </c>
      <c r="AB276">
        <v>0</v>
      </c>
      <c r="AC276">
        <v>1</v>
      </c>
      <c r="AD276">
        <v>39.688000000000002</v>
      </c>
      <c r="AE276">
        <v>1</v>
      </c>
      <c r="AF276">
        <v>34</v>
      </c>
      <c r="AG276">
        <v>3</v>
      </c>
      <c r="AH276" t="s">
        <v>84</v>
      </c>
      <c r="AI276">
        <v>0</v>
      </c>
    </row>
    <row r="277" spans="1:35" x14ac:dyDescent="0.45">
      <c r="A277">
        <v>276</v>
      </c>
      <c r="B277" t="s">
        <v>431</v>
      </c>
      <c r="C277" t="s">
        <v>446</v>
      </c>
      <c r="D277" t="s">
        <v>117</v>
      </c>
      <c r="E277">
        <v>15</v>
      </c>
      <c r="F277">
        <v>-8.01</v>
      </c>
      <c r="G277">
        <v>-52.692999999999998</v>
      </c>
      <c r="H277">
        <v>16483</v>
      </c>
      <c r="I277">
        <v>0</v>
      </c>
      <c r="J277">
        <v>1</v>
      </c>
      <c r="K277" t="s">
        <v>55</v>
      </c>
      <c r="L277" t="s">
        <v>55</v>
      </c>
      <c r="M277" t="s">
        <v>56</v>
      </c>
      <c r="N277">
        <v>1643390615.05</v>
      </c>
      <c r="O277">
        <v>0.19900000000000001</v>
      </c>
      <c r="P277">
        <v>0.42499999999999999</v>
      </c>
      <c r="Q277">
        <v>54.555</v>
      </c>
      <c r="R277">
        <v>0</v>
      </c>
      <c r="S277">
        <v>4.0000000000000001E-3</v>
      </c>
      <c r="T277">
        <v>1.3080000000000001</v>
      </c>
      <c r="U277">
        <v>91.709000000000003</v>
      </c>
      <c r="V277">
        <v>25.297999999999998</v>
      </c>
      <c r="W277">
        <v>2.3370000000000002</v>
      </c>
      <c r="X277">
        <v>87.316000000000003</v>
      </c>
      <c r="Y277">
        <v>0.96399999999999997</v>
      </c>
      <c r="Z277">
        <v>0.97099999999999997</v>
      </c>
      <c r="AA277">
        <v>0</v>
      </c>
      <c r="AB277">
        <v>0</v>
      </c>
      <c r="AC277">
        <v>1</v>
      </c>
      <c r="AD277">
        <v>39.75</v>
      </c>
      <c r="AE277">
        <v>1</v>
      </c>
      <c r="AF277">
        <v>34</v>
      </c>
      <c r="AG277">
        <v>3</v>
      </c>
      <c r="AH277" t="s">
        <v>84</v>
      </c>
      <c r="AI277">
        <v>0</v>
      </c>
    </row>
    <row r="278" spans="1:35" x14ac:dyDescent="0.45">
      <c r="A278">
        <v>277</v>
      </c>
      <c r="B278" t="s">
        <v>447</v>
      </c>
      <c r="C278" t="s">
        <v>448</v>
      </c>
      <c r="D278" t="s">
        <v>118</v>
      </c>
      <c r="E278">
        <v>1</v>
      </c>
      <c r="F278">
        <v>-5.6440000000000001</v>
      </c>
      <c r="G278">
        <v>-32.012</v>
      </c>
      <c r="H278">
        <v>16272</v>
      </c>
      <c r="I278">
        <v>-1</v>
      </c>
      <c r="J278">
        <v>1</v>
      </c>
      <c r="K278" t="s">
        <v>55</v>
      </c>
      <c r="L278" t="s">
        <v>55</v>
      </c>
      <c r="M278" t="s">
        <v>56</v>
      </c>
      <c r="N278">
        <v>1643391150.99</v>
      </c>
      <c r="O278">
        <v>0.193</v>
      </c>
      <c r="P278">
        <v>0.434</v>
      </c>
      <c r="Q278">
        <v>54.484999999999999</v>
      </c>
      <c r="R278">
        <v>0</v>
      </c>
      <c r="S278">
        <v>0</v>
      </c>
      <c r="T278">
        <v>1.3049999999999999</v>
      </c>
      <c r="U278">
        <v>90.472999999999999</v>
      </c>
      <c r="V278">
        <v>24.754999999999999</v>
      </c>
      <c r="W278">
        <v>2.3370000000000002</v>
      </c>
      <c r="X278">
        <v>86.61</v>
      </c>
      <c r="Y278">
        <v>0.95599999999999996</v>
      </c>
      <c r="Z278">
        <v>1.109</v>
      </c>
      <c r="AA278">
        <v>0</v>
      </c>
      <c r="AB278">
        <v>0</v>
      </c>
      <c r="AC278">
        <v>1</v>
      </c>
      <c r="AD278">
        <v>39.75</v>
      </c>
      <c r="AE278">
        <v>1</v>
      </c>
      <c r="AF278">
        <v>35</v>
      </c>
      <c r="AG278">
        <v>3</v>
      </c>
      <c r="AH278" t="s">
        <v>84</v>
      </c>
      <c r="AI278">
        <v>0</v>
      </c>
    </row>
    <row r="279" spans="1:35" x14ac:dyDescent="0.45">
      <c r="A279">
        <v>278</v>
      </c>
      <c r="B279" t="s">
        <v>447</v>
      </c>
      <c r="C279" t="s">
        <v>449</v>
      </c>
      <c r="D279" t="s">
        <v>118</v>
      </c>
      <c r="E279">
        <v>2</v>
      </c>
      <c r="F279">
        <v>-5.5880000000000001</v>
      </c>
      <c r="G279">
        <v>-30.385000000000002</v>
      </c>
      <c r="H279">
        <v>16236</v>
      </c>
      <c r="I279">
        <v>-1</v>
      </c>
      <c r="J279">
        <v>1</v>
      </c>
      <c r="K279" t="s">
        <v>55</v>
      </c>
      <c r="L279" t="s">
        <v>55</v>
      </c>
      <c r="M279" t="s">
        <v>56</v>
      </c>
      <c r="N279">
        <v>1643391688.8199999</v>
      </c>
      <c r="O279">
        <v>0.184</v>
      </c>
      <c r="P279">
        <v>0.39400000000000002</v>
      </c>
      <c r="Q279">
        <v>54.594999999999999</v>
      </c>
      <c r="R279">
        <v>1E-3</v>
      </c>
      <c r="S279">
        <v>-1E-3</v>
      </c>
      <c r="T279">
        <v>1.3140000000000001</v>
      </c>
      <c r="U279">
        <v>90.094999999999999</v>
      </c>
      <c r="V279">
        <v>24.564</v>
      </c>
      <c r="W279">
        <v>2.4060000000000001</v>
      </c>
      <c r="X279">
        <v>87.88</v>
      </c>
      <c r="Y279">
        <v>0.94199999999999995</v>
      </c>
      <c r="Z279">
        <v>1.3160000000000001</v>
      </c>
      <c r="AA279">
        <v>0</v>
      </c>
      <c r="AB279">
        <v>0</v>
      </c>
      <c r="AC279">
        <v>1</v>
      </c>
      <c r="AD279">
        <v>39.75</v>
      </c>
      <c r="AE279">
        <v>1</v>
      </c>
      <c r="AF279">
        <v>35</v>
      </c>
      <c r="AG279">
        <v>3</v>
      </c>
      <c r="AH279" t="s">
        <v>84</v>
      </c>
      <c r="AI279">
        <v>0</v>
      </c>
    </row>
    <row r="280" spans="1:35" x14ac:dyDescent="0.45">
      <c r="A280">
        <v>279</v>
      </c>
      <c r="B280" t="s">
        <v>447</v>
      </c>
      <c r="C280" t="s">
        <v>450</v>
      </c>
      <c r="D280" t="s">
        <v>118</v>
      </c>
      <c r="E280">
        <v>3</v>
      </c>
      <c r="F280">
        <v>-5.5330000000000004</v>
      </c>
      <c r="G280">
        <v>-29.969000000000001</v>
      </c>
      <c r="H280">
        <v>16363</v>
      </c>
      <c r="I280">
        <v>-1</v>
      </c>
      <c r="J280">
        <v>1</v>
      </c>
      <c r="K280" t="s">
        <v>55</v>
      </c>
      <c r="L280" t="s">
        <v>55</v>
      </c>
      <c r="M280" t="s">
        <v>56</v>
      </c>
      <c r="N280">
        <v>1643392224.05</v>
      </c>
      <c r="O280">
        <v>0.18</v>
      </c>
      <c r="P280">
        <v>0.41299999999999998</v>
      </c>
      <c r="Q280">
        <v>54.658999999999999</v>
      </c>
      <c r="R280">
        <v>1E-3</v>
      </c>
      <c r="S280">
        <v>0</v>
      </c>
      <c r="T280">
        <v>1.3049999999999999</v>
      </c>
      <c r="U280">
        <v>91.016999999999996</v>
      </c>
      <c r="V280">
        <v>24.571000000000002</v>
      </c>
      <c r="W280">
        <v>2.4300000000000002</v>
      </c>
      <c r="X280">
        <v>87.872</v>
      </c>
      <c r="Y280">
        <v>0.98</v>
      </c>
      <c r="Z280">
        <v>1.196</v>
      </c>
      <c r="AA280">
        <v>0</v>
      </c>
      <c r="AB280">
        <v>0</v>
      </c>
      <c r="AC280">
        <v>1</v>
      </c>
      <c r="AD280">
        <v>39.75</v>
      </c>
      <c r="AE280">
        <v>1</v>
      </c>
      <c r="AF280">
        <v>35</v>
      </c>
      <c r="AG280">
        <v>3</v>
      </c>
      <c r="AH280" t="s">
        <v>84</v>
      </c>
      <c r="AI280">
        <v>0</v>
      </c>
    </row>
    <row r="281" spans="1:35" x14ac:dyDescent="0.45">
      <c r="A281">
        <v>280</v>
      </c>
      <c r="B281" t="s">
        <v>447</v>
      </c>
      <c r="C281" t="s">
        <v>451</v>
      </c>
      <c r="D281" t="s">
        <v>118</v>
      </c>
      <c r="E281">
        <v>4</v>
      </c>
      <c r="F281">
        <v>-5.5739999999999998</v>
      </c>
      <c r="G281">
        <v>-29.818999999999999</v>
      </c>
      <c r="H281">
        <v>16294</v>
      </c>
      <c r="I281">
        <v>0</v>
      </c>
      <c r="J281">
        <v>1</v>
      </c>
      <c r="K281" t="s">
        <v>55</v>
      </c>
      <c r="L281" t="s">
        <v>55</v>
      </c>
      <c r="M281" t="s">
        <v>56</v>
      </c>
      <c r="N281">
        <v>1643392761.21</v>
      </c>
      <c r="O281">
        <v>0.19800000000000001</v>
      </c>
      <c r="P281">
        <v>0.36699999999999999</v>
      </c>
      <c r="Q281">
        <v>54.38</v>
      </c>
      <c r="R281">
        <v>1E-3</v>
      </c>
      <c r="S281">
        <v>0</v>
      </c>
      <c r="T281">
        <v>1.3149999999999999</v>
      </c>
      <c r="U281">
        <v>90.704999999999998</v>
      </c>
      <c r="V281">
        <v>24.768999999999998</v>
      </c>
      <c r="W281">
        <v>2.3170000000000002</v>
      </c>
      <c r="X281">
        <v>86.138999999999996</v>
      </c>
      <c r="Y281">
        <v>0.94499999999999995</v>
      </c>
      <c r="Z281">
        <v>1.024</v>
      </c>
      <c r="AA281">
        <v>0</v>
      </c>
      <c r="AB281">
        <v>0</v>
      </c>
      <c r="AC281">
        <v>1</v>
      </c>
      <c r="AD281">
        <v>39.75</v>
      </c>
      <c r="AE281">
        <v>1</v>
      </c>
      <c r="AF281">
        <v>35</v>
      </c>
      <c r="AG281">
        <v>3</v>
      </c>
      <c r="AH281" t="s">
        <v>84</v>
      </c>
      <c r="AI281">
        <v>0</v>
      </c>
    </row>
    <row r="282" spans="1:35" x14ac:dyDescent="0.45">
      <c r="A282">
        <v>281</v>
      </c>
      <c r="B282" t="s">
        <v>447</v>
      </c>
      <c r="C282" t="s">
        <v>452</v>
      </c>
      <c r="D282" t="s">
        <v>118</v>
      </c>
      <c r="E282">
        <v>5</v>
      </c>
      <c r="F282">
        <v>-5.55</v>
      </c>
      <c r="G282">
        <v>-29.77</v>
      </c>
      <c r="H282">
        <v>16343</v>
      </c>
      <c r="I282">
        <v>0</v>
      </c>
      <c r="J282">
        <v>1</v>
      </c>
      <c r="K282" t="s">
        <v>55</v>
      </c>
      <c r="L282" t="s">
        <v>55</v>
      </c>
      <c r="M282" t="s">
        <v>56</v>
      </c>
      <c r="N282">
        <v>1643393298.0999999</v>
      </c>
      <c r="O282">
        <v>0.20399999999999999</v>
      </c>
      <c r="P282">
        <v>0.38800000000000001</v>
      </c>
      <c r="Q282">
        <v>54.636000000000003</v>
      </c>
      <c r="R282">
        <v>0</v>
      </c>
      <c r="S282">
        <v>-1E-3</v>
      </c>
      <c r="T282">
        <v>1.3149999999999999</v>
      </c>
      <c r="U282">
        <v>90.677000000000007</v>
      </c>
      <c r="V282">
        <v>24.853999999999999</v>
      </c>
      <c r="W282">
        <v>2.38</v>
      </c>
      <c r="X282">
        <v>88.363</v>
      </c>
      <c r="Y282">
        <v>0.94299999999999995</v>
      </c>
      <c r="Z282">
        <v>1.258</v>
      </c>
      <c r="AA282">
        <v>0</v>
      </c>
      <c r="AB282">
        <v>0</v>
      </c>
      <c r="AC282">
        <v>1</v>
      </c>
      <c r="AD282">
        <v>39.75</v>
      </c>
      <c r="AE282">
        <v>1</v>
      </c>
      <c r="AF282">
        <v>35</v>
      </c>
      <c r="AG282">
        <v>3</v>
      </c>
      <c r="AH282" t="s">
        <v>84</v>
      </c>
      <c r="AI282">
        <v>0</v>
      </c>
    </row>
    <row r="283" spans="1:35" x14ac:dyDescent="0.45">
      <c r="A283">
        <v>282</v>
      </c>
      <c r="B283" t="s">
        <v>447</v>
      </c>
      <c r="C283" t="s">
        <v>453</v>
      </c>
      <c r="D283" t="s">
        <v>118</v>
      </c>
      <c r="E283">
        <v>6</v>
      </c>
      <c r="F283">
        <v>-5.5279999999999996</v>
      </c>
      <c r="G283">
        <v>-29.727</v>
      </c>
      <c r="H283">
        <v>16331</v>
      </c>
      <c r="I283">
        <v>0</v>
      </c>
      <c r="J283">
        <v>1</v>
      </c>
      <c r="K283" t="s">
        <v>55</v>
      </c>
      <c r="L283" t="s">
        <v>55</v>
      </c>
      <c r="M283" t="s">
        <v>56</v>
      </c>
      <c r="N283">
        <v>1643393834.1500001</v>
      </c>
      <c r="O283">
        <v>0.20100000000000001</v>
      </c>
      <c r="P283">
        <v>0.42499999999999999</v>
      </c>
      <c r="Q283">
        <v>54.064999999999998</v>
      </c>
      <c r="R283">
        <v>1E-3</v>
      </c>
      <c r="S283">
        <v>-1E-3</v>
      </c>
      <c r="T283">
        <v>1.3029999999999999</v>
      </c>
      <c r="U283">
        <v>90.665000000000006</v>
      </c>
      <c r="V283">
        <v>24.841999999999999</v>
      </c>
      <c r="W283">
        <v>2.367</v>
      </c>
      <c r="X283">
        <v>87.896000000000001</v>
      </c>
      <c r="Y283">
        <v>0.94299999999999995</v>
      </c>
      <c r="Z283">
        <v>1.272</v>
      </c>
      <c r="AA283">
        <v>0</v>
      </c>
      <c r="AB283">
        <v>0</v>
      </c>
      <c r="AC283">
        <v>1</v>
      </c>
      <c r="AD283">
        <v>39.75</v>
      </c>
      <c r="AE283">
        <v>1</v>
      </c>
      <c r="AF283">
        <v>35</v>
      </c>
      <c r="AG283">
        <v>3</v>
      </c>
      <c r="AH283" t="s">
        <v>84</v>
      </c>
      <c r="AI283">
        <v>0</v>
      </c>
    </row>
    <row r="284" spans="1:35" x14ac:dyDescent="0.45">
      <c r="A284">
        <v>283</v>
      </c>
      <c r="B284" t="s">
        <v>447</v>
      </c>
      <c r="C284" t="s">
        <v>454</v>
      </c>
      <c r="D284" t="s">
        <v>118</v>
      </c>
      <c r="E284">
        <v>7</v>
      </c>
      <c r="F284">
        <v>-5.5149999999999997</v>
      </c>
      <c r="G284">
        <v>-29.704999999999998</v>
      </c>
      <c r="H284">
        <v>16382</v>
      </c>
      <c r="I284">
        <v>0</v>
      </c>
      <c r="J284">
        <v>1</v>
      </c>
      <c r="K284" t="s">
        <v>55</v>
      </c>
      <c r="L284" t="s">
        <v>55</v>
      </c>
      <c r="M284" t="s">
        <v>56</v>
      </c>
      <c r="N284">
        <v>1643394372.5</v>
      </c>
      <c r="O284">
        <v>0.223</v>
      </c>
      <c r="P284">
        <v>0.42599999999999999</v>
      </c>
      <c r="Q284">
        <v>54.128999999999998</v>
      </c>
      <c r="R284">
        <v>2E-3</v>
      </c>
      <c r="S284">
        <v>1E-3</v>
      </c>
      <c r="T284">
        <v>1.3169999999999999</v>
      </c>
      <c r="U284">
        <v>91.049000000000007</v>
      </c>
      <c r="V284">
        <v>24.378</v>
      </c>
      <c r="W284">
        <v>2.44</v>
      </c>
      <c r="X284">
        <v>89.567999999999998</v>
      </c>
      <c r="Y284">
        <v>0.94299999999999995</v>
      </c>
      <c r="Z284">
        <v>1.3160000000000001</v>
      </c>
      <c r="AA284">
        <v>0</v>
      </c>
      <c r="AB284">
        <v>0</v>
      </c>
      <c r="AC284">
        <v>1</v>
      </c>
      <c r="AD284">
        <v>39.75</v>
      </c>
      <c r="AE284">
        <v>1</v>
      </c>
      <c r="AF284">
        <v>35</v>
      </c>
      <c r="AG284">
        <v>3</v>
      </c>
      <c r="AH284" t="s">
        <v>84</v>
      </c>
      <c r="AI284">
        <v>0</v>
      </c>
    </row>
    <row r="285" spans="1:35" x14ac:dyDescent="0.45">
      <c r="A285">
        <v>284</v>
      </c>
      <c r="B285" t="s">
        <v>447</v>
      </c>
      <c r="C285" t="s">
        <v>455</v>
      </c>
      <c r="D285" t="s">
        <v>118</v>
      </c>
      <c r="E285">
        <v>8</v>
      </c>
      <c r="F285">
        <v>-5.5289999999999999</v>
      </c>
      <c r="G285">
        <v>-29.622</v>
      </c>
      <c r="H285">
        <v>16213</v>
      </c>
      <c r="I285">
        <v>0</v>
      </c>
      <c r="J285">
        <v>1</v>
      </c>
      <c r="K285" t="s">
        <v>55</v>
      </c>
      <c r="L285" t="s">
        <v>55</v>
      </c>
      <c r="M285" t="s">
        <v>56</v>
      </c>
      <c r="N285">
        <v>1643394907.7</v>
      </c>
      <c r="O285">
        <v>0.215</v>
      </c>
      <c r="P285">
        <v>0.39400000000000002</v>
      </c>
      <c r="Q285">
        <v>53.481000000000002</v>
      </c>
      <c r="R285">
        <v>1E-3</v>
      </c>
      <c r="S285">
        <v>0</v>
      </c>
      <c r="T285">
        <v>1.286</v>
      </c>
      <c r="U285">
        <v>90.212000000000003</v>
      </c>
      <c r="V285">
        <v>24.655999999999999</v>
      </c>
      <c r="W285">
        <v>2.274</v>
      </c>
      <c r="X285">
        <v>85.793999999999997</v>
      </c>
      <c r="Y285">
        <v>0.94599999999999995</v>
      </c>
      <c r="Z285">
        <v>0.97199999999999998</v>
      </c>
      <c r="AA285">
        <v>0</v>
      </c>
      <c r="AB285">
        <v>0</v>
      </c>
      <c r="AC285">
        <v>1</v>
      </c>
      <c r="AD285">
        <v>39.688000000000002</v>
      </c>
      <c r="AE285">
        <v>1</v>
      </c>
      <c r="AF285">
        <v>35</v>
      </c>
      <c r="AG285">
        <v>3</v>
      </c>
      <c r="AH285" t="s">
        <v>84</v>
      </c>
      <c r="AI285">
        <v>0</v>
      </c>
    </row>
    <row r="286" spans="1:35" x14ac:dyDescent="0.45">
      <c r="A286">
        <v>285</v>
      </c>
      <c r="B286" t="s">
        <v>447</v>
      </c>
      <c r="C286" t="s">
        <v>456</v>
      </c>
      <c r="D286" t="s">
        <v>118</v>
      </c>
      <c r="E286">
        <v>9</v>
      </c>
      <c r="F286">
        <v>-5.5229999999999997</v>
      </c>
      <c r="G286">
        <v>-29.588000000000001</v>
      </c>
      <c r="H286">
        <v>16453</v>
      </c>
      <c r="I286">
        <v>0</v>
      </c>
      <c r="J286">
        <v>1</v>
      </c>
      <c r="K286" t="s">
        <v>55</v>
      </c>
      <c r="L286" t="s">
        <v>55</v>
      </c>
      <c r="M286" t="s">
        <v>56</v>
      </c>
      <c r="N286">
        <v>1643395445.79</v>
      </c>
      <c r="O286">
        <v>0.182</v>
      </c>
      <c r="P286">
        <v>0.40699999999999997</v>
      </c>
      <c r="Q286">
        <v>54.201999999999998</v>
      </c>
      <c r="R286">
        <v>1E-3</v>
      </c>
      <c r="S286">
        <v>0</v>
      </c>
      <c r="T286">
        <v>1.3140000000000001</v>
      </c>
      <c r="U286">
        <v>91.765000000000001</v>
      </c>
      <c r="V286">
        <v>24.582000000000001</v>
      </c>
      <c r="W286">
        <v>2.3370000000000002</v>
      </c>
      <c r="X286">
        <v>87.980999999999995</v>
      </c>
      <c r="Y286">
        <v>0.93600000000000005</v>
      </c>
      <c r="Z286">
        <v>1.0289999999999999</v>
      </c>
      <c r="AA286">
        <v>0</v>
      </c>
      <c r="AB286">
        <v>0</v>
      </c>
      <c r="AC286">
        <v>1</v>
      </c>
      <c r="AD286">
        <v>39.688000000000002</v>
      </c>
      <c r="AE286">
        <v>1</v>
      </c>
      <c r="AF286">
        <v>35</v>
      </c>
      <c r="AG286">
        <v>3</v>
      </c>
      <c r="AH286" t="s">
        <v>84</v>
      </c>
      <c r="AI286">
        <v>0</v>
      </c>
    </row>
    <row r="287" spans="1:35" x14ac:dyDescent="0.45">
      <c r="A287">
        <v>286</v>
      </c>
      <c r="B287" t="s">
        <v>447</v>
      </c>
      <c r="C287" t="s">
        <v>457</v>
      </c>
      <c r="D287" t="s">
        <v>118</v>
      </c>
      <c r="E287">
        <v>10</v>
      </c>
      <c r="F287">
        <v>-5.484</v>
      </c>
      <c r="G287">
        <v>-29.655999999999999</v>
      </c>
      <c r="H287">
        <v>16261</v>
      </c>
      <c r="I287">
        <v>0</v>
      </c>
      <c r="J287">
        <v>1</v>
      </c>
      <c r="K287" t="s">
        <v>55</v>
      </c>
      <c r="L287" t="s">
        <v>55</v>
      </c>
      <c r="M287" t="s">
        <v>56</v>
      </c>
      <c r="N287">
        <v>1643395982.0899999</v>
      </c>
      <c r="O287">
        <v>0.19900000000000001</v>
      </c>
      <c r="P287">
        <v>0.377</v>
      </c>
      <c r="Q287">
        <v>53.84</v>
      </c>
      <c r="R287">
        <v>1E-3</v>
      </c>
      <c r="S287">
        <v>0</v>
      </c>
      <c r="T287">
        <v>1.2929999999999999</v>
      </c>
      <c r="U287">
        <v>90.51</v>
      </c>
      <c r="V287">
        <v>24.646999999999998</v>
      </c>
      <c r="W287">
        <v>2.3359999999999999</v>
      </c>
      <c r="X287">
        <v>86.373999999999995</v>
      </c>
      <c r="Y287">
        <v>0.94199999999999995</v>
      </c>
      <c r="Z287">
        <v>0.96599999999999997</v>
      </c>
      <c r="AA287">
        <v>0</v>
      </c>
      <c r="AB287">
        <v>0</v>
      </c>
      <c r="AC287">
        <v>1</v>
      </c>
      <c r="AD287">
        <v>39.688000000000002</v>
      </c>
      <c r="AE287">
        <v>1</v>
      </c>
      <c r="AF287">
        <v>35</v>
      </c>
      <c r="AG287">
        <v>3</v>
      </c>
      <c r="AH287" t="s">
        <v>84</v>
      </c>
      <c r="AI287">
        <v>0</v>
      </c>
    </row>
    <row r="288" spans="1:35" x14ac:dyDescent="0.45">
      <c r="A288">
        <v>287</v>
      </c>
      <c r="B288" t="s">
        <v>447</v>
      </c>
      <c r="C288" t="s">
        <v>458</v>
      </c>
      <c r="D288" t="s">
        <v>118</v>
      </c>
      <c r="E288">
        <v>11</v>
      </c>
      <c r="F288">
        <v>-5.52</v>
      </c>
      <c r="G288">
        <v>-29.622</v>
      </c>
      <c r="H288">
        <v>16329</v>
      </c>
      <c r="I288">
        <v>0</v>
      </c>
      <c r="J288">
        <v>1</v>
      </c>
      <c r="K288" t="s">
        <v>55</v>
      </c>
      <c r="L288" t="s">
        <v>55</v>
      </c>
      <c r="M288" t="s">
        <v>56</v>
      </c>
      <c r="N288">
        <v>1643396520.02</v>
      </c>
      <c r="O288">
        <v>0.189</v>
      </c>
      <c r="P288">
        <v>0.39200000000000002</v>
      </c>
      <c r="Q288">
        <v>54.954000000000001</v>
      </c>
      <c r="R288">
        <v>1E-3</v>
      </c>
      <c r="S288">
        <v>0</v>
      </c>
      <c r="T288">
        <v>1.33</v>
      </c>
      <c r="U288">
        <v>90.843999999999994</v>
      </c>
      <c r="V288">
        <v>24.579000000000001</v>
      </c>
      <c r="W288">
        <v>2.3570000000000002</v>
      </c>
      <c r="X288">
        <v>87.768000000000001</v>
      </c>
      <c r="Y288">
        <v>0.93799999999999994</v>
      </c>
      <c r="Z288">
        <v>1.222</v>
      </c>
      <c r="AA288">
        <v>0</v>
      </c>
      <c r="AB288">
        <v>0</v>
      </c>
      <c r="AC288">
        <v>1</v>
      </c>
      <c r="AD288">
        <v>39.625</v>
      </c>
      <c r="AE288">
        <v>1</v>
      </c>
      <c r="AF288">
        <v>35</v>
      </c>
      <c r="AG288">
        <v>3</v>
      </c>
      <c r="AH288" t="s">
        <v>84</v>
      </c>
      <c r="AI288">
        <v>0</v>
      </c>
    </row>
    <row r="289" spans="1:35" x14ac:dyDescent="0.45">
      <c r="A289">
        <v>288</v>
      </c>
      <c r="B289" t="s">
        <v>447</v>
      </c>
      <c r="C289" t="s">
        <v>459</v>
      </c>
      <c r="D289" t="s">
        <v>118</v>
      </c>
      <c r="E289">
        <v>12</v>
      </c>
      <c r="F289">
        <v>-5.532</v>
      </c>
      <c r="G289">
        <v>-29.582999999999998</v>
      </c>
      <c r="H289">
        <v>16255</v>
      </c>
      <c r="I289">
        <v>0</v>
      </c>
      <c r="J289">
        <v>1</v>
      </c>
      <c r="K289" t="s">
        <v>55</v>
      </c>
      <c r="L289" t="s">
        <v>55</v>
      </c>
      <c r="M289" t="s">
        <v>56</v>
      </c>
      <c r="N289">
        <v>1643397055.24</v>
      </c>
      <c r="O289">
        <v>0.20499999999999999</v>
      </c>
      <c r="P289">
        <v>0.38600000000000001</v>
      </c>
      <c r="Q289">
        <v>54.277000000000001</v>
      </c>
      <c r="R289">
        <v>1E-3</v>
      </c>
      <c r="S289">
        <v>-1E-3</v>
      </c>
      <c r="T289">
        <v>1.296</v>
      </c>
      <c r="U289">
        <v>90.373999999999995</v>
      </c>
      <c r="V289">
        <v>24.63</v>
      </c>
      <c r="W289">
        <v>2.3490000000000002</v>
      </c>
      <c r="X289">
        <v>86.831999999999994</v>
      </c>
      <c r="Y289">
        <v>0.95599999999999996</v>
      </c>
      <c r="Z289">
        <v>1.1200000000000001</v>
      </c>
      <c r="AA289">
        <v>0</v>
      </c>
      <c r="AB289">
        <v>0</v>
      </c>
      <c r="AC289">
        <v>1</v>
      </c>
      <c r="AD289">
        <v>39.688000000000002</v>
      </c>
      <c r="AE289">
        <v>1</v>
      </c>
      <c r="AF289">
        <v>35</v>
      </c>
      <c r="AG289">
        <v>3</v>
      </c>
      <c r="AH289" t="s">
        <v>84</v>
      </c>
      <c r="AI289">
        <v>0</v>
      </c>
    </row>
    <row r="290" spans="1:35" x14ac:dyDescent="0.45">
      <c r="A290">
        <v>289</v>
      </c>
      <c r="B290" t="s">
        <v>447</v>
      </c>
      <c r="C290" t="s">
        <v>460</v>
      </c>
      <c r="D290" t="s">
        <v>118</v>
      </c>
      <c r="E290">
        <v>13</v>
      </c>
      <c r="F290">
        <v>-5.5110000000000001</v>
      </c>
      <c r="G290">
        <v>-29.504999999999999</v>
      </c>
      <c r="H290">
        <v>16276</v>
      </c>
      <c r="I290">
        <v>0</v>
      </c>
      <c r="J290">
        <v>1</v>
      </c>
      <c r="K290" t="s">
        <v>55</v>
      </c>
      <c r="L290" t="s">
        <v>55</v>
      </c>
      <c r="M290" t="s">
        <v>56</v>
      </c>
      <c r="N290">
        <v>1643397592.24</v>
      </c>
      <c r="O290">
        <v>0.20399999999999999</v>
      </c>
      <c r="P290">
        <v>0.39400000000000002</v>
      </c>
      <c r="Q290">
        <v>54.231000000000002</v>
      </c>
      <c r="R290">
        <v>0</v>
      </c>
      <c r="S290">
        <v>1E-3</v>
      </c>
      <c r="T290">
        <v>1.3169999999999999</v>
      </c>
      <c r="U290">
        <v>90.293999999999997</v>
      </c>
      <c r="V290">
        <v>24.952999999999999</v>
      </c>
      <c r="W290">
        <v>2.3450000000000002</v>
      </c>
      <c r="X290">
        <v>87.281999999999996</v>
      </c>
      <c r="Y290">
        <v>0.93500000000000005</v>
      </c>
      <c r="Z290">
        <v>1.216</v>
      </c>
      <c r="AA290">
        <v>0</v>
      </c>
      <c r="AB290">
        <v>0</v>
      </c>
      <c r="AC290">
        <v>1</v>
      </c>
      <c r="AD290">
        <v>39.75</v>
      </c>
      <c r="AE290">
        <v>1</v>
      </c>
      <c r="AF290">
        <v>35</v>
      </c>
      <c r="AG290">
        <v>3</v>
      </c>
      <c r="AH290" t="s">
        <v>84</v>
      </c>
      <c r="AI290">
        <v>0</v>
      </c>
    </row>
    <row r="291" spans="1:35" x14ac:dyDescent="0.45">
      <c r="A291">
        <v>290</v>
      </c>
      <c r="B291" t="s">
        <v>447</v>
      </c>
      <c r="C291" t="s">
        <v>461</v>
      </c>
      <c r="D291" t="s">
        <v>118</v>
      </c>
      <c r="E291">
        <v>14</v>
      </c>
      <c r="F291">
        <v>-5.508</v>
      </c>
      <c r="G291">
        <v>-29.582000000000001</v>
      </c>
      <c r="H291">
        <v>16298</v>
      </c>
      <c r="I291">
        <v>0</v>
      </c>
      <c r="J291">
        <v>1</v>
      </c>
      <c r="K291" t="s">
        <v>55</v>
      </c>
      <c r="L291" t="s">
        <v>55</v>
      </c>
      <c r="M291" t="s">
        <v>56</v>
      </c>
      <c r="N291">
        <v>1643398129.46</v>
      </c>
      <c r="O291">
        <v>0.186</v>
      </c>
      <c r="P291">
        <v>0.36</v>
      </c>
      <c r="Q291">
        <v>55.308999999999997</v>
      </c>
      <c r="R291">
        <v>0</v>
      </c>
      <c r="S291">
        <v>0</v>
      </c>
      <c r="T291">
        <v>1.3220000000000001</v>
      </c>
      <c r="U291">
        <v>90.763999999999996</v>
      </c>
      <c r="V291">
        <v>24.722999999999999</v>
      </c>
      <c r="W291">
        <v>2.3250000000000002</v>
      </c>
      <c r="X291">
        <v>86.287999999999997</v>
      </c>
      <c r="Y291">
        <v>0.94</v>
      </c>
      <c r="Z291">
        <v>1.024</v>
      </c>
      <c r="AA291">
        <v>0</v>
      </c>
      <c r="AB291">
        <v>0</v>
      </c>
      <c r="AC291">
        <v>1</v>
      </c>
      <c r="AD291">
        <v>39.75</v>
      </c>
      <c r="AE291">
        <v>1</v>
      </c>
      <c r="AF291">
        <v>35</v>
      </c>
      <c r="AG291">
        <v>3</v>
      </c>
      <c r="AH291" t="s">
        <v>84</v>
      </c>
      <c r="AI291">
        <v>0</v>
      </c>
    </row>
    <row r="292" spans="1:35" x14ac:dyDescent="0.45">
      <c r="A292">
        <v>291</v>
      </c>
      <c r="B292" t="s">
        <v>447</v>
      </c>
      <c r="C292" t="s">
        <v>462</v>
      </c>
      <c r="D292" t="s">
        <v>118</v>
      </c>
      <c r="E292">
        <v>15</v>
      </c>
      <c r="F292">
        <v>-5.5220000000000002</v>
      </c>
      <c r="G292">
        <v>-29.562999999999999</v>
      </c>
      <c r="H292">
        <v>16350</v>
      </c>
      <c r="I292">
        <v>0</v>
      </c>
      <c r="J292">
        <v>1</v>
      </c>
      <c r="K292" t="s">
        <v>55</v>
      </c>
      <c r="L292" t="s">
        <v>55</v>
      </c>
      <c r="M292" t="s">
        <v>56</v>
      </c>
      <c r="N292">
        <v>1643398666.3800001</v>
      </c>
      <c r="O292">
        <v>0.20200000000000001</v>
      </c>
      <c r="P292">
        <v>0.39400000000000002</v>
      </c>
      <c r="Q292">
        <v>54.209000000000003</v>
      </c>
      <c r="R292">
        <v>1E-3</v>
      </c>
      <c r="S292">
        <v>1E-3</v>
      </c>
      <c r="T292">
        <v>1.3</v>
      </c>
      <c r="U292">
        <v>91.004000000000005</v>
      </c>
      <c r="V292">
        <v>24.472999999999999</v>
      </c>
      <c r="W292">
        <v>2.395</v>
      </c>
      <c r="X292">
        <v>87.685000000000002</v>
      </c>
      <c r="Y292">
        <v>0.92600000000000005</v>
      </c>
      <c r="Z292">
        <v>1.173</v>
      </c>
      <c r="AA292">
        <v>0</v>
      </c>
      <c r="AB292">
        <v>0</v>
      </c>
      <c r="AC292">
        <v>1</v>
      </c>
      <c r="AD292">
        <v>39.811999999999998</v>
      </c>
      <c r="AE292">
        <v>1</v>
      </c>
      <c r="AF292">
        <v>35</v>
      </c>
      <c r="AG292">
        <v>3</v>
      </c>
      <c r="AH292" t="s">
        <v>84</v>
      </c>
      <c r="AI292">
        <v>0</v>
      </c>
    </row>
    <row r="293" spans="1:35" x14ac:dyDescent="0.45">
      <c r="A293">
        <v>292</v>
      </c>
      <c r="B293" t="s">
        <v>129</v>
      </c>
      <c r="C293" t="s">
        <v>130</v>
      </c>
      <c r="D293" t="s">
        <v>131</v>
      </c>
      <c r="E293">
        <v>1</v>
      </c>
      <c r="F293">
        <v>-5.9340000000000002</v>
      </c>
      <c r="G293">
        <v>-36.274999999999999</v>
      </c>
      <c r="H293">
        <v>16261</v>
      </c>
      <c r="I293">
        <v>-1</v>
      </c>
      <c r="J293">
        <v>1</v>
      </c>
      <c r="K293" t="s">
        <v>55</v>
      </c>
      <c r="L293" t="s">
        <v>55</v>
      </c>
      <c r="M293" t="s">
        <v>56</v>
      </c>
      <c r="N293">
        <v>1643399202.97</v>
      </c>
      <c r="O293">
        <v>0.189</v>
      </c>
      <c r="P293">
        <v>0.377</v>
      </c>
      <c r="Q293">
        <v>54.779000000000003</v>
      </c>
      <c r="R293">
        <v>0</v>
      </c>
      <c r="S293">
        <v>1E-3</v>
      </c>
      <c r="T293">
        <v>1.31</v>
      </c>
      <c r="U293">
        <v>90.536000000000001</v>
      </c>
      <c r="V293">
        <v>24.373999999999999</v>
      </c>
      <c r="W293">
        <v>2.38</v>
      </c>
      <c r="X293">
        <v>86.944000000000003</v>
      </c>
      <c r="Y293">
        <v>0.93899999999999995</v>
      </c>
      <c r="Z293">
        <v>1.083</v>
      </c>
      <c r="AA293">
        <v>0</v>
      </c>
      <c r="AB293">
        <v>0</v>
      </c>
      <c r="AC293">
        <v>1</v>
      </c>
      <c r="AD293">
        <v>39.875</v>
      </c>
      <c r="AE293">
        <v>1</v>
      </c>
      <c r="AF293">
        <v>36</v>
      </c>
      <c r="AG293">
        <v>4</v>
      </c>
      <c r="AH293" t="s">
        <v>84</v>
      </c>
      <c r="AI293">
        <v>0</v>
      </c>
    </row>
    <row r="294" spans="1:35" x14ac:dyDescent="0.45">
      <c r="A294">
        <v>293</v>
      </c>
      <c r="B294" t="s">
        <v>129</v>
      </c>
      <c r="C294" t="s">
        <v>132</v>
      </c>
      <c r="D294" t="s">
        <v>131</v>
      </c>
      <c r="E294">
        <v>2</v>
      </c>
      <c r="F294">
        <v>-5.92</v>
      </c>
      <c r="G294">
        <v>-36.820999999999998</v>
      </c>
      <c r="H294">
        <v>16319</v>
      </c>
      <c r="I294">
        <v>-1</v>
      </c>
      <c r="J294">
        <v>1</v>
      </c>
      <c r="K294" t="s">
        <v>55</v>
      </c>
      <c r="L294" t="s">
        <v>55</v>
      </c>
      <c r="M294" t="s">
        <v>56</v>
      </c>
      <c r="N294">
        <v>1643399740.03</v>
      </c>
      <c r="O294">
        <v>0.21199999999999999</v>
      </c>
      <c r="P294">
        <v>0.42399999999999999</v>
      </c>
      <c r="Q294">
        <v>55.154000000000003</v>
      </c>
      <c r="R294">
        <v>0</v>
      </c>
      <c r="S294">
        <v>1E-3</v>
      </c>
      <c r="T294">
        <v>1.331</v>
      </c>
      <c r="U294">
        <v>90.831999999999994</v>
      </c>
      <c r="V294">
        <v>24.327999999999999</v>
      </c>
      <c r="W294">
        <v>2.4020000000000001</v>
      </c>
      <c r="X294">
        <v>88.281999999999996</v>
      </c>
      <c r="Y294">
        <v>0.92300000000000004</v>
      </c>
      <c r="Z294">
        <v>1.1990000000000001</v>
      </c>
      <c r="AA294">
        <v>0</v>
      </c>
      <c r="AB294">
        <v>0</v>
      </c>
      <c r="AC294">
        <v>1</v>
      </c>
      <c r="AD294">
        <v>39.938000000000002</v>
      </c>
      <c r="AE294">
        <v>1</v>
      </c>
      <c r="AF294">
        <v>36</v>
      </c>
      <c r="AG294">
        <v>4</v>
      </c>
      <c r="AH294" t="s">
        <v>84</v>
      </c>
      <c r="AI294">
        <v>0</v>
      </c>
    </row>
    <row r="295" spans="1:35" x14ac:dyDescent="0.45">
      <c r="A295">
        <v>294</v>
      </c>
      <c r="B295" t="s">
        <v>129</v>
      </c>
      <c r="C295" t="s">
        <v>133</v>
      </c>
      <c r="D295" t="s">
        <v>131</v>
      </c>
      <c r="E295">
        <v>3</v>
      </c>
      <c r="F295">
        <v>-5.931</v>
      </c>
      <c r="G295">
        <v>-37.027000000000001</v>
      </c>
      <c r="H295">
        <v>16369</v>
      </c>
      <c r="I295">
        <v>-1</v>
      </c>
      <c r="J295">
        <v>1</v>
      </c>
      <c r="K295" t="s">
        <v>55</v>
      </c>
      <c r="L295" t="s">
        <v>55</v>
      </c>
      <c r="M295" t="s">
        <v>56</v>
      </c>
      <c r="N295">
        <v>1643400276.1199999</v>
      </c>
      <c r="O295">
        <v>0.19800000000000001</v>
      </c>
      <c r="P295">
        <v>0.376</v>
      </c>
      <c r="Q295">
        <v>55.118000000000002</v>
      </c>
      <c r="R295">
        <v>1E-3</v>
      </c>
      <c r="S295">
        <v>-1E-3</v>
      </c>
      <c r="T295">
        <v>1.3169999999999999</v>
      </c>
      <c r="U295">
        <v>91.01</v>
      </c>
      <c r="V295">
        <v>24.581</v>
      </c>
      <c r="W295">
        <v>2.3980000000000001</v>
      </c>
      <c r="X295">
        <v>88.564999999999998</v>
      </c>
      <c r="Y295">
        <v>0.91500000000000004</v>
      </c>
      <c r="Z295">
        <v>1.248</v>
      </c>
      <c r="AA295">
        <v>0</v>
      </c>
      <c r="AB295">
        <v>0</v>
      </c>
      <c r="AC295">
        <v>1</v>
      </c>
      <c r="AD295">
        <v>39.875</v>
      </c>
      <c r="AE295">
        <v>1</v>
      </c>
      <c r="AF295">
        <v>36</v>
      </c>
      <c r="AG295">
        <v>4</v>
      </c>
      <c r="AH295" t="s">
        <v>84</v>
      </c>
      <c r="AI295">
        <v>0</v>
      </c>
    </row>
    <row r="296" spans="1:35" x14ac:dyDescent="0.45">
      <c r="A296">
        <v>295</v>
      </c>
      <c r="B296" t="s">
        <v>129</v>
      </c>
      <c r="C296" t="s">
        <v>134</v>
      </c>
      <c r="D296" t="s">
        <v>131</v>
      </c>
      <c r="E296">
        <v>4</v>
      </c>
      <c r="F296">
        <v>-5.94</v>
      </c>
      <c r="G296">
        <v>-36.959000000000003</v>
      </c>
      <c r="H296">
        <v>16351</v>
      </c>
      <c r="I296">
        <v>0</v>
      </c>
      <c r="J296">
        <v>1</v>
      </c>
      <c r="K296" t="s">
        <v>55</v>
      </c>
      <c r="L296" t="s">
        <v>55</v>
      </c>
      <c r="M296" t="s">
        <v>56</v>
      </c>
      <c r="N296">
        <v>1643400812.9000001</v>
      </c>
      <c r="O296">
        <v>0.21199999999999999</v>
      </c>
      <c r="P296">
        <v>0.379</v>
      </c>
      <c r="Q296">
        <v>53.526000000000003</v>
      </c>
      <c r="R296">
        <v>1E-3</v>
      </c>
      <c r="S296">
        <v>1E-3</v>
      </c>
      <c r="T296">
        <v>1.2929999999999999</v>
      </c>
      <c r="U296">
        <v>90.638000000000005</v>
      </c>
      <c r="V296">
        <v>25.099</v>
      </c>
      <c r="W296">
        <v>2.4009999999999998</v>
      </c>
      <c r="X296">
        <v>88.281000000000006</v>
      </c>
      <c r="Y296">
        <v>0.90100000000000002</v>
      </c>
      <c r="Z296">
        <v>1.3859999999999999</v>
      </c>
      <c r="AA296">
        <v>0</v>
      </c>
      <c r="AB296">
        <v>0</v>
      </c>
      <c r="AC296">
        <v>1</v>
      </c>
      <c r="AD296">
        <v>39.938000000000002</v>
      </c>
      <c r="AE296">
        <v>1</v>
      </c>
      <c r="AF296">
        <v>36</v>
      </c>
      <c r="AG296">
        <v>4</v>
      </c>
      <c r="AH296" t="s">
        <v>84</v>
      </c>
      <c r="AI296">
        <v>0</v>
      </c>
    </row>
    <row r="297" spans="1:35" x14ac:dyDescent="0.45">
      <c r="A297">
        <v>296</v>
      </c>
      <c r="B297" t="s">
        <v>129</v>
      </c>
      <c r="C297" t="s">
        <v>135</v>
      </c>
      <c r="D297" t="s">
        <v>131</v>
      </c>
      <c r="E297">
        <v>5</v>
      </c>
      <c r="F297">
        <v>-5.9630000000000001</v>
      </c>
      <c r="G297">
        <v>-37.054000000000002</v>
      </c>
      <c r="H297">
        <v>16243</v>
      </c>
      <c r="I297">
        <v>0</v>
      </c>
      <c r="J297">
        <v>1</v>
      </c>
      <c r="K297" t="s">
        <v>55</v>
      </c>
      <c r="L297" t="s">
        <v>55</v>
      </c>
      <c r="M297" t="s">
        <v>56</v>
      </c>
      <c r="N297">
        <v>1643401349.79</v>
      </c>
      <c r="O297">
        <v>0.19900000000000001</v>
      </c>
      <c r="P297">
        <v>0.39200000000000002</v>
      </c>
      <c r="Q297">
        <v>54.426000000000002</v>
      </c>
      <c r="R297">
        <v>1E-3</v>
      </c>
      <c r="S297">
        <v>0</v>
      </c>
      <c r="T297">
        <v>1.3089999999999999</v>
      </c>
      <c r="U297">
        <v>90.325000000000003</v>
      </c>
      <c r="V297">
        <v>24.777999999999999</v>
      </c>
      <c r="W297">
        <v>2.323</v>
      </c>
      <c r="X297">
        <v>86.218999999999994</v>
      </c>
      <c r="Y297">
        <v>0.90300000000000002</v>
      </c>
      <c r="Z297">
        <v>1.079</v>
      </c>
      <c r="AA297">
        <v>0</v>
      </c>
      <c r="AB297">
        <v>0</v>
      </c>
      <c r="AC297">
        <v>1</v>
      </c>
      <c r="AD297">
        <v>39.938000000000002</v>
      </c>
      <c r="AE297">
        <v>1</v>
      </c>
      <c r="AF297">
        <v>36</v>
      </c>
      <c r="AG297">
        <v>4</v>
      </c>
      <c r="AH297" t="s">
        <v>84</v>
      </c>
      <c r="AI297">
        <v>0</v>
      </c>
    </row>
    <row r="298" spans="1:35" x14ac:dyDescent="0.45">
      <c r="A298">
        <v>297</v>
      </c>
      <c r="B298" t="s">
        <v>129</v>
      </c>
      <c r="C298" t="s">
        <v>136</v>
      </c>
      <c r="D298" t="s">
        <v>131</v>
      </c>
      <c r="E298">
        <v>6</v>
      </c>
      <c r="F298">
        <v>-5.9050000000000002</v>
      </c>
      <c r="G298">
        <v>-37.043999999999997</v>
      </c>
      <c r="H298">
        <v>16273</v>
      </c>
      <c r="I298">
        <v>0</v>
      </c>
      <c r="J298">
        <v>1</v>
      </c>
      <c r="K298" t="s">
        <v>55</v>
      </c>
      <c r="L298" t="s">
        <v>55</v>
      </c>
      <c r="M298" t="s">
        <v>56</v>
      </c>
      <c r="N298">
        <v>1643401886.0999999</v>
      </c>
      <c r="O298">
        <v>0.19700000000000001</v>
      </c>
      <c r="P298">
        <v>0.44400000000000001</v>
      </c>
      <c r="Q298">
        <v>53.165999999999997</v>
      </c>
      <c r="R298">
        <v>0</v>
      </c>
      <c r="S298">
        <v>-1E-3</v>
      </c>
      <c r="T298">
        <v>1.2809999999999999</v>
      </c>
      <c r="U298">
        <v>90.355999999999995</v>
      </c>
      <c r="V298">
        <v>24.181999999999999</v>
      </c>
      <c r="W298">
        <v>2.407</v>
      </c>
      <c r="X298">
        <v>89.236999999999995</v>
      </c>
      <c r="Y298">
        <v>0.90900000000000003</v>
      </c>
      <c r="Z298">
        <v>1.425</v>
      </c>
      <c r="AA298">
        <v>0</v>
      </c>
      <c r="AB298">
        <v>0</v>
      </c>
      <c r="AC298">
        <v>1</v>
      </c>
      <c r="AD298">
        <v>39.938000000000002</v>
      </c>
      <c r="AE298">
        <v>1</v>
      </c>
      <c r="AF298">
        <v>36</v>
      </c>
      <c r="AG298">
        <v>4</v>
      </c>
      <c r="AH298" t="s">
        <v>84</v>
      </c>
      <c r="AI298">
        <v>0</v>
      </c>
    </row>
    <row r="299" spans="1:35" x14ac:dyDescent="0.45">
      <c r="A299">
        <v>298</v>
      </c>
      <c r="B299" t="s">
        <v>463</v>
      </c>
      <c r="C299" t="s">
        <v>464</v>
      </c>
      <c r="D299" t="s">
        <v>465</v>
      </c>
      <c r="E299">
        <v>1</v>
      </c>
      <c r="F299">
        <v>-5.8970000000000002</v>
      </c>
      <c r="G299">
        <v>-36.994999999999997</v>
      </c>
      <c r="H299">
        <v>16314</v>
      </c>
      <c r="I299">
        <v>-1</v>
      </c>
      <c r="J299">
        <v>1</v>
      </c>
      <c r="K299" t="s">
        <v>55</v>
      </c>
      <c r="L299" t="s">
        <v>55</v>
      </c>
      <c r="M299" t="s">
        <v>56</v>
      </c>
      <c r="N299">
        <v>1643402423.4200001</v>
      </c>
      <c r="O299">
        <v>0.20499999999999999</v>
      </c>
      <c r="P299">
        <v>0.442</v>
      </c>
      <c r="Q299">
        <v>54.546999999999997</v>
      </c>
      <c r="R299">
        <v>1E-3</v>
      </c>
      <c r="S299">
        <v>3.0000000000000001E-3</v>
      </c>
      <c r="T299">
        <v>1.3180000000000001</v>
      </c>
      <c r="U299">
        <v>90.644999999999996</v>
      </c>
      <c r="V299">
        <v>24.251999999999999</v>
      </c>
      <c r="W299">
        <v>2.452</v>
      </c>
      <c r="X299">
        <v>89.203000000000003</v>
      </c>
      <c r="Y299">
        <v>0.91200000000000003</v>
      </c>
      <c r="Z299">
        <v>1.37</v>
      </c>
      <c r="AA299">
        <v>0</v>
      </c>
      <c r="AB299">
        <v>0</v>
      </c>
      <c r="AC299">
        <v>1</v>
      </c>
      <c r="AD299">
        <v>39.938000000000002</v>
      </c>
      <c r="AE299">
        <v>1</v>
      </c>
      <c r="AF299">
        <v>37</v>
      </c>
      <c r="AG299">
        <v>4</v>
      </c>
      <c r="AH299" t="s">
        <v>84</v>
      </c>
      <c r="AI299">
        <v>0</v>
      </c>
    </row>
    <row r="300" spans="1:35" x14ac:dyDescent="0.45">
      <c r="A300">
        <v>299</v>
      </c>
      <c r="B300" t="s">
        <v>463</v>
      </c>
      <c r="C300" t="s">
        <v>466</v>
      </c>
      <c r="D300" t="s">
        <v>465</v>
      </c>
      <c r="E300">
        <v>2</v>
      </c>
      <c r="F300">
        <v>-5.9459999999999997</v>
      </c>
      <c r="G300">
        <v>-36.963000000000001</v>
      </c>
      <c r="H300">
        <v>16312</v>
      </c>
      <c r="I300">
        <v>-1</v>
      </c>
      <c r="J300">
        <v>1</v>
      </c>
      <c r="K300" t="s">
        <v>55</v>
      </c>
      <c r="L300" t="s">
        <v>55</v>
      </c>
      <c r="M300" t="s">
        <v>56</v>
      </c>
      <c r="N300">
        <v>1643402959.3499999</v>
      </c>
      <c r="O300">
        <v>0.217</v>
      </c>
      <c r="P300">
        <v>0.36099999999999999</v>
      </c>
      <c r="Q300">
        <v>53.780999999999999</v>
      </c>
      <c r="R300">
        <v>1E-3</v>
      </c>
      <c r="S300">
        <v>1E-3</v>
      </c>
      <c r="T300">
        <v>1.294</v>
      </c>
      <c r="U300">
        <v>90.718000000000004</v>
      </c>
      <c r="V300">
        <v>24.594000000000001</v>
      </c>
      <c r="W300">
        <v>2.343</v>
      </c>
      <c r="X300">
        <v>87.582999999999998</v>
      </c>
      <c r="Y300">
        <v>0.90500000000000003</v>
      </c>
      <c r="Z300">
        <v>1.121</v>
      </c>
      <c r="AA300">
        <v>0</v>
      </c>
      <c r="AB300">
        <v>0</v>
      </c>
      <c r="AC300">
        <v>1</v>
      </c>
      <c r="AD300">
        <v>39.875</v>
      </c>
      <c r="AE300">
        <v>1</v>
      </c>
      <c r="AF300">
        <v>37</v>
      </c>
      <c r="AG300">
        <v>4</v>
      </c>
      <c r="AH300" t="s">
        <v>84</v>
      </c>
      <c r="AI300">
        <v>0</v>
      </c>
    </row>
    <row r="301" spans="1:35" x14ac:dyDescent="0.45">
      <c r="A301">
        <v>300</v>
      </c>
      <c r="B301" t="s">
        <v>463</v>
      </c>
      <c r="C301" t="s">
        <v>467</v>
      </c>
      <c r="D301" t="s">
        <v>465</v>
      </c>
      <c r="E301">
        <v>3</v>
      </c>
      <c r="F301">
        <v>-5.9279999999999999</v>
      </c>
      <c r="G301">
        <v>-37.01</v>
      </c>
      <c r="H301">
        <v>16334</v>
      </c>
      <c r="I301">
        <v>-1</v>
      </c>
      <c r="J301">
        <v>1</v>
      </c>
      <c r="K301" t="s">
        <v>55</v>
      </c>
      <c r="L301" t="s">
        <v>55</v>
      </c>
      <c r="M301" t="s">
        <v>56</v>
      </c>
      <c r="N301">
        <v>1643403495.9300001</v>
      </c>
      <c r="O301">
        <v>0.20200000000000001</v>
      </c>
      <c r="P301">
        <v>0.39</v>
      </c>
      <c r="Q301">
        <v>54.253999999999998</v>
      </c>
      <c r="R301">
        <v>2E-3</v>
      </c>
      <c r="S301">
        <v>1E-3</v>
      </c>
      <c r="T301">
        <v>1.3029999999999999</v>
      </c>
      <c r="U301">
        <v>90.804000000000002</v>
      </c>
      <c r="V301">
        <v>24.805</v>
      </c>
      <c r="W301">
        <v>2.36</v>
      </c>
      <c r="X301">
        <v>87.465999999999994</v>
      </c>
      <c r="Y301">
        <v>0.90600000000000003</v>
      </c>
      <c r="Z301">
        <v>1.17</v>
      </c>
      <c r="AA301">
        <v>0</v>
      </c>
      <c r="AB301">
        <v>0</v>
      </c>
      <c r="AC301">
        <v>1</v>
      </c>
      <c r="AD301">
        <v>39.938000000000002</v>
      </c>
      <c r="AE301">
        <v>1</v>
      </c>
      <c r="AF301">
        <v>37</v>
      </c>
      <c r="AG301">
        <v>4</v>
      </c>
      <c r="AH301" t="s">
        <v>84</v>
      </c>
      <c r="AI301">
        <v>0</v>
      </c>
    </row>
    <row r="302" spans="1:35" x14ac:dyDescent="0.45">
      <c r="A302">
        <v>301</v>
      </c>
      <c r="B302" t="s">
        <v>463</v>
      </c>
      <c r="C302" t="s">
        <v>468</v>
      </c>
      <c r="D302" t="s">
        <v>465</v>
      </c>
      <c r="E302">
        <v>4</v>
      </c>
      <c r="F302">
        <v>-5.9189999999999996</v>
      </c>
      <c r="G302">
        <v>-37.015000000000001</v>
      </c>
      <c r="H302">
        <v>16317</v>
      </c>
      <c r="I302">
        <v>0</v>
      </c>
      <c r="J302">
        <v>1</v>
      </c>
      <c r="K302" t="s">
        <v>55</v>
      </c>
      <c r="L302" t="s">
        <v>55</v>
      </c>
      <c r="M302" t="s">
        <v>56</v>
      </c>
      <c r="N302">
        <v>1643404032.73</v>
      </c>
      <c r="O302">
        <v>0.217</v>
      </c>
      <c r="P302">
        <v>0.42699999999999999</v>
      </c>
      <c r="Q302">
        <v>53.460999999999999</v>
      </c>
      <c r="R302">
        <v>1E-3</v>
      </c>
      <c r="S302">
        <v>2E-3</v>
      </c>
      <c r="T302">
        <v>1.278</v>
      </c>
      <c r="U302">
        <v>90.643000000000001</v>
      </c>
      <c r="V302">
        <v>25.558</v>
      </c>
      <c r="W302">
        <v>2.2930000000000001</v>
      </c>
      <c r="X302">
        <v>85.39</v>
      </c>
      <c r="Y302">
        <v>0.90700000000000003</v>
      </c>
      <c r="Z302">
        <v>0.92600000000000005</v>
      </c>
      <c r="AA302">
        <v>0</v>
      </c>
      <c r="AB302">
        <v>0</v>
      </c>
      <c r="AC302">
        <v>1</v>
      </c>
      <c r="AD302">
        <v>39.938000000000002</v>
      </c>
      <c r="AE302">
        <v>1</v>
      </c>
      <c r="AF302">
        <v>37</v>
      </c>
      <c r="AG302">
        <v>4</v>
      </c>
      <c r="AH302" t="s">
        <v>84</v>
      </c>
      <c r="AI302">
        <v>0</v>
      </c>
    </row>
    <row r="303" spans="1:35" x14ac:dyDescent="0.45">
      <c r="A303">
        <v>302</v>
      </c>
      <c r="B303" t="s">
        <v>463</v>
      </c>
      <c r="C303" t="s">
        <v>469</v>
      </c>
      <c r="D303" t="s">
        <v>465</v>
      </c>
      <c r="E303">
        <v>5</v>
      </c>
      <c r="F303">
        <v>-5.92</v>
      </c>
      <c r="G303">
        <v>-37.011000000000003</v>
      </c>
      <c r="H303">
        <v>16331</v>
      </c>
      <c r="I303">
        <v>0</v>
      </c>
      <c r="J303">
        <v>1</v>
      </c>
      <c r="K303" t="s">
        <v>55</v>
      </c>
      <c r="L303" t="s">
        <v>55</v>
      </c>
      <c r="M303" t="s">
        <v>56</v>
      </c>
      <c r="N303">
        <v>1643404570.4300001</v>
      </c>
      <c r="O303">
        <v>0.21099999999999999</v>
      </c>
      <c r="P303">
        <v>0.433</v>
      </c>
      <c r="Q303">
        <v>54.051000000000002</v>
      </c>
      <c r="R303">
        <v>1E-3</v>
      </c>
      <c r="S303">
        <v>1E-3</v>
      </c>
      <c r="T303">
        <v>1.3149999999999999</v>
      </c>
      <c r="U303">
        <v>90.881</v>
      </c>
      <c r="V303">
        <v>24.620999999999999</v>
      </c>
      <c r="W303">
        <v>2.3420000000000001</v>
      </c>
      <c r="X303">
        <v>87.656999999999996</v>
      </c>
      <c r="Y303">
        <v>0.90300000000000002</v>
      </c>
      <c r="Z303">
        <v>1.0209999999999999</v>
      </c>
      <c r="AA303">
        <v>0</v>
      </c>
      <c r="AB303">
        <v>0</v>
      </c>
      <c r="AC303">
        <v>1</v>
      </c>
      <c r="AD303">
        <v>39.938000000000002</v>
      </c>
      <c r="AE303">
        <v>1</v>
      </c>
      <c r="AF303">
        <v>37</v>
      </c>
      <c r="AG303">
        <v>4</v>
      </c>
      <c r="AH303" t="s">
        <v>84</v>
      </c>
      <c r="AI303">
        <v>0</v>
      </c>
    </row>
    <row r="304" spans="1:35" x14ac:dyDescent="0.45">
      <c r="A304">
        <v>303</v>
      </c>
      <c r="B304" t="s">
        <v>463</v>
      </c>
      <c r="C304" t="s">
        <v>470</v>
      </c>
      <c r="D304" t="s">
        <v>465</v>
      </c>
      <c r="E304">
        <v>6</v>
      </c>
      <c r="F304">
        <v>-5.93</v>
      </c>
      <c r="G304">
        <v>-37.034999999999997</v>
      </c>
      <c r="H304">
        <v>16299</v>
      </c>
      <c r="I304">
        <v>0</v>
      </c>
      <c r="J304">
        <v>1</v>
      </c>
      <c r="K304" t="s">
        <v>55</v>
      </c>
      <c r="L304" t="s">
        <v>55</v>
      </c>
      <c r="M304" t="s">
        <v>56</v>
      </c>
      <c r="N304">
        <v>1643405106.3299999</v>
      </c>
      <c r="O304">
        <v>0.19700000000000001</v>
      </c>
      <c r="P304">
        <v>0.39400000000000002</v>
      </c>
      <c r="Q304">
        <v>52.981000000000002</v>
      </c>
      <c r="R304">
        <v>1E-3</v>
      </c>
      <c r="S304">
        <v>1E-3</v>
      </c>
      <c r="T304">
        <v>1.2829999999999999</v>
      </c>
      <c r="U304">
        <v>90.665999999999997</v>
      </c>
      <c r="V304">
        <v>25.065000000000001</v>
      </c>
      <c r="W304">
        <v>2.3140000000000001</v>
      </c>
      <c r="X304">
        <v>86.075000000000003</v>
      </c>
      <c r="Y304">
        <v>0.90400000000000003</v>
      </c>
      <c r="Z304">
        <v>0.998</v>
      </c>
      <c r="AA304">
        <v>0</v>
      </c>
      <c r="AB304">
        <v>0</v>
      </c>
      <c r="AC304">
        <v>1</v>
      </c>
      <c r="AD304">
        <v>39.938000000000002</v>
      </c>
      <c r="AE304">
        <v>1</v>
      </c>
      <c r="AF304">
        <v>37</v>
      </c>
      <c r="AG304">
        <v>4</v>
      </c>
      <c r="AH304" t="s">
        <v>84</v>
      </c>
      <c r="AI304">
        <v>0</v>
      </c>
    </row>
    <row r="305" spans="1:35" x14ac:dyDescent="0.45">
      <c r="A305">
        <v>304</v>
      </c>
      <c r="B305" t="s">
        <v>471</v>
      </c>
      <c r="C305" t="s">
        <v>472</v>
      </c>
      <c r="D305" t="s">
        <v>473</v>
      </c>
      <c r="E305">
        <v>1</v>
      </c>
      <c r="F305">
        <v>-5.9969999999999999</v>
      </c>
      <c r="G305">
        <v>-37.243000000000002</v>
      </c>
      <c r="H305">
        <v>16336</v>
      </c>
      <c r="I305">
        <v>-1</v>
      </c>
      <c r="J305">
        <v>1</v>
      </c>
      <c r="K305" t="s">
        <v>55</v>
      </c>
      <c r="L305" t="s">
        <v>55</v>
      </c>
      <c r="M305" t="s">
        <v>56</v>
      </c>
      <c r="N305">
        <v>1643405643.3299999</v>
      </c>
      <c r="O305">
        <v>0.2</v>
      </c>
      <c r="P305">
        <v>0.43</v>
      </c>
      <c r="Q305">
        <v>54.261000000000003</v>
      </c>
      <c r="R305">
        <v>1E-3</v>
      </c>
      <c r="S305">
        <v>1E-3</v>
      </c>
      <c r="T305">
        <v>1.302</v>
      </c>
      <c r="U305">
        <v>90.727000000000004</v>
      </c>
      <c r="V305">
        <v>25.420999999999999</v>
      </c>
      <c r="W305">
        <v>2.339</v>
      </c>
      <c r="X305">
        <v>86.116</v>
      </c>
      <c r="Y305">
        <v>0.89100000000000001</v>
      </c>
      <c r="Z305">
        <v>1.0129999999999999</v>
      </c>
      <c r="AA305">
        <v>0</v>
      </c>
      <c r="AB305">
        <v>0</v>
      </c>
      <c r="AC305">
        <v>1</v>
      </c>
      <c r="AD305">
        <v>39.938000000000002</v>
      </c>
      <c r="AE305">
        <v>1</v>
      </c>
      <c r="AF305">
        <v>38</v>
      </c>
      <c r="AG305">
        <v>4</v>
      </c>
      <c r="AH305" t="s">
        <v>84</v>
      </c>
      <c r="AI305">
        <v>0</v>
      </c>
    </row>
    <row r="306" spans="1:35" x14ac:dyDescent="0.45">
      <c r="A306">
        <v>305</v>
      </c>
      <c r="B306" t="s">
        <v>471</v>
      </c>
      <c r="C306" t="s">
        <v>474</v>
      </c>
      <c r="D306" t="s">
        <v>473</v>
      </c>
      <c r="E306">
        <v>2</v>
      </c>
      <c r="F306">
        <v>-6.0069999999999997</v>
      </c>
      <c r="G306">
        <v>-37.350999999999999</v>
      </c>
      <c r="H306">
        <v>16333</v>
      </c>
      <c r="I306">
        <v>-1</v>
      </c>
      <c r="J306">
        <v>1</v>
      </c>
      <c r="K306" t="s">
        <v>55</v>
      </c>
      <c r="L306" t="s">
        <v>55</v>
      </c>
      <c r="M306" t="s">
        <v>56</v>
      </c>
      <c r="N306">
        <v>1643406180.22</v>
      </c>
      <c r="O306">
        <v>0.2</v>
      </c>
      <c r="P306">
        <v>0.40699999999999997</v>
      </c>
      <c r="Q306">
        <v>53.976999999999997</v>
      </c>
      <c r="R306">
        <v>1E-3</v>
      </c>
      <c r="S306">
        <v>1E-3</v>
      </c>
      <c r="T306">
        <v>1.2889999999999999</v>
      </c>
      <c r="U306">
        <v>90.894999999999996</v>
      </c>
      <c r="V306">
        <v>25.091999999999999</v>
      </c>
      <c r="W306">
        <v>2.3119999999999998</v>
      </c>
      <c r="X306">
        <v>86.102000000000004</v>
      </c>
      <c r="Y306">
        <v>0.90800000000000003</v>
      </c>
      <c r="Z306">
        <v>0.94099999999999995</v>
      </c>
      <c r="AA306">
        <v>0</v>
      </c>
      <c r="AB306">
        <v>0</v>
      </c>
      <c r="AC306">
        <v>1</v>
      </c>
      <c r="AD306">
        <v>39.938000000000002</v>
      </c>
      <c r="AE306">
        <v>1</v>
      </c>
      <c r="AF306">
        <v>38</v>
      </c>
      <c r="AG306">
        <v>4</v>
      </c>
      <c r="AH306" t="s">
        <v>84</v>
      </c>
      <c r="AI306">
        <v>0</v>
      </c>
    </row>
    <row r="307" spans="1:35" x14ac:dyDescent="0.45">
      <c r="A307">
        <v>306</v>
      </c>
      <c r="B307" t="s">
        <v>471</v>
      </c>
      <c r="C307" t="s">
        <v>475</v>
      </c>
      <c r="D307" t="s">
        <v>473</v>
      </c>
      <c r="E307">
        <v>3</v>
      </c>
      <c r="F307">
        <v>-6.0010000000000003</v>
      </c>
      <c r="G307">
        <v>-37.253999999999998</v>
      </c>
      <c r="H307">
        <v>16296</v>
      </c>
      <c r="I307">
        <v>-1</v>
      </c>
      <c r="J307">
        <v>1</v>
      </c>
      <c r="K307" t="s">
        <v>55</v>
      </c>
      <c r="L307" t="s">
        <v>55</v>
      </c>
      <c r="M307" t="s">
        <v>56</v>
      </c>
      <c r="N307">
        <v>1643406716.2</v>
      </c>
      <c r="O307">
        <v>0.215</v>
      </c>
      <c r="P307">
        <v>0.39300000000000002</v>
      </c>
      <c r="Q307">
        <v>53.402999999999999</v>
      </c>
      <c r="R307">
        <v>1E-3</v>
      </c>
      <c r="S307">
        <v>2E-3</v>
      </c>
      <c r="T307">
        <v>1.2849999999999999</v>
      </c>
      <c r="U307">
        <v>90.525000000000006</v>
      </c>
      <c r="V307">
        <v>25.13</v>
      </c>
      <c r="W307">
        <v>2.3140000000000001</v>
      </c>
      <c r="X307">
        <v>86.510999999999996</v>
      </c>
      <c r="Y307">
        <v>0.9</v>
      </c>
      <c r="Z307">
        <v>1.1259999999999999</v>
      </c>
      <c r="AA307">
        <v>0</v>
      </c>
      <c r="AB307">
        <v>0</v>
      </c>
      <c r="AC307">
        <v>1</v>
      </c>
      <c r="AD307">
        <v>39.875</v>
      </c>
      <c r="AE307">
        <v>1</v>
      </c>
      <c r="AF307">
        <v>38</v>
      </c>
      <c r="AG307">
        <v>4</v>
      </c>
      <c r="AH307" t="s">
        <v>84</v>
      </c>
      <c r="AI307">
        <v>0</v>
      </c>
    </row>
    <row r="308" spans="1:35" x14ac:dyDescent="0.45">
      <c r="A308">
        <v>307</v>
      </c>
      <c r="B308" t="s">
        <v>471</v>
      </c>
      <c r="C308" t="s">
        <v>476</v>
      </c>
      <c r="D308" t="s">
        <v>473</v>
      </c>
      <c r="E308">
        <v>4</v>
      </c>
      <c r="F308">
        <v>-5.9969999999999999</v>
      </c>
      <c r="G308">
        <v>-37.302999999999997</v>
      </c>
      <c r="H308">
        <v>16302</v>
      </c>
      <c r="I308">
        <v>0</v>
      </c>
      <c r="J308">
        <v>1</v>
      </c>
      <c r="K308" t="s">
        <v>55</v>
      </c>
      <c r="L308" t="s">
        <v>55</v>
      </c>
      <c r="M308" t="s">
        <v>56</v>
      </c>
      <c r="N308">
        <v>1643407254.3699999</v>
      </c>
      <c r="O308">
        <v>0.19500000000000001</v>
      </c>
      <c r="P308">
        <v>0.38500000000000001</v>
      </c>
      <c r="Q308">
        <v>54.607999999999997</v>
      </c>
      <c r="R308">
        <v>1E-3</v>
      </c>
      <c r="S308">
        <v>1E-3</v>
      </c>
      <c r="T308">
        <v>1.31</v>
      </c>
      <c r="U308">
        <v>90.728999999999999</v>
      </c>
      <c r="V308">
        <v>24.757000000000001</v>
      </c>
      <c r="W308">
        <v>2.3159999999999998</v>
      </c>
      <c r="X308">
        <v>86.801000000000002</v>
      </c>
      <c r="Y308">
        <v>0.91100000000000003</v>
      </c>
      <c r="Z308">
        <v>1.03</v>
      </c>
      <c r="AA308">
        <v>0</v>
      </c>
      <c r="AB308">
        <v>0</v>
      </c>
      <c r="AC308">
        <v>1</v>
      </c>
      <c r="AD308">
        <v>39.875</v>
      </c>
      <c r="AE308">
        <v>1</v>
      </c>
      <c r="AF308">
        <v>38</v>
      </c>
      <c r="AG308">
        <v>4</v>
      </c>
      <c r="AH308" t="s">
        <v>84</v>
      </c>
      <c r="AI308">
        <v>0</v>
      </c>
    </row>
    <row r="309" spans="1:35" x14ac:dyDescent="0.45">
      <c r="A309">
        <v>308</v>
      </c>
      <c r="B309" t="s">
        <v>471</v>
      </c>
      <c r="C309" t="s">
        <v>477</v>
      </c>
      <c r="D309" t="s">
        <v>473</v>
      </c>
      <c r="E309">
        <v>5</v>
      </c>
      <c r="F309">
        <v>-5.9939999999999998</v>
      </c>
      <c r="G309">
        <v>-37.226999999999997</v>
      </c>
      <c r="H309">
        <v>16347</v>
      </c>
      <c r="I309">
        <v>0</v>
      </c>
      <c r="J309">
        <v>1</v>
      </c>
      <c r="K309" t="s">
        <v>55</v>
      </c>
      <c r="L309" t="s">
        <v>55</v>
      </c>
      <c r="M309" t="s">
        <v>56</v>
      </c>
      <c r="N309">
        <v>1643407790.3099999</v>
      </c>
      <c r="O309">
        <v>0.19700000000000001</v>
      </c>
      <c r="P309">
        <v>0.37</v>
      </c>
      <c r="Q309">
        <v>53.276000000000003</v>
      </c>
      <c r="R309">
        <v>0</v>
      </c>
      <c r="S309">
        <v>0</v>
      </c>
      <c r="T309">
        <v>1.28</v>
      </c>
      <c r="U309">
        <v>90.933999999999997</v>
      </c>
      <c r="V309">
        <v>25.452000000000002</v>
      </c>
      <c r="W309">
        <v>2.2730000000000001</v>
      </c>
      <c r="X309">
        <v>85.313000000000002</v>
      </c>
      <c r="Y309">
        <v>0.91</v>
      </c>
      <c r="Z309">
        <v>0.85</v>
      </c>
      <c r="AA309">
        <v>0</v>
      </c>
      <c r="AB309">
        <v>0</v>
      </c>
      <c r="AC309">
        <v>1</v>
      </c>
      <c r="AD309">
        <v>39.938000000000002</v>
      </c>
      <c r="AE309">
        <v>1</v>
      </c>
      <c r="AF309">
        <v>38</v>
      </c>
      <c r="AG309">
        <v>4</v>
      </c>
      <c r="AH309" t="s">
        <v>84</v>
      </c>
      <c r="AI309">
        <v>0</v>
      </c>
    </row>
    <row r="310" spans="1:35" x14ac:dyDescent="0.45">
      <c r="A310">
        <v>309</v>
      </c>
      <c r="B310" t="s">
        <v>471</v>
      </c>
      <c r="C310" t="s">
        <v>478</v>
      </c>
      <c r="D310" t="s">
        <v>473</v>
      </c>
      <c r="E310">
        <v>6</v>
      </c>
      <c r="F310">
        <v>-6.0190000000000001</v>
      </c>
      <c r="G310">
        <v>-37.283000000000001</v>
      </c>
      <c r="H310">
        <v>16317</v>
      </c>
      <c r="I310">
        <v>0</v>
      </c>
      <c r="J310">
        <v>1</v>
      </c>
      <c r="K310" t="s">
        <v>55</v>
      </c>
      <c r="L310" t="s">
        <v>55</v>
      </c>
      <c r="M310" t="s">
        <v>56</v>
      </c>
      <c r="N310">
        <v>1643408327.4000001</v>
      </c>
      <c r="O310">
        <v>0.224</v>
      </c>
      <c r="P310">
        <v>0.39100000000000001</v>
      </c>
      <c r="Q310">
        <v>53.304000000000002</v>
      </c>
      <c r="R310">
        <v>1E-3</v>
      </c>
      <c r="S310">
        <v>2E-3</v>
      </c>
      <c r="T310">
        <v>1.2909999999999999</v>
      </c>
      <c r="U310">
        <v>90.686000000000007</v>
      </c>
      <c r="V310">
        <v>25.51</v>
      </c>
      <c r="W310">
        <v>2.286</v>
      </c>
      <c r="X310">
        <v>85.218999999999994</v>
      </c>
      <c r="Y310">
        <v>0.89900000000000002</v>
      </c>
      <c r="Z310">
        <v>0.93700000000000006</v>
      </c>
      <c r="AA310">
        <v>0</v>
      </c>
      <c r="AB310">
        <v>0</v>
      </c>
      <c r="AC310">
        <v>1</v>
      </c>
      <c r="AD310">
        <v>39.875</v>
      </c>
      <c r="AE310">
        <v>1</v>
      </c>
      <c r="AF310">
        <v>38</v>
      </c>
      <c r="AG310">
        <v>4</v>
      </c>
      <c r="AH310" t="s">
        <v>84</v>
      </c>
      <c r="AI310">
        <v>0</v>
      </c>
    </row>
    <row r="311" spans="1:35" x14ac:dyDescent="0.45">
      <c r="A311">
        <v>310</v>
      </c>
      <c r="B311" t="s">
        <v>479</v>
      </c>
      <c r="C311" t="s">
        <v>480</v>
      </c>
      <c r="D311" t="s">
        <v>481</v>
      </c>
      <c r="E311">
        <v>1</v>
      </c>
      <c r="F311">
        <v>-5.952</v>
      </c>
      <c r="G311">
        <v>-36.935000000000002</v>
      </c>
      <c r="H311">
        <v>16255</v>
      </c>
      <c r="I311">
        <v>-1</v>
      </c>
      <c r="J311">
        <v>1</v>
      </c>
      <c r="K311" t="s">
        <v>55</v>
      </c>
      <c r="L311" t="s">
        <v>55</v>
      </c>
      <c r="M311" t="s">
        <v>56</v>
      </c>
      <c r="N311">
        <v>1643408865.54</v>
      </c>
      <c r="O311">
        <v>0.215</v>
      </c>
      <c r="P311">
        <v>0.37</v>
      </c>
      <c r="Q311">
        <v>54.216000000000001</v>
      </c>
      <c r="R311">
        <v>1E-3</v>
      </c>
      <c r="S311">
        <v>0</v>
      </c>
      <c r="T311">
        <v>1.2989999999999999</v>
      </c>
      <c r="U311">
        <v>90.078000000000003</v>
      </c>
      <c r="V311">
        <v>25.045000000000002</v>
      </c>
      <c r="W311">
        <v>2.323</v>
      </c>
      <c r="X311">
        <v>87.382999999999996</v>
      </c>
      <c r="Y311">
        <v>0.91600000000000004</v>
      </c>
      <c r="Z311">
        <v>1.2070000000000001</v>
      </c>
      <c r="AA311">
        <v>0</v>
      </c>
      <c r="AB311">
        <v>0</v>
      </c>
      <c r="AC311">
        <v>1</v>
      </c>
      <c r="AD311">
        <v>39.875</v>
      </c>
      <c r="AE311">
        <v>1</v>
      </c>
      <c r="AF311">
        <v>39</v>
      </c>
      <c r="AG311">
        <v>4</v>
      </c>
      <c r="AH311" t="s">
        <v>84</v>
      </c>
      <c r="AI311">
        <v>0</v>
      </c>
    </row>
    <row r="312" spans="1:35" x14ac:dyDescent="0.45">
      <c r="A312">
        <v>311</v>
      </c>
      <c r="B312" t="s">
        <v>479</v>
      </c>
      <c r="C312" t="s">
        <v>482</v>
      </c>
      <c r="D312" t="s">
        <v>481</v>
      </c>
      <c r="E312">
        <v>2</v>
      </c>
      <c r="F312">
        <v>-5.9029999999999996</v>
      </c>
      <c r="G312">
        <v>-36.819000000000003</v>
      </c>
      <c r="H312">
        <v>16311</v>
      </c>
      <c r="I312">
        <v>-1</v>
      </c>
      <c r="J312">
        <v>1</v>
      </c>
      <c r="K312" t="s">
        <v>55</v>
      </c>
      <c r="L312" t="s">
        <v>55</v>
      </c>
      <c r="M312" t="s">
        <v>56</v>
      </c>
      <c r="N312">
        <v>1643409402.3499999</v>
      </c>
      <c r="O312">
        <v>0.19400000000000001</v>
      </c>
      <c r="P312">
        <v>0.4</v>
      </c>
      <c r="Q312">
        <v>53.86</v>
      </c>
      <c r="R312">
        <v>1E-3</v>
      </c>
      <c r="S312">
        <v>1E-3</v>
      </c>
      <c r="T312">
        <v>1.3029999999999999</v>
      </c>
      <c r="U312">
        <v>90.623999999999995</v>
      </c>
      <c r="V312">
        <v>25.004000000000001</v>
      </c>
      <c r="W312">
        <v>2.3580000000000001</v>
      </c>
      <c r="X312">
        <v>86.864999999999995</v>
      </c>
      <c r="Y312">
        <v>0.90800000000000003</v>
      </c>
      <c r="Z312">
        <v>1.0640000000000001</v>
      </c>
      <c r="AA312">
        <v>0</v>
      </c>
      <c r="AB312">
        <v>0</v>
      </c>
      <c r="AC312">
        <v>1</v>
      </c>
      <c r="AD312">
        <v>39.811999999999998</v>
      </c>
      <c r="AE312">
        <v>1</v>
      </c>
      <c r="AF312">
        <v>39</v>
      </c>
      <c r="AG312">
        <v>4</v>
      </c>
      <c r="AH312" t="s">
        <v>84</v>
      </c>
      <c r="AI312">
        <v>0</v>
      </c>
    </row>
    <row r="313" spans="1:35" x14ac:dyDescent="0.45">
      <c r="A313">
        <v>312</v>
      </c>
      <c r="B313" t="s">
        <v>479</v>
      </c>
      <c r="C313" t="s">
        <v>483</v>
      </c>
      <c r="D313" t="s">
        <v>481</v>
      </c>
      <c r="E313">
        <v>3</v>
      </c>
      <c r="F313">
        <v>-5.9450000000000003</v>
      </c>
      <c r="G313">
        <v>-37.018000000000001</v>
      </c>
      <c r="H313">
        <v>16357</v>
      </c>
      <c r="I313">
        <v>-1</v>
      </c>
      <c r="J313">
        <v>1</v>
      </c>
      <c r="K313" t="s">
        <v>55</v>
      </c>
      <c r="L313" t="s">
        <v>55</v>
      </c>
      <c r="M313" t="s">
        <v>56</v>
      </c>
      <c r="N313">
        <v>1643409939.3699999</v>
      </c>
      <c r="O313">
        <v>0.20200000000000001</v>
      </c>
      <c r="P313">
        <v>0.437</v>
      </c>
      <c r="Q313">
        <v>54.420999999999999</v>
      </c>
      <c r="R313">
        <v>1E-3</v>
      </c>
      <c r="S313">
        <v>2E-3</v>
      </c>
      <c r="T313">
        <v>1.3029999999999999</v>
      </c>
      <c r="U313">
        <v>90.984999999999999</v>
      </c>
      <c r="V313">
        <v>24.797000000000001</v>
      </c>
      <c r="W313">
        <v>2.3620000000000001</v>
      </c>
      <c r="X313">
        <v>87.75</v>
      </c>
      <c r="Y313">
        <v>0.92200000000000004</v>
      </c>
      <c r="Z313">
        <v>1.133</v>
      </c>
      <c r="AA313">
        <v>0</v>
      </c>
      <c r="AB313">
        <v>0</v>
      </c>
      <c r="AC313">
        <v>1</v>
      </c>
      <c r="AD313">
        <v>39.811999999999998</v>
      </c>
      <c r="AE313">
        <v>1</v>
      </c>
      <c r="AF313">
        <v>39</v>
      </c>
      <c r="AG313">
        <v>4</v>
      </c>
      <c r="AH313" t="s">
        <v>84</v>
      </c>
      <c r="AI313">
        <v>0</v>
      </c>
    </row>
    <row r="314" spans="1:35" x14ac:dyDescent="0.45">
      <c r="A314">
        <v>313</v>
      </c>
      <c r="B314" t="s">
        <v>479</v>
      </c>
      <c r="C314" t="s">
        <v>484</v>
      </c>
      <c r="D314" t="s">
        <v>481</v>
      </c>
      <c r="E314">
        <v>4</v>
      </c>
      <c r="F314">
        <v>-5.8929999999999998</v>
      </c>
      <c r="G314">
        <v>-36.921999999999997</v>
      </c>
      <c r="H314">
        <v>16311</v>
      </c>
      <c r="I314">
        <v>0</v>
      </c>
      <c r="J314">
        <v>1</v>
      </c>
      <c r="K314" t="s">
        <v>55</v>
      </c>
      <c r="L314" t="s">
        <v>55</v>
      </c>
      <c r="M314" t="s">
        <v>56</v>
      </c>
      <c r="N314">
        <v>1643410476.3900001</v>
      </c>
      <c r="O314">
        <v>0.214</v>
      </c>
      <c r="P314">
        <v>0.43099999999999999</v>
      </c>
      <c r="Q314">
        <v>53.287999999999997</v>
      </c>
      <c r="R314">
        <v>1E-3</v>
      </c>
      <c r="S314">
        <v>0</v>
      </c>
      <c r="T314">
        <v>1.2789999999999999</v>
      </c>
      <c r="U314">
        <v>90.625</v>
      </c>
      <c r="V314">
        <v>24.712</v>
      </c>
      <c r="W314">
        <v>2.3740000000000001</v>
      </c>
      <c r="X314">
        <v>87.802999999999997</v>
      </c>
      <c r="Y314">
        <v>0.90600000000000003</v>
      </c>
      <c r="Z314">
        <v>1.262</v>
      </c>
      <c r="AA314">
        <v>0</v>
      </c>
      <c r="AB314">
        <v>0</v>
      </c>
      <c r="AC314">
        <v>1</v>
      </c>
      <c r="AD314">
        <v>39.811999999999998</v>
      </c>
      <c r="AE314">
        <v>1</v>
      </c>
      <c r="AF314">
        <v>39</v>
      </c>
      <c r="AG314">
        <v>4</v>
      </c>
      <c r="AH314" t="s">
        <v>84</v>
      </c>
      <c r="AI314">
        <v>0</v>
      </c>
    </row>
    <row r="315" spans="1:35" x14ac:dyDescent="0.45">
      <c r="A315">
        <v>314</v>
      </c>
      <c r="B315" t="s">
        <v>479</v>
      </c>
      <c r="C315" t="s">
        <v>485</v>
      </c>
      <c r="D315" t="s">
        <v>481</v>
      </c>
      <c r="E315">
        <v>5</v>
      </c>
      <c r="F315">
        <v>-5.931</v>
      </c>
      <c r="G315">
        <v>-36.871000000000002</v>
      </c>
      <c r="H315">
        <v>16311</v>
      </c>
      <c r="I315">
        <v>0</v>
      </c>
      <c r="J315">
        <v>1</v>
      </c>
      <c r="K315" t="s">
        <v>55</v>
      </c>
      <c r="L315" t="s">
        <v>55</v>
      </c>
      <c r="M315" t="s">
        <v>56</v>
      </c>
      <c r="N315">
        <v>1643411014.46</v>
      </c>
      <c r="O315">
        <v>0.184</v>
      </c>
      <c r="P315">
        <v>0.41799999999999998</v>
      </c>
      <c r="Q315">
        <v>54.728999999999999</v>
      </c>
      <c r="R315">
        <v>1E-3</v>
      </c>
      <c r="S315">
        <v>1E-3</v>
      </c>
      <c r="T315">
        <v>1.3129999999999999</v>
      </c>
      <c r="U315">
        <v>90.566000000000003</v>
      </c>
      <c r="V315">
        <v>24.859000000000002</v>
      </c>
      <c r="W315">
        <v>2.3530000000000002</v>
      </c>
      <c r="X315">
        <v>87.478999999999999</v>
      </c>
      <c r="Y315">
        <v>0.91900000000000004</v>
      </c>
      <c r="Z315">
        <v>1.1879999999999999</v>
      </c>
      <c r="AA315">
        <v>0</v>
      </c>
      <c r="AB315">
        <v>0</v>
      </c>
      <c r="AC315">
        <v>1</v>
      </c>
      <c r="AD315">
        <v>39.811999999999998</v>
      </c>
      <c r="AE315">
        <v>1</v>
      </c>
      <c r="AF315">
        <v>39</v>
      </c>
      <c r="AG315">
        <v>4</v>
      </c>
      <c r="AH315" t="s">
        <v>84</v>
      </c>
      <c r="AI315">
        <v>0</v>
      </c>
    </row>
    <row r="316" spans="1:35" x14ac:dyDescent="0.45">
      <c r="A316">
        <v>315</v>
      </c>
      <c r="B316" t="s">
        <v>479</v>
      </c>
      <c r="C316" t="s">
        <v>486</v>
      </c>
      <c r="D316" t="s">
        <v>481</v>
      </c>
      <c r="E316">
        <v>6</v>
      </c>
      <c r="F316">
        <v>-5.9210000000000003</v>
      </c>
      <c r="G316">
        <v>-36.9</v>
      </c>
      <c r="H316">
        <v>16247</v>
      </c>
      <c r="I316">
        <v>0</v>
      </c>
      <c r="J316">
        <v>1</v>
      </c>
      <c r="K316" t="s">
        <v>55</v>
      </c>
      <c r="L316" t="s">
        <v>55</v>
      </c>
      <c r="M316" t="s">
        <v>56</v>
      </c>
      <c r="N316">
        <v>1643411550.49</v>
      </c>
      <c r="O316">
        <v>0.217</v>
      </c>
      <c r="P316">
        <v>0.41899999999999998</v>
      </c>
      <c r="Q316">
        <v>53.237000000000002</v>
      </c>
      <c r="R316">
        <v>1E-3</v>
      </c>
      <c r="S316">
        <v>-1E-3</v>
      </c>
      <c r="T316">
        <v>1.276</v>
      </c>
      <c r="U316">
        <v>90.100999999999999</v>
      </c>
      <c r="V316">
        <v>25.062999999999999</v>
      </c>
      <c r="W316">
        <v>2.298</v>
      </c>
      <c r="X316">
        <v>87.007999999999996</v>
      </c>
      <c r="Y316">
        <v>0.91</v>
      </c>
      <c r="Z316">
        <v>1.216</v>
      </c>
      <c r="AA316">
        <v>0</v>
      </c>
      <c r="AB316">
        <v>0</v>
      </c>
      <c r="AC316">
        <v>1</v>
      </c>
      <c r="AD316">
        <v>39.75</v>
      </c>
      <c r="AE316">
        <v>1</v>
      </c>
      <c r="AF316">
        <v>39</v>
      </c>
      <c r="AG316">
        <v>4</v>
      </c>
      <c r="AH316" t="s">
        <v>84</v>
      </c>
      <c r="AI316">
        <v>0</v>
      </c>
    </row>
    <row r="317" spans="1:35" x14ac:dyDescent="0.45">
      <c r="A317">
        <v>316</v>
      </c>
      <c r="B317" t="s">
        <v>487</v>
      </c>
      <c r="C317" t="s">
        <v>488</v>
      </c>
      <c r="D317" t="s">
        <v>489</v>
      </c>
      <c r="E317">
        <v>1</v>
      </c>
      <c r="F317">
        <v>-5.8979999999999997</v>
      </c>
      <c r="G317">
        <v>-36.938000000000002</v>
      </c>
      <c r="H317">
        <v>16268</v>
      </c>
      <c r="I317">
        <v>-1</v>
      </c>
      <c r="J317">
        <v>1</v>
      </c>
      <c r="K317" t="s">
        <v>55</v>
      </c>
      <c r="L317" t="s">
        <v>55</v>
      </c>
      <c r="M317" t="s">
        <v>56</v>
      </c>
      <c r="N317">
        <v>1643412088.29</v>
      </c>
      <c r="O317">
        <v>0.20200000000000001</v>
      </c>
      <c r="P317">
        <v>0.46500000000000002</v>
      </c>
      <c r="Q317">
        <v>54.726999999999997</v>
      </c>
      <c r="R317">
        <v>1E-3</v>
      </c>
      <c r="S317">
        <v>2E-3</v>
      </c>
      <c r="T317">
        <v>1.321</v>
      </c>
      <c r="U317">
        <v>90.328000000000003</v>
      </c>
      <c r="V317">
        <v>25.231000000000002</v>
      </c>
      <c r="W317">
        <v>2.3119999999999998</v>
      </c>
      <c r="X317">
        <v>86.233000000000004</v>
      </c>
      <c r="Y317">
        <v>0.90900000000000003</v>
      </c>
      <c r="Z317">
        <v>1.0680000000000001</v>
      </c>
      <c r="AA317">
        <v>0</v>
      </c>
      <c r="AB317">
        <v>0</v>
      </c>
      <c r="AC317">
        <v>1</v>
      </c>
      <c r="AD317">
        <v>39.75</v>
      </c>
      <c r="AE317">
        <v>1</v>
      </c>
      <c r="AF317">
        <v>40</v>
      </c>
      <c r="AG317">
        <v>4</v>
      </c>
      <c r="AH317" t="s">
        <v>84</v>
      </c>
      <c r="AI317">
        <v>0</v>
      </c>
    </row>
    <row r="318" spans="1:35" x14ac:dyDescent="0.45">
      <c r="A318">
        <v>317</v>
      </c>
      <c r="B318" t="s">
        <v>487</v>
      </c>
      <c r="C318" t="s">
        <v>490</v>
      </c>
      <c r="D318" t="s">
        <v>489</v>
      </c>
      <c r="E318">
        <v>2</v>
      </c>
      <c r="F318">
        <v>-5.9320000000000004</v>
      </c>
      <c r="G318">
        <v>-37.018999999999998</v>
      </c>
      <c r="H318">
        <v>16391</v>
      </c>
      <c r="I318">
        <v>-1</v>
      </c>
      <c r="J318">
        <v>1</v>
      </c>
      <c r="K318" t="s">
        <v>55</v>
      </c>
      <c r="L318" t="s">
        <v>55</v>
      </c>
      <c r="M318" t="s">
        <v>56</v>
      </c>
      <c r="N318">
        <v>1643412625.3</v>
      </c>
      <c r="O318">
        <v>0.20599999999999999</v>
      </c>
      <c r="P318">
        <v>0.42499999999999999</v>
      </c>
      <c r="Q318">
        <v>52.65</v>
      </c>
      <c r="R318">
        <v>1E-3</v>
      </c>
      <c r="S318">
        <v>2E-3</v>
      </c>
      <c r="T318">
        <v>1.2709999999999999</v>
      </c>
      <c r="U318">
        <v>91.117000000000004</v>
      </c>
      <c r="V318">
        <v>24.725000000000001</v>
      </c>
      <c r="W318">
        <v>2.3639999999999999</v>
      </c>
      <c r="X318">
        <v>88.596999999999994</v>
      </c>
      <c r="Y318">
        <v>0.91800000000000004</v>
      </c>
      <c r="Z318">
        <v>1.202</v>
      </c>
      <c r="AA318">
        <v>0</v>
      </c>
      <c r="AB318">
        <v>0</v>
      </c>
      <c r="AC318">
        <v>1</v>
      </c>
      <c r="AD318">
        <v>39.688000000000002</v>
      </c>
      <c r="AE318">
        <v>1</v>
      </c>
      <c r="AF318">
        <v>40</v>
      </c>
      <c r="AG318">
        <v>4</v>
      </c>
      <c r="AH318" t="s">
        <v>84</v>
      </c>
      <c r="AI318">
        <v>0</v>
      </c>
    </row>
    <row r="319" spans="1:35" x14ac:dyDescent="0.45">
      <c r="A319">
        <v>318</v>
      </c>
      <c r="B319" t="s">
        <v>487</v>
      </c>
      <c r="C319" t="s">
        <v>491</v>
      </c>
      <c r="D319" t="s">
        <v>489</v>
      </c>
      <c r="E319">
        <v>3</v>
      </c>
      <c r="F319">
        <v>-5.9139999999999997</v>
      </c>
      <c r="G319">
        <v>-36.917000000000002</v>
      </c>
      <c r="H319">
        <v>16310</v>
      </c>
      <c r="I319">
        <v>-1</v>
      </c>
      <c r="J319">
        <v>1</v>
      </c>
      <c r="K319" t="s">
        <v>55</v>
      </c>
      <c r="L319" t="s">
        <v>55</v>
      </c>
      <c r="M319" t="s">
        <v>56</v>
      </c>
      <c r="N319">
        <v>1643413162.8900001</v>
      </c>
      <c r="O319">
        <v>0.192</v>
      </c>
      <c r="P319">
        <v>0.48899999999999999</v>
      </c>
      <c r="Q319">
        <v>54.371000000000002</v>
      </c>
      <c r="R319">
        <v>1E-3</v>
      </c>
      <c r="S319">
        <v>1E-3</v>
      </c>
      <c r="T319">
        <v>1.3089999999999999</v>
      </c>
      <c r="U319">
        <v>90.49</v>
      </c>
      <c r="V319">
        <v>25.420999999999999</v>
      </c>
      <c r="W319">
        <v>2.319</v>
      </c>
      <c r="X319">
        <v>86.545000000000002</v>
      </c>
      <c r="Y319">
        <v>0.91</v>
      </c>
      <c r="Z319">
        <v>1.111</v>
      </c>
      <c r="AA319">
        <v>0</v>
      </c>
      <c r="AB319">
        <v>0</v>
      </c>
      <c r="AC319">
        <v>1</v>
      </c>
      <c r="AD319">
        <v>39.688000000000002</v>
      </c>
      <c r="AE319">
        <v>1</v>
      </c>
      <c r="AF319">
        <v>40</v>
      </c>
      <c r="AG319">
        <v>4</v>
      </c>
      <c r="AH319" t="s">
        <v>84</v>
      </c>
      <c r="AI319">
        <v>0</v>
      </c>
    </row>
    <row r="320" spans="1:35" x14ac:dyDescent="0.45">
      <c r="A320">
        <v>319</v>
      </c>
      <c r="B320" t="s">
        <v>487</v>
      </c>
      <c r="C320" t="s">
        <v>492</v>
      </c>
      <c r="D320" t="s">
        <v>489</v>
      </c>
      <c r="E320">
        <v>4</v>
      </c>
      <c r="F320">
        <v>-5.9210000000000003</v>
      </c>
      <c r="G320">
        <v>-36.993000000000002</v>
      </c>
      <c r="H320">
        <v>16336</v>
      </c>
      <c r="I320">
        <v>0</v>
      </c>
      <c r="J320">
        <v>1</v>
      </c>
      <c r="K320" t="s">
        <v>55</v>
      </c>
      <c r="L320" t="s">
        <v>55</v>
      </c>
      <c r="M320" t="s">
        <v>56</v>
      </c>
      <c r="N320">
        <v>1643413700.3399999</v>
      </c>
      <c r="O320">
        <v>0.20799999999999999</v>
      </c>
      <c r="P320">
        <v>0.42099999999999999</v>
      </c>
      <c r="Q320">
        <v>54.923000000000002</v>
      </c>
      <c r="R320">
        <v>1E-3</v>
      </c>
      <c r="S320">
        <v>0</v>
      </c>
      <c r="T320">
        <v>1.3120000000000001</v>
      </c>
      <c r="U320">
        <v>90.603999999999999</v>
      </c>
      <c r="V320">
        <v>25.483000000000001</v>
      </c>
      <c r="W320">
        <v>2.319</v>
      </c>
      <c r="X320">
        <v>86.537000000000006</v>
      </c>
      <c r="Y320">
        <v>0.91300000000000003</v>
      </c>
      <c r="Z320">
        <v>1.163</v>
      </c>
      <c r="AA320">
        <v>0</v>
      </c>
      <c r="AB320">
        <v>0</v>
      </c>
      <c r="AC320">
        <v>1</v>
      </c>
      <c r="AD320">
        <v>39.625</v>
      </c>
      <c r="AE320">
        <v>1</v>
      </c>
      <c r="AF320">
        <v>40</v>
      </c>
      <c r="AG320">
        <v>4</v>
      </c>
      <c r="AH320" t="s">
        <v>84</v>
      </c>
      <c r="AI320">
        <v>0</v>
      </c>
    </row>
    <row r="321" spans="1:35" x14ac:dyDescent="0.45">
      <c r="A321">
        <v>320</v>
      </c>
      <c r="B321" t="s">
        <v>487</v>
      </c>
      <c r="C321" t="s">
        <v>493</v>
      </c>
      <c r="D321" t="s">
        <v>489</v>
      </c>
      <c r="E321">
        <v>5</v>
      </c>
      <c r="F321">
        <v>-5.9029999999999996</v>
      </c>
      <c r="G321">
        <v>-36.96</v>
      </c>
      <c r="H321">
        <v>16297</v>
      </c>
      <c r="I321">
        <v>0</v>
      </c>
      <c r="J321">
        <v>1</v>
      </c>
      <c r="K321" t="s">
        <v>55</v>
      </c>
      <c r="L321" t="s">
        <v>55</v>
      </c>
      <c r="M321" t="s">
        <v>56</v>
      </c>
      <c r="N321">
        <v>1643414236.71</v>
      </c>
      <c r="O321">
        <v>0.20100000000000001</v>
      </c>
      <c r="P321">
        <v>0.42199999999999999</v>
      </c>
      <c r="Q321">
        <v>53.015000000000001</v>
      </c>
      <c r="R321">
        <v>1E-3</v>
      </c>
      <c r="S321">
        <v>1E-3</v>
      </c>
      <c r="T321">
        <v>1.276</v>
      </c>
      <c r="U321">
        <v>90.341999999999999</v>
      </c>
      <c r="V321">
        <v>25.337</v>
      </c>
      <c r="W321">
        <v>2.3490000000000002</v>
      </c>
      <c r="X321">
        <v>87.128</v>
      </c>
      <c r="Y321">
        <v>0.90500000000000003</v>
      </c>
      <c r="Z321">
        <v>1.2010000000000001</v>
      </c>
      <c r="AA321">
        <v>0</v>
      </c>
      <c r="AB321">
        <v>0</v>
      </c>
      <c r="AC321">
        <v>1</v>
      </c>
      <c r="AD321">
        <v>39.75</v>
      </c>
      <c r="AE321">
        <v>1</v>
      </c>
      <c r="AF321">
        <v>40</v>
      </c>
      <c r="AG321">
        <v>4</v>
      </c>
      <c r="AH321" t="s">
        <v>84</v>
      </c>
      <c r="AI321">
        <v>0</v>
      </c>
    </row>
    <row r="322" spans="1:35" x14ac:dyDescent="0.45">
      <c r="A322">
        <v>321</v>
      </c>
      <c r="B322" t="s">
        <v>487</v>
      </c>
      <c r="C322" t="s">
        <v>494</v>
      </c>
      <c r="D322" t="s">
        <v>489</v>
      </c>
      <c r="E322">
        <v>6</v>
      </c>
      <c r="F322">
        <v>-5.9050000000000002</v>
      </c>
      <c r="G322">
        <v>-37.036000000000001</v>
      </c>
      <c r="H322">
        <v>16288</v>
      </c>
      <c r="I322">
        <v>0</v>
      </c>
      <c r="J322">
        <v>1</v>
      </c>
      <c r="K322" t="s">
        <v>55</v>
      </c>
      <c r="L322" t="s">
        <v>55</v>
      </c>
      <c r="M322" t="s">
        <v>56</v>
      </c>
      <c r="N322">
        <v>1643414775.29</v>
      </c>
      <c r="O322">
        <v>0.19</v>
      </c>
      <c r="P322">
        <v>0.41099999999999998</v>
      </c>
      <c r="Q322">
        <v>53.802</v>
      </c>
      <c r="R322">
        <v>1E-3</v>
      </c>
      <c r="S322">
        <v>1E-3</v>
      </c>
      <c r="T322">
        <v>1.3</v>
      </c>
      <c r="U322">
        <v>90.533000000000001</v>
      </c>
      <c r="V322">
        <v>24.991</v>
      </c>
      <c r="W322">
        <v>2.319</v>
      </c>
      <c r="X322">
        <v>86.744</v>
      </c>
      <c r="Y322">
        <v>0.91300000000000003</v>
      </c>
      <c r="Z322">
        <v>1.0720000000000001</v>
      </c>
      <c r="AA322">
        <v>0</v>
      </c>
      <c r="AB322">
        <v>0</v>
      </c>
      <c r="AC322">
        <v>1</v>
      </c>
      <c r="AD322">
        <v>39.688000000000002</v>
      </c>
      <c r="AE322">
        <v>1</v>
      </c>
      <c r="AF322">
        <v>40</v>
      </c>
      <c r="AG322">
        <v>4</v>
      </c>
      <c r="AH322" t="s">
        <v>84</v>
      </c>
      <c r="AI322">
        <v>0</v>
      </c>
    </row>
    <row r="323" spans="1:35" x14ac:dyDescent="0.45">
      <c r="A323">
        <v>322</v>
      </c>
      <c r="B323" t="s">
        <v>495</v>
      </c>
      <c r="C323" t="s">
        <v>496</v>
      </c>
      <c r="D323" t="s">
        <v>497</v>
      </c>
      <c r="E323">
        <v>1</v>
      </c>
      <c r="F323">
        <v>-5.9509999999999996</v>
      </c>
      <c r="G323">
        <v>-37.026000000000003</v>
      </c>
      <c r="H323">
        <v>16260</v>
      </c>
      <c r="I323">
        <v>-1</v>
      </c>
      <c r="J323">
        <v>1</v>
      </c>
      <c r="K323" t="s">
        <v>55</v>
      </c>
      <c r="L323" t="s">
        <v>55</v>
      </c>
      <c r="M323" t="s">
        <v>56</v>
      </c>
      <c r="N323">
        <v>1643415310.6300001</v>
      </c>
      <c r="O323">
        <v>0.17299999999999999</v>
      </c>
      <c r="P323">
        <v>0.433</v>
      </c>
      <c r="Q323">
        <v>53.063000000000002</v>
      </c>
      <c r="R323">
        <v>0</v>
      </c>
      <c r="S323">
        <v>0</v>
      </c>
      <c r="T323">
        <v>1.278</v>
      </c>
      <c r="U323">
        <v>90.346000000000004</v>
      </c>
      <c r="V323">
        <v>24.919</v>
      </c>
      <c r="W323">
        <v>2.2850000000000001</v>
      </c>
      <c r="X323">
        <v>86.576999999999998</v>
      </c>
      <c r="Y323">
        <v>0.91</v>
      </c>
      <c r="Z323">
        <v>1.155</v>
      </c>
      <c r="AA323">
        <v>0</v>
      </c>
      <c r="AB323">
        <v>0</v>
      </c>
      <c r="AC323">
        <v>1</v>
      </c>
      <c r="AD323">
        <v>39.625</v>
      </c>
      <c r="AE323">
        <v>1</v>
      </c>
      <c r="AF323">
        <v>41</v>
      </c>
      <c r="AG323">
        <v>4</v>
      </c>
      <c r="AH323" t="s">
        <v>84</v>
      </c>
      <c r="AI323">
        <v>0</v>
      </c>
    </row>
    <row r="324" spans="1:35" x14ac:dyDescent="0.45">
      <c r="A324">
        <v>323</v>
      </c>
      <c r="B324" t="s">
        <v>495</v>
      </c>
      <c r="C324" t="s">
        <v>498</v>
      </c>
      <c r="D324" t="s">
        <v>497</v>
      </c>
      <c r="E324">
        <v>2</v>
      </c>
      <c r="F324">
        <v>-5.9269999999999996</v>
      </c>
      <c r="G324">
        <v>-37.049999999999997</v>
      </c>
      <c r="H324">
        <v>16272</v>
      </c>
      <c r="I324">
        <v>-1</v>
      </c>
      <c r="J324">
        <v>1</v>
      </c>
      <c r="K324" t="s">
        <v>55</v>
      </c>
      <c r="L324" t="s">
        <v>55</v>
      </c>
      <c r="M324" t="s">
        <v>56</v>
      </c>
      <c r="N324">
        <v>1643415847.73</v>
      </c>
      <c r="O324">
        <v>0.19600000000000001</v>
      </c>
      <c r="P324">
        <v>0.39200000000000002</v>
      </c>
      <c r="Q324">
        <v>54.594000000000001</v>
      </c>
      <c r="R324">
        <v>0</v>
      </c>
      <c r="S324">
        <v>1E-3</v>
      </c>
      <c r="T324">
        <v>1.3069999999999999</v>
      </c>
      <c r="U324">
        <v>90.159000000000006</v>
      </c>
      <c r="V324">
        <v>24.791</v>
      </c>
      <c r="W324">
        <v>2.4089999999999998</v>
      </c>
      <c r="X324">
        <v>88.483000000000004</v>
      </c>
      <c r="Y324">
        <v>0.91</v>
      </c>
      <c r="Z324">
        <v>1.409</v>
      </c>
      <c r="AA324">
        <v>0</v>
      </c>
      <c r="AB324">
        <v>0</v>
      </c>
      <c r="AC324">
        <v>1</v>
      </c>
      <c r="AD324">
        <v>39.561999999999998</v>
      </c>
      <c r="AE324">
        <v>1</v>
      </c>
      <c r="AF324">
        <v>41</v>
      </c>
      <c r="AG324">
        <v>4</v>
      </c>
      <c r="AH324" t="s">
        <v>84</v>
      </c>
      <c r="AI324">
        <v>0</v>
      </c>
    </row>
    <row r="325" spans="1:35" x14ac:dyDescent="0.45">
      <c r="A325">
        <v>324</v>
      </c>
      <c r="B325" t="s">
        <v>495</v>
      </c>
      <c r="C325" t="s">
        <v>499</v>
      </c>
      <c r="D325" t="s">
        <v>497</v>
      </c>
      <c r="E325">
        <v>3</v>
      </c>
      <c r="F325">
        <v>-5.9569999999999999</v>
      </c>
      <c r="G325">
        <v>-37.024000000000001</v>
      </c>
      <c r="H325">
        <v>16279</v>
      </c>
      <c r="I325">
        <v>-1</v>
      </c>
      <c r="J325">
        <v>1</v>
      </c>
      <c r="K325" t="s">
        <v>55</v>
      </c>
      <c r="L325" t="s">
        <v>55</v>
      </c>
      <c r="M325" t="s">
        <v>56</v>
      </c>
      <c r="N325">
        <v>1643416384.47</v>
      </c>
      <c r="O325">
        <v>0.20499999999999999</v>
      </c>
      <c r="P325">
        <v>0.39200000000000002</v>
      </c>
      <c r="Q325">
        <v>53.106000000000002</v>
      </c>
      <c r="R325">
        <v>1E-3</v>
      </c>
      <c r="S325">
        <v>1E-3</v>
      </c>
      <c r="T325">
        <v>1.2769999999999999</v>
      </c>
      <c r="U325">
        <v>90.519000000000005</v>
      </c>
      <c r="V325">
        <v>24.954999999999998</v>
      </c>
      <c r="W325">
        <v>2.3250000000000002</v>
      </c>
      <c r="X325">
        <v>86.34</v>
      </c>
      <c r="Y325">
        <v>0.90500000000000003</v>
      </c>
      <c r="Z325">
        <v>1.0109999999999999</v>
      </c>
      <c r="AA325">
        <v>0</v>
      </c>
      <c r="AB325">
        <v>0</v>
      </c>
      <c r="AC325">
        <v>1</v>
      </c>
      <c r="AD325">
        <v>39.625</v>
      </c>
      <c r="AE325">
        <v>1</v>
      </c>
      <c r="AF325">
        <v>41</v>
      </c>
      <c r="AG325">
        <v>4</v>
      </c>
      <c r="AH325" t="s">
        <v>84</v>
      </c>
      <c r="AI325">
        <v>0</v>
      </c>
    </row>
    <row r="326" spans="1:35" x14ac:dyDescent="0.45">
      <c r="A326">
        <v>325</v>
      </c>
      <c r="B326" t="s">
        <v>495</v>
      </c>
      <c r="C326" t="s">
        <v>500</v>
      </c>
      <c r="D326" t="s">
        <v>497</v>
      </c>
      <c r="E326">
        <v>4</v>
      </c>
      <c r="F326">
        <v>-5.9329999999999998</v>
      </c>
      <c r="G326">
        <v>-37.018999999999998</v>
      </c>
      <c r="H326">
        <v>16325</v>
      </c>
      <c r="I326">
        <v>0</v>
      </c>
      <c r="J326">
        <v>1</v>
      </c>
      <c r="K326" t="s">
        <v>55</v>
      </c>
      <c r="L326" t="s">
        <v>55</v>
      </c>
      <c r="M326" t="s">
        <v>56</v>
      </c>
      <c r="N326">
        <v>1643416921.8599999</v>
      </c>
      <c r="O326">
        <v>0.21</v>
      </c>
      <c r="P326">
        <v>0.4</v>
      </c>
      <c r="Q326">
        <v>54.393999999999998</v>
      </c>
      <c r="R326">
        <v>1E-3</v>
      </c>
      <c r="S326">
        <v>1E-3</v>
      </c>
      <c r="T326">
        <v>1.306</v>
      </c>
      <c r="U326">
        <v>90.807000000000002</v>
      </c>
      <c r="V326">
        <v>24.963999999999999</v>
      </c>
      <c r="W326">
        <v>2.331</v>
      </c>
      <c r="X326">
        <v>86.665000000000006</v>
      </c>
      <c r="Y326">
        <v>0.89900000000000002</v>
      </c>
      <c r="Z326">
        <v>1.044</v>
      </c>
      <c r="AA326">
        <v>0</v>
      </c>
      <c r="AB326">
        <v>0</v>
      </c>
      <c r="AC326">
        <v>1</v>
      </c>
      <c r="AD326">
        <v>39.688000000000002</v>
      </c>
      <c r="AE326">
        <v>1</v>
      </c>
      <c r="AF326">
        <v>41</v>
      </c>
      <c r="AG326">
        <v>4</v>
      </c>
      <c r="AH326" t="s">
        <v>84</v>
      </c>
      <c r="AI326">
        <v>0</v>
      </c>
    </row>
    <row r="327" spans="1:35" x14ac:dyDescent="0.45">
      <c r="A327">
        <v>326</v>
      </c>
      <c r="B327" t="s">
        <v>495</v>
      </c>
      <c r="C327" t="s">
        <v>501</v>
      </c>
      <c r="D327" t="s">
        <v>497</v>
      </c>
      <c r="E327">
        <v>5</v>
      </c>
      <c r="F327">
        <v>-5.9649999999999999</v>
      </c>
      <c r="G327">
        <v>-37.026000000000003</v>
      </c>
      <c r="H327">
        <v>16273</v>
      </c>
      <c r="I327">
        <v>0</v>
      </c>
      <c r="J327">
        <v>1</v>
      </c>
      <c r="K327" t="s">
        <v>55</v>
      </c>
      <c r="L327" t="s">
        <v>55</v>
      </c>
      <c r="M327" t="s">
        <v>56</v>
      </c>
      <c r="N327">
        <v>1643417458.3699999</v>
      </c>
      <c r="O327">
        <v>0.20699999999999999</v>
      </c>
      <c r="P327">
        <v>0.39900000000000002</v>
      </c>
      <c r="Q327">
        <v>53.838999999999999</v>
      </c>
      <c r="R327">
        <v>1E-3</v>
      </c>
      <c r="S327">
        <v>0</v>
      </c>
      <c r="T327">
        <v>1.296</v>
      </c>
      <c r="U327">
        <v>90.620999999999995</v>
      </c>
      <c r="V327">
        <v>24.707000000000001</v>
      </c>
      <c r="W327">
        <v>2.3130000000000002</v>
      </c>
      <c r="X327">
        <v>86.146000000000001</v>
      </c>
      <c r="Y327">
        <v>0.91700000000000004</v>
      </c>
      <c r="Z327">
        <v>0.96299999999999997</v>
      </c>
      <c r="AA327">
        <v>0</v>
      </c>
      <c r="AB327">
        <v>0</v>
      </c>
      <c r="AC327">
        <v>1</v>
      </c>
      <c r="AD327">
        <v>39.688000000000002</v>
      </c>
      <c r="AE327">
        <v>1</v>
      </c>
      <c r="AF327">
        <v>41</v>
      </c>
      <c r="AG327">
        <v>4</v>
      </c>
      <c r="AH327" t="s">
        <v>84</v>
      </c>
      <c r="AI327">
        <v>0</v>
      </c>
    </row>
    <row r="328" spans="1:35" x14ac:dyDescent="0.45">
      <c r="A328">
        <v>327</v>
      </c>
      <c r="B328" t="s">
        <v>495</v>
      </c>
      <c r="C328" t="s">
        <v>502</v>
      </c>
      <c r="D328" t="s">
        <v>497</v>
      </c>
      <c r="E328">
        <v>6</v>
      </c>
      <c r="F328">
        <v>-5.923</v>
      </c>
      <c r="G328">
        <v>-36.938000000000002</v>
      </c>
      <c r="H328">
        <v>16319</v>
      </c>
      <c r="I328">
        <v>0</v>
      </c>
      <c r="J328">
        <v>1</v>
      </c>
      <c r="K328" t="s">
        <v>55</v>
      </c>
      <c r="L328" t="s">
        <v>55</v>
      </c>
      <c r="M328" t="s">
        <v>56</v>
      </c>
      <c r="N328">
        <v>1643417996.49</v>
      </c>
      <c r="O328">
        <v>0.20699999999999999</v>
      </c>
      <c r="P328">
        <v>0.38100000000000001</v>
      </c>
      <c r="Q328">
        <v>53.603000000000002</v>
      </c>
      <c r="R328">
        <v>1E-3</v>
      </c>
      <c r="S328">
        <v>1E-3</v>
      </c>
      <c r="T328">
        <v>1.2929999999999999</v>
      </c>
      <c r="U328">
        <v>90.691999999999993</v>
      </c>
      <c r="V328">
        <v>25.419</v>
      </c>
      <c r="W328">
        <v>2.3050000000000002</v>
      </c>
      <c r="X328">
        <v>85.763000000000005</v>
      </c>
      <c r="Y328">
        <v>0.89600000000000002</v>
      </c>
      <c r="Z328">
        <v>1.008</v>
      </c>
      <c r="AA328">
        <v>0</v>
      </c>
      <c r="AB328">
        <v>0</v>
      </c>
      <c r="AC328">
        <v>1</v>
      </c>
      <c r="AD328">
        <v>39.688000000000002</v>
      </c>
      <c r="AE328">
        <v>1</v>
      </c>
      <c r="AF328">
        <v>41</v>
      </c>
      <c r="AG328">
        <v>4</v>
      </c>
      <c r="AH328" t="s">
        <v>84</v>
      </c>
      <c r="AI328">
        <v>0</v>
      </c>
    </row>
    <row r="329" spans="1:35" x14ac:dyDescent="0.45">
      <c r="A329">
        <v>328</v>
      </c>
      <c r="B329" t="s">
        <v>503</v>
      </c>
      <c r="C329" t="s">
        <v>504</v>
      </c>
      <c r="D329" t="s">
        <v>505</v>
      </c>
      <c r="E329">
        <v>1</v>
      </c>
      <c r="F329">
        <v>-5.5259999999999998</v>
      </c>
      <c r="G329">
        <v>-30.353000000000002</v>
      </c>
      <c r="H329">
        <v>16299</v>
      </c>
      <c r="I329">
        <v>-1</v>
      </c>
      <c r="J329">
        <v>1</v>
      </c>
      <c r="K329" t="s">
        <v>55</v>
      </c>
      <c r="L329" t="s">
        <v>55</v>
      </c>
      <c r="M329" t="s">
        <v>56</v>
      </c>
      <c r="N329">
        <v>1643418533.27</v>
      </c>
      <c r="O329">
        <v>0.21</v>
      </c>
      <c r="P329">
        <v>0.441</v>
      </c>
      <c r="Q329">
        <v>53.932000000000002</v>
      </c>
      <c r="R329">
        <v>1E-3</v>
      </c>
      <c r="S329">
        <v>0</v>
      </c>
      <c r="T329">
        <v>1.3029999999999999</v>
      </c>
      <c r="U329">
        <v>90.626999999999995</v>
      </c>
      <c r="V329">
        <v>25.18</v>
      </c>
      <c r="W329">
        <v>2.2989999999999999</v>
      </c>
      <c r="X329">
        <v>85.873000000000005</v>
      </c>
      <c r="Y329">
        <v>0.90100000000000002</v>
      </c>
      <c r="Z329">
        <v>0.95599999999999996</v>
      </c>
      <c r="AA329">
        <v>0</v>
      </c>
      <c r="AB329">
        <v>0</v>
      </c>
      <c r="AC329">
        <v>1</v>
      </c>
      <c r="AD329">
        <v>39.688000000000002</v>
      </c>
      <c r="AE329">
        <v>1</v>
      </c>
      <c r="AF329">
        <v>42</v>
      </c>
      <c r="AG329">
        <v>4</v>
      </c>
      <c r="AH329" t="s">
        <v>84</v>
      </c>
      <c r="AI329">
        <v>0</v>
      </c>
    </row>
    <row r="330" spans="1:35" x14ac:dyDescent="0.45">
      <c r="A330">
        <v>329</v>
      </c>
      <c r="B330" t="s">
        <v>503</v>
      </c>
      <c r="C330" t="s">
        <v>506</v>
      </c>
      <c r="D330" t="s">
        <v>505</v>
      </c>
      <c r="E330">
        <v>2</v>
      </c>
      <c r="F330">
        <v>-5.524</v>
      </c>
      <c r="G330">
        <v>-29.722000000000001</v>
      </c>
      <c r="H330">
        <v>16234</v>
      </c>
      <c r="I330">
        <v>-1</v>
      </c>
      <c r="J330">
        <v>1</v>
      </c>
      <c r="K330" t="s">
        <v>55</v>
      </c>
      <c r="L330" t="s">
        <v>55</v>
      </c>
      <c r="M330" t="s">
        <v>56</v>
      </c>
      <c r="N330">
        <v>1643419070.26</v>
      </c>
      <c r="O330">
        <v>0.221</v>
      </c>
      <c r="P330">
        <v>0.45300000000000001</v>
      </c>
      <c r="Q330">
        <v>52.9</v>
      </c>
      <c r="R330">
        <v>1E-3</v>
      </c>
      <c r="S330">
        <v>0</v>
      </c>
      <c r="T330">
        <v>1.276</v>
      </c>
      <c r="U330">
        <v>90.153999999999996</v>
      </c>
      <c r="V330">
        <v>24.991</v>
      </c>
      <c r="W330">
        <v>2.323</v>
      </c>
      <c r="X330">
        <v>86.21</v>
      </c>
      <c r="Y330">
        <v>0.90300000000000002</v>
      </c>
      <c r="Z330">
        <v>1.091</v>
      </c>
      <c r="AA330">
        <v>0</v>
      </c>
      <c r="AB330">
        <v>0</v>
      </c>
      <c r="AC330">
        <v>1</v>
      </c>
      <c r="AD330">
        <v>39.688000000000002</v>
      </c>
      <c r="AE330">
        <v>1</v>
      </c>
      <c r="AF330">
        <v>42</v>
      </c>
      <c r="AG330">
        <v>4</v>
      </c>
      <c r="AH330" t="s">
        <v>84</v>
      </c>
      <c r="AI330">
        <v>0</v>
      </c>
    </row>
    <row r="331" spans="1:35" x14ac:dyDescent="0.45">
      <c r="A331">
        <v>330</v>
      </c>
      <c r="B331" t="s">
        <v>503</v>
      </c>
      <c r="C331" t="s">
        <v>507</v>
      </c>
      <c r="D331" t="s">
        <v>505</v>
      </c>
      <c r="E331">
        <v>3</v>
      </c>
      <c r="F331">
        <v>-5.53</v>
      </c>
      <c r="G331">
        <v>-29.661000000000001</v>
      </c>
      <c r="H331">
        <v>16335</v>
      </c>
      <c r="I331">
        <v>-1</v>
      </c>
      <c r="J331">
        <v>1</v>
      </c>
      <c r="K331" t="s">
        <v>55</v>
      </c>
      <c r="L331" t="s">
        <v>55</v>
      </c>
      <c r="M331" t="s">
        <v>56</v>
      </c>
      <c r="N331">
        <v>1643419607.3800001</v>
      </c>
      <c r="O331">
        <v>0.19900000000000001</v>
      </c>
      <c r="P331">
        <v>0.42599999999999999</v>
      </c>
      <c r="Q331">
        <v>54.555</v>
      </c>
      <c r="R331">
        <v>0</v>
      </c>
      <c r="S331">
        <v>1E-3</v>
      </c>
      <c r="T331">
        <v>1.3080000000000001</v>
      </c>
      <c r="U331">
        <v>90.65</v>
      </c>
      <c r="V331">
        <v>24.99</v>
      </c>
      <c r="W331">
        <v>2.3530000000000002</v>
      </c>
      <c r="X331">
        <v>87.620999999999995</v>
      </c>
      <c r="Y331">
        <v>0.90200000000000002</v>
      </c>
      <c r="Z331">
        <v>1.327</v>
      </c>
      <c r="AA331">
        <v>0</v>
      </c>
      <c r="AB331">
        <v>0</v>
      </c>
      <c r="AC331">
        <v>1</v>
      </c>
      <c r="AD331">
        <v>39.625</v>
      </c>
      <c r="AE331">
        <v>1</v>
      </c>
      <c r="AF331">
        <v>42</v>
      </c>
      <c r="AG331">
        <v>4</v>
      </c>
      <c r="AH331" t="s">
        <v>84</v>
      </c>
      <c r="AI331">
        <v>0</v>
      </c>
    </row>
    <row r="332" spans="1:35" x14ac:dyDescent="0.45">
      <c r="A332">
        <v>331</v>
      </c>
      <c r="B332" t="s">
        <v>503</v>
      </c>
      <c r="C332" t="s">
        <v>508</v>
      </c>
      <c r="D332" t="s">
        <v>505</v>
      </c>
      <c r="E332">
        <v>4</v>
      </c>
      <c r="F332">
        <v>-5.532</v>
      </c>
      <c r="G332">
        <v>-29.562999999999999</v>
      </c>
      <c r="H332">
        <v>16304</v>
      </c>
      <c r="I332">
        <v>0</v>
      </c>
      <c r="J332">
        <v>1</v>
      </c>
      <c r="K332" t="s">
        <v>55</v>
      </c>
      <c r="L332" t="s">
        <v>55</v>
      </c>
      <c r="M332" t="s">
        <v>56</v>
      </c>
      <c r="N332">
        <v>1643420144.4200001</v>
      </c>
      <c r="O332">
        <v>0.20399999999999999</v>
      </c>
      <c r="P332">
        <v>0.378</v>
      </c>
      <c r="Q332">
        <v>54.073</v>
      </c>
      <c r="R332">
        <v>0</v>
      </c>
      <c r="S332">
        <v>0</v>
      </c>
      <c r="T332">
        <v>1.3009999999999999</v>
      </c>
      <c r="U332">
        <v>90.456999999999994</v>
      </c>
      <c r="V332">
        <v>25.015000000000001</v>
      </c>
      <c r="W332">
        <v>2.3490000000000002</v>
      </c>
      <c r="X332">
        <v>87.456000000000003</v>
      </c>
      <c r="Y332">
        <v>0.90900000000000003</v>
      </c>
      <c r="Z332">
        <v>1.29</v>
      </c>
      <c r="AA332">
        <v>0</v>
      </c>
      <c r="AB332">
        <v>0</v>
      </c>
      <c r="AC332">
        <v>1</v>
      </c>
      <c r="AD332">
        <v>39.625</v>
      </c>
      <c r="AE332">
        <v>1</v>
      </c>
      <c r="AF332">
        <v>42</v>
      </c>
      <c r="AG332">
        <v>4</v>
      </c>
      <c r="AH332" t="s">
        <v>84</v>
      </c>
      <c r="AI332">
        <v>0</v>
      </c>
    </row>
    <row r="333" spans="1:35" x14ac:dyDescent="0.45">
      <c r="A333">
        <v>332</v>
      </c>
      <c r="B333" t="s">
        <v>503</v>
      </c>
      <c r="C333" t="s">
        <v>509</v>
      </c>
      <c r="D333" t="s">
        <v>505</v>
      </c>
      <c r="E333">
        <v>5</v>
      </c>
      <c r="F333">
        <v>-5.51</v>
      </c>
      <c r="G333">
        <v>-29.489000000000001</v>
      </c>
      <c r="H333">
        <v>16294</v>
      </c>
      <c r="I333">
        <v>0</v>
      </c>
      <c r="J333">
        <v>1</v>
      </c>
      <c r="K333" t="s">
        <v>55</v>
      </c>
      <c r="L333" t="s">
        <v>55</v>
      </c>
      <c r="M333" t="s">
        <v>56</v>
      </c>
      <c r="N333">
        <v>1643420682.6500001</v>
      </c>
      <c r="O333">
        <v>0.19600000000000001</v>
      </c>
      <c r="P333">
        <v>0.38200000000000001</v>
      </c>
      <c r="Q333">
        <v>52.401000000000003</v>
      </c>
      <c r="R333">
        <v>1E-3</v>
      </c>
      <c r="S333">
        <v>1E-3</v>
      </c>
      <c r="T333">
        <v>1.2889999999999999</v>
      </c>
      <c r="U333">
        <v>90.655000000000001</v>
      </c>
      <c r="V333">
        <v>24.716999999999999</v>
      </c>
      <c r="W333">
        <v>2.34</v>
      </c>
      <c r="X333">
        <v>86.813000000000002</v>
      </c>
      <c r="Y333">
        <v>0.90300000000000002</v>
      </c>
      <c r="Z333">
        <v>1.127</v>
      </c>
      <c r="AA333">
        <v>0</v>
      </c>
      <c r="AB333">
        <v>0</v>
      </c>
      <c r="AC333">
        <v>1</v>
      </c>
      <c r="AD333">
        <v>39.625</v>
      </c>
      <c r="AE333">
        <v>1</v>
      </c>
      <c r="AF333">
        <v>42</v>
      </c>
      <c r="AG333">
        <v>4</v>
      </c>
      <c r="AH333" t="s">
        <v>84</v>
      </c>
      <c r="AI333">
        <v>0</v>
      </c>
    </row>
    <row r="334" spans="1:35" x14ac:dyDescent="0.45">
      <c r="A334">
        <v>333</v>
      </c>
      <c r="B334" t="s">
        <v>503</v>
      </c>
      <c r="C334" t="s">
        <v>510</v>
      </c>
      <c r="D334" t="s">
        <v>505</v>
      </c>
      <c r="E334">
        <v>6</v>
      </c>
      <c r="F334">
        <v>-5.0469999999999997</v>
      </c>
      <c r="G334">
        <v>-29.565000000000001</v>
      </c>
      <c r="H334">
        <v>16360</v>
      </c>
      <c r="I334">
        <v>0</v>
      </c>
      <c r="J334">
        <v>1</v>
      </c>
      <c r="K334" t="s">
        <v>55</v>
      </c>
      <c r="L334" t="s">
        <v>55</v>
      </c>
      <c r="M334" t="s">
        <v>56</v>
      </c>
      <c r="N334">
        <v>1643421258.29</v>
      </c>
      <c r="O334">
        <v>1.73</v>
      </c>
      <c r="P334">
        <v>0.58399999999999996</v>
      </c>
      <c r="Q334">
        <v>29.939</v>
      </c>
      <c r="R334">
        <v>-0.05</v>
      </c>
      <c r="S334">
        <v>3.0000000000000001E-3</v>
      </c>
      <c r="T334">
        <v>1.2729999999999999</v>
      </c>
      <c r="U334">
        <v>91.403000000000006</v>
      </c>
      <c r="V334">
        <v>24.774999999999999</v>
      </c>
      <c r="W334">
        <v>2.3620000000000001</v>
      </c>
      <c r="X334">
        <v>85.123000000000005</v>
      </c>
      <c r="Y334">
        <v>2.5779999999999998</v>
      </c>
      <c r="Z334">
        <v>0.56000000000000005</v>
      </c>
      <c r="AA334">
        <v>0</v>
      </c>
      <c r="AB334">
        <v>0</v>
      </c>
      <c r="AC334">
        <v>1</v>
      </c>
      <c r="AD334">
        <v>39.688000000000002</v>
      </c>
      <c r="AE334">
        <v>1</v>
      </c>
      <c r="AF334">
        <v>42</v>
      </c>
      <c r="AG334">
        <v>4</v>
      </c>
      <c r="AH334" t="s">
        <v>84</v>
      </c>
      <c r="AI334">
        <v>0</v>
      </c>
    </row>
    <row r="335" spans="1:35" x14ac:dyDescent="0.45">
      <c r="A335">
        <v>334</v>
      </c>
      <c r="B335" t="s">
        <v>511</v>
      </c>
      <c r="C335" t="s">
        <v>512</v>
      </c>
      <c r="D335" t="s">
        <v>513</v>
      </c>
      <c r="E335">
        <v>1</v>
      </c>
      <c r="F335">
        <v>-5.9029999999999996</v>
      </c>
      <c r="G335">
        <v>-36.142000000000003</v>
      </c>
      <c r="H335">
        <v>16274</v>
      </c>
      <c r="I335">
        <v>-1</v>
      </c>
      <c r="J335">
        <v>1</v>
      </c>
      <c r="K335" t="s">
        <v>55</v>
      </c>
      <c r="L335" t="s">
        <v>55</v>
      </c>
      <c r="M335" t="s">
        <v>56</v>
      </c>
      <c r="N335">
        <v>1643421753.9000001</v>
      </c>
      <c r="O335">
        <v>0.20100000000000001</v>
      </c>
      <c r="P335">
        <v>0.38900000000000001</v>
      </c>
      <c r="Q335">
        <v>53.011000000000003</v>
      </c>
      <c r="R335">
        <v>1E-3</v>
      </c>
      <c r="S335">
        <v>1E-3</v>
      </c>
      <c r="T335">
        <v>1.28</v>
      </c>
      <c r="U335">
        <v>90.343000000000004</v>
      </c>
      <c r="V335">
        <v>24.779</v>
      </c>
      <c r="W335">
        <v>2.33</v>
      </c>
      <c r="X335">
        <v>87.718999999999994</v>
      </c>
      <c r="Y335">
        <v>0.91500000000000004</v>
      </c>
      <c r="Z335">
        <v>1.256</v>
      </c>
      <c r="AA335">
        <v>0</v>
      </c>
      <c r="AB335">
        <v>0</v>
      </c>
      <c r="AC335">
        <v>1</v>
      </c>
      <c r="AD335">
        <v>39.625</v>
      </c>
      <c r="AE335">
        <v>1</v>
      </c>
      <c r="AF335">
        <v>43</v>
      </c>
      <c r="AG335">
        <v>4</v>
      </c>
      <c r="AH335" t="s">
        <v>84</v>
      </c>
      <c r="AI335">
        <v>0</v>
      </c>
    </row>
    <row r="336" spans="1:35" x14ac:dyDescent="0.45">
      <c r="A336">
        <v>335</v>
      </c>
      <c r="B336" t="s">
        <v>511</v>
      </c>
      <c r="C336" t="s">
        <v>514</v>
      </c>
      <c r="D336" t="s">
        <v>513</v>
      </c>
      <c r="E336">
        <v>2</v>
      </c>
      <c r="F336">
        <v>-5.9359999999999999</v>
      </c>
      <c r="G336">
        <v>-36.741999999999997</v>
      </c>
      <c r="H336">
        <v>16270</v>
      </c>
      <c r="I336">
        <v>-1</v>
      </c>
      <c r="J336">
        <v>1</v>
      </c>
      <c r="K336" t="s">
        <v>55</v>
      </c>
      <c r="L336" t="s">
        <v>55</v>
      </c>
      <c r="M336" t="s">
        <v>56</v>
      </c>
      <c r="N336">
        <v>1643422292.5899999</v>
      </c>
      <c r="O336">
        <v>0.185</v>
      </c>
      <c r="P336">
        <v>0.42799999999999999</v>
      </c>
      <c r="Q336">
        <v>53.945</v>
      </c>
      <c r="R336">
        <v>1E-3</v>
      </c>
      <c r="S336">
        <v>1E-3</v>
      </c>
      <c r="T336">
        <v>1.296</v>
      </c>
      <c r="U336">
        <v>90.236999999999995</v>
      </c>
      <c r="V336">
        <v>25.324000000000002</v>
      </c>
      <c r="W336">
        <v>2.306</v>
      </c>
      <c r="X336">
        <v>86.228999999999999</v>
      </c>
      <c r="Y336">
        <v>0.91500000000000004</v>
      </c>
      <c r="Z336">
        <v>1.1000000000000001</v>
      </c>
      <c r="AA336">
        <v>0</v>
      </c>
      <c r="AB336">
        <v>0</v>
      </c>
      <c r="AC336">
        <v>1</v>
      </c>
      <c r="AD336">
        <v>39.688000000000002</v>
      </c>
      <c r="AE336">
        <v>1</v>
      </c>
      <c r="AF336">
        <v>43</v>
      </c>
      <c r="AG336">
        <v>4</v>
      </c>
      <c r="AH336" t="s">
        <v>84</v>
      </c>
      <c r="AI336">
        <v>0</v>
      </c>
    </row>
    <row r="337" spans="1:35" x14ac:dyDescent="0.45">
      <c r="A337">
        <v>336</v>
      </c>
      <c r="B337" t="s">
        <v>511</v>
      </c>
      <c r="C337" t="s">
        <v>515</v>
      </c>
      <c r="D337" t="s">
        <v>513</v>
      </c>
      <c r="E337">
        <v>3</v>
      </c>
      <c r="F337">
        <v>-5.9359999999999999</v>
      </c>
      <c r="G337">
        <v>-36.841000000000001</v>
      </c>
      <c r="H337">
        <v>16261</v>
      </c>
      <c r="I337">
        <v>-1</v>
      </c>
      <c r="J337">
        <v>1</v>
      </c>
      <c r="K337" t="s">
        <v>55</v>
      </c>
      <c r="L337" t="s">
        <v>55</v>
      </c>
      <c r="M337" t="s">
        <v>56</v>
      </c>
      <c r="N337">
        <v>1643422828.8199999</v>
      </c>
      <c r="O337">
        <v>0.20699999999999999</v>
      </c>
      <c r="P337">
        <v>0.39200000000000002</v>
      </c>
      <c r="Q337">
        <v>53.439</v>
      </c>
      <c r="R337">
        <v>1E-3</v>
      </c>
      <c r="S337">
        <v>1E-3</v>
      </c>
      <c r="T337">
        <v>1.286</v>
      </c>
      <c r="U337">
        <v>90.269000000000005</v>
      </c>
      <c r="V337">
        <v>24.96</v>
      </c>
      <c r="W337">
        <v>2.323</v>
      </c>
      <c r="X337">
        <v>86.84</v>
      </c>
      <c r="Y337">
        <v>0.90900000000000003</v>
      </c>
      <c r="Z337">
        <v>1.2270000000000001</v>
      </c>
      <c r="AA337">
        <v>0</v>
      </c>
      <c r="AB337">
        <v>0</v>
      </c>
      <c r="AC337">
        <v>1</v>
      </c>
      <c r="AD337">
        <v>39.688000000000002</v>
      </c>
      <c r="AE337">
        <v>1</v>
      </c>
      <c r="AF337">
        <v>43</v>
      </c>
      <c r="AG337">
        <v>4</v>
      </c>
      <c r="AH337" t="s">
        <v>84</v>
      </c>
      <c r="AI337">
        <v>0</v>
      </c>
    </row>
    <row r="338" spans="1:35" x14ac:dyDescent="0.45">
      <c r="A338">
        <v>337</v>
      </c>
      <c r="B338" t="s">
        <v>511</v>
      </c>
      <c r="C338" t="s">
        <v>516</v>
      </c>
      <c r="D338" t="s">
        <v>513</v>
      </c>
      <c r="E338">
        <v>4</v>
      </c>
      <c r="F338">
        <v>-5.931</v>
      </c>
      <c r="G338">
        <v>-36.866</v>
      </c>
      <c r="H338">
        <v>16285</v>
      </c>
      <c r="I338">
        <v>0</v>
      </c>
      <c r="J338">
        <v>1</v>
      </c>
      <c r="K338" t="s">
        <v>55</v>
      </c>
      <c r="L338" t="s">
        <v>55</v>
      </c>
      <c r="M338" t="s">
        <v>56</v>
      </c>
      <c r="N338">
        <v>1643423366</v>
      </c>
      <c r="O338">
        <v>0.19400000000000001</v>
      </c>
      <c r="P338">
        <v>0.40600000000000003</v>
      </c>
      <c r="Q338">
        <v>53.704999999999998</v>
      </c>
      <c r="R338">
        <v>1E-3</v>
      </c>
      <c r="S338">
        <v>-1E-3</v>
      </c>
      <c r="T338">
        <v>1.2949999999999999</v>
      </c>
      <c r="U338">
        <v>90.462999999999994</v>
      </c>
      <c r="V338">
        <v>24.68</v>
      </c>
      <c r="W338">
        <v>2.33</v>
      </c>
      <c r="X338">
        <v>87.739000000000004</v>
      </c>
      <c r="Y338">
        <v>0.90300000000000002</v>
      </c>
      <c r="Z338">
        <v>1.325</v>
      </c>
      <c r="AA338">
        <v>0</v>
      </c>
      <c r="AB338">
        <v>0</v>
      </c>
      <c r="AC338">
        <v>1</v>
      </c>
      <c r="AD338">
        <v>39.688000000000002</v>
      </c>
      <c r="AE338">
        <v>1</v>
      </c>
      <c r="AF338">
        <v>43</v>
      </c>
      <c r="AG338">
        <v>4</v>
      </c>
      <c r="AH338" t="s">
        <v>84</v>
      </c>
      <c r="AI338">
        <v>0</v>
      </c>
    </row>
    <row r="339" spans="1:35" x14ac:dyDescent="0.45">
      <c r="A339">
        <v>338</v>
      </c>
      <c r="B339" t="s">
        <v>511</v>
      </c>
      <c r="C339" t="s">
        <v>517</v>
      </c>
      <c r="D339" t="s">
        <v>513</v>
      </c>
      <c r="E339">
        <v>5</v>
      </c>
      <c r="F339">
        <v>-5.9340000000000002</v>
      </c>
      <c r="G339">
        <v>-36.892000000000003</v>
      </c>
      <c r="H339">
        <v>16279</v>
      </c>
      <c r="I339">
        <v>0</v>
      </c>
      <c r="J339">
        <v>1</v>
      </c>
      <c r="K339" t="s">
        <v>55</v>
      </c>
      <c r="L339" t="s">
        <v>55</v>
      </c>
      <c r="M339" t="s">
        <v>56</v>
      </c>
      <c r="N339">
        <v>1643423902.4400001</v>
      </c>
      <c r="O339">
        <v>0.19800000000000001</v>
      </c>
      <c r="P339">
        <v>0.45700000000000002</v>
      </c>
      <c r="Q339">
        <v>53.585999999999999</v>
      </c>
      <c r="R339">
        <v>1E-3</v>
      </c>
      <c r="S339">
        <v>1E-3</v>
      </c>
      <c r="T339">
        <v>1.2889999999999999</v>
      </c>
      <c r="U339">
        <v>90.668999999999997</v>
      </c>
      <c r="V339">
        <v>24.509</v>
      </c>
      <c r="W339">
        <v>2.3159999999999998</v>
      </c>
      <c r="X339">
        <v>86.894999999999996</v>
      </c>
      <c r="Y339">
        <v>0.90700000000000003</v>
      </c>
      <c r="Z339">
        <v>1.1200000000000001</v>
      </c>
      <c r="AA339">
        <v>0</v>
      </c>
      <c r="AB339">
        <v>0</v>
      </c>
      <c r="AC339">
        <v>1</v>
      </c>
      <c r="AD339">
        <v>39.625</v>
      </c>
      <c r="AE339">
        <v>1</v>
      </c>
      <c r="AF339">
        <v>43</v>
      </c>
      <c r="AG339">
        <v>4</v>
      </c>
      <c r="AH339" t="s">
        <v>84</v>
      </c>
      <c r="AI339">
        <v>0</v>
      </c>
    </row>
    <row r="340" spans="1:35" x14ac:dyDescent="0.45">
      <c r="A340">
        <v>339</v>
      </c>
      <c r="B340" t="s">
        <v>511</v>
      </c>
      <c r="C340" t="s">
        <v>518</v>
      </c>
      <c r="D340" t="s">
        <v>513</v>
      </c>
      <c r="E340">
        <v>6</v>
      </c>
      <c r="F340">
        <v>-5.9409999999999998</v>
      </c>
      <c r="G340">
        <v>-36.938000000000002</v>
      </c>
      <c r="H340">
        <v>16255</v>
      </c>
      <c r="I340">
        <v>0</v>
      </c>
      <c r="J340">
        <v>1</v>
      </c>
      <c r="K340" t="s">
        <v>55</v>
      </c>
      <c r="L340" t="s">
        <v>55</v>
      </c>
      <c r="M340" t="s">
        <v>56</v>
      </c>
      <c r="N340">
        <v>1643424437.6199999</v>
      </c>
      <c r="O340">
        <v>0.20100000000000001</v>
      </c>
      <c r="P340">
        <v>0.39800000000000002</v>
      </c>
      <c r="Q340">
        <v>53.055999999999997</v>
      </c>
      <c r="R340">
        <v>0</v>
      </c>
      <c r="S340">
        <v>0</v>
      </c>
      <c r="T340">
        <v>1.2749999999999999</v>
      </c>
      <c r="U340">
        <v>90.081999999999994</v>
      </c>
      <c r="V340">
        <v>25.257000000000001</v>
      </c>
      <c r="W340">
        <v>2.3260000000000001</v>
      </c>
      <c r="X340">
        <v>86.808999999999997</v>
      </c>
      <c r="Y340">
        <v>0.91</v>
      </c>
      <c r="Z340">
        <v>1.367</v>
      </c>
      <c r="AA340">
        <v>0</v>
      </c>
      <c r="AB340">
        <v>0</v>
      </c>
      <c r="AC340">
        <v>1</v>
      </c>
      <c r="AD340">
        <v>39.625</v>
      </c>
      <c r="AE340">
        <v>1</v>
      </c>
      <c r="AF340">
        <v>43</v>
      </c>
      <c r="AG340">
        <v>4</v>
      </c>
      <c r="AH340" t="s">
        <v>84</v>
      </c>
      <c r="AI340">
        <v>0</v>
      </c>
    </row>
    <row r="341" spans="1:35" x14ac:dyDescent="0.45">
      <c r="A341">
        <v>340</v>
      </c>
      <c r="B341" t="s">
        <v>519</v>
      </c>
      <c r="C341" t="s">
        <v>520</v>
      </c>
      <c r="D341" t="s">
        <v>521</v>
      </c>
      <c r="E341">
        <v>1</v>
      </c>
      <c r="F341">
        <v>-5.9139999999999997</v>
      </c>
      <c r="G341">
        <v>-36.933</v>
      </c>
      <c r="H341">
        <v>16230</v>
      </c>
      <c r="I341">
        <v>-1</v>
      </c>
      <c r="J341">
        <v>1</v>
      </c>
      <c r="K341" t="s">
        <v>55</v>
      </c>
      <c r="L341" t="s">
        <v>55</v>
      </c>
      <c r="M341" t="s">
        <v>56</v>
      </c>
      <c r="N341">
        <v>1643424975.1900001</v>
      </c>
      <c r="O341">
        <v>0.20899999999999999</v>
      </c>
      <c r="P341">
        <v>0.432</v>
      </c>
      <c r="Q341">
        <v>53.811999999999998</v>
      </c>
      <c r="R341">
        <v>2E-3</v>
      </c>
      <c r="S341">
        <v>1E-3</v>
      </c>
      <c r="T341">
        <v>1.302</v>
      </c>
      <c r="U341">
        <v>90.096999999999994</v>
      </c>
      <c r="V341">
        <v>25.065000000000001</v>
      </c>
      <c r="W341">
        <v>2.3050000000000002</v>
      </c>
      <c r="X341">
        <v>86.141999999999996</v>
      </c>
      <c r="Y341">
        <v>0.90200000000000002</v>
      </c>
      <c r="Z341">
        <v>1.151</v>
      </c>
      <c r="AA341">
        <v>0</v>
      </c>
      <c r="AB341">
        <v>0</v>
      </c>
      <c r="AC341">
        <v>1</v>
      </c>
      <c r="AD341">
        <v>39.688000000000002</v>
      </c>
      <c r="AE341">
        <v>1</v>
      </c>
      <c r="AF341">
        <v>44</v>
      </c>
      <c r="AG341">
        <v>4</v>
      </c>
      <c r="AH341" t="s">
        <v>84</v>
      </c>
      <c r="AI341">
        <v>0</v>
      </c>
    </row>
    <row r="342" spans="1:35" x14ac:dyDescent="0.45">
      <c r="A342">
        <v>341</v>
      </c>
      <c r="B342" t="s">
        <v>519</v>
      </c>
      <c r="C342" t="s">
        <v>522</v>
      </c>
      <c r="D342" t="s">
        <v>521</v>
      </c>
      <c r="E342">
        <v>2</v>
      </c>
      <c r="F342">
        <v>-5.9180000000000001</v>
      </c>
      <c r="G342">
        <v>-36.957000000000001</v>
      </c>
      <c r="H342">
        <v>16289</v>
      </c>
      <c r="I342">
        <v>-1</v>
      </c>
      <c r="J342">
        <v>1</v>
      </c>
      <c r="K342" t="s">
        <v>55</v>
      </c>
      <c r="L342" t="s">
        <v>55</v>
      </c>
      <c r="M342" t="s">
        <v>56</v>
      </c>
      <c r="N342">
        <v>1643425511.95</v>
      </c>
      <c r="O342">
        <v>0.20699999999999999</v>
      </c>
      <c r="P342">
        <v>0.39900000000000002</v>
      </c>
      <c r="Q342">
        <v>52.277999999999999</v>
      </c>
      <c r="R342">
        <v>2E-3</v>
      </c>
      <c r="S342">
        <v>0</v>
      </c>
      <c r="T342">
        <v>1.2669999999999999</v>
      </c>
      <c r="U342">
        <v>90.344999999999999</v>
      </c>
      <c r="V342">
        <v>25.379000000000001</v>
      </c>
      <c r="W342">
        <v>2.3109999999999999</v>
      </c>
      <c r="X342">
        <v>86.369</v>
      </c>
      <c r="Y342">
        <v>0.92100000000000004</v>
      </c>
      <c r="Z342">
        <v>1.177</v>
      </c>
      <c r="AA342">
        <v>0</v>
      </c>
      <c r="AB342">
        <v>0</v>
      </c>
      <c r="AC342">
        <v>1</v>
      </c>
      <c r="AD342">
        <v>39.75</v>
      </c>
      <c r="AE342">
        <v>1</v>
      </c>
      <c r="AF342">
        <v>44</v>
      </c>
      <c r="AG342">
        <v>4</v>
      </c>
      <c r="AH342" t="s">
        <v>84</v>
      </c>
      <c r="AI342">
        <v>0</v>
      </c>
    </row>
    <row r="343" spans="1:35" x14ac:dyDescent="0.45">
      <c r="A343">
        <v>342</v>
      </c>
      <c r="B343" t="s">
        <v>519</v>
      </c>
      <c r="C343" t="s">
        <v>523</v>
      </c>
      <c r="D343" t="s">
        <v>521</v>
      </c>
      <c r="E343">
        <v>3</v>
      </c>
      <c r="F343">
        <v>-5.9390000000000001</v>
      </c>
      <c r="G343">
        <v>-37.005000000000003</v>
      </c>
      <c r="H343">
        <v>16291</v>
      </c>
      <c r="I343">
        <v>-1</v>
      </c>
      <c r="J343">
        <v>1</v>
      </c>
      <c r="K343" t="s">
        <v>55</v>
      </c>
      <c r="L343" t="s">
        <v>55</v>
      </c>
      <c r="M343" t="s">
        <v>56</v>
      </c>
      <c r="N343">
        <v>1643426049.5999999</v>
      </c>
      <c r="O343">
        <v>0.2</v>
      </c>
      <c r="P343">
        <v>0.42099999999999999</v>
      </c>
      <c r="Q343">
        <v>54.16</v>
      </c>
      <c r="R343">
        <v>1E-3</v>
      </c>
      <c r="S343">
        <v>2E-3</v>
      </c>
      <c r="T343">
        <v>1.3089999999999999</v>
      </c>
      <c r="U343">
        <v>90.725999999999999</v>
      </c>
      <c r="V343">
        <v>24.597000000000001</v>
      </c>
      <c r="W343">
        <v>2.3199999999999998</v>
      </c>
      <c r="X343">
        <v>86.778000000000006</v>
      </c>
      <c r="Y343">
        <v>0.90900000000000003</v>
      </c>
      <c r="Z343">
        <v>1.044</v>
      </c>
      <c r="AA343">
        <v>0</v>
      </c>
      <c r="AB343">
        <v>0</v>
      </c>
      <c r="AC343">
        <v>1</v>
      </c>
      <c r="AD343">
        <v>39.688000000000002</v>
      </c>
      <c r="AE343">
        <v>1</v>
      </c>
      <c r="AF343">
        <v>44</v>
      </c>
      <c r="AG343">
        <v>4</v>
      </c>
      <c r="AH343" t="s">
        <v>84</v>
      </c>
      <c r="AI343">
        <v>0</v>
      </c>
    </row>
    <row r="344" spans="1:35" x14ac:dyDescent="0.45">
      <c r="A344">
        <v>343</v>
      </c>
      <c r="B344" t="s">
        <v>519</v>
      </c>
      <c r="C344" t="s">
        <v>524</v>
      </c>
      <c r="D344" t="s">
        <v>521</v>
      </c>
      <c r="E344">
        <v>4</v>
      </c>
      <c r="F344">
        <v>-5.9409999999999998</v>
      </c>
      <c r="G344">
        <v>-36.917999999999999</v>
      </c>
      <c r="H344">
        <v>16232</v>
      </c>
      <c r="I344">
        <v>0</v>
      </c>
      <c r="J344">
        <v>1</v>
      </c>
      <c r="K344" t="s">
        <v>55</v>
      </c>
      <c r="L344" t="s">
        <v>55</v>
      </c>
      <c r="M344" t="s">
        <v>56</v>
      </c>
      <c r="N344">
        <v>1643426585.73</v>
      </c>
      <c r="O344">
        <v>0.2</v>
      </c>
      <c r="P344">
        <v>0.376</v>
      </c>
      <c r="Q344">
        <v>53.895000000000003</v>
      </c>
      <c r="R344">
        <v>1E-3</v>
      </c>
      <c r="S344">
        <v>-1E-3</v>
      </c>
      <c r="T344">
        <v>1.294</v>
      </c>
      <c r="U344">
        <v>90.14</v>
      </c>
      <c r="V344">
        <v>24.934000000000001</v>
      </c>
      <c r="W344">
        <v>2.339</v>
      </c>
      <c r="X344">
        <v>86.072000000000003</v>
      </c>
      <c r="Y344">
        <v>0.90800000000000003</v>
      </c>
      <c r="Z344">
        <v>1.117</v>
      </c>
      <c r="AA344">
        <v>0</v>
      </c>
      <c r="AB344">
        <v>0</v>
      </c>
      <c r="AC344">
        <v>1</v>
      </c>
      <c r="AD344">
        <v>39.688000000000002</v>
      </c>
      <c r="AE344">
        <v>1</v>
      </c>
      <c r="AF344">
        <v>44</v>
      </c>
      <c r="AG344">
        <v>4</v>
      </c>
      <c r="AH344" t="s">
        <v>84</v>
      </c>
      <c r="AI344">
        <v>0</v>
      </c>
    </row>
    <row r="345" spans="1:35" x14ac:dyDescent="0.45">
      <c r="A345">
        <v>344</v>
      </c>
      <c r="B345" t="s">
        <v>519</v>
      </c>
      <c r="C345" t="s">
        <v>525</v>
      </c>
      <c r="D345" t="s">
        <v>521</v>
      </c>
      <c r="E345">
        <v>5</v>
      </c>
      <c r="F345">
        <v>-5.9139999999999997</v>
      </c>
      <c r="G345">
        <v>-36.936</v>
      </c>
      <c r="H345">
        <v>16296</v>
      </c>
      <c r="I345">
        <v>0</v>
      </c>
      <c r="J345">
        <v>1</v>
      </c>
      <c r="K345" t="s">
        <v>55</v>
      </c>
      <c r="L345" t="s">
        <v>55</v>
      </c>
      <c r="M345" t="s">
        <v>56</v>
      </c>
      <c r="N345">
        <v>1643427122.97</v>
      </c>
      <c r="O345">
        <v>0.216</v>
      </c>
      <c r="P345">
        <v>0.40699999999999997</v>
      </c>
      <c r="Q345">
        <v>53.061</v>
      </c>
      <c r="R345">
        <v>0</v>
      </c>
      <c r="S345">
        <v>2E-3</v>
      </c>
      <c r="T345">
        <v>1.2809999999999999</v>
      </c>
      <c r="U345">
        <v>90.613</v>
      </c>
      <c r="V345">
        <v>24.704999999999998</v>
      </c>
      <c r="W345">
        <v>2.3370000000000002</v>
      </c>
      <c r="X345">
        <v>87.332999999999998</v>
      </c>
      <c r="Y345">
        <v>0.89600000000000002</v>
      </c>
      <c r="Z345">
        <v>1.2689999999999999</v>
      </c>
      <c r="AA345">
        <v>0</v>
      </c>
      <c r="AB345">
        <v>0</v>
      </c>
      <c r="AC345">
        <v>1</v>
      </c>
      <c r="AD345">
        <v>39.625</v>
      </c>
      <c r="AE345">
        <v>1</v>
      </c>
      <c r="AF345">
        <v>44</v>
      </c>
      <c r="AG345">
        <v>4</v>
      </c>
      <c r="AH345" t="s">
        <v>84</v>
      </c>
      <c r="AI345">
        <v>0</v>
      </c>
    </row>
    <row r="346" spans="1:35" x14ac:dyDescent="0.45">
      <c r="A346">
        <v>345</v>
      </c>
      <c r="B346" t="s">
        <v>519</v>
      </c>
      <c r="C346" t="s">
        <v>526</v>
      </c>
      <c r="D346" t="s">
        <v>521</v>
      </c>
      <c r="E346">
        <v>6</v>
      </c>
      <c r="F346">
        <v>-5.9349999999999996</v>
      </c>
      <c r="G346">
        <v>-37.003</v>
      </c>
      <c r="H346">
        <v>16260</v>
      </c>
      <c r="I346">
        <v>0</v>
      </c>
      <c r="J346">
        <v>1</v>
      </c>
      <c r="K346" t="s">
        <v>55</v>
      </c>
      <c r="L346" t="s">
        <v>55</v>
      </c>
      <c r="M346" t="s">
        <v>56</v>
      </c>
      <c r="N346">
        <v>1643427658.97</v>
      </c>
      <c r="O346">
        <v>0.2</v>
      </c>
      <c r="P346">
        <v>0.41599999999999998</v>
      </c>
      <c r="Q346">
        <v>54.155000000000001</v>
      </c>
      <c r="R346">
        <v>1E-3</v>
      </c>
      <c r="S346">
        <v>1E-3</v>
      </c>
      <c r="T346">
        <v>1.3029999999999999</v>
      </c>
      <c r="U346">
        <v>90.722999999999999</v>
      </c>
      <c r="V346">
        <v>24.443999999999999</v>
      </c>
      <c r="W346">
        <v>2.2789999999999999</v>
      </c>
      <c r="X346">
        <v>85.816999999999993</v>
      </c>
      <c r="Y346">
        <v>0.91800000000000004</v>
      </c>
      <c r="Z346">
        <v>0.94899999999999995</v>
      </c>
      <c r="AA346">
        <v>0</v>
      </c>
      <c r="AB346">
        <v>0</v>
      </c>
      <c r="AC346">
        <v>1</v>
      </c>
      <c r="AD346">
        <v>39.688000000000002</v>
      </c>
      <c r="AE346">
        <v>1</v>
      </c>
      <c r="AF346">
        <v>44</v>
      </c>
      <c r="AG346">
        <v>4</v>
      </c>
      <c r="AH346" t="s">
        <v>84</v>
      </c>
      <c r="AI346">
        <v>0</v>
      </c>
    </row>
    <row r="347" spans="1:35" x14ac:dyDescent="0.45">
      <c r="A347">
        <v>346</v>
      </c>
      <c r="B347" t="s">
        <v>527</v>
      </c>
      <c r="C347" t="s">
        <v>528</v>
      </c>
      <c r="D347" t="s">
        <v>529</v>
      </c>
      <c r="E347">
        <v>1</v>
      </c>
      <c r="F347">
        <v>-5.9409999999999998</v>
      </c>
      <c r="G347">
        <v>-37.021999999999998</v>
      </c>
      <c r="H347">
        <v>16295</v>
      </c>
      <c r="I347">
        <v>-1</v>
      </c>
      <c r="J347">
        <v>1</v>
      </c>
      <c r="K347" t="s">
        <v>55</v>
      </c>
      <c r="L347" t="s">
        <v>55</v>
      </c>
      <c r="M347" t="s">
        <v>56</v>
      </c>
      <c r="N347">
        <v>1643428195.9100001</v>
      </c>
      <c r="O347">
        <v>0.20200000000000001</v>
      </c>
      <c r="P347">
        <v>0.40200000000000002</v>
      </c>
      <c r="Q347">
        <v>53.110999999999997</v>
      </c>
      <c r="R347">
        <v>0</v>
      </c>
      <c r="S347">
        <v>2E-3</v>
      </c>
      <c r="T347">
        <v>1.2749999999999999</v>
      </c>
      <c r="U347">
        <v>90.582999999999998</v>
      </c>
      <c r="V347">
        <v>25.443000000000001</v>
      </c>
      <c r="W347">
        <v>2.262</v>
      </c>
      <c r="X347">
        <v>85.21</v>
      </c>
      <c r="Y347">
        <v>0.90600000000000003</v>
      </c>
      <c r="Z347">
        <v>0.95799999999999996</v>
      </c>
      <c r="AA347">
        <v>0</v>
      </c>
      <c r="AB347">
        <v>0</v>
      </c>
      <c r="AC347">
        <v>1</v>
      </c>
      <c r="AD347">
        <v>39.75</v>
      </c>
      <c r="AE347">
        <v>1</v>
      </c>
      <c r="AF347">
        <v>45</v>
      </c>
      <c r="AG347">
        <v>4</v>
      </c>
      <c r="AH347" t="s">
        <v>84</v>
      </c>
      <c r="AI347">
        <v>0</v>
      </c>
    </row>
    <row r="348" spans="1:35" x14ac:dyDescent="0.45">
      <c r="A348">
        <v>347</v>
      </c>
      <c r="B348" t="s">
        <v>527</v>
      </c>
      <c r="C348" t="s">
        <v>530</v>
      </c>
      <c r="D348" t="s">
        <v>529</v>
      </c>
      <c r="E348">
        <v>2</v>
      </c>
      <c r="F348">
        <v>-5.9459999999999997</v>
      </c>
      <c r="G348">
        <v>-37.021999999999998</v>
      </c>
      <c r="H348">
        <v>16257</v>
      </c>
      <c r="I348">
        <v>-1</v>
      </c>
      <c r="J348">
        <v>1</v>
      </c>
      <c r="K348" t="s">
        <v>55</v>
      </c>
      <c r="L348" t="s">
        <v>55</v>
      </c>
      <c r="M348" t="s">
        <v>56</v>
      </c>
      <c r="N348">
        <v>1643428732.46</v>
      </c>
      <c r="O348">
        <v>0.19800000000000001</v>
      </c>
      <c r="P348">
        <v>0.42299999999999999</v>
      </c>
      <c r="Q348">
        <v>54.341000000000001</v>
      </c>
      <c r="R348">
        <v>1E-3</v>
      </c>
      <c r="S348">
        <v>1E-3</v>
      </c>
      <c r="T348">
        <v>1.302</v>
      </c>
      <c r="U348">
        <v>90.492999999999995</v>
      </c>
      <c r="V348">
        <v>24.727</v>
      </c>
      <c r="W348">
        <v>2.2810000000000001</v>
      </c>
      <c r="X348">
        <v>86.073999999999998</v>
      </c>
      <c r="Y348">
        <v>0.91300000000000003</v>
      </c>
      <c r="Z348">
        <v>1.0089999999999999</v>
      </c>
      <c r="AA348">
        <v>0</v>
      </c>
      <c r="AB348">
        <v>0</v>
      </c>
      <c r="AC348">
        <v>1</v>
      </c>
      <c r="AD348">
        <v>39.688000000000002</v>
      </c>
      <c r="AE348">
        <v>1</v>
      </c>
      <c r="AF348">
        <v>45</v>
      </c>
      <c r="AG348">
        <v>4</v>
      </c>
      <c r="AH348" t="s">
        <v>84</v>
      </c>
      <c r="AI348">
        <v>0</v>
      </c>
    </row>
    <row r="349" spans="1:35" x14ac:dyDescent="0.45">
      <c r="A349">
        <v>348</v>
      </c>
      <c r="B349" t="s">
        <v>527</v>
      </c>
      <c r="C349" t="s">
        <v>531</v>
      </c>
      <c r="D349" t="s">
        <v>529</v>
      </c>
      <c r="E349">
        <v>3</v>
      </c>
      <c r="F349">
        <v>-5.92</v>
      </c>
      <c r="G349">
        <v>-36.988999999999997</v>
      </c>
      <c r="H349">
        <v>16257</v>
      </c>
      <c r="I349">
        <v>-1</v>
      </c>
      <c r="J349">
        <v>1</v>
      </c>
      <c r="K349" t="s">
        <v>55</v>
      </c>
      <c r="L349" t="s">
        <v>55</v>
      </c>
      <c r="M349" t="s">
        <v>56</v>
      </c>
      <c r="N349">
        <v>1643429268.4000001</v>
      </c>
      <c r="O349">
        <v>0.191</v>
      </c>
      <c r="P349">
        <v>0.40200000000000002</v>
      </c>
      <c r="Q349">
        <v>53.433999999999997</v>
      </c>
      <c r="R349">
        <v>1E-3</v>
      </c>
      <c r="S349">
        <v>1E-3</v>
      </c>
      <c r="T349">
        <v>1.28</v>
      </c>
      <c r="U349">
        <v>90.613</v>
      </c>
      <c r="V349">
        <v>24.943999999999999</v>
      </c>
      <c r="W349">
        <v>2.2549999999999999</v>
      </c>
      <c r="X349">
        <v>84.632000000000005</v>
      </c>
      <c r="Y349">
        <v>0.90700000000000003</v>
      </c>
      <c r="Z349">
        <v>0.80700000000000005</v>
      </c>
      <c r="AA349">
        <v>0</v>
      </c>
      <c r="AB349">
        <v>0</v>
      </c>
      <c r="AC349">
        <v>1</v>
      </c>
      <c r="AD349">
        <v>39.75</v>
      </c>
      <c r="AE349">
        <v>1</v>
      </c>
      <c r="AF349">
        <v>45</v>
      </c>
      <c r="AG349">
        <v>4</v>
      </c>
      <c r="AH349" t="s">
        <v>84</v>
      </c>
      <c r="AI349">
        <v>0</v>
      </c>
    </row>
    <row r="350" spans="1:35" x14ac:dyDescent="0.45">
      <c r="A350">
        <v>349</v>
      </c>
      <c r="B350" t="s">
        <v>527</v>
      </c>
      <c r="C350" t="s">
        <v>532</v>
      </c>
      <c r="D350" t="s">
        <v>529</v>
      </c>
      <c r="E350">
        <v>4</v>
      </c>
      <c r="F350">
        <v>-5.9480000000000004</v>
      </c>
      <c r="G350">
        <v>-37.034999999999997</v>
      </c>
      <c r="H350">
        <v>16267</v>
      </c>
      <c r="I350">
        <v>0</v>
      </c>
      <c r="J350">
        <v>1</v>
      </c>
      <c r="K350" t="s">
        <v>55</v>
      </c>
      <c r="L350" t="s">
        <v>55</v>
      </c>
      <c r="M350" t="s">
        <v>56</v>
      </c>
      <c r="N350">
        <v>1643429805.1800001</v>
      </c>
      <c r="O350">
        <v>0.189</v>
      </c>
      <c r="P350">
        <v>0.41899999999999998</v>
      </c>
      <c r="Q350">
        <v>53.737000000000002</v>
      </c>
      <c r="R350">
        <v>1E-3</v>
      </c>
      <c r="S350">
        <v>0</v>
      </c>
      <c r="T350">
        <v>1.304</v>
      </c>
      <c r="U350">
        <v>90.43</v>
      </c>
      <c r="V350">
        <v>24.628</v>
      </c>
      <c r="W350">
        <v>2.3679999999999999</v>
      </c>
      <c r="X350">
        <v>87.363</v>
      </c>
      <c r="Y350">
        <v>0.90100000000000002</v>
      </c>
      <c r="Z350">
        <v>1.2490000000000001</v>
      </c>
      <c r="AA350">
        <v>0</v>
      </c>
      <c r="AB350">
        <v>0</v>
      </c>
      <c r="AC350">
        <v>1</v>
      </c>
      <c r="AD350">
        <v>39.625</v>
      </c>
      <c r="AE350">
        <v>1</v>
      </c>
      <c r="AF350">
        <v>45</v>
      </c>
      <c r="AG350">
        <v>4</v>
      </c>
      <c r="AH350" t="s">
        <v>84</v>
      </c>
      <c r="AI350">
        <v>0</v>
      </c>
    </row>
    <row r="351" spans="1:35" x14ac:dyDescent="0.45">
      <c r="A351">
        <v>350</v>
      </c>
      <c r="B351" t="s">
        <v>527</v>
      </c>
      <c r="C351" t="s">
        <v>533</v>
      </c>
      <c r="D351" t="s">
        <v>529</v>
      </c>
      <c r="E351">
        <v>5</v>
      </c>
      <c r="F351">
        <v>-5.9279999999999999</v>
      </c>
      <c r="G351">
        <v>-36.901000000000003</v>
      </c>
      <c r="H351">
        <v>16256</v>
      </c>
      <c r="I351">
        <v>0</v>
      </c>
      <c r="J351">
        <v>1</v>
      </c>
      <c r="K351" t="s">
        <v>55</v>
      </c>
      <c r="L351" t="s">
        <v>55</v>
      </c>
      <c r="M351" t="s">
        <v>56</v>
      </c>
      <c r="N351">
        <v>1643430342.3699999</v>
      </c>
      <c r="O351">
        <v>0.20599999999999999</v>
      </c>
      <c r="P351">
        <v>0.436</v>
      </c>
      <c r="Q351">
        <v>53.737000000000002</v>
      </c>
      <c r="R351">
        <v>1E-3</v>
      </c>
      <c r="S351">
        <v>2E-3</v>
      </c>
      <c r="T351">
        <v>1.302</v>
      </c>
      <c r="U351">
        <v>90.372</v>
      </c>
      <c r="V351">
        <v>25.241</v>
      </c>
      <c r="W351">
        <v>2.2410000000000001</v>
      </c>
      <c r="X351">
        <v>85.242999999999995</v>
      </c>
      <c r="Y351">
        <v>0.89800000000000002</v>
      </c>
      <c r="Z351">
        <v>0.98599999999999999</v>
      </c>
      <c r="AA351">
        <v>0</v>
      </c>
      <c r="AB351">
        <v>0</v>
      </c>
      <c r="AC351">
        <v>1</v>
      </c>
      <c r="AD351">
        <v>39.75</v>
      </c>
      <c r="AE351">
        <v>1</v>
      </c>
      <c r="AF351">
        <v>45</v>
      </c>
      <c r="AG351">
        <v>4</v>
      </c>
      <c r="AH351" t="s">
        <v>84</v>
      </c>
      <c r="AI351">
        <v>0</v>
      </c>
    </row>
    <row r="352" spans="1:35" x14ac:dyDescent="0.45">
      <c r="A352">
        <v>351</v>
      </c>
      <c r="B352" t="s">
        <v>527</v>
      </c>
      <c r="C352" t="s">
        <v>534</v>
      </c>
      <c r="D352" t="s">
        <v>529</v>
      </c>
      <c r="E352">
        <v>6</v>
      </c>
      <c r="F352">
        <v>-5.9260000000000002</v>
      </c>
      <c r="G352">
        <v>-36.96</v>
      </c>
      <c r="H352">
        <v>16359</v>
      </c>
      <c r="I352">
        <v>0</v>
      </c>
      <c r="J352">
        <v>1</v>
      </c>
      <c r="K352" t="s">
        <v>55</v>
      </c>
      <c r="L352" t="s">
        <v>55</v>
      </c>
      <c r="M352" t="s">
        <v>56</v>
      </c>
      <c r="N352">
        <v>1643430878.95</v>
      </c>
      <c r="O352">
        <v>0.20899999999999999</v>
      </c>
      <c r="P352">
        <v>0.36399999999999999</v>
      </c>
      <c r="Q352">
        <v>53.859000000000002</v>
      </c>
      <c r="R352">
        <v>1E-3</v>
      </c>
      <c r="S352">
        <v>1E-3</v>
      </c>
      <c r="T352">
        <v>1.2849999999999999</v>
      </c>
      <c r="U352">
        <v>90.91</v>
      </c>
      <c r="V352">
        <v>24.667000000000002</v>
      </c>
      <c r="W352">
        <v>2.3919999999999999</v>
      </c>
      <c r="X352">
        <v>88.361999999999995</v>
      </c>
      <c r="Y352">
        <v>0.89700000000000002</v>
      </c>
      <c r="Z352">
        <v>1.3420000000000001</v>
      </c>
      <c r="AA352">
        <v>0</v>
      </c>
      <c r="AB352">
        <v>0</v>
      </c>
      <c r="AC352">
        <v>1</v>
      </c>
      <c r="AD352">
        <v>39.625</v>
      </c>
      <c r="AE352">
        <v>1</v>
      </c>
      <c r="AF352">
        <v>45</v>
      </c>
      <c r="AG352">
        <v>4</v>
      </c>
      <c r="AH352" t="s">
        <v>84</v>
      </c>
      <c r="AI352">
        <v>0</v>
      </c>
    </row>
    <row r="353" spans="1:35" x14ac:dyDescent="0.45">
      <c r="A353">
        <v>352</v>
      </c>
      <c r="B353" t="s">
        <v>535</v>
      </c>
      <c r="C353" t="s">
        <v>536</v>
      </c>
      <c r="D353" t="s">
        <v>537</v>
      </c>
      <c r="E353">
        <v>1</v>
      </c>
      <c r="F353">
        <v>-5.9349999999999996</v>
      </c>
      <c r="G353">
        <v>-36.956000000000003</v>
      </c>
      <c r="H353">
        <v>16250</v>
      </c>
      <c r="I353">
        <v>-1</v>
      </c>
      <c r="J353">
        <v>1</v>
      </c>
      <c r="K353" t="s">
        <v>55</v>
      </c>
      <c r="L353" t="s">
        <v>55</v>
      </c>
      <c r="M353" t="s">
        <v>56</v>
      </c>
      <c r="N353">
        <v>1643431416.03</v>
      </c>
      <c r="O353">
        <v>0.21199999999999999</v>
      </c>
      <c r="P353">
        <v>0.39300000000000002</v>
      </c>
      <c r="Q353">
        <v>54.051000000000002</v>
      </c>
      <c r="R353">
        <v>1E-3</v>
      </c>
      <c r="S353">
        <v>1E-3</v>
      </c>
      <c r="T353">
        <v>1.3</v>
      </c>
      <c r="U353">
        <v>90.375</v>
      </c>
      <c r="V353">
        <v>24.838000000000001</v>
      </c>
      <c r="W353">
        <v>2.3039999999999998</v>
      </c>
      <c r="X353">
        <v>86.066000000000003</v>
      </c>
      <c r="Y353">
        <v>0.90400000000000003</v>
      </c>
      <c r="Z353">
        <v>1.093</v>
      </c>
      <c r="AA353">
        <v>0</v>
      </c>
      <c r="AB353">
        <v>0</v>
      </c>
      <c r="AC353">
        <v>1</v>
      </c>
      <c r="AD353">
        <v>39.688000000000002</v>
      </c>
      <c r="AE353">
        <v>1</v>
      </c>
      <c r="AF353">
        <v>46</v>
      </c>
      <c r="AG353">
        <v>4</v>
      </c>
      <c r="AH353" t="s">
        <v>84</v>
      </c>
      <c r="AI353">
        <v>0</v>
      </c>
    </row>
    <row r="354" spans="1:35" x14ac:dyDescent="0.45">
      <c r="A354">
        <v>353</v>
      </c>
      <c r="B354" t="s">
        <v>535</v>
      </c>
      <c r="C354" t="s">
        <v>538</v>
      </c>
      <c r="D354" t="s">
        <v>537</v>
      </c>
      <c r="E354">
        <v>2</v>
      </c>
      <c r="F354">
        <v>-5.9219999999999997</v>
      </c>
      <c r="G354">
        <v>-37.057000000000002</v>
      </c>
      <c r="H354">
        <v>16259</v>
      </c>
      <c r="I354">
        <v>-1</v>
      </c>
      <c r="J354">
        <v>1</v>
      </c>
      <c r="K354" t="s">
        <v>55</v>
      </c>
      <c r="L354" t="s">
        <v>55</v>
      </c>
      <c r="M354" t="s">
        <v>56</v>
      </c>
      <c r="N354">
        <v>1643431952.45</v>
      </c>
      <c r="O354">
        <v>0.20599999999999999</v>
      </c>
      <c r="P354">
        <v>0.42</v>
      </c>
      <c r="Q354">
        <v>54.045999999999999</v>
      </c>
      <c r="R354">
        <v>1E-3</v>
      </c>
      <c r="S354">
        <v>0</v>
      </c>
      <c r="T354">
        <v>1.304</v>
      </c>
      <c r="U354">
        <v>90.569000000000003</v>
      </c>
      <c r="V354">
        <v>24.263000000000002</v>
      </c>
      <c r="W354">
        <v>2.363</v>
      </c>
      <c r="X354">
        <v>87.266999999999996</v>
      </c>
      <c r="Y354">
        <v>0.89600000000000002</v>
      </c>
      <c r="Z354">
        <v>1.121</v>
      </c>
      <c r="AA354">
        <v>0</v>
      </c>
      <c r="AB354">
        <v>0</v>
      </c>
      <c r="AC354">
        <v>1</v>
      </c>
      <c r="AD354">
        <v>39.688000000000002</v>
      </c>
      <c r="AE354">
        <v>1</v>
      </c>
      <c r="AF354">
        <v>46</v>
      </c>
      <c r="AG354">
        <v>4</v>
      </c>
      <c r="AH354" t="s">
        <v>84</v>
      </c>
      <c r="AI354">
        <v>0</v>
      </c>
    </row>
    <row r="355" spans="1:35" x14ac:dyDescent="0.45">
      <c r="A355">
        <v>354</v>
      </c>
      <c r="B355" t="s">
        <v>535</v>
      </c>
      <c r="C355" t="s">
        <v>539</v>
      </c>
      <c r="D355" t="s">
        <v>537</v>
      </c>
      <c r="E355">
        <v>3</v>
      </c>
      <c r="F355">
        <v>-5.9509999999999996</v>
      </c>
      <c r="G355">
        <v>-37.01</v>
      </c>
      <c r="H355">
        <v>16277</v>
      </c>
      <c r="I355">
        <v>-1</v>
      </c>
      <c r="J355">
        <v>1</v>
      </c>
      <c r="K355" t="s">
        <v>55</v>
      </c>
      <c r="L355" t="s">
        <v>55</v>
      </c>
      <c r="M355" t="s">
        <v>56</v>
      </c>
      <c r="N355">
        <v>1643432488.97</v>
      </c>
      <c r="O355">
        <v>0.20499999999999999</v>
      </c>
      <c r="P355">
        <v>0.47899999999999998</v>
      </c>
      <c r="Q355">
        <v>52.94</v>
      </c>
      <c r="R355">
        <v>1E-3</v>
      </c>
      <c r="S355">
        <v>0</v>
      </c>
      <c r="T355">
        <v>1.2809999999999999</v>
      </c>
      <c r="U355">
        <v>90.534999999999997</v>
      </c>
      <c r="V355">
        <v>24.541</v>
      </c>
      <c r="W355">
        <v>2.343</v>
      </c>
      <c r="X355">
        <v>87.478999999999999</v>
      </c>
      <c r="Y355">
        <v>0.90500000000000003</v>
      </c>
      <c r="Z355">
        <v>1.222</v>
      </c>
      <c r="AA355">
        <v>0</v>
      </c>
      <c r="AB355">
        <v>0</v>
      </c>
      <c r="AC355">
        <v>1</v>
      </c>
      <c r="AD355">
        <v>39.625</v>
      </c>
      <c r="AE355">
        <v>1</v>
      </c>
      <c r="AF355">
        <v>46</v>
      </c>
      <c r="AG355">
        <v>4</v>
      </c>
      <c r="AH355" t="s">
        <v>84</v>
      </c>
      <c r="AI355">
        <v>0</v>
      </c>
    </row>
    <row r="356" spans="1:35" x14ac:dyDescent="0.45">
      <c r="A356">
        <v>355</v>
      </c>
      <c r="B356" t="s">
        <v>535</v>
      </c>
      <c r="C356" t="s">
        <v>540</v>
      </c>
      <c r="D356" t="s">
        <v>537</v>
      </c>
      <c r="E356">
        <v>4</v>
      </c>
      <c r="F356">
        <v>-5.9409999999999998</v>
      </c>
      <c r="G356">
        <v>-37.106999999999999</v>
      </c>
      <c r="H356">
        <v>16231</v>
      </c>
      <c r="I356">
        <v>0</v>
      </c>
      <c r="J356">
        <v>1</v>
      </c>
      <c r="K356" t="s">
        <v>55</v>
      </c>
      <c r="L356" t="s">
        <v>55</v>
      </c>
      <c r="M356" t="s">
        <v>56</v>
      </c>
      <c r="N356">
        <v>1643433027.0699999</v>
      </c>
      <c r="O356">
        <v>0.19</v>
      </c>
      <c r="P356">
        <v>0.39900000000000002</v>
      </c>
      <c r="Q356">
        <v>54.648000000000003</v>
      </c>
      <c r="R356">
        <v>1E-3</v>
      </c>
      <c r="S356">
        <v>1E-3</v>
      </c>
      <c r="T356">
        <v>1.3129999999999999</v>
      </c>
      <c r="U356">
        <v>90.338999999999999</v>
      </c>
      <c r="V356">
        <v>24.86</v>
      </c>
      <c r="W356">
        <v>2.27</v>
      </c>
      <c r="X356">
        <v>85.591999999999999</v>
      </c>
      <c r="Y356">
        <v>0.91100000000000003</v>
      </c>
      <c r="Z356">
        <v>1.0389999999999999</v>
      </c>
      <c r="AA356">
        <v>0</v>
      </c>
      <c r="AB356">
        <v>0</v>
      </c>
      <c r="AC356">
        <v>1</v>
      </c>
      <c r="AD356">
        <v>39.688000000000002</v>
      </c>
      <c r="AE356">
        <v>1</v>
      </c>
      <c r="AF356">
        <v>46</v>
      </c>
      <c r="AG356">
        <v>4</v>
      </c>
      <c r="AH356" t="s">
        <v>84</v>
      </c>
      <c r="AI356">
        <v>0</v>
      </c>
    </row>
    <row r="357" spans="1:35" x14ac:dyDescent="0.45">
      <c r="A357">
        <v>356</v>
      </c>
      <c r="B357" t="s">
        <v>535</v>
      </c>
      <c r="C357" t="s">
        <v>541</v>
      </c>
      <c r="D357" t="s">
        <v>537</v>
      </c>
      <c r="E357">
        <v>5</v>
      </c>
      <c r="F357">
        <v>-5.9509999999999996</v>
      </c>
      <c r="G357">
        <v>-37.064999999999998</v>
      </c>
      <c r="H357">
        <v>16239</v>
      </c>
      <c r="I357">
        <v>0</v>
      </c>
      <c r="J357">
        <v>1</v>
      </c>
      <c r="K357" t="s">
        <v>55</v>
      </c>
      <c r="L357" t="s">
        <v>55</v>
      </c>
      <c r="M357" t="s">
        <v>56</v>
      </c>
      <c r="N357">
        <v>1643433562</v>
      </c>
      <c r="O357">
        <v>0.217</v>
      </c>
      <c r="P357">
        <v>0.39700000000000002</v>
      </c>
      <c r="Q357">
        <v>53.581000000000003</v>
      </c>
      <c r="R357">
        <v>1E-3</v>
      </c>
      <c r="S357">
        <v>0</v>
      </c>
      <c r="T357">
        <v>1.2869999999999999</v>
      </c>
      <c r="U357">
        <v>90.063000000000002</v>
      </c>
      <c r="V357">
        <v>25</v>
      </c>
      <c r="W357">
        <v>2.3380000000000001</v>
      </c>
      <c r="X357">
        <v>86.911000000000001</v>
      </c>
      <c r="Y357">
        <v>0.91600000000000004</v>
      </c>
      <c r="Z357">
        <v>1.2230000000000001</v>
      </c>
      <c r="AA357">
        <v>0</v>
      </c>
      <c r="AB357">
        <v>0</v>
      </c>
      <c r="AC357">
        <v>1</v>
      </c>
      <c r="AD357">
        <v>39.625</v>
      </c>
      <c r="AE357">
        <v>1</v>
      </c>
      <c r="AF357">
        <v>46</v>
      </c>
      <c r="AG357">
        <v>4</v>
      </c>
      <c r="AH357" t="s">
        <v>84</v>
      </c>
      <c r="AI357">
        <v>0</v>
      </c>
    </row>
    <row r="358" spans="1:35" x14ac:dyDescent="0.45">
      <c r="A358">
        <v>357</v>
      </c>
      <c r="B358" t="s">
        <v>535</v>
      </c>
      <c r="C358" t="s">
        <v>542</v>
      </c>
      <c r="D358" t="s">
        <v>537</v>
      </c>
      <c r="E358">
        <v>6</v>
      </c>
      <c r="F358">
        <v>-5.9470000000000001</v>
      </c>
      <c r="G358">
        <v>-37.076999999999998</v>
      </c>
      <c r="H358">
        <v>16253</v>
      </c>
      <c r="I358">
        <v>0</v>
      </c>
      <c r="J358">
        <v>1</v>
      </c>
      <c r="K358" t="s">
        <v>55</v>
      </c>
      <c r="L358" t="s">
        <v>55</v>
      </c>
      <c r="M358" t="s">
        <v>56</v>
      </c>
      <c r="N358">
        <v>1643434098.72</v>
      </c>
      <c r="O358">
        <v>0.22500000000000001</v>
      </c>
      <c r="P358">
        <v>0.40500000000000003</v>
      </c>
      <c r="Q358">
        <v>53.2</v>
      </c>
      <c r="R358">
        <v>1E-3</v>
      </c>
      <c r="S358">
        <v>1E-3</v>
      </c>
      <c r="T358">
        <v>1.28</v>
      </c>
      <c r="U358">
        <v>90.465000000000003</v>
      </c>
      <c r="V358">
        <v>24.594999999999999</v>
      </c>
      <c r="W358">
        <v>2.331</v>
      </c>
      <c r="X358">
        <v>86.751000000000005</v>
      </c>
      <c r="Y358">
        <v>0.90900000000000003</v>
      </c>
      <c r="Z358">
        <v>1.089</v>
      </c>
      <c r="AA358">
        <v>0</v>
      </c>
      <c r="AB358">
        <v>0</v>
      </c>
      <c r="AC358">
        <v>1</v>
      </c>
      <c r="AD358">
        <v>39.561999999999998</v>
      </c>
      <c r="AE358">
        <v>1</v>
      </c>
      <c r="AF358">
        <v>46</v>
      </c>
      <c r="AG358">
        <v>4</v>
      </c>
      <c r="AH358" t="s">
        <v>84</v>
      </c>
      <c r="AI358">
        <v>0</v>
      </c>
    </row>
    <row r="359" spans="1:35" x14ac:dyDescent="0.45">
      <c r="A359">
        <v>358</v>
      </c>
      <c r="B359" t="s">
        <v>543</v>
      </c>
      <c r="C359" t="s">
        <v>544</v>
      </c>
      <c r="D359" t="s">
        <v>545</v>
      </c>
      <c r="E359">
        <v>1</v>
      </c>
      <c r="F359">
        <v>-5.9390000000000001</v>
      </c>
      <c r="G359">
        <v>-37.058</v>
      </c>
      <c r="H359">
        <v>16292</v>
      </c>
      <c r="I359">
        <v>-1</v>
      </c>
      <c r="J359">
        <v>1</v>
      </c>
      <c r="K359" t="s">
        <v>55</v>
      </c>
      <c r="L359" t="s">
        <v>55</v>
      </c>
      <c r="M359" t="s">
        <v>56</v>
      </c>
      <c r="N359">
        <v>1643434637.04</v>
      </c>
      <c r="O359">
        <v>0.19700000000000001</v>
      </c>
      <c r="P359">
        <v>0.42099999999999999</v>
      </c>
      <c r="Q359">
        <v>52.003</v>
      </c>
      <c r="R359">
        <v>1E-3</v>
      </c>
      <c r="S359">
        <v>-1E-3</v>
      </c>
      <c r="T359">
        <v>1.2749999999999999</v>
      </c>
      <c r="U359">
        <v>90.486000000000004</v>
      </c>
      <c r="V359">
        <v>24.827000000000002</v>
      </c>
      <c r="W359">
        <v>2.3839999999999999</v>
      </c>
      <c r="X359">
        <v>87.533000000000001</v>
      </c>
      <c r="Y359">
        <v>0.90900000000000003</v>
      </c>
      <c r="Z359">
        <v>1.298</v>
      </c>
      <c r="AA359">
        <v>0</v>
      </c>
      <c r="AB359">
        <v>0</v>
      </c>
      <c r="AC359">
        <v>1</v>
      </c>
      <c r="AD359">
        <v>39.561999999999998</v>
      </c>
      <c r="AE359">
        <v>1</v>
      </c>
      <c r="AF359">
        <v>47</v>
      </c>
      <c r="AG359">
        <v>4</v>
      </c>
      <c r="AH359" t="s">
        <v>84</v>
      </c>
      <c r="AI359">
        <v>0</v>
      </c>
    </row>
    <row r="360" spans="1:35" x14ac:dyDescent="0.45">
      <c r="A360">
        <v>359</v>
      </c>
      <c r="B360" t="s">
        <v>543</v>
      </c>
      <c r="C360" t="s">
        <v>546</v>
      </c>
      <c r="D360" t="s">
        <v>545</v>
      </c>
      <c r="E360">
        <v>2</v>
      </c>
      <c r="F360">
        <v>-5.9630000000000001</v>
      </c>
      <c r="G360">
        <v>-37.113</v>
      </c>
      <c r="H360">
        <v>16267</v>
      </c>
      <c r="I360">
        <v>-1</v>
      </c>
      <c r="J360">
        <v>1</v>
      </c>
      <c r="K360" t="s">
        <v>55</v>
      </c>
      <c r="L360" t="s">
        <v>55</v>
      </c>
      <c r="M360" t="s">
        <v>56</v>
      </c>
      <c r="N360">
        <v>1643435172.25</v>
      </c>
      <c r="O360">
        <v>0.21199999999999999</v>
      </c>
      <c r="P360">
        <v>0.39100000000000001</v>
      </c>
      <c r="Q360">
        <v>54.134</v>
      </c>
      <c r="R360">
        <v>0</v>
      </c>
      <c r="S360">
        <v>1E-3</v>
      </c>
      <c r="T360">
        <v>1.31</v>
      </c>
      <c r="U360">
        <v>90.534999999999997</v>
      </c>
      <c r="V360">
        <v>24.838000000000001</v>
      </c>
      <c r="W360">
        <v>2.3140000000000001</v>
      </c>
      <c r="X360">
        <v>86.054000000000002</v>
      </c>
      <c r="Y360">
        <v>0.90100000000000002</v>
      </c>
      <c r="Z360">
        <v>1.125</v>
      </c>
      <c r="AA360">
        <v>0</v>
      </c>
      <c r="AB360">
        <v>0</v>
      </c>
      <c r="AC360">
        <v>1</v>
      </c>
      <c r="AD360">
        <v>39.561999999999998</v>
      </c>
      <c r="AE360">
        <v>1</v>
      </c>
      <c r="AF360">
        <v>47</v>
      </c>
      <c r="AG360">
        <v>4</v>
      </c>
      <c r="AH360" t="s">
        <v>84</v>
      </c>
      <c r="AI360">
        <v>0</v>
      </c>
    </row>
    <row r="361" spans="1:35" x14ac:dyDescent="0.45">
      <c r="A361">
        <v>360</v>
      </c>
      <c r="B361" t="s">
        <v>543</v>
      </c>
      <c r="C361" t="s">
        <v>547</v>
      </c>
      <c r="D361" t="s">
        <v>545</v>
      </c>
      <c r="E361">
        <v>3</v>
      </c>
      <c r="F361">
        <v>-5.9649999999999999</v>
      </c>
      <c r="G361">
        <v>-37.156999999999996</v>
      </c>
      <c r="H361">
        <v>16317</v>
      </c>
      <c r="I361">
        <v>-1</v>
      </c>
      <c r="J361">
        <v>1</v>
      </c>
      <c r="K361" t="s">
        <v>55</v>
      </c>
      <c r="L361" t="s">
        <v>55</v>
      </c>
      <c r="M361" t="s">
        <v>56</v>
      </c>
      <c r="N361">
        <v>1643435709.3299999</v>
      </c>
      <c r="O361">
        <v>0.20399999999999999</v>
      </c>
      <c r="P361">
        <v>0.40600000000000003</v>
      </c>
      <c r="Q361">
        <v>53.466000000000001</v>
      </c>
      <c r="R361">
        <v>0</v>
      </c>
      <c r="S361">
        <v>1E-3</v>
      </c>
      <c r="T361">
        <v>1.29</v>
      </c>
      <c r="U361">
        <v>90.674999999999997</v>
      </c>
      <c r="V361">
        <v>25.24</v>
      </c>
      <c r="W361">
        <v>2.298</v>
      </c>
      <c r="X361">
        <v>86.180999999999997</v>
      </c>
      <c r="Y361">
        <v>0.90500000000000003</v>
      </c>
      <c r="Z361">
        <v>1.1200000000000001</v>
      </c>
      <c r="AA361">
        <v>0</v>
      </c>
      <c r="AB361">
        <v>0</v>
      </c>
      <c r="AC361">
        <v>1</v>
      </c>
      <c r="AD361">
        <v>39.625</v>
      </c>
      <c r="AE361">
        <v>1</v>
      </c>
      <c r="AF361">
        <v>47</v>
      </c>
      <c r="AG361">
        <v>4</v>
      </c>
      <c r="AH361" t="s">
        <v>84</v>
      </c>
      <c r="AI361">
        <v>0</v>
      </c>
    </row>
    <row r="362" spans="1:35" x14ac:dyDescent="0.45">
      <c r="A362">
        <v>361</v>
      </c>
      <c r="B362" t="s">
        <v>543</v>
      </c>
      <c r="C362" t="s">
        <v>548</v>
      </c>
      <c r="D362" t="s">
        <v>545</v>
      </c>
      <c r="E362">
        <v>4</v>
      </c>
      <c r="F362">
        <v>-5.9139999999999997</v>
      </c>
      <c r="G362">
        <v>-36.999000000000002</v>
      </c>
      <c r="H362">
        <v>16242</v>
      </c>
      <c r="I362">
        <v>0</v>
      </c>
      <c r="J362">
        <v>1</v>
      </c>
      <c r="K362" t="s">
        <v>55</v>
      </c>
      <c r="L362" t="s">
        <v>55</v>
      </c>
      <c r="M362" t="s">
        <v>56</v>
      </c>
      <c r="N362">
        <v>1643436245.04</v>
      </c>
      <c r="O362">
        <v>0.20499999999999999</v>
      </c>
      <c r="P362">
        <v>0.42399999999999999</v>
      </c>
      <c r="Q362">
        <v>53.015000000000001</v>
      </c>
      <c r="R362">
        <v>0</v>
      </c>
      <c r="S362">
        <v>1E-3</v>
      </c>
      <c r="T362">
        <v>1.28</v>
      </c>
      <c r="U362">
        <v>90.253</v>
      </c>
      <c r="V362">
        <v>24.616</v>
      </c>
      <c r="W362">
        <v>2.3439999999999999</v>
      </c>
      <c r="X362">
        <v>87.335999999999999</v>
      </c>
      <c r="Y362">
        <v>0.91200000000000003</v>
      </c>
      <c r="Z362">
        <v>1.2609999999999999</v>
      </c>
      <c r="AA362">
        <v>0</v>
      </c>
      <c r="AB362">
        <v>0</v>
      </c>
      <c r="AC362">
        <v>1</v>
      </c>
      <c r="AD362">
        <v>39.561999999999998</v>
      </c>
      <c r="AE362">
        <v>1</v>
      </c>
      <c r="AF362">
        <v>47</v>
      </c>
      <c r="AG362">
        <v>4</v>
      </c>
      <c r="AH362" t="s">
        <v>84</v>
      </c>
      <c r="AI362">
        <v>0</v>
      </c>
    </row>
    <row r="363" spans="1:35" x14ac:dyDescent="0.45">
      <c r="A363">
        <v>362</v>
      </c>
      <c r="B363" t="s">
        <v>543</v>
      </c>
      <c r="C363" t="s">
        <v>549</v>
      </c>
      <c r="D363" t="s">
        <v>545</v>
      </c>
      <c r="E363">
        <v>5</v>
      </c>
      <c r="F363">
        <v>-5.9260000000000002</v>
      </c>
      <c r="G363">
        <v>-37.048999999999999</v>
      </c>
      <c r="H363">
        <v>16280</v>
      </c>
      <c r="I363">
        <v>0</v>
      </c>
      <c r="J363">
        <v>1</v>
      </c>
      <c r="K363" t="s">
        <v>55</v>
      </c>
      <c r="L363" t="s">
        <v>55</v>
      </c>
      <c r="M363" t="s">
        <v>56</v>
      </c>
      <c r="N363">
        <v>1643436781.78</v>
      </c>
      <c r="O363">
        <v>0.20899999999999999</v>
      </c>
      <c r="P363">
        <v>0.36799999999999999</v>
      </c>
      <c r="Q363">
        <v>54.865000000000002</v>
      </c>
      <c r="R363">
        <v>0</v>
      </c>
      <c r="S363">
        <v>1E-3</v>
      </c>
      <c r="T363">
        <v>1.3180000000000001</v>
      </c>
      <c r="U363">
        <v>90.54</v>
      </c>
      <c r="V363">
        <v>24.302</v>
      </c>
      <c r="W363">
        <v>2.375</v>
      </c>
      <c r="X363">
        <v>88.168999999999997</v>
      </c>
      <c r="Y363">
        <v>0.91800000000000004</v>
      </c>
      <c r="Z363">
        <v>1.3380000000000001</v>
      </c>
      <c r="AA363">
        <v>0</v>
      </c>
      <c r="AB363">
        <v>0</v>
      </c>
      <c r="AC363">
        <v>1</v>
      </c>
      <c r="AD363">
        <v>39.625</v>
      </c>
      <c r="AE363">
        <v>1</v>
      </c>
      <c r="AF363">
        <v>47</v>
      </c>
      <c r="AG363">
        <v>4</v>
      </c>
      <c r="AH363" t="s">
        <v>84</v>
      </c>
      <c r="AI363">
        <v>0</v>
      </c>
    </row>
    <row r="364" spans="1:35" x14ac:dyDescent="0.45">
      <c r="A364">
        <v>363</v>
      </c>
      <c r="B364" t="s">
        <v>543</v>
      </c>
      <c r="C364" t="s">
        <v>550</v>
      </c>
      <c r="D364" t="s">
        <v>545</v>
      </c>
      <c r="E364">
        <v>6</v>
      </c>
      <c r="F364">
        <v>-5.9290000000000003</v>
      </c>
      <c r="G364">
        <v>-36.973999999999997</v>
      </c>
      <c r="H364">
        <v>16320</v>
      </c>
      <c r="I364">
        <v>0</v>
      </c>
      <c r="J364">
        <v>1</v>
      </c>
      <c r="K364" t="s">
        <v>55</v>
      </c>
      <c r="L364" t="s">
        <v>55</v>
      </c>
      <c r="M364" t="s">
        <v>56</v>
      </c>
      <c r="N364">
        <v>1643437318.5799999</v>
      </c>
      <c r="O364">
        <v>0.20699999999999999</v>
      </c>
      <c r="P364">
        <v>0.42699999999999999</v>
      </c>
      <c r="Q364">
        <v>54.558999999999997</v>
      </c>
      <c r="R364">
        <v>1E-3</v>
      </c>
      <c r="S364">
        <v>2E-3</v>
      </c>
      <c r="T364">
        <v>1.2969999999999999</v>
      </c>
      <c r="U364">
        <v>90.72</v>
      </c>
      <c r="V364">
        <v>24.917999999999999</v>
      </c>
      <c r="W364">
        <v>2.3540000000000001</v>
      </c>
      <c r="X364">
        <v>86.947999999999993</v>
      </c>
      <c r="Y364">
        <v>0.90100000000000002</v>
      </c>
      <c r="Z364">
        <v>1.3140000000000001</v>
      </c>
      <c r="AA364">
        <v>0</v>
      </c>
      <c r="AB364">
        <v>0</v>
      </c>
      <c r="AC364">
        <v>1</v>
      </c>
      <c r="AD364">
        <v>39.561999999999998</v>
      </c>
      <c r="AE364">
        <v>1</v>
      </c>
      <c r="AF364">
        <v>47</v>
      </c>
      <c r="AG364">
        <v>4</v>
      </c>
      <c r="AH364" t="s">
        <v>84</v>
      </c>
      <c r="AI364">
        <v>0</v>
      </c>
    </row>
    <row r="365" spans="1:35" x14ac:dyDescent="0.45">
      <c r="A365">
        <v>364</v>
      </c>
      <c r="B365" t="s">
        <v>551</v>
      </c>
      <c r="C365" t="s">
        <v>552</v>
      </c>
      <c r="D365" t="s">
        <v>553</v>
      </c>
      <c r="E365">
        <v>1</v>
      </c>
      <c r="F365">
        <v>-5.9660000000000002</v>
      </c>
      <c r="G365">
        <v>-37.156999999999996</v>
      </c>
      <c r="H365">
        <v>16206</v>
      </c>
      <c r="I365">
        <v>-1</v>
      </c>
      <c r="J365">
        <v>1</v>
      </c>
      <c r="K365" t="s">
        <v>55</v>
      </c>
      <c r="L365" t="s">
        <v>55</v>
      </c>
      <c r="M365" t="s">
        <v>56</v>
      </c>
      <c r="N365">
        <v>1643437854.8199999</v>
      </c>
      <c r="O365">
        <v>0.20699999999999999</v>
      </c>
      <c r="P365">
        <v>0.441</v>
      </c>
      <c r="Q365">
        <v>53.85</v>
      </c>
      <c r="R365">
        <v>1E-3</v>
      </c>
      <c r="S365">
        <v>0</v>
      </c>
      <c r="T365">
        <v>1.2889999999999999</v>
      </c>
      <c r="U365">
        <v>90.141000000000005</v>
      </c>
      <c r="V365">
        <v>24.753</v>
      </c>
      <c r="W365">
        <v>2.3199999999999998</v>
      </c>
      <c r="X365">
        <v>85.834999999999994</v>
      </c>
      <c r="Y365">
        <v>0.89700000000000002</v>
      </c>
      <c r="Z365">
        <v>1.048</v>
      </c>
      <c r="AA365">
        <v>0</v>
      </c>
      <c r="AB365">
        <v>0</v>
      </c>
      <c r="AC365">
        <v>1</v>
      </c>
      <c r="AD365">
        <v>39.5</v>
      </c>
      <c r="AE365">
        <v>1</v>
      </c>
      <c r="AF365">
        <v>48</v>
      </c>
      <c r="AG365">
        <v>4</v>
      </c>
      <c r="AH365" t="s">
        <v>84</v>
      </c>
      <c r="AI365">
        <v>0</v>
      </c>
    </row>
    <row r="366" spans="1:35" x14ac:dyDescent="0.45">
      <c r="A366">
        <v>365</v>
      </c>
      <c r="B366" t="s">
        <v>551</v>
      </c>
      <c r="C366" t="s">
        <v>554</v>
      </c>
      <c r="D366" t="s">
        <v>553</v>
      </c>
      <c r="E366">
        <v>2</v>
      </c>
      <c r="F366">
        <v>-5.9489999999999998</v>
      </c>
      <c r="G366">
        <v>-37.1</v>
      </c>
      <c r="H366">
        <v>16243</v>
      </c>
      <c r="I366">
        <v>-1</v>
      </c>
      <c r="J366">
        <v>1</v>
      </c>
      <c r="K366" t="s">
        <v>55</v>
      </c>
      <c r="L366" t="s">
        <v>55</v>
      </c>
      <c r="M366" t="s">
        <v>56</v>
      </c>
      <c r="N366">
        <v>1643438391.1900001</v>
      </c>
      <c r="O366">
        <v>0.218</v>
      </c>
      <c r="P366">
        <v>0.38400000000000001</v>
      </c>
      <c r="Q366">
        <v>53.856999999999999</v>
      </c>
      <c r="R366">
        <v>1E-3</v>
      </c>
      <c r="S366">
        <v>0</v>
      </c>
      <c r="T366">
        <v>1.2909999999999999</v>
      </c>
      <c r="U366">
        <v>90.394000000000005</v>
      </c>
      <c r="V366">
        <v>24.87</v>
      </c>
      <c r="W366">
        <v>2.2970000000000002</v>
      </c>
      <c r="X366">
        <v>85.864000000000004</v>
      </c>
      <c r="Y366">
        <v>0.89700000000000002</v>
      </c>
      <c r="Z366">
        <v>1.004</v>
      </c>
      <c r="AA366">
        <v>0</v>
      </c>
      <c r="AB366">
        <v>0</v>
      </c>
      <c r="AC366">
        <v>1</v>
      </c>
      <c r="AD366">
        <v>39.561999999999998</v>
      </c>
      <c r="AE366">
        <v>1</v>
      </c>
      <c r="AF366">
        <v>48</v>
      </c>
      <c r="AG366">
        <v>4</v>
      </c>
      <c r="AH366" t="s">
        <v>84</v>
      </c>
      <c r="AI366">
        <v>0</v>
      </c>
    </row>
    <row r="367" spans="1:35" x14ac:dyDescent="0.45">
      <c r="A367">
        <v>366</v>
      </c>
      <c r="B367" t="s">
        <v>551</v>
      </c>
      <c r="C367" t="s">
        <v>555</v>
      </c>
      <c r="D367" t="s">
        <v>553</v>
      </c>
      <c r="E367">
        <v>3</v>
      </c>
      <c r="F367">
        <v>-5.9610000000000003</v>
      </c>
      <c r="G367">
        <v>-37.158000000000001</v>
      </c>
      <c r="H367">
        <v>16252</v>
      </c>
      <c r="I367">
        <v>-1</v>
      </c>
      <c r="J367">
        <v>1</v>
      </c>
      <c r="K367" t="s">
        <v>55</v>
      </c>
      <c r="L367" t="s">
        <v>55</v>
      </c>
      <c r="M367" t="s">
        <v>56</v>
      </c>
      <c r="N367">
        <v>1643438927.6700001</v>
      </c>
      <c r="O367">
        <v>0.19900000000000001</v>
      </c>
      <c r="P367">
        <v>0.40799999999999997</v>
      </c>
      <c r="Q367">
        <v>53.463000000000001</v>
      </c>
      <c r="R367">
        <v>0</v>
      </c>
      <c r="S367">
        <v>0</v>
      </c>
      <c r="T367">
        <v>1.292</v>
      </c>
      <c r="U367">
        <v>90.432000000000002</v>
      </c>
      <c r="V367">
        <v>24.545000000000002</v>
      </c>
      <c r="W367">
        <v>2.3199999999999998</v>
      </c>
      <c r="X367">
        <v>86.972999999999999</v>
      </c>
      <c r="Y367">
        <v>0.9</v>
      </c>
      <c r="Z367">
        <v>1.119</v>
      </c>
      <c r="AA367">
        <v>0</v>
      </c>
      <c r="AB367">
        <v>0</v>
      </c>
      <c r="AC367">
        <v>1</v>
      </c>
      <c r="AD367">
        <v>39.561999999999998</v>
      </c>
      <c r="AE367">
        <v>1</v>
      </c>
      <c r="AF367">
        <v>48</v>
      </c>
      <c r="AG367">
        <v>4</v>
      </c>
      <c r="AH367" t="s">
        <v>84</v>
      </c>
      <c r="AI367">
        <v>0</v>
      </c>
    </row>
    <row r="368" spans="1:35" x14ac:dyDescent="0.45">
      <c r="A368">
        <v>367</v>
      </c>
      <c r="B368" t="s">
        <v>551</v>
      </c>
      <c r="C368" t="s">
        <v>556</v>
      </c>
      <c r="D368" t="s">
        <v>553</v>
      </c>
      <c r="E368">
        <v>4</v>
      </c>
      <c r="F368">
        <v>-5.95</v>
      </c>
      <c r="G368">
        <v>-37.146999999999998</v>
      </c>
      <c r="H368">
        <v>16237</v>
      </c>
      <c r="I368">
        <v>0</v>
      </c>
      <c r="J368">
        <v>1</v>
      </c>
      <c r="K368" t="s">
        <v>55</v>
      </c>
      <c r="L368" t="s">
        <v>55</v>
      </c>
      <c r="M368" t="s">
        <v>56</v>
      </c>
      <c r="N368">
        <v>1643439464.6300001</v>
      </c>
      <c r="O368">
        <v>0.214</v>
      </c>
      <c r="P368">
        <v>0.4</v>
      </c>
      <c r="Q368">
        <v>52.828000000000003</v>
      </c>
      <c r="R368">
        <v>1E-3</v>
      </c>
      <c r="S368">
        <v>2E-3</v>
      </c>
      <c r="T368">
        <v>1.272</v>
      </c>
      <c r="U368">
        <v>90.472999999999999</v>
      </c>
      <c r="V368">
        <v>24.346</v>
      </c>
      <c r="W368">
        <v>2.351</v>
      </c>
      <c r="X368">
        <v>86.745000000000005</v>
      </c>
      <c r="Y368">
        <v>0.90300000000000002</v>
      </c>
      <c r="Z368">
        <v>1.0840000000000001</v>
      </c>
      <c r="AA368">
        <v>0</v>
      </c>
      <c r="AB368">
        <v>0</v>
      </c>
      <c r="AC368">
        <v>1</v>
      </c>
      <c r="AD368">
        <v>39.5</v>
      </c>
      <c r="AE368">
        <v>1</v>
      </c>
      <c r="AF368">
        <v>48</v>
      </c>
      <c r="AG368">
        <v>4</v>
      </c>
      <c r="AH368" t="s">
        <v>84</v>
      </c>
      <c r="AI368">
        <v>0</v>
      </c>
    </row>
    <row r="369" spans="1:35" x14ac:dyDescent="0.45">
      <c r="A369">
        <v>368</v>
      </c>
      <c r="B369" t="s">
        <v>551</v>
      </c>
      <c r="C369" t="s">
        <v>557</v>
      </c>
      <c r="D369" t="s">
        <v>553</v>
      </c>
      <c r="E369">
        <v>5</v>
      </c>
      <c r="F369">
        <v>-5.9550000000000001</v>
      </c>
      <c r="G369">
        <v>-37.15</v>
      </c>
      <c r="H369">
        <v>16246</v>
      </c>
      <c r="I369">
        <v>0</v>
      </c>
      <c r="J369">
        <v>1</v>
      </c>
      <c r="K369" t="s">
        <v>55</v>
      </c>
      <c r="L369" t="s">
        <v>55</v>
      </c>
      <c r="M369" t="s">
        <v>56</v>
      </c>
      <c r="N369">
        <v>1643440002.3499999</v>
      </c>
      <c r="O369">
        <v>0.2</v>
      </c>
      <c r="P369">
        <v>0.38300000000000001</v>
      </c>
      <c r="Q369">
        <v>54.052</v>
      </c>
      <c r="R369">
        <v>1E-3</v>
      </c>
      <c r="S369">
        <v>2E-3</v>
      </c>
      <c r="T369">
        <v>1.3080000000000001</v>
      </c>
      <c r="U369">
        <v>90.215999999999994</v>
      </c>
      <c r="V369">
        <v>24.858000000000001</v>
      </c>
      <c r="W369">
        <v>2.3090000000000002</v>
      </c>
      <c r="X369">
        <v>87.084000000000003</v>
      </c>
      <c r="Y369">
        <v>0.90100000000000002</v>
      </c>
      <c r="Z369">
        <v>1.1970000000000001</v>
      </c>
      <c r="AA369">
        <v>0</v>
      </c>
      <c r="AB369">
        <v>0</v>
      </c>
      <c r="AC369">
        <v>1</v>
      </c>
      <c r="AD369">
        <v>39.5</v>
      </c>
      <c r="AE369">
        <v>1</v>
      </c>
      <c r="AF369">
        <v>48</v>
      </c>
      <c r="AG369">
        <v>4</v>
      </c>
      <c r="AH369" t="s">
        <v>84</v>
      </c>
      <c r="AI369">
        <v>0</v>
      </c>
    </row>
    <row r="370" spans="1:35" x14ac:dyDescent="0.45">
      <c r="A370">
        <v>369</v>
      </c>
      <c r="B370" t="s">
        <v>551</v>
      </c>
      <c r="C370" t="s">
        <v>558</v>
      </c>
      <c r="D370" t="s">
        <v>553</v>
      </c>
      <c r="E370">
        <v>6</v>
      </c>
      <c r="F370">
        <v>-5.9580000000000002</v>
      </c>
      <c r="G370">
        <v>-37.127000000000002</v>
      </c>
      <c r="H370">
        <v>16323</v>
      </c>
      <c r="I370">
        <v>0</v>
      </c>
      <c r="J370">
        <v>1</v>
      </c>
      <c r="K370" t="s">
        <v>55</v>
      </c>
      <c r="L370" t="s">
        <v>55</v>
      </c>
      <c r="M370" t="s">
        <v>56</v>
      </c>
      <c r="N370">
        <v>1643440538.8299999</v>
      </c>
      <c r="O370">
        <v>0.214</v>
      </c>
      <c r="P370">
        <v>0.4</v>
      </c>
      <c r="Q370">
        <v>53.750999999999998</v>
      </c>
      <c r="R370">
        <v>2E-3</v>
      </c>
      <c r="S370">
        <v>1E-3</v>
      </c>
      <c r="T370">
        <v>1.2929999999999999</v>
      </c>
      <c r="U370">
        <v>90.588999999999999</v>
      </c>
      <c r="V370">
        <v>24.890999999999998</v>
      </c>
      <c r="W370">
        <v>2.3439999999999999</v>
      </c>
      <c r="X370">
        <v>88.11</v>
      </c>
      <c r="Y370">
        <v>0.89200000000000002</v>
      </c>
      <c r="Z370">
        <v>1.3180000000000001</v>
      </c>
      <c r="AA370">
        <v>0</v>
      </c>
      <c r="AB370">
        <v>0</v>
      </c>
      <c r="AC370">
        <v>1</v>
      </c>
      <c r="AD370">
        <v>39.438000000000002</v>
      </c>
      <c r="AE370">
        <v>1</v>
      </c>
      <c r="AF370">
        <v>48</v>
      </c>
      <c r="AG370">
        <v>4</v>
      </c>
      <c r="AH370" t="s">
        <v>84</v>
      </c>
      <c r="AI370">
        <v>0</v>
      </c>
    </row>
    <row r="371" spans="1:35" x14ac:dyDescent="0.45">
      <c r="A371">
        <v>370</v>
      </c>
      <c r="B371" t="s">
        <v>559</v>
      </c>
      <c r="C371" t="s">
        <v>560</v>
      </c>
      <c r="D371" t="s">
        <v>561</v>
      </c>
      <c r="E371">
        <v>1</v>
      </c>
      <c r="F371">
        <v>-5.4980000000000002</v>
      </c>
      <c r="G371">
        <v>-30.224</v>
      </c>
      <c r="H371">
        <v>16300</v>
      </c>
      <c r="I371">
        <v>-1</v>
      </c>
      <c r="J371">
        <v>1</v>
      </c>
      <c r="K371" t="s">
        <v>55</v>
      </c>
      <c r="L371" t="s">
        <v>55</v>
      </c>
      <c r="M371" t="s">
        <v>56</v>
      </c>
      <c r="N371">
        <v>1643441074.8</v>
      </c>
      <c r="O371">
        <v>0.2</v>
      </c>
      <c r="P371">
        <v>0.378</v>
      </c>
      <c r="Q371">
        <v>53.412999999999997</v>
      </c>
      <c r="R371">
        <v>1E-3</v>
      </c>
      <c r="S371">
        <v>0</v>
      </c>
      <c r="T371">
        <v>1.29</v>
      </c>
      <c r="U371">
        <v>90.718000000000004</v>
      </c>
      <c r="V371">
        <v>24.38</v>
      </c>
      <c r="W371">
        <v>2.3650000000000002</v>
      </c>
      <c r="X371">
        <v>87.915999999999997</v>
      </c>
      <c r="Y371">
        <v>0.89700000000000002</v>
      </c>
      <c r="Z371">
        <v>1.18</v>
      </c>
      <c r="AA371">
        <v>0</v>
      </c>
      <c r="AB371">
        <v>0</v>
      </c>
      <c r="AC371">
        <v>1</v>
      </c>
      <c r="AD371">
        <v>39.5</v>
      </c>
      <c r="AE371">
        <v>1</v>
      </c>
      <c r="AF371">
        <v>49</v>
      </c>
      <c r="AG371">
        <v>4</v>
      </c>
      <c r="AH371" t="s">
        <v>84</v>
      </c>
      <c r="AI371">
        <v>0</v>
      </c>
    </row>
    <row r="372" spans="1:35" x14ac:dyDescent="0.45">
      <c r="A372">
        <v>371</v>
      </c>
      <c r="B372" t="s">
        <v>559</v>
      </c>
      <c r="C372" t="s">
        <v>562</v>
      </c>
      <c r="D372" t="s">
        <v>561</v>
      </c>
      <c r="E372">
        <v>2</v>
      </c>
      <c r="F372">
        <v>-5.57</v>
      </c>
      <c r="G372">
        <v>-29.701000000000001</v>
      </c>
      <c r="H372">
        <v>16166</v>
      </c>
      <c r="I372">
        <v>-1</v>
      </c>
      <c r="J372">
        <v>1</v>
      </c>
      <c r="K372" t="s">
        <v>55</v>
      </c>
      <c r="L372" t="s">
        <v>55</v>
      </c>
      <c r="M372" t="s">
        <v>56</v>
      </c>
      <c r="N372">
        <v>1643441613.1700001</v>
      </c>
      <c r="O372">
        <v>0.19700000000000001</v>
      </c>
      <c r="P372">
        <v>0.4</v>
      </c>
      <c r="Q372">
        <v>53.232999999999997</v>
      </c>
      <c r="R372">
        <v>1E-3</v>
      </c>
      <c r="S372">
        <v>-1E-3</v>
      </c>
      <c r="T372">
        <v>1.29</v>
      </c>
      <c r="U372">
        <v>89.674999999999997</v>
      </c>
      <c r="V372">
        <v>24.315000000000001</v>
      </c>
      <c r="W372">
        <v>2.3879999999999999</v>
      </c>
      <c r="X372">
        <v>87.906999999999996</v>
      </c>
      <c r="Y372">
        <v>0.91700000000000004</v>
      </c>
      <c r="Z372">
        <v>1.335</v>
      </c>
      <c r="AA372">
        <v>0</v>
      </c>
      <c r="AB372">
        <v>0</v>
      </c>
      <c r="AC372">
        <v>1</v>
      </c>
      <c r="AD372">
        <v>39.561999999999998</v>
      </c>
      <c r="AE372">
        <v>1</v>
      </c>
      <c r="AF372">
        <v>49</v>
      </c>
      <c r="AG372">
        <v>4</v>
      </c>
      <c r="AH372" t="s">
        <v>84</v>
      </c>
      <c r="AI372">
        <v>0</v>
      </c>
    </row>
    <row r="373" spans="1:35" x14ac:dyDescent="0.45">
      <c r="A373">
        <v>372</v>
      </c>
      <c r="B373" t="s">
        <v>559</v>
      </c>
      <c r="C373" t="s">
        <v>563</v>
      </c>
      <c r="D373" t="s">
        <v>561</v>
      </c>
      <c r="E373">
        <v>3</v>
      </c>
      <c r="F373">
        <v>-5.48</v>
      </c>
      <c r="G373">
        <v>-29.576000000000001</v>
      </c>
      <c r="H373">
        <v>16284</v>
      </c>
      <c r="I373">
        <v>-1</v>
      </c>
      <c r="J373">
        <v>1</v>
      </c>
      <c r="K373" t="s">
        <v>55</v>
      </c>
      <c r="L373" t="s">
        <v>55</v>
      </c>
      <c r="M373" t="s">
        <v>56</v>
      </c>
      <c r="N373">
        <v>1643442148.8399999</v>
      </c>
      <c r="O373">
        <v>0.19900000000000001</v>
      </c>
      <c r="P373">
        <v>0.41199999999999998</v>
      </c>
      <c r="Q373">
        <v>53.423000000000002</v>
      </c>
      <c r="R373">
        <v>1E-3</v>
      </c>
      <c r="S373">
        <v>-1E-3</v>
      </c>
      <c r="T373">
        <v>1.288</v>
      </c>
      <c r="U373">
        <v>90.492000000000004</v>
      </c>
      <c r="V373">
        <v>25.132999999999999</v>
      </c>
      <c r="W373">
        <v>2.33</v>
      </c>
      <c r="X373">
        <v>86.192999999999998</v>
      </c>
      <c r="Y373">
        <v>0.89</v>
      </c>
      <c r="Z373">
        <v>1.018</v>
      </c>
      <c r="AA373">
        <v>0</v>
      </c>
      <c r="AB373">
        <v>0</v>
      </c>
      <c r="AC373">
        <v>1</v>
      </c>
      <c r="AD373">
        <v>39.438000000000002</v>
      </c>
      <c r="AE373">
        <v>1</v>
      </c>
      <c r="AF373">
        <v>49</v>
      </c>
      <c r="AG373">
        <v>4</v>
      </c>
      <c r="AH373" t="s">
        <v>84</v>
      </c>
      <c r="AI373">
        <v>0</v>
      </c>
    </row>
    <row r="374" spans="1:35" x14ac:dyDescent="0.45">
      <c r="A374">
        <v>373</v>
      </c>
      <c r="B374" t="s">
        <v>559</v>
      </c>
      <c r="C374" t="s">
        <v>564</v>
      </c>
      <c r="D374" t="s">
        <v>561</v>
      </c>
      <c r="E374">
        <v>4</v>
      </c>
      <c r="F374">
        <v>-5.5030000000000001</v>
      </c>
      <c r="G374">
        <v>-29.488</v>
      </c>
      <c r="H374">
        <v>16227</v>
      </c>
      <c r="I374">
        <v>0</v>
      </c>
      <c r="J374">
        <v>1</v>
      </c>
      <c r="K374" t="s">
        <v>55</v>
      </c>
      <c r="L374" t="s">
        <v>55</v>
      </c>
      <c r="M374" t="s">
        <v>56</v>
      </c>
      <c r="N374">
        <v>1643442685.6600001</v>
      </c>
      <c r="O374">
        <v>0.20399999999999999</v>
      </c>
      <c r="P374">
        <v>0.372</v>
      </c>
      <c r="Q374">
        <v>53.792000000000002</v>
      </c>
      <c r="R374">
        <v>0</v>
      </c>
      <c r="S374">
        <v>-1E-3</v>
      </c>
      <c r="T374">
        <v>1.29</v>
      </c>
      <c r="U374">
        <v>90.117999999999995</v>
      </c>
      <c r="V374">
        <v>24.809000000000001</v>
      </c>
      <c r="W374">
        <v>2.3540000000000001</v>
      </c>
      <c r="X374">
        <v>86.881</v>
      </c>
      <c r="Y374">
        <v>0.89500000000000002</v>
      </c>
      <c r="Z374">
        <v>1.1870000000000001</v>
      </c>
      <c r="AA374">
        <v>0</v>
      </c>
      <c r="AB374">
        <v>0</v>
      </c>
      <c r="AC374">
        <v>1</v>
      </c>
      <c r="AD374">
        <v>39.5</v>
      </c>
      <c r="AE374">
        <v>1</v>
      </c>
      <c r="AF374">
        <v>49</v>
      </c>
      <c r="AG374">
        <v>4</v>
      </c>
      <c r="AH374" t="s">
        <v>84</v>
      </c>
      <c r="AI374">
        <v>0</v>
      </c>
    </row>
    <row r="375" spans="1:35" x14ac:dyDescent="0.45">
      <c r="A375">
        <v>374</v>
      </c>
      <c r="B375" t="s">
        <v>559</v>
      </c>
      <c r="C375" t="s">
        <v>565</v>
      </c>
      <c r="D375" t="s">
        <v>561</v>
      </c>
      <c r="E375">
        <v>5</v>
      </c>
      <c r="F375">
        <v>-5.5</v>
      </c>
      <c r="G375">
        <v>-29.398</v>
      </c>
      <c r="H375">
        <v>16241</v>
      </c>
      <c r="I375">
        <v>0</v>
      </c>
      <c r="J375">
        <v>1</v>
      </c>
      <c r="K375" t="s">
        <v>55</v>
      </c>
      <c r="L375" t="s">
        <v>55</v>
      </c>
      <c r="M375" t="s">
        <v>56</v>
      </c>
      <c r="N375">
        <v>1643443222.05</v>
      </c>
      <c r="O375">
        <v>0.20799999999999999</v>
      </c>
      <c r="P375">
        <v>0.41299999999999998</v>
      </c>
      <c r="Q375">
        <v>53.182000000000002</v>
      </c>
      <c r="R375">
        <v>1E-3</v>
      </c>
      <c r="S375">
        <v>1E-3</v>
      </c>
      <c r="T375">
        <v>1.28</v>
      </c>
      <c r="U375">
        <v>90.488</v>
      </c>
      <c r="V375">
        <v>24.672000000000001</v>
      </c>
      <c r="W375">
        <v>2.2919999999999998</v>
      </c>
      <c r="X375">
        <v>85.757000000000005</v>
      </c>
      <c r="Y375">
        <v>0.89400000000000002</v>
      </c>
      <c r="Z375">
        <v>0.86899999999999999</v>
      </c>
      <c r="AA375">
        <v>0</v>
      </c>
      <c r="AB375">
        <v>0</v>
      </c>
      <c r="AC375">
        <v>1</v>
      </c>
      <c r="AD375">
        <v>39.5</v>
      </c>
      <c r="AE375">
        <v>1</v>
      </c>
      <c r="AF375">
        <v>49</v>
      </c>
      <c r="AG375">
        <v>4</v>
      </c>
      <c r="AH375" t="s">
        <v>84</v>
      </c>
      <c r="AI375">
        <v>0</v>
      </c>
    </row>
    <row r="376" spans="1:35" x14ac:dyDescent="0.45">
      <c r="A376">
        <v>375</v>
      </c>
      <c r="B376" t="s">
        <v>559</v>
      </c>
      <c r="C376" t="s">
        <v>566</v>
      </c>
      <c r="D376" t="s">
        <v>561</v>
      </c>
      <c r="E376">
        <v>6</v>
      </c>
      <c r="F376">
        <v>-5.47</v>
      </c>
      <c r="G376">
        <v>-29.475000000000001</v>
      </c>
      <c r="H376">
        <v>16212</v>
      </c>
      <c r="I376">
        <v>0</v>
      </c>
      <c r="J376">
        <v>1</v>
      </c>
      <c r="K376" t="s">
        <v>55</v>
      </c>
      <c r="L376" t="s">
        <v>55</v>
      </c>
      <c r="M376" t="s">
        <v>56</v>
      </c>
      <c r="N376">
        <v>1643443760.5799999</v>
      </c>
      <c r="O376">
        <v>0.18099999999999999</v>
      </c>
      <c r="P376">
        <v>0.378</v>
      </c>
      <c r="Q376">
        <v>53.304000000000002</v>
      </c>
      <c r="R376">
        <v>1E-3</v>
      </c>
      <c r="S376">
        <v>1E-3</v>
      </c>
      <c r="T376">
        <v>1.3</v>
      </c>
      <c r="U376">
        <v>90.272999999999996</v>
      </c>
      <c r="V376">
        <v>24.196999999999999</v>
      </c>
      <c r="W376">
        <v>2.3530000000000002</v>
      </c>
      <c r="X376">
        <v>87.137</v>
      </c>
      <c r="Y376">
        <v>0.89700000000000002</v>
      </c>
      <c r="Z376">
        <v>1.1870000000000001</v>
      </c>
      <c r="AA376">
        <v>0</v>
      </c>
      <c r="AB376">
        <v>0</v>
      </c>
      <c r="AC376">
        <v>1</v>
      </c>
      <c r="AD376">
        <v>39.5</v>
      </c>
      <c r="AE376">
        <v>1</v>
      </c>
      <c r="AF376">
        <v>49</v>
      </c>
      <c r="AG376">
        <v>4</v>
      </c>
      <c r="AH376" t="s">
        <v>84</v>
      </c>
      <c r="AI376">
        <v>0</v>
      </c>
    </row>
    <row r="377" spans="1:35" x14ac:dyDescent="0.45">
      <c r="A377">
        <v>376</v>
      </c>
      <c r="B377" t="s">
        <v>567</v>
      </c>
      <c r="C377" t="s">
        <v>568</v>
      </c>
      <c r="D377" t="s">
        <v>569</v>
      </c>
      <c r="E377">
        <v>1</v>
      </c>
      <c r="F377">
        <v>-5.952</v>
      </c>
      <c r="G377">
        <v>-36.369999999999997</v>
      </c>
      <c r="H377">
        <v>16255</v>
      </c>
      <c r="I377">
        <v>-1</v>
      </c>
      <c r="J377">
        <v>1</v>
      </c>
      <c r="K377" t="s">
        <v>55</v>
      </c>
      <c r="L377" t="s">
        <v>55</v>
      </c>
      <c r="M377" t="s">
        <v>56</v>
      </c>
      <c r="N377">
        <v>1643444295.6199999</v>
      </c>
      <c r="O377">
        <v>0.214</v>
      </c>
      <c r="P377">
        <v>0.45300000000000001</v>
      </c>
      <c r="Q377">
        <v>52.984000000000002</v>
      </c>
      <c r="R377">
        <v>1E-3</v>
      </c>
      <c r="S377">
        <v>2E-3</v>
      </c>
      <c r="T377">
        <v>1.2769999999999999</v>
      </c>
      <c r="U377">
        <v>90.611000000000004</v>
      </c>
      <c r="V377">
        <v>24.428000000000001</v>
      </c>
      <c r="W377">
        <v>2.2730000000000001</v>
      </c>
      <c r="X377">
        <v>86.34</v>
      </c>
      <c r="Y377">
        <v>0.90200000000000002</v>
      </c>
      <c r="Z377">
        <v>0.98899999999999999</v>
      </c>
      <c r="AA377">
        <v>0</v>
      </c>
      <c r="AB377">
        <v>0</v>
      </c>
      <c r="AC377">
        <v>1</v>
      </c>
      <c r="AD377">
        <v>39.5</v>
      </c>
      <c r="AE377">
        <v>1</v>
      </c>
      <c r="AF377">
        <v>50</v>
      </c>
      <c r="AG377">
        <v>4</v>
      </c>
      <c r="AH377" t="s">
        <v>84</v>
      </c>
      <c r="AI377">
        <v>0</v>
      </c>
    </row>
    <row r="378" spans="1:35" x14ac:dyDescent="0.45">
      <c r="A378">
        <v>377</v>
      </c>
      <c r="B378" t="s">
        <v>567</v>
      </c>
      <c r="C378" t="s">
        <v>570</v>
      </c>
      <c r="D378" t="s">
        <v>569</v>
      </c>
      <c r="E378">
        <v>2</v>
      </c>
      <c r="F378">
        <v>-5.9790000000000001</v>
      </c>
      <c r="G378">
        <v>-36.896000000000001</v>
      </c>
      <c r="H378">
        <v>16215</v>
      </c>
      <c r="I378">
        <v>-1</v>
      </c>
      <c r="J378">
        <v>1</v>
      </c>
      <c r="K378" t="s">
        <v>55</v>
      </c>
      <c r="L378" t="s">
        <v>55</v>
      </c>
      <c r="M378" t="s">
        <v>56</v>
      </c>
      <c r="N378">
        <v>1643444833.2</v>
      </c>
      <c r="O378">
        <v>0.20899999999999999</v>
      </c>
      <c r="P378">
        <v>0.432</v>
      </c>
      <c r="Q378">
        <v>54.558999999999997</v>
      </c>
      <c r="R378">
        <v>1E-3</v>
      </c>
      <c r="S378">
        <v>1E-3</v>
      </c>
      <c r="T378">
        <v>1.3129999999999999</v>
      </c>
      <c r="U378">
        <v>89.897999999999996</v>
      </c>
      <c r="V378">
        <v>25.053999999999998</v>
      </c>
      <c r="W378">
        <v>2.37</v>
      </c>
      <c r="X378">
        <v>86.68</v>
      </c>
      <c r="Y378">
        <v>0.90800000000000003</v>
      </c>
      <c r="Z378">
        <v>1.1919999999999999</v>
      </c>
      <c r="AA378">
        <v>0</v>
      </c>
      <c r="AB378">
        <v>0</v>
      </c>
      <c r="AC378">
        <v>1</v>
      </c>
      <c r="AD378">
        <v>39.5</v>
      </c>
      <c r="AE378">
        <v>1</v>
      </c>
      <c r="AF378">
        <v>50</v>
      </c>
      <c r="AG378">
        <v>4</v>
      </c>
      <c r="AH378" t="s">
        <v>84</v>
      </c>
      <c r="AI378">
        <v>0</v>
      </c>
    </row>
    <row r="379" spans="1:35" x14ac:dyDescent="0.45">
      <c r="A379">
        <v>378</v>
      </c>
      <c r="B379" t="s">
        <v>567</v>
      </c>
      <c r="C379" t="s">
        <v>571</v>
      </c>
      <c r="D379" t="s">
        <v>569</v>
      </c>
      <c r="E379">
        <v>3</v>
      </c>
      <c r="F379">
        <v>-5.9610000000000003</v>
      </c>
      <c r="G379">
        <v>-36.994</v>
      </c>
      <c r="H379">
        <v>16210</v>
      </c>
      <c r="I379">
        <v>-1</v>
      </c>
      <c r="J379">
        <v>1</v>
      </c>
      <c r="K379" t="s">
        <v>55</v>
      </c>
      <c r="L379" t="s">
        <v>55</v>
      </c>
      <c r="M379" t="s">
        <v>56</v>
      </c>
      <c r="N379">
        <v>1643445369.4300001</v>
      </c>
      <c r="O379">
        <v>0.2</v>
      </c>
      <c r="P379">
        <v>0.45400000000000001</v>
      </c>
      <c r="Q379">
        <v>53.273000000000003</v>
      </c>
      <c r="R379">
        <v>1E-3</v>
      </c>
      <c r="S379">
        <v>0</v>
      </c>
      <c r="T379">
        <v>1.2789999999999999</v>
      </c>
      <c r="U379">
        <v>90.013000000000005</v>
      </c>
      <c r="V379">
        <v>25.138999999999999</v>
      </c>
      <c r="W379">
        <v>2.2570000000000001</v>
      </c>
      <c r="X379">
        <v>85.587999999999994</v>
      </c>
      <c r="Y379">
        <v>0.89400000000000002</v>
      </c>
      <c r="Z379">
        <v>1.028</v>
      </c>
      <c r="AA379">
        <v>0</v>
      </c>
      <c r="AB379">
        <v>0</v>
      </c>
      <c r="AC379">
        <v>1</v>
      </c>
      <c r="AD379">
        <v>39.5</v>
      </c>
      <c r="AE379">
        <v>1</v>
      </c>
      <c r="AF379">
        <v>50</v>
      </c>
      <c r="AG379">
        <v>4</v>
      </c>
      <c r="AH379" t="s">
        <v>84</v>
      </c>
      <c r="AI379">
        <v>0</v>
      </c>
    </row>
    <row r="380" spans="1:35" x14ac:dyDescent="0.45">
      <c r="A380">
        <v>379</v>
      </c>
      <c r="B380" t="s">
        <v>567</v>
      </c>
      <c r="C380" t="s">
        <v>572</v>
      </c>
      <c r="D380" t="s">
        <v>569</v>
      </c>
      <c r="E380">
        <v>4</v>
      </c>
      <c r="F380">
        <v>-5.9980000000000002</v>
      </c>
      <c r="G380">
        <v>-37.082000000000001</v>
      </c>
      <c r="H380">
        <v>16209</v>
      </c>
      <c r="I380">
        <v>0</v>
      </c>
      <c r="J380">
        <v>1</v>
      </c>
      <c r="K380" t="s">
        <v>55</v>
      </c>
      <c r="L380" t="s">
        <v>55</v>
      </c>
      <c r="M380" t="s">
        <v>56</v>
      </c>
      <c r="N380">
        <v>1643445906.4400001</v>
      </c>
      <c r="O380">
        <v>0.19500000000000001</v>
      </c>
      <c r="P380">
        <v>0.42099999999999999</v>
      </c>
      <c r="Q380">
        <v>53.542000000000002</v>
      </c>
      <c r="R380">
        <v>1E-3</v>
      </c>
      <c r="S380">
        <v>2E-3</v>
      </c>
      <c r="T380">
        <v>1.3</v>
      </c>
      <c r="U380">
        <v>89.998000000000005</v>
      </c>
      <c r="V380">
        <v>25.036000000000001</v>
      </c>
      <c r="W380">
        <v>2.34</v>
      </c>
      <c r="X380">
        <v>85.998000000000005</v>
      </c>
      <c r="Y380">
        <v>0.89</v>
      </c>
      <c r="Z380">
        <v>1.0860000000000001</v>
      </c>
      <c r="AA380">
        <v>0</v>
      </c>
      <c r="AB380">
        <v>0</v>
      </c>
      <c r="AC380">
        <v>1</v>
      </c>
      <c r="AD380">
        <v>39.5</v>
      </c>
      <c r="AE380">
        <v>1</v>
      </c>
      <c r="AF380">
        <v>50</v>
      </c>
      <c r="AG380">
        <v>4</v>
      </c>
      <c r="AH380" t="s">
        <v>84</v>
      </c>
      <c r="AI380">
        <v>0</v>
      </c>
    </row>
    <row r="381" spans="1:35" x14ac:dyDescent="0.45">
      <c r="A381">
        <v>380</v>
      </c>
      <c r="B381" t="s">
        <v>567</v>
      </c>
      <c r="C381" t="s">
        <v>573</v>
      </c>
      <c r="D381" t="s">
        <v>569</v>
      </c>
      <c r="E381">
        <v>5</v>
      </c>
      <c r="F381">
        <v>-5.95</v>
      </c>
      <c r="G381">
        <v>-37.066000000000003</v>
      </c>
      <c r="H381">
        <v>16222</v>
      </c>
      <c r="I381">
        <v>0</v>
      </c>
      <c r="J381">
        <v>1</v>
      </c>
      <c r="K381" t="s">
        <v>55</v>
      </c>
      <c r="L381" t="s">
        <v>55</v>
      </c>
      <c r="M381" t="s">
        <v>56</v>
      </c>
      <c r="N381">
        <v>1643446442.74</v>
      </c>
      <c r="O381">
        <v>0.216</v>
      </c>
      <c r="P381">
        <v>0.39400000000000002</v>
      </c>
      <c r="Q381">
        <v>52.688000000000002</v>
      </c>
      <c r="R381">
        <v>1E-3</v>
      </c>
      <c r="S381">
        <v>2E-3</v>
      </c>
      <c r="T381">
        <v>1.2669999999999999</v>
      </c>
      <c r="U381">
        <v>90.049000000000007</v>
      </c>
      <c r="V381">
        <v>25.126000000000001</v>
      </c>
      <c r="W381">
        <v>2.2999999999999998</v>
      </c>
      <c r="X381">
        <v>85.88</v>
      </c>
      <c r="Y381">
        <v>0.89700000000000002</v>
      </c>
      <c r="Z381">
        <v>1.1539999999999999</v>
      </c>
      <c r="AA381">
        <v>0</v>
      </c>
      <c r="AB381">
        <v>0</v>
      </c>
      <c r="AC381">
        <v>1</v>
      </c>
      <c r="AD381">
        <v>39.561999999999998</v>
      </c>
      <c r="AE381">
        <v>1</v>
      </c>
      <c r="AF381">
        <v>50</v>
      </c>
      <c r="AG381">
        <v>4</v>
      </c>
      <c r="AH381" t="s">
        <v>84</v>
      </c>
      <c r="AI381">
        <v>0</v>
      </c>
    </row>
    <row r="382" spans="1:35" x14ac:dyDescent="0.45">
      <c r="A382">
        <v>381</v>
      </c>
      <c r="B382" t="s">
        <v>567</v>
      </c>
      <c r="C382" t="s">
        <v>574</v>
      </c>
      <c r="D382" t="s">
        <v>569</v>
      </c>
      <c r="E382">
        <v>6</v>
      </c>
      <c r="F382">
        <v>-5.9850000000000003</v>
      </c>
      <c r="G382">
        <v>-37.107999999999997</v>
      </c>
      <c r="H382">
        <v>16196</v>
      </c>
      <c r="I382">
        <v>0</v>
      </c>
      <c r="J382">
        <v>1</v>
      </c>
      <c r="K382" t="s">
        <v>55</v>
      </c>
      <c r="L382" t="s">
        <v>55</v>
      </c>
      <c r="M382" t="s">
        <v>56</v>
      </c>
      <c r="N382">
        <v>1643446979.9100001</v>
      </c>
      <c r="O382">
        <v>0.191</v>
      </c>
      <c r="P382">
        <v>0.46400000000000002</v>
      </c>
      <c r="Q382">
        <v>53.686999999999998</v>
      </c>
      <c r="R382">
        <v>1E-3</v>
      </c>
      <c r="S382">
        <v>1E-3</v>
      </c>
      <c r="T382">
        <v>1.29</v>
      </c>
      <c r="U382">
        <v>90.097999999999999</v>
      </c>
      <c r="V382">
        <v>24.591000000000001</v>
      </c>
      <c r="W382">
        <v>2.2679999999999998</v>
      </c>
      <c r="X382">
        <v>86.372</v>
      </c>
      <c r="Y382">
        <v>0.88900000000000001</v>
      </c>
      <c r="Z382">
        <v>1.125</v>
      </c>
      <c r="AA382">
        <v>0</v>
      </c>
      <c r="AB382">
        <v>0</v>
      </c>
      <c r="AC382">
        <v>1</v>
      </c>
      <c r="AD382">
        <v>39.5</v>
      </c>
      <c r="AE382">
        <v>1</v>
      </c>
      <c r="AF382">
        <v>50</v>
      </c>
      <c r="AG382">
        <v>4</v>
      </c>
      <c r="AH382" t="s">
        <v>84</v>
      </c>
      <c r="AI382">
        <v>0</v>
      </c>
    </row>
    <row r="383" spans="1:35" x14ac:dyDescent="0.45">
      <c r="A383">
        <v>382</v>
      </c>
      <c r="B383" t="s">
        <v>575</v>
      </c>
      <c r="C383" t="s">
        <v>576</v>
      </c>
      <c r="D383" t="s">
        <v>577</v>
      </c>
      <c r="E383">
        <v>1</v>
      </c>
      <c r="F383">
        <v>-5.9649999999999999</v>
      </c>
      <c r="G383">
        <v>-37.064999999999998</v>
      </c>
      <c r="H383">
        <v>16171</v>
      </c>
      <c r="I383">
        <v>-1</v>
      </c>
      <c r="J383">
        <v>1</v>
      </c>
      <c r="K383" t="s">
        <v>55</v>
      </c>
      <c r="L383" t="s">
        <v>55</v>
      </c>
      <c r="M383" t="s">
        <v>56</v>
      </c>
      <c r="N383">
        <v>1643447516.4200001</v>
      </c>
      <c r="O383">
        <v>0.18</v>
      </c>
      <c r="P383">
        <v>0.36399999999999999</v>
      </c>
      <c r="Q383">
        <v>52.792000000000002</v>
      </c>
      <c r="R383">
        <v>0</v>
      </c>
      <c r="S383">
        <v>0</v>
      </c>
      <c r="T383">
        <v>1.274</v>
      </c>
      <c r="U383">
        <v>89.748999999999995</v>
      </c>
      <c r="V383">
        <v>25.247</v>
      </c>
      <c r="W383">
        <v>2.266</v>
      </c>
      <c r="X383">
        <v>84.971000000000004</v>
      </c>
      <c r="Y383">
        <v>0.90500000000000003</v>
      </c>
      <c r="Z383">
        <v>1.0129999999999999</v>
      </c>
      <c r="AA383">
        <v>0</v>
      </c>
      <c r="AB383">
        <v>0</v>
      </c>
      <c r="AC383">
        <v>1</v>
      </c>
      <c r="AD383">
        <v>39.5</v>
      </c>
      <c r="AE383">
        <v>1</v>
      </c>
      <c r="AF383">
        <v>51</v>
      </c>
      <c r="AG383">
        <v>4</v>
      </c>
      <c r="AH383" t="s">
        <v>84</v>
      </c>
      <c r="AI383">
        <v>0</v>
      </c>
    </row>
    <row r="384" spans="1:35" x14ac:dyDescent="0.45">
      <c r="A384">
        <v>383</v>
      </c>
      <c r="B384" t="s">
        <v>575</v>
      </c>
      <c r="C384" t="s">
        <v>578</v>
      </c>
      <c r="D384" t="s">
        <v>577</v>
      </c>
      <c r="E384">
        <v>2</v>
      </c>
      <c r="F384">
        <v>-5.95</v>
      </c>
      <c r="G384">
        <v>-36.972000000000001</v>
      </c>
      <c r="H384">
        <v>16221</v>
      </c>
      <c r="I384">
        <v>-1</v>
      </c>
      <c r="J384">
        <v>1</v>
      </c>
      <c r="K384" t="s">
        <v>55</v>
      </c>
      <c r="L384" t="s">
        <v>55</v>
      </c>
      <c r="M384" t="s">
        <v>56</v>
      </c>
      <c r="N384">
        <v>1643448052.8099999</v>
      </c>
      <c r="O384">
        <v>0.19400000000000001</v>
      </c>
      <c r="P384">
        <v>0.4</v>
      </c>
      <c r="Q384">
        <v>54.023000000000003</v>
      </c>
      <c r="R384">
        <v>1E-3</v>
      </c>
      <c r="S384">
        <v>1E-3</v>
      </c>
      <c r="T384">
        <v>1.302</v>
      </c>
      <c r="U384">
        <v>89.941999999999993</v>
      </c>
      <c r="V384">
        <v>25.096</v>
      </c>
      <c r="W384">
        <v>2.3559999999999999</v>
      </c>
      <c r="X384">
        <v>86.313000000000002</v>
      </c>
      <c r="Y384">
        <v>0.89700000000000002</v>
      </c>
      <c r="Z384">
        <v>1.2829999999999999</v>
      </c>
      <c r="AA384">
        <v>0</v>
      </c>
      <c r="AB384">
        <v>0</v>
      </c>
      <c r="AC384">
        <v>1</v>
      </c>
      <c r="AD384">
        <v>39.5</v>
      </c>
      <c r="AE384">
        <v>1</v>
      </c>
      <c r="AF384">
        <v>51</v>
      </c>
      <c r="AG384">
        <v>4</v>
      </c>
      <c r="AH384" t="s">
        <v>84</v>
      </c>
      <c r="AI384">
        <v>0</v>
      </c>
    </row>
    <row r="385" spans="1:35" x14ac:dyDescent="0.45">
      <c r="A385">
        <v>384</v>
      </c>
      <c r="B385" t="s">
        <v>575</v>
      </c>
      <c r="C385" t="s">
        <v>579</v>
      </c>
      <c r="D385" t="s">
        <v>577</v>
      </c>
      <c r="E385">
        <v>3</v>
      </c>
      <c r="F385">
        <v>-5.9880000000000004</v>
      </c>
      <c r="G385">
        <v>-37.061999999999998</v>
      </c>
      <c r="H385">
        <v>16222</v>
      </c>
      <c r="I385">
        <v>-1</v>
      </c>
      <c r="J385">
        <v>1</v>
      </c>
      <c r="K385" t="s">
        <v>55</v>
      </c>
      <c r="L385" t="s">
        <v>55</v>
      </c>
      <c r="M385" t="s">
        <v>56</v>
      </c>
      <c r="N385">
        <v>1643448589.1800001</v>
      </c>
      <c r="O385">
        <v>0.191</v>
      </c>
      <c r="P385">
        <v>0.35199999999999998</v>
      </c>
      <c r="Q385">
        <v>54.042999999999999</v>
      </c>
      <c r="R385">
        <v>0</v>
      </c>
      <c r="S385">
        <v>0</v>
      </c>
      <c r="T385">
        <v>1.2969999999999999</v>
      </c>
      <c r="U385">
        <v>90.414000000000001</v>
      </c>
      <c r="V385">
        <v>24.579000000000001</v>
      </c>
      <c r="W385">
        <v>2.302</v>
      </c>
      <c r="X385">
        <v>85.751999999999995</v>
      </c>
      <c r="Y385">
        <v>0.89900000000000002</v>
      </c>
      <c r="Z385">
        <v>0.96499999999999997</v>
      </c>
      <c r="AA385">
        <v>0</v>
      </c>
      <c r="AB385">
        <v>0</v>
      </c>
      <c r="AC385">
        <v>1</v>
      </c>
      <c r="AD385">
        <v>39.5</v>
      </c>
      <c r="AE385">
        <v>1</v>
      </c>
      <c r="AF385">
        <v>51</v>
      </c>
      <c r="AG385">
        <v>4</v>
      </c>
      <c r="AH385" t="s">
        <v>84</v>
      </c>
      <c r="AI385">
        <v>0</v>
      </c>
    </row>
    <row r="386" spans="1:35" x14ac:dyDescent="0.45">
      <c r="A386">
        <v>385</v>
      </c>
      <c r="B386" t="s">
        <v>575</v>
      </c>
      <c r="C386" t="s">
        <v>580</v>
      </c>
      <c r="D386" t="s">
        <v>577</v>
      </c>
      <c r="E386">
        <v>4</v>
      </c>
      <c r="F386">
        <v>-5.9909999999999997</v>
      </c>
      <c r="G386">
        <v>-37.088999999999999</v>
      </c>
      <c r="H386">
        <v>16181</v>
      </c>
      <c r="I386">
        <v>0</v>
      </c>
      <c r="J386">
        <v>1</v>
      </c>
      <c r="K386" t="s">
        <v>55</v>
      </c>
      <c r="L386" t="s">
        <v>55</v>
      </c>
      <c r="M386" t="s">
        <v>56</v>
      </c>
      <c r="N386">
        <v>1643449126.3299999</v>
      </c>
      <c r="O386">
        <v>0.20599999999999999</v>
      </c>
      <c r="P386">
        <v>0.42399999999999999</v>
      </c>
      <c r="Q386">
        <v>52.856999999999999</v>
      </c>
      <c r="R386">
        <v>1E-3</v>
      </c>
      <c r="S386">
        <v>1E-3</v>
      </c>
      <c r="T386">
        <v>1.272</v>
      </c>
      <c r="U386">
        <v>90.034000000000006</v>
      </c>
      <c r="V386">
        <v>24.911000000000001</v>
      </c>
      <c r="W386">
        <v>2.2749999999999999</v>
      </c>
      <c r="X386">
        <v>84.936999999999998</v>
      </c>
      <c r="Y386">
        <v>0.89400000000000002</v>
      </c>
      <c r="Z386">
        <v>0.90800000000000003</v>
      </c>
      <c r="AA386">
        <v>0</v>
      </c>
      <c r="AB386">
        <v>0</v>
      </c>
      <c r="AC386">
        <v>1</v>
      </c>
      <c r="AD386">
        <v>39.5</v>
      </c>
      <c r="AE386">
        <v>1</v>
      </c>
      <c r="AF386">
        <v>51</v>
      </c>
      <c r="AG386">
        <v>4</v>
      </c>
      <c r="AH386" t="s">
        <v>84</v>
      </c>
      <c r="AI386">
        <v>0</v>
      </c>
    </row>
    <row r="387" spans="1:35" x14ac:dyDescent="0.45">
      <c r="A387">
        <v>386</v>
      </c>
      <c r="B387" t="s">
        <v>575</v>
      </c>
      <c r="C387" t="s">
        <v>581</v>
      </c>
      <c r="D387" t="s">
        <v>577</v>
      </c>
      <c r="E387">
        <v>5</v>
      </c>
      <c r="F387">
        <v>-5.9569999999999999</v>
      </c>
      <c r="G387">
        <v>-37.055</v>
      </c>
      <c r="H387">
        <v>16283</v>
      </c>
      <c r="I387">
        <v>0</v>
      </c>
      <c r="J387">
        <v>1</v>
      </c>
      <c r="K387" t="s">
        <v>55</v>
      </c>
      <c r="L387" t="s">
        <v>55</v>
      </c>
      <c r="M387" t="s">
        <v>56</v>
      </c>
      <c r="N387">
        <v>1643449663.3</v>
      </c>
      <c r="O387">
        <v>0.20300000000000001</v>
      </c>
      <c r="P387">
        <v>0.41199999999999998</v>
      </c>
      <c r="Q387">
        <v>54.584000000000003</v>
      </c>
      <c r="R387">
        <v>1E-3</v>
      </c>
      <c r="S387">
        <v>1E-3</v>
      </c>
      <c r="T387">
        <v>1.3120000000000001</v>
      </c>
      <c r="U387">
        <v>90.679000000000002</v>
      </c>
      <c r="V387">
        <v>24.885999999999999</v>
      </c>
      <c r="W387">
        <v>2.2829999999999999</v>
      </c>
      <c r="X387">
        <v>85.644000000000005</v>
      </c>
      <c r="Y387">
        <v>0.90600000000000003</v>
      </c>
      <c r="Z387">
        <v>0.91900000000000004</v>
      </c>
      <c r="AA387">
        <v>0</v>
      </c>
      <c r="AB387">
        <v>0</v>
      </c>
      <c r="AC387">
        <v>1</v>
      </c>
      <c r="AD387">
        <v>39.5</v>
      </c>
      <c r="AE387">
        <v>1</v>
      </c>
      <c r="AF387">
        <v>51</v>
      </c>
      <c r="AG387">
        <v>4</v>
      </c>
      <c r="AH387" t="s">
        <v>84</v>
      </c>
      <c r="AI387">
        <v>0</v>
      </c>
    </row>
    <row r="388" spans="1:35" x14ac:dyDescent="0.45">
      <c r="A388">
        <v>387</v>
      </c>
      <c r="B388" t="s">
        <v>575</v>
      </c>
      <c r="C388" t="s">
        <v>582</v>
      </c>
      <c r="D388" t="s">
        <v>577</v>
      </c>
      <c r="E388">
        <v>6</v>
      </c>
      <c r="F388">
        <v>-5.9850000000000003</v>
      </c>
      <c r="G388">
        <v>-37.020000000000003</v>
      </c>
      <c r="H388">
        <v>16201</v>
      </c>
      <c r="I388">
        <v>0</v>
      </c>
      <c r="J388">
        <v>1</v>
      </c>
      <c r="K388" t="s">
        <v>55</v>
      </c>
      <c r="L388" t="s">
        <v>55</v>
      </c>
      <c r="M388" t="s">
        <v>56</v>
      </c>
      <c r="N388">
        <v>1643450198.29</v>
      </c>
      <c r="O388">
        <v>0.218</v>
      </c>
      <c r="P388">
        <v>0.443</v>
      </c>
      <c r="Q388">
        <v>52.658000000000001</v>
      </c>
      <c r="R388">
        <v>1E-3</v>
      </c>
      <c r="S388">
        <v>-1E-3</v>
      </c>
      <c r="T388">
        <v>1.266</v>
      </c>
      <c r="U388">
        <v>90.141999999999996</v>
      </c>
      <c r="V388">
        <v>24.393000000000001</v>
      </c>
      <c r="W388">
        <v>2.2959999999999998</v>
      </c>
      <c r="X388">
        <v>86.679000000000002</v>
      </c>
      <c r="Y388">
        <v>0.89800000000000002</v>
      </c>
      <c r="Z388">
        <v>1.1459999999999999</v>
      </c>
      <c r="AA388">
        <v>0</v>
      </c>
      <c r="AB388">
        <v>0</v>
      </c>
      <c r="AC388">
        <v>1</v>
      </c>
      <c r="AD388">
        <v>39.438000000000002</v>
      </c>
      <c r="AE388">
        <v>1</v>
      </c>
      <c r="AF388">
        <v>51</v>
      </c>
      <c r="AG388">
        <v>4</v>
      </c>
      <c r="AH388" t="s">
        <v>84</v>
      </c>
      <c r="AI388">
        <v>0</v>
      </c>
    </row>
    <row r="389" spans="1:35" x14ac:dyDescent="0.45">
      <c r="A389">
        <v>388</v>
      </c>
      <c r="B389" t="s">
        <v>583</v>
      </c>
      <c r="C389" t="s">
        <v>584</v>
      </c>
      <c r="D389" t="s">
        <v>585</v>
      </c>
      <c r="E389">
        <v>1</v>
      </c>
      <c r="F389">
        <v>-5.9859999999999998</v>
      </c>
      <c r="G389">
        <v>-37.104999999999997</v>
      </c>
      <c r="H389">
        <v>16176</v>
      </c>
      <c r="I389">
        <v>-1</v>
      </c>
      <c r="J389">
        <v>1</v>
      </c>
      <c r="K389" t="s">
        <v>55</v>
      </c>
      <c r="L389" t="s">
        <v>55</v>
      </c>
      <c r="M389" t="s">
        <v>56</v>
      </c>
      <c r="N389">
        <v>1643450735.75</v>
      </c>
      <c r="O389">
        <v>0.193</v>
      </c>
      <c r="P389">
        <v>0.36399999999999999</v>
      </c>
      <c r="Q389">
        <v>53.34</v>
      </c>
      <c r="R389">
        <v>1E-3</v>
      </c>
      <c r="S389">
        <v>1E-3</v>
      </c>
      <c r="T389">
        <v>1.294</v>
      </c>
      <c r="U389">
        <v>90.091999999999999</v>
      </c>
      <c r="V389">
        <v>24.751000000000001</v>
      </c>
      <c r="W389">
        <v>2.2759999999999998</v>
      </c>
      <c r="X389">
        <v>84.516999999999996</v>
      </c>
      <c r="Y389">
        <v>0.90200000000000002</v>
      </c>
      <c r="Z389">
        <v>0.83499999999999996</v>
      </c>
      <c r="AA389">
        <v>0</v>
      </c>
      <c r="AB389">
        <v>0</v>
      </c>
      <c r="AC389">
        <v>1</v>
      </c>
      <c r="AD389">
        <v>39.5</v>
      </c>
      <c r="AE389">
        <v>1</v>
      </c>
      <c r="AF389">
        <v>52</v>
      </c>
      <c r="AG389">
        <v>4</v>
      </c>
      <c r="AH389" t="s">
        <v>84</v>
      </c>
      <c r="AI389">
        <v>0</v>
      </c>
    </row>
    <row r="390" spans="1:35" x14ac:dyDescent="0.45">
      <c r="A390">
        <v>389</v>
      </c>
      <c r="B390" t="s">
        <v>583</v>
      </c>
      <c r="C390" t="s">
        <v>586</v>
      </c>
      <c r="D390" t="s">
        <v>585</v>
      </c>
      <c r="E390">
        <v>2</v>
      </c>
      <c r="F390">
        <v>-6.008</v>
      </c>
      <c r="G390">
        <v>-37.180999999999997</v>
      </c>
      <c r="H390">
        <v>16254</v>
      </c>
      <c r="I390">
        <v>-1</v>
      </c>
      <c r="J390">
        <v>1</v>
      </c>
      <c r="K390" t="s">
        <v>55</v>
      </c>
      <c r="L390" t="s">
        <v>55</v>
      </c>
      <c r="M390" t="s">
        <v>56</v>
      </c>
      <c r="N390">
        <v>1643451270.99</v>
      </c>
      <c r="O390">
        <v>0.19700000000000001</v>
      </c>
      <c r="P390">
        <v>0.39300000000000002</v>
      </c>
      <c r="Q390">
        <v>52.225000000000001</v>
      </c>
      <c r="R390">
        <v>1E-3</v>
      </c>
      <c r="S390">
        <v>0</v>
      </c>
      <c r="T390">
        <v>1.264</v>
      </c>
      <c r="U390">
        <v>90.370999999999995</v>
      </c>
      <c r="V390">
        <v>25.042999999999999</v>
      </c>
      <c r="W390">
        <v>2.319</v>
      </c>
      <c r="X390">
        <v>85.787000000000006</v>
      </c>
      <c r="Y390">
        <v>0.90500000000000003</v>
      </c>
      <c r="Z390">
        <v>0.99099999999999999</v>
      </c>
      <c r="AA390">
        <v>0</v>
      </c>
      <c r="AB390">
        <v>0</v>
      </c>
      <c r="AC390">
        <v>1</v>
      </c>
      <c r="AD390">
        <v>39.5</v>
      </c>
      <c r="AE390">
        <v>1</v>
      </c>
      <c r="AF390">
        <v>52</v>
      </c>
      <c r="AG390">
        <v>4</v>
      </c>
      <c r="AH390" t="s">
        <v>84</v>
      </c>
      <c r="AI390">
        <v>0</v>
      </c>
    </row>
    <row r="391" spans="1:35" x14ac:dyDescent="0.45">
      <c r="A391">
        <v>390</v>
      </c>
      <c r="B391" t="s">
        <v>583</v>
      </c>
      <c r="C391" t="s">
        <v>587</v>
      </c>
      <c r="D391" t="s">
        <v>585</v>
      </c>
      <c r="E391">
        <v>3</v>
      </c>
      <c r="F391">
        <v>-5.9530000000000003</v>
      </c>
      <c r="G391">
        <v>-37.131</v>
      </c>
      <c r="H391">
        <v>16264</v>
      </c>
      <c r="I391">
        <v>-1</v>
      </c>
      <c r="J391">
        <v>1</v>
      </c>
      <c r="K391" t="s">
        <v>55</v>
      </c>
      <c r="L391" t="s">
        <v>55</v>
      </c>
      <c r="M391" t="s">
        <v>56</v>
      </c>
      <c r="N391">
        <v>1643451808.73</v>
      </c>
      <c r="O391">
        <v>0.224</v>
      </c>
      <c r="P391">
        <v>0.41299999999999998</v>
      </c>
      <c r="Q391">
        <v>53.972000000000001</v>
      </c>
      <c r="R391">
        <v>1E-3</v>
      </c>
      <c r="S391">
        <v>1E-3</v>
      </c>
      <c r="T391">
        <v>1.294</v>
      </c>
      <c r="U391">
        <v>90.47</v>
      </c>
      <c r="V391">
        <v>24.803999999999998</v>
      </c>
      <c r="W391">
        <v>2.3130000000000002</v>
      </c>
      <c r="X391">
        <v>86.555000000000007</v>
      </c>
      <c r="Y391">
        <v>0.89600000000000002</v>
      </c>
      <c r="Z391">
        <v>1.131</v>
      </c>
      <c r="AA391">
        <v>0</v>
      </c>
      <c r="AB391">
        <v>0</v>
      </c>
      <c r="AC391">
        <v>1</v>
      </c>
      <c r="AD391">
        <v>39.5</v>
      </c>
      <c r="AE391">
        <v>1</v>
      </c>
      <c r="AF391">
        <v>52</v>
      </c>
      <c r="AG391">
        <v>4</v>
      </c>
      <c r="AH391" t="s">
        <v>84</v>
      </c>
      <c r="AI391">
        <v>0</v>
      </c>
    </row>
    <row r="392" spans="1:35" x14ac:dyDescent="0.45">
      <c r="A392">
        <v>391</v>
      </c>
      <c r="B392" t="s">
        <v>583</v>
      </c>
      <c r="C392" t="s">
        <v>588</v>
      </c>
      <c r="D392" t="s">
        <v>585</v>
      </c>
      <c r="E392">
        <v>4</v>
      </c>
      <c r="F392">
        <v>-5.9829999999999997</v>
      </c>
      <c r="G392">
        <v>-37.057000000000002</v>
      </c>
      <c r="H392">
        <v>16158</v>
      </c>
      <c r="I392">
        <v>0</v>
      </c>
      <c r="J392">
        <v>1</v>
      </c>
      <c r="K392" t="s">
        <v>55</v>
      </c>
      <c r="L392" t="s">
        <v>55</v>
      </c>
      <c r="M392" t="s">
        <v>56</v>
      </c>
      <c r="N392">
        <v>1643452345.77</v>
      </c>
      <c r="O392">
        <v>0.22900000000000001</v>
      </c>
      <c r="P392">
        <v>0.437</v>
      </c>
      <c r="Q392">
        <v>53.345999999999997</v>
      </c>
      <c r="R392">
        <v>1E-3</v>
      </c>
      <c r="S392">
        <v>2E-3</v>
      </c>
      <c r="T392">
        <v>1.2909999999999999</v>
      </c>
      <c r="U392">
        <v>89.963999999999999</v>
      </c>
      <c r="V392">
        <v>24.780999999999999</v>
      </c>
      <c r="W392">
        <v>2.2799999999999998</v>
      </c>
      <c r="X392">
        <v>84.632999999999996</v>
      </c>
      <c r="Y392">
        <v>0.89200000000000002</v>
      </c>
      <c r="Z392">
        <v>0.84</v>
      </c>
      <c r="AA392">
        <v>0</v>
      </c>
      <c r="AB392">
        <v>0</v>
      </c>
      <c r="AC392">
        <v>1</v>
      </c>
      <c r="AD392">
        <v>39.438000000000002</v>
      </c>
      <c r="AE392">
        <v>1</v>
      </c>
      <c r="AF392">
        <v>52</v>
      </c>
      <c r="AG392">
        <v>4</v>
      </c>
      <c r="AH392" t="s">
        <v>84</v>
      </c>
      <c r="AI392">
        <v>0</v>
      </c>
    </row>
    <row r="393" spans="1:35" x14ac:dyDescent="0.45">
      <c r="A393">
        <v>392</v>
      </c>
      <c r="B393" t="s">
        <v>583</v>
      </c>
      <c r="C393" t="s">
        <v>589</v>
      </c>
      <c r="D393" t="s">
        <v>585</v>
      </c>
      <c r="E393">
        <v>5</v>
      </c>
      <c r="F393">
        <v>-5.984</v>
      </c>
      <c r="G393">
        <v>-37.173999999999999</v>
      </c>
      <c r="H393">
        <v>16251</v>
      </c>
      <c r="I393">
        <v>0</v>
      </c>
      <c r="J393">
        <v>1</v>
      </c>
      <c r="K393" t="s">
        <v>55</v>
      </c>
      <c r="L393" t="s">
        <v>55</v>
      </c>
      <c r="M393" t="s">
        <v>56</v>
      </c>
      <c r="N393">
        <v>1643452881.54</v>
      </c>
      <c r="O393">
        <v>0.20300000000000001</v>
      </c>
      <c r="P393">
        <v>0.41499999999999998</v>
      </c>
      <c r="Q393">
        <v>52.930999999999997</v>
      </c>
      <c r="R393">
        <v>0</v>
      </c>
      <c r="S393">
        <v>1E-3</v>
      </c>
      <c r="T393">
        <v>1.2749999999999999</v>
      </c>
      <c r="U393">
        <v>90.543999999999997</v>
      </c>
      <c r="V393">
        <v>24.89</v>
      </c>
      <c r="W393">
        <v>2.2570000000000001</v>
      </c>
      <c r="X393">
        <v>85.197999999999993</v>
      </c>
      <c r="Y393">
        <v>0.89200000000000002</v>
      </c>
      <c r="Z393">
        <v>0.86699999999999999</v>
      </c>
      <c r="AA393">
        <v>0</v>
      </c>
      <c r="AB393">
        <v>0</v>
      </c>
      <c r="AC393">
        <v>1</v>
      </c>
      <c r="AD393">
        <v>39.438000000000002</v>
      </c>
      <c r="AE393">
        <v>1</v>
      </c>
      <c r="AF393">
        <v>52</v>
      </c>
      <c r="AG393">
        <v>4</v>
      </c>
      <c r="AH393" t="s">
        <v>84</v>
      </c>
      <c r="AI393">
        <v>0</v>
      </c>
    </row>
    <row r="394" spans="1:35" x14ac:dyDescent="0.45">
      <c r="A394">
        <v>393</v>
      </c>
      <c r="B394" t="s">
        <v>583</v>
      </c>
      <c r="C394" t="s">
        <v>590</v>
      </c>
      <c r="D394" t="s">
        <v>585</v>
      </c>
      <c r="E394">
        <v>6</v>
      </c>
      <c r="F394">
        <v>-6.01</v>
      </c>
      <c r="G394">
        <v>-37.148000000000003</v>
      </c>
      <c r="H394">
        <v>16259</v>
      </c>
      <c r="I394">
        <v>0</v>
      </c>
      <c r="J394">
        <v>1</v>
      </c>
      <c r="K394" t="s">
        <v>55</v>
      </c>
      <c r="L394" t="s">
        <v>55</v>
      </c>
      <c r="M394" t="s">
        <v>56</v>
      </c>
      <c r="N394">
        <v>1643453419.2</v>
      </c>
      <c r="O394">
        <v>0.19400000000000001</v>
      </c>
      <c r="P394">
        <v>0.39600000000000002</v>
      </c>
      <c r="Q394">
        <v>53.537999999999997</v>
      </c>
      <c r="R394">
        <v>1E-3</v>
      </c>
      <c r="S394">
        <v>0</v>
      </c>
      <c r="T394">
        <v>1.2989999999999999</v>
      </c>
      <c r="U394">
        <v>90.715999999999994</v>
      </c>
      <c r="V394">
        <v>24.312000000000001</v>
      </c>
      <c r="W394">
        <v>2.2770000000000001</v>
      </c>
      <c r="X394">
        <v>86.07</v>
      </c>
      <c r="Y394">
        <v>0.90600000000000003</v>
      </c>
      <c r="Z394">
        <v>0.9</v>
      </c>
      <c r="AA394">
        <v>0</v>
      </c>
      <c r="AB394">
        <v>0</v>
      </c>
      <c r="AC394">
        <v>1</v>
      </c>
      <c r="AD394">
        <v>39.5</v>
      </c>
      <c r="AE394">
        <v>1</v>
      </c>
      <c r="AF394">
        <v>52</v>
      </c>
      <c r="AG394">
        <v>4</v>
      </c>
      <c r="AH394" t="s">
        <v>84</v>
      </c>
      <c r="AI394">
        <v>0</v>
      </c>
    </row>
    <row r="395" spans="1:35" x14ac:dyDescent="0.45">
      <c r="A395">
        <v>394</v>
      </c>
      <c r="B395" t="s">
        <v>591</v>
      </c>
      <c r="C395" t="s">
        <v>592</v>
      </c>
      <c r="D395" t="s">
        <v>593</v>
      </c>
      <c r="E395">
        <v>1</v>
      </c>
      <c r="F395">
        <v>-5.9379999999999997</v>
      </c>
      <c r="G395">
        <v>-37.006</v>
      </c>
      <c r="H395">
        <v>16274</v>
      </c>
      <c r="I395">
        <v>-1</v>
      </c>
      <c r="J395">
        <v>1</v>
      </c>
      <c r="K395" t="s">
        <v>55</v>
      </c>
      <c r="L395" t="s">
        <v>55</v>
      </c>
      <c r="M395" t="s">
        <v>56</v>
      </c>
      <c r="N395">
        <v>1643453955.1700001</v>
      </c>
      <c r="O395">
        <v>0.20300000000000001</v>
      </c>
      <c r="P395">
        <v>0.42099999999999999</v>
      </c>
      <c r="Q395">
        <v>52.497</v>
      </c>
      <c r="R395">
        <v>1E-3</v>
      </c>
      <c r="S395">
        <v>0</v>
      </c>
      <c r="T395">
        <v>1.2629999999999999</v>
      </c>
      <c r="U395">
        <v>90.600999999999999</v>
      </c>
      <c r="V395">
        <v>25.245000000000001</v>
      </c>
      <c r="W395">
        <v>2.2370000000000001</v>
      </c>
      <c r="X395">
        <v>84.796999999999997</v>
      </c>
      <c r="Y395">
        <v>0.90600000000000003</v>
      </c>
      <c r="Z395">
        <v>0.874</v>
      </c>
      <c r="AA395">
        <v>0</v>
      </c>
      <c r="AB395">
        <v>0</v>
      </c>
      <c r="AC395">
        <v>1</v>
      </c>
      <c r="AD395">
        <v>39.438000000000002</v>
      </c>
      <c r="AE395">
        <v>1</v>
      </c>
      <c r="AF395">
        <v>53</v>
      </c>
      <c r="AG395">
        <v>4</v>
      </c>
      <c r="AH395" t="s">
        <v>84</v>
      </c>
      <c r="AI395">
        <v>0</v>
      </c>
    </row>
    <row r="396" spans="1:35" x14ac:dyDescent="0.45">
      <c r="A396">
        <v>395</v>
      </c>
      <c r="B396" t="s">
        <v>591</v>
      </c>
      <c r="C396" t="s">
        <v>594</v>
      </c>
      <c r="D396" t="s">
        <v>593</v>
      </c>
      <c r="E396">
        <v>2</v>
      </c>
      <c r="F396">
        <v>-5.99</v>
      </c>
      <c r="G396">
        <v>-37.018000000000001</v>
      </c>
      <c r="H396">
        <v>16214</v>
      </c>
      <c r="I396">
        <v>-1</v>
      </c>
      <c r="J396">
        <v>1</v>
      </c>
      <c r="K396" t="s">
        <v>55</v>
      </c>
      <c r="L396" t="s">
        <v>55</v>
      </c>
      <c r="M396" t="s">
        <v>56</v>
      </c>
      <c r="N396">
        <v>1643454492.6500001</v>
      </c>
      <c r="O396">
        <v>0.20499999999999999</v>
      </c>
      <c r="P396">
        <v>0.38400000000000001</v>
      </c>
      <c r="Q396">
        <v>53.896999999999998</v>
      </c>
      <c r="R396">
        <v>0</v>
      </c>
      <c r="S396">
        <v>0</v>
      </c>
      <c r="T396">
        <v>1.288</v>
      </c>
      <c r="U396">
        <v>90.082999999999998</v>
      </c>
      <c r="V396">
        <v>25.314</v>
      </c>
      <c r="W396">
        <v>2.29</v>
      </c>
      <c r="X396">
        <v>84.653999999999996</v>
      </c>
      <c r="Y396">
        <v>0.90200000000000002</v>
      </c>
      <c r="Z396">
        <v>0.93100000000000005</v>
      </c>
      <c r="AA396">
        <v>0</v>
      </c>
      <c r="AB396">
        <v>0</v>
      </c>
      <c r="AC396">
        <v>1</v>
      </c>
      <c r="AD396">
        <v>39.438000000000002</v>
      </c>
      <c r="AE396">
        <v>1</v>
      </c>
      <c r="AF396">
        <v>53</v>
      </c>
      <c r="AG396">
        <v>4</v>
      </c>
      <c r="AH396" t="s">
        <v>84</v>
      </c>
      <c r="AI396">
        <v>0</v>
      </c>
    </row>
    <row r="397" spans="1:35" x14ac:dyDescent="0.45">
      <c r="A397">
        <v>396</v>
      </c>
      <c r="B397" t="s">
        <v>591</v>
      </c>
      <c r="C397" t="s">
        <v>595</v>
      </c>
      <c r="D397" t="s">
        <v>593</v>
      </c>
      <c r="E397">
        <v>3</v>
      </c>
      <c r="F397">
        <v>-5.9790000000000001</v>
      </c>
      <c r="G397">
        <v>-37.115000000000002</v>
      </c>
      <c r="H397">
        <v>16314</v>
      </c>
      <c r="I397">
        <v>-1</v>
      </c>
      <c r="J397">
        <v>1</v>
      </c>
      <c r="K397" t="s">
        <v>55</v>
      </c>
      <c r="L397" t="s">
        <v>55</v>
      </c>
      <c r="M397" t="s">
        <v>56</v>
      </c>
      <c r="N397">
        <v>1643455028.3800001</v>
      </c>
      <c r="O397">
        <v>0.217</v>
      </c>
      <c r="P397">
        <v>0.39300000000000002</v>
      </c>
      <c r="Q397">
        <v>53.369</v>
      </c>
      <c r="R397">
        <v>1E-3</v>
      </c>
      <c r="S397">
        <v>0</v>
      </c>
      <c r="T397">
        <v>1.2829999999999999</v>
      </c>
      <c r="U397">
        <v>90.832999999999998</v>
      </c>
      <c r="V397">
        <v>25.093</v>
      </c>
      <c r="W397">
        <v>2.2890000000000001</v>
      </c>
      <c r="X397">
        <v>85.575000000000003</v>
      </c>
      <c r="Y397">
        <v>0.90100000000000002</v>
      </c>
      <c r="Z397">
        <v>0.98799999999999999</v>
      </c>
      <c r="AA397">
        <v>0</v>
      </c>
      <c r="AB397">
        <v>0</v>
      </c>
      <c r="AC397">
        <v>1</v>
      </c>
      <c r="AD397">
        <v>39.375</v>
      </c>
      <c r="AE397">
        <v>1</v>
      </c>
      <c r="AF397">
        <v>53</v>
      </c>
      <c r="AG397">
        <v>4</v>
      </c>
      <c r="AH397" t="s">
        <v>84</v>
      </c>
      <c r="AI397">
        <v>0</v>
      </c>
    </row>
    <row r="398" spans="1:35" x14ac:dyDescent="0.45">
      <c r="A398">
        <v>397</v>
      </c>
      <c r="B398" t="s">
        <v>591</v>
      </c>
      <c r="C398" t="s">
        <v>596</v>
      </c>
      <c r="D398" t="s">
        <v>593</v>
      </c>
      <c r="E398">
        <v>4</v>
      </c>
      <c r="F398">
        <v>-5.9530000000000003</v>
      </c>
      <c r="G398">
        <v>-37.037999999999997</v>
      </c>
      <c r="H398">
        <v>16205</v>
      </c>
      <c r="I398">
        <v>0</v>
      </c>
      <c r="J398">
        <v>1</v>
      </c>
      <c r="K398" t="s">
        <v>55</v>
      </c>
      <c r="L398" t="s">
        <v>55</v>
      </c>
      <c r="M398" t="s">
        <v>56</v>
      </c>
      <c r="N398">
        <v>1643455567.1500001</v>
      </c>
      <c r="O398">
        <v>0.21199999999999999</v>
      </c>
      <c r="P398">
        <v>0.44400000000000001</v>
      </c>
      <c r="Q398">
        <v>53.837000000000003</v>
      </c>
      <c r="R398">
        <v>1E-3</v>
      </c>
      <c r="S398">
        <v>-1E-3</v>
      </c>
      <c r="T398">
        <v>1.2929999999999999</v>
      </c>
      <c r="U398">
        <v>90.259</v>
      </c>
      <c r="V398">
        <v>24.751999999999999</v>
      </c>
      <c r="W398">
        <v>2.2629999999999999</v>
      </c>
      <c r="X398">
        <v>85.210999999999999</v>
      </c>
      <c r="Y398">
        <v>0.90100000000000002</v>
      </c>
      <c r="Z398">
        <v>0.91</v>
      </c>
      <c r="AA398">
        <v>0</v>
      </c>
      <c r="AB398">
        <v>0</v>
      </c>
      <c r="AC398">
        <v>1</v>
      </c>
      <c r="AD398">
        <v>39.438000000000002</v>
      </c>
      <c r="AE398">
        <v>1</v>
      </c>
      <c r="AF398">
        <v>53</v>
      </c>
      <c r="AG398">
        <v>4</v>
      </c>
      <c r="AH398" t="s">
        <v>84</v>
      </c>
      <c r="AI398">
        <v>0</v>
      </c>
    </row>
    <row r="399" spans="1:35" x14ac:dyDescent="0.45">
      <c r="A399">
        <v>398</v>
      </c>
      <c r="B399" t="s">
        <v>591</v>
      </c>
      <c r="C399" t="s">
        <v>597</v>
      </c>
      <c r="D399" t="s">
        <v>593</v>
      </c>
      <c r="E399">
        <v>5</v>
      </c>
      <c r="F399">
        <v>-5.97</v>
      </c>
      <c r="G399">
        <v>-37</v>
      </c>
      <c r="H399">
        <v>16216</v>
      </c>
      <c r="I399">
        <v>0</v>
      </c>
      <c r="J399">
        <v>1</v>
      </c>
      <c r="K399" t="s">
        <v>55</v>
      </c>
      <c r="L399" t="s">
        <v>55</v>
      </c>
      <c r="M399" t="s">
        <v>56</v>
      </c>
      <c r="N399">
        <v>1643456102.6900001</v>
      </c>
      <c r="O399">
        <v>0.20599999999999999</v>
      </c>
      <c r="P399">
        <v>0.42</v>
      </c>
      <c r="Q399">
        <v>53.073</v>
      </c>
      <c r="R399">
        <v>1E-3</v>
      </c>
      <c r="S399">
        <v>1E-3</v>
      </c>
      <c r="T399">
        <v>1.268</v>
      </c>
      <c r="U399">
        <v>90.2</v>
      </c>
      <c r="V399">
        <v>24.59</v>
      </c>
      <c r="W399">
        <v>2.335</v>
      </c>
      <c r="X399">
        <v>86.012</v>
      </c>
      <c r="Y399">
        <v>0.90800000000000003</v>
      </c>
      <c r="Z399">
        <v>1.06</v>
      </c>
      <c r="AA399">
        <v>0</v>
      </c>
      <c r="AB399">
        <v>0</v>
      </c>
      <c r="AC399">
        <v>1</v>
      </c>
      <c r="AD399">
        <v>39.5</v>
      </c>
      <c r="AE399">
        <v>1</v>
      </c>
      <c r="AF399">
        <v>53</v>
      </c>
      <c r="AG399">
        <v>4</v>
      </c>
      <c r="AH399" t="s">
        <v>84</v>
      </c>
      <c r="AI399">
        <v>0</v>
      </c>
    </row>
    <row r="400" spans="1:35" x14ac:dyDescent="0.45">
      <c r="A400">
        <v>399</v>
      </c>
      <c r="B400" t="s">
        <v>591</v>
      </c>
      <c r="C400" t="s">
        <v>598</v>
      </c>
      <c r="D400" t="s">
        <v>593</v>
      </c>
      <c r="E400">
        <v>6</v>
      </c>
      <c r="F400">
        <v>-5.9880000000000004</v>
      </c>
      <c r="G400">
        <v>-37.067</v>
      </c>
      <c r="H400">
        <v>16123</v>
      </c>
      <c r="I400">
        <v>0</v>
      </c>
      <c r="J400">
        <v>1</v>
      </c>
      <c r="K400" t="s">
        <v>55</v>
      </c>
      <c r="L400" t="s">
        <v>55</v>
      </c>
      <c r="M400" t="s">
        <v>56</v>
      </c>
      <c r="N400">
        <v>1643456640.8499999</v>
      </c>
      <c r="O400">
        <v>0.20599999999999999</v>
      </c>
      <c r="P400">
        <v>0.437</v>
      </c>
      <c r="Q400">
        <v>53.997</v>
      </c>
      <c r="R400">
        <v>1E-3</v>
      </c>
      <c r="S400">
        <v>2E-3</v>
      </c>
      <c r="T400">
        <v>1.302</v>
      </c>
      <c r="U400">
        <v>89.756</v>
      </c>
      <c r="V400">
        <v>24.54</v>
      </c>
      <c r="W400">
        <v>2.2559999999999998</v>
      </c>
      <c r="X400">
        <v>85.048000000000002</v>
      </c>
      <c r="Y400">
        <v>0.90500000000000003</v>
      </c>
      <c r="Z400">
        <v>0.94699999999999995</v>
      </c>
      <c r="AA400">
        <v>0</v>
      </c>
      <c r="AB400">
        <v>0</v>
      </c>
      <c r="AC400">
        <v>1</v>
      </c>
      <c r="AD400">
        <v>39.438000000000002</v>
      </c>
      <c r="AE400">
        <v>1</v>
      </c>
      <c r="AF400">
        <v>53</v>
      </c>
      <c r="AG400">
        <v>4</v>
      </c>
      <c r="AH400" t="s">
        <v>84</v>
      </c>
      <c r="AI400">
        <v>0</v>
      </c>
    </row>
    <row r="401" spans="1:35" x14ac:dyDescent="0.45">
      <c r="A401">
        <v>400</v>
      </c>
      <c r="B401" t="s">
        <v>599</v>
      </c>
      <c r="C401" t="s">
        <v>600</v>
      </c>
      <c r="D401" t="s">
        <v>601</v>
      </c>
      <c r="E401">
        <v>1</v>
      </c>
      <c r="F401" t="s">
        <v>11</v>
      </c>
      <c r="G401" t="s">
        <v>11</v>
      </c>
      <c r="H401" t="s">
        <v>11</v>
      </c>
      <c r="I401" t="s">
        <v>12</v>
      </c>
      <c r="J401" t="s">
        <v>13</v>
      </c>
      <c r="K401" t="s">
        <v>55</v>
      </c>
      <c r="L401" t="s">
        <v>55</v>
      </c>
      <c r="M401" t="s">
        <v>56</v>
      </c>
      <c r="N401" t="s">
        <v>11</v>
      </c>
      <c r="O401" t="s">
        <v>11</v>
      </c>
      <c r="P401" t="s">
        <v>11</v>
      </c>
      <c r="Q401" t="s">
        <v>11</v>
      </c>
      <c r="R401" t="s">
        <v>11</v>
      </c>
      <c r="S401" t="s">
        <v>11</v>
      </c>
      <c r="T401" t="s">
        <v>11</v>
      </c>
      <c r="U401" t="s">
        <v>11</v>
      </c>
      <c r="V401" t="s">
        <v>11</v>
      </c>
      <c r="W401" t="s">
        <v>11</v>
      </c>
      <c r="X401" t="s">
        <v>11</v>
      </c>
      <c r="Y401" t="s">
        <v>11</v>
      </c>
      <c r="Z401" t="s">
        <v>11</v>
      </c>
      <c r="AA401" t="s">
        <v>11</v>
      </c>
      <c r="AB401" t="s">
        <v>11</v>
      </c>
      <c r="AC401" t="s">
        <v>13</v>
      </c>
      <c r="AD401" t="s">
        <v>11</v>
      </c>
      <c r="AE401">
        <v>1</v>
      </c>
      <c r="AF401">
        <v>54</v>
      </c>
      <c r="AG401">
        <v>4</v>
      </c>
      <c r="AH401" t="s">
        <v>84</v>
      </c>
      <c r="AI401">
        <v>0</v>
      </c>
    </row>
    <row r="402" spans="1:35" x14ac:dyDescent="0.45">
      <c r="A402">
        <v>401</v>
      </c>
      <c r="B402" t="s">
        <v>599</v>
      </c>
      <c r="C402" t="s">
        <v>602</v>
      </c>
      <c r="D402" t="s">
        <v>601</v>
      </c>
      <c r="E402">
        <v>2</v>
      </c>
      <c r="F402">
        <v>-5.9290000000000003</v>
      </c>
      <c r="G402">
        <v>-36.756999999999998</v>
      </c>
      <c r="H402">
        <v>16069</v>
      </c>
      <c r="I402">
        <v>-1</v>
      </c>
      <c r="J402">
        <v>1</v>
      </c>
      <c r="K402" t="s">
        <v>55</v>
      </c>
      <c r="L402" t="s">
        <v>55</v>
      </c>
      <c r="M402" t="s">
        <v>56</v>
      </c>
      <c r="N402">
        <v>1643457777.25</v>
      </c>
      <c r="O402">
        <v>0.215</v>
      </c>
      <c r="P402">
        <v>0.46899999999999997</v>
      </c>
      <c r="Q402">
        <v>46.53</v>
      </c>
      <c r="R402">
        <v>1E-3</v>
      </c>
      <c r="S402">
        <v>2E-3</v>
      </c>
      <c r="T402">
        <v>1.1200000000000001</v>
      </c>
      <c r="U402">
        <v>89.295000000000002</v>
      </c>
      <c r="V402">
        <v>24.504000000000001</v>
      </c>
      <c r="W402">
        <v>2.3149999999999999</v>
      </c>
      <c r="X402">
        <v>85.63</v>
      </c>
      <c r="Y402">
        <v>0.90300000000000002</v>
      </c>
      <c r="Z402">
        <v>1.121</v>
      </c>
      <c r="AA402">
        <v>0</v>
      </c>
      <c r="AB402">
        <v>0</v>
      </c>
      <c r="AC402">
        <v>1</v>
      </c>
      <c r="AD402">
        <v>39.5</v>
      </c>
      <c r="AE402">
        <v>1</v>
      </c>
      <c r="AF402">
        <v>54</v>
      </c>
      <c r="AG402">
        <v>4</v>
      </c>
      <c r="AH402" t="s">
        <v>84</v>
      </c>
      <c r="AI402">
        <v>0</v>
      </c>
    </row>
    <row r="403" spans="1:35" x14ac:dyDescent="0.45">
      <c r="A403">
        <v>402</v>
      </c>
      <c r="B403" t="s">
        <v>599</v>
      </c>
      <c r="C403" t="s">
        <v>603</v>
      </c>
      <c r="D403" t="s">
        <v>601</v>
      </c>
      <c r="E403">
        <v>3</v>
      </c>
      <c r="F403">
        <v>-5.8959999999999999</v>
      </c>
      <c r="G403">
        <v>-36.716000000000001</v>
      </c>
      <c r="H403">
        <v>16137</v>
      </c>
      <c r="I403">
        <v>-1</v>
      </c>
      <c r="J403">
        <v>1</v>
      </c>
      <c r="K403" t="s">
        <v>55</v>
      </c>
      <c r="L403" t="s">
        <v>55</v>
      </c>
      <c r="M403" t="s">
        <v>56</v>
      </c>
      <c r="N403">
        <v>1643458315.0999999</v>
      </c>
      <c r="O403">
        <v>0.215</v>
      </c>
      <c r="P403">
        <v>0.375</v>
      </c>
      <c r="Q403">
        <v>51.179000000000002</v>
      </c>
      <c r="R403">
        <v>1E-3</v>
      </c>
      <c r="S403">
        <v>2E-3</v>
      </c>
      <c r="T403">
        <v>1.2250000000000001</v>
      </c>
      <c r="U403">
        <v>89.73</v>
      </c>
      <c r="V403">
        <v>24.797000000000001</v>
      </c>
      <c r="W403">
        <v>2.2570000000000001</v>
      </c>
      <c r="X403">
        <v>85.105999999999995</v>
      </c>
      <c r="Y403">
        <v>0.89700000000000002</v>
      </c>
      <c r="Z403">
        <v>0.95099999999999996</v>
      </c>
      <c r="AA403">
        <v>0</v>
      </c>
      <c r="AB403">
        <v>0</v>
      </c>
      <c r="AC403">
        <v>1</v>
      </c>
      <c r="AD403">
        <v>39.438000000000002</v>
      </c>
      <c r="AE403">
        <v>1</v>
      </c>
      <c r="AF403">
        <v>54</v>
      </c>
      <c r="AG403">
        <v>4</v>
      </c>
      <c r="AH403" t="s">
        <v>84</v>
      </c>
      <c r="AI403">
        <v>0</v>
      </c>
    </row>
    <row r="404" spans="1:35" x14ac:dyDescent="0.45">
      <c r="A404">
        <v>403</v>
      </c>
      <c r="B404" t="s">
        <v>599</v>
      </c>
      <c r="C404" t="s">
        <v>604</v>
      </c>
      <c r="D404" t="s">
        <v>601</v>
      </c>
      <c r="E404">
        <v>4</v>
      </c>
      <c r="F404">
        <v>-5.9119999999999999</v>
      </c>
      <c r="G404">
        <v>-36.750999999999998</v>
      </c>
      <c r="H404">
        <v>16178</v>
      </c>
      <c r="I404">
        <v>0</v>
      </c>
      <c r="J404">
        <v>1</v>
      </c>
      <c r="K404" t="s">
        <v>55</v>
      </c>
      <c r="L404" t="s">
        <v>55</v>
      </c>
      <c r="M404" t="s">
        <v>56</v>
      </c>
      <c r="N404">
        <v>1643458851.76</v>
      </c>
      <c r="O404">
        <v>0.23400000000000001</v>
      </c>
      <c r="P404">
        <v>0.39900000000000002</v>
      </c>
      <c r="Q404">
        <v>52.308</v>
      </c>
      <c r="R404">
        <v>2E-3</v>
      </c>
      <c r="S404">
        <v>2E-3</v>
      </c>
      <c r="T404">
        <v>1.2549999999999999</v>
      </c>
      <c r="U404">
        <v>90.155000000000001</v>
      </c>
      <c r="V404">
        <v>24.504999999999999</v>
      </c>
      <c r="W404">
        <v>2.2829999999999999</v>
      </c>
      <c r="X404">
        <v>85.366</v>
      </c>
      <c r="Y404">
        <v>0.89500000000000002</v>
      </c>
      <c r="Z404">
        <v>0.96499999999999997</v>
      </c>
      <c r="AA404">
        <v>0</v>
      </c>
      <c r="AB404">
        <v>0</v>
      </c>
      <c r="AC404">
        <v>1</v>
      </c>
      <c r="AD404">
        <v>39.5</v>
      </c>
      <c r="AE404">
        <v>1</v>
      </c>
      <c r="AF404">
        <v>54</v>
      </c>
      <c r="AG404">
        <v>4</v>
      </c>
      <c r="AH404" t="s">
        <v>84</v>
      </c>
      <c r="AI404">
        <v>0</v>
      </c>
    </row>
    <row r="405" spans="1:35" x14ac:dyDescent="0.45">
      <c r="A405">
        <v>404</v>
      </c>
      <c r="B405" t="s">
        <v>599</v>
      </c>
      <c r="C405" t="s">
        <v>605</v>
      </c>
      <c r="D405" t="s">
        <v>601</v>
      </c>
      <c r="E405">
        <v>5</v>
      </c>
      <c r="F405">
        <v>-5.9240000000000004</v>
      </c>
      <c r="G405">
        <v>-36.737000000000002</v>
      </c>
      <c r="H405">
        <v>16192</v>
      </c>
      <c r="I405">
        <v>0</v>
      </c>
      <c r="J405">
        <v>1</v>
      </c>
      <c r="K405" t="s">
        <v>55</v>
      </c>
      <c r="L405" t="s">
        <v>55</v>
      </c>
      <c r="M405" t="s">
        <v>56</v>
      </c>
      <c r="N405">
        <v>1643459388.54</v>
      </c>
      <c r="O405">
        <v>0.193</v>
      </c>
      <c r="P405">
        <v>0.44800000000000001</v>
      </c>
      <c r="Q405">
        <v>51.960999999999999</v>
      </c>
      <c r="R405">
        <v>1E-3</v>
      </c>
      <c r="S405">
        <v>1E-3</v>
      </c>
      <c r="T405">
        <v>1.2529999999999999</v>
      </c>
      <c r="U405">
        <v>90.43</v>
      </c>
      <c r="V405">
        <v>24.286999999999999</v>
      </c>
      <c r="W405">
        <v>2.2400000000000002</v>
      </c>
      <c r="X405">
        <v>85.224999999999994</v>
      </c>
      <c r="Y405">
        <v>0.89700000000000002</v>
      </c>
      <c r="Z405">
        <v>0.82799999999999996</v>
      </c>
      <c r="AA405">
        <v>0</v>
      </c>
      <c r="AB405">
        <v>0</v>
      </c>
      <c r="AC405">
        <v>1</v>
      </c>
      <c r="AD405">
        <v>39.438000000000002</v>
      </c>
      <c r="AE405">
        <v>1</v>
      </c>
      <c r="AF405">
        <v>54</v>
      </c>
      <c r="AG405">
        <v>4</v>
      </c>
      <c r="AH405" t="s">
        <v>84</v>
      </c>
      <c r="AI405">
        <v>0</v>
      </c>
    </row>
    <row r="406" spans="1:35" x14ac:dyDescent="0.45">
      <c r="A406">
        <v>405</v>
      </c>
      <c r="B406" t="s">
        <v>599</v>
      </c>
      <c r="C406" t="s">
        <v>606</v>
      </c>
      <c r="D406" t="s">
        <v>601</v>
      </c>
      <c r="E406">
        <v>6</v>
      </c>
      <c r="F406">
        <v>-5.9020000000000001</v>
      </c>
      <c r="G406">
        <v>-36.637</v>
      </c>
      <c r="H406">
        <v>16205</v>
      </c>
      <c r="I406">
        <v>0</v>
      </c>
      <c r="J406">
        <v>1</v>
      </c>
      <c r="K406" t="s">
        <v>55</v>
      </c>
      <c r="L406" t="s">
        <v>55</v>
      </c>
      <c r="M406" t="s">
        <v>56</v>
      </c>
      <c r="N406">
        <v>1643459925.9300001</v>
      </c>
      <c r="O406">
        <v>0.221</v>
      </c>
      <c r="P406">
        <v>0.433</v>
      </c>
      <c r="Q406">
        <v>52.435000000000002</v>
      </c>
      <c r="R406">
        <v>1E-3</v>
      </c>
      <c r="S406">
        <v>0</v>
      </c>
      <c r="T406">
        <v>1.2649999999999999</v>
      </c>
      <c r="U406">
        <v>90.233000000000004</v>
      </c>
      <c r="V406">
        <v>24.721</v>
      </c>
      <c r="W406">
        <v>2.3170000000000002</v>
      </c>
      <c r="X406">
        <v>85.186000000000007</v>
      </c>
      <c r="Y406">
        <v>0.90800000000000003</v>
      </c>
      <c r="Z406">
        <v>0.97299999999999998</v>
      </c>
      <c r="AA406">
        <v>0</v>
      </c>
      <c r="AB406">
        <v>0</v>
      </c>
      <c r="AC406">
        <v>1</v>
      </c>
      <c r="AD406">
        <v>39.438000000000002</v>
      </c>
      <c r="AE406">
        <v>1</v>
      </c>
      <c r="AF406">
        <v>54</v>
      </c>
      <c r="AG406">
        <v>4</v>
      </c>
      <c r="AH406" t="s">
        <v>84</v>
      </c>
      <c r="AI406">
        <v>0</v>
      </c>
    </row>
    <row r="407" spans="1:35" x14ac:dyDescent="0.45">
      <c r="A407">
        <v>406</v>
      </c>
      <c r="B407" t="s">
        <v>607</v>
      </c>
      <c r="C407" t="s">
        <v>608</v>
      </c>
      <c r="D407" t="s">
        <v>609</v>
      </c>
      <c r="E407">
        <v>1</v>
      </c>
      <c r="F407">
        <v>-5.8639999999999999</v>
      </c>
      <c r="G407">
        <v>-36.377000000000002</v>
      </c>
      <c r="H407">
        <v>16223</v>
      </c>
      <c r="I407">
        <v>-1</v>
      </c>
      <c r="J407">
        <v>1</v>
      </c>
      <c r="K407" t="s">
        <v>55</v>
      </c>
      <c r="L407" t="s">
        <v>55</v>
      </c>
      <c r="M407" t="s">
        <v>56</v>
      </c>
      <c r="N407">
        <v>1643460462.3800001</v>
      </c>
      <c r="O407">
        <v>0.20899999999999999</v>
      </c>
      <c r="P407">
        <v>0.47799999999999998</v>
      </c>
      <c r="Q407">
        <v>53.381</v>
      </c>
      <c r="R407">
        <v>1E-3</v>
      </c>
      <c r="S407">
        <v>0</v>
      </c>
      <c r="T407">
        <v>1.2789999999999999</v>
      </c>
      <c r="U407">
        <v>90.248000000000005</v>
      </c>
      <c r="V407">
        <v>24.504000000000001</v>
      </c>
      <c r="W407">
        <v>2.3170000000000002</v>
      </c>
      <c r="X407">
        <v>86.775999999999996</v>
      </c>
      <c r="Y407">
        <v>0.9</v>
      </c>
      <c r="Z407">
        <v>1.179</v>
      </c>
      <c r="AA407">
        <v>0</v>
      </c>
      <c r="AB407">
        <v>0</v>
      </c>
      <c r="AC407">
        <v>1</v>
      </c>
      <c r="AD407">
        <v>39.375</v>
      </c>
      <c r="AE407">
        <v>1</v>
      </c>
      <c r="AF407">
        <v>55</v>
      </c>
      <c r="AG407">
        <v>4</v>
      </c>
      <c r="AH407" t="s">
        <v>84</v>
      </c>
      <c r="AI407">
        <v>0</v>
      </c>
    </row>
    <row r="408" spans="1:35" x14ac:dyDescent="0.45">
      <c r="A408">
        <v>407</v>
      </c>
      <c r="B408" t="s">
        <v>607</v>
      </c>
      <c r="C408" t="s">
        <v>610</v>
      </c>
      <c r="D408" t="s">
        <v>609</v>
      </c>
      <c r="E408">
        <v>2</v>
      </c>
      <c r="F408">
        <v>-5.8789999999999996</v>
      </c>
      <c r="G408">
        <v>-36.350999999999999</v>
      </c>
      <c r="H408">
        <v>16214</v>
      </c>
      <c r="I408">
        <v>-1</v>
      </c>
      <c r="J408">
        <v>1</v>
      </c>
      <c r="K408" t="s">
        <v>55</v>
      </c>
      <c r="L408" t="s">
        <v>55</v>
      </c>
      <c r="M408" t="s">
        <v>56</v>
      </c>
      <c r="N408">
        <v>1643460999.71</v>
      </c>
      <c r="O408">
        <v>0.21</v>
      </c>
      <c r="P408">
        <v>0.41199999999999998</v>
      </c>
      <c r="Q408">
        <v>53.125999999999998</v>
      </c>
      <c r="R408">
        <v>1E-3</v>
      </c>
      <c r="S408">
        <v>0</v>
      </c>
      <c r="T408">
        <v>1.2769999999999999</v>
      </c>
      <c r="U408">
        <v>90.135000000000005</v>
      </c>
      <c r="V408">
        <v>24.574999999999999</v>
      </c>
      <c r="W408">
        <v>2.3330000000000002</v>
      </c>
      <c r="X408">
        <v>86.778000000000006</v>
      </c>
      <c r="Y408">
        <v>0.88900000000000001</v>
      </c>
      <c r="Z408">
        <v>1.2909999999999999</v>
      </c>
      <c r="AA408">
        <v>0</v>
      </c>
      <c r="AB408">
        <v>0</v>
      </c>
      <c r="AC408">
        <v>1</v>
      </c>
      <c r="AD408">
        <v>39.438000000000002</v>
      </c>
      <c r="AE408">
        <v>1</v>
      </c>
      <c r="AF408">
        <v>55</v>
      </c>
      <c r="AG408">
        <v>4</v>
      </c>
      <c r="AH408" t="s">
        <v>84</v>
      </c>
      <c r="AI408">
        <v>0</v>
      </c>
    </row>
    <row r="409" spans="1:35" x14ac:dyDescent="0.45">
      <c r="A409">
        <v>408</v>
      </c>
      <c r="B409" t="s">
        <v>607</v>
      </c>
      <c r="C409" t="s">
        <v>611</v>
      </c>
      <c r="D409" t="s">
        <v>609</v>
      </c>
      <c r="E409">
        <v>3</v>
      </c>
      <c r="F409">
        <v>-5.8339999999999996</v>
      </c>
      <c r="G409">
        <v>-36.341999999999999</v>
      </c>
      <c r="H409">
        <v>16211</v>
      </c>
      <c r="I409">
        <v>-1</v>
      </c>
      <c r="J409">
        <v>1</v>
      </c>
      <c r="K409" t="s">
        <v>55</v>
      </c>
      <c r="L409" t="s">
        <v>55</v>
      </c>
      <c r="M409" t="s">
        <v>56</v>
      </c>
      <c r="N409">
        <v>1643461536.77</v>
      </c>
      <c r="O409">
        <v>0.20899999999999999</v>
      </c>
      <c r="P409">
        <v>0.43099999999999999</v>
      </c>
      <c r="Q409">
        <v>53.801000000000002</v>
      </c>
      <c r="R409">
        <v>1E-3</v>
      </c>
      <c r="S409">
        <v>0</v>
      </c>
      <c r="T409">
        <v>1.2909999999999999</v>
      </c>
      <c r="U409">
        <v>90.120999999999995</v>
      </c>
      <c r="V409">
        <v>24.776</v>
      </c>
      <c r="W409">
        <v>2.3220000000000001</v>
      </c>
      <c r="X409">
        <v>86.150999999999996</v>
      </c>
      <c r="Y409">
        <v>0.90200000000000002</v>
      </c>
      <c r="Z409">
        <v>0.97</v>
      </c>
      <c r="AA409">
        <v>0</v>
      </c>
      <c r="AB409">
        <v>0</v>
      </c>
      <c r="AC409">
        <v>1</v>
      </c>
      <c r="AD409">
        <v>39.438000000000002</v>
      </c>
      <c r="AE409">
        <v>1</v>
      </c>
      <c r="AF409">
        <v>55</v>
      </c>
      <c r="AG409">
        <v>4</v>
      </c>
      <c r="AH409" t="s">
        <v>84</v>
      </c>
      <c r="AI409">
        <v>0</v>
      </c>
    </row>
    <row r="410" spans="1:35" x14ac:dyDescent="0.45">
      <c r="A410">
        <v>409</v>
      </c>
      <c r="B410" t="s">
        <v>607</v>
      </c>
      <c r="C410" t="s">
        <v>612</v>
      </c>
      <c r="D410" t="s">
        <v>609</v>
      </c>
      <c r="E410">
        <v>4</v>
      </c>
      <c r="F410">
        <v>-5.8280000000000003</v>
      </c>
      <c r="G410">
        <v>-36.305999999999997</v>
      </c>
      <c r="H410">
        <v>16142</v>
      </c>
      <c r="I410">
        <v>0</v>
      </c>
      <c r="J410">
        <v>1</v>
      </c>
      <c r="K410" t="s">
        <v>55</v>
      </c>
      <c r="L410" t="s">
        <v>55</v>
      </c>
      <c r="M410" t="s">
        <v>56</v>
      </c>
      <c r="N410">
        <v>1643462073.23</v>
      </c>
      <c r="O410">
        <v>0.19</v>
      </c>
      <c r="P410">
        <v>0.40799999999999997</v>
      </c>
      <c r="Q410">
        <v>53.52</v>
      </c>
      <c r="R410">
        <v>0</v>
      </c>
      <c r="S410">
        <v>0</v>
      </c>
      <c r="T410">
        <v>1.2889999999999999</v>
      </c>
      <c r="U410">
        <v>89.85</v>
      </c>
      <c r="V410">
        <v>24.565000000000001</v>
      </c>
      <c r="W410">
        <v>2.2909999999999999</v>
      </c>
      <c r="X410">
        <v>85.248000000000005</v>
      </c>
      <c r="Y410">
        <v>0.90700000000000003</v>
      </c>
      <c r="Z410">
        <v>1.0569999999999999</v>
      </c>
      <c r="AA410">
        <v>0</v>
      </c>
      <c r="AB410">
        <v>0</v>
      </c>
      <c r="AC410">
        <v>1</v>
      </c>
      <c r="AD410">
        <v>39.375</v>
      </c>
      <c r="AE410">
        <v>1</v>
      </c>
      <c r="AF410">
        <v>55</v>
      </c>
      <c r="AG410">
        <v>4</v>
      </c>
      <c r="AH410" t="s">
        <v>84</v>
      </c>
      <c r="AI410">
        <v>0</v>
      </c>
    </row>
    <row r="411" spans="1:35" x14ac:dyDescent="0.45">
      <c r="A411">
        <v>410</v>
      </c>
      <c r="B411" t="s">
        <v>607</v>
      </c>
      <c r="C411" t="s">
        <v>613</v>
      </c>
      <c r="D411" t="s">
        <v>609</v>
      </c>
      <c r="E411">
        <v>5</v>
      </c>
      <c r="F411">
        <v>-5.8280000000000003</v>
      </c>
      <c r="G411">
        <v>-36.338999999999999</v>
      </c>
      <c r="H411">
        <v>16250</v>
      </c>
      <c r="I411">
        <v>0</v>
      </c>
      <c r="J411">
        <v>1</v>
      </c>
      <c r="K411" t="s">
        <v>55</v>
      </c>
      <c r="L411" t="s">
        <v>55</v>
      </c>
      <c r="M411" t="s">
        <v>56</v>
      </c>
      <c r="N411">
        <v>1643462609.99</v>
      </c>
      <c r="O411">
        <v>0.218</v>
      </c>
      <c r="P411">
        <v>0.42199999999999999</v>
      </c>
      <c r="Q411">
        <v>53.56</v>
      </c>
      <c r="R411">
        <v>1E-3</v>
      </c>
      <c r="S411">
        <v>1E-3</v>
      </c>
      <c r="T411">
        <v>1.286</v>
      </c>
      <c r="U411">
        <v>90.471000000000004</v>
      </c>
      <c r="V411">
        <v>24.599</v>
      </c>
      <c r="W411">
        <v>2.33</v>
      </c>
      <c r="X411">
        <v>86.585999999999999</v>
      </c>
      <c r="Y411">
        <v>0.9</v>
      </c>
      <c r="Z411">
        <v>1.069</v>
      </c>
      <c r="AA411">
        <v>0</v>
      </c>
      <c r="AB411">
        <v>0</v>
      </c>
      <c r="AC411">
        <v>1</v>
      </c>
      <c r="AD411">
        <v>39.438000000000002</v>
      </c>
      <c r="AE411">
        <v>1</v>
      </c>
      <c r="AF411">
        <v>55</v>
      </c>
      <c r="AG411">
        <v>4</v>
      </c>
      <c r="AH411" t="s">
        <v>84</v>
      </c>
      <c r="AI411">
        <v>0</v>
      </c>
    </row>
    <row r="412" spans="1:35" x14ac:dyDescent="0.45">
      <c r="A412">
        <v>411</v>
      </c>
      <c r="B412" t="s">
        <v>607</v>
      </c>
      <c r="C412" t="s">
        <v>614</v>
      </c>
      <c r="D412" t="s">
        <v>609</v>
      </c>
      <c r="E412">
        <v>6</v>
      </c>
      <c r="F412">
        <v>-5.8239999999999998</v>
      </c>
      <c r="G412">
        <v>-36.295999999999999</v>
      </c>
      <c r="H412">
        <v>16170</v>
      </c>
      <c r="I412">
        <v>0</v>
      </c>
      <c r="J412">
        <v>1</v>
      </c>
      <c r="K412" t="s">
        <v>55</v>
      </c>
      <c r="L412" t="s">
        <v>55</v>
      </c>
      <c r="M412" t="s">
        <v>56</v>
      </c>
      <c r="N412">
        <v>1643463147.1900001</v>
      </c>
      <c r="O412">
        <v>0.214</v>
      </c>
      <c r="P412">
        <v>0.41399999999999998</v>
      </c>
      <c r="Q412">
        <v>53.043999999999997</v>
      </c>
      <c r="R412">
        <v>2E-3</v>
      </c>
      <c r="S412">
        <v>2E-3</v>
      </c>
      <c r="T412">
        <v>1.284</v>
      </c>
      <c r="U412">
        <v>90.019000000000005</v>
      </c>
      <c r="V412">
        <v>24.861999999999998</v>
      </c>
      <c r="W412">
        <v>2.2559999999999998</v>
      </c>
      <c r="X412">
        <v>84.718000000000004</v>
      </c>
      <c r="Y412">
        <v>0.90600000000000003</v>
      </c>
      <c r="Z412">
        <v>0.88900000000000001</v>
      </c>
      <c r="AA412">
        <v>0</v>
      </c>
      <c r="AB412">
        <v>0</v>
      </c>
      <c r="AC412">
        <v>1</v>
      </c>
      <c r="AD412">
        <v>39.311999999999998</v>
      </c>
      <c r="AE412">
        <v>1</v>
      </c>
      <c r="AF412">
        <v>55</v>
      </c>
      <c r="AG412">
        <v>4</v>
      </c>
      <c r="AH412" t="s">
        <v>84</v>
      </c>
      <c r="AI412">
        <v>0</v>
      </c>
    </row>
    <row r="413" spans="1:35" x14ac:dyDescent="0.45">
      <c r="A413">
        <v>412</v>
      </c>
      <c r="B413" t="s">
        <v>615</v>
      </c>
      <c r="C413" t="s">
        <v>616</v>
      </c>
      <c r="D413" t="s">
        <v>617</v>
      </c>
      <c r="E413">
        <v>1</v>
      </c>
      <c r="F413">
        <v>-5.508</v>
      </c>
      <c r="G413">
        <v>-30.16</v>
      </c>
      <c r="H413">
        <v>16224</v>
      </c>
      <c r="I413">
        <v>-1</v>
      </c>
      <c r="J413">
        <v>1</v>
      </c>
      <c r="K413" t="s">
        <v>55</v>
      </c>
      <c r="L413" t="s">
        <v>55</v>
      </c>
      <c r="M413" t="s">
        <v>56</v>
      </c>
      <c r="N413">
        <v>1643463682.6400001</v>
      </c>
      <c r="O413">
        <v>0.20300000000000001</v>
      </c>
      <c r="P413">
        <v>0.379</v>
      </c>
      <c r="Q413">
        <v>52.545999999999999</v>
      </c>
      <c r="R413">
        <v>1E-3</v>
      </c>
      <c r="S413">
        <v>1E-3</v>
      </c>
      <c r="T413">
        <v>1.2629999999999999</v>
      </c>
      <c r="U413">
        <v>90.366</v>
      </c>
      <c r="V413">
        <v>24.117000000000001</v>
      </c>
      <c r="W413">
        <v>2.331</v>
      </c>
      <c r="X413">
        <v>87.706000000000003</v>
      </c>
      <c r="Y413">
        <v>0.9</v>
      </c>
      <c r="Z413">
        <v>1.2130000000000001</v>
      </c>
      <c r="AA413">
        <v>0</v>
      </c>
      <c r="AB413">
        <v>0</v>
      </c>
      <c r="AC413">
        <v>1</v>
      </c>
      <c r="AD413">
        <v>39.438000000000002</v>
      </c>
      <c r="AE413">
        <v>1</v>
      </c>
      <c r="AF413">
        <v>56</v>
      </c>
      <c r="AG413">
        <v>4</v>
      </c>
      <c r="AH413" t="s">
        <v>84</v>
      </c>
      <c r="AI413">
        <v>0</v>
      </c>
    </row>
    <row r="414" spans="1:35" x14ac:dyDescent="0.45">
      <c r="A414">
        <v>413</v>
      </c>
      <c r="B414" t="s">
        <v>615</v>
      </c>
      <c r="C414" t="s">
        <v>618</v>
      </c>
      <c r="D414" t="s">
        <v>617</v>
      </c>
      <c r="E414">
        <v>2</v>
      </c>
      <c r="F414">
        <v>-5.508</v>
      </c>
      <c r="G414">
        <v>-29.638999999999999</v>
      </c>
      <c r="H414">
        <v>16148</v>
      </c>
      <c r="I414">
        <v>-1</v>
      </c>
      <c r="J414">
        <v>1</v>
      </c>
      <c r="K414" t="s">
        <v>55</v>
      </c>
      <c r="L414" t="s">
        <v>55</v>
      </c>
      <c r="M414" t="s">
        <v>56</v>
      </c>
      <c r="N414">
        <v>1643464219.1400001</v>
      </c>
      <c r="O414">
        <v>0.19900000000000001</v>
      </c>
      <c r="P414">
        <v>0.438</v>
      </c>
      <c r="Q414">
        <v>52.972000000000001</v>
      </c>
      <c r="R414">
        <v>1E-3</v>
      </c>
      <c r="S414">
        <v>0</v>
      </c>
      <c r="T414">
        <v>1.2689999999999999</v>
      </c>
      <c r="U414">
        <v>89.991</v>
      </c>
      <c r="V414">
        <v>24.26</v>
      </c>
      <c r="W414">
        <v>2.306</v>
      </c>
      <c r="X414">
        <v>85.668000000000006</v>
      </c>
      <c r="Y414">
        <v>0.90200000000000002</v>
      </c>
      <c r="Z414">
        <v>1.0669999999999999</v>
      </c>
      <c r="AA414">
        <v>0</v>
      </c>
      <c r="AB414">
        <v>0</v>
      </c>
      <c r="AC414">
        <v>1</v>
      </c>
      <c r="AD414">
        <v>39.375</v>
      </c>
      <c r="AE414">
        <v>1</v>
      </c>
      <c r="AF414">
        <v>56</v>
      </c>
      <c r="AG414">
        <v>4</v>
      </c>
      <c r="AH414" t="s">
        <v>84</v>
      </c>
      <c r="AI414">
        <v>0</v>
      </c>
    </row>
    <row r="415" spans="1:35" x14ac:dyDescent="0.45">
      <c r="A415">
        <v>414</v>
      </c>
      <c r="B415" t="s">
        <v>615</v>
      </c>
      <c r="C415" t="s">
        <v>619</v>
      </c>
      <c r="D415" t="s">
        <v>617</v>
      </c>
      <c r="E415">
        <v>3</v>
      </c>
      <c r="F415">
        <v>-5.508</v>
      </c>
      <c r="G415">
        <v>-29.516999999999999</v>
      </c>
      <c r="H415">
        <v>16166</v>
      </c>
      <c r="I415">
        <v>-1</v>
      </c>
      <c r="J415">
        <v>1</v>
      </c>
      <c r="K415" t="s">
        <v>55</v>
      </c>
      <c r="L415" t="s">
        <v>55</v>
      </c>
      <c r="M415" t="s">
        <v>56</v>
      </c>
      <c r="N415">
        <v>1643464755.8599999</v>
      </c>
      <c r="O415">
        <v>0.21099999999999999</v>
      </c>
      <c r="P415">
        <v>0.40200000000000002</v>
      </c>
      <c r="Q415">
        <v>52.79</v>
      </c>
      <c r="R415">
        <v>1E-3</v>
      </c>
      <c r="S415">
        <v>2E-3</v>
      </c>
      <c r="T415">
        <v>1.272</v>
      </c>
      <c r="U415">
        <v>90.147000000000006</v>
      </c>
      <c r="V415">
        <v>24.236999999999998</v>
      </c>
      <c r="W415">
        <v>2.2999999999999998</v>
      </c>
      <c r="X415">
        <v>85.751999999999995</v>
      </c>
      <c r="Y415">
        <v>0.90100000000000002</v>
      </c>
      <c r="Z415">
        <v>0.98299999999999998</v>
      </c>
      <c r="AA415">
        <v>0</v>
      </c>
      <c r="AB415">
        <v>0</v>
      </c>
      <c r="AC415">
        <v>1</v>
      </c>
      <c r="AD415">
        <v>39.438000000000002</v>
      </c>
      <c r="AE415">
        <v>1</v>
      </c>
      <c r="AF415">
        <v>56</v>
      </c>
      <c r="AG415">
        <v>4</v>
      </c>
      <c r="AH415" t="s">
        <v>84</v>
      </c>
      <c r="AI415">
        <v>0</v>
      </c>
    </row>
    <row r="416" spans="1:35" x14ac:dyDescent="0.45">
      <c r="A416">
        <v>415</v>
      </c>
      <c r="B416" t="s">
        <v>615</v>
      </c>
      <c r="C416" t="s">
        <v>620</v>
      </c>
      <c r="D416" t="s">
        <v>617</v>
      </c>
      <c r="E416">
        <v>4</v>
      </c>
      <c r="F416">
        <v>-5.4880000000000004</v>
      </c>
      <c r="G416">
        <v>-29.38</v>
      </c>
      <c r="H416">
        <v>16229</v>
      </c>
      <c r="I416">
        <v>0</v>
      </c>
      <c r="J416">
        <v>1</v>
      </c>
      <c r="K416" t="s">
        <v>55</v>
      </c>
      <c r="L416" t="s">
        <v>55</v>
      </c>
      <c r="M416" t="s">
        <v>56</v>
      </c>
      <c r="N416">
        <v>1643465292.26</v>
      </c>
      <c r="O416">
        <v>0.21199999999999999</v>
      </c>
      <c r="P416">
        <v>0.42599999999999999</v>
      </c>
      <c r="Q416">
        <v>52.780999999999999</v>
      </c>
      <c r="R416">
        <v>1E-3</v>
      </c>
      <c r="S416">
        <v>0</v>
      </c>
      <c r="T416">
        <v>1.266</v>
      </c>
      <c r="U416">
        <v>90.623999999999995</v>
      </c>
      <c r="V416">
        <v>24.045000000000002</v>
      </c>
      <c r="W416">
        <v>2.2949999999999999</v>
      </c>
      <c r="X416">
        <v>86.296000000000006</v>
      </c>
      <c r="Y416">
        <v>0.91</v>
      </c>
      <c r="Z416">
        <v>0.95599999999999996</v>
      </c>
      <c r="AA416">
        <v>0</v>
      </c>
      <c r="AB416">
        <v>0</v>
      </c>
      <c r="AC416">
        <v>1</v>
      </c>
      <c r="AD416">
        <v>39.438000000000002</v>
      </c>
      <c r="AE416">
        <v>1</v>
      </c>
      <c r="AF416">
        <v>56</v>
      </c>
      <c r="AG416">
        <v>4</v>
      </c>
      <c r="AH416" t="s">
        <v>84</v>
      </c>
      <c r="AI416">
        <v>0</v>
      </c>
    </row>
    <row r="417" spans="1:35" x14ac:dyDescent="0.45">
      <c r="A417">
        <v>416</v>
      </c>
      <c r="B417" t="s">
        <v>615</v>
      </c>
      <c r="C417" t="s">
        <v>621</v>
      </c>
      <c r="D417" t="s">
        <v>617</v>
      </c>
      <c r="E417">
        <v>5</v>
      </c>
      <c r="F417">
        <v>-5.5019999999999998</v>
      </c>
      <c r="G417">
        <v>-29.456</v>
      </c>
      <c r="H417">
        <v>16220</v>
      </c>
      <c r="I417">
        <v>0</v>
      </c>
      <c r="J417">
        <v>1</v>
      </c>
      <c r="K417" t="s">
        <v>55</v>
      </c>
      <c r="L417" t="s">
        <v>55</v>
      </c>
      <c r="M417" t="s">
        <v>56</v>
      </c>
      <c r="N417">
        <v>1643465830.4100001</v>
      </c>
      <c r="O417">
        <v>0.20200000000000001</v>
      </c>
      <c r="P417">
        <v>0.434</v>
      </c>
      <c r="Q417">
        <v>54.362000000000002</v>
      </c>
      <c r="R417">
        <v>1E-3</v>
      </c>
      <c r="S417">
        <v>1E-3</v>
      </c>
      <c r="T417">
        <v>1.3069999999999999</v>
      </c>
      <c r="U417">
        <v>90.290999999999997</v>
      </c>
      <c r="V417">
        <v>24.408999999999999</v>
      </c>
      <c r="W417">
        <v>2.3140000000000001</v>
      </c>
      <c r="X417">
        <v>86.900999999999996</v>
      </c>
      <c r="Y417">
        <v>0.90600000000000003</v>
      </c>
      <c r="Z417">
        <v>1.123</v>
      </c>
      <c r="AA417">
        <v>0</v>
      </c>
      <c r="AB417">
        <v>0</v>
      </c>
      <c r="AC417">
        <v>1</v>
      </c>
      <c r="AD417">
        <v>39.375</v>
      </c>
      <c r="AE417">
        <v>1</v>
      </c>
      <c r="AF417">
        <v>56</v>
      </c>
      <c r="AG417">
        <v>4</v>
      </c>
      <c r="AH417" t="s">
        <v>84</v>
      </c>
      <c r="AI417">
        <v>0</v>
      </c>
    </row>
    <row r="418" spans="1:35" x14ac:dyDescent="0.45">
      <c r="A418">
        <v>417</v>
      </c>
      <c r="B418" t="s">
        <v>615</v>
      </c>
      <c r="C418" t="s">
        <v>622</v>
      </c>
      <c r="D418" t="s">
        <v>617</v>
      </c>
      <c r="E418">
        <v>6</v>
      </c>
      <c r="F418">
        <v>-5.5039999999999996</v>
      </c>
      <c r="G418">
        <v>-29.419</v>
      </c>
      <c r="H418">
        <v>16184</v>
      </c>
      <c r="I418">
        <v>0</v>
      </c>
      <c r="J418">
        <v>1</v>
      </c>
      <c r="K418" t="s">
        <v>55</v>
      </c>
      <c r="L418" t="s">
        <v>55</v>
      </c>
      <c r="M418" t="s">
        <v>56</v>
      </c>
      <c r="N418">
        <v>1643466366.24</v>
      </c>
      <c r="O418">
        <v>0.20699999999999999</v>
      </c>
      <c r="P418">
        <v>0.40600000000000003</v>
      </c>
      <c r="Q418">
        <v>53.191000000000003</v>
      </c>
      <c r="R418">
        <v>1E-3</v>
      </c>
      <c r="S418">
        <v>0</v>
      </c>
      <c r="T418">
        <v>1.2689999999999999</v>
      </c>
      <c r="U418">
        <v>89.941999999999993</v>
      </c>
      <c r="V418">
        <v>24.675000000000001</v>
      </c>
      <c r="W418">
        <v>2.3420000000000001</v>
      </c>
      <c r="X418">
        <v>86.207999999999998</v>
      </c>
      <c r="Y418">
        <v>0.91700000000000004</v>
      </c>
      <c r="Z418">
        <v>1.234</v>
      </c>
      <c r="AA418">
        <v>0</v>
      </c>
      <c r="AB418">
        <v>0</v>
      </c>
      <c r="AC418">
        <v>1</v>
      </c>
      <c r="AD418">
        <v>39.311999999999998</v>
      </c>
      <c r="AE418">
        <v>1</v>
      </c>
      <c r="AF418">
        <v>56</v>
      </c>
      <c r="AG418">
        <v>4</v>
      </c>
      <c r="AH418" t="s">
        <v>84</v>
      </c>
      <c r="AI418">
        <v>0</v>
      </c>
    </row>
    <row r="419" spans="1:35" x14ac:dyDescent="0.45">
      <c r="A419">
        <v>418</v>
      </c>
      <c r="B419" t="s">
        <v>623</v>
      </c>
      <c r="C419" t="s">
        <v>624</v>
      </c>
      <c r="D419" t="s">
        <v>625</v>
      </c>
      <c r="E419">
        <v>1</v>
      </c>
      <c r="F419">
        <v>-5.8120000000000003</v>
      </c>
      <c r="G419">
        <v>-35.856999999999999</v>
      </c>
      <c r="H419">
        <v>16166</v>
      </c>
      <c r="I419">
        <v>-1</v>
      </c>
      <c r="J419">
        <v>1</v>
      </c>
      <c r="K419" t="s">
        <v>55</v>
      </c>
      <c r="L419" t="s">
        <v>55</v>
      </c>
      <c r="M419" t="s">
        <v>56</v>
      </c>
      <c r="N419">
        <v>1643466903.4100001</v>
      </c>
      <c r="O419">
        <v>0.216</v>
      </c>
      <c r="P419">
        <v>0.45600000000000002</v>
      </c>
      <c r="Q419">
        <v>53.470999999999997</v>
      </c>
      <c r="R419">
        <v>1E-3</v>
      </c>
      <c r="S419">
        <v>0</v>
      </c>
      <c r="T419">
        <v>1.2869999999999999</v>
      </c>
      <c r="U419">
        <v>90.045000000000002</v>
      </c>
      <c r="V419">
        <v>24.718</v>
      </c>
      <c r="W419">
        <v>2.2589999999999999</v>
      </c>
      <c r="X419">
        <v>84.835999999999999</v>
      </c>
      <c r="Y419">
        <v>0.90700000000000003</v>
      </c>
      <c r="Z419">
        <v>0.88</v>
      </c>
      <c r="AA419">
        <v>0</v>
      </c>
      <c r="AB419">
        <v>0</v>
      </c>
      <c r="AC419">
        <v>1</v>
      </c>
      <c r="AD419">
        <v>39.438000000000002</v>
      </c>
      <c r="AE419">
        <v>1</v>
      </c>
      <c r="AF419">
        <v>57</v>
      </c>
      <c r="AG419">
        <v>4</v>
      </c>
      <c r="AH419" t="s">
        <v>84</v>
      </c>
      <c r="AI419">
        <v>0</v>
      </c>
    </row>
    <row r="420" spans="1:35" x14ac:dyDescent="0.45">
      <c r="A420">
        <v>419</v>
      </c>
      <c r="B420" t="s">
        <v>623</v>
      </c>
      <c r="C420" t="s">
        <v>626</v>
      </c>
      <c r="D420" t="s">
        <v>625</v>
      </c>
      <c r="E420">
        <v>2</v>
      </c>
      <c r="F420">
        <v>-5.8609999999999998</v>
      </c>
      <c r="G420">
        <v>-36.363</v>
      </c>
      <c r="H420">
        <v>16169</v>
      </c>
      <c r="I420">
        <v>-1</v>
      </c>
      <c r="J420">
        <v>1</v>
      </c>
      <c r="K420" t="s">
        <v>55</v>
      </c>
      <c r="L420" t="s">
        <v>55</v>
      </c>
      <c r="M420" t="s">
        <v>56</v>
      </c>
      <c r="N420">
        <v>1643467439.79</v>
      </c>
      <c r="O420">
        <v>0.20499999999999999</v>
      </c>
      <c r="P420">
        <v>0.42399999999999999</v>
      </c>
      <c r="Q420">
        <v>54.509</v>
      </c>
      <c r="R420">
        <v>1E-3</v>
      </c>
      <c r="S420">
        <v>0</v>
      </c>
      <c r="T420">
        <v>1.3109999999999999</v>
      </c>
      <c r="U420">
        <v>89.984999999999999</v>
      </c>
      <c r="V420">
        <v>23.986000000000001</v>
      </c>
      <c r="W420">
        <v>2.3719999999999999</v>
      </c>
      <c r="X420">
        <v>87.603999999999999</v>
      </c>
      <c r="Y420">
        <v>0.91600000000000004</v>
      </c>
      <c r="Z420">
        <v>1.3160000000000001</v>
      </c>
      <c r="AA420">
        <v>0</v>
      </c>
      <c r="AB420">
        <v>0</v>
      </c>
      <c r="AC420">
        <v>1</v>
      </c>
      <c r="AD420">
        <v>39.375</v>
      </c>
      <c r="AE420">
        <v>1</v>
      </c>
      <c r="AF420">
        <v>57</v>
      </c>
      <c r="AG420">
        <v>4</v>
      </c>
      <c r="AH420" t="s">
        <v>84</v>
      </c>
      <c r="AI420">
        <v>0</v>
      </c>
    </row>
    <row r="421" spans="1:35" x14ac:dyDescent="0.45">
      <c r="A421">
        <v>420</v>
      </c>
      <c r="B421" t="s">
        <v>623</v>
      </c>
      <c r="C421" t="s">
        <v>627</v>
      </c>
      <c r="D421" t="s">
        <v>625</v>
      </c>
      <c r="E421">
        <v>3</v>
      </c>
      <c r="F421">
        <v>-5.8639999999999999</v>
      </c>
      <c r="G421">
        <v>-36.578000000000003</v>
      </c>
      <c r="H421">
        <v>16153</v>
      </c>
      <c r="I421">
        <v>-1</v>
      </c>
      <c r="J421">
        <v>1</v>
      </c>
      <c r="K421" t="s">
        <v>55</v>
      </c>
      <c r="L421" t="s">
        <v>55</v>
      </c>
      <c r="M421" t="s">
        <v>56</v>
      </c>
      <c r="N421">
        <v>1643467975.5999999</v>
      </c>
      <c r="O421">
        <v>0.19900000000000001</v>
      </c>
      <c r="P421">
        <v>0.39700000000000002</v>
      </c>
      <c r="Q421">
        <v>52.956000000000003</v>
      </c>
      <c r="R421">
        <v>1E-3</v>
      </c>
      <c r="S421">
        <v>0</v>
      </c>
      <c r="T421">
        <v>1.272</v>
      </c>
      <c r="U421">
        <v>89.781000000000006</v>
      </c>
      <c r="V421">
        <v>24.251999999999999</v>
      </c>
      <c r="W421">
        <v>2.351</v>
      </c>
      <c r="X421">
        <v>87.138999999999996</v>
      </c>
      <c r="Y421">
        <v>0.90300000000000002</v>
      </c>
      <c r="Z421">
        <v>1.248</v>
      </c>
      <c r="AA421">
        <v>0</v>
      </c>
      <c r="AB421">
        <v>0</v>
      </c>
      <c r="AC421">
        <v>1</v>
      </c>
      <c r="AD421">
        <v>39.375</v>
      </c>
      <c r="AE421">
        <v>1</v>
      </c>
      <c r="AF421">
        <v>57</v>
      </c>
      <c r="AG421">
        <v>4</v>
      </c>
      <c r="AH421" t="s">
        <v>84</v>
      </c>
      <c r="AI421">
        <v>0</v>
      </c>
    </row>
    <row r="422" spans="1:35" x14ac:dyDescent="0.45">
      <c r="A422">
        <v>421</v>
      </c>
      <c r="B422" t="s">
        <v>623</v>
      </c>
      <c r="C422" t="s">
        <v>628</v>
      </c>
      <c r="D422" t="s">
        <v>625</v>
      </c>
      <c r="E422">
        <v>4</v>
      </c>
      <c r="F422">
        <v>-5.8639999999999999</v>
      </c>
      <c r="G422">
        <v>-36.637</v>
      </c>
      <c r="H422">
        <v>16168</v>
      </c>
      <c r="I422">
        <v>0</v>
      </c>
      <c r="J422">
        <v>1</v>
      </c>
      <c r="K422" t="s">
        <v>55</v>
      </c>
      <c r="L422" t="s">
        <v>55</v>
      </c>
      <c r="M422" t="s">
        <v>56</v>
      </c>
      <c r="N422">
        <v>1643468512.27</v>
      </c>
      <c r="O422">
        <v>0.20399999999999999</v>
      </c>
      <c r="P422">
        <v>0.40200000000000002</v>
      </c>
      <c r="Q422">
        <v>53.357999999999997</v>
      </c>
      <c r="R422">
        <v>1E-3</v>
      </c>
      <c r="S422">
        <v>1E-3</v>
      </c>
      <c r="T422">
        <v>1.29</v>
      </c>
      <c r="U422">
        <v>90.16</v>
      </c>
      <c r="V422">
        <v>24.302</v>
      </c>
      <c r="W422">
        <v>2.2890000000000001</v>
      </c>
      <c r="X422">
        <v>85.569000000000003</v>
      </c>
      <c r="Y422">
        <v>0.90800000000000003</v>
      </c>
      <c r="Z422">
        <v>0.92300000000000004</v>
      </c>
      <c r="AA422">
        <v>0</v>
      </c>
      <c r="AB422">
        <v>0</v>
      </c>
      <c r="AC422">
        <v>1</v>
      </c>
      <c r="AD422">
        <v>39.375</v>
      </c>
      <c r="AE422">
        <v>1</v>
      </c>
      <c r="AF422">
        <v>57</v>
      </c>
      <c r="AG422">
        <v>4</v>
      </c>
      <c r="AH422" t="s">
        <v>84</v>
      </c>
      <c r="AI422">
        <v>0</v>
      </c>
    </row>
    <row r="423" spans="1:35" x14ac:dyDescent="0.45">
      <c r="A423">
        <v>422</v>
      </c>
      <c r="B423" t="s">
        <v>623</v>
      </c>
      <c r="C423" t="s">
        <v>629</v>
      </c>
      <c r="D423" t="s">
        <v>625</v>
      </c>
      <c r="E423">
        <v>5</v>
      </c>
      <c r="F423">
        <v>-5.8570000000000002</v>
      </c>
      <c r="G423">
        <v>-36.631999999999998</v>
      </c>
      <c r="H423">
        <v>16164</v>
      </c>
      <c r="I423">
        <v>0</v>
      </c>
      <c r="J423">
        <v>1</v>
      </c>
      <c r="K423" t="s">
        <v>55</v>
      </c>
      <c r="L423" t="s">
        <v>55</v>
      </c>
      <c r="M423" t="s">
        <v>56</v>
      </c>
      <c r="N423">
        <v>1643469048.73</v>
      </c>
      <c r="O423">
        <v>0.21199999999999999</v>
      </c>
      <c r="P423">
        <v>0.45700000000000002</v>
      </c>
      <c r="Q423">
        <v>53.469000000000001</v>
      </c>
      <c r="R423">
        <v>0</v>
      </c>
      <c r="S423">
        <v>0</v>
      </c>
      <c r="T423">
        <v>1.284</v>
      </c>
      <c r="U423">
        <v>89.873999999999995</v>
      </c>
      <c r="V423">
        <v>24.518999999999998</v>
      </c>
      <c r="W423">
        <v>2.3570000000000002</v>
      </c>
      <c r="X423">
        <v>86.438999999999993</v>
      </c>
      <c r="Y423">
        <v>0.90500000000000003</v>
      </c>
      <c r="Z423">
        <v>1.22</v>
      </c>
      <c r="AA423">
        <v>0</v>
      </c>
      <c r="AB423">
        <v>0</v>
      </c>
      <c r="AC423">
        <v>1</v>
      </c>
      <c r="AD423">
        <v>39.311999999999998</v>
      </c>
      <c r="AE423">
        <v>1</v>
      </c>
      <c r="AF423">
        <v>57</v>
      </c>
      <c r="AG423">
        <v>4</v>
      </c>
      <c r="AH423" t="s">
        <v>84</v>
      </c>
      <c r="AI423">
        <v>0</v>
      </c>
    </row>
    <row r="424" spans="1:35" x14ac:dyDescent="0.45">
      <c r="A424">
        <v>423</v>
      </c>
      <c r="B424" t="s">
        <v>623</v>
      </c>
      <c r="C424" t="s">
        <v>630</v>
      </c>
      <c r="D424" t="s">
        <v>625</v>
      </c>
      <c r="E424">
        <v>6</v>
      </c>
      <c r="F424">
        <v>-5.8609999999999998</v>
      </c>
      <c r="G424">
        <v>-36.549999999999997</v>
      </c>
      <c r="H424">
        <v>16163</v>
      </c>
      <c r="I424">
        <v>0</v>
      </c>
      <c r="J424">
        <v>1</v>
      </c>
      <c r="K424" t="s">
        <v>55</v>
      </c>
      <c r="L424" t="s">
        <v>55</v>
      </c>
      <c r="M424" t="s">
        <v>56</v>
      </c>
      <c r="N424">
        <v>1643469585.28</v>
      </c>
      <c r="O424">
        <v>0.215</v>
      </c>
      <c r="P424">
        <v>0.40100000000000002</v>
      </c>
      <c r="Q424">
        <v>53.32</v>
      </c>
      <c r="R424">
        <v>1E-3</v>
      </c>
      <c r="S424">
        <v>1E-3</v>
      </c>
      <c r="T424">
        <v>1.286</v>
      </c>
      <c r="U424">
        <v>89.825000000000003</v>
      </c>
      <c r="V424">
        <v>24.542999999999999</v>
      </c>
      <c r="W424">
        <v>2.3540000000000001</v>
      </c>
      <c r="X424">
        <v>86.444999999999993</v>
      </c>
      <c r="Y424">
        <v>0.90600000000000003</v>
      </c>
      <c r="Z424">
        <v>1.1850000000000001</v>
      </c>
      <c r="AA424">
        <v>0</v>
      </c>
      <c r="AB424">
        <v>0</v>
      </c>
      <c r="AC424">
        <v>1</v>
      </c>
      <c r="AD424">
        <v>39.311999999999998</v>
      </c>
      <c r="AE424">
        <v>1</v>
      </c>
      <c r="AF424">
        <v>57</v>
      </c>
      <c r="AG424">
        <v>4</v>
      </c>
      <c r="AH424" t="s">
        <v>84</v>
      </c>
      <c r="AI424">
        <v>0</v>
      </c>
    </row>
    <row r="425" spans="1:35" x14ac:dyDescent="0.45">
      <c r="A425">
        <v>424</v>
      </c>
      <c r="B425" t="s">
        <v>631</v>
      </c>
      <c r="C425" t="s">
        <v>632</v>
      </c>
      <c r="D425" t="s">
        <v>633</v>
      </c>
      <c r="E425">
        <v>1</v>
      </c>
      <c r="F425">
        <v>-5.944</v>
      </c>
      <c r="G425">
        <v>-36.97</v>
      </c>
      <c r="H425">
        <v>16194</v>
      </c>
      <c r="I425">
        <v>-1</v>
      </c>
      <c r="J425">
        <v>1</v>
      </c>
      <c r="K425" t="s">
        <v>55</v>
      </c>
      <c r="L425" t="s">
        <v>55</v>
      </c>
      <c r="M425" t="s">
        <v>56</v>
      </c>
      <c r="N425">
        <v>1643470123.1300001</v>
      </c>
      <c r="O425">
        <v>0.20899999999999999</v>
      </c>
      <c r="P425">
        <v>0.39</v>
      </c>
      <c r="Q425">
        <v>54.271999999999998</v>
      </c>
      <c r="R425">
        <v>0</v>
      </c>
      <c r="S425">
        <v>1E-3</v>
      </c>
      <c r="T425">
        <v>1.31</v>
      </c>
      <c r="U425">
        <v>89.89</v>
      </c>
      <c r="V425">
        <v>24.62</v>
      </c>
      <c r="W425">
        <v>2.3540000000000001</v>
      </c>
      <c r="X425">
        <v>87.236999999999995</v>
      </c>
      <c r="Y425">
        <v>0.90800000000000003</v>
      </c>
      <c r="Z425">
        <v>1.2989999999999999</v>
      </c>
      <c r="AA425">
        <v>0</v>
      </c>
      <c r="AB425">
        <v>0</v>
      </c>
      <c r="AC425">
        <v>1</v>
      </c>
      <c r="AD425">
        <v>39.375</v>
      </c>
      <c r="AE425">
        <v>1</v>
      </c>
      <c r="AF425">
        <v>58</v>
      </c>
      <c r="AG425">
        <v>4</v>
      </c>
      <c r="AH425" t="s">
        <v>84</v>
      </c>
      <c r="AI425">
        <v>0</v>
      </c>
    </row>
    <row r="426" spans="1:35" x14ac:dyDescent="0.45">
      <c r="A426">
        <v>425</v>
      </c>
      <c r="B426" t="s">
        <v>631</v>
      </c>
      <c r="C426" t="s">
        <v>634</v>
      </c>
      <c r="D426" t="s">
        <v>633</v>
      </c>
      <c r="E426">
        <v>2</v>
      </c>
      <c r="F426">
        <v>-5.9539999999999997</v>
      </c>
      <c r="G426">
        <v>-36.959000000000003</v>
      </c>
      <c r="H426">
        <v>16171</v>
      </c>
      <c r="I426">
        <v>-1</v>
      </c>
      <c r="J426">
        <v>1</v>
      </c>
      <c r="K426" t="s">
        <v>55</v>
      </c>
      <c r="L426" t="s">
        <v>55</v>
      </c>
      <c r="M426" t="s">
        <v>56</v>
      </c>
      <c r="N426">
        <v>1643470659.96</v>
      </c>
      <c r="O426">
        <v>0.20499999999999999</v>
      </c>
      <c r="P426">
        <v>0.42</v>
      </c>
      <c r="Q426">
        <v>53.88</v>
      </c>
      <c r="R426">
        <v>1E-3</v>
      </c>
      <c r="S426">
        <v>0</v>
      </c>
      <c r="T426">
        <v>1.288</v>
      </c>
      <c r="U426">
        <v>89.741</v>
      </c>
      <c r="V426">
        <v>24.379000000000001</v>
      </c>
      <c r="W426">
        <v>2.3919999999999999</v>
      </c>
      <c r="X426">
        <v>87.914000000000001</v>
      </c>
      <c r="Y426">
        <v>0.91200000000000003</v>
      </c>
      <c r="Z426">
        <v>1.3440000000000001</v>
      </c>
      <c r="AA426">
        <v>0</v>
      </c>
      <c r="AB426">
        <v>0</v>
      </c>
      <c r="AC426">
        <v>1</v>
      </c>
      <c r="AD426">
        <v>39.375</v>
      </c>
      <c r="AE426">
        <v>1</v>
      </c>
      <c r="AF426">
        <v>58</v>
      </c>
      <c r="AG426">
        <v>4</v>
      </c>
      <c r="AH426" t="s">
        <v>84</v>
      </c>
      <c r="AI426">
        <v>0</v>
      </c>
    </row>
    <row r="427" spans="1:35" x14ac:dyDescent="0.45">
      <c r="A427">
        <v>426</v>
      </c>
      <c r="B427" t="s">
        <v>631</v>
      </c>
      <c r="C427" t="s">
        <v>635</v>
      </c>
      <c r="D427" t="s">
        <v>633</v>
      </c>
      <c r="E427">
        <v>3</v>
      </c>
      <c r="F427">
        <v>-5.9809999999999999</v>
      </c>
      <c r="G427">
        <v>-37.043999999999997</v>
      </c>
      <c r="H427">
        <v>16147</v>
      </c>
      <c r="I427">
        <v>-1</v>
      </c>
      <c r="J427">
        <v>1</v>
      </c>
      <c r="K427" t="s">
        <v>55</v>
      </c>
      <c r="L427" t="s">
        <v>55</v>
      </c>
      <c r="M427" t="s">
        <v>56</v>
      </c>
      <c r="N427">
        <v>1643471196.29</v>
      </c>
      <c r="O427">
        <v>0.19400000000000001</v>
      </c>
      <c r="P427">
        <v>0.36099999999999999</v>
      </c>
      <c r="Q427">
        <v>53.6</v>
      </c>
      <c r="R427">
        <v>1E-3</v>
      </c>
      <c r="S427">
        <v>0</v>
      </c>
      <c r="T427">
        <v>1.2889999999999999</v>
      </c>
      <c r="U427">
        <v>89.957999999999998</v>
      </c>
      <c r="V427">
        <v>24.273</v>
      </c>
      <c r="W427">
        <v>2.2970000000000002</v>
      </c>
      <c r="X427">
        <v>86.016000000000005</v>
      </c>
      <c r="Y427">
        <v>0.90500000000000003</v>
      </c>
      <c r="Z427">
        <v>1.077</v>
      </c>
      <c r="AA427">
        <v>0</v>
      </c>
      <c r="AB427">
        <v>0</v>
      </c>
      <c r="AC427">
        <v>1</v>
      </c>
      <c r="AD427">
        <v>39.438000000000002</v>
      </c>
      <c r="AE427">
        <v>1</v>
      </c>
      <c r="AF427">
        <v>58</v>
      </c>
      <c r="AG427">
        <v>4</v>
      </c>
      <c r="AH427" t="s">
        <v>84</v>
      </c>
      <c r="AI427">
        <v>0</v>
      </c>
    </row>
    <row r="428" spans="1:35" x14ac:dyDescent="0.45">
      <c r="A428">
        <v>427</v>
      </c>
      <c r="B428" t="s">
        <v>631</v>
      </c>
      <c r="C428" t="s">
        <v>636</v>
      </c>
      <c r="D428" t="s">
        <v>633</v>
      </c>
      <c r="E428">
        <v>4</v>
      </c>
      <c r="F428">
        <v>-5.952</v>
      </c>
      <c r="G428">
        <v>-36.93</v>
      </c>
      <c r="H428">
        <v>16190</v>
      </c>
      <c r="I428">
        <v>0</v>
      </c>
      <c r="J428">
        <v>1</v>
      </c>
      <c r="K428" t="s">
        <v>55</v>
      </c>
      <c r="L428" t="s">
        <v>55</v>
      </c>
      <c r="M428" t="s">
        <v>56</v>
      </c>
      <c r="N428">
        <v>1643471733.02</v>
      </c>
      <c r="O428">
        <v>0.192</v>
      </c>
      <c r="P428">
        <v>0.377</v>
      </c>
      <c r="Q428">
        <v>53.411000000000001</v>
      </c>
      <c r="R428">
        <v>0</v>
      </c>
      <c r="S428">
        <v>0</v>
      </c>
      <c r="T428">
        <v>1.2729999999999999</v>
      </c>
      <c r="U428">
        <v>90.147999999999996</v>
      </c>
      <c r="V428">
        <v>25.029</v>
      </c>
      <c r="W428">
        <v>2.2519999999999998</v>
      </c>
      <c r="X428">
        <v>84.397999999999996</v>
      </c>
      <c r="Y428">
        <v>0.90900000000000003</v>
      </c>
      <c r="Z428">
        <v>0.82199999999999995</v>
      </c>
      <c r="AA428">
        <v>0</v>
      </c>
      <c r="AB428">
        <v>0</v>
      </c>
      <c r="AC428">
        <v>1</v>
      </c>
      <c r="AD428">
        <v>39.375</v>
      </c>
      <c r="AE428">
        <v>1</v>
      </c>
      <c r="AF428">
        <v>58</v>
      </c>
      <c r="AG428">
        <v>4</v>
      </c>
      <c r="AH428" t="s">
        <v>84</v>
      </c>
      <c r="AI428">
        <v>0</v>
      </c>
    </row>
    <row r="429" spans="1:35" x14ac:dyDescent="0.45">
      <c r="A429">
        <v>428</v>
      </c>
      <c r="B429" t="s">
        <v>631</v>
      </c>
      <c r="C429" t="s">
        <v>637</v>
      </c>
      <c r="D429" t="s">
        <v>633</v>
      </c>
      <c r="E429">
        <v>5</v>
      </c>
      <c r="F429">
        <v>-5.944</v>
      </c>
      <c r="G429">
        <v>-37.024000000000001</v>
      </c>
      <c r="H429">
        <v>16133</v>
      </c>
      <c r="I429">
        <v>0</v>
      </c>
      <c r="J429">
        <v>1</v>
      </c>
      <c r="K429" t="s">
        <v>55</v>
      </c>
      <c r="L429" t="s">
        <v>55</v>
      </c>
      <c r="M429" t="s">
        <v>56</v>
      </c>
      <c r="N429">
        <v>1643472268.72</v>
      </c>
      <c r="O429">
        <v>0.22800000000000001</v>
      </c>
      <c r="P429">
        <v>0.46200000000000002</v>
      </c>
      <c r="Q429">
        <v>52.323</v>
      </c>
      <c r="R429">
        <v>1E-3</v>
      </c>
      <c r="S429">
        <v>1E-3</v>
      </c>
      <c r="T429">
        <v>1.266</v>
      </c>
      <c r="U429">
        <v>89.781000000000006</v>
      </c>
      <c r="V429">
        <v>24.905999999999999</v>
      </c>
      <c r="W429">
        <v>2.286</v>
      </c>
      <c r="X429">
        <v>84.376999999999995</v>
      </c>
      <c r="Y429">
        <v>0.90200000000000002</v>
      </c>
      <c r="Z429">
        <v>0.92200000000000004</v>
      </c>
      <c r="AA429">
        <v>0</v>
      </c>
      <c r="AB429">
        <v>0</v>
      </c>
      <c r="AC429">
        <v>1</v>
      </c>
      <c r="AD429">
        <v>39.375</v>
      </c>
      <c r="AE429">
        <v>1</v>
      </c>
      <c r="AF429">
        <v>58</v>
      </c>
      <c r="AG429">
        <v>4</v>
      </c>
      <c r="AH429" t="s">
        <v>84</v>
      </c>
      <c r="AI429">
        <v>0</v>
      </c>
    </row>
    <row r="430" spans="1:35" x14ac:dyDescent="0.45">
      <c r="A430">
        <v>429</v>
      </c>
      <c r="B430" t="s">
        <v>631</v>
      </c>
      <c r="C430" t="s">
        <v>638</v>
      </c>
      <c r="D430" t="s">
        <v>633</v>
      </c>
      <c r="E430">
        <v>6</v>
      </c>
      <c r="F430">
        <v>-5.9589999999999996</v>
      </c>
      <c r="G430">
        <v>-37.027999999999999</v>
      </c>
      <c r="H430">
        <v>16132</v>
      </c>
      <c r="I430">
        <v>0</v>
      </c>
      <c r="J430">
        <v>1</v>
      </c>
      <c r="K430" t="s">
        <v>55</v>
      </c>
      <c r="L430" t="s">
        <v>55</v>
      </c>
      <c r="M430" t="s">
        <v>56</v>
      </c>
      <c r="N430">
        <v>1643472806.6800001</v>
      </c>
      <c r="O430">
        <v>0.214</v>
      </c>
      <c r="P430">
        <v>0.43</v>
      </c>
      <c r="Q430">
        <v>54.140999999999998</v>
      </c>
      <c r="R430">
        <v>1E-3</v>
      </c>
      <c r="S430">
        <v>2E-3</v>
      </c>
      <c r="T430">
        <v>1.3029999999999999</v>
      </c>
      <c r="U430">
        <v>89.942999999999998</v>
      </c>
      <c r="V430">
        <v>24.097999999999999</v>
      </c>
      <c r="W430">
        <v>2.3039999999999998</v>
      </c>
      <c r="X430">
        <v>85.903000000000006</v>
      </c>
      <c r="Y430">
        <v>0.91</v>
      </c>
      <c r="Z430">
        <v>1.115</v>
      </c>
      <c r="AA430">
        <v>0</v>
      </c>
      <c r="AB430">
        <v>0</v>
      </c>
      <c r="AC430">
        <v>1</v>
      </c>
      <c r="AD430">
        <v>39.375</v>
      </c>
      <c r="AE430">
        <v>1</v>
      </c>
      <c r="AF430">
        <v>58</v>
      </c>
      <c r="AG430">
        <v>4</v>
      </c>
      <c r="AH430" t="s">
        <v>84</v>
      </c>
      <c r="AI430">
        <v>0</v>
      </c>
    </row>
    <row r="431" spans="1:35" x14ac:dyDescent="0.45">
      <c r="A431">
        <v>430</v>
      </c>
      <c r="B431" t="s">
        <v>639</v>
      </c>
      <c r="C431" t="s">
        <v>640</v>
      </c>
      <c r="D431" t="s">
        <v>641</v>
      </c>
      <c r="E431">
        <v>1</v>
      </c>
      <c r="F431">
        <v>-5.7910000000000004</v>
      </c>
      <c r="G431">
        <v>-36.106000000000002</v>
      </c>
      <c r="H431">
        <v>16149</v>
      </c>
      <c r="I431">
        <v>-1</v>
      </c>
      <c r="J431">
        <v>1</v>
      </c>
      <c r="K431" t="s">
        <v>55</v>
      </c>
      <c r="L431" t="s">
        <v>55</v>
      </c>
      <c r="M431" t="s">
        <v>56</v>
      </c>
      <c r="N431">
        <v>1643473342.3599999</v>
      </c>
      <c r="O431">
        <v>0.17799999999999999</v>
      </c>
      <c r="P431">
        <v>0.44400000000000001</v>
      </c>
      <c r="Q431">
        <v>53.405000000000001</v>
      </c>
      <c r="R431">
        <v>1E-3</v>
      </c>
      <c r="S431">
        <v>0</v>
      </c>
      <c r="T431">
        <v>1.282</v>
      </c>
      <c r="U431">
        <v>89.864000000000004</v>
      </c>
      <c r="V431">
        <v>24.715</v>
      </c>
      <c r="W431">
        <v>2.3140000000000001</v>
      </c>
      <c r="X431">
        <v>85.424000000000007</v>
      </c>
      <c r="Y431">
        <v>0.90100000000000002</v>
      </c>
      <c r="Z431">
        <v>1</v>
      </c>
      <c r="AA431">
        <v>0</v>
      </c>
      <c r="AB431">
        <v>0</v>
      </c>
      <c r="AC431">
        <v>1</v>
      </c>
      <c r="AD431">
        <v>39.438000000000002</v>
      </c>
      <c r="AE431">
        <v>1</v>
      </c>
      <c r="AF431">
        <v>59</v>
      </c>
      <c r="AG431">
        <v>4</v>
      </c>
      <c r="AH431" t="s">
        <v>84</v>
      </c>
      <c r="AI431">
        <v>0</v>
      </c>
    </row>
    <row r="432" spans="1:35" x14ac:dyDescent="0.45">
      <c r="A432">
        <v>431</v>
      </c>
      <c r="B432" t="s">
        <v>639</v>
      </c>
      <c r="C432" t="s">
        <v>642</v>
      </c>
      <c r="D432" t="s">
        <v>641</v>
      </c>
      <c r="E432">
        <v>2</v>
      </c>
      <c r="F432">
        <v>-5.8159999999999998</v>
      </c>
      <c r="G432">
        <v>-36.033000000000001</v>
      </c>
      <c r="H432">
        <v>16160</v>
      </c>
      <c r="I432">
        <v>-1</v>
      </c>
      <c r="J432">
        <v>1</v>
      </c>
      <c r="K432" t="s">
        <v>55</v>
      </c>
      <c r="L432" t="s">
        <v>55</v>
      </c>
      <c r="M432" t="s">
        <v>56</v>
      </c>
      <c r="N432">
        <v>1643473879.96</v>
      </c>
      <c r="O432">
        <v>0.19400000000000001</v>
      </c>
      <c r="P432">
        <v>0.42</v>
      </c>
      <c r="Q432">
        <v>53.597000000000001</v>
      </c>
      <c r="R432">
        <v>1E-3</v>
      </c>
      <c r="S432">
        <v>1E-3</v>
      </c>
      <c r="T432">
        <v>1.29</v>
      </c>
      <c r="U432">
        <v>90.022000000000006</v>
      </c>
      <c r="V432">
        <v>24.427</v>
      </c>
      <c r="W432">
        <v>2.3010000000000002</v>
      </c>
      <c r="X432">
        <v>85.691000000000003</v>
      </c>
      <c r="Y432">
        <v>0.89800000000000002</v>
      </c>
      <c r="Z432">
        <v>0.98199999999999998</v>
      </c>
      <c r="AA432">
        <v>0</v>
      </c>
      <c r="AB432">
        <v>0</v>
      </c>
      <c r="AC432">
        <v>1</v>
      </c>
      <c r="AD432">
        <v>39.5</v>
      </c>
      <c r="AE432">
        <v>1</v>
      </c>
      <c r="AF432">
        <v>59</v>
      </c>
      <c r="AG432">
        <v>4</v>
      </c>
      <c r="AH432" t="s">
        <v>84</v>
      </c>
      <c r="AI432">
        <v>0</v>
      </c>
    </row>
    <row r="433" spans="1:35" x14ac:dyDescent="0.45">
      <c r="A433">
        <v>432</v>
      </c>
      <c r="B433" t="s">
        <v>639</v>
      </c>
      <c r="C433" t="s">
        <v>643</v>
      </c>
      <c r="D433" t="s">
        <v>641</v>
      </c>
      <c r="E433">
        <v>3</v>
      </c>
      <c r="F433">
        <v>-5.774</v>
      </c>
      <c r="G433">
        <v>-35.927999999999997</v>
      </c>
      <c r="H433">
        <v>16178</v>
      </c>
      <c r="I433">
        <v>-1</v>
      </c>
      <c r="J433">
        <v>1</v>
      </c>
      <c r="K433" t="s">
        <v>55</v>
      </c>
      <c r="L433" t="s">
        <v>55</v>
      </c>
      <c r="M433" t="s">
        <v>56</v>
      </c>
      <c r="N433">
        <v>1643474415.72</v>
      </c>
      <c r="O433">
        <v>0.20599999999999999</v>
      </c>
      <c r="P433">
        <v>0.38900000000000001</v>
      </c>
      <c r="Q433">
        <v>53.670999999999999</v>
      </c>
      <c r="R433">
        <v>1E-3</v>
      </c>
      <c r="S433">
        <v>2E-3</v>
      </c>
      <c r="T433">
        <v>1.296</v>
      </c>
      <c r="U433">
        <v>90.091999999999999</v>
      </c>
      <c r="V433">
        <v>24.84</v>
      </c>
      <c r="W433">
        <v>2.254</v>
      </c>
      <c r="X433">
        <v>84.921999999999997</v>
      </c>
      <c r="Y433">
        <v>0.9</v>
      </c>
      <c r="Z433">
        <v>0.91900000000000004</v>
      </c>
      <c r="AA433">
        <v>0</v>
      </c>
      <c r="AB433">
        <v>0</v>
      </c>
      <c r="AC433">
        <v>1</v>
      </c>
      <c r="AD433">
        <v>39.5</v>
      </c>
      <c r="AE433">
        <v>1</v>
      </c>
      <c r="AF433">
        <v>59</v>
      </c>
      <c r="AG433">
        <v>4</v>
      </c>
      <c r="AH433" t="s">
        <v>84</v>
      </c>
      <c r="AI433">
        <v>0</v>
      </c>
    </row>
    <row r="434" spans="1:35" x14ac:dyDescent="0.45">
      <c r="A434">
        <v>433</v>
      </c>
      <c r="B434" t="s">
        <v>639</v>
      </c>
      <c r="C434" t="s">
        <v>644</v>
      </c>
      <c r="D434" t="s">
        <v>641</v>
      </c>
      <c r="E434">
        <v>4</v>
      </c>
      <c r="F434">
        <v>-5.8330000000000002</v>
      </c>
      <c r="G434">
        <v>-36.057000000000002</v>
      </c>
      <c r="H434">
        <v>16227</v>
      </c>
      <c r="I434">
        <v>0</v>
      </c>
      <c r="J434">
        <v>1</v>
      </c>
      <c r="K434" t="s">
        <v>55</v>
      </c>
      <c r="L434" t="s">
        <v>55</v>
      </c>
      <c r="M434" t="s">
        <v>56</v>
      </c>
      <c r="N434">
        <v>1643474952.28</v>
      </c>
      <c r="O434">
        <v>0.19700000000000001</v>
      </c>
      <c r="P434">
        <v>0.36499999999999999</v>
      </c>
      <c r="Q434">
        <v>54.235999999999997</v>
      </c>
      <c r="R434">
        <v>1E-3</v>
      </c>
      <c r="S434">
        <v>1E-3</v>
      </c>
      <c r="T434">
        <v>1.296</v>
      </c>
      <c r="U434">
        <v>90.24</v>
      </c>
      <c r="V434">
        <v>24.527999999999999</v>
      </c>
      <c r="W434">
        <v>2.3439999999999999</v>
      </c>
      <c r="X434">
        <v>87.144000000000005</v>
      </c>
      <c r="Y434">
        <v>0.90400000000000003</v>
      </c>
      <c r="Z434">
        <v>1.2070000000000001</v>
      </c>
      <c r="AA434">
        <v>0</v>
      </c>
      <c r="AB434">
        <v>0</v>
      </c>
      <c r="AC434">
        <v>1</v>
      </c>
      <c r="AD434">
        <v>39.5</v>
      </c>
      <c r="AE434">
        <v>1</v>
      </c>
      <c r="AF434">
        <v>59</v>
      </c>
      <c r="AG434">
        <v>4</v>
      </c>
      <c r="AH434" t="s">
        <v>84</v>
      </c>
      <c r="AI434">
        <v>0</v>
      </c>
    </row>
    <row r="435" spans="1:35" x14ac:dyDescent="0.45">
      <c r="A435">
        <v>434</v>
      </c>
      <c r="B435" t="s">
        <v>639</v>
      </c>
      <c r="C435" t="s">
        <v>645</v>
      </c>
      <c r="D435" t="s">
        <v>641</v>
      </c>
      <c r="E435">
        <v>5</v>
      </c>
      <c r="F435">
        <v>-5.8179999999999996</v>
      </c>
      <c r="G435">
        <v>-35.993000000000002</v>
      </c>
      <c r="H435">
        <v>16161</v>
      </c>
      <c r="I435">
        <v>0</v>
      </c>
      <c r="J435">
        <v>1</v>
      </c>
      <c r="K435" t="s">
        <v>55</v>
      </c>
      <c r="L435" t="s">
        <v>55</v>
      </c>
      <c r="M435" t="s">
        <v>56</v>
      </c>
      <c r="N435">
        <v>1643475488.4000001</v>
      </c>
      <c r="O435">
        <v>0.20699999999999999</v>
      </c>
      <c r="P435">
        <v>0.41299999999999998</v>
      </c>
      <c r="Q435">
        <v>52.845999999999997</v>
      </c>
      <c r="R435">
        <v>1E-3</v>
      </c>
      <c r="S435">
        <v>0</v>
      </c>
      <c r="T435">
        <v>1.278</v>
      </c>
      <c r="U435">
        <v>90.022000000000006</v>
      </c>
      <c r="V435">
        <v>24.199000000000002</v>
      </c>
      <c r="W435">
        <v>2.298</v>
      </c>
      <c r="X435">
        <v>86.569000000000003</v>
      </c>
      <c r="Y435">
        <v>0.89900000000000002</v>
      </c>
      <c r="Z435">
        <v>1.0900000000000001</v>
      </c>
      <c r="AA435">
        <v>0</v>
      </c>
      <c r="AB435">
        <v>0</v>
      </c>
      <c r="AC435">
        <v>1</v>
      </c>
      <c r="AD435">
        <v>39.5</v>
      </c>
      <c r="AE435">
        <v>1</v>
      </c>
      <c r="AF435">
        <v>59</v>
      </c>
      <c r="AG435">
        <v>4</v>
      </c>
      <c r="AH435" t="s">
        <v>84</v>
      </c>
      <c r="AI435">
        <v>0</v>
      </c>
    </row>
    <row r="436" spans="1:35" x14ac:dyDescent="0.45">
      <c r="A436">
        <v>435</v>
      </c>
      <c r="B436" t="s">
        <v>639</v>
      </c>
      <c r="C436" t="s">
        <v>646</v>
      </c>
      <c r="D436" t="s">
        <v>641</v>
      </c>
      <c r="E436">
        <v>6</v>
      </c>
      <c r="F436">
        <v>-5.8010000000000002</v>
      </c>
      <c r="G436">
        <v>-35.939</v>
      </c>
      <c r="H436">
        <v>16198</v>
      </c>
      <c r="I436">
        <v>0</v>
      </c>
      <c r="J436">
        <v>1</v>
      </c>
      <c r="K436" t="s">
        <v>55</v>
      </c>
      <c r="L436" t="s">
        <v>55</v>
      </c>
      <c r="M436" t="s">
        <v>56</v>
      </c>
      <c r="N436">
        <v>1643476025.0699999</v>
      </c>
      <c r="O436">
        <v>0.19800000000000001</v>
      </c>
      <c r="P436">
        <v>0.39300000000000002</v>
      </c>
      <c r="Q436">
        <v>53.718000000000004</v>
      </c>
      <c r="R436">
        <v>0</v>
      </c>
      <c r="S436">
        <v>1E-3</v>
      </c>
      <c r="T436">
        <v>1.292</v>
      </c>
      <c r="U436">
        <v>90.424000000000007</v>
      </c>
      <c r="V436">
        <v>24.213999999999999</v>
      </c>
      <c r="W436">
        <v>2.2879999999999998</v>
      </c>
      <c r="X436">
        <v>85.93</v>
      </c>
      <c r="Y436">
        <v>0.89300000000000002</v>
      </c>
      <c r="Z436">
        <v>0.91</v>
      </c>
      <c r="AA436">
        <v>0</v>
      </c>
      <c r="AB436">
        <v>0</v>
      </c>
      <c r="AC436">
        <v>1</v>
      </c>
      <c r="AD436">
        <v>39.561999999999998</v>
      </c>
      <c r="AE436">
        <v>1</v>
      </c>
      <c r="AF436">
        <v>59</v>
      </c>
      <c r="AG436">
        <v>4</v>
      </c>
      <c r="AH436" t="s">
        <v>84</v>
      </c>
      <c r="AI436">
        <v>0</v>
      </c>
    </row>
    <row r="437" spans="1:35" x14ac:dyDescent="0.45">
      <c r="A437">
        <v>436</v>
      </c>
      <c r="B437" t="s">
        <v>647</v>
      </c>
      <c r="C437" t="s">
        <v>648</v>
      </c>
      <c r="D437" t="s">
        <v>649</v>
      </c>
      <c r="E437">
        <v>1</v>
      </c>
      <c r="F437">
        <v>-5.7030000000000003</v>
      </c>
      <c r="G437">
        <v>-36.607999999999997</v>
      </c>
      <c r="H437">
        <v>16187</v>
      </c>
      <c r="I437">
        <v>-1</v>
      </c>
      <c r="J437">
        <v>1</v>
      </c>
      <c r="K437" t="s">
        <v>55</v>
      </c>
      <c r="L437" t="s">
        <v>55</v>
      </c>
      <c r="M437" t="s">
        <v>56</v>
      </c>
      <c r="N437">
        <v>1643476561.6300001</v>
      </c>
      <c r="O437">
        <v>0.19800000000000001</v>
      </c>
      <c r="P437">
        <v>0.42299999999999999</v>
      </c>
      <c r="Q437">
        <v>54.368000000000002</v>
      </c>
      <c r="R437">
        <v>1E-3</v>
      </c>
      <c r="S437">
        <v>2E-3</v>
      </c>
      <c r="T437">
        <v>1.3049999999999999</v>
      </c>
      <c r="U437">
        <v>90.084999999999994</v>
      </c>
      <c r="V437">
        <v>24.224</v>
      </c>
      <c r="W437">
        <v>2.3849999999999998</v>
      </c>
      <c r="X437">
        <v>87.361999999999995</v>
      </c>
      <c r="Y437">
        <v>0.89600000000000002</v>
      </c>
      <c r="Z437">
        <v>1.2</v>
      </c>
      <c r="AA437">
        <v>0</v>
      </c>
      <c r="AB437">
        <v>0</v>
      </c>
      <c r="AC437">
        <v>1</v>
      </c>
      <c r="AD437">
        <v>39.561999999999998</v>
      </c>
      <c r="AE437">
        <v>1</v>
      </c>
      <c r="AF437">
        <v>60</v>
      </c>
      <c r="AG437">
        <v>4</v>
      </c>
      <c r="AH437" t="s">
        <v>84</v>
      </c>
      <c r="AI437">
        <v>0</v>
      </c>
    </row>
    <row r="438" spans="1:35" x14ac:dyDescent="0.45">
      <c r="A438">
        <v>437</v>
      </c>
      <c r="B438" t="s">
        <v>647</v>
      </c>
      <c r="C438" t="s">
        <v>650</v>
      </c>
      <c r="D438" t="s">
        <v>649</v>
      </c>
      <c r="E438">
        <v>2</v>
      </c>
      <c r="F438">
        <v>-5.7380000000000004</v>
      </c>
      <c r="G438">
        <v>-36.634999999999998</v>
      </c>
      <c r="H438">
        <v>16140</v>
      </c>
      <c r="I438">
        <v>-1</v>
      </c>
      <c r="J438">
        <v>1</v>
      </c>
      <c r="K438" t="s">
        <v>55</v>
      </c>
      <c r="L438" t="s">
        <v>55</v>
      </c>
      <c r="M438" t="s">
        <v>56</v>
      </c>
      <c r="N438">
        <v>1643477097.9400001</v>
      </c>
      <c r="O438">
        <v>0.20100000000000001</v>
      </c>
      <c r="P438">
        <v>0.41299999999999998</v>
      </c>
      <c r="Q438">
        <v>53.238</v>
      </c>
      <c r="R438">
        <v>1E-3</v>
      </c>
      <c r="S438">
        <v>1E-3</v>
      </c>
      <c r="T438">
        <v>1.28</v>
      </c>
      <c r="U438">
        <v>89.882000000000005</v>
      </c>
      <c r="V438">
        <v>24.350999999999999</v>
      </c>
      <c r="W438">
        <v>2.3010000000000002</v>
      </c>
      <c r="X438">
        <v>85.68</v>
      </c>
      <c r="Y438">
        <v>0.89300000000000002</v>
      </c>
      <c r="Z438">
        <v>1.0389999999999999</v>
      </c>
      <c r="AA438">
        <v>0</v>
      </c>
      <c r="AB438">
        <v>0</v>
      </c>
      <c r="AC438">
        <v>1</v>
      </c>
      <c r="AD438">
        <v>39.5</v>
      </c>
      <c r="AE438">
        <v>1</v>
      </c>
      <c r="AF438">
        <v>60</v>
      </c>
      <c r="AG438">
        <v>4</v>
      </c>
      <c r="AH438" t="s">
        <v>84</v>
      </c>
      <c r="AI438">
        <v>0</v>
      </c>
    </row>
    <row r="439" spans="1:35" x14ac:dyDescent="0.45">
      <c r="A439">
        <v>438</v>
      </c>
      <c r="B439" t="s">
        <v>647</v>
      </c>
      <c r="C439" t="s">
        <v>651</v>
      </c>
      <c r="D439" t="s">
        <v>649</v>
      </c>
      <c r="E439">
        <v>3</v>
      </c>
      <c r="F439">
        <v>-5.6989999999999998</v>
      </c>
      <c r="G439">
        <v>-36.520000000000003</v>
      </c>
      <c r="H439">
        <v>16289</v>
      </c>
      <c r="I439">
        <v>-1</v>
      </c>
      <c r="J439">
        <v>1</v>
      </c>
      <c r="K439" t="s">
        <v>55</v>
      </c>
      <c r="L439" t="s">
        <v>55</v>
      </c>
      <c r="M439" t="s">
        <v>56</v>
      </c>
      <c r="N439">
        <v>1643477634.72</v>
      </c>
      <c r="O439">
        <v>0.184</v>
      </c>
      <c r="P439">
        <v>0.39800000000000002</v>
      </c>
      <c r="Q439">
        <v>52.357999999999997</v>
      </c>
      <c r="R439">
        <v>1E-3</v>
      </c>
      <c r="S439">
        <v>-1E-3</v>
      </c>
      <c r="T439">
        <v>1.264</v>
      </c>
      <c r="U439">
        <v>90.7</v>
      </c>
      <c r="V439">
        <v>24.34</v>
      </c>
      <c r="W439">
        <v>2.3610000000000002</v>
      </c>
      <c r="X439">
        <v>87.858999999999995</v>
      </c>
      <c r="Y439">
        <v>0.89600000000000002</v>
      </c>
      <c r="Z439">
        <v>1.1950000000000001</v>
      </c>
      <c r="AA439">
        <v>0</v>
      </c>
      <c r="AB439">
        <v>0</v>
      </c>
      <c r="AC439">
        <v>1</v>
      </c>
      <c r="AD439">
        <v>39.5</v>
      </c>
      <c r="AE439">
        <v>1</v>
      </c>
      <c r="AF439">
        <v>60</v>
      </c>
      <c r="AG439">
        <v>4</v>
      </c>
      <c r="AH439" t="s">
        <v>84</v>
      </c>
      <c r="AI439">
        <v>0</v>
      </c>
    </row>
    <row r="440" spans="1:35" x14ac:dyDescent="0.45">
      <c r="A440">
        <v>439</v>
      </c>
      <c r="B440" t="s">
        <v>647</v>
      </c>
      <c r="C440" t="s">
        <v>652</v>
      </c>
      <c r="D440" t="s">
        <v>649</v>
      </c>
      <c r="E440">
        <v>4</v>
      </c>
      <c r="F440">
        <v>-5.6890000000000001</v>
      </c>
      <c r="G440">
        <v>-36.561</v>
      </c>
      <c r="H440">
        <v>16209</v>
      </c>
      <c r="I440">
        <v>0</v>
      </c>
      <c r="J440">
        <v>1</v>
      </c>
      <c r="K440" t="s">
        <v>55</v>
      </c>
      <c r="L440" t="s">
        <v>55</v>
      </c>
      <c r="M440" t="s">
        <v>56</v>
      </c>
      <c r="N440">
        <v>1643478172.3900001</v>
      </c>
      <c r="O440">
        <v>0.21</v>
      </c>
      <c r="P440">
        <v>0.40200000000000002</v>
      </c>
      <c r="Q440">
        <v>53.86</v>
      </c>
      <c r="R440">
        <v>1E-3</v>
      </c>
      <c r="S440">
        <v>1E-3</v>
      </c>
      <c r="T440">
        <v>1.2969999999999999</v>
      </c>
      <c r="U440">
        <v>90.103999999999999</v>
      </c>
      <c r="V440">
        <v>24.468</v>
      </c>
      <c r="W440">
        <v>2.3730000000000002</v>
      </c>
      <c r="X440">
        <v>87.376999999999995</v>
      </c>
      <c r="Y440">
        <v>0.88800000000000001</v>
      </c>
      <c r="Z440">
        <v>1.304</v>
      </c>
      <c r="AA440">
        <v>0</v>
      </c>
      <c r="AB440">
        <v>0</v>
      </c>
      <c r="AC440">
        <v>1</v>
      </c>
      <c r="AD440">
        <v>39.561999999999998</v>
      </c>
      <c r="AE440">
        <v>1</v>
      </c>
      <c r="AF440">
        <v>60</v>
      </c>
      <c r="AG440">
        <v>4</v>
      </c>
      <c r="AH440" t="s">
        <v>84</v>
      </c>
      <c r="AI440">
        <v>0</v>
      </c>
    </row>
    <row r="441" spans="1:35" x14ac:dyDescent="0.45">
      <c r="A441">
        <v>440</v>
      </c>
      <c r="B441" t="s">
        <v>647</v>
      </c>
      <c r="C441" t="s">
        <v>653</v>
      </c>
      <c r="D441" t="s">
        <v>649</v>
      </c>
      <c r="E441">
        <v>5</v>
      </c>
      <c r="F441">
        <v>-5.7290000000000001</v>
      </c>
      <c r="G441">
        <v>-36.588000000000001</v>
      </c>
      <c r="H441">
        <v>16078</v>
      </c>
      <c r="I441">
        <v>0</v>
      </c>
      <c r="J441">
        <v>1</v>
      </c>
      <c r="K441" t="s">
        <v>55</v>
      </c>
      <c r="L441" t="s">
        <v>55</v>
      </c>
      <c r="M441" t="s">
        <v>56</v>
      </c>
      <c r="N441">
        <v>1643478709.79</v>
      </c>
      <c r="O441">
        <v>0.21199999999999999</v>
      </c>
      <c r="P441">
        <v>0.42</v>
      </c>
      <c r="Q441">
        <v>53.408999999999999</v>
      </c>
      <c r="R441">
        <v>0</v>
      </c>
      <c r="S441">
        <v>0</v>
      </c>
      <c r="T441">
        <v>1.2869999999999999</v>
      </c>
      <c r="U441">
        <v>89.433999999999997</v>
      </c>
      <c r="V441">
        <v>24.271000000000001</v>
      </c>
      <c r="W441">
        <v>2.3439999999999999</v>
      </c>
      <c r="X441">
        <v>85.971999999999994</v>
      </c>
      <c r="Y441">
        <v>0.89500000000000002</v>
      </c>
      <c r="Z441">
        <v>1.1220000000000001</v>
      </c>
      <c r="AA441">
        <v>0</v>
      </c>
      <c r="AB441">
        <v>0</v>
      </c>
      <c r="AC441">
        <v>1</v>
      </c>
      <c r="AD441">
        <v>39.561999999999998</v>
      </c>
      <c r="AE441">
        <v>1</v>
      </c>
      <c r="AF441">
        <v>60</v>
      </c>
      <c r="AG441">
        <v>4</v>
      </c>
      <c r="AH441" t="s">
        <v>84</v>
      </c>
      <c r="AI441">
        <v>0</v>
      </c>
    </row>
    <row r="442" spans="1:35" x14ac:dyDescent="0.45">
      <c r="A442">
        <v>441</v>
      </c>
      <c r="B442" t="s">
        <v>647</v>
      </c>
      <c r="C442" t="s">
        <v>654</v>
      </c>
      <c r="D442" t="s">
        <v>649</v>
      </c>
      <c r="E442">
        <v>6</v>
      </c>
      <c r="F442">
        <v>-5.6879999999999997</v>
      </c>
      <c r="G442">
        <v>-36.518999999999998</v>
      </c>
      <c r="H442">
        <v>16339</v>
      </c>
      <c r="I442">
        <v>0</v>
      </c>
      <c r="J442">
        <v>1</v>
      </c>
      <c r="K442" t="s">
        <v>55</v>
      </c>
      <c r="L442" t="s">
        <v>55</v>
      </c>
      <c r="M442" t="s">
        <v>56</v>
      </c>
      <c r="N442">
        <v>1643479246.3599999</v>
      </c>
      <c r="O442">
        <v>0.218</v>
      </c>
      <c r="P442">
        <v>0.40500000000000003</v>
      </c>
      <c r="Q442">
        <v>52.436</v>
      </c>
      <c r="R442">
        <v>1E-3</v>
      </c>
      <c r="S442">
        <v>0</v>
      </c>
      <c r="T442">
        <v>1.2629999999999999</v>
      </c>
      <c r="U442">
        <v>91.11</v>
      </c>
      <c r="V442">
        <v>24.927</v>
      </c>
      <c r="W442">
        <v>2.3319999999999999</v>
      </c>
      <c r="X442">
        <v>85.828000000000003</v>
      </c>
      <c r="Y442">
        <v>0.89100000000000001</v>
      </c>
      <c r="Z442">
        <v>0.85699999999999998</v>
      </c>
      <c r="AA442">
        <v>0</v>
      </c>
      <c r="AB442">
        <v>0</v>
      </c>
      <c r="AC442">
        <v>1</v>
      </c>
      <c r="AD442">
        <v>39.5</v>
      </c>
      <c r="AE442">
        <v>1</v>
      </c>
      <c r="AF442">
        <v>60</v>
      </c>
      <c r="AG442">
        <v>4</v>
      </c>
      <c r="AH442" t="s">
        <v>84</v>
      </c>
      <c r="AI442">
        <v>0</v>
      </c>
    </row>
    <row r="443" spans="1:35" x14ac:dyDescent="0.45">
      <c r="A443">
        <v>442</v>
      </c>
      <c r="B443" t="s">
        <v>655</v>
      </c>
      <c r="C443" t="s">
        <v>656</v>
      </c>
      <c r="D443" t="s">
        <v>657</v>
      </c>
      <c r="E443">
        <v>1</v>
      </c>
      <c r="F443">
        <v>-5.7969999999999997</v>
      </c>
      <c r="G443">
        <v>-37.088999999999999</v>
      </c>
      <c r="H443">
        <v>16283</v>
      </c>
      <c r="I443">
        <v>-1</v>
      </c>
      <c r="J443">
        <v>1</v>
      </c>
      <c r="K443" t="s">
        <v>55</v>
      </c>
      <c r="L443" t="s">
        <v>55</v>
      </c>
      <c r="M443" t="s">
        <v>56</v>
      </c>
      <c r="N443">
        <v>1643479783.21</v>
      </c>
      <c r="O443">
        <v>0.223</v>
      </c>
      <c r="P443">
        <v>0.42799999999999999</v>
      </c>
      <c r="Q443">
        <v>53.981000000000002</v>
      </c>
      <c r="R443">
        <v>1E-3</v>
      </c>
      <c r="S443">
        <v>2E-3</v>
      </c>
      <c r="T443">
        <v>1.298</v>
      </c>
      <c r="U443">
        <v>90.52</v>
      </c>
      <c r="V443">
        <v>24.632000000000001</v>
      </c>
      <c r="W443">
        <v>2.399</v>
      </c>
      <c r="X443">
        <v>87.841999999999999</v>
      </c>
      <c r="Y443">
        <v>0.89300000000000002</v>
      </c>
      <c r="Z443">
        <v>1.327</v>
      </c>
      <c r="AA443">
        <v>0</v>
      </c>
      <c r="AB443">
        <v>0</v>
      </c>
      <c r="AC443">
        <v>1</v>
      </c>
      <c r="AD443">
        <v>39.561999999999998</v>
      </c>
      <c r="AE443">
        <v>1</v>
      </c>
      <c r="AF443">
        <v>61</v>
      </c>
      <c r="AG443">
        <v>4</v>
      </c>
      <c r="AH443" t="s">
        <v>84</v>
      </c>
      <c r="AI443">
        <v>0</v>
      </c>
    </row>
    <row r="444" spans="1:35" x14ac:dyDescent="0.45">
      <c r="A444">
        <v>443</v>
      </c>
      <c r="B444" t="s">
        <v>655</v>
      </c>
      <c r="C444" t="s">
        <v>658</v>
      </c>
      <c r="D444" t="s">
        <v>657</v>
      </c>
      <c r="E444">
        <v>2</v>
      </c>
      <c r="F444">
        <v>-5.7880000000000003</v>
      </c>
      <c r="G444">
        <v>-37.06</v>
      </c>
      <c r="H444">
        <v>16290</v>
      </c>
      <c r="I444">
        <v>-1</v>
      </c>
      <c r="J444">
        <v>1</v>
      </c>
      <c r="K444" t="s">
        <v>55</v>
      </c>
      <c r="L444" t="s">
        <v>55</v>
      </c>
      <c r="M444" t="s">
        <v>56</v>
      </c>
      <c r="N444">
        <v>1643480319.29</v>
      </c>
      <c r="O444">
        <v>0.185</v>
      </c>
      <c r="P444">
        <v>0.42299999999999999</v>
      </c>
      <c r="Q444">
        <v>52.247</v>
      </c>
      <c r="R444">
        <v>1E-3</v>
      </c>
      <c r="S444">
        <v>1E-3</v>
      </c>
      <c r="T444">
        <v>1.264</v>
      </c>
      <c r="U444">
        <v>90.778000000000006</v>
      </c>
      <c r="V444">
        <v>24.555</v>
      </c>
      <c r="W444">
        <v>2.34</v>
      </c>
      <c r="X444">
        <v>86.927000000000007</v>
      </c>
      <c r="Y444">
        <v>0.9</v>
      </c>
      <c r="Z444">
        <v>1.089</v>
      </c>
      <c r="AA444">
        <v>0</v>
      </c>
      <c r="AB444">
        <v>0</v>
      </c>
      <c r="AC444">
        <v>1</v>
      </c>
      <c r="AD444">
        <v>39.561999999999998</v>
      </c>
      <c r="AE444">
        <v>1</v>
      </c>
      <c r="AF444">
        <v>61</v>
      </c>
      <c r="AG444">
        <v>4</v>
      </c>
      <c r="AH444" t="s">
        <v>84</v>
      </c>
      <c r="AI444">
        <v>0</v>
      </c>
    </row>
    <row r="445" spans="1:35" x14ac:dyDescent="0.45">
      <c r="A445">
        <v>444</v>
      </c>
      <c r="B445" t="s">
        <v>655</v>
      </c>
      <c r="C445" t="s">
        <v>659</v>
      </c>
      <c r="D445" t="s">
        <v>657</v>
      </c>
      <c r="E445">
        <v>3</v>
      </c>
      <c r="F445">
        <v>-5.7809999999999997</v>
      </c>
      <c r="G445">
        <v>-37.106999999999999</v>
      </c>
      <c r="H445">
        <v>16174</v>
      </c>
      <c r="I445">
        <v>-1</v>
      </c>
      <c r="J445">
        <v>1</v>
      </c>
      <c r="K445" t="s">
        <v>55</v>
      </c>
      <c r="L445" t="s">
        <v>55</v>
      </c>
      <c r="M445" t="s">
        <v>56</v>
      </c>
      <c r="N445">
        <v>1643480856.79</v>
      </c>
      <c r="O445">
        <v>0.20100000000000001</v>
      </c>
      <c r="P445">
        <v>0.38300000000000001</v>
      </c>
      <c r="Q445">
        <v>54.295999999999999</v>
      </c>
      <c r="R445">
        <v>0</v>
      </c>
      <c r="S445">
        <v>2E-3</v>
      </c>
      <c r="T445">
        <v>1.3009999999999999</v>
      </c>
      <c r="U445">
        <v>90.087000000000003</v>
      </c>
      <c r="V445">
        <v>24.553999999999998</v>
      </c>
      <c r="W445">
        <v>2.302</v>
      </c>
      <c r="X445">
        <v>85.6</v>
      </c>
      <c r="Y445">
        <v>0.89700000000000002</v>
      </c>
      <c r="Z445">
        <v>1.0129999999999999</v>
      </c>
      <c r="AA445">
        <v>0</v>
      </c>
      <c r="AB445">
        <v>0</v>
      </c>
      <c r="AC445">
        <v>1</v>
      </c>
      <c r="AD445">
        <v>39.561999999999998</v>
      </c>
      <c r="AE445">
        <v>1</v>
      </c>
      <c r="AF445">
        <v>61</v>
      </c>
      <c r="AG445">
        <v>4</v>
      </c>
      <c r="AH445" t="s">
        <v>84</v>
      </c>
      <c r="AI445">
        <v>0</v>
      </c>
    </row>
    <row r="446" spans="1:35" x14ac:dyDescent="0.45">
      <c r="A446">
        <v>445</v>
      </c>
      <c r="B446" t="s">
        <v>655</v>
      </c>
      <c r="C446" t="s">
        <v>660</v>
      </c>
      <c r="D446" t="s">
        <v>657</v>
      </c>
      <c r="E446">
        <v>4</v>
      </c>
      <c r="F446">
        <v>-5.7889999999999997</v>
      </c>
      <c r="G446">
        <v>-37.125999999999998</v>
      </c>
      <c r="H446">
        <v>16224</v>
      </c>
      <c r="I446">
        <v>0</v>
      </c>
      <c r="J446">
        <v>1</v>
      </c>
      <c r="K446" t="s">
        <v>55</v>
      </c>
      <c r="L446" t="s">
        <v>55</v>
      </c>
      <c r="M446" t="s">
        <v>56</v>
      </c>
      <c r="N446">
        <v>1643481391.6099999</v>
      </c>
      <c r="O446">
        <v>0.20300000000000001</v>
      </c>
      <c r="P446">
        <v>0.40300000000000002</v>
      </c>
      <c r="Q446">
        <v>53.411999999999999</v>
      </c>
      <c r="R446">
        <v>1E-3</v>
      </c>
      <c r="S446">
        <v>0</v>
      </c>
      <c r="T446">
        <v>1.2849999999999999</v>
      </c>
      <c r="U446">
        <v>90.411000000000001</v>
      </c>
      <c r="V446">
        <v>24.140999999999998</v>
      </c>
      <c r="W446">
        <v>2.3849999999999998</v>
      </c>
      <c r="X446">
        <v>87.244</v>
      </c>
      <c r="Y446">
        <v>0.90200000000000002</v>
      </c>
      <c r="Z446">
        <v>1.1339999999999999</v>
      </c>
      <c r="AA446">
        <v>0</v>
      </c>
      <c r="AB446">
        <v>0</v>
      </c>
      <c r="AC446">
        <v>1</v>
      </c>
      <c r="AD446">
        <v>39.561999999999998</v>
      </c>
      <c r="AE446">
        <v>1</v>
      </c>
      <c r="AF446">
        <v>61</v>
      </c>
      <c r="AG446">
        <v>4</v>
      </c>
      <c r="AH446" t="s">
        <v>84</v>
      </c>
      <c r="AI446">
        <v>0</v>
      </c>
    </row>
    <row r="447" spans="1:35" x14ac:dyDescent="0.45">
      <c r="A447">
        <v>446</v>
      </c>
      <c r="B447" t="s">
        <v>655</v>
      </c>
      <c r="C447" t="s">
        <v>661</v>
      </c>
      <c r="D447" t="s">
        <v>657</v>
      </c>
      <c r="E447">
        <v>5</v>
      </c>
      <c r="F447">
        <v>-5.819</v>
      </c>
      <c r="G447">
        <v>-37.082999999999998</v>
      </c>
      <c r="H447">
        <v>16206</v>
      </c>
      <c r="I447">
        <v>0</v>
      </c>
      <c r="J447">
        <v>1</v>
      </c>
      <c r="K447" t="s">
        <v>55</v>
      </c>
      <c r="L447" t="s">
        <v>55</v>
      </c>
      <c r="M447" t="s">
        <v>56</v>
      </c>
      <c r="N447">
        <v>1643481928.5</v>
      </c>
      <c r="O447">
        <v>0.19900000000000001</v>
      </c>
      <c r="P447">
        <v>0.41599999999999998</v>
      </c>
      <c r="Q447">
        <v>53.502000000000002</v>
      </c>
      <c r="R447">
        <v>1E-3</v>
      </c>
      <c r="S447">
        <v>1E-3</v>
      </c>
      <c r="T447">
        <v>1.2849999999999999</v>
      </c>
      <c r="U447">
        <v>90.281999999999996</v>
      </c>
      <c r="V447">
        <v>24.481000000000002</v>
      </c>
      <c r="W447">
        <v>2.3149999999999999</v>
      </c>
      <c r="X447">
        <v>86.111999999999995</v>
      </c>
      <c r="Y447">
        <v>0.89500000000000002</v>
      </c>
      <c r="Z447">
        <v>1.008</v>
      </c>
      <c r="AA447">
        <v>0</v>
      </c>
      <c r="AB447">
        <v>0</v>
      </c>
      <c r="AC447">
        <v>1</v>
      </c>
      <c r="AD447">
        <v>39.561999999999998</v>
      </c>
      <c r="AE447">
        <v>1</v>
      </c>
      <c r="AF447">
        <v>61</v>
      </c>
      <c r="AG447">
        <v>4</v>
      </c>
      <c r="AH447" t="s">
        <v>84</v>
      </c>
      <c r="AI447">
        <v>0</v>
      </c>
    </row>
    <row r="448" spans="1:35" x14ac:dyDescent="0.45">
      <c r="A448">
        <v>447</v>
      </c>
      <c r="B448" t="s">
        <v>655</v>
      </c>
      <c r="C448" t="s">
        <v>662</v>
      </c>
      <c r="D448" t="s">
        <v>657</v>
      </c>
      <c r="E448">
        <v>6</v>
      </c>
      <c r="F448">
        <v>-5.8049999999999997</v>
      </c>
      <c r="G448">
        <v>-37.116999999999997</v>
      </c>
      <c r="H448">
        <v>16205</v>
      </c>
      <c r="I448">
        <v>0</v>
      </c>
      <c r="J448">
        <v>1</v>
      </c>
      <c r="K448" t="s">
        <v>55</v>
      </c>
      <c r="L448" t="s">
        <v>55</v>
      </c>
      <c r="M448" t="s">
        <v>56</v>
      </c>
      <c r="N448">
        <v>1643482464.6400001</v>
      </c>
      <c r="O448">
        <v>0.20799999999999999</v>
      </c>
      <c r="P448">
        <v>0.39</v>
      </c>
      <c r="Q448">
        <v>53.241999999999997</v>
      </c>
      <c r="R448">
        <v>1E-3</v>
      </c>
      <c r="S448">
        <v>1E-3</v>
      </c>
      <c r="T448">
        <v>1.28</v>
      </c>
      <c r="U448">
        <v>90.222999999999999</v>
      </c>
      <c r="V448">
        <v>24.574000000000002</v>
      </c>
      <c r="W448">
        <v>2.3149999999999999</v>
      </c>
      <c r="X448">
        <v>86.292000000000002</v>
      </c>
      <c r="Y448">
        <v>0.90200000000000002</v>
      </c>
      <c r="Z448">
        <v>1.133</v>
      </c>
      <c r="AA448">
        <v>0</v>
      </c>
      <c r="AB448">
        <v>0</v>
      </c>
      <c r="AC448">
        <v>1</v>
      </c>
      <c r="AD448">
        <v>39.561999999999998</v>
      </c>
      <c r="AE448">
        <v>1</v>
      </c>
      <c r="AF448">
        <v>61</v>
      </c>
      <c r="AG448">
        <v>4</v>
      </c>
      <c r="AH448" t="s">
        <v>84</v>
      </c>
      <c r="AI448">
        <v>0</v>
      </c>
    </row>
    <row r="449" spans="1:35" x14ac:dyDescent="0.45">
      <c r="A449">
        <v>448</v>
      </c>
      <c r="B449" t="s">
        <v>663</v>
      </c>
      <c r="C449" t="s">
        <v>664</v>
      </c>
      <c r="D449" t="s">
        <v>665</v>
      </c>
      <c r="E449">
        <v>1</v>
      </c>
      <c r="F449">
        <v>-6.0709999999999997</v>
      </c>
      <c r="G449">
        <v>-38.039000000000001</v>
      </c>
      <c r="H449">
        <v>16230</v>
      </c>
      <c r="I449">
        <v>-1</v>
      </c>
      <c r="J449">
        <v>1</v>
      </c>
      <c r="K449" t="s">
        <v>55</v>
      </c>
      <c r="L449" t="s">
        <v>55</v>
      </c>
      <c r="M449" t="s">
        <v>56</v>
      </c>
      <c r="N449">
        <v>1643483000.96</v>
      </c>
      <c r="O449">
        <v>0.22800000000000001</v>
      </c>
      <c r="P449">
        <v>0.39900000000000002</v>
      </c>
      <c r="Q449">
        <v>52.762</v>
      </c>
      <c r="R449">
        <v>1E-3</v>
      </c>
      <c r="S449">
        <v>2E-3</v>
      </c>
      <c r="T449">
        <v>1.268</v>
      </c>
      <c r="U449">
        <v>90.409000000000006</v>
      </c>
      <c r="V449">
        <v>24.431000000000001</v>
      </c>
      <c r="W449">
        <v>2.3140000000000001</v>
      </c>
      <c r="X449">
        <v>86.712000000000003</v>
      </c>
      <c r="Y449">
        <v>0.89</v>
      </c>
      <c r="Z449">
        <v>1.1679999999999999</v>
      </c>
      <c r="AA449">
        <v>0</v>
      </c>
      <c r="AB449">
        <v>0</v>
      </c>
      <c r="AC449">
        <v>1</v>
      </c>
      <c r="AD449">
        <v>39.561999999999998</v>
      </c>
      <c r="AE449">
        <v>1</v>
      </c>
      <c r="AF449">
        <v>62</v>
      </c>
      <c r="AG449">
        <v>4</v>
      </c>
      <c r="AH449" t="s">
        <v>84</v>
      </c>
      <c r="AI449">
        <v>0</v>
      </c>
    </row>
    <row r="450" spans="1:35" x14ac:dyDescent="0.45">
      <c r="A450">
        <v>449</v>
      </c>
      <c r="B450" t="s">
        <v>663</v>
      </c>
      <c r="C450" t="s">
        <v>666</v>
      </c>
      <c r="D450" t="s">
        <v>665</v>
      </c>
      <c r="E450">
        <v>2</v>
      </c>
      <c r="F450">
        <v>-6.1580000000000004</v>
      </c>
      <c r="G450">
        <v>-38.170999999999999</v>
      </c>
      <c r="H450">
        <v>16194</v>
      </c>
      <c r="I450">
        <v>-1</v>
      </c>
      <c r="J450">
        <v>1</v>
      </c>
      <c r="K450" t="s">
        <v>55</v>
      </c>
      <c r="L450" t="s">
        <v>55</v>
      </c>
      <c r="M450" t="s">
        <v>56</v>
      </c>
      <c r="N450">
        <v>1643483537.6500001</v>
      </c>
      <c r="O450">
        <v>0.21199999999999999</v>
      </c>
      <c r="P450">
        <v>0.41099999999999998</v>
      </c>
      <c r="Q450">
        <v>54.34</v>
      </c>
      <c r="R450">
        <v>1E-3</v>
      </c>
      <c r="S450">
        <v>1E-3</v>
      </c>
      <c r="T450">
        <v>1.3</v>
      </c>
      <c r="U450">
        <v>90.119</v>
      </c>
      <c r="V450">
        <v>24.295000000000002</v>
      </c>
      <c r="W450">
        <v>2.3839999999999999</v>
      </c>
      <c r="X450">
        <v>87.245999999999995</v>
      </c>
      <c r="Y450">
        <v>0.90600000000000003</v>
      </c>
      <c r="Z450">
        <v>1.236</v>
      </c>
      <c r="AA450">
        <v>0</v>
      </c>
      <c r="AB450">
        <v>0</v>
      </c>
      <c r="AC450">
        <v>1</v>
      </c>
      <c r="AD450">
        <v>39.561999999999998</v>
      </c>
      <c r="AE450">
        <v>1</v>
      </c>
      <c r="AF450">
        <v>62</v>
      </c>
      <c r="AG450">
        <v>4</v>
      </c>
      <c r="AH450" t="s">
        <v>84</v>
      </c>
      <c r="AI450">
        <v>0</v>
      </c>
    </row>
    <row r="451" spans="1:35" x14ac:dyDescent="0.45">
      <c r="A451">
        <v>450</v>
      </c>
      <c r="B451" t="s">
        <v>663</v>
      </c>
      <c r="C451" t="s">
        <v>667</v>
      </c>
      <c r="D451" t="s">
        <v>665</v>
      </c>
      <c r="E451">
        <v>3</v>
      </c>
      <c r="F451">
        <v>-6.101</v>
      </c>
      <c r="G451">
        <v>-38.152000000000001</v>
      </c>
      <c r="H451">
        <v>16229</v>
      </c>
      <c r="I451">
        <v>-1</v>
      </c>
      <c r="J451">
        <v>1</v>
      </c>
      <c r="K451" t="s">
        <v>55</v>
      </c>
      <c r="L451" t="s">
        <v>55</v>
      </c>
      <c r="M451" t="s">
        <v>56</v>
      </c>
      <c r="N451">
        <v>1643484073.3299999</v>
      </c>
      <c r="O451">
        <v>0.22</v>
      </c>
      <c r="P451">
        <v>0.42199999999999999</v>
      </c>
      <c r="Q451">
        <v>53.069000000000003</v>
      </c>
      <c r="R451">
        <v>1E-3</v>
      </c>
      <c r="S451">
        <v>1E-3</v>
      </c>
      <c r="T451">
        <v>1.2809999999999999</v>
      </c>
      <c r="U451">
        <v>90.194999999999993</v>
      </c>
      <c r="V451">
        <v>24.248000000000001</v>
      </c>
      <c r="W451">
        <v>2.4460000000000002</v>
      </c>
      <c r="X451">
        <v>88.492000000000004</v>
      </c>
      <c r="Y451">
        <v>0.90200000000000002</v>
      </c>
      <c r="Z451">
        <v>1.36</v>
      </c>
      <c r="AA451">
        <v>0</v>
      </c>
      <c r="AB451">
        <v>0</v>
      </c>
      <c r="AC451">
        <v>1</v>
      </c>
      <c r="AD451">
        <v>39.5</v>
      </c>
      <c r="AE451">
        <v>1</v>
      </c>
      <c r="AF451">
        <v>62</v>
      </c>
      <c r="AG451">
        <v>4</v>
      </c>
      <c r="AH451" t="s">
        <v>84</v>
      </c>
      <c r="AI451">
        <v>0</v>
      </c>
    </row>
    <row r="452" spans="1:35" x14ac:dyDescent="0.45">
      <c r="A452">
        <v>451</v>
      </c>
      <c r="B452" t="s">
        <v>663</v>
      </c>
      <c r="C452" t="s">
        <v>668</v>
      </c>
      <c r="D452" t="s">
        <v>665</v>
      </c>
      <c r="E452">
        <v>4</v>
      </c>
      <c r="F452">
        <v>-6.1459999999999999</v>
      </c>
      <c r="G452">
        <v>-38.122</v>
      </c>
      <c r="H452">
        <v>16230</v>
      </c>
      <c r="I452">
        <v>0</v>
      </c>
      <c r="J452">
        <v>1</v>
      </c>
      <c r="K452" t="s">
        <v>55</v>
      </c>
      <c r="L452" t="s">
        <v>55</v>
      </c>
      <c r="M452" t="s">
        <v>56</v>
      </c>
      <c r="N452">
        <v>1643484610.6600001</v>
      </c>
      <c r="O452">
        <v>0.20100000000000001</v>
      </c>
      <c r="P452">
        <v>0.439</v>
      </c>
      <c r="Q452">
        <v>54.125999999999998</v>
      </c>
      <c r="R452">
        <v>1E-3</v>
      </c>
      <c r="S452">
        <v>-1E-3</v>
      </c>
      <c r="T452">
        <v>1.3069999999999999</v>
      </c>
      <c r="U452">
        <v>90.620999999999995</v>
      </c>
      <c r="V452">
        <v>24.13</v>
      </c>
      <c r="W452">
        <v>2.2959999999999998</v>
      </c>
      <c r="X452">
        <v>86.504000000000005</v>
      </c>
      <c r="Y452">
        <v>0.89500000000000002</v>
      </c>
      <c r="Z452">
        <v>0.95099999999999996</v>
      </c>
      <c r="AA452">
        <v>0</v>
      </c>
      <c r="AB452">
        <v>0</v>
      </c>
      <c r="AC452">
        <v>1</v>
      </c>
      <c r="AD452">
        <v>39.5</v>
      </c>
      <c r="AE452">
        <v>1</v>
      </c>
      <c r="AF452">
        <v>62</v>
      </c>
      <c r="AG452">
        <v>4</v>
      </c>
      <c r="AH452" t="s">
        <v>84</v>
      </c>
      <c r="AI452">
        <v>0</v>
      </c>
    </row>
    <row r="453" spans="1:35" x14ac:dyDescent="0.45">
      <c r="A453">
        <v>452</v>
      </c>
      <c r="B453" t="s">
        <v>663</v>
      </c>
      <c r="C453" t="s">
        <v>669</v>
      </c>
      <c r="D453" t="s">
        <v>665</v>
      </c>
      <c r="E453">
        <v>5</v>
      </c>
      <c r="F453">
        <v>-6.1189999999999998</v>
      </c>
      <c r="G453">
        <v>-38.231999999999999</v>
      </c>
      <c r="H453">
        <v>16202</v>
      </c>
      <c r="I453">
        <v>0</v>
      </c>
      <c r="J453">
        <v>1</v>
      </c>
      <c r="K453" t="s">
        <v>55</v>
      </c>
      <c r="L453" t="s">
        <v>55</v>
      </c>
      <c r="M453" t="s">
        <v>56</v>
      </c>
      <c r="N453">
        <v>1643485147.02</v>
      </c>
      <c r="O453">
        <v>0.19800000000000001</v>
      </c>
      <c r="P453">
        <v>0.38800000000000001</v>
      </c>
      <c r="Q453">
        <v>54.173000000000002</v>
      </c>
      <c r="R453">
        <v>1E-3</v>
      </c>
      <c r="S453">
        <v>1E-3</v>
      </c>
      <c r="T453">
        <v>1.2949999999999999</v>
      </c>
      <c r="U453">
        <v>90.286000000000001</v>
      </c>
      <c r="V453">
        <v>24.327000000000002</v>
      </c>
      <c r="W453">
        <v>2.3119999999999998</v>
      </c>
      <c r="X453">
        <v>86.613</v>
      </c>
      <c r="Y453">
        <v>0.89200000000000002</v>
      </c>
      <c r="Z453">
        <v>1.0920000000000001</v>
      </c>
      <c r="AA453">
        <v>0</v>
      </c>
      <c r="AB453">
        <v>0</v>
      </c>
      <c r="AC453">
        <v>1</v>
      </c>
      <c r="AD453">
        <v>39.561999999999998</v>
      </c>
      <c r="AE453">
        <v>1</v>
      </c>
      <c r="AF453">
        <v>62</v>
      </c>
      <c r="AG453">
        <v>4</v>
      </c>
      <c r="AH453" t="s">
        <v>84</v>
      </c>
      <c r="AI453">
        <v>0</v>
      </c>
    </row>
    <row r="454" spans="1:35" x14ac:dyDescent="0.45">
      <c r="A454">
        <v>453</v>
      </c>
      <c r="B454" t="s">
        <v>663</v>
      </c>
      <c r="C454" t="s">
        <v>670</v>
      </c>
      <c r="D454" t="s">
        <v>665</v>
      </c>
      <c r="E454">
        <v>6</v>
      </c>
      <c r="F454">
        <v>-6.1470000000000002</v>
      </c>
      <c r="G454">
        <v>-38.237000000000002</v>
      </c>
      <c r="H454">
        <v>16259</v>
      </c>
      <c r="I454">
        <v>0</v>
      </c>
      <c r="J454">
        <v>1</v>
      </c>
      <c r="K454" t="s">
        <v>55</v>
      </c>
      <c r="L454" t="s">
        <v>55</v>
      </c>
      <c r="M454" t="s">
        <v>56</v>
      </c>
      <c r="N454">
        <v>1643485683.75</v>
      </c>
      <c r="O454">
        <v>0.20599999999999999</v>
      </c>
      <c r="P454">
        <v>0.38700000000000001</v>
      </c>
      <c r="Q454">
        <v>53.524999999999999</v>
      </c>
      <c r="R454">
        <v>1E-3</v>
      </c>
      <c r="S454">
        <v>1E-3</v>
      </c>
      <c r="T454">
        <v>1.2809999999999999</v>
      </c>
      <c r="U454">
        <v>90.608000000000004</v>
      </c>
      <c r="V454">
        <v>24.643999999999998</v>
      </c>
      <c r="W454">
        <v>2.3250000000000002</v>
      </c>
      <c r="X454">
        <v>86.096999999999994</v>
      </c>
      <c r="Y454">
        <v>0.89500000000000002</v>
      </c>
      <c r="Z454">
        <v>1.0089999999999999</v>
      </c>
      <c r="AA454">
        <v>0</v>
      </c>
      <c r="AB454">
        <v>0</v>
      </c>
      <c r="AC454">
        <v>1</v>
      </c>
      <c r="AD454">
        <v>39.561999999999998</v>
      </c>
      <c r="AE454">
        <v>1</v>
      </c>
      <c r="AF454">
        <v>62</v>
      </c>
      <c r="AG454">
        <v>4</v>
      </c>
      <c r="AH454" t="s">
        <v>84</v>
      </c>
      <c r="AI454">
        <v>0</v>
      </c>
    </row>
    <row r="455" spans="1:35" x14ac:dyDescent="0.45">
      <c r="A455">
        <v>454</v>
      </c>
      <c r="B455" t="s">
        <v>671</v>
      </c>
      <c r="C455" t="s">
        <v>672</v>
      </c>
      <c r="D455" t="s">
        <v>673</v>
      </c>
      <c r="E455">
        <v>1</v>
      </c>
      <c r="F455">
        <v>-5.53</v>
      </c>
      <c r="G455">
        <v>-30.373999999999999</v>
      </c>
      <c r="H455">
        <v>16200</v>
      </c>
      <c r="I455">
        <v>-1</v>
      </c>
      <c r="J455">
        <v>1</v>
      </c>
      <c r="K455" t="s">
        <v>55</v>
      </c>
      <c r="L455" t="s">
        <v>55</v>
      </c>
      <c r="M455" t="s">
        <v>56</v>
      </c>
      <c r="N455">
        <v>1643486219.6400001</v>
      </c>
      <c r="O455">
        <v>0.20200000000000001</v>
      </c>
      <c r="P455">
        <v>0.40400000000000003</v>
      </c>
      <c r="Q455">
        <v>54.188000000000002</v>
      </c>
      <c r="R455">
        <v>0</v>
      </c>
      <c r="S455">
        <v>0</v>
      </c>
      <c r="T455">
        <v>1.3029999999999999</v>
      </c>
      <c r="U455">
        <v>90.233000000000004</v>
      </c>
      <c r="V455">
        <v>24.829000000000001</v>
      </c>
      <c r="W455">
        <v>2.2719999999999998</v>
      </c>
      <c r="X455">
        <v>85.242999999999995</v>
      </c>
      <c r="Y455">
        <v>0.88900000000000001</v>
      </c>
      <c r="Z455">
        <v>0.91800000000000004</v>
      </c>
      <c r="AA455">
        <v>0</v>
      </c>
      <c r="AB455">
        <v>0</v>
      </c>
      <c r="AC455">
        <v>1</v>
      </c>
      <c r="AD455">
        <v>39.625</v>
      </c>
      <c r="AE455">
        <v>1</v>
      </c>
      <c r="AF455">
        <v>63</v>
      </c>
      <c r="AG455">
        <v>4</v>
      </c>
      <c r="AH455" t="s">
        <v>84</v>
      </c>
      <c r="AI455">
        <v>0</v>
      </c>
    </row>
    <row r="456" spans="1:35" x14ac:dyDescent="0.45">
      <c r="A456">
        <v>455</v>
      </c>
      <c r="B456" t="s">
        <v>671</v>
      </c>
      <c r="C456" t="s">
        <v>674</v>
      </c>
      <c r="D456" t="s">
        <v>673</v>
      </c>
      <c r="E456">
        <v>2</v>
      </c>
      <c r="F456">
        <v>-5.5129999999999999</v>
      </c>
      <c r="G456">
        <v>-29.707999999999998</v>
      </c>
      <c r="H456">
        <v>16306</v>
      </c>
      <c r="I456">
        <v>-1</v>
      </c>
      <c r="J456">
        <v>1</v>
      </c>
      <c r="K456" t="s">
        <v>55</v>
      </c>
      <c r="L456" t="s">
        <v>55</v>
      </c>
      <c r="M456" t="s">
        <v>56</v>
      </c>
      <c r="N456">
        <v>1643486756.49</v>
      </c>
      <c r="O456">
        <v>0.183</v>
      </c>
      <c r="P456">
        <v>0.46</v>
      </c>
      <c r="Q456">
        <v>53.621000000000002</v>
      </c>
      <c r="R456">
        <v>2E-3</v>
      </c>
      <c r="S456">
        <v>3.0000000000000001E-3</v>
      </c>
      <c r="T456">
        <v>1.2889999999999999</v>
      </c>
      <c r="U456">
        <v>90.983000000000004</v>
      </c>
      <c r="V456">
        <v>24.015000000000001</v>
      </c>
      <c r="W456">
        <v>2.34</v>
      </c>
      <c r="X456">
        <v>87.97</v>
      </c>
      <c r="Y456">
        <v>0.90100000000000002</v>
      </c>
      <c r="Z456">
        <v>1.091</v>
      </c>
      <c r="AA456">
        <v>0</v>
      </c>
      <c r="AB456">
        <v>0</v>
      </c>
      <c r="AC456">
        <v>1</v>
      </c>
      <c r="AD456">
        <v>39.625</v>
      </c>
      <c r="AE456">
        <v>1</v>
      </c>
      <c r="AF456">
        <v>63</v>
      </c>
      <c r="AG456">
        <v>4</v>
      </c>
      <c r="AH456" t="s">
        <v>84</v>
      </c>
      <c r="AI456">
        <v>0</v>
      </c>
    </row>
    <row r="457" spans="1:35" x14ac:dyDescent="0.45">
      <c r="A457">
        <v>456</v>
      </c>
      <c r="B457" t="s">
        <v>671</v>
      </c>
      <c r="C457" t="s">
        <v>675</v>
      </c>
      <c r="D457" t="s">
        <v>673</v>
      </c>
      <c r="E457">
        <v>3</v>
      </c>
      <c r="F457">
        <v>-5.5190000000000001</v>
      </c>
      <c r="G457">
        <v>-29.562000000000001</v>
      </c>
      <c r="H457">
        <v>16159</v>
      </c>
      <c r="I457">
        <v>-1</v>
      </c>
      <c r="J457">
        <v>1</v>
      </c>
      <c r="K457" t="s">
        <v>55</v>
      </c>
      <c r="L457" t="s">
        <v>55</v>
      </c>
      <c r="M457" t="s">
        <v>56</v>
      </c>
      <c r="N457">
        <v>1643487292.78</v>
      </c>
      <c r="O457">
        <v>0.20599999999999999</v>
      </c>
      <c r="P457">
        <v>0.41099999999999998</v>
      </c>
      <c r="Q457">
        <v>52.947000000000003</v>
      </c>
      <c r="R457">
        <v>1E-3</v>
      </c>
      <c r="S457">
        <v>0</v>
      </c>
      <c r="T457">
        <v>1.274</v>
      </c>
      <c r="U457">
        <v>90.004000000000005</v>
      </c>
      <c r="V457">
        <v>24.34</v>
      </c>
      <c r="W457">
        <v>2.2789999999999999</v>
      </c>
      <c r="X457">
        <v>86.072000000000003</v>
      </c>
      <c r="Y457">
        <v>0.88800000000000001</v>
      </c>
      <c r="Z457">
        <v>1.071</v>
      </c>
      <c r="AA457">
        <v>0</v>
      </c>
      <c r="AB457">
        <v>0</v>
      </c>
      <c r="AC457">
        <v>1</v>
      </c>
      <c r="AD457">
        <v>39.561999999999998</v>
      </c>
      <c r="AE457">
        <v>1</v>
      </c>
      <c r="AF457">
        <v>63</v>
      </c>
      <c r="AG457">
        <v>4</v>
      </c>
      <c r="AH457" t="s">
        <v>84</v>
      </c>
      <c r="AI457">
        <v>0</v>
      </c>
    </row>
    <row r="458" spans="1:35" x14ac:dyDescent="0.45">
      <c r="A458">
        <v>457</v>
      </c>
      <c r="B458" t="s">
        <v>671</v>
      </c>
      <c r="C458" t="s">
        <v>676</v>
      </c>
      <c r="D458" t="s">
        <v>673</v>
      </c>
      <c r="E458">
        <v>4</v>
      </c>
      <c r="F458">
        <v>-5.5069999999999997</v>
      </c>
      <c r="G458">
        <v>-29.486999999999998</v>
      </c>
      <c r="H458">
        <v>16298</v>
      </c>
      <c r="I458">
        <v>0</v>
      </c>
      <c r="J458">
        <v>1</v>
      </c>
      <c r="K458" t="s">
        <v>55</v>
      </c>
      <c r="L458" t="s">
        <v>55</v>
      </c>
      <c r="M458" t="s">
        <v>56</v>
      </c>
      <c r="N458">
        <v>1643487829.8299999</v>
      </c>
      <c r="O458">
        <v>0.20899999999999999</v>
      </c>
      <c r="P458">
        <v>0.36699999999999999</v>
      </c>
      <c r="Q458">
        <v>54.113999999999997</v>
      </c>
      <c r="R458">
        <v>1E-3</v>
      </c>
      <c r="S458">
        <v>1E-3</v>
      </c>
      <c r="T458">
        <v>1.302</v>
      </c>
      <c r="U458">
        <v>90.497</v>
      </c>
      <c r="V458">
        <v>24.61</v>
      </c>
      <c r="W458">
        <v>2.411</v>
      </c>
      <c r="X458">
        <v>88.45</v>
      </c>
      <c r="Y458">
        <v>0.89200000000000002</v>
      </c>
      <c r="Z458">
        <v>1.4390000000000001</v>
      </c>
      <c r="AA458">
        <v>0</v>
      </c>
      <c r="AB458">
        <v>0</v>
      </c>
      <c r="AC458">
        <v>1</v>
      </c>
      <c r="AD458">
        <v>39.625</v>
      </c>
      <c r="AE458">
        <v>1</v>
      </c>
      <c r="AF458">
        <v>63</v>
      </c>
      <c r="AG458">
        <v>4</v>
      </c>
      <c r="AH458" t="s">
        <v>84</v>
      </c>
      <c r="AI458">
        <v>0</v>
      </c>
    </row>
    <row r="459" spans="1:35" x14ac:dyDescent="0.45">
      <c r="A459">
        <v>458</v>
      </c>
      <c r="B459" t="s">
        <v>671</v>
      </c>
      <c r="C459" t="s">
        <v>677</v>
      </c>
      <c r="D459" t="s">
        <v>673</v>
      </c>
      <c r="E459">
        <v>5</v>
      </c>
      <c r="F459">
        <v>-5.492</v>
      </c>
      <c r="G459">
        <v>-29.451000000000001</v>
      </c>
      <c r="H459">
        <v>16250</v>
      </c>
      <c r="I459">
        <v>0</v>
      </c>
      <c r="J459">
        <v>1</v>
      </c>
      <c r="K459" t="s">
        <v>55</v>
      </c>
      <c r="L459" t="s">
        <v>55</v>
      </c>
      <c r="M459" t="s">
        <v>56</v>
      </c>
      <c r="N459">
        <v>1643488366.24</v>
      </c>
      <c r="O459">
        <v>0.18</v>
      </c>
      <c r="P459">
        <v>0.39700000000000002</v>
      </c>
      <c r="Q459">
        <v>52.779000000000003</v>
      </c>
      <c r="R459">
        <v>1E-3</v>
      </c>
      <c r="S459">
        <v>0</v>
      </c>
      <c r="T459">
        <v>1.2749999999999999</v>
      </c>
      <c r="U459">
        <v>90.546999999999997</v>
      </c>
      <c r="V459">
        <v>24.442</v>
      </c>
      <c r="W459">
        <v>2.3420000000000001</v>
      </c>
      <c r="X459">
        <v>86.673000000000002</v>
      </c>
      <c r="Y459">
        <v>0.88900000000000001</v>
      </c>
      <c r="Z459">
        <v>1.121</v>
      </c>
      <c r="AA459">
        <v>0</v>
      </c>
      <c r="AB459">
        <v>0</v>
      </c>
      <c r="AC459">
        <v>1</v>
      </c>
      <c r="AD459">
        <v>39.625</v>
      </c>
      <c r="AE459">
        <v>1</v>
      </c>
      <c r="AF459">
        <v>63</v>
      </c>
      <c r="AG459">
        <v>4</v>
      </c>
      <c r="AH459" t="s">
        <v>84</v>
      </c>
      <c r="AI459">
        <v>0</v>
      </c>
    </row>
    <row r="460" spans="1:35" x14ac:dyDescent="0.45">
      <c r="A460">
        <v>459</v>
      </c>
      <c r="B460" t="s">
        <v>671</v>
      </c>
      <c r="C460" t="s">
        <v>678</v>
      </c>
      <c r="D460" t="s">
        <v>673</v>
      </c>
      <c r="E460">
        <v>6</v>
      </c>
      <c r="F460">
        <v>-5.4930000000000003</v>
      </c>
      <c r="G460">
        <v>-29.425999999999998</v>
      </c>
      <c r="H460">
        <v>16188</v>
      </c>
      <c r="I460">
        <v>0</v>
      </c>
      <c r="J460">
        <v>1</v>
      </c>
      <c r="K460" t="s">
        <v>55</v>
      </c>
      <c r="L460" t="s">
        <v>55</v>
      </c>
      <c r="M460" t="s">
        <v>56</v>
      </c>
      <c r="N460">
        <v>1643488903.25</v>
      </c>
      <c r="O460">
        <v>0.20899999999999999</v>
      </c>
      <c r="P460">
        <v>0.41499999999999998</v>
      </c>
      <c r="Q460">
        <v>52.625</v>
      </c>
      <c r="R460">
        <v>1E-3</v>
      </c>
      <c r="S460">
        <v>1E-3</v>
      </c>
      <c r="T460">
        <v>1.2709999999999999</v>
      </c>
      <c r="U460">
        <v>90.058000000000007</v>
      </c>
      <c r="V460">
        <v>24.311</v>
      </c>
      <c r="W460">
        <v>2.3420000000000001</v>
      </c>
      <c r="X460">
        <v>86.994</v>
      </c>
      <c r="Y460">
        <v>0.89</v>
      </c>
      <c r="Z460">
        <v>1.248</v>
      </c>
      <c r="AA460">
        <v>0</v>
      </c>
      <c r="AB460">
        <v>0</v>
      </c>
      <c r="AC460">
        <v>1</v>
      </c>
      <c r="AD460">
        <v>39.625</v>
      </c>
      <c r="AE460">
        <v>1</v>
      </c>
      <c r="AF460">
        <v>63</v>
      </c>
      <c r="AG460">
        <v>4</v>
      </c>
      <c r="AH460" t="s">
        <v>84</v>
      </c>
      <c r="AI460">
        <v>0</v>
      </c>
    </row>
    <row r="461" spans="1:35" x14ac:dyDescent="0.45">
      <c r="A461">
        <v>460</v>
      </c>
      <c r="B461" t="s">
        <v>679</v>
      </c>
      <c r="C461" t="s">
        <v>680</v>
      </c>
      <c r="D461" t="s">
        <v>681</v>
      </c>
      <c r="E461">
        <v>1</v>
      </c>
      <c r="F461">
        <v>-5.5830000000000002</v>
      </c>
      <c r="G461">
        <v>-35.087000000000003</v>
      </c>
      <c r="H461">
        <v>16235</v>
      </c>
      <c r="I461">
        <v>-1</v>
      </c>
      <c r="J461">
        <v>1</v>
      </c>
      <c r="K461" t="s">
        <v>55</v>
      </c>
      <c r="L461" t="s">
        <v>55</v>
      </c>
      <c r="M461" t="s">
        <v>56</v>
      </c>
      <c r="N461">
        <v>1643489439.5599999</v>
      </c>
      <c r="O461">
        <v>0.19800000000000001</v>
      </c>
      <c r="P461">
        <v>0.41199999999999998</v>
      </c>
      <c r="Q461">
        <v>53.682000000000002</v>
      </c>
      <c r="R461">
        <v>1E-3</v>
      </c>
      <c r="S461">
        <v>0</v>
      </c>
      <c r="T461">
        <v>1.286</v>
      </c>
      <c r="U461">
        <v>90.21</v>
      </c>
      <c r="V461">
        <v>25.01</v>
      </c>
      <c r="W461">
        <v>2.3559999999999999</v>
      </c>
      <c r="X461">
        <v>86.305000000000007</v>
      </c>
      <c r="Y461">
        <v>0.88500000000000001</v>
      </c>
      <c r="Z461">
        <v>1.2450000000000001</v>
      </c>
      <c r="AA461">
        <v>0</v>
      </c>
      <c r="AB461">
        <v>0</v>
      </c>
      <c r="AC461">
        <v>1</v>
      </c>
      <c r="AD461">
        <v>39.625</v>
      </c>
      <c r="AE461">
        <v>1</v>
      </c>
      <c r="AF461">
        <v>64</v>
      </c>
      <c r="AG461">
        <v>4</v>
      </c>
      <c r="AH461" t="s">
        <v>84</v>
      </c>
      <c r="AI461">
        <v>0</v>
      </c>
    </row>
    <row r="462" spans="1:35" x14ac:dyDescent="0.45">
      <c r="A462">
        <v>461</v>
      </c>
      <c r="B462" t="s">
        <v>679</v>
      </c>
      <c r="C462" t="s">
        <v>682</v>
      </c>
      <c r="D462" t="s">
        <v>681</v>
      </c>
      <c r="E462">
        <v>2</v>
      </c>
      <c r="F462">
        <v>-5.5759999999999996</v>
      </c>
      <c r="G462">
        <v>-35.523000000000003</v>
      </c>
      <c r="H462">
        <v>16257</v>
      </c>
      <c r="I462">
        <v>-1</v>
      </c>
      <c r="J462">
        <v>1</v>
      </c>
      <c r="K462" t="s">
        <v>55</v>
      </c>
      <c r="L462" t="s">
        <v>55</v>
      </c>
      <c r="M462" t="s">
        <v>56</v>
      </c>
      <c r="N462">
        <v>1643489976.5599999</v>
      </c>
      <c r="O462">
        <v>0.20100000000000001</v>
      </c>
      <c r="P462">
        <v>0.43</v>
      </c>
      <c r="Q462">
        <v>53.875</v>
      </c>
      <c r="R462">
        <v>1E-3</v>
      </c>
      <c r="S462">
        <v>2E-3</v>
      </c>
      <c r="T462">
        <v>1.2929999999999999</v>
      </c>
      <c r="U462">
        <v>90.775000000000006</v>
      </c>
      <c r="V462">
        <v>24.312999999999999</v>
      </c>
      <c r="W462">
        <v>2.3260000000000001</v>
      </c>
      <c r="X462">
        <v>86.114999999999995</v>
      </c>
      <c r="Y462">
        <v>0.88800000000000001</v>
      </c>
      <c r="Z462">
        <v>0.85199999999999998</v>
      </c>
      <c r="AA462">
        <v>0</v>
      </c>
      <c r="AB462">
        <v>0</v>
      </c>
      <c r="AC462">
        <v>1</v>
      </c>
      <c r="AD462">
        <v>39.625</v>
      </c>
      <c r="AE462">
        <v>1</v>
      </c>
      <c r="AF462">
        <v>64</v>
      </c>
      <c r="AG462">
        <v>4</v>
      </c>
      <c r="AH462" t="s">
        <v>84</v>
      </c>
      <c r="AI462">
        <v>0</v>
      </c>
    </row>
    <row r="463" spans="1:35" x14ac:dyDescent="0.45">
      <c r="A463">
        <v>462</v>
      </c>
      <c r="B463" t="s">
        <v>679</v>
      </c>
      <c r="C463" t="s">
        <v>683</v>
      </c>
      <c r="D463" t="s">
        <v>681</v>
      </c>
      <c r="E463">
        <v>3</v>
      </c>
      <c r="F463">
        <v>-5.5940000000000003</v>
      </c>
      <c r="G463">
        <v>-35.658999999999999</v>
      </c>
      <c r="H463">
        <v>16179</v>
      </c>
      <c r="I463">
        <v>-1</v>
      </c>
      <c r="J463">
        <v>1</v>
      </c>
      <c r="K463" t="s">
        <v>55</v>
      </c>
      <c r="L463" t="s">
        <v>55</v>
      </c>
      <c r="M463" t="s">
        <v>56</v>
      </c>
      <c r="N463">
        <v>1643490512.79</v>
      </c>
      <c r="O463">
        <v>0.17399999999999999</v>
      </c>
      <c r="P463">
        <v>0.44700000000000001</v>
      </c>
      <c r="Q463">
        <v>52.81</v>
      </c>
      <c r="R463">
        <v>1E-3</v>
      </c>
      <c r="S463">
        <v>2E-3</v>
      </c>
      <c r="T463">
        <v>1.274</v>
      </c>
      <c r="U463">
        <v>90.058999999999997</v>
      </c>
      <c r="V463">
        <v>24.446000000000002</v>
      </c>
      <c r="W463">
        <v>2.3029999999999999</v>
      </c>
      <c r="X463">
        <v>86.468000000000004</v>
      </c>
      <c r="Y463">
        <v>0.89</v>
      </c>
      <c r="Z463">
        <v>1.137</v>
      </c>
      <c r="AA463">
        <v>0</v>
      </c>
      <c r="AB463">
        <v>0</v>
      </c>
      <c r="AC463">
        <v>1</v>
      </c>
      <c r="AD463">
        <v>39.625</v>
      </c>
      <c r="AE463">
        <v>1</v>
      </c>
      <c r="AF463">
        <v>64</v>
      </c>
      <c r="AG463">
        <v>4</v>
      </c>
      <c r="AH463" t="s">
        <v>84</v>
      </c>
      <c r="AI463">
        <v>0</v>
      </c>
    </row>
    <row r="464" spans="1:35" x14ac:dyDescent="0.45">
      <c r="A464">
        <v>463</v>
      </c>
      <c r="B464" t="s">
        <v>679</v>
      </c>
      <c r="C464" t="s">
        <v>684</v>
      </c>
      <c r="D464" t="s">
        <v>681</v>
      </c>
      <c r="E464">
        <v>4</v>
      </c>
      <c r="F464">
        <v>-5.5839999999999996</v>
      </c>
      <c r="G464">
        <v>-35.546999999999997</v>
      </c>
      <c r="H464">
        <v>16208</v>
      </c>
      <c r="I464">
        <v>0</v>
      </c>
      <c r="J464">
        <v>1</v>
      </c>
      <c r="K464" t="s">
        <v>55</v>
      </c>
      <c r="L464" t="s">
        <v>55</v>
      </c>
      <c r="M464" t="s">
        <v>56</v>
      </c>
      <c r="N464">
        <v>1643491049.78</v>
      </c>
      <c r="O464">
        <v>0.19500000000000001</v>
      </c>
      <c r="P464">
        <v>0.371</v>
      </c>
      <c r="Q464">
        <v>53.451999999999998</v>
      </c>
      <c r="R464">
        <v>1E-3</v>
      </c>
      <c r="S464">
        <v>1E-3</v>
      </c>
      <c r="T464">
        <v>1.288</v>
      </c>
      <c r="U464">
        <v>90.406000000000006</v>
      </c>
      <c r="V464">
        <v>24.155999999999999</v>
      </c>
      <c r="W464">
        <v>2.3039999999999998</v>
      </c>
      <c r="X464">
        <v>86.516999999999996</v>
      </c>
      <c r="Y464">
        <v>0.88600000000000001</v>
      </c>
      <c r="Z464">
        <v>1.054</v>
      </c>
      <c r="AA464">
        <v>0</v>
      </c>
      <c r="AB464">
        <v>0</v>
      </c>
      <c r="AC464">
        <v>1</v>
      </c>
      <c r="AD464">
        <v>39.625</v>
      </c>
      <c r="AE464">
        <v>1</v>
      </c>
      <c r="AF464">
        <v>64</v>
      </c>
      <c r="AG464">
        <v>4</v>
      </c>
      <c r="AH464" t="s">
        <v>84</v>
      </c>
      <c r="AI464">
        <v>0</v>
      </c>
    </row>
    <row r="465" spans="1:35" x14ac:dyDescent="0.45">
      <c r="A465">
        <v>464</v>
      </c>
      <c r="B465" t="s">
        <v>679</v>
      </c>
      <c r="C465" t="s">
        <v>685</v>
      </c>
      <c r="D465" t="s">
        <v>681</v>
      </c>
      <c r="E465">
        <v>5</v>
      </c>
      <c r="F465">
        <v>-5.64</v>
      </c>
      <c r="G465">
        <v>-35.805999999999997</v>
      </c>
      <c r="H465">
        <v>16245</v>
      </c>
      <c r="I465">
        <v>0</v>
      </c>
      <c r="J465">
        <v>1</v>
      </c>
      <c r="K465" t="s">
        <v>55</v>
      </c>
      <c r="L465" t="s">
        <v>55</v>
      </c>
      <c r="M465" t="s">
        <v>56</v>
      </c>
      <c r="N465">
        <v>1643491586.5899999</v>
      </c>
      <c r="O465">
        <v>0.182</v>
      </c>
      <c r="P465">
        <v>0.40500000000000003</v>
      </c>
      <c r="Q465">
        <v>53.761000000000003</v>
      </c>
      <c r="R465">
        <v>1E-3</v>
      </c>
      <c r="S465">
        <v>2E-3</v>
      </c>
      <c r="T465">
        <v>1.282</v>
      </c>
      <c r="U465">
        <v>90.358000000000004</v>
      </c>
      <c r="V465">
        <v>25.094000000000001</v>
      </c>
      <c r="W465">
        <v>2.3109999999999999</v>
      </c>
      <c r="X465">
        <v>85.507999999999996</v>
      </c>
      <c r="Y465">
        <v>0.89300000000000002</v>
      </c>
      <c r="Z465">
        <v>1.008</v>
      </c>
      <c r="AA465">
        <v>0</v>
      </c>
      <c r="AB465">
        <v>0</v>
      </c>
      <c r="AC465">
        <v>1</v>
      </c>
      <c r="AD465">
        <v>39.625</v>
      </c>
      <c r="AE465">
        <v>1</v>
      </c>
      <c r="AF465">
        <v>64</v>
      </c>
      <c r="AG465">
        <v>4</v>
      </c>
      <c r="AH465" t="s">
        <v>84</v>
      </c>
      <c r="AI465">
        <v>0</v>
      </c>
    </row>
    <row r="466" spans="1:35" x14ac:dyDescent="0.45">
      <c r="A466">
        <v>465</v>
      </c>
      <c r="B466" t="s">
        <v>679</v>
      </c>
      <c r="C466" t="s">
        <v>686</v>
      </c>
      <c r="D466" t="s">
        <v>681</v>
      </c>
      <c r="E466">
        <v>6</v>
      </c>
      <c r="F466">
        <v>-5.601</v>
      </c>
      <c r="G466">
        <v>-35.703000000000003</v>
      </c>
      <c r="H466">
        <v>16223</v>
      </c>
      <c r="I466">
        <v>0</v>
      </c>
      <c r="J466">
        <v>1</v>
      </c>
      <c r="K466" t="s">
        <v>55</v>
      </c>
      <c r="L466" t="s">
        <v>55</v>
      </c>
      <c r="M466" t="s">
        <v>56</v>
      </c>
      <c r="N466">
        <v>1643492122.9000001</v>
      </c>
      <c r="O466">
        <v>0.20699999999999999</v>
      </c>
      <c r="P466">
        <v>0.377</v>
      </c>
      <c r="Q466">
        <v>52.859000000000002</v>
      </c>
      <c r="R466">
        <v>1E-3</v>
      </c>
      <c r="S466">
        <v>1E-3</v>
      </c>
      <c r="T466">
        <v>1.2789999999999999</v>
      </c>
      <c r="U466">
        <v>90.49</v>
      </c>
      <c r="V466">
        <v>24.376000000000001</v>
      </c>
      <c r="W466">
        <v>2.323</v>
      </c>
      <c r="X466">
        <v>86.081000000000003</v>
      </c>
      <c r="Y466">
        <v>0.88200000000000001</v>
      </c>
      <c r="Z466">
        <v>0.93500000000000005</v>
      </c>
      <c r="AA466">
        <v>0</v>
      </c>
      <c r="AB466">
        <v>0</v>
      </c>
      <c r="AC466">
        <v>1</v>
      </c>
      <c r="AD466">
        <v>39.625</v>
      </c>
      <c r="AE466">
        <v>1</v>
      </c>
      <c r="AF466">
        <v>64</v>
      </c>
      <c r="AG466">
        <v>4</v>
      </c>
      <c r="AH466" t="s">
        <v>84</v>
      </c>
      <c r="AI466">
        <v>0</v>
      </c>
    </row>
    <row r="467" spans="1:35" x14ac:dyDescent="0.45">
      <c r="A467">
        <v>466</v>
      </c>
      <c r="B467" t="s">
        <v>687</v>
      </c>
      <c r="C467" t="s">
        <v>688</v>
      </c>
      <c r="D467" t="s">
        <v>689</v>
      </c>
      <c r="E467">
        <v>1</v>
      </c>
      <c r="F467">
        <v>-5.1479999999999997</v>
      </c>
      <c r="G467">
        <v>-32.582000000000001</v>
      </c>
      <c r="H467">
        <v>16262</v>
      </c>
      <c r="I467">
        <v>-1</v>
      </c>
      <c r="J467">
        <v>1</v>
      </c>
      <c r="K467" t="s">
        <v>55</v>
      </c>
      <c r="L467" t="s">
        <v>55</v>
      </c>
      <c r="M467" t="s">
        <v>56</v>
      </c>
      <c r="N467">
        <v>1643492658.95</v>
      </c>
      <c r="O467">
        <v>0.193</v>
      </c>
      <c r="P467">
        <v>0.438</v>
      </c>
      <c r="Q467">
        <v>53.948</v>
      </c>
      <c r="R467">
        <v>1E-3</v>
      </c>
      <c r="S467">
        <v>2E-3</v>
      </c>
      <c r="T467">
        <v>1.3029999999999999</v>
      </c>
      <c r="U467">
        <v>90.567999999999998</v>
      </c>
      <c r="V467">
        <v>24.577999999999999</v>
      </c>
      <c r="W467">
        <v>2.3239999999999998</v>
      </c>
      <c r="X467">
        <v>86.644999999999996</v>
      </c>
      <c r="Y467">
        <v>0.88800000000000001</v>
      </c>
      <c r="Z467">
        <v>1.0369999999999999</v>
      </c>
      <c r="AA467">
        <v>0</v>
      </c>
      <c r="AB467">
        <v>0</v>
      </c>
      <c r="AC467">
        <v>1</v>
      </c>
      <c r="AD467">
        <v>39.688000000000002</v>
      </c>
      <c r="AE467">
        <v>1</v>
      </c>
      <c r="AF467">
        <v>65</v>
      </c>
      <c r="AG467">
        <v>4</v>
      </c>
      <c r="AH467" t="s">
        <v>84</v>
      </c>
      <c r="AI467">
        <v>0</v>
      </c>
    </row>
    <row r="468" spans="1:35" x14ac:dyDescent="0.45">
      <c r="A468">
        <v>467</v>
      </c>
      <c r="B468" t="s">
        <v>687</v>
      </c>
      <c r="C468" t="s">
        <v>690</v>
      </c>
      <c r="D468" t="s">
        <v>689</v>
      </c>
      <c r="E468">
        <v>2</v>
      </c>
      <c r="F468">
        <v>-5.1319999999999997</v>
      </c>
      <c r="G468">
        <v>-32.365000000000002</v>
      </c>
      <c r="H468">
        <v>16292</v>
      </c>
      <c r="I468">
        <v>-1</v>
      </c>
      <c r="J468">
        <v>1</v>
      </c>
      <c r="K468" t="s">
        <v>55</v>
      </c>
      <c r="L468" t="s">
        <v>55</v>
      </c>
      <c r="M468" t="s">
        <v>56</v>
      </c>
      <c r="N468">
        <v>1643493195.8699999</v>
      </c>
      <c r="O468">
        <v>0.17699999999999999</v>
      </c>
      <c r="P468">
        <v>0.43</v>
      </c>
      <c r="Q468">
        <v>53.106000000000002</v>
      </c>
      <c r="R468">
        <v>1E-3</v>
      </c>
      <c r="S468">
        <v>0</v>
      </c>
      <c r="T468">
        <v>1.2709999999999999</v>
      </c>
      <c r="U468">
        <v>90.701999999999998</v>
      </c>
      <c r="V468">
        <v>24.65</v>
      </c>
      <c r="W468">
        <v>2.339</v>
      </c>
      <c r="X468">
        <v>87.144000000000005</v>
      </c>
      <c r="Y468">
        <v>0.89</v>
      </c>
      <c r="Z468">
        <v>1.123</v>
      </c>
      <c r="AA468">
        <v>0</v>
      </c>
      <c r="AB468">
        <v>0</v>
      </c>
      <c r="AC468">
        <v>1</v>
      </c>
      <c r="AD468">
        <v>39.688000000000002</v>
      </c>
      <c r="AE468">
        <v>1</v>
      </c>
      <c r="AF468">
        <v>65</v>
      </c>
      <c r="AG468">
        <v>4</v>
      </c>
      <c r="AH468" t="s">
        <v>84</v>
      </c>
      <c r="AI468">
        <v>0</v>
      </c>
    </row>
    <row r="469" spans="1:35" x14ac:dyDescent="0.45">
      <c r="A469">
        <v>468</v>
      </c>
      <c r="B469" t="s">
        <v>687</v>
      </c>
      <c r="C469" t="s">
        <v>691</v>
      </c>
      <c r="D469" t="s">
        <v>689</v>
      </c>
      <c r="E469">
        <v>3</v>
      </c>
      <c r="F469">
        <v>-5.085</v>
      </c>
      <c r="G469">
        <v>-32.298000000000002</v>
      </c>
      <c r="H469">
        <v>16259</v>
      </c>
      <c r="I469">
        <v>-1</v>
      </c>
      <c r="J469">
        <v>1</v>
      </c>
      <c r="K469" t="s">
        <v>55</v>
      </c>
      <c r="L469" t="s">
        <v>55</v>
      </c>
      <c r="M469" t="s">
        <v>56</v>
      </c>
      <c r="N469">
        <v>1643493731.5999999</v>
      </c>
      <c r="O469">
        <v>0.20300000000000001</v>
      </c>
      <c r="P469">
        <v>0.48199999999999998</v>
      </c>
      <c r="Q469">
        <v>53.381</v>
      </c>
      <c r="R469">
        <v>1E-3</v>
      </c>
      <c r="S469">
        <v>0</v>
      </c>
      <c r="T469">
        <v>1.2809999999999999</v>
      </c>
      <c r="U469">
        <v>90.564999999999998</v>
      </c>
      <c r="V469">
        <v>24.571999999999999</v>
      </c>
      <c r="W469">
        <v>2.323</v>
      </c>
      <c r="X469">
        <v>86.605000000000004</v>
      </c>
      <c r="Y469">
        <v>0.88500000000000001</v>
      </c>
      <c r="Z469">
        <v>1.109</v>
      </c>
      <c r="AA469">
        <v>0</v>
      </c>
      <c r="AB469">
        <v>0</v>
      </c>
      <c r="AC469">
        <v>1</v>
      </c>
      <c r="AD469">
        <v>39.625</v>
      </c>
      <c r="AE469">
        <v>1</v>
      </c>
      <c r="AF469">
        <v>65</v>
      </c>
      <c r="AG469">
        <v>4</v>
      </c>
      <c r="AH469" t="s">
        <v>84</v>
      </c>
      <c r="AI469">
        <v>0</v>
      </c>
    </row>
    <row r="470" spans="1:35" x14ac:dyDescent="0.45">
      <c r="A470">
        <v>469</v>
      </c>
      <c r="B470" t="s">
        <v>687</v>
      </c>
      <c r="C470" t="s">
        <v>692</v>
      </c>
      <c r="D470" t="s">
        <v>689</v>
      </c>
      <c r="E470">
        <v>4</v>
      </c>
      <c r="F470">
        <v>-5.13</v>
      </c>
      <c r="G470">
        <v>-32.247</v>
      </c>
      <c r="H470">
        <v>16249</v>
      </c>
      <c r="I470">
        <v>0</v>
      </c>
      <c r="J470">
        <v>1</v>
      </c>
      <c r="K470" t="s">
        <v>55</v>
      </c>
      <c r="L470" t="s">
        <v>55</v>
      </c>
      <c r="M470" t="s">
        <v>56</v>
      </c>
      <c r="N470">
        <v>1643494270.0699999</v>
      </c>
      <c r="O470">
        <v>0.214</v>
      </c>
      <c r="P470">
        <v>0.45400000000000001</v>
      </c>
      <c r="Q470">
        <v>52.957999999999998</v>
      </c>
      <c r="R470">
        <v>1E-3</v>
      </c>
      <c r="S470">
        <v>2E-3</v>
      </c>
      <c r="T470">
        <v>1.284</v>
      </c>
      <c r="U470">
        <v>90.448999999999998</v>
      </c>
      <c r="V470">
        <v>24.588999999999999</v>
      </c>
      <c r="W470">
        <v>2.33</v>
      </c>
      <c r="X470">
        <v>86.641000000000005</v>
      </c>
      <c r="Y470">
        <v>0.89100000000000001</v>
      </c>
      <c r="Z470">
        <v>1.113</v>
      </c>
      <c r="AA470">
        <v>0</v>
      </c>
      <c r="AB470">
        <v>0</v>
      </c>
      <c r="AC470">
        <v>1</v>
      </c>
      <c r="AD470">
        <v>39.688000000000002</v>
      </c>
      <c r="AE470">
        <v>1</v>
      </c>
      <c r="AF470">
        <v>65</v>
      </c>
      <c r="AG470">
        <v>4</v>
      </c>
      <c r="AH470" t="s">
        <v>84</v>
      </c>
      <c r="AI470">
        <v>0</v>
      </c>
    </row>
    <row r="471" spans="1:35" x14ac:dyDescent="0.45">
      <c r="A471">
        <v>470</v>
      </c>
      <c r="B471" t="s">
        <v>687</v>
      </c>
      <c r="C471" t="s">
        <v>693</v>
      </c>
      <c r="D471" t="s">
        <v>689</v>
      </c>
      <c r="E471">
        <v>5</v>
      </c>
      <c r="F471">
        <v>-5.1319999999999997</v>
      </c>
      <c r="G471">
        <v>-32.258000000000003</v>
      </c>
      <c r="H471">
        <v>16187</v>
      </c>
      <c r="I471">
        <v>0</v>
      </c>
      <c r="J471">
        <v>1</v>
      </c>
      <c r="K471" t="s">
        <v>55</v>
      </c>
      <c r="L471" t="s">
        <v>55</v>
      </c>
      <c r="M471" t="s">
        <v>56</v>
      </c>
      <c r="N471">
        <v>1643494806.2</v>
      </c>
      <c r="O471">
        <v>0.20100000000000001</v>
      </c>
      <c r="P471">
        <v>0.42099999999999999</v>
      </c>
      <c r="Q471">
        <v>52.491</v>
      </c>
      <c r="R471">
        <v>0</v>
      </c>
      <c r="S471">
        <v>2E-3</v>
      </c>
      <c r="T471">
        <v>1.2609999999999999</v>
      </c>
      <c r="U471">
        <v>90.24</v>
      </c>
      <c r="V471">
        <v>24.309000000000001</v>
      </c>
      <c r="W471">
        <v>2.3199999999999998</v>
      </c>
      <c r="X471">
        <v>86.222999999999999</v>
      </c>
      <c r="Y471">
        <v>0.88300000000000001</v>
      </c>
      <c r="Z471">
        <v>0.95699999999999996</v>
      </c>
      <c r="AA471">
        <v>0</v>
      </c>
      <c r="AB471">
        <v>0</v>
      </c>
      <c r="AC471">
        <v>1</v>
      </c>
      <c r="AD471">
        <v>39.625</v>
      </c>
      <c r="AE471">
        <v>1</v>
      </c>
      <c r="AF471">
        <v>65</v>
      </c>
      <c r="AG471">
        <v>4</v>
      </c>
      <c r="AH471" t="s">
        <v>84</v>
      </c>
      <c r="AI471">
        <v>0</v>
      </c>
    </row>
    <row r="472" spans="1:35" x14ac:dyDescent="0.45">
      <c r="A472">
        <v>471</v>
      </c>
      <c r="B472" t="s">
        <v>687</v>
      </c>
      <c r="C472" t="s">
        <v>694</v>
      </c>
      <c r="D472" t="s">
        <v>689</v>
      </c>
      <c r="E472">
        <v>6</v>
      </c>
      <c r="F472">
        <v>-5.1139999999999999</v>
      </c>
      <c r="G472">
        <v>-32.26</v>
      </c>
      <c r="H472">
        <v>16291</v>
      </c>
      <c r="I472">
        <v>0</v>
      </c>
      <c r="J472">
        <v>1</v>
      </c>
      <c r="K472" t="s">
        <v>55</v>
      </c>
      <c r="L472" t="s">
        <v>55</v>
      </c>
      <c r="M472" t="s">
        <v>56</v>
      </c>
      <c r="N472">
        <v>1643495343.3800001</v>
      </c>
      <c r="O472">
        <v>0.19500000000000001</v>
      </c>
      <c r="P472">
        <v>0.439</v>
      </c>
      <c r="Q472">
        <v>53.329000000000001</v>
      </c>
      <c r="R472">
        <v>0</v>
      </c>
      <c r="S472">
        <v>0</v>
      </c>
      <c r="T472">
        <v>1.2849999999999999</v>
      </c>
      <c r="U472">
        <v>90.78</v>
      </c>
      <c r="V472">
        <v>24.815999999999999</v>
      </c>
      <c r="W472">
        <v>2.3109999999999999</v>
      </c>
      <c r="X472">
        <v>86.131</v>
      </c>
      <c r="Y472">
        <v>0.88600000000000001</v>
      </c>
      <c r="Z472">
        <v>0.96399999999999997</v>
      </c>
      <c r="AA472">
        <v>0</v>
      </c>
      <c r="AB472">
        <v>0</v>
      </c>
      <c r="AC472">
        <v>1</v>
      </c>
      <c r="AD472">
        <v>39.625</v>
      </c>
      <c r="AE472">
        <v>1</v>
      </c>
      <c r="AF472">
        <v>65</v>
      </c>
      <c r="AG472">
        <v>4</v>
      </c>
      <c r="AH472" t="s">
        <v>84</v>
      </c>
      <c r="AI472">
        <v>0</v>
      </c>
    </row>
    <row r="473" spans="1:35" x14ac:dyDescent="0.45">
      <c r="A473">
        <v>472</v>
      </c>
      <c r="B473" t="s">
        <v>695</v>
      </c>
      <c r="C473" t="s">
        <v>696</v>
      </c>
      <c r="D473" t="s">
        <v>697</v>
      </c>
      <c r="E473">
        <v>1</v>
      </c>
      <c r="F473">
        <v>-5.6509999999999998</v>
      </c>
      <c r="G473">
        <v>-35.893000000000001</v>
      </c>
      <c r="H473">
        <v>16264</v>
      </c>
      <c r="I473">
        <v>-1</v>
      </c>
      <c r="J473">
        <v>1</v>
      </c>
      <c r="K473" t="s">
        <v>55</v>
      </c>
      <c r="L473" t="s">
        <v>55</v>
      </c>
      <c r="M473" t="s">
        <v>56</v>
      </c>
      <c r="N473">
        <v>1643495879.5699999</v>
      </c>
      <c r="O473">
        <v>0.219</v>
      </c>
      <c r="P473">
        <v>0.39100000000000001</v>
      </c>
      <c r="Q473">
        <v>53.545999999999999</v>
      </c>
      <c r="R473">
        <v>0</v>
      </c>
      <c r="S473">
        <v>1E-3</v>
      </c>
      <c r="T473">
        <v>1.29</v>
      </c>
      <c r="U473">
        <v>90.561999999999998</v>
      </c>
      <c r="V473">
        <v>24.805</v>
      </c>
      <c r="W473">
        <v>2.319</v>
      </c>
      <c r="X473">
        <v>86.120999999999995</v>
      </c>
      <c r="Y473">
        <v>0.88600000000000001</v>
      </c>
      <c r="Z473">
        <v>1.026</v>
      </c>
      <c r="AA473">
        <v>0</v>
      </c>
      <c r="AB473">
        <v>0</v>
      </c>
      <c r="AC473">
        <v>1</v>
      </c>
      <c r="AD473">
        <v>39.625</v>
      </c>
      <c r="AE473">
        <v>1</v>
      </c>
      <c r="AF473">
        <v>66</v>
      </c>
      <c r="AG473">
        <v>4</v>
      </c>
      <c r="AH473" t="s">
        <v>84</v>
      </c>
      <c r="AI473">
        <v>0</v>
      </c>
    </row>
    <row r="474" spans="1:35" x14ac:dyDescent="0.45">
      <c r="A474">
        <v>473</v>
      </c>
      <c r="B474" t="s">
        <v>695</v>
      </c>
      <c r="C474" t="s">
        <v>698</v>
      </c>
      <c r="D474" t="s">
        <v>697</v>
      </c>
      <c r="E474">
        <v>2</v>
      </c>
      <c r="F474">
        <v>-5.6429999999999998</v>
      </c>
      <c r="G474">
        <v>-36.131</v>
      </c>
      <c r="H474">
        <v>16243</v>
      </c>
      <c r="I474">
        <v>-1</v>
      </c>
      <c r="J474">
        <v>1</v>
      </c>
      <c r="K474" t="s">
        <v>55</v>
      </c>
      <c r="L474" t="s">
        <v>55</v>
      </c>
      <c r="M474" t="s">
        <v>56</v>
      </c>
      <c r="N474">
        <v>1643496416.8299999</v>
      </c>
      <c r="O474">
        <v>0.19800000000000001</v>
      </c>
      <c r="P474">
        <v>0.40500000000000003</v>
      </c>
      <c r="Q474">
        <v>53.286999999999999</v>
      </c>
      <c r="R474">
        <v>0</v>
      </c>
      <c r="S474">
        <v>0</v>
      </c>
      <c r="T474">
        <v>1.292</v>
      </c>
      <c r="U474">
        <v>90.481999999999999</v>
      </c>
      <c r="V474">
        <v>24.795000000000002</v>
      </c>
      <c r="W474">
        <v>2.3130000000000002</v>
      </c>
      <c r="X474">
        <v>85.731999999999999</v>
      </c>
      <c r="Y474">
        <v>0.88200000000000001</v>
      </c>
      <c r="Z474">
        <v>1.042</v>
      </c>
      <c r="AA474">
        <v>0</v>
      </c>
      <c r="AB474">
        <v>0</v>
      </c>
      <c r="AC474">
        <v>1</v>
      </c>
      <c r="AD474">
        <v>39.688000000000002</v>
      </c>
      <c r="AE474">
        <v>1</v>
      </c>
      <c r="AF474">
        <v>66</v>
      </c>
      <c r="AG474">
        <v>4</v>
      </c>
      <c r="AH474" t="s">
        <v>84</v>
      </c>
      <c r="AI474">
        <v>0</v>
      </c>
    </row>
    <row r="475" spans="1:35" x14ac:dyDescent="0.45">
      <c r="A475">
        <v>474</v>
      </c>
      <c r="B475" t="s">
        <v>695</v>
      </c>
      <c r="C475" t="s">
        <v>699</v>
      </c>
      <c r="D475" t="s">
        <v>697</v>
      </c>
      <c r="E475">
        <v>3</v>
      </c>
      <c r="F475">
        <v>-5.6879999999999997</v>
      </c>
      <c r="G475">
        <v>-36.222999999999999</v>
      </c>
      <c r="H475">
        <v>16185</v>
      </c>
      <c r="I475">
        <v>-1</v>
      </c>
      <c r="J475">
        <v>1</v>
      </c>
      <c r="K475" t="s">
        <v>55</v>
      </c>
      <c r="L475" t="s">
        <v>55</v>
      </c>
      <c r="M475" t="s">
        <v>56</v>
      </c>
      <c r="N475">
        <v>1643496953.74</v>
      </c>
      <c r="O475">
        <v>0.188</v>
      </c>
      <c r="P475">
        <v>0.436</v>
      </c>
      <c r="Q475">
        <v>52.759</v>
      </c>
      <c r="R475">
        <v>1E-3</v>
      </c>
      <c r="S475">
        <v>1E-3</v>
      </c>
      <c r="T475">
        <v>1.278</v>
      </c>
      <c r="U475">
        <v>89.983999999999995</v>
      </c>
      <c r="V475">
        <v>24.640999999999998</v>
      </c>
      <c r="W475">
        <v>2.3199999999999998</v>
      </c>
      <c r="X475">
        <v>86.37</v>
      </c>
      <c r="Y475">
        <v>0.88600000000000001</v>
      </c>
      <c r="Z475">
        <v>1.1639999999999999</v>
      </c>
      <c r="AA475">
        <v>0</v>
      </c>
      <c r="AB475">
        <v>0</v>
      </c>
      <c r="AC475">
        <v>1</v>
      </c>
      <c r="AD475">
        <v>39.688000000000002</v>
      </c>
      <c r="AE475">
        <v>1</v>
      </c>
      <c r="AF475">
        <v>66</v>
      </c>
      <c r="AG475">
        <v>4</v>
      </c>
      <c r="AH475" t="s">
        <v>84</v>
      </c>
      <c r="AI475">
        <v>0</v>
      </c>
    </row>
    <row r="476" spans="1:35" x14ac:dyDescent="0.45">
      <c r="A476">
        <v>475</v>
      </c>
      <c r="B476" t="s">
        <v>695</v>
      </c>
      <c r="C476" t="s">
        <v>700</v>
      </c>
      <c r="D476" t="s">
        <v>697</v>
      </c>
      <c r="E476">
        <v>4</v>
      </c>
      <c r="F476">
        <v>-5.6790000000000003</v>
      </c>
      <c r="G476">
        <v>-36.268000000000001</v>
      </c>
      <c r="H476">
        <v>16230</v>
      </c>
      <c r="I476">
        <v>0</v>
      </c>
      <c r="J476">
        <v>1</v>
      </c>
      <c r="K476" t="s">
        <v>55</v>
      </c>
      <c r="L476" t="s">
        <v>55</v>
      </c>
      <c r="M476" t="s">
        <v>56</v>
      </c>
      <c r="N476">
        <v>1643497490.4000001</v>
      </c>
      <c r="O476">
        <v>0.222</v>
      </c>
      <c r="P476">
        <v>0.38700000000000001</v>
      </c>
      <c r="Q476">
        <v>52.741999999999997</v>
      </c>
      <c r="R476">
        <v>1E-3</v>
      </c>
      <c r="S476">
        <v>1E-3</v>
      </c>
      <c r="T476">
        <v>1.272</v>
      </c>
      <c r="U476">
        <v>90.254999999999995</v>
      </c>
      <c r="V476">
        <v>24.564</v>
      </c>
      <c r="W476">
        <v>2.3439999999999999</v>
      </c>
      <c r="X476">
        <v>87.088999999999999</v>
      </c>
      <c r="Y476">
        <v>0.88600000000000001</v>
      </c>
      <c r="Z476">
        <v>1.2589999999999999</v>
      </c>
      <c r="AA476">
        <v>0</v>
      </c>
      <c r="AB476">
        <v>0</v>
      </c>
      <c r="AC476">
        <v>1</v>
      </c>
      <c r="AD476">
        <v>39.688000000000002</v>
      </c>
      <c r="AE476">
        <v>1</v>
      </c>
      <c r="AF476">
        <v>66</v>
      </c>
      <c r="AG476">
        <v>4</v>
      </c>
      <c r="AH476" t="s">
        <v>84</v>
      </c>
      <c r="AI476">
        <v>0</v>
      </c>
    </row>
    <row r="477" spans="1:35" x14ac:dyDescent="0.45">
      <c r="A477">
        <v>476</v>
      </c>
      <c r="B477" t="s">
        <v>695</v>
      </c>
      <c r="C477" t="s">
        <v>701</v>
      </c>
      <c r="D477" t="s">
        <v>697</v>
      </c>
      <c r="E477">
        <v>5</v>
      </c>
      <c r="F477">
        <v>-5.6669999999999998</v>
      </c>
      <c r="G477">
        <v>-36.238999999999997</v>
      </c>
      <c r="H477">
        <v>16271</v>
      </c>
      <c r="I477">
        <v>0</v>
      </c>
      <c r="J477">
        <v>1</v>
      </c>
      <c r="K477" t="s">
        <v>55</v>
      </c>
      <c r="L477" t="s">
        <v>55</v>
      </c>
      <c r="M477" t="s">
        <v>56</v>
      </c>
      <c r="N477">
        <v>1643498026.97</v>
      </c>
      <c r="O477">
        <v>0.22500000000000001</v>
      </c>
      <c r="P477">
        <v>0.41899999999999998</v>
      </c>
      <c r="Q477">
        <v>53.262</v>
      </c>
      <c r="R477">
        <v>1E-3</v>
      </c>
      <c r="S477">
        <v>1E-3</v>
      </c>
      <c r="T477">
        <v>1.284</v>
      </c>
      <c r="U477">
        <v>90.537999999999997</v>
      </c>
      <c r="V477">
        <v>24.646000000000001</v>
      </c>
      <c r="W477">
        <v>2.34</v>
      </c>
      <c r="X477">
        <v>86.983000000000004</v>
      </c>
      <c r="Y477">
        <v>0.89400000000000002</v>
      </c>
      <c r="Z477">
        <v>1.1890000000000001</v>
      </c>
      <c r="AA477">
        <v>0</v>
      </c>
      <c r="AB477">
        <v>0</v>
      </c>
      <c r="AC477">
        <v>1</v>
      </c>
      <c r="AD477">
        <v>39.75</v>
      </c>
      <c r="AE477">
        <v>1</v>
      </c>
      <c r="AF477">
        <v>66</v>
      </c>
      <c r="AG477">
        <v>4</v>
      </c>
      <c r="AH477" t="s">
        <v>84</v>
      </c>
      <c r="AI477">
        <v>0</v>
      </c>
    </row>
    <row r="478" spans="1:35" x14ac:dyDescent="0.45">
      <c r="A478">
        <v>477</v>
      </c>
      <c r="B478" t="s">
        <v>695</v>
      </c>
      <c r="C478" t="s">
        <v>702</v>
      </c>
      <c r="D478" t="s">
        <v>697</v>
      </c>
      <c r="E478">
        <v>6</v>
      </c>
      <c r="F478">
        <v>-5.6980000000000004</v>
      </c>
      <c r="G478">
        <v>-36.326000000000001</v>
      </c>
      <c r="H478">
        <v>16219</v>
      </c>
      <c r="I478">
        <v>0</v>
      </c>
      <c r="J478">
        <v>1</v>
      </c>
      <c r="K478" t="s">
        <v>55</v>
      </c>
      <c r="L478" t="s">
        <v>55</v>
      </c>
      <c r="M478" t="s">
        <v>56</v>
      </c>
      <c r="N478">
        <v>1643498563.1900001</v>
      </c>
      <c r="O478">
        <v>0.184</v>
      </c>
      <c r="P478">
        <v>0.41</v>
      </c>
      <c r="Q478">
        <v>54.078000000000003</v>
      </c>
      <c r="R478">
        <v>1E-3</v>
      </c>
      <c r="S478">
        <v>1E-3</v>
      </c>
      <c r="T478">
        <v>1.294</v>
      </c>
      <c r="U478">
        <v>90.228999999999999</v>
      </c>
      <c r="V478">
        <v>24.352</v>
      </c>
      <c r="W478">
        <v>2.3740000000000001</v>
      </c>
      <c r="X478">
        <v>87.569000000000003</v>
      </c>
      <c r="Y478">
        <v>0.88900000000000001</v>
      </c>
      <c r="Z478">
        <v>1.202</v>
      </c>
      <c r="AA478">
        <v>0</v>
      </c>
      <c r="AB478">
        <v>0</v>
      </c>
      <c r="AC478">
        <v>1</v>
      </c>
      <c r="AD478">
        <v>39.688000000000002</v>
      </c>
      <c r="AE478">
        <v>1</v>
      </c>
      <c r="AF478">
        <v>66</v>
      </c>
      <c r="AG478">
        <v>4</v>
      </c>
      <c r="AH478" t="s">
        <v>84</v>
      </c>
      <c r="AI478">
        <v>0</v>
      </c>
    </row>
    <row r="479" spans="1:35" x14ac:dyDescent="0.45">
      <c r="A479">
        <v>478</v>
      </c>
      <c r="B479" t="s">
        <v>703</v>
      </c>
      <c r="C479" t="s">
        <v>704</v>
      </c>
      <c r="D479" t="s">
        <v>705</v>
      </c>
      <c r="E479">
        <v>1</v>
      </c>
      <c r="F479">
        <v>-5.5140000000000002</v>
      </c>
      <c r="G479">
        <v>-30.116</v>
      </c>
      <c r="H479">
        <v>16222</v>
      </c>
      <c r="I479">
        <v>-1</v>
      </c>
      <c r="J479">
        <v>1</v>
      </c>
      <c r="K479" t="s">
        <v>55</v>
      </c>
      <c r="L479" t="s">
        <v>55</v>
      </c>
      <c r="M479" t="s">
        <v>56</v>
      </c>
      <c r="N479">
        <v>1643499099</v>
      </c>
      <c r="O479">
        <v>0.188</v>
      </c>
      <c r="P479">
        <v>0.46500000000000002</v>
      </c>
      <c r="Q479">
        <v>53.215000000000003</v>
      </c>
      <c r="R479">
        <v>1E-3</v>
      </c>
      <c r="S479">
        <v>1E-3</v>
      </c>
      <c r="T479">
        <v>1.278</v>
      </c>
      <c r="U479">
        <v>90.335999999999999</v>
      </c>
      <c r="V479">
        <v>24.164999999999999</v>
      </c>
      <c r="W479">
        <v>2.355</v>
      </c>
      <c r="X479">
        <v>87.569000000000003</v>
      </c>
      <c r="Y479">
        <v>0.89200000000000002</v>
      </c>
      <c r="Z479">
        <v>1.1970000000000001</v>
      </c>
      <c r="AA479">
        <v>0</v>
      </c>
      <c r="AB479">
        <v>0</v>
      </c>
      <c r="AC479">
        <v>1</v>
      </c>
      <c r="AD479">
        <v>39.688000000000002</v>
      </c>
      <c r="AE479">
        <v>1</v>
      </c>
      <c r="AF479">
        <v>67</v>
      </c>
      <c r="AG479">
        <v>5</v>
      </c>
      <c r="AH479" t="s">
        <v>84</v>
      </c>
      <c r="AI479">
        <v>0</v>
      </c>
    </row>
    <row r="480" spans="1:35" x14ac:dyDescent="0.45">
      <c r="A480">
        <v>479</v>
      </c>
      <c r="B480" t="s">
        <v>703</v>
      </c>
      <c r="C480" t="s">
        <v>706</v>
      </c>
      <c r="D480" t="s">
        <v>705</v>
      </c>
      <c r="E480">
        <v>2</v>
      </c>
      <c r="F480">
        <v>-5.5090000000000003</v>
      </c>
      <c r="G480">
        <v>-29.582999999999998</v>
      </c>
      <c r="H480">
        <v>16245</v>
      </c>
      <c r="I480">
        <v>-1</v>
      </c>
      <c r="J480">
        <v>1</v>
      </c>
      <c r="K480" t="s">
        <v>55</v>
      </c>
      <c r="L480" t="s">
        <v>55</v>
      </c>
      <c r="M480" t="s">
        <v>56</v>
      </c>
      <c r="N480">
        <v>1643499635.9400001</v>
      </c>
      <c r="O480">
        <v>0.21099999999999999</v>
      </c>
      <c r="P480">
        <v>0.40799999999999997</v>
      </c>
      <c r="Q480">
        <v>53.456000000000003</v>
      </c>
      <c r="R480">
        <v>0</v>
      </c>
      <c r="S480">
        <v>1E-3</v>
      </c>
      <c r="T480">
        <v>1.284</v>
      </c>
      <c r="U480">
        <v>90.453000000000003</v>
      </c>
      <c r="V480">
        <v>24.638999999999999</v>
      </c>
      <c r="W480">
        <v>2.3340000000000001</v>
      </c>
      <c r="X480">
        <v>86.537999999999997</v>
      </c>
      <c r="Y480">
        <v>0.88800000000000001</v>
      </c>
      <c r="Z480">
        <v>1.081</v>
      </c>
      <c r="AA480">
        <v>0</v>
      </c>
      <c r="AB480">
        <v>0</v>
      </c>
      <c r="AC480">
        <v>1</v>
      </c>
      <c r="AD480">
        <v>39.625</v>
      </c>
      <c r="AE480">
        <v>1</v>
      </c>
      <c r="AF480">
        <v>67</v>
      </c>
      <c r="AG480">
        <v>5</v>
      </c>
      <c r="AH480" t="s">
        <v>84</v>
      </c>
      <c r="AI480">
        <v>0</v>
      </c>
    </row>
    <row r="481" spans="1:35" x14ac:dyDescent="0.45">
      <c r="A481">
        <v>480</v>
      </c>
      <c r="B481" t="s">
        <v>703</v>
      </c>
      <c r="C481" t="s">
        <v>707</v>
      </c>
      <c r="D481" t="s">
        <v>705</v>
      </c>
      <c r="E481">
        <v>3</v>
      </c>
      <c r="F481">
        <v>-5.5129999999999999</v>
      </c>
      <c r="G481">
        <v>-29.59</v>
      </c>
      <c r="H481">
        <v>16247</v>
      </c>
      <c r="I481">
        <v>-1</v>
      </c>
      <c r="J481">
        <v>1</v>
      </c>
      <c r="K481" t="s">
        <v>55</v>
      </c>
      <c r="L481" t="s">
        <v>55</v>
      </c>
      <c r="M481" t="s">
        <v>56</v>
      </c>
      <c r="N481">
        <v>1643500171.8900001</v>
      </c>
      <c r="O481">
        <v>0.20100000000000001</v>
      </c>
      <c r="P481">
        <v>0.41</v>
      </c>
      <c r="Q481">
        <v>53.837000000000003</v>
      </c>
      <c r="R481">
        <v>1E-3</v>
      </c>
      <c r="S481">
        <v>1E-3</v>
      </c>
      <c r="T481">
        <v>1.29</v>
      </c>
      <c r="U481">
        <v>90.322999999999993</v>
      </c>
      <c r="V481">
        <v>24.881</v>
      </c>
      <c r="W481">
        <v>2.375</v>
      </c>
      <c r="X481">
        <v>86.388000000000005</v>
      </c>
      <c r="Y481">
        <v>0.89</v>
      </c>
      <c r="Z481">
        <v>1.1299999999999999</v>
      </c>
      <c r="AA481">
        <v>0</v>
      </c>
      <c r="AB481">
        <v>0</v>
      </c>
      <c r="AC481">
        <v>1</v>
      </c>
      <c r="AD481">
        <v>39.688000000000002</v>
      </c>
      <c r="AE481">
        <v>1</v>
      </c>
      <c r="AF481">
        <v>67</v>
      </c>
      <c r="AG481">
        <v>5</v>
      </c>
      <c r="AH481" t="s">
        <v>84</v>
      </c>
      <c r="AI481">
        <v>0</v>
      </c>
    </row>
    <row r="482" spans="1:35" x14ac:dyDescent="0.45">
      <c r="A482">
        <v>481</v>
      </c>
      <c r="B482" t="s">
        <v>703</v>
      </c>
      <c r="C482" t="s">
        <v>708</v>
      </c>
      <c r="D482" t="s">
        <v>705</v>
      </c>
      <c r="E482">
        <v>4</v>
      </c>
      <c r="F482">
        <v>-5.5010000000000003</v>
      </c>
      <c r="G482">
        <v>-29.38</v>
      </c>
      <c r="H482">
        <v>16237</v>
      </c>
      <c r="I482">
        <v>0</v>
      </c>
      <c r="J482">
        <v>1</v>
      </c>
      <c r="K482" t="s">
        <v>55</v>
      </c>
      <c r="L482" t="s">
        <v>55</v>
      </c>
      <c r="M482" t="s">
        <v>56</v>
      </c>
      <c r="N482">
        <v>1643500707.79</v>
      </c>
      <c r="O482">
        <v>0.21</v>
      </c>
      <c r="P482">
        <v>0.39</v>
      </c>
      <c r="Q482">
        <v>53.518000000000001</v>
      </c>
      <c r="R482">
        <v>1E-3</v>
      </c>
      <c r="S482">
        <v>1E-3</v>
      </c>
      <c r="T482">
        <v>1.288</v>
      </c>
      <c r="U482">
        <v>90.572999999999993</v>
      </c>
      <c r="V482">
        <v>24.555</v>
      </c>
      <c r="W482">
        <v>2.262</v>
      </c>
      <c r="X482">
        <v>85.542000000000002</v>
      </c>
      <c r="Y482">
        <v>0.88700000000000001</v>
      </c>
      <c r="Z482">
        <v>0.84199999999999997</v>
      </c>
      <c r="AA482">
        <v>0</v>
      </c>
      <c r="AB482">
        <v>0</v>
      </c>
      <c r="AC482">
        <v>1</v>
      </c>
      <c r="AD482">
        <v>39.688000000000002</v>
      </c>
      <c r="AE482">
        <v>1</v>
      </c>
      <c r="AF482">
        <v>67</v>
      </c>
      <c r="AG482">
        <v>5</v>
      </c>
      <c r="AH482" t="s">
        <v>84</v>
      </c>
      <c r="AI482">
        <v>0</v>
      </c>
    </row>
    <row r="483" spans="1:35" x14ac:dyDescent="0.45">
      <c r="A483">
        <v>482</v>
      </c>
      <c r="B483" t="s">
        <v>703</v>
      </c>
      <c r="C483" t="s">
        <v>709</v>
      </c>
      <c r="D483" t="s">
        <v>705</v>
      </c>
      <c r="E483">
        <v>5</v>
      </c>
      <c r="F483">
        <v>-5.4779999999999998</v>
      </c>
      <c r="G483">
        <v>-29.452000000000002</v>
      </c>
      <c r="H483">
        <v>16213</v>
      </c>
      <c r="I483">
        <v>0</v>
      </c>
      <c r="J483">
        <v>1</v>
      </c>
      <c r="K483" t="s">
        <v>55</v>
      </c>
      <c r="L483" t="s">
        <v>55</v>
      </c>
      <c r="M483" t="s">
        <v>56</v>
      </c>
      <c r="N483">
        <v>1643501244.3299999</v>
      </c>
      <c r="O483">
        <v>0.2</v>
      </c>
      <c r="P483">
        <v>0.40699999999999997</v>
      </c>
      <c r="Q483">
        <v>53.372</v>
      </c>
      <c r="R483">
        <v>1E-3</v>
      </c>
      <c r="S483">
        <v>2E-3</v>
      </c>
      <c r="T483">
        <v>1.2829999999999999</v>
      </c>
      <c r="U483">
        <v>90.453000000000003</v>
      </c>
      <c r="V483">
        <v>24.148</v>
      </c>
      <c r="W483">
        <v>2.2989999999999999</v>
      </c>
      <c r="X483">
        <v>86.507000000000005</v>
      </c>
      <c r="Y483">
        <v>0.88400000000000001</v>
      </c>
      <c r="Z483">
        <v>1.1160000000000001</v>
      </c>
      <c r="AA483">
        <v>0</v>
      </c>
      <c r="AB483">
        <v>0</v>
      </c>
      <c r="AC483">
        <v>1</v>
      </c>
      <c r="AD483">
        <v>39.75</v>
      </c>
      <c r="AE483">
        <v>1</v>
      </c>
      <c r="AF483">
        <v>67</v>
      </c>
      <c r="AG483">
        <v>5</v>
      </c>
      <c r="AH483" t="s">
        <v>84</v>
      </c>
      <c r="AI483">
        <v>0</v>
      </c>
    </row>
    <row r="484" spans="1:35" x14ac:dyDescent="0.45">
      <c r="A484">
        <v>483</v>
      </c>
      <c r="B484" t="s">
        <v>703</v>
      </c>
      <c r="C484" t="s">
        <v>710</v>
      </c>
      <c r="D484" t="s">
        <v>705</v>
      </c>
      <c r="E484">
        <v>6</v>
      </c>
      <c r="F484">
        <v>-5.5039999999999996</v>
      </c>
      <c r="G484">
        <v>-29.481000000000002</v>
      </c>
      <c r="H484">
        <v>16247</v>
      </c>
      <c r="I484">
        <v>0</v>
      </c>
      <c r="J484">
        <v>1</v>
      </c>
      <c r="K484" t="s">
        <v>55</v>
      </c>
      <c r="L484" t="s">
        <v>55</v>
      </c>
      <c r="M484" t="s">
        <v>56</v>
      </c>
      <c r="N484">
        <v>1643501781.23</v>
      </c>
      <c r="O484">
        <v>0.20599999999999999</v>
      </c>
      <c r="P484">
        <v>0.40100000000000002</v>
      </c>
      <c r="Q484">
        <v>52.478999999999999</v>
      </c>
      <c r="R484">
        <v>1E-3</v>
      </c>
      <c r="S484">
        <v>1E-3</v>
      </c>
      <c r="T484">
        <v>1.2689999999999999</v>
      </c>
      <c r="U484">
        <v>90.534999999999997</v>
      </c>
      <c r="V484">
        <v>24.721</v>
      </c>
      <c r="W484">
        <v>2.3170000000000002</v>
      </c>
      <c r="X484">
        <v>86.004000000000005</v>
      </c>
      <c r="Y484">
        <v>0.88700000000000001</v>
      </c>
      <c r="Z484">
        <v>0.94899999999999995</v>
      </c>
      <c r="AA484">
        <v>0</v>
      </c>
      <c r="AB484">
        <v>0</v>
      </c>
      <c r="AC484">
        <v>1</v>
      </c>
      <c r="AD484">
        <v>39.688000000000002</v>
      </c>
      <c r="AE484">
        <v>1</v>
      </c>
      <c r="AF484">
        <v>67</v>
      </c>
      <c r="AG484">
        <v>5</v>
      </c>
      <c r="AH484" t="s">
        <v>84</v>
      </c>
      <c r="AI484">
        <v>0</v>
      </c>
    </row>
    <row r="485" spans="1:35" x14ac:dyDescent="0.45">
      <c r="A485">
        <v>484</v>
      </c>
      <c r="B485" t="s">
        <v>703</v>
      </c>
      <c r="C485" t="s">
        <v>711</v>
      </c>
      <c r="D485" t="s">
        <v>705</v>
      </c>
      <c r="E485">
        <v>7</v>
      </c>
      <c r="F485">
        <v>-5.4909999999999997</v>
      </c>
      <c r="G485">
        <v>-29.361999999999998</v>
      </c>
      <c r="H485">
        <v>16229</v>
      </c>
      <c r="I485">
        <v>0</v>
      </c>
      <c r="J485">
        <v>1</v>
      </c>
      <c r="K485" t="s">
        <v>55</v>
      </c>
      <c r="L485" t="s">
        <v>55</v>
      </c>
      <c r="M485" t="s">
        <v>56</v>
      </c>
      <c r="N485">
        <v>1643502317.8800001</v>
      </c>
      <c r="O485">
        <v>0.19700000000000001</v>
      </c>
      <c r="P485">
        <v>0.437</v>
      </c>
      <c r="Q485">
        <v>53.375</v>
      </c>
      <c r="R485">
        <v>0</v>
      </c>
      <c r="S485">
        <v>2E-3</v>
      </c>
      <c r="T485">
        <v>1.2889999999999999</v>
      </c>
      <c r="U485">
        <v>90.438000000000002</v>
      </c>
      <c r="V485">
        <v>24.265000000000001</v>
      </c>
      <c r="W485">
        <v>2.3460000000000001</v>
      </c>
      <c r="X485">
        <v>86.981999999999999</v>
      </c>
      <c r="Y485">
        <v>0.88400000000000001</v>
      </c>
      <c r="Z485">
        <v>1.1499999999999999</v>
      </c>
      <c r="AA485">
        <v>0</v>
      </c>
      <c r="AB485">
        <v>0</v>
      </c>
      <c r="AC485">
        <v>1</v>
      </c>
      <c r="AD485">
        <v>39.688000000000002</v>
      </c>
      <c r="AE485">
        <v>1</v>
      </c>
      <c r="AF485">
        <v>67</v>
      </c>
      <c r="AG485">
        <v>5</v>
      </c>
      <c r="AH485" t="s">
        <v>84</v>
      </c>
      <c r="AI485">
        <v>0</v>
      </c>
    </row>
    <row r="486" spans="1:35" x14ac:dyDescent="0.45">
      <c r="A486">
        <v>485</v>
      </c>
      <c r="B486" t="s">
        <v>703</v>
      </c>
      <c r="C486" t="s">
        <v>712</v>
      </c>
      <c r="D486" t="s">
        <v>705</v>
      </c>
      <c r="E486">
        <v>8</v>
      </c>
      <c r="F486">
        <v>-5.4989999999999997</v>
      </c>
      <c r="G486">
        <v>-29.370999999999999</v>
      </c>
      <c r="H486">
        <v>16227</v>
      </c>
      <c r="I486">
        <v>0</v>
      </c>
      <c r="J486">
        <v>1</v>
      </c>
      <c r="K486" t="s">
        <v>55</v>
      </c>
      <c r="L486" t="s">
        <v>55</v>
      </c>
      <c r="M486" t="s">
        <v>56</v>
      </c>
      <c r="N486">
        <v>1643502854.72</v>
      </c>
      <c r="O486">
        <v>0.216</v>
      </c>
      <c r="P486">
        <v>0.40400000000000003</v>
      </c>
      <c r="Q486">
        <v>53.761000000000003</v>
      </c>
      <c r="R486">
        <v>2E-3</v>
      </c>
      <c r="S486">
        <v>1E-3</v>
      </c>
      <c r="T486">
        <v>1.294</v>
      </c>
      <c r="U486">
        <v>90.28</v>
      </c>
      <c r="V486">
        <v>24.567</v>
      </c>
      <c r="W486">
        <v>2.367</v>
      </c>
      <c r="X486">
        <v>86.790999999999997</v>
      </c>
      <c r="Y486">
        <v>0.88700000000000001</v>
      </c>
      <c r="Z486">
        <v>1.2649999999999999</v>
      </c>
      <c r="AA486">
        <v>0</v>
      </c>
      <c r="AB486">
        <v>0</v>
      </c>
      <c r="AC486">
        <v>1</v>
      </c>
      <c r="AD486">
        <v>39.688000000000002</v>
      </c>
      <c r="AE486">
        <v>1</v>
      </c>
      <c r="AF486">
        <v>67</v>
      </c>
      <c r="AG486">
        <v>5</v>
      </c>
      <c r="AH486" t="s">
        <v>84</v>
      </c>
      <c r="AI486">
        <v>0</v>
      </c>
    </row>
    <row r="487" spans="1:35" x14ac:dyDescent="0.45">
      <c r="A487">
        <v>486</v>
      </c>
      <c r="B487" t="s">
        <v>703</v>
      </c>
      <c r="C487" t="s">
        <v>713</v>
      </c>
      <c r="D487" t="s">
        <v>705</v>
      </c>
      <c r="E487">
        <v>9</v>
      </c>
      <c r="F487">
        <v>-5.4829999999999997</v>
      </c>
      <c r="G487">
        <v>-29.396000000000001</v>
      </c>
      <c r="H487">
        <v>16235</v>
      </c>
      <c r="I487">
        <v>0</v>
      </c>
      <c r="J487">
        <v>1</v>
      </c>
      <c r="K487" t="s">
        <v>55</v>
      </c>
      <c r="L487" t="s">
        <v>55</v>
      </c>
      <c r="M487" t="s">
        <v>56</v>
      </c>
      <c r="N487">
        <v>1643503390.6199999</v>
      </c>
      <c r="O487">
        <v>0.219</v>
      </c>
      <c r="P487">
        <v>0.38500000000000001</v>
      </c>
      <c r="Q487">
        <v>52.886000000000003</v>
      </c>
      <c r="R487">
        <v>1E-3</v>
      </c>
      <c r="S487">
        <v>1E-3</v>
      </c>
      <c r="T487">
        <v>1.2709999999999999</v>
      </c>
      <c r="U487">
        <v>90.387</v>
      </c>
      <c r="V487">
        <v>24.696000000000002</v>
      </c>
      <c r="W487">
        <v>2.3220000000000001</v>
      </c>
      <c r="X487">
        <v>86.384</v>
      </c>
      <c r="Y487">
        <v>0.88800000000000001</v>
      </c>
      <c r="Z487">
        <v>1.091</v>
      </c>
      <c r="AA487">
        <v>0</v>
      </c>
      <c r="AB487">
        <v>0</v>
      </c>
      <c r="AC487">
        <v>1</v>
      </c>
      <c r="AD487">
        <v>39.688000000000002</v>
      </c>
      <c r="AE487">
        <v>1</v>
      </c>
      <c r="AF487">
        <v>67</v>
      </c>
      <c r="AG487">
        <v>5</v>
      </c>
      <c r="AH487" t="s">
        <v>84</v>
      </c>
      <c r="AI487">
        <v>0</v>
      </c>
    </row>
    <row r="488" spans="1:35" x14ac:dyDescent="0.45">
      <c r="A488">
        <v>487</v>
      </c>
      <c r="B488" t="s">
        <v>703</v>
      </c>
      <c r="C488" t="s">
        <v>714</v>
      </c>
      <c r="D488" t="s">
        <v>705</v>
      </c>
      <c r="E488">
        <v>10</v>
      </c>
      <c r="F488">
        <v>-5.5010000000000003</v>
      </c>
      <c r="G488">
        <v>-29.408000000000001</v>
      </c>
      <c r="H488">
        <v>16238</v>
      </c>
      <c r="I488">
        <v>0</v>
      </c>
      <c r="J488">
        <v>1</v>
      </c>
      <c r="K488" t="s">
        <v>55</v>
      </c>
      <c r="L488" t="s">
        <v>55</v>
      </c>
      <c r="M488" t="s">
        <v>56</v>
      </c>
      <c r="N488">
        <v>1643503927</v>
      </c>
      <c r="O488">
        <v>0.20799999999999999</v>
      </c>
      <c r="P488">
        <v>0.44900000000000001</v>
      </c>
      <c r="Q488">
        <v>54.045999999999999</v>
      </c>
      <c r="R488">
        <v>1E-3</v>
      </c>
      <c r="S488">
        <v>1E-3</v>
      </c>
      <c r="T488">
        <v>1.3049999999999999</v>
      </c>
      <c r="U488">
        <v>90.292000000000002</v>
      </c>
      <c r="V488">
        <v>24.61</v>
      </c>
      <c r="W488">
        <v>2.3530000000000002</v>
      </c>
      <c r="X488">
        <v>87.102000000000004</v>
      </c>
      <c r="Y488">
        <v>0.88400000000000001</v>
      </c>
      <c r="Z488">
        <v>1.3149999999999999</v>
      </c>
      <c r="AA488">
        <v>0</v>
      </c>
      <c r="AB488">
        <v>0</v>
      </c>
      <c r="AC488">
        <v>1</v>
      </c>
      <c r="AD488">
        <v>39.688000000000002</v>
      </c>
      <c r="AE488">
        <v>1</v>
      </c>
      <c r="AF488">
        <v>67</v>
      </c>
      <c r="AG488">
        <v>5</v>
      </c>
      <c r="AH488" t="s">
        <v>84</v>
      </c>
      <c r="AI488">
        <v>0</v>
      </c>
    </row>
    <row r="489" spans="1:35" x14ac:dyDescent="0.45">
      <c r="A489">
        <v>488</v>
      </c>
      <c r="B489" t="s">
        <v>703</v>
      </c>
      <c r="C489" t="s">
        <v>715</v>
      </c>
      <c r="D489" t="s">
        <v>705</v>
      </c>
      <c r="E489">
        <v>11</v>
      </c>
      <c r="F489">
        <v>-5.49</v>
      </c>
      <c r="G489">
        <v>-29.356000000000002</v>
      </c>
      <c r="H489">
        <v>16249</v>
      </c>
      <c r="I489">
        <v>0</v>
      </c>
      <c r="J489">
        <v>1</v>
      </c>
      <c r="K489" t="s">
        <v>55</v>
      </c>
      <c r="L489" t="s">
        <v>55</v>
      </c>
      <c r="M489" t="s">
        <v>56</v>
      </c>
      <c r="N489">
        <v>1643504464.0999999</v>
      </c>
      <c r="O489">
        <v>0.19500000000000001</v>
      </c>
      <c r="P489">
        <v>0.438</v>
      </c>
      <c r="Q489">
        <v>52.78</v>
      </c>
      <c r="R489">
        <v>0</v>
      </c>
      <c r="S489">
        <v>1E-3</v>
      </c>
      <c r="T489">
        <v>1.278</v>
      </c>
      <c r="U489">
        <v>90.7</v>
      </c>
      <c r="V489">
        <v>24.46</v>
      </c>
      <c r="W489">
        <v>2.286</v>
      </c>
      <c r="X489">
        <v>85.861999999999995</v>
      </c>
      <c r="Y489">
        <v>0.88700000000000001</v>
      </c>
      <c r="Z489">
        <v>0.97299999999999998</v>
      </c>
      <c r="AA489">
        <v>0</v>
      </c>
      <c r="AB489">
        <v>0</v>
      </c>
      <c r="AC489">
        <v>1</v>
      </c>
      <c r="AD489">
        <v>39.688000000000002</v>
      </c>
      <c r="AE489">
        <v>1</v>
      </c>
      <c r="AF489">
        <v>67</v>
      </c>
      <c r="AG489">
        <v>5</v>
      </c>
      <c r="AH489" t="s">
        <v>84</v>
      </c>
      <c r="AI489">
        <v>0</v>
      </c>
    </row>
    <row r="490" spans="1:35" x14ac:dyDescent="0.45">
      <c r="A490">
        <v>489</v>
      </c>
      <c r="B490" t="s">
        <v>703</v>
      </c>
      <c r="C490" t="s">
        <v>716</v>
      </c>
      <c r="D490" t="s">
        <v>705</v>
      </c>
      <c r="E490">
        <v>12</v>
      </c>
      <c r="F490">
        <v>-5.4790000000000001</v>
      </c>
      <c r="G490">
        <v>-29.303999999999998</v>
      </c>
      <c r="H490">
        <v>16241</v>
      </c>
      <c r="I490">
        <v>0</v>
      </c>
      <c r="J490">
        <v>1</v>
      </c>
      <c r="K490" t="s">
        <v>55</v>
      </c>
      <c r="L490" t="s">
        <v>55</v>
      </c>
      <c r="M490" t="s">
        <v>56</v>
      </c>
      <c r="N490">
        <v>1643505001.05</v>
      </c>
      <c r="O490">
        <v>0.20499999999999999</v>
      </c>
      <c r="P490">
        <v>0.438</v>
      </c>
      <c r="Q490">
        <v>53.128</v>
      </c>
      <c r="R490">
        <v>1E-3</v>
      </c>
      <c r="S490">
        <v>2E-3</v>
      </c>
      <c r="T490">
        <v>1.2729999999999999</v>
      </c>
      <c r="U490">
        <v>90.349000000000004</v>
      </c>
      <c r="V490">
        <v>24.45</v>
      </c>
      <c r="W490">
        <v>2.36</v>
      </c>
      <c r="X490">
        <v>87.34</v>
      </c>
      <c r="Y490">
        <v>0.88700000000000001</v>
      </c>
      <c r="Z490">
        <v>1.2210000000000001</v>
      </c>
      <c r="AA490">
        <v>0</v>
      </c>
      <c r="AB490">
        <v>0</v>
      </c>
      <c r="AC490">
        <v>1</v>
      </c>
      <c r="AD490">
        <v>39.688000000000002</v>
      </c>
      <c r="AE490">
        <v>1</v>
      </c>
      <c r="AF490">
        <v>67</v>
      </c>
      <c r="AG490">
        <v>5</v>
      </c>
      <c r="AH490" t="s">
        <v>84</v>
      </c>
      <c r="AI490">
        <v>0</v>
      </c>
    </row>
    <row r="491" spans="1:35" x14ac:dyDescent="0.45">
      <c r="A491">
        <v>490</v>
      </c>
      <c r="B491" t="s">
        <v>703</v>
      </c>
      <c r="C491" t="s">
        <v>717</v>
      </c>
      <c r="D491" t="s">
        <v>705</v>
      </c>
      <c r="E491">
        <v>13</v>
      </c>
      <c r="F491">
        <v>-5.4909999999999997</v>
      </c>
      <c r="G491">
        <v>-29.39</v>
      </c>
      <c r="H491">
        <v>16203</v>
      </c>
      <c r="I491">
        <v>0</v>
      </c>
      <c r="J491">
        <v>1</v>
      </c>
      <c r="K491" t="s">
        <v>55</v>
      </c>
      <c r="L491" t="s">
        <v>55</v>
      </c>
      <c r="M491" t="s">
        <v>56</v>
      </c>
      <c r="N491">
        <v>1643505537.72</v>
      </c>
      <c r="O491">
        <v>0.20100000000000001</v>
      </c>
      <c r="P491">
        <v>0.41399999999999998</v>
      </c>
      <c r="Q491">
        <v>53.276000000000003</v>
      </c>
      <c r="R491">
        <v>1E-3</v>
      </c>
      <c r="S491">
        <v>0</v>
      </c>
      <c r="T491">
        <v>1.282</v>
      </c>
      <c r="U491">
        <v>90.305999999999997</v>
      </c>
      <c r="V491">
        <v>24.324000000000002</v>
      </c>
      <c r="W491">
        <v>2.2759999999999998</v>
      </c>
      <c r="X491">
        <v>86.570999999999998</v>
      </c>
      <c r="Y491">
        <v>0.89100000000000001</v>
      </c>
      <c r="Z491">
        <v>0.91500000000000004</v>
      </c>
      <c r="AA491">
        <v>0</v>
      </c>
      <c r="AB491">
        <v>0</v>
      </c>
      <c r="AC491">
        <v>1</v>
      </c>
      <c r="AD491">
        <v>39.688000000000002</v>
      </c>
      <c r="AE491">
        <v>1</v>
      </c>
      <c r="AF491">
        <v>67</v>
      </c>
      <c r="AG491">
        <v>5</v>
      </c>
      <c r="AH491" t="s">
        <v>84</v>
      </c>
      <c r="AI491">
        <v>0</v>
      </c>
    </row>
    <row r="492" spans="1:35" x14ac:dyDescent="0.45">
      <c r="A492">
        <v>491</v>
      </c>
      <c r="B492" t="s">
        <v>703</v>
      </c>
      <c r="C492" t="s">
        <v>718</v>
      </c>
      <c r="D492" t="s">
        <v>705</v>
      </c>
      <c r="E492">
        <v>14</v>
      </c>
      <c r="F492">
        <v>-5.5270000000000001</v>
      </c>
      <c r="G492">
        <v>-29.379000000000001</v>
      </c>
      <c r="H492">
        <v>16301</v>
      </c>
      <c r="I492">
        <v>0</v>
      </c>
      <c r="J492">
        <v>1</v>
      </c>
      <c r="K492" t="s">
        <v>55</v>
      </c>
      <c r="L492" t="s">
        <v>55</v>
      </c>
      <c r="M492" t="s">
        <v>56</v>
      </c>
      <c r="N492">
        <v>1643506074.0699999</v>
      </c>
      <c r="O492">
        <v>0.19400000000000001</v>
      </c>
      <c r="P492">
        <v>0.38600000000000001</v>
      </c>
      <c r="Q492">
        <v>53.259</v>
      </c>
      <c r="R492">
        <v>0</v>
      </c>
      <c r="S492">
        <v>1E-3</v>
      </c>
      <c r="T492">
        <v>1.2809999999999999</v>
      </c>
      <c r="U492">
        <v>90.677999999999997</v>
      </c>
      <c r="V492">
        <v>24.331</v>
      </c>
      <c r="W492">
        <v>2.407</v>
      </c>
      <c r="X492">
        <v>88.543999999999997</v>
      </c>
      <c r="Y492">
        <v>0.89200000000000002</v>
      </c>
      <c r="Z492">
        <v>1.35</v>
      </c>
      <c r="AA492">
        <v>0</v>
      </c>
      <c r="AB492">
        <v>0</v>
      </c>
      <c r="AC492">
        <v>1</v>
      </c>
      <c r="AD492">
        <v>39.688000000000002</v>
      </c>
      <c r="AE492">
        <v>1</v>
      </c>
      <c r="AF492">
        <v>67</v>
      </c>
      <c r="AG492">
        <v>5</v>
      </c>
      <c r="AH492" t="s">
        <v>84</v>
      </c>
      <c r="AI492">
        <v>0</v>
      </c>
    </row>
    <row r="493" spans="1:35" x14ac:dyDescent="0.45">
      <c r="A493">
        <v>492</v>
      </c>
      <c r="B493" t="s">
        <v>703</v>
      </c>
      <c r="C493" t="s">
        <v>719</v>
      </c>
      <c r="D493" t="s">
        <v>705</v>
      </c>
      <c r="E493">
        <v>15</v>
      </c>
      <c r="F493">
        <v>-5.484</v>
      </c>
      <c r="G493">
        <v>-29.286000000000001</v>
      </c>
      <c r="H493">
        <v>16234</v>
      </c>
      <c r="I493">
        <v>0</v>
      </c>
      <c r="J493">
        <v>1</v>
      </c>
      <c r="K493" t="s">
        <v>55</v>
      </c>
      <c r="L493" t="s">
        <v>55</v>
      </c>
      <c r="M493" t="s">
        <v>56</v>
      </c>
      <c r="N493">
        <v>1643506609.6900001</v>
      </c>
      <c r="O493">
        <v>0.20399999999999999</v>
      </c>
      <c r="P493">
        <v>0.36799999999999999</v>
      </c>
      <c r="Q493">
        <v>52.87</v>
      </c>
      <c r="R493">
        <v>0</v>
      </c>
      <c r="S493">
        <v>0</v>
      </c>
      <c r="T493">
        <v>1.2709999999999999</v>
      </c>
      <c r="U493">
        <v>90.501999999999995</v>
      </c>
      <c r="V493">
        <v>24.46</v>
      </c>
      <c r="W493">
        <v>2.306</v>
      </c>
      <c r="X493">
        <v>86.406999999999996</v>
      </c>
      <c r="Y493">
        <v>0.88800000000000001</v>
      </c>
      <c r="Z493">
        <v>0.99</v>
      </c>
      <c r="AA493">
        <v>0</v>
      </c>
      <c r="AB493">
        <v>0</v>
      </c>
      <c r="AC493">
        <v>1</v>
      </c>
      <c r="AD493">
        <v>39.625</v>
      </c>
      <c r="AE493">
        <v>1</v>
      </c>
      <c r="AF493">
        <v>67</v>
      </c>
      <c r="AG493">
        <v>5</v>
      </c>
      <c r="AH493" t="s">
        <v>84</v>
      </c>
      <c r="AI493">
        <v>0</v>
      </c>
    </row>
    <row r="494" spans="1:35" x14ac:dyDescent="0.45">
      <c r="A494">
        <v>493</v>
      </c>
      <c r="B494" t="s">
        <v>720</v>
      </c>
      <c r="C494" t="s">
        <v>721</v>
      </c>
      <c r="D494" t="s">
        <v>722</v>
      </c>
      <c r="E494">
        <v>1</v>
      </c>
      <c r="F494">
        <v>-4.6449999999999996</v>
      </c>
      <c r="G494">
        <v>-23.259</v>
      </c>
      <c r="H494">
        <v>16203</v>
      </c>
      <c r="I494">
        <v>-1</v>
      </c>
      <c r="J494">
        <v>1</v>
      </c>
      <c r="K494" t="s">
        <v>55</v>
      </c>
      <c r="L494" t="s">
        <v>55</v>
      </c>
      <c r="M494" t="s">
        <v>56</v>
      </c>
      <c r="N494">
        <v>1643507146.5599999</v>
      </c>
      <c r="O494">
        <v>0.2</v>
      </c>
      <c r="P494">
        <v>0.40300000000000002</v>
      </c>
      <c r="Q494">
        <v>53.585000000000001</v>
      </c>
      <c r="R494">
        <v>1E-3</v>
      </c>
      <c r="S494">
        <v>1E-3</v>
      </c>
      <c r="T494">
        <v>1.2929999999999999</v>
      </c>
      <c r="U494">
        <v>90.257999999999996</v>
      </c>
      <c r="V494">
        <v>24.266999999999999</v>
      </c>
      <c r="W494">
        <v>2.339</v>
      </c>
      <c r="X494">
        <v>87.025999999999996</v>
      </c>
      <c r="Y494">
        <v>0.90200000000000002</v>
      </c>
      <c r="Z494">
        <v>1.091</v>
      </c>
      <c r="AA494">
        <v>0</v>
      </c>
      <c r="AB494">
        <v>0</v>
      </c>
      <c r="AC494">
        <v>1</v>
      </c>
      <c r="AD494">
        <v>39.688000000000002</v>
      </c>
      <c r="AE494">
        <v>1</v>
      </c>
      <c r="AF494">
        <v>68</v>
      </c>
      <c r="AG494">
        <v>5</v>
      </c>
      <c r="AH494" t="s">
        <v>84</v>
      </c>
      <c r="AI494">
        <v>0</v>
      </c>
    </row>
    <row r="495" spans="1:35" x14ac:dyDescent="0.45">
      <c r="A495">
        <v>494</v>
      </c>
      <c r="B495" t="s">
        <v>720</v>
      </c>
      <c r="C495" t="s">
        <v>723</v>
      </c>
      <c r="D495" t="s">
        <v>722</v>
      </c>
      <c r="E495">
        <v>2</v>
      </c>
      <c r="F495">
        <v>-4.5759999999999996</v>
      </c>
      <c r="G495">
        <v>-22.773</v>
      </c>
      <c r="H495">
        <v>16233</v>
      </c>
      <c r="I495">
        <v>-1</v>
      </c>
      <c r="J495">
        <v>1</v>
      </c>
      <c r="K495" t="s">
        <v>55</v>
      </c>
      <c r="L495" t="s">
        <v>55</v>
      </c>
      <c r="M495" t="s">
        <v>56</v>
      </c>
      <c r="N495">
        <v>1643507682.5699999</v>
      </c>
      <c r="O495">
        <v>0.20699999999999999</v>
      </c>
      <c r="P495">
        <v>0.377</v>
      </c>
      <c r="Q495">
        <v>53.033000000000001</v>
      </c>
      <c r="R495">
        <v>0</v>
      </c>
      <c r="S495">
        <v>-1E-3</v>
      </c>
      <c r="T495">
        <v>1.2789999999999999</v>
      </c>
      <c r="U495">
        <v>90.605999999999995</v>
      </c>
      <c r="V495">
        <v>24.212</v>
      </c>
      <c r="W495">
        <v>2.2890000000000001</v>
      </c>
      <c r="X495">
        <v>86.480999999999995</v>
      </c>
      <c r="Y495">
        <v>0.89100000000000001</v>
      </c>
      <c r="Z495">
        <v>1.0109999999999999</v>
      </c>
      <c r="AA495">
        <v>0</v>
      </c>
      <c r="AB495">
        <v>0</v>
      </c>
      <c r="AC495">
        <v>1</v>
      </c>
      <c r="AD495">
        <v>39.625</v>
      </c>
      <c r="AE495">
        <v>1</v>
      </c>
      <c r="AF495">
        <v>68</v>
      </c>
      <c r="AG495">
        <v>5</v>
      </c>
      <c r="AH495" t="s">
        <v>84</v>
      </c>
      <c r="AI495">
        <v>0</v>
      </c>
    </row>
    <row r="496" spans="1:35" x14ac:dyDescent="0.45">
      <c r="A496">
        <v>495</v>
      </c>
      <c r="B496" t="s">
        <v>720</v>
      </c>
      <c r="C496" t="s">
        <v>724</v>
      </c>
      <c r="D496" t="s">
        <v>722</v>
      </c>
      <c r="E496">
        <v>3</v>
      </c>
      <c r="F496">
        <v>-4.5759999999999996</v>
      </c>
      <c r="G496">
        <v>-22.614999999999998</v>
      </c>
      <c r="H496">
        <v>16267</v>
      </c>
      <c r="I496">
        <v>-1</v>
      </c>
      <c r="J496">
        <v>1</v>
      </c>
      <c r="K496" t="s">
        <v>55</v>
      </c>
      <c r="L496" t="s">
        <v>55</v>
      </c>
      <c r="M496" t="s">
        <v>56</v>
      </c>
      <c r="N496">
        <v>1643508219.5</v>
      </c>
      <c r="O496">
        <v>0.21</v>
      </c>
      <c r="P496">
        <v>0.42</v>
      </c>
      <c r="Q496">
        <v>54.289000000000001</v>
      </c>
      <c r="R496">
        <v>1E-3</v>
      </c>
      <c r="S496">
        <v>1E-3</v>
      </c>
      <c r="T496">
        <v>1.3089999999999999</v>
      </c>
      <c r="U496">
        <v>90.686000000000007</v>
      </c>
      <c r="V496">
        <v>24.24</v>
      </c>
      <c r="W496">
        <v>2.3420000000000001</v>
      </c>
      <c r="X496">
        <v>87.227000000000004</v>
      </c>
      <c r="Y496">
        <v>0.88900000000000001</v>
      </c>
      <c r="Z496">
        <v>1.085</v>
      </c>
      <c r="AA496">
        <v>0</v>
      </c>
      <c r="AB496">
        <v>0</v>
      </c>
      <c r="AC496">
        <v>1</v>
      </c>
      <c r="AD496">
        <v>39.75</v>
      </c>
      <c r="AE496">
        <v>1</v>
      </c>
      <c r="AF496">
        <v>68</v>
      </c>
      <c r="AG496">
        <v>5</v>
      </c>
      <c r="AH496" t="s">
        <v>84</v>
      </c>
      <c r="AI496">
        <v>0</v>
      </c>
    </row>
    <row r="497" spans="1:35" x14ac:dyDescent="0.45">
      <c r="A497">
        <v>496</v>
      </c>
      <c r="B497" t="s">
        <v>720</v>
      </c>
      <c r="C497" t="s">
        <v>725</v>
      </c>
      <c r="D497" t="s">
        <v>722</v>
      </c>
      <c r="E497">
        <v>4</v>
      </c>
      <c r="F497">
        <v>-4.5490000000000004</v>
      </c>
      <c r="G497">
        <v>-22.507000000000001</v>
      </c>
      <c r="H497">
        <v>16267</v>
      </c>
      <c r="I497">
        <v>0</v>
      </c>
      <c r="J497">
        <v>1</v>
      </c>
      <c r="K497" t="s">
        <v>55</v>
      </c>
      <c r="L497" t="s">
        <v>55</v>
      </c>
      <c r="M497" t="s">
        <v>56</v>
      </c>
      <c r="N497">
        <v>1643508755.5899999</v>
      </c>
      <c r="O497">
        <v>0.216</v>
      </c>
      <c r="P497">
        <v>0.42199999999999999</v>
      </c>
      <c r="Q497">
        <v>52.628999999999998</v>
      </c>
      <c r="R497">
        <v>1E-3</v>
      </c>
      <c r="S497">
        <v>2E-3</v>
      </c>
      <c r="T497">
        <v>1.27</v>
      </c>
      <c r="U497">
        <v>90.686000000000007</v>
      </c>
      <c r="V497">
        <v>24.277999999999999</v>
      </c>
      <c r="W497">
        <v>2.3450000000000002</v>
      </c>
      <c r="X497">
        <v>87.259</v>
      </c>
      <c r="Y497">
        <v>0.89</v>
      </c>
      <c r="Z497">
        <v>1.0720000000000001</v>
      </c>
      <c r="AA497">
        <v>0</v>
      </c>
      <c r="AB497">
        <v>0</v>
      </c>
      <c r="AC497">
        <v>1</v>
      </c>
      <c r="AD497">
        <v>39.75</v>
      </c>
      <c r="AE497">
        <v>1</v>
      </c>
      <c r="AF497">
        <v>68</v>
      </c>
      <c r="AG497">
        <v>5</v>
      </c>
      <c r="AH497" t="s">
        <v>84</v>
      </c>
      <c r="AI497">
        <v>0</v>
      </c>
    </row>
    <row r="498" spans="1:35" x14ac:dyDescent="0.45">
      <c r="A498">
        <v>497</v>
      </c>
      <c r="B498" t="s">
        <v>720</v>
      </c>
      <c r="C498" t="s">
        <v>726</v>
      </c>
      <c r="D498" t="s">
        <v>722</v>
      </c>
      <c r="E498">
        <v>5</v>
      </c>
      <c r="F498">
        <v>-4.54</v>
      </c>
      <c r="G498">
        <v>-22.472999999999999</v>
      </c>
      <c r="H498">
        <v>16300</v>
      </c>
      <c r="I498">
        <v>0</v>
      </c>
      <c r="J498">
        <v>1</v>
      </c>
      <c r="K498" t="s">
        <v>55</v>
      </c>
      <c r="L498" t="s">
        <v>55</v>
      </c>
      <c r="M498" t="s">
        <v>56</v>
      </c>
      <c r="N498">
        <v>1643509293.25</v>
      </c>
      <c r="O498">
        <v>0.19900000000000001</v>
      </c>
      <c r="P498">
        <v>0.376</v>
      </c>
      <c r="Q498">
        <v>54.317999999999998</v>
      </c>
      <c r="R498">
        <v>1E-3</v>
      </c>
      <c r="S498">
        <v>0</v>
      </c>
      <c r="T498">
        <v>1.3009999999999999</v>
      </c>
      <c r="U498">
        <v>90.665000000000006</v>
      </c>
      <c r="V498">
        <v>25.123000000000001</v>
      </c>
      <c r="W498">
        <v>2.3130000000000002</v>
      </c>
      <c r="X498">
        <v>86.164000000000001</v>
      </c>
      <c r="Y498">
        <v>0.89200000000000002</v>
      </c>
      <c r="Z498">
        <v>0.96699999999999997</v>
      </c>
      <c r="AA498">
        <v>0</v>
      </c>
      <c r="AB498">
        <v>0</v>
      </c>
      <c r="AC498">
        <v>1</v>
      </c>
      <c r="AD498">
        <v>39.75</v>
      </c>
      <c r="AE498">
        <v>1</v>
      </c>
      <c r="AF498">
        <v>68</v>
      </c>
      <c r="AG498">
        <v>5</v>
      </c>
      <c r="AH498" t="s">
        <v>84</v>
      </c>
      <c r="AI498">
        <v>0</v>
      </c>
    </row>
    <row r="499" spans="1:35" x14ac:dyDescent="0.45">
      <c r="A499">
        <v>498</v>
      </c>
      <c r="B499" t="s">
        <v>720</v>
      </c>
      <c r="C499" t="s">
        <v>727</v>
      </c>
      <c r="D499" t="s">
        <v>722</v>
      </c>
      <c r="E499">
        <v>6</v>
      </c>
      <c r="F499">
        <v>-4.5579999999999998</v>
      </c>
      <c r="G499">
        <v>-22.405000000000001</v>
      </c>
      <c r="H499">
        <v>16268</v>
      </c>
      <c r="I499">
        <v>0</v>
      </c>
      <c r="J499">
        <v>1</v>
      </c>
      <c r="K499" t="s">
        <v>55</v>
      </c>
      <c r="L499" t="s">
        <v>55</v>
      </c>
      <c r="M499" t="s">
        <v>56</v>
      </c>
      <c r="N499">
        <v>1643509829.8499999</v>
      </c>
      <c r="O499">
        <v>0.19</v>
      </c>
      <c r="P499">
        <v>0.39600000000000002</v>
      </c>
      <c r="Q499">
        <v>52.701000000000001</v>
      </c>
      <c r="R499">
        <v>1E-3</v>
      </c>
      <c r="S499">
        <v>1E-3</v>
      </c>
      <c r="T499">
        <v>1.264</v>
      </c>
      <c r="U499">
        <v>90.616</v>
      </c>
      <c r="V499">
        <v>24.675000000000001</v>
      </c>
      <c r="W499">
        <v>2.3199999999999998</v>
      </c>
      <c r="X499">
        <v>86.23</v>
      </c>
      <c r="Y499">
        <v>0.89100000000000001</v>
      </c>
      <c r="Z499">
        <v>0.999</v>
      </c>
      <c r="AA499">
        <v>0</v>
      </c>
      <c r="AB499">
        <v>0</v>
      </c>
      <c r="AC499">
        <v>1</v>
      </c>
      <c r="AD499">
        <v>39.688000000000002</v>
      </c>
      <c r="AE499">
        <v>1</v>
      </c>
      <c r="AF499">
        <v>68</v>
      </c>
      <c r="AG499">
        <v>5</v>
      </c>
      <c r="AH499" t="s">
        <v>84</v>
      </c>
      <c r="AI499">
        <v>0</v>
      </c>
    </row>
    <row r="500" spans="1:35" x14ac:dyDescent="0.45">
      <c r="A500">
        <v>499</v>
      </c>
      <c r="B500" t="s">
        <v>720</v>
      </c>
      <c r="C500" t="s">
        <v>728</v>
      </c>
      <c r="D500" t="s">
        <v>722</v>
      </c>
      <c r="E500">
        <v>7</v>
      </c>
      <c r="F500">
        <v>-4.6100000000000003</v>
      </c>
      <c r="G500">
        <v>-22.562000000000001</v>
      </c>
      <c r="H500">
        <v>16246</v>
      </c>
      <c r="I500">
        <v>0</v>
      </c>
      <c r="J500">
        <v>1</v>
      </c>
      <c r="K500" t="s">
        <v>55</v>
      </c>
      <c r="L500" t="s">
        <v>55</v>
      </c>
      <c r="M500" t="s">
        <v>56</v>
      </c>
      <c r="N500">
        <v>1643510366.22</v>
      </c>
      <c r="O500">
        <v>0.215</v>
      </c>
      <c r="P500">
        <v>0.373</v>
      </c>
      <c r="Q500">
        <v>53.46</v>
      </c>
      <c r="R500">
        <v>1E-3</v>
      </c>
      <c r="S500">
        <v>2E-3</v>
      </c>
      <c r="T500">
        <v>1.28</v>
      </c>
      <c r="U500">
        <v>90.350999999999999</v>
      </c>
      <c r="V500">
        <v>24.907</v>
      </c>
      <c r="W500">
        <v>2.3130000000000002</v>
      </c>
      <c r="X500">
        <v>86.161000000000001</v>
      </c>
      <c r="Y500">
        <v>0.89100000000000001</v>
      </c>
      <c r="Z500">
        <v>1.075</v>
      </c>
      <c r="AA500">
        <v>0</v>
      </c>
      <c r="AB500">
        <v>0</v>
      </c>
      <c r="AC500">
        <v>1</v>
      </c>
      <c r="AD500">
        <v>39.625</v>
      </c>
      <c r="AE500">
        <v>1</v>
      </c>
      <c r="AF500">
        <v>68</v>
      </c>
      <c r="AG500">
        <v>5</v>
      </c>
      <c r="AH500" t="s">
        <v>84</v>
      </c>
      <c r="AI500">
        <v>0</v>
      </c>
    </row>
    <row r="501" spans="1:35" x14ac:dyDescent="0.45">
      <c r="A501">
        <v>500</v>
      </c>
      <c r="B501" t="s">
        <v>720</v>
      </c>
      <c r="C501" t="s">
        <v>729</v>
      </c>
      <c r="D501" t="s">
        <v>722</v>
      </c>
      <c r="E501">
        <v>8</v>
      </c>
      <c r="F501">
        <v>-4.5590000000000002</v>
      </c>
      <c r="G501">
        <v>-22.474</v>
      </c>
      <c r="H501">
        <v>16252</v>
      </c>
      <c r="I501">
        <v>0</v>
      </c>
      <c r="J501">
        <v>1</v>
      </c>
      <c r="K501" t="s">
        <v>55</v>
      </c>
      <c r="L501" t="s">
        <v>55</v>
      </c>
      <c r="M501" t="s">
        <v>56</v>
      </c>
      <c r="N501">
        <v>1643510902.8800001</v>
      </c>
      <c r="O501">
        <v>0.223</v>
      </c>
      <c r="P501">
        <v>0.41799999999999998</v>
      </c>
      <c r="Q501">
        <v>52.231000000000002</v>
      </c>
      <c r="R501">
        <v>1E-3</v>
      </c>
      <c r="S501">
        <v>0</v>
      </c>
      <c r="T501">
        <v>1.2589999999999999</v>
      </c>
      <c r="U501">
        <v>90.497</v>
      </c>
      <c r="V501">
        <v>24.376999999999999</v>
      </c>
      <c r="W501">
        <v>2.3370000000000002</v>
      </c>
      <c r="X501">
        <v>87.316000000000003</v>
      </c>
      <c r="Y501">
        <v>0.89100000000000001</v>
      </c>
      <c r="Z501">
        <v>1.089</v>
      </c>
      <c r="AA501">
        <v>0</v>
      </c>
      <c r="AB501">
        <v>0</v>
      </c>
      <c r="AC501">
        <v>1</v>
      </c>
      <c r="AD501">
        <v>39.625</v>
      </c>
      <c r="AE501">
        <v>1</v>
      </c>
      <c r="AF501">
        <v>68</v>
      </c>
      <c r="AG501">
        <v>5</v>
      </c>
      <c r="AH501" t="s">
        <v>84</v>
      </c>
      <c r="AI501">
        <v>0</v>
      </c>
    </row>
    <row r="502" spans="1:35" x14ac:dyDescent="0.45">
      <c r="A502">
        <v>501</v>
      </c>
      <c r="B502" t="s">
        <v>720</v>
      </c>
      <c r="C502" t="s">
        <v>730</v>
      </c>
      <c r="D502" t="s">
        <v>722</v>
      </c>
      <c r="E502">
        <v>9</v>
      </c>
      <c r="F502">
        <v>-4.5439999999999996</v>
      </c>
      <c r="G502">
        <v>-22.382999999999999</v>
      </c>
      <c r="H502">
        <v>16243</v>
      </c>
      <c r="I502">
        <v>0</v>
      </c>
      <c r="J502">
        <v>1</v>
      </c>
      <c r="K502" t="s">
        <v>55</v>
      </c>
      <c r="L502" t="s">
        <v>55</v>
      </c>
      <c r="M502" t="s">
        <v>56</v>
      </c>
      <c r="N502">
        <v>1643511439.9000001</v>
      </c>
      <c r="O502">
        <v>0.2</v>
      </c>
      <c r="P502">
        <v>0.438</v>
      </c>
      <c r="Q502">
        <v>53.966000000000001</v>
      </c>
      <c r="R502">
        <v>1E-3</v>
      </c>
      <c r="S502">
        <v>1E-3</v>
      </c>
      <c r="T502">
        <v>1.296</v>
      </c>
      <c r="U502">
        <v>90.378</v>
      </c>
      <c r="V502">
        <v>24.283999999999999</v>
      </c>
      <c r="W502">
        <v>2.359</v>
      </c>
      <c r="X502">
        <v>87.813999999999993</v>
      </c>
      <c r="Y502">
        <v>0.89</v>
      </c>
      <c r="Z502">
        <v>1.292</v>
      </c>
      <c r="AA502">
        <v>0</v>
      </c>
      <c r="AB502">
        <v>0</v>
      </c>
      <c r="AC502">
        <v>1</v>
      </c>
      <c r="AD502">
        <v>39.625</v>
      </c>
      <c r="AE502">
        <v>1</v>
      </c>
      <c r="AF502">
        <v>68</v>
      </c>
      <c r="AG502">
        <v>5</v>
      </c>
      <c r="AH502" t="s">
        <v>84</v>
      </c>
      <c r="AI502">
        <v>0</v>
      </c>
    </row>
    <row r="503" spans="1:35" x14ac:dyDescent="0.45">
      <c r="A503">
        <v>502</v>
      </c>
      <c r="B503" t="s">
        <v>720</v>
      </c>
      <c r="C503" t="s">
        <v>731</v>
      </c>
      <c r="D503" t="s">
        <v>722</v>
      </c>
      <c r="E503">
        <v>10</v>
      </c>
      <c r="F503">
        <v>-4.5629999999999997</v>
      </c>
      <c r="G503">
        <v>-22.405999999999999</v>
      </c>
      <c r="H503">
        <v>16250</v>
      </c>
      <c r="I503">
        <v>0</v>
      </c>
      <c r="J503">
        <v>1</v>
      </c>
      <c r="K503" t="s">
        <v>55</v>
      </c>
      <c r="L503" t="s">
        <v>55</v>
      </c>
      <c r="M503" t="s">
        <v>56</v>
      </c>
      <c r="N503">
        <v>1643511976.8</v>
      </c>
      <c r="O503">
        <v>0.20799999999999999</v>
      </c>
      <c r="P503">
        <v>0.40200000000000002</v>
      </c>
      <c r="Q503">
        <v>53.427</v>
      </c>
      <c r="R503">
        <v>0</v>
      </c>
      <c r="S503">
        <v>-1E-3</v>
      </c>
      <c r="T503">
        <v>1.282</v>
      </c>
      <c r="U503">
        <v>90.614999999999995</v>
      </c>
      <c r="V503">
        <v>24.529</v>
      </c>
      <c r="W503">
        <v>2.3260000000000001</v>
      </c>
      <c r="X503">
        <v>85.914000000000001</v>
      </c>
      <c r="Y503">
        <v>0.9</v>
      </c>
      <c r="Z503">
        <v>0.99099999999999999</v>
      </c>
      <c r="AA503">
        <v>0</v>
      </c>
      <c r="AB503">
        <v>0</v>
      </c>
      <c r="AC503">
        <v>1</v>
      </c>
      <c r="AD503">
        <v>39.688000000000002</v>
      </c>
      <c r="AE503">
        <v>1</v>
      </c>
      <c r="AF503">
        <v>68</v>
      </c>
      <c r="AG503">
        <v>5</v>
      </c>
      <c r="AH503" t="s">
        <v>84</v>
      </c>
      <c r="AI503">
        <v>0</v>
      </c>
    </row>
    <row r="504" spans="1:35" x14ac:dyDescent="0.45">
      <c r="A504">
        <v>503</v>
      </c>
      <c r="B504" t="s">
        <v>720</v>
      </c>
      <c r="C504" t="s">
        <v>732</v>
      </c>
      <c r="D504" t="s">
        <v>722</v>
      </c>
      <c r="E504">
        <v>11</v>
      </c>
      <c r="F504">
        <v>-4.5789999999999997</v>
      </c>
      <c r="G504">
        <v>-22.448</v>
      </c>
      <c r="H504">
        <v>16245</v>
      </c>
      <c r="I504">
        <v>0</v>
      </c>
      <c r="J504">
        <v>1</v>
      </c>
      <c r="K504" t="s">
        <v>55</v>
      </c>
      <c r="L504" t="s">
        <v>55</v>
      </c>
      <c r="M504" t="s">
        <v>56</v>
      </c>
      <c r="N504">
        <v>1643512513.29</v>
      </c>
      <c r="O504">
        <v>0.182</v>
      </c>
      <c r="P504">
        <v>0.41499999999999998</v>
      </c>
      <c r="Q504">
        <v>53.593000000000004</v>
      </c>
      <c r="R504">
        <v>1E-3</v>
      </c>
      <c r="S504">
        <v>1E-3</v>
      </c>
      <c r="T504">
        <v>1.29</v>
      </c>
      <c r="U504">
        <v>90.191999999999993</v>
      </c>
      <c r="V504">
        <v>25.391999999999999</v>
      </c>
      <c r="W504">
        <v>2.3170000000000002</v>
      </c>
      <c r="X504">
        <v>85.495000000000005</v>
      </c>
      <c r="Y504">
        <v>0.89200000000000002</v>
      </c>
      <c r="Z504">
        <v>1.107</v>
      </c>
      <c r="AA504">
        <v>0</v>
      </c>
      <c r="AB504">
        <v>0</v>
      </c>
      <c r="AC504">
        <v>1</v>
      </c>
      <c r="AD504">
        <v>39.688000000000002</v>
      </c>
      <c r="AE504">
        <v>1</v>
      </c>
      <c r="AF504">
        <v>68</v>
      </c>
      <c r="AG504">
        <v>5</v>
      </c>
      <c r="AH504" t="s">
        <v>84</v>
      </c>
      <c r="AI504">
        <v>0</v>
      </c>
    </row>
    <row r="505" spans="1:35" x14ac:dyDescent="0.45">
      <c r="A505">
        <v>504</v>
      </c>
      <c r="B505" t="s">
        <v>720</v>
      </c>
      <c r="C505" t="s">
        <v>733</v>
      </c>
      <c r="D505" t="s">
        <v>722</v>
      </c>
      <c r="E505">
        <v>12</v>
      </c>
      <c r="F505">
        <v>-4.5389999999999997</v>
      </c>
      <c r="G505">
        <v>-22.338000000000001</v>
      </c>
      <c r="H505">
        <v>16297</v>
      </c>
      <c r="I505">
        <v>0</v>
      </c>
      <c r="J505">
        <v>1</v>
      </c>
      <c r="K505" t="s">
        <v>55</v>
      </c>
      <c r="L505" t="s">
        <v>55</v>
      </c>
      <c r="M505" t="s">
        <v>56</v>
      </c>
      <c r="N505">
        <v>1643513050.25</v>
      </c>
      <c r="O505">
        <v>0.19700000000000001</v>
      </c>
      <c r="P505">
        <v>0.38900000000000001</v>
      </c>
      <c r="Q505">
        <v>54.106999999999999</v>
      </c>
      <c r="R505">
        <v>0</v>
      </c>
      <c r="S505">
        <v>-1E-3</v>
      </c>
      <c r="T505">
        <v>1.2929999999999999</v>
      </c>
      <c r="U505">
        <v>90.784999999999997</v>
      </c>
      <c r="V505">
        <v>24.568000000000001</v>
      </c>
      <c r="W505">
        <v>2.3130000000000002</v>
      </c>
      <c r="X505">
        <v>86.975999999999999</v>
      </c>
      <c r="Y505">
        <v>0.89800000000000002</v>
      </c>
      <c r="Z505">
        <v>1.123</v>
      </c>
      <c r="AA505">
        <v>0</v>
      </c>
      <c r="AB505">
        <v>0</v>
      </c>
      <c r="AC505">
        <v>1</v>
      </c>
      <c r="AD505">
        <v>39.75</v>
      </c>
      <c r="AE505">
        <v>1</v>
      </c>
      <c r="AF505">
        <v>68</v>
      </c>
      <c r="AG505">
        <v>5</v>
      </c>
      <c r="AH505" t="s">
        <v>84</v>
      </c>
      <c r="AI505">
        <v>0</v>
      </c>
    </row>
    <row r="506" spans="1:35" x14ac:dyDescent="0.45">
      <c r="A506">
        <v>505</v>
      </c>
      <c r="B506" t="s">
        <v>720</v>
      </c>
      <c r="C506" t="s">
        <v>734</v>
      </c>
      <c r="D506" t="s">
        <v>722</v>
      </c>
      <c r="E506">
        <v>13</v>
      </c>
      <c r="F506">
        <v>-4.5579999999999998</v>
      </c>
      <c r="G506">
        <v>-22.385999999999999</v>
      </c>
      <c r="H506">
        <v>16246</v>
      </c>
      <c r="I506">
        <v>0</v>
      </c>
      <c r="J506">
        <v>1</v>
      </c>
      <c r="K506" t="s">
        <v>55</v>
      </c>
      <c r="L506" t="s">
        <v>55</v>
      </c>
      <c r="M506" t="s">
        <v>56</v>
      </c>
      <c r="N506">
        <v>1643513586.8699999</v>
      </c>
      <c r="O506">
        <v>0.217</v>
      </c>
      <c r="P506">
        <v>0.43</v>
      </c>
      <c r="Q506">
        <v>53.058999999999997</v>
      </c>
      <c r="R506">
        <v>1E-3</v>
      </c>
      <c r="S506">
        <v>1E-3</v>
      </c>
      <c r="T506">
        <v>1.2809999999999999</v>
      </c>
      <c r="U506">
        <v>90.43</v>
      </c>
      <c r="V506">
        <v>24.38</v>
      </c>
      <c r="W506">
        <v>2.3929999999999998</v>
      </c>
      <c r="X506">
        <v>87.462999999999994</v>
      </c>
      <c r="Y506">
        <v>0.89100000000000001</v>
      </c>
      <c r="Z506">
        <v>1.147</v>
      </c>
      <c r="AA506">
        <v>0</v>
      </c>
      <c r="AB506">
        <v>0</v>
      </c>
      <c r="AC506">
        <v>1</v>
      </c>
      <c r="AD506">
        <v>39.75</v>
      </c>
      <c r="AE506">
        <v>1</v>
      </c>
      <c r="AF506">
        <v>68</v>
      </c>
      <c r="AG506">
        <v>5</v>
      </c>
      <c r="AH506" t="s">
        <v>84</v>
      </c>
      <c r="AI506">
        <v>0</v>
      </c>
    </row>
    <row r="507" spans="1:35" x14ac:dyDescent="0.45">
      <c r="A507">
        <v>506</v>
      </c>
      <c r="B507" t="s">
        <v>720</v>
      </c>
      <c r="C507" t="s">
        <v>735</v>
      </c>
      <c r="D507" t="s">
        <v>722</v>
      </c>
      <c r="E507">
        <v>14</v>
      </c>
      <c r="F507">
        <v>-4.5709999999999997</v>
      </c>
      <c r="G507">
        <v>-22.425000000000001</v>
      </c>
      <c r="H507">
        <v>16281</v>
      </c>
      <c r="I507">
        <v>0</v>
      </c>
      <c r="J507">
        <v>1</v>
      </c>
      <c r="K507" t="s">
        <v>55</v>
      </c>
      <c r="L507" t="s">
        <v>55</v>
      </c>
      <c r="M507" t="s">
        <v>56</v>
      </c>
      <c r="N507">
        <v>1643514124.72</v>
      </c>
      <c r="O507">
        <v>0.20899999999999999</v>
      </c>
      <c r="P507">
        <v>0.39900000000000002</v>
      </c>
      <c r="Q507">
        <v>54.820999999999998</v>
      </c>
      <c r="R507">
        <v>1E-3</v>
      </c>
      <c r="S507">
        <v>2E-3</v>
      </c>
      <c r="T507">
        <v>1.3180000000000001</v>
      </c>
      <c r="U507">
        <v>90.768000000000001</v>
      </c>
      <c r="V507">
        <v>24.585999999999999</v>
      </c>
      <c r="W507">
        <v>2.3410000000000002</v>
      </c>
      <c r="X507">
        <v>86.388000000000005</v>
      </c>
      <c r="Y507">
        <v>0.89900000000000002</v>
      </c>
      <c r="Z507">
        <v>1.0740000000000001</v>
      </c>
      <c r="AA507">
        <v>0</v>
      </c>
      <c r="AB507">
        <v>0</v>
      </c>
      <c r="AC507">
        <v>1</v>
      </c>
      <c r="AD507">
        <v>39.75</v>
      </c>
      <c r="AE507">
        <v>1</v>
      </c>
      <c r="AF507">
        <v>68</v>
      </c>
      <c r="AG507">
        <v>5</v>
      </c>
      <c r="AH507" t="s">
        <v>84</v>
      </c>
      <c r="AI507">
        <v>0</v>
      </c>
    </row>
    <row r="508" spans="1:35" x14ac:dyDescent="0.45">
      <c r="A508">
        <v>507</v>
      </c>
      <c r="B508" t="s">
        <v>720</v>
      </c>
      <c r="C508" t="s">
        <v>736</v>
      </c>
      <c r="D508" t="s">
        <v>722</v>
      </c>
      <c r="E508">
        <v>15</v>
      </c>
      <c r="F508">
        <v>-4.556</v>
      </c>
      <c r="G508">
        <v>-22.433</v>
      </c>
      <c r="H508">
        <v>16277</v>
      </c>
      <c r="I508">
        <v>0</v>
      </c>
      <c r="J508">
        <v>1</v>
      </c>
      <c r="K508" t="s">
        <v>55</v>
      </c>
      <c r="L508" t="s">
        <v>55</v>
      </c>
      <c r="M508" t="s">
        <v>56</v>
      </c>
      <c r="N508">
        <v>1643514659.97</v>
      </c>
      <c r="O508">
        <v>0.21299999999999999</v>
      </c>
      <c r="P508">
        <v>0.46500000000000002</v>
      </c>
      <c r="Q508">
        <v>53.511000000000003</v>
      </c>
      <c r="R508">
        <v>1E-3</v>
      </c>
      <c r="S508">
        <v>1E-3</v>
      </c>
      <c r="T508">
        <v>1.2809999999999999</v>
      </c>
      <c r="U508">
        <v>90.745000000000005</v>
      </c>
      <c r="V508">
        <v>24.687999999999999</v>
      </c>
      <c r="W508">
        <v>2.2829999999999999</v>
      </c>
      <c r="X508">
        <v>86.123000000000005</v>
      </c>
      <c r="Y508">
        <v>0.89600000000000002</v>
      </c>
      <c r="Z508">
        <v>0.96399999999999997</v>
      </c>
      <c r="AA508">
        <v>0</v>
      </c>
      <c r="AB508">
        <v>0</v>
      </c>
      <c r="AC508">
        <v>1</v>
      </c>
      <c r="AD508">
        <v>39.75</v>
      </c>
      <c r="AE508">
        <v>1</v>
      </c>
      <c r="AF508">
        <v>68</v>
      </c>
      <c r="AG508">
        <v>5</v>
      </c>
      <c r="AH508" t="s">
        <v>84</v>
      </c>
      <c r="AI508">
        <v>0</v>
      </c>
    </row>
    <row r="509" spans="1:35" x14ac:dyDescent="0.45">
      <c r="A509">
        <v>508</v>
      </c>
      <c r="B509" t="s">
        <v>737</v>
      </c>
      <c r="C509" t="s">
        <v>738</v>
      </c>
      <c r="D509" t="s">
        <v>739</v>
      </c>
      <c r="E509">
        <v>1</v>
      </c>
      <c r="F509">
        <v>-7.7619999999999996</v>
      </c>
      <c r="G509">
        <v>-49.195</v>
      </c>
      <c r="H509">
        <v>16268</v>
      </c>
      <c r="I509">
        <v>-1</v>
      </c>
      <c r="J509">
        <v>1</v>
      </c>
      <c r="K509" t="s">
        <v>55</v>
      </c>
      <c r="L509" t="s">
        <v>55</v>
      </c>
      <c r="M509" t="s">
        <v>56</v>
      </c>
      <c r="N509">
        <v>1643515196.52</v>
      </c>
      <c r="O509">
        <v>0.19500000000000001</v>
      </c>
      <c r="P509">
        <v>0.47599999999999998</v>
      </c>
      <c r="Q509">
        <v>53.567</v>
      </c>
      <c r="R509">
        <v>1E-3</v>
      </c>
      <c r="S509">
        <v>4.0000000000000001E-3</v>
      </c>
      <c r="T509">
        <v>1.286</v>
      </c>
      <c r="U509">
        <v>90.587999999999994</v>
      </c>
      <c r="V509">
        <v>24.890999999999998</v>
      </c>
      <c r="W509">
        <v>2.3239999999999998</v>
      </c>
      <c r="X509">
        <v>86.149000000000001</v>
      </c>
      <c r="Y509">
        <v>0.89</v>
      </c>
      <c r="Z509">
        <v>0.97</v>
      </c>
      <c r="AA509">
        <v>0</v>
      </c>
      <c r="AB509">
        <v>0</v>
      </c>
      <c r="AC509">
        <v>1</v>
      </c>
      <c r="AD509">
        <v>39.688000000000002</v>
      </c>
      <c r="AE509">
        <v>1</v>
      </c>
      <c r="AF509">
        <v>69</v>
      </c>
      <c r="AG509">
        <v>5</v>
      </c>
      <c r="AH509" t="s">
        <v>84</v>
      </c>
      <c r="AI509">
        <v>0</v>
      </c>
    </row>
    <row r="510" spans="1:35" x14ac:dyDescent="0.45">
      <c r="A510">
        <v>509</v>
      </c>
      <c r="B510" t="s">
        <v>737</v>
      </c>
      <c r="C510" t="s">
        <v>740</v>
      </c>
      <c r="D510" t="s">
        <v>739</v>
      </c>
      <c r="E510">
        <v>2</v>
      </c>
      <c r="F510">
        <v>-7.8819999999999997</v>
      </c>
      <c r="G510">
        <v>-51.383000000000003</v>
      </c>
      <c r="H510">
        <v>16346</v>
      </c>
      <c r="I510">
        <v>-1</v>
      </c>
      <c r="J510">
        <v>1</v>
      </c>
      <c r="K510" t="s">
        <v>55</v>
      </c>
      <c r="L510" t="s">
        <v>55</v>
      </c>
      <c r="M510" t="s">
        <v>56</v>
      </c>
      <c r="N510">
        <v>1643515733.0899999</v>
      </c>
      <c r="O510">
        <v>0.22500000000000001</v>
      </c>
      <c r="P510">
        <v>0.42399999999999999</v>
      </c>
      <c r="Q510">
        <v>53.779000000000003</v>
      </c>
      <c r="R510">
        <v>2E-3</v>
      </c>
      <c r="S510">
        <v>3.0000000000000001E-3</v>
      </c>
      <c r="T510">
        <v>1.2869999999999999</v>
      </c>
      <c r="U510">
        <v>91.001000000000005</v>
      </c>
      <c r="V510">
        <v>25.314</v>
      </c>
      <c r="W510">
        <v>2.2930000000000001</v>
      </c>
      <c r="X510">
        <v>85.960999999999999</v>
      </c>
      <c r="Y510">
        <v>0.90100000000000002</v>
      </c>
      <c r="Z510">
        <v>1.0329999999999999</v>
      </c>
      <c r="AA510">
        <v>0</v>
      </c>
      <c r="AB510">
        <v>0</v>
      </c>
      <c r="AC510">
        <v>1</v>
      </c>
      <c r="AD510">
        <v>39.75</v>
      </c>
      <c r="AE510">
        <v>1</v>
      </c>
      <c r="AF510">
        <v>69</v>
      </c>
      <c r="AG510">
        <v>5</v>
      </c>
      <c r="AH510" t="s">
        <v>84</v>
      </c>
      <c r="AI510">
        <v>0</v>
      </c>
    </row>
    <row r="511" spans="1:35" x14ac:dyDescent="0.45">
      <c r="A511">
        <v>510</v>
      </c>
      <c r="B511" t="s">
        <v>737</v>
      </c>
      <c r="C511" t="s">
        <v>741</v>
      </c>
      <c r="D511" t="s">
        <v>739</v>
      </c>
      <c r="E511">
        <v>3</v>
      </c>
      <c r="F511">
        <v>-7.944</v>
      </c>
      <c r="G511">
        <v>-51.904000000000003</v>
      </c>
      <c r="H511">
        <v>16231</v>
      </c>
      <c r="I511">
        <v>-1</v>
      </c>
      <c r="J511">
        <v>1</v>
      </c>
      <c r="K511" t="s">
        <v>55</v>
      </c>
      <c r="L511" t="s">
        <v>55</v>
      </c>
      <c r="M511" t="s">
        <v>56</v>
      </c>
      <c r="N511">
        <v>1643516269.6500001</v>
      </c>
      <c r="O511">
        <v>0.20799999999999999</v>
      </c>
      <c r="P511">
        <v>0.42</v>
      </c>
      <c r="Q511">
        <v>52.713000000000001</v>
      </c>
      <c r="R511">
        <v>1E-3</v>
      </c>
      <c r="S511">
        <v>3.0000000000000001E-3</v>
      </c>
      <c r="T511">
        <v>1.2689999999999999</v>
      </c>
      <c r="U511">
        <v>90.352000000000004</v>
      </c>
      <c r="V511">
        <v>24.495000000000001</v>
      </c>
      <c r="W511">
        <v>2.3439999999999999</v>
      </c>
      <c r="X511">
        <v>87.138000000000005</v>
      </c>
      <c r="Y511">
        <v>0.89700000000000002</v>
      </c>
      <c r="Z511">
        <v>1.127</v>
      </c>
      <c r="AA511">
        <v>0</v>
      </c>
      <c r="AB511">
        <v>0</v>
      </c>
      <c r="AC511">
        <v>1</v>
      </c>
      <c r="AD511">
        <v>39.75</v>
      </c>
      <c r="AE511">
        <v>1</v>
      </c>
      <c r="AF511">
        <v>69</v>
      </c>
      <c r="AG511">
        <v>5</v>
      </c>
      <c r="AH511" t="s">
        <v>84</v>
      </c>
      <c r="AI511">
        <v>0</v>
      </c>
    </row>
    <row r="512" spans="1:35" x14ac:dyDescent="0.45">
      <c r="A512">
        <v>511</v>
      </c>
      <c r="B512" t="s">
        <v>737</v>
      </c>
      <c r="C512" t="s">
        <v>742</v>
      </c>
      <c r="D512" t="s">
        <v>739</v>
      </c>
      <c r="E512">
        <v>4</v>
      </c>
      <c r="F512">
        <v>-7.9560000000000004</v>
      </c>
      <c r="G512">
        <v>-52.067999999999998</v>
      </c>
      <c r="H512">
        <v>16323</v>
      </c>
      <c r="I512">
        <v>0</v>
      </c>
      <c r="J512">
        <v>1</v>
      </c>
      <c r="K512" t="s">
        <v>55</v>
      </c>
      <c r="L512" t="s">
        <v>55</v>
      </c>
      <c r="M512" t="s">
        <v>56</v>
      </c>
      <c r="N512">
        <v>1643516807.1600001</v>
      </c>
      <c r="O512">
        <v>0.22</v>
      </c>
      <c r="P512">
        <v>0.46500000000000002</v>
      </c>
      <c r="Q512">
        <v>53.091999999999999</v>
      </c>
      <c r="R512">
        <v>2E-3</v>
      </c>
      <c r="S512">
        <v>3.0000000000000001E-3</v>
      </c>
      <c r="T512">
        <v>1.2789999999999999</v>
      </c>
      <c r="U512">
        <v>90.992000000000004</v>
      </c>
      <c r="V512">
        <v>24.855</v>
      </c>
      <c r="W512">
        <v>2.2949999999999999</v>
      </c>
      <c r="X512">
        <v>86.358999999999995</v>
      </c>
      <c r="Y512">
        <v>0.89700000000000002</v>
      </c>
      <c r="Z512">
        <v>0.90800000000000003</v>
      </c>
      <c r="AA512">
        <v>0</v>
      </c>
      <c r="AB512">
        <v>0</v>
      </c>
      <c r="AC512">
        <v>1</v>
      </c>
      <c r="AD512">
        <v>39.75</v>
      </c>
      <c r="AE512">
        <v>1</v>
      </c>
      <c r="AF512">
        <v>69</v>
      </c>
      <c r="AG512">
        <v>5</v>
      </c>
      <c r="AH512" t="s">
        <v>84</v>
      </c>
      <c r="AI512">
        <v>0</v>
      </c>
    </row>
    <row r="513" spans="1:35" x14ac:dyDescent="0.45">
      <c r="A513">
        <v>512</v>
      </c>
      <c r="B513" t="s">
        <v>737</v>
      </c>
      <c r="C513" t="s">
        <v>743</v>
      </c>
      <c r="D513" t="s">
        <v>739</v>
      </c>
      <c r="E513">
        <v>5</v>
      </c>
      <c r="F513">
        <v>-7.923</v>
      </c>
      <c r="G513">
        <v>-52.186999999999998</v>
      </c>
      <c r="H513">
        <v>16325</v>
      </c>
      <c r="I513">
        <v>0</v>
      </c>
      <c r="J513">
        <v>1</v>
      </c>
      <c r="K513" t="s">
        <v>55</v>
      </c>
      <c r="L513" t="s">
        <v>55</v>
      </c>
      <c r="M513" t="s">
        <v>56</v>
      </c>
      <c r="N513">
        <v>1643517343.22</v>
      </c>
      <c r="O513">
        <v>0.20300000000000001</v>
      </c>
      <c r="P513">
        <v>0.39400000000000002</v>
      </c>
      <c r="Q513">
        <v>53.21</v>
      </c>
      <c r="R513">
        <v>1E-3</v>
      </c>
      <c r="S513">
        <v>2E-3</v>
      </c>
      <c r="T513">
        <v>1.274</v>
      </c>
      <c r="U513">
        <v>91.078999999999994</v>
      </c>
      <c r="V513">
        <v>24.55</v>
      </c>
      <c r="W513">
        <v>2.3180000000000001</v>
      </c>
      <c r="X513">
        <v>86.747</v>
      </c>
      <c r="Y513">
        <v>0.89500000000000002</v>
      </c>
      <c r="Z513">
        <v>1.1020000000000001</v>
      </c>
      <c r="AA513">
        <v>0</v>
      </c>
      <c r="AB513">
        <v>0</v>
      </c>
      <c r="AC513">
        <v>1</v>
      </c>
      <c r="AD513">
        <v>39.75</v>
      </c>
      <c r="AE513">
        <v>1</v>
      </c>
      <c r="AF513">
        <v>69</v>
      </c>
      <c r="AG513">
        <v>5</v>
      </c>
      <c r="AH513" t="s">
        <v>84</v>
      </c>
      <c r="AI513">
        <v>0</v>
      </c>
    </row>
    <row r="514" spans="1:35" x14ac:dyDescent="0.45">
      <c r="A514">
        <v>513</v>
      </c>
      <c r="B514" t="s">
        <v>737</v>
      </c>
      <c r="C514" t="s">
        <v>744</v>
      </c>
      <c r="D514" t="s">
        <v>739</v>
      </c>
      <c r="E514">
        <v>6</v>
      </c>
      <c r="F514">
        <v>-7.9729999999999999</v>
      </c>
      <c r="G514">
        <v>-52.33</v>
      </c>
      <c r="H514">
        <v>16234</v>
      </c>
      <c r="I514">
        <v>0</v>
      </c>
      <c r="J514">
        <v>1</v>
      </c>
      <c r="K514" t="s">
        <v>55</v>
      </c>
      <c r="L514" t="s">
        <v>55</v>
      </c>
      <c r="M514" t="s">
        <v>56</v>
      </c>
      <c r="N514">
        <v>1643517880.4400001</v>
      </c>
      <c r="O514">
        <v>0.2</v>
      </c>
      <c r="P514">
        <v>0.44900000000000001</v>
      </c>
      <c r="Q514">
        <v>53.343000000000004</v>
      </c>
      <c r="R514">
        <v>0</v>
      </c>
      <c r="S514">
        <v>3.0000000000000001E-3</v>
      </c>
      <c r="T514">
        <v>1.2929999999999999</v>
      </c>
      <c r="U514">
        <v>90.477999999999994</v>
      </c>
      <c r="V514">
        <v>24.167999999999999</v>
      </c>
      <c r="W514">
        <v>2.3159999999999998</v>
      </c>
      <c r="X514">
        <v>87.418000000000006</v>
      </c>
      <c r="Y514">
        <v>0.89900000000000002</v>
      </c>
      <c r="Z514">
        <v>1.1870000000000001</v>
      </c>
      <c r="AA514">
        <v>0</v>
      </c>
      <c r="AB514">
        <v>0</v>
      </c>
      <c r="AC514">
        <v>1</v>
      </c>
      <c r="AD514">
        <v>39.688000000000002</v>
      </c>
      <c r="AE514">
        <v>1</v>
      </c>
      <c r="AF514">
        <v>69</v>
      </c>
      <c r="AG514">
        <v>5</v>
      </c>
      <c r="AH514" t="s">
        <v>84</v>
      </c>
      <c r="AI514">
        <v>0</v>
      </c>
    </row>
    <row r="515" spans="1:35" x14ac:dyDescent="0.45">
      <c r="A515">
        <v>514</v>
      </c>
      <c r="B515" t="s">
        <v>737</v>
      </c>
      <c r="C515" t="s">
        <v>745</v>
      </c>
      <c r="D515" t="s">
        <v>739</v>
      </c>
      <c r="E515">
        <v>7</v>
      </c>
      <c r="F515">
        <v>-7.992</v>
      </c>
      <c r="G515">
        <v>-52.372</v>
      </c>
      <c r="H515">
        <v>16349</v>
      </c>
      <c r="I515">
        <v>0</v>
      </c>
      <c r="J515">
        <v>1</v>
      </c>
      <c r="K515" t="s">
        <v>55</v>
      </c>
      <c r="L515" t="s">
        <v>55</v>
      </c>
      <c r="M515" t="s">
        <v>56</v>
      </c>
      <c r="N515">
        <v>1643518417.6199999</v>
      </c>
      <c r="O515">
        <v>0.20100000000000001</v>
      </c>
      <c r="P515">
        <v>0.45600000000000002</v>
      </c>
      <c r="Q515">
        <v>54.058999999999997</v>
      </c>
      <c r="R515">
        <v>1E-3</v>
      </c>
      <c r="S515">
        <v>2E-3</v>
      </c>
      <c r="T515">
        <v>1.2969999999999999</v>
      </c>
      <c r="U515">
        <v>90.87</v>
      </c>
      <c r="V515">
        <v>24.925999999999998</v>
      </c>
      <c r="W515">
        <v>2.3839999999999999</v>
      </c>
      <c r="X515">
        <v>87.754999999999995</v>
      </c>
      <c r="Y515">
        <v>0.90400000000000003</v>
      </c>
      <c r="Z515">
        <v>1.3009999999999999</v>
      </c>
      <c r="AA515">
        <v>0</v>
      </c>
      <c r="AB515">
        <v>0</v>
      </c>
      <c r="AC515">
        <v>1</v>
      </c>
      <c r="AD515">
        <v>39.75</v>
      </c>
      <c r="AE515">
        <v>1</v>
      </c>
      <c r="AF515">
        <v>69</v>
      </c>
      <c r="AG515">
        <v>5</v>
      </c>
      <c r="AH515" t="s">
        <v>84</v>
      </c>
      <c r="AI515">
        <v>0</v>
      </c>
    </row>
    <row r="516" spans="1:35" x14ac:dyDescent="0.45">
      <c r="A516">
        <v>515</v>
      </c>
      <c r="B516" t="s">
        <v>737</v>
      </c>
      <c r="C516" t="s">
        <v>746</v>
      </c>
      <c r="D516" t="s">
        <v>739</v>
      </c>
      <c r="E516">
        <v>8</v>
      </c>
      <c r="F516">
        <v>-7.9820000000000002</v>
      </c>
      <c r="G516">
        <v>-52.387999999999998</v>
      </c>
      <c r="H516">
        <v>16233</v>
      </c>
      <c r="I516">
        <v>0</v>
      </c>
      <c r="J516">
        <v>1</v>
      </c>
      <c r="K516" t="s">
        <v>55</v>
      </c>
      <c r="L516" t="s">
        <v>55</v>
      </c>
      <c r="M516" t="s">
        <v>56</v>
      </c>
      <c r="N516">
        <v>1643518954.3299999</v>
      </c>
      <c r="O516">
        <v>0.21099999999999999</v>
      </c>
      <c r="P516">
        <v>0.438</v>
      </c>
      <c r="Q516">
        <v>53.06</v>
      </c>
      <c r="R516">
        <v>2E-3</v>
      </c>
      <c r="S516">
        <v>2E-3</v>
      </c>
      <c r="T516">
        <v>1.274</v>
      </c>
      <c r="U516">
        <v>90.533000000000001</v>
      </c>
      <c r="V516">
        <v>24.469000000000001</v>
      </c>
      <c r="W516">
        <v>2.298</v>
      </c>
      <c r="X516">
        <v>85.918999999999997</v>
      </c>
      <c r="Y516">
        <v>0.89600000000000002</v>
      </c>
      <c r="Z516">
        <v>0.94</v>
      </c>
      <c r="AA516">
        <v>0</v>
      </c>
      <c r="AB516">
        <v>0</v>
      </c>
      <c r="AC516">
        <v>1</v>
      </c>
      <c r="AD516">
        <v>39.75</v>
      </c>
      <c r="AE516">
        <v>1</v>
      </c>
      <c r="AF516">
        <v>69</v>
      </c>
      <c r="AG516">
        <v>5</v>
      </c>
      <c r="AH516" t="s">
        <v>84</v>
      </c>
      <c r="AI516">
        <v>0</v>
      </c>
    </row>
    <row r="517" spans="1:35" x14ac:dyDescent="0.45">
      <c r="A517">
        <v>516</v>
      </c>
      <c r="B517" t="s">
        <v>737</v>
      </c>
      <c r="C517" t="s">
        <v>747</v>
      </c>
      <c r="D517" t="s">
        <v>739</v>
      </c>
      <c r="E517">
        <v>9</v>
      </c>
      <c r="F517">
        <v>-7.9720000000000004</v>
      </c>
      <c r="G517">
        <v>-52.48</v>
      </c>
      <c r="H517">
        <v>16273</v>
      </c>
      <c r="I517">
        <v>0</v>
      </c>
      <c r="J517">
        <v>1</v>
      </c>
      <c r="K517" t="s">
        <v>55</v>
      </c>
      <c r="L517" t="s">
        <v>55</v>
      </c>
      <c r="M517" t="s">
        <v>56</v>
      </c>
      <c r="N517">
        <v>1643519491.1800001</v>
      </c>
      <c r="O517">
        <v>0.186</v>
      </c>
      <c r="P517">
        <v>0.42499999999999999</v>
      </c>
      <c r="Q517">
        <v>53.774999999999999</v>
      </c>
      <c r="R517">
        <v>1E-3</v>
      </c>
      <c r="S517">
        <v>2E-3</v>
      </c>
      <c r="T517">
        <v>1.298</v>
      </c>
      <c r="U517">
        <v>90.662999999999997</v>
      </c>
      <c r="V517">
        <v>24.859000000000002</v>
      </c>
      <c r="W517">
        <v>2.2890000000000001</v>
      </c>
      <c r="X517">
        <v>86.117000000000004</v>
      </c>
      <c r="Y517">
        <v>0.90600000000000003</v>
      </c>
      <c r="Z517">
        <v>1.026</v>
      </c>
      <c r="AA517">
        <v>0</v>
      </c>
      <c r="AB517">
        <v>0</v>
      </c>
      <c r="AC517">
        <v>1</v>
      </c>
      <c r="AD517">
        <v>39.75</v>
      </c>
      <c r="AE517">
        <v>1</v>
      </c>
      <c r="AF517">
        <v>69</v>
      </c>
      <c r="AG517">
        <v>5</v>
      </c>
      <c r="AH517" t="s">
        <v>84</v>
      </c>
      <c r="AI517">
        <v>0</v>
      </c>
    </row>
    <row r="518" spans="1:35" x14ac:dyDescent="0.45">
      <c r="A518">
        <v>517</v>
      </c>
      <c r="B518" t="s">
        <v>737</v>
      </c>
      <c r="C518" t="s">
        <v>748</v>
      </c>
      <c r="D518" t="s">
        <v>739</v>
      </c>
      <c r="E518">
        <v>10</v>
      </c>
      <c r="F518">
        <v>-8.0169999999999995</v>
      </c>
      <c r="G518">
        <v>-52.515000000000001</v>
      </c>
      <c r="H518">
        <v>16268</v>
      </c>
      <c r="I518">
        <v>0</v>
      </c>
      <c r="J518">
        <v>1</v>
      </c>
      <c r="K518" t="s">
        <v>55</v>
      </c>
      <c r="L518" t="s">
        <v>55</v>
      </c>
      <c r="M518" t="s">
        <v>56</v>
      </c>
      <c r="N518">
        <v>1643520026.9200001</v>
      </c>
      <c r="O518">
        <v>0.17599999999999999</v>
      </c>
      <c r="P518">
        <v>0.39200000000000002</v>
      </c>
      <c r="Q518">
        <v>52.722999999999999</v>
      </c>
      <c r="R518">
        <v>1E-3</v>
      </c>
      <c r="S518">
        <v>1E-3</v>
      </c>
      <c r="T518">
        <v>1.266</v>
      </c>
      <c r="U518">
        <v>90.504999999999995</v>
      </c>
      <c r="V518">
        <v>24.347000000000001</v>
      </c>
      <c r="W518">
        <v>2.3660000000000001</v>
      </c>
      <c r="X518">
        <v>88.164000000000001</v>
      </c>
      <c r="Y518">
        <v>0.90800000000000003</v>
      </c>
      <c r="Z518">
        <v>1.3620000000000001</v>
      </c>
      <c r="AA518">
        <v>0</v>
      </c>
      <c r="AB518">
        <v>0</v>
      </c>
      <c r="AC518">
        <v>1</v>
      </c>
      <c r="AD518">
        <v>39.75</v>
      </c>
      <c r="AE518">
        <v>1</v>
      </c>
      <c r="AF518">
        <v>69</v>
      </c>
      <c r="AG518">
        <v>5</v>
      </c>
      <c r="AH518" t="s">
        <v>84</v>
      </c>
      <c r="AI518">
        <v>0</v>
      </c>
    </row>
    <row r="519" spans="1:35" x14ac:dyDescent="0.45">
      <c r="A519">
        <v>518</v>
      </c>
      <c r="B519" t="s">
        <v>737</v>
      </c>
      <c r="C519" t="s">
        <v>749</v>
      </c>
      <c r="D519" t="s">
        <v>739</v>
      </c>
      <c r="E519">
        <v>11</v>
      </c>
      <c r="F519">
        <v>-8.0120000000000005</v>
      </c>
      <c r="G519">
        <v>-52.517000000000003</v>
      </c>
      <c r="H519">
        <v>16328</v>
      </c>
      <c r="I519">
        <v>0</v>
      </c>
      <c r="J519">
        <v>1</v>
      </c>
      <c r="K519" t="s">
        <v>55</v>
      </c>
      <c r="L519" t="s">
        <v>55</v>
      </c>
      <c r="M519" t="s">
        <v>56</v>
      </c>
      <c r="N519">
        <v>1643520565.0599999</v>
      </c>
      <c r="O519">
        <v>0.20200000000000001</v>
      </c>
      <c r="P519">
        <v>0.46100000000000002</v>
      </c>
      <c r="Q519">
        <v>53.914000000000001</v>
      </c>
      <c r="R519">
        <v>1E-3</v>
      </c>
      <c r="S519">
        <v>2E-3</v>
      </c>
      <c r="T519">
        <v>1.29</v>
      </c>
      <c r="U519">
        <v>91.1</v>
      </c>
      <c r="V519">
        <v>24.344999999999999</v>
      </c>
      <c r="W519">
        <v>2.3690000000000002</v>
      </c>
      <c r="X519">
        <v>87.42</v>
      </c>
      <c r="Y519">
        <v>0.92200000000000004</v>
      </c>
      <c r="Z519">
        <v>1.089</v>
      </c>
      <c r="AA519">
        <v>0</v>
      </c>
      <c r="AB519">
        <v>0</v>
      </c>
      <c r="AC519">
        <v>1</v>
      </c>
      <c r="AD519">
        <v>39.75</v>
      </c>
      <c r="AE519">
        <v>1</v>
      </c>
      <c r="AF519">
        <v>69</v>
      </c>
      <c r="AG519">
        <v>5</v>
      </c>
      <c r="AH519" t="s">
        <v>84</v>
      </c>
      <c r="AI519">
        <v>0</v>
      </c>
    </row>
    <row r="520" spans="1:35" x14ac:dyDescent="0.45">
      <c r="A520">
        <v>519</v>
      </c>
      <c r="B520" t="s">
        <v>737</v>
      </c>
      <c r="C520" t="s">
        <v>750</v>
      </c>
      <c r="D520" t="s">
        <v>739</v>
      </c>
      <c r="E520">
        <v>12</v>
      </c>
      <c r="F520">
        <v>-7.9790000000000001</v>
      </c>
      <c r="G520">
        <v>-52.527999999999999</v>
      </c>
      <c r="H520">
        <v>16275</v>
      </c>
      <c r="I520">
        <v>0</v>
      </c>
      <c r="J520">
        <v>1</v>
      </c>
      <c r="K520" t="s">
        <v>55</v>
      </c>
      <c r="L520" t="s">
        <v>55</v>
      </c>
      <c r="M520" t="s">
        <v>56</v>
      </c>
      <c r="N520">
        <v>1643521100.8299999</v>
      </c>
      <c r="O520">
        <v>0.21199999999999999</v>
      </c>
      <c r="P520">
        <v>0.41499999999999998</v>
      </c>
      <c r="Q520">
        <v>53.994</v>
      </c>
      <c r="R520">
        <v>1E-3</v>
      </c>
      <c r="S520">
        <v>1E-3</v>
      </c>
      <c r="T520">
        <v>1.3</v>
      </c>
      <c r="U520">
        <v>90.674000000000007</v>
      </c>
      <c r="V520">
        <v>24.593</v>
      </c>
      <c r="W520">
        <v>2.3159999999999998</v>
      </c>
      <c r="X520">
        <v>86.828000000000003</v>
      </c>
      <c r="Y520">
        <v>0.91200000000000003</v>
      </c>
      <c r="Z520">
        <v>1.1140000000000001</v>
      </c>
      <c r="AA520">
        <v>0</v>
      </c>
      <c r="AB520">
        <v>0</v>
      </c>
      <c r="AC520">
        <v>1</v>
      </c>
      <c r="AD520">
        <v>39.75</v>
      </c>
      <c r="AE520">
        <v>1</v>
      </c>
      <c r="AF520">
        <v>69</v>
      </c>
      <c r="AG520">
        <v>5</v>
      </c>
      <c r="AH520" t="s">
        <v>84</v>
      </c>
      <c r="AI520">
        <v>0</v>
      </c>
    </row>
    <row r="521" spans="1:35" x14ac:dyDescent="0.45">
      <c r="A521">
        <v>520</v>
      </c>
      <c r="B521" t="s">
        <v>737</v>
      </c>
      <c r="C521" t="s">
        <v>751</v>
      </c>
      <c r="D521" t="s">
        <v>739</v>
      </c>
      <c r="E521">
        <v>13</v>
      </c>
      <c r="F521">
        <v>-8.0079999999999991</v>
      </c>
      <c r="G521">
        <v>-52.51</v>
      </c>
      <c r="H521">
        <v>16295</v>
      </c>
      <c r="I521">
        <v>0</v>
      </c>
      <c r="J521">
        <v>1</v>
      </c>
      <c r="K521" t="s">
        <v>55</v>
      </c>
      <c r="L521" t="s">
        <v>55</v>
      </c>
      <c r="M521" t="s">
        <v>56</v>
      </c>
      <c r="N521">
        <v>1643521636.73</v>
      </c>
      <c r="O521">
        <v>0.2</v>
      </c>
      <c r="P521">
        <v>0.41499999999999998</v>
      </c>
      <c r="Q521">
        <v>53.756999999999998</v>
      </c>
      <c r="R521">
        <v>0</v>
      </c>
      <c r="S521">
        <v>1E-3</v>
      </c>
      <c r="T521">
        <v>1.294</v>
      </c>
      <c r="U521">
        <v>90.838999999999999</v>
      </c>
      <c r="V521">
        <v>24.361999999999998</v>
      </c>
      <c r="W521">
        <v>2.3199999999999998</v>
      </c>
      <c r="X521">
        <v>87.453999999999994</v>
      </c>
      <c r="Y521">
        <v>0.91800000000000004</v>
      </c>
      <c r="Z521">
        <v>1.1719999999999999</v>
      </c>
      <c r="AA521">
        <v>0</v>
      </c>
      <c r="AB521">
        <v>0</v>
      </c>
      <c r="AC521">
        <v>1</v>
      </c>
      <c r="AD521">
        <v>39.75</v>
      </c>
      <c r="AE521">
        <v>1</v>
      </c>
      <c r="AF521">
        <v>69</v>
      </c>
      <c r="AG521">
        <v>5</v>
      </c>
      <c r="AH521" t="s">
        <v>84</v>
      </c>
      <c r="AI521">
        <v>0</v>
      </c>
    </row>
    <row r="522" spans="1:35" x14ac:dyDescent="0.45">
      <c r="A522">
        <v>521</v>
      </c>
      <c r="B522" t="s">
        <v>737</v>
      </c>
      <c r="C522" t="s">
        <v>752</v>
      </c>
      <c r="D522" t="s">
        <v>739</v>
      </c>
      <c r="E522">
        <v>14</v>
      </c>
      <c r="F522">
        <v>-7.9630000000000001</v>
      </c>
      <c r="G522">
        <v>-52.56</v>
      </c>
      <c r="H522">
        <v>16287</v>
      </c>
      <c r="I522">
        <v>0</v>
      </c>
      <c r="J522">
        <v>1</v>
      </c>
      <c r="K522" t="s">
        <v>55</v>
      </c>
      <c r="L522" t="s">
        <v>55</v>
      </c>
      <c r="M522" t="s">
        <v>56</v>
      </c>
      <c r="N522">
        <v>1643522174.29</v>
      </c>
      <c r="O522">
        <v>0.221</v>
      </c>
      <c r="P522">
        <v>0.38900000000000001</v>
      </c>
      <c r="Q522">
        <v>53.231000000000002</v>
      </c>
      <c r="R522">
        <v>1E-3</v>
      </c>
      <c r="S522">
        <v>1E-3</v>
      </c>
      <c r="T522">
        <v>1.28</v>
      </c>
      <c r="U522">
        <v>90.873000000000005</v>
      </c>
      <c r="V522">
        <v>24.474</v>
      </c>
      <c r="W522">
        <v>2.3090000000000002</v>
      </c>
      <c r="X522">
        <v>86.641999999999996</v>
      </c>
      <c r="Y522">
        <v>0.90500000000000003</v>
      </c>
      <c r="Z522">
        <v>1.036</v>
      </c>
      <c r="AA522">
        <v>0</v>
      </c>
      <c r="AB522">
        <v>0</v>
      </c>
      <c r="AC522">
        <v>1</v>
      </c>
      <c r="AD522">
        <v>39.811999999999998</v>
      </c>
      <c r="AE522">
        <v>1</v>
      </c>
      <c r="AF522">
        <v>69</v>
      </c>
      <c r="AG522">
        <v>5</v>
      </c>
      <c r="AH522" t="s">
        <v>84</v>
      </c>
      <c r="AI522">
        <v>0</v>
      </c>
    </row>
    <row r="523" spans="1:35" x14ac:dyDescent="0.45">
      <c r="A523">
        <v>522</v>
      </c>
      <c r="B523" t="s">
        <v>737</v>
      </c>
      <c r="C523" t="s">
        <v>753</v>
      </c>
      <c r="D523" t="s">
        <v>739</v>
      </c>
      <c r="E523">
        <v>15</v>
      </c>
      <c r="F523">
        <v>-7.9790000000000001</v>
      </c>
      <c r="G523">
        <v>-52.622999999999998</v>
      </c>
      <c r="H523">
        <v>16278</v>
      </c>
      <c r="I523">
        <v>0</v>
      </c>
      <c r="J523">
        <v>1</v>
      </c>
      <c r="K523" t="s">
        <v>55</v>
      </c>
      <c r="L523" t="s">
        <v>55</v>
      </c>
      <c r="M523" t="s">
        <v>56</v>
      </c>
      <c r="N523">
        <v>1643522711.1600001</v>
      </c>
      <c r="O523">
        <v>0.20200000000000001</v>
      </c>
      <c r="P523">
        <v>0.42099999999999999</v>
      </c>
      <c r="Q523">
        <v>53.62</v>
      </c>
      <c r="R523">
        <v>1E-3</v>
      </c>
      <c r="S523">
        <v>2E-3</v>
      </c>
      <c r="T523">
        <v>1.2869999999999999</v>
      </c>
      <c r="U523">
        <v>90.85</v>
      </c>
      <c r="V523">
        <v>24.792000000000002</v>
      </c>
      <c r="W523">
        <v>2.2869999999999999</v>
      </c>
      <c r="X523">
        <v>85.376999999999995</v>
      </c>
      <c r="Y523">
        <v>0.89600000000000002</v>
      </c>
      <c r="Z523">
        <v>0.871</v>
      </c>
      <c r="AA523">
        <v>0</v>
      </c>
      <c r="AB523">
        <v>0</v>
      </c>
      <c r="AC523">
        <v>1</v>
      </c>
      <c r="AD523">
        <v>39.811999999999998</v>
      </c>
      <c r="AE523">
        <v>1</v>
      </c>
      <c r="AF523">
        <v>69</v>
      </c>
      <c r="AG523">
        <v>5</v>
      </c>
      <c r="AH523" t="s">
        <v>84</v>
      </c>
      <c r="AI523">
        <v>0</v>
      </c>
    </row>
    <row r="524" spans="1:35" x14ac:dyDescent="0.45">
      <c r="A524">
        <v>523</v>
      </c>
      <c r="B524" t="s">
        <v>754</v>
      </c>
      <c r="C524" t="s">
        <v>755</v>
      </c>
      <c r="D524" t="s">
        <v>756</v>
      </c>
      <c r="E524">
        <v>1</v>
      </c>
      <c r="F524">
        <v>-5.766</v>
      </c>
      <c r="G524">
        <v>-32.270000000000003</v>
      </c>
      <c r="H524">
        <v>16271</v>
      </c>
      <c r="I524">
        <v>-1</v>
      </c>
      <c r="J524">
        <v>1</v>
      </c>
      <c r="K524" t="s">
        <v>55</v>
      </c>
      <c r="L524" t="s">
        <v>55</v>
      </c>
      <c r="M524" t="s">
        <v>56</v>
      </c>
      <c r="N524">
        <v>1643523247.45</v>
      </c>
      <c r="O524">
        <v>0.20399999999999999</v>
      </c>
      <c r="P524">
        <v>0.378</v>
      </c>
      <c r="Q524">
        <v>53.662999999999997</v>
      </c>
      <c r="R524">
        <v>0</v>
      </c>
      <c r="S524">
        <v>1E-3</v>
      </c>
      <c r="T524">
        <v>1.29</v>
      </c>
      <c r="U524">
        <v>90.701999999999998</v>
      </c>
      <c r="V524">
        <v>24.259</v>
      </c>
      <c r="W524">
        <v>2.395</v>
      </c>
      <c r="X524">
        <v>87.423000000000002</v>
      </c>
      <c r="Y524">
        <v>0.91700000000000004</v>
      </c>
      <c r="Z524">
        <v>1.115</v>
      </c>
      <c r="AA524">
        <v>0</v>
      </c>
      <c r="AB524">
        <v>0</v>
      </c>
      <c r="AC524">
        <v>1</v>
      </c>
      <c r="AD524">
        <v>39.811999999999998</v>
      </c>
      <c r="AE524">
        <v>1</v>
      </c>
      <c r="AF524">
        <v>70</v>
      </c>
      <c r="AG524">
        <v>5</v>
      </c>
      <c r="AH524" t="s">
        <v>84</v>
      </c>
      <c r="AI524">
        <v>0</v>
      </c>
    </row>
    <row r="525" spans="1:35" x14ac:dyDescent="0.45">
      <c r="A525">
        <v>524</v>
      </c>
      <c r="B525" t="s">
        <v>754</v>
      </c>
      <c r="C525" t="s">
        <v>757</v>
      </c>
      <c r="D525" t="s">
        <v>756</v>
      </c>
      <c r="E525">
        <v>2</v>
      </c>
      <c r="F525">
        <v>-5.5170000000000003</v>
      </c>
      <c r="G525">
        <v>-30.222000000000001</v>
      </c>
      <c r="H525">
        <v>16367</v>
      </c>
      <c r="I525">
        <v>-1</v>
      </c>
      <c r="J525">
        <v>1</v>
      </c>
      <c r="K525" t="s">
        <v>55</v>
      </c>
      <c r="L525" t="s">
        <v>55</v>
      </c>
      <c r="M525" t="s">
        <v>56</v>
      </c>
      <c r="N525">
        <v>1643523783.4200001</v>
      </c>
      <c r="O525">
        <v>0.19800000000000001</v>
      </c>
      <c r="P525">
        <v>0.39700000000000002</v>
      </c>
      <c r="Q525">
        <v>52.975999999999999</v>
      </c>
      <c r="R525">
        <v>1E-3</v>
      </c>
      <c r="S525">
        <v>-1E-3</v>
      </c>
      <c r="T525">
        <v>1.2789999999999999</v>
      </c>
      <c r="U525">
        <v>91.066999999999993</v>
      </c>
      <c r="V525">
        <v>24.713999999999999</v>
      </c>
      <c r="W525">
        <v>2.383</v>
      </c>
      <c r="X525">
        <v>88.096999999999994</v>
      </c>
      <c r="Y525">
        <v>0.90400000000000003</v>
      </c>
      <c r="Z525">
        <v>1.2969999999999999</v>
      </c>
      <c r="AA525">
        <v>0</v>
      </c>
      <c r="AB525">
        <v>0</v>
      </c>
      <c r="AC525">
        <v>1</v>
      </c>
      <c r="AD525">
        <v>39.75</v>
      </c>
      <c r="AE525">
        <v>1</v>
      </c>
      <c r="AF525">
        <v>70</v>
      </c>
      <c r="AG525">
        <v>5</v>
      </c>
      <c r="AH525" t="s">
        <v>84</v>
      </c>
      <c r="AI525">
        <v>0</v>
      </c>
    </row>
    <row r="526" spans="1:35" x14ac:dyDescent="0.45">
      <c r="A526">
        <v>525</v>
      </c>
      <c r="B526" t="s">
        <v>754</v>
      </c>
      <c r="C526" t="s">
        <v>758</v>
      </c>
      <c r="D526" t="s">
        <v>756</v>
      </c>
      <c r="E526">
        <v>3</v>
      </c>
      <c r="F526">
        <v>-5.5149999999999997</v>
      </c>
      <c r="G526">
        <v>-29.87</v>
      </c>
      <c r="H526">
        <v>16252</v>
      </c>
      <c r="I526">
        <v>-1</v>
      </c>
      <c r="J526">
        <v>1</v>
      </c>
      <c r="K526" t="s">
        <v>55</v>
      </c>
      <c r="L526" t="s">
        <v>55</v>
      </c>
      <c r="M526" t="s">
        <v>56</v>
      </c>
      <c r="N526">
        <v>1643524320.4200001</v>
      </c>
      <c r="O526">
        <v>0.20200000000000001</v>
      </c>
      <c r="P526">
        <v>0.39900000000000002</v>
      </c>
      <c r="Q526">
        <v>54.46</v>
      </c>
      <c r="R526">
        <v>1E-3</v>
      </c>
      <c r="S526">
        <v>1E-3</v>
      </c>
      <c r="T526">
        <v>1.3089999999999999</v>
      </c>
      <c r="U526">
        <v>90.710999999999999</v>
      </c>
      <c r="V526">
        <v>23.933</v>
      </c>
      <c r="W526">
        <v>2.3530000000000002</v>
      </c>
      <c r="X526">
        <v>87.572999999999993</v>
      </c>
      <c r="Y526">
        <v>0.90800000000000003</v>
      </c>
      <c r="Z526">
        <v>1.1359999999999999</v>
      </c>
      <c r="AA526">
        <v>0</v>
      </c>
      <c r="AB526">
        <v>0</v>
      </c>
      <c r="AC526">
        <v>1</v>
      </c>
      <c r="AD526">
        <v>39.75</v>
      </c>
      <c r="AE526">
        <v>1</v>
      </c>
      <c r="AF526">
        <v>70</v>
      </c>
      <c r="AG526">
        <v>5</v>
      </c>
      <c r="AH526" t="s">
        <v>84</v>
      </c>
      <c r="AI526">
        <v>0</v>
      </c>
    </row>
    <row r="527" spans="1:35" x14ac:dyDescent="0.45">
      <c r="A527">
        <v>526</v>
      </c>
      <c r="B527" t="s">
        <v>754</v>
      </c>
      <c r="C527" t="s">
        <v>759</v>
      </c>
      <c r="D527" t="s">
        <v>756</v>
      </c>
      <c r="E527">
        <v>4</v>
      </c>
      <c r="F527">
        <v>-5.4880000000000004</v>
      </c>
      <c r="G527">
        <v>-29.652000000000001</v>
      </c>
      <c r="H527">
        <v>16285</v>
      </c>
      <c r="I527">
        <v>0</v>
      </c>
      <c r="J527">
        <v>1</v>
      </c>
      <c r="K527" t="s">
        <v>55</v>
      </c>
      <c r="L527" t="s">
        <v>55</v>
      </c>
      <c r="M527" t="s">
        <v>56</v>
      </c>
      <c r="N527">
        <v>1643524855.9200001</v>
      </c>
      <c r="O527">
        <v>0.19600000000000001</v>
      </c>
      <c r="P527">
        <v>0.46700000000000003</v>
      </c>
      <c r="Q527">
        <v>53.207000000000001</v>
      </c>
      <c r="R527">
        <v>0</v>
      </c>
      <c r="S527">
        <v>0</v>
      </c>
      <c r="T527">
        <v>1.276</v>
      </c>
      <c r="U527">
        <v>90.768000000000001</v>
      </c>
      <c r="V527">
        <v>24.393999999999998</v>
      </c>
      <c r="W527">
        <v>2.3759999999999999</v>
      </c>
      <c r="X527">
        <v>87.340999999999994</v>
      </c>
      <c r="Y527">
        <v>0.91300000000000003</v>
      </c>
      <c r="Z527">
        <v>1.1240000000000001</v>
      </c>
      <c r="AA527">
        <v>0</v>
      </c>
      <c r="AB527">
        <v>0</v>
      </c>
      <c r="AC527">
        <v>1</v>
      </c>
      <c r="AD527">
        <v>39.75</v>
      </c>
      <c r="AE527">
        <v>1</v>
      </c>
      <c r="AF527">
        <v>70</v>
      </c>
      <c r="AG527">
        <v>5</v>
      </c>
      <c r="AH527" t="s">
        <v>84</v>
      </c>
      <c r="AI527">
        <v>0</v>
      </c>
    </row>
    <row r="528" spans="1:35" x14ac:dyDescent="0.45">
      <c r="A528">
        <v>527</v>
      </c>
      <c r="B528" t="s">
        <v>754</v>
      </c>
      <c r="C528" t="s">
        <v>760</v>
      </c>
      <c r="D528" t="s">
        <v>756</v>
      </c>
      <c r="E528">
        <v>5</v>
      </c>
      <c r="F528">
        <v>-5.4969999999999999</v>
      </c>
      <c r="G528">
        <v>-29.666</v>
      </c>
      <c r="H528">
        <v>16262</v>
      </c>
      <c r="I528">
        <v>0</v>
      </c>
      <c r="J528">
        <v>1</v>
      </c>
      <c r="K528" t="s">
        <v>55</v>
      </c>
      <c r="L528" t="s">
        <v>55</v>
      </c>
      <c r="M528" t="s">
        <v>56</v>
      </c>
      <c r="N528">
        <v>1643525394.0799999</v>
      </c>
      <c r="O528">
        <v>0.216</v>
      </c>
      <c r="P528">
        <v>0.40400000000000003</v>
      </c>
      <c r="Q528">
        <v>53.854999999999997</v>
      </c>
      <c r="R528">
        <v>1E-3</v>
      </c>
      <c r="S528">
        <v>2E-3</v>
      </c>
      <c r="T528">
        <v>1.3</v>
      </c>
      <c r="U528">
        <v>90.64</v>
      </c>
      <c r="V528">
        <v>24.244</v>
      </c>
      <c r="W528">
        <v>2.35</v>
      </c>
      <c r="X528">
        <v>87.707999999999998</v>
      </c>
      <c r="Y528">
        <v>0.91</v>
      </c>
      <c r="Z528">
        <v>1.127</v>
      </c>
      <c r="AA528">
        <v>0</v>
      </c>
      <c r="AB528">
        <v>0</v>
      </c>
      <c r="AC528">
        <v>1</v>
      </c>
      <c r="AD528">
        <v>39.75</v>
      </c>
      <c r="AE528">
        <v>1</v>
      </c>
      <c r="AF528">
        <v>70</v>
      </c>
      <c r="AG528">
        <v>5</v>
      </c>
      <c r="AH528" t="s">
        <v>84</v>
      </c>
      <c r="AI528">
        <v>0</v>
      </c>
    </row>
    <row r="529" spans="1:35" x14ac:dyDescent="0.45">
      <c r="A529">
        <v>528</v>
      </c>
      <c r="B529" t="s">
        <v>754</v>
      </c>
      <c r="C529" t="s">
        <v>761</v>
      </c>
      <c r="D529" t="s">
        <v>756</v>
      </c>
      <c r="E529">
        <v>6</v>
      </c>
      <c r="F529">
        <v>-5.5019999999999998</v>
      </c>
      <c r="G529">
        <v>-29.567</v>
      </c>
      <c r="H529">
        <v>16298</v>
      </c>
      <c r="I529">
        <v>0</v>
      </c>
      <c r="J529">
        <v>1</v>
      </c>
      <c r="K529" t="s">
        <v>55</v>
      </c>
      <c r="L529" t="s">
        <v>55</v>
      </c>
      <c r="M529" t="s">
        <v>56</v>
      </c>
      <c r="N529">
        <v>1643525929.8099999</v>
      </c>
      <c r="O529">
        <v>0.20499999999999999</v>
      </c>
      <c r="P529">
        <v>0.41799999999999998</v>
      </c>
      <c r="Q529">
        <v>52.816000000000003</v>
      </c>
      <c r="R529">
        <v>1E-3</v>
      </c>
      <c r="S529">
        <v>-1E-3</v>
      </c>
      <c r="T529">
        <v>1.2709999999999999</v>
      </c>
      <c r="U529">
        <v>90.811999999999998</v>
      </c>
      <c r="V529">
        <v>24.446000000000002</v>
      </c>
      <c r="W529">
        <v>2.387</v>
      </c>
      <c r="X529">
        <v>87.444000000000003</v>
      </c>
      <c r="Y529">
        <v>0.90100000000000002</v>
      </c>
      <c r="Z529">
        <v>1.1100000000000001</v>
      </c>
      <c r="AA529">
        <v>0</v>
      </c>
      <c r="AB529">
        <v>0</v>
      </c>
      <c r="AC529">
        <v>1</v>
      </c>
      <c r="AD529">
        <v>39.75</v>
      </c>
      <c r="AE529">
        <v>1</v>
      </c>
      <c r="AF529">
        <v>70</v>
      </c>
      <c r="AG529">
        <v>5</v>
      </c>
      <c r="AH529" t="s">
        <v>84</v>
      </c>
      <c r="AI529">
        <v>0</v>
      </c>
    </row>
    <row r="530" spans="1:35" x14ac:dyDescent="0.45">
      <c r="A530">
        <v>529</v>
      </c>
      <c r="B530" t="s">
        <v>754</v>
      </c>
      <c r="C530" t="s">
        <v>762</v>
      </c>
      <c r="D530" t="s">
        <v>756</v>
      </c>
      <c r="E530">
        <v>7</v>
      </c>
      <c r="F530">
        <v>-5.524</v>
      </c>
      <c r="G530">
        <v>-29.544</v>
      </c>
      <c r="H530">
        <v>16270</v>
      </c>
      <c r="I530">
        <v>0</v>
      </c>
      <c r="J530">
        <v>1</v>
      </c>
      <c r="K530" t="s">
        <v>55</v>
      </c>
      <c r="L530" t="s">
        <v>55</v>
      </c>
      <c r="M530" t="s">
        <v>56</v>
      </c>
      <c r="N530">
        <v>1643526467.9100001</v>
      </c>
      <c r="O530">
        <v>0.20899999999999999</v>
      </c>
      <c r="P530">
        <v>0.44</v>
      </c>
      <c r="Q530">
        <v>54.154000000000003</v>
      </c>
      <c r="R530">
        <v>1E-3</v>
      </c>
      <c r="S530">
        <v>1E-3</v>
      </c>
      <c r="T530">
        <v>1.29</v>
      </c>
      <c r="U530">
        <v>90.774000000000001</v>
      </c>
      <c r="V530">
        <v>24.388000000000002</v>
      </c>
      <c r="W530">
        <v>2.355</v>
      </c>
      <c r="X530">
        <v>86.436000000000007</v>
      </c>
      <c r="Y530">
        <v>0.91500000000000004</v>
      </c>
      <c r="Z530">
        <v>1.0389999999999999</v>
      </c>
      <c r="AA530">
        <v>0</v>
      </c>
      <c r="AB530">
        <v>0</v>
      </c>
      <c r="AC530">
        <v>1</v>
      </c>
      <c r="AD530">
        <v>39.75</v>
      </c>
      <c r="AE530">
        <v>1</v>
      </c>
      <c r="AF530">
        <v>70</v>
      </c>
      <c r="AG530">
        <v>5</v>
      </c>
      <c r="AH530" t="s">
        <v>84</v>
      </c>
      <c r="AI530">
        <v>0</v>
      </c>
    </row>
    <row r="531" spans="1:35" x14ac:dyDescent="0.45">
      <c r="A531">
        <v>530</v>
      </c>
      <c r="B531" t="s">
        <v>754</v>
      </c>
      <c r="C531" t="s">
        <v>763</v>
      </c>
      <c r="D531" t="s">
        <v>756</v>
      </c>
      <c r="E531">
        <v>8</v>
      </c>
      <c r="F531">
        <v>-5.4939999999999998</v>
      </c>
      <c r="G531">
        <v>-29.501999999999999</v>
      </c>
      <c r="H531">
        <v>16263</v>
      </c>
      <c r="I531">
        <v>0</v>
      </c>
      <c r="J531">
        <v>1</v>
      </c>
      <c r="K531" t="s">
        <v>55</v>
      </c>
      <c r="L531" t="s">
        <v>55</v>
      </c>
      <c r="M531" t="s">
        <v>56</v>
      </c>
      <c r="N531">
        <v>1643527003.46</v>
      </c>
      <c r="O531">
        <v>0.2</v>
      </c>
      <c r="P531">
        <v>0.42799999999999999</v>
      </c>
      <c r="Q531">
        <v>53.119</v>
      </c>
      <c r="R531">
        <v>1E-3</v>
      </c>
      <c r="S531">
        <v>0</v>
      </c>
      <c r="T531">
        <v>1.284</v>
      </c>
      <c r="U531">
        <v>90.864999999999995</v>
      </c>
      <c r="V531">
        <v>24.408000000000001</v>
      </c>
      <c r="W531">
        <v>2.266</v>
      </c>
      <c r="X531">
        <v>85.808000000000007</v>
      </c>
      <c r="Y531">
        <v>0.89700000000000002</v>
      </c>
      <c r="Z531">
        <v>0.86099999999999999</v>
      </c>
      <c r="AA531">
        <v>0</v>
      </c>
      <c r="AB531">
        <v>0</v>
      </c>
      <c r="AC531">
        <v>1</v>
      </c>
      <c r="AD531">
        <v>39.75</v>
      </c>
      <c r="AE531">
        <v>1</v>
      </c>
      <c r="AF531">
        <v>70</v>
      </c>
      <c r="AG531">
        <v>5</v>
      </c>
      <c r="AH531" t="s">
        <v>84</v>
      </c>
      <c r="AI531">
        <v>0</v>
      </c>
    </row>
    <row r="532" spans="1:35" x14ac:dyDescent="0.45">
      <c r="A532">
        <v>531</v>
      </c>
      <c r="B532" t="s">
        <v>754</v>
      </c>
      <c r="C532" t="s">
        <v>764</v>
      </c>
      <c r="D532" t="s">
        <v>756</v>
      </c>
      <c r="E532">
        <v>9</v>
      </c>
      <c r="F532">
        <v>-5.5010000000000003</v>
      </c>
      <c r="G532">
        <v>-29.504000000000001</v>
      </c>
      <c r="H532">
        <v>16291</v>
      </c>
      <c r="I532">
        <v>0</v>
      </c>
      <c r="J532">
        <v>1</v>
      </c>
      <c r="K532" t="s">
        <v>55</v>
      </c>
      <c r="L532" t="s">
        <v>55</v>
      </c>
      <c r="M532" t="s">
        <v>56</v>
      </c>
      <c r="N532">
        <v>1643527541.3599999</v>
      </c>
      <c r="O532">
        <v>0.219</v>
      </c>
      <c r="P532">
        <v>0.39200000000000002</v>
      </c>
      <c r="Q532">
        <v>52.366999999999997</v>
      </c>
      <c r="R532">
        <v>1E-3</v>
      </c>
      <c r="S532">
        <v>1E-3</v>
      </c>
      <c r="T532">
        <v>1.268</v>
      </c>
      <c r="U532">
        <v>90.885999999999996</v>
      </c>
      <c r="V532">
        <v>24.143999999999998</v>
      </c>
      <c r="W532">
        <v>2.3740000000000001</v>
      </c>
      <c r="X532">
        <v>87.558999999999997</v>
      </c>
      <c r="Y532">
        <v>0.91200000000000003</v>
      </c>
      <c r="Z532">
        <v>1.137</v>
      </c>
      <c r="AA532">
        <v>0</v>
      </c>
      <c r="AB532">
        <v>0</v>
      </c>
      <c r="AC532">
        <v>1</v>
      </c>
      <c r="AD532">
        <v>39.811999999999998</v>
      </c>
      <c r="AE532">
        <v>1</v>
      </c>
      <c r="AF532">
        <v>70</v>
      </c>
      <c r="AG532">
        <v>5</v>
      </c>
      <c r="AH532" t="s">
        <v>84</v>
      </c>
      <c r="AI532">
        <v>0</v>
      </c>
    </row>
    <row r="533" spans="1:35" x14ac:dyDescent="0.45">
      <c r="A533">
        <v>532</v>
      </c>
      <c r="B533" t="s">
        <v>754</v>
      </c>
      <c r="C533" t="s">
        <v>765</v>
      </c>
      <c r="D533" t="s">
        <v>756</v>
      </c>
      <c r="E533">
        <v>10</v>
      </c>
      <c r="F533">
        <v>-5.4729999999999999</v>
      </c>
      <c r="G533">
        <v>-29.44</v>
      </c>
      <c r="H533">
        <v>16305</v>
      </c>
      <c r="I533">
        <v>0</v>
      </c>
      <c r="J533">
        <v>1</v>
      </c>
      <c r="K533" t="s">
        <v>55</v>
      </c>
      <c r="L533" t="s">
        <v>55</v>
      </c>
      <c r="M533" t="s">
        <v>56</v>
      </c>
      <c r="N533">
        <v>1643528077.79</v>
      </c>
      <c r="O533">
        <v>0.20300000000000001</v>
      </c>
      <c r="P533">
        <v>0.433</v>
      </c>
      <c r="Q533">
        <v>52.984000000000002</v>
      </c>
      <c r="R533">
        <v>0</v>
      </c>
      <c r="S533">
        <v>1E-3</v>
      </c>
      <c r="T533">
        <v>1.2789999999999999</v>
      </c>
      <c r="U533">
        <v>90.921999999999997</v>
      </c>
      <c r="V533">
        <v>24.797000000000001</v>
      </c>
      <c r="W533">
        <v>2.306</v>
      </c>
      <c r="X533">
        <v>86.001999999999995</v>
      </c>
      <c r="Y533">
        <v>0.89600000000000002</v>
      </c>
      <c r="Z533">
        <v>0.98299999999999998</v>
      </c>
      <c r="AA533">
        <v>0</v>
      </c>
      <c r="AB533">
        <v>0</v>
      </c>
      <c r="AC533">
        <v>1</v>
      </c>
      <c r="AD533">
        <v>39.75</v>
      </c>
      <c r="AE533">
        <v>1</v>
      </c>
      <c r="AF533">
        <v>70</v>
      </c>
      <c r="AG533">
        <v>5</v>
      </c>
      <c r="AH533" t="s">
        <v>84</v>
      </c>
      <c r="AI533">
        <v>0</v>
      </c>
    </row>
    <row r="534" spans="1:35" x14ac:dyDescent="0.45">
      <c r="A534">
        <v>533</v>
      </c>
      <c r="B534" t="s">
        <v>754</v>
      </c>
      <c r="C534" t="s">
        <v>766</v>
      </c>
      <c r="D534" t="s">
        <v>756</v>
      </c>
      <c r="E534">
        <v>11</v>
      </c>
      <c r="F534">
        <v>-5.5179999999999998</v>
      </c>
      <c r="G534">
        <v>-29.463000000000001</v>
      </c>
      <c r="H534">
        <v>16256</v>
      </c>
      <c r="I534">
        <v>0</v>
      </c>
      <c r="J534">
        <v>1</v>
      </c>
      <c r="K534" t="s">
        <v>55</v>
      </c>
      <c r="L534" t="s">
        <v>55</v>
      </c>
      <c r="M534" t="s">
        <v>56</v>
      </c>
      <c r="N534">
        <v>1643528614.8800001</v>
      </c>
      <c r="O534">
        <v>0.20699999999999999</v>
      </c>
      <c r="P534">
        <v>0.43099999999999999</v>
      </c>
      <c r="Q534">
        <v>53.96</v>
      </c>
      <c r="R534">
        <v>1E-3</v>
      </c>
      <c r="S534">
        <v>3.0000000000000001E-3</v>
      </c>
      <c r="T534">
        <v>1.294</v>
      </c>
      <c r="U534">
        <v>90.555999999999997</v>
      </c>
      <c r="V534">
        <v>24.335000000000001</v>
      </c>
      <c r="W534">
        <v>2.327</v>
      </c>
      <c r="X534">
        <v>87.289000000000001</v>
      </c>
      <c r="Y534">
        <v>0.9</v>
      </c>
      <c r="Z534">
        <v>1.212</v>
      </c>
      <c r="AA534">
        <v>0</v>
      </c>
      <c r="AB534">
        <v>0</v>
      </c>
      <c r="AC534">
        <v>1</v>
      </c>
      <c r="AD534">
        <v>39.75</v>
      </c>
      <c r="AE534">
        <v>1</v>
      </c>
      <c r="AF534">
        <v>70</v>
      </c>
      <c r="AG534">
        <v>5</v>
      </c>
      <c r="AH534" t="s">
        <v>84</v>
      </c>
      <c r="AI534">
        <v>0</v>
      </c>
    </row>
    <row r="535" spans="1:35" x14ac:dyDescent="0.45">
      <c r="A535">
        <v>534</v>
      </c>
      <c r="B535" t="s">
        <v>754</v>
      </c>
      <c r="C535" t="s">
        <v>767</v>
      </c>
      <c r="D535" t="s">
        <v>756</v>
      </c>
      <c r="E535">
        <v>12</v>
      </c>
      <c r="F535">
        <v>-5.5350000000000001</v>
      </c>
      <c r="G535">
        <v>-29.399000000000001</v>
      </c>
      <c r="H535">
        <v>16284</v>
      </c>
      <c r="I535">
        <v>0</v>
      </c>
      <c r="J535">
        <v>1</v>
      </c>
      <c r="K535" t="s">
        <v>55</v>
      </c>
      <c r="L535" t="s">
        <v>55</v>
      </c>
      <c r="M535" t="s">
        <v>56</v>
      </c>
      <c r="N535">
        <v>1643529151.3299999</v>
      </c>
      <c r="O535">
        <v>0.193</v>
      </c>
      <c r="P535">
        <v>0.39600000000000002</v>
      </c>
      <c r="Q535">
        <v>52.890999999999998</v>
      </c>
      <c r="R535">
        <v>1E-3</v>
      </c>
      <c r="S535">
        <v>1E-3</v>
      </c>
      <c r="T535">
        <v>1.2749999999999999</v>
      </c>
      <c r="U535">
        <v>90.543999999999997</v>
      </c>
      <c r="V535">
        <v>24.728000000000002</v>
      </c>
      <c r="W535">
        <v>2.383</v>
      </c>
      <c r="X535">
        <v>87.224000000000004</v>
      </c>
      <c r="Y535">
        <v>0.91200000000000003</v>
      </c>
      <c r="Z535">
        <v>1.2470000000000001</v>
      </c>
      <c r="AA535">
        <v>0</v>
      </c>
      <c r="AB535">
        <v>0</v>
      </c>
      <c r="AC535">
        <v>1</v>
      </c>
      <c r="AD535">
        <v>39.75</v>
      </c>
      <c r="AE535">
        <v>1</v>
      </c>
      <c r="AF535">
        <v>70</v>
      </c>
      <c r="AG535">
        <v>5</v>
      </c>
      <c r="AH535" t="s">
        <v>84</v>
      </c>
      <c r="AI535">
        <v>0</v>
      </c>
    </row>
    <row r="536" spans="1:35" x14ac:dyDescent="0.45">
      <c r="A536">
        <v>535</v>
      </c>
      <c r="B536" t="s">
        <v>754</v>
      </c>
      <c r="C536" t="s">
        <v>768</v>
      </c>
      <c r="D536" t="s">
        <v>756</v>
      </c>
      <c r="E536">
        <v>13</v>
      </c>
      <c r="F536">
        <v>-5.4989999999999997</v>
      </c>
      <c r="G536">
        <v>-29.428999999999998</v>
      </c>
      <c r="H536">
        <v>16308</v>
      </c>
      <c r="I536">
        <v>0</v>
      </c>
      <c r="J536">
        <v>1</v>
      </c>
      <c r="K536" t="s">
        <v>55</v>
      </c>
      <c r="L536" t="s">
        <v>55</v>
      </c>
      <c r="M536" t="s">
        <v>56</v>
      </c>
      <c r="N536">
        <v>1643529690.1400001</v>
      </c>
      <c r="O536">
        <v>0.20899999999999999</v>
      </c>
      <c r="P536">
        <v>0.435</v>
      </c>
      <c r="Q536">
        <v>54.21</v>
      </c>
      <c r="R536">
        <v>1E-3</v>
      </c>
      <c r="S536">
        <v>1E-3</v>
      </c>
      <c r="T536">
        <v>1.304</v>
      </c>
      <c r="U536">
        <v>90.992000000000004</v>
      </c>
      <c r="V536">
        <v>24.358000000000001</v>
      </c>
      <c r="W536">
        <v>2.3220000000000001</v>
      </c>
      <c r="X536">
        <v>87.09</v>
      </c>
      <c r="Y536">
        <v>0.91500000000000004</v>
      </c>
      <c r="Z536">
        <v>1</v>
      </c>
      <c r="AA536">
        <v>0</v>
      </c>
      <c r="AB536">
        <v>0</v>
      </c>
      <c r="AC536">
        <v>1</v>
      </c>
      <c r="AD536">
        <v>39.75</v>
      </c>
      <c r="AE536">
        <v>1</v>
      </c>
      <c r="AF536">
        <v>70</v>
      </c>
      <c r="AG536">
        <v>5</v>
      </c>
      <c r="AH536" t="s">
        <v>84</v>
      </c>
      <c r="AI536">
        <v>0</v>
      </c>
    </row>
    <row r="537" spans="1:35" x14ac:dyDescent="0.45">
      <c r="A537">
        <v>536</v>
      </c>
      <c r="B537" t="s">
        <v>754</v>
      </c>
      <c r="C537" t="s">
        <v>769</v>
      </c>
      <c r="D537" t="s">
        <v>756</v>
      </c>
      <c r="E537">
        <v>14</v>
      </c>
      <c r="F537">
        <v>-5.52</v>
      </c>
      <c r="G537">
        <v>-29.594999999999999</v>
      </c>
      <c r="H537">
        <v>16301</v>
      </c>
      <c r="I537">
        <v>0</v>
      </c>
      <c r="J537">
        <v>1</v>
      </c>
      <c r="K537" t="s">
        <v>55</v>
      </c>
      <c r="L537" t="s">
        <v>55</v>
      </c>
      <c r="M537" t="s">
        <v>56</v>
      </c>
      <c r="N537">
        <v>1643530226.04</v>
      </c>
      <c r="O537">
        <v>0.221</v>
      </c>
      <c r="P537">
        <v>0.39</v>
      </c>
      <c r="Q537">
        <v>52.883000000000003</v>
      </c>
      <c r="R537">
        <v>1E-3</v>
      </c>
      <c r="S537">
        <v>1E-3</v>
      </c>
      <c r="T537">
        <v>1.268</v>
      </c>
      <c r="U537">
        <v>91.03</v>
      </c>
      <c r="V537">
        <v>24.393000000000001</v>
      </c>
      <c r="W537">
        <v>2.3660000000000001</v>
      </c>
      <c r="X537">
        <v>86.641000000000005</v>
      </c>
      <c r="Y537">
        <v>0.92300000000000004</v>
      </c>
      <c r="Z537">
        <v>0.998</v>
      </c>
      <c r="AA537">
        <v>0</v>
      </c>
      <c r="AB537">
        <v>0</v>
      </c>
      <c r="AC537">
        <v>1</v>
      </c>
      <c r="AD537">
        <v>39.75</v>
      </c>
      <c r="AE537">
        <v>1</v>
      </c>
      <c r="AF537">
        <v>70</v>
      </c>
      <c r="AG537">
        <v>5</v>
      </c>
      <c r="AH537" t="s">
        <v>84</v>
      </c>
      <c r="AI537">
        <v>0</v>
      </c>
    </row>
    <row r="538" spans="1:35" x14ac:dyDescent="0.45">
      <c r="A538">
        <v>537</v>
      </c>
      <c r="B538" t="s">
        <v>754</v>
      </c>
      <c r="C538" t="s">
        <v>770</v>
      </c>
      <c r="D538" t="s">
        <v>756</v>
      </c>
      <c r="E538">
        <v>15</v>
      </c>
      <c r="F538">
        <v>-5.5140000000000002</v>
      </c>
      <c r="G538">
        <v>-29.393000000000001</v>
      </c>
      <c r="H538">
        <v>16287</v>
      </c>
      <c r="I538">
        <v>0</v>
      </c>
      <c r="J538">
        <v>1</v>
      </c>
      <c r="K538" t="s">
        <v>55</v>
      </c>
      <c r="L538" t="s">
        <v>55</v>
      </c>
      <c r="M538" t="s">
        <v>56</v>
      </c>
      <c r="N538">
        <v>1643530763.54</v>
      </c>
      <c r="O538">
        <v>0.222</v>
      </c>
      <c r="P538">
        <v>0.44400000000000001</v>
      </c>
      <c r="Q538">
        <v>53.863999999999997</v>
      </c>
      <c r="R538">
        <v>1E-3</v>
      </c>
      <c r="S538">
        <v>1E-3</v>
      </c>
      <c r="T538">
        <v>1.298</v>
      </c>
      <c r="U538">
        <v>90.954999999999998</v>
      </c>
      <c r="V538">
        <v>24.283000000000001</v>
      </c>
      <c r="W538">
        <v>2.3250000000000002</v>
      </c>
      <c r="X538">
        <v>86.594999999999999</v>
      </c>
      <c r="Y538">
        <v>0.90200000000000002</v>
      </c>
      <c r="Z538">
        <v>0.97399999999999998</v>
      </c>
      <c r="AA538">
        <v>0</v>
      </c>
      <c r="AB538">
        <v>0</v>
      </c>
      <c r="AC538">
        <v>1</v>
      </c>
      <c r="AD538">
        <v>39.75</v>
      </c>
      <c r="AE538">
        <v>1</v>
      </c>
      <c r="AF538">
        <v>70</v>
      </c>
      <c r="AG538">
        <v>5</v>
      </c>
      <c r="AH538" t="s">
        <v>84</v>
      </c>
      <c r="AI538">
        <v>0</v>
      </c>
    </row>
    <row r="539" spans="1:35" x14ac:dyDescent="0.45">
      <c r="A539">
        <v>538</v>
      </c>
      <c r="B539" t="s">
        <v>771</v>
      </c>
      <c r="C539" t="s">
        <v>772</v>
      </c>
      <c r="D539" t="s">
        <v>773</v>
      </c>
      <c r="E539">
        <v>1</v>
      </c>
      <c r="F539">
        <v>-5.9240000000000004</v>
      </c>
      <c r="G539">
        <v>-36.423999999999999</v>
      </c>
      <c r="H539">
        <v>16254</v>
      </c>
      <c r="I539">
        <v>-1</v>
      </c>
      <c r="J539">
        <v>1</v>
      </c>
      <c r="K539" t="s">
        <v>55</v>
      </c>
      <c r="L539" t="s">
        <v>55</v>
      </c>
      <c r="M539" t="s">
        <v>56</v>
      </c>
      <c r="N539">
        <v>1643531299.04</v>
      </c>
      <c r="O539">
        <v>0.215</v>
      </c>
      <c r="P539">
        <v>0.38600000000000001</v>
      </c>
      <c r="Q539">
        <v>53.009</v>
      </c>
      <c r="R539">
        <v>2E-3</v>
      </c>
      <c r="S539">
        <v>2E-3</v>
      </c>
      <c r="T539">
        <v>1.2749999999999999</v>
      </c>
      <c r="U539">
        <v>90.674000000000007</v>
      </c>
      <c r="V539">
        <v>24.614999999999998</v>
      </c>
      <c r="W539">
        <v>2.2850000000000001</v>
      </c>
      <c r="X539">
        <v>85.891999999999996</v>
      </c>
      <c r="Y539">
        <v>0.9</v>
      </c>
      <c r="Z539">
        <v>0.997</v>
      </c>
      <c r="AA539">
        <v>0</v>
      </c>
      <c r="AB539">
        <v>0</v>
      </c>
      <c r="AC539">
        <v>1</v>
      </c>
      <c r="AD539">
        <v>39.75</v>
      </c>
      <c r="AE539">
        <v>1</v>
      </c>
      <c r="AF539">
        <v>71</v>
      </c>
      <c r="AG539">
        <v>6</v>
      </c>
      <c r="AH539" t="s">
        <v>84</v>
      </c>
      <c r="AI539">
        <v>0</v>
      </c>
    </row>
    <row r="540" spans="1:35" x14ac:dyDescent="0.45">
      <c r="A540">
        <v>539</v>
      </c>
      <c r="B540" t="s">
        <v>771</v>
      </c>
      <c r="C540" t="s">
        <v>774</v>
      </c>
      <c r="D540" t="s">
        <v>773</v>
      </c>
      <c r="E540">
        <v>2</v>
      </c>
      <c r="F540">
        <v>-5.9539999999999997</v>
      </c>
      <c r="G540">
        <v>-36.975000000000001</v>
      </c>
      <c r="H540">
        <v>16338</v>
      </c>
      <c r="I540">
        <v>-1</v>
      </c>
      <c r="J540">
        <v>1</v>
      </c>
      <c r="K540" t="s">
        <v>55</v>
      </c>
      <c r="L540" t="s">
        <v>55</v>
      </c>
      <c r="M540" t="s">
        <v>56</v>
      </c>
      <c r="N540">
        <v>1643531836.8699999</v>
      </c>
      <c r="O540">
        <v>0.20200000000000001</v>
      </c>
      <c r="P540">
        <v>0.41399999999999998</v>
      </c>
      <c r="Q540">
        <v>53.707999999999998</v>
      </c>
      <c r="R540">
        <v>1E-3</v>
      </c>
      <c r="S540">
        <v>1E-3</v>
      </c>
      <c r="T540">
        <v>1.286</v>
      </c>
      <c r="U540">
        <v>90.929000000000002</v>
      </c>
      <c r="V540">
        <v>24.864999999999998</v>
      </c>
      <c r="W540">
        <v>2.363</v>
      </c>
      <c r="X540">
        <v>87.052000000000007</v>
      </c>
      <c r="Y540">
        <v>0.90900000000000003</v>
      </c>
      <c r="Z540">
        <v>1.0669999999999999</v>
      </c>
      <c r="AA540">
        <v>0</v>
      </c>
      <c r="AB540">
        <v>0</v>
      </c>
      <c r="AC540">
        <v>1</v>
      </c>
      <c r="AD540">
        <v>39.75</v>
      </c>
      <c r="AE540">
        <v>1</v>
      </c>
      <c r="AF540">
        <v>71</v>
      </c>
      <c r="AG540">
        <v>6</v>
      </c>
      <c r="AH540" t="s">
        <v>84</v>
      </c>
      <c r="AI540">
        <v>0</v>
      </c>
    </row>
    <row r="541" spans="1:35" x14ac:dyDescent="0.45">
      <c r="A541">
        <v>540</v>
      </c>
      <c r="B541" t="s">
        <v>771</v>
      </c>
      <c r="C541" t="s">
        <v>775</v>
      </c>
      <c r="D541" t="s">
        <v>773</v>
      </c>
      <c r="E541">
        <v>3</v>
      </c>
      <c r="F541">
        <v>-5.9240000000000004</v>
      </c>
      <c r="G541">
        <v>-37.052999999999997</v>
      </c>
      <c r="H541">
        <v>16196</v>
      </c>
      <c r="I541">
        <v>-1</v>
      </c>
      <c r="J541">
        <v>1</v>
      </c>
      <c r="K541" t="s">
        <v>55</v>
      </c>
      <c r="L541" t="s">
        <v>55</v>
      </c>
      <c r="M541" t="s">
        <v>56</v>
      </c>
      <c r="N541">
        <v>1643532372.99</v>
      </c>
      <c r="O541">
        <v>0.19800000000000001</v>
      </c>
      <c r="P541">
        <v>0.436</v>
      </c>
      <c r="Q541">
        <v>52.87</v>
      </c>
      <c r="R541">
        <v>1E-3</v>
      </c>
      <c r="S541">
        <v>1E-3</v>
      </c>
      <c r="T541">
        <v>1.2749999999999999</v>
      </c>
      <c r="U541">
        <v>90.287999999999997</v>
      </c>
      <c r="V541">
        <v>24.28</v>
      </c>
      <c r="W541">
        <v>2.2879999999999998</v>
      </c>
      <c r="X541">
        <v>86.344999999999999</v>
      </c>
      <c r="Y541">
        <v>0.90400000000000003</v>
      </c>
      <c r="Z541">
        <v>1.0880000000000001</v>
      </c>
      <c r="AA541">
        <v>0</v>
      </c>
      <c r="AB541">
        <v>0</v>
      </c>
      <c r="AC541">
        <v>1</v>
      </c>
      <c r="AD541">
        <v>39.75</v>
      </c>
      <c r="AE541">
        <v>1</v>
      </c>
      <c r="AF541">
        <v>71</v>
      </c>
      <c r="AG541">
        <v>6</v>
      </c>
      <c r="AH541" t="s">
        <v>84</v>
      </c>
      <c r="AI541">
        <v>0</v>
      </c>
    </row>
    <row r="542" spans="1:35" x14ac:dyDescent="0.45">
      <c r="A542">
        <v>541</v>
      </c>
      <c r="B542" t="s">
        <v>771</v>
      </c>
      <c r="C542" t="s">
        <v>776</v>
      </c>
      <c r="D542" t="s">
        <v>773</v>
      </c>
      <c r="E542">
        <v>4</v>
      </c>
      <c r="F542">
        <v>-5.9249999999999998</v>
      </c>
      <c r="G542">
        <v>-37.209000000000003</v>
      </c>
      <c r="H542">
        <v>16352</v>
      </c>
      <c r="I542">
        <v>0</v>
      </c>
      <c r="J542">
        <v>1</v>
      </c>
      <c r="K542" t="s">
        <v>55</v>
      </c>
      <c r="L542" t="s">
        <v>55</v>
      </c>
      <c r="M542" t="s">
        <v>56</v>
      </c>
      <c r="N542">
        <v>1643532910.79</v>
      </c>
      <c r="O542">
        <v>0.20399999999999999</v>
      </c>
      <c r="P542">
        <v>0.39700000000000002</v>
      </c>
      <c r="Q542">
        <v>53.351999999999997</v>
      </c>
      <c r="R542">
        <v>1E-3</v>
      </c>
      <c r="S542">
        <v>1E-3</v>
      </c>
      <c r="T542">
        <v>1.2909999999999999</v>
      </c>
      <c r="U542">
        <v>91.200999999999993</v>
      </c>
      <c r="V542">
        <v>24.577999999999999</v>
      </c>
      <c r="W542">
        <v>2.3439999999999999</v>
      </c>
      <c r="X542">
        <v>87.236000000000004</v>
      </c>
      <c r="Y542">
        <v>0.90500000000000003</v>
      </c>
      <c r="Z542">
        <v>1.113</v>
      </c>
      <c r="AA542">
        <v>0</v>
      </c>
      <c r="AB542">
        <v>0</v>
      </c>
      <c r="AC542">
        <v>1</v>
      </c>
      <c r="AD542">
        <v>39.75</v>
      </c>
      <c r="AE542">
        <v>1</v>
      </c>
      <c r="AF542">
        <v>71</v>
      </c>
      <c r="AG542">
        <v>6</v>
      </c>
      <c r="AH542" t="s">
        <v>84</v>
      </c>
      <c r="AI542">
        <v>0</v>
      </c>
    </row>
    <row r="543" spans="1:35" x14ac:dyDescent="0.45">
      <c r="A543">
        <v>542</v>
      </c>
      <c r="B543" t="s">
        <v>771</v>
      </c>
      <c r="C543" t="s">
        <v>777</v>
      </c>
      <c r="D543" t="s">
        <v>773</v>
      </c>
      <c r="E543">
        <v>5</v>
      </c>
      <c r="F543">
        <v>-5.9139999999999997</v>
      </c>
      <c r="G543">
        <v>-37.186</v>
      </c>
      <c r="H543">
        <v>16253</v>
      </c>
      <c r="I543">
        <v>0</v>
      </c>
      <c r="J543">
        <v>1</v>
      </c>
      <c r="K543" t="s">
        <v>55</v>
      </c>
      <c r="L543" t="s">
        <v>55</v>
      </c>
      <c r="M543" t="s">
        <v>56</v>
      </c>
      <c r="N543">
        <v>1643533446.8399999</v>
      </c>
      <c r="O543">
        <v>0.19800000000000001</v>
      </c>
      <c r="P543">
        <v>0.41599999999999998</v>
      </c>
      <c r="Q543">
        <v>52.945</v>
      </c>
      <c r="R543">
        <v>1E-3</v>
      </c>
      <c r="S543">
        <v>1E-3</v>
      </c>
      <c r="T543">
        <v>1.268</v>
      </c>
      <c r="U543">
        <v>90.495999999999995</v>
      </c>
      <c r="V543">
        <v>24.507000000000001</v>
      </c>
      <c r="W543">
        <v>2.3359999999999999</v>
      </c>
      <c r="X543">
        <v>87.103999999999999</v>
      </c>
      <c r="Y543">
        <v>0.91100000000000003</v>
      </c>
      <c r="Z543">
        <v>1.2769999999999999</v>
      </c>
      <c r="AA543">
        <v>0</v>
      </c>
      <c r="AB543">
        <v>0</v>
      </c>
      <c r="AC543">
        <v>1</v>
      </c>
      <c r="AD543">
        <v>39.75</v>
      </c>
      <c r="AE543">
        <v>1</v>
      </c>
      <c r="AF543">
        <v>71</v>
      </c>
      <c r="AG543">
        <v>6</v>
      </c>
      <c r="AH543" t="s">
        <v>84</v>
      </c>
      <c r="AI543">
        <v>0</v>
      </c>
    </row>
    <row r="544" spans="1:35" x14ac:dyDescent="0.45">
      <c r="A544">
        <v>543</v>
      </c>
      <c r="B544" t="s">
        <v>771</v>
      </c>
      <c r="C544" t="s">
        <v>778</v>
      </c>
      <c r="D544" t="s">
        <v>773</v>
      </c>
      <c r="E544">
        <v>6</v>
      </c>
      <c r="F544">
        <v>-5.9189999999999996</v>
      </c>
      <c r="G544">
        <v>-37.158999999999999</v>
      </c>
      <c r="H544">
        <v>16225</v>
      </c>
      <c r="I544">
        <v>0</v>
      </c>
      <c r="J544">
        <v>1</v>
      </c>
      <c r="K544" t="s">
        <v>55</v>
      </c>
      <c r="L544" t="s">
        <v>55</v>
      </c>
      <c r="M544" t="s">
        <v>56</v>
      </c>
      <c r="N544">
        <v>1643533982.3</v>
      </c>
      <c r="O544">
        <v>0.20599999999999999</v>
      </c>
      <c r="P544">
        <v>0.433</v>
      </c>
      <c r="Q544">
        <v>53.612000000000002</v>
      </c>
      <c r="R544">
        <v>1E-3</v>
      </c>
      <c r="S544">
        <v>1E-3</v>
      </c>
      <c r="T544">
        <v>1.2909999999999999</v>
      </c>
      <c r="U544">
        <v>90.56</v>
      </c>
      <c r="V544">
        <v>24.181000000000001</v>
      </c>
      <c r="W544">
        <v>2.3149999999999999</v>
      </c>
      <c r="X544">
        <v>86.606999999999999</v>
      </c>
      <c r="Y544">
        <v>0.90900000000000003</v>
      </c>
      <c r="Z544">
        <v>1.008</v>
      </c>
      <c r="AA544">
        <v>0</v>
      </c>
      <c r="AB544">
        <v>0</v>
      </c>
      <c r="AC544">
        <v>1</v>
      </c>
      <c r="AD544">
        <v>39.75</v>
      </c>
      <c r="AE544">
        <v>1</v>
      </c>
      <c r="AF544">
        <v>71</v>
      </c>
      <c r="AG544">
        <v>6</v>
      </c>
      <c r="AH544" t="s">
        <v>84</v>
      </c>
      <c r="AI544">
        <v>0</v>
      </c>
    </row>
    <row r="545" spans="1:35" x14ac:dyDescent="0.45">
      <c r="A545">
        <v>544</v>
      </c>
      <c r="B545" t="s">
        <v>779</v>
      </c>
      <c r="C545" t="s">
        <v>780</v>
      </c>
      <c r="D545" t="s">
        <v>781</v>
      </c>
      <c r="E545">
        <v>1</v>
      </c>
      <c r="F545">
        <v>-5.9610000000000003</v>
      </c>
      <c r="G545">
        <v>-37.304000000000002</v>
      </c>
      <c r="H545">
        <v>16274</v>
      </c>
      <c r="I545">
        <v>-1</v>
      </c>
      <c r="J545">
        <v>1</v>
      </c>
      <c r="K545" t="s">
        <v>55</v>
      </c>
      <c r="L545" t="s">
        <v>55</v>
      </c>
      <c r="M545" t="s">
        <v>56</v>
      </c>
      <c r="N545">
        <v>1643534519.74</v>
      </c>
      <c r="O545">
        <v>0.20100000000000001</v>
      </c>
      <c r="P545">
        <v>0.40100000000000002</v>
      </c>
      <c r="Q545">
        <v>54.11</v>
      </c>
      <c r="R545">
        <v>0</v>
      </c>
      <c r="S545">
        <v>1E-3</v>
      </c>
      <c r="T545">
        <v>1.298</v>
      </c>
      <c r="U545">
        <v>90.79</v>
      </c>
      <c r="V545">
        <v>24.364999999999998</v>
      </c>
      <c r="W545">
        <v>2.3079999999999998</v>
      </c>
      <c r="X545">
        <v>86.933999999999997</v>
      </c>
      <c r="Y545">
        <v>0.90600000000000003</v>
      </c>
      <c r="Z545">
        <v>1.0620000000000001</v>
      </c>
      <c r="AA545">
        <v>0</v>
      </c>
      <c r="AB545">
        <v>0</v>
      </c>
      <c r="AC545">
        <v>1</v>
      </c>
      <c r="AD545">
        <v>39.75</v>
      </c>
      <c r="AE545">
        <v>1</v>
      </c>
      <c r="AF545">
        <v>72</v>
      </c>
      <c r="AG545">
        <v>6</v>
      </c>
      <c r="AH545" t="s">
        <v>84</v>
      </c>
      <c r="AI545">
        <v>0</v>
      </c>
    </row>
    <row r="546" spans="1:35" x14ac:dyDescent="0.45">
      <c r="A546">
        <v>545</v>
      </c>
      <c r="B546" t="s">
        <v>779</v>
      </c>
      <c r="C546" t="s">
        <v>782</v>
      </c>
      <c r="D546" t="s">
        <v>781</v>
      </c>
      <c r="E546">
        <v>2</v>
      </c>
      <c r="F546">
        <v>-5.9580000000000002</v>
      </c>
      <c r="G546">
        <v>-37.383000000000003</v>
      </c>
      <c r="H546">
        <v>16294</v>
      </c>
      <c r="I546">
        <v>-1</v>
      </c>
      <c r="J546">
        <v>1</v>
      </c>
      <c r="K546" t="s">
        <v>55</v>
      </c>
      <c r="L546" t="s">
        <v>55</v>
      </c>
      <c r="M546" t="s">
        <v>56</v>
      </c>
      <c r="N546">
        <v>1643535055.71</v>
      </c>
      <c r="O546">
        <v>0.193</v>
      </c>
      <c r="P546">
        <v>0.39600000000000002</v>
      </c>
      <c r="Q546">
        <v>52.993000000000002</v>
      </c>
      <c r="R546">
        <v>2E-3</v>
      </c>
      <c r="S546">
        <v>1E-3</v>
      </c>
      <c r="T546">
        <v>1.272</v>
      </c>
      <c r="U546">
        <v>90.778000000000006</v>
      </c>
      <c r="V546">
        <v>24.716999999999999</v>
      </c>
      <c r="W546">
        <v>2.3290000000000002</v>
      </c>
      <c r="X546">
        <v>86.548000000000002</v>
      </c>
      <c r="Y546">
        <v>0.91500000000000004</v>
      </c>
      <c r="Z546">
        <v>1.1020000000000001</v>
      </c>
      <c r="AA546">
        <v>0</v>
      </c>
      <c r="AB546">
        <v>0</v>
      </c>
      <c r="AC546">
        <v>1</v>
      </c>
      <c r="AD546">
        <v>39.811999999999998</v>
      </c>
      <c r="AE546">
        <v>1</v>
      </c>
      <c r="AF546">
        <v>72</v>
      </c>
      <c r="AG546">
        <v>6</v>
      </c>
      <c r="AH546" t="s">
        <v>84</v>
      </c>
      <c r="AI546">
        <v>0</v>
      </c>
    </row>
    <row r="547" spans="1:35" x14ac:dyDescent="0.45">
      <c r="A547">
        <v>546</v>
      </c>
      <c r="B547" t="s">
        <v>779</v>
      </c>
      <c r="C547" t="s">
        <v>783</v>
      </c>
      <c r="D547" t="s">
        <v>781</v>
      </c>
      <c r="E547">
        <v>3</v>
      </c>
      <c r="F547">
        <v>-5.9610000000000003</v>
      </c>
      <c r="G547">
        <v>-37.369</v>
      </c>
      <c r="H547">
        <v>16307</v>
      </c>
      <c r="I547">
        <v>-1</v>
      </c>
      <c r="J547">
        <v>1</v>
      </c>
      <c r="K547" t="s">
        <v>55</v>
      </c>
      <c r="L547" t="s">
        <v>55</v>
      </c>
      <c r="M547" t="s">
        <v>56</v>
      </c>
      <c r="N547">
        <v>1643535593.04</v>
      </c>
      <c r="O547">
        <v>0.223</v>
      </c>
      <c r="P547">
        <v>0.433</v>
      </c>
      <c r="Q547">
        <v>52.83</v>
      </c>
      <c r="R547">
        <v>1E-3</v>
      </c>
      <c r="S547">
        <v>1E-3</v>
      </c>
      <c r="T547">
        <v>1.276</v>
      </c>
      <c r="U547">
        <v>90.846000000000004</v>
      </c>
      <c r="V547">
        <v>24.315999999999999</v>
      </c>
      <c r="W547">
        <v>2.4289999999999998</v>
      </c>
      <c r="X547">
        <v>88.191000000000003</v>
      </c>
      <c r="Y547">
        <v>0.90800000000000003</v>
      </c>
      <c r="Z547">
        <v>1.2290000000000001</v>
      </c>
      <c r="AA547">
        <v>0</v>
      </c>
      <c r="AB547">
        <v>0</v>
      </c>
      <c r="AC547">
        <v>1</v>
      </c>
      <c r="AD547">
        <v>39.75</v>
      </c>
      <c r="AE547">
        <v>1</v>
      </c>
      <c r="AF547">
        <v>72</v>
      </c>
      <c r="AG547">
        <v>6</v>
      </c>
      <c r="AH547" t="s">
        <v>84</v>
      </c>
      <c r="AI547">
        <v>0</v>
      </c>
    </row>
    <row r="548" spans="1:35" x14ac:dyDescent="0.45">
      <c r="A548">
        <v>547</v>
      </c>
      <c r="B548" t="s">
        <v>779</v>
      </c>
      <c r="C548" t="s">
        <v>784</v>
      </c>
      <c r="D548" t="s">
        <v>781</v>
      </c>
      <c r="E548">
        <v>4</v>
      </c>
      <c r="F548">
        <v>-5.9260000000000002</v>
      </c>
      <c r="G548">
        <v>-37.302</v>
      </c>
      <c r="H548">
        <v>16281</v>
      </c>
      <c r="I548">
        <v>0</v>
      </c>
      <c r="J548">
        <v>1</v>
      </c>
      <c r="K548" t="s">
        <v>55</v>
      </c>
      <c r="L548" t="s">
        <v>55</v>
      </c>
      <c r="M548" t="s">
        <v>56</v>
      </c>
      <c r="N548">
        <v>1643536128.8800001</v>
      </c>
      <c r="O548">
        <v>0.23100000000000001</v>
      </c>
      <c r="P548">
        <v>0.437</v>
      </c>
      <c r="Q548">
        <v>53.957000000000001</v>
      </c>
      <c r="R548">
        <v>1E-3</v>
      </c>
      <c r="S548">
        <v>1E-3</v>
      </c>
      <c r="T548">
        <v>1.298</v>
      </c>
      <c r="U548">
        <v>90.816999999999993</v>
      </c>
      <c r="V548">
        <v>24.292999999999999</v>
      </c>
      <c r="W548">
        <v>2.335</v>
      </c>
      <c r="X548">
        <v>87.268000000000001</v>
      </c>
      <c r="Y548">
        <v>0.92500000000000004</v>
      </c>
      <c r="Z548">
        <v>1.1120000000000001</v>
      </c>
      <c r="AA548">
        <v>0</v>
      </c>
      <c r="AB548">
        <v>0</v>
      </c>
      <c r="AC548">
        <v>1</v>
      </c>
      <c r="AD548">
        <v>39.75</v>
      </c>
      <c r="AE548">
        <v>1</v>
      </c>
      <c r="AF548">
        <v>72</v>
      </c>
      <c r="AG548">
        <v>6</v>
      </c>
      <c r="AH548" t="s">
        <v>84</v>
      </c>
      <c r="AI548">
        <v>0</v>
      </c>
    </row>
    <row r="549" spans="1:35" x14ac:dyDescent="0.45">
      <c r="A549">
        <v>548</v>
      </c>
      <c r="B549" t="s">
        <v>779</v>
      </c>
      <c r="C549" t="s">
        <v>785</v>
      </c>
      <c r="D549" t="s">
        <v>781</v>
      </c>
      <c r="E549">
        <v>5</v>
      </c>
      <c r="F549">
        <v>-5.9729999999999999</v>
      </c>
      <c r="G549">
        <v>-37.344999999999999</v>
      </c>
      <c r="H549">
        <v>16303</v>
      </c>
      <c r="I549">
        <v>0</v>
      </c>
      <c r="J549">
        <v>1</v>
      </c>
      <c r="K549" t="s">
        <v>55</v>
      </c>
      <c r="L549" t="s">
        <v>55</v>
      </c>
      <c r="M549" t="s">
        <v>56</v>
      </c>
      <c r="N549">
        <v>1643536665.9000001</v>
      </c>
      <c r="O549">
        <v>0.186</v>
      </c>
      <c r="P549">
        <v>0.39</v>
      </c>
      <c r="Q549">
        <v>52.744</v>
      </c>
      <c r="R549">
        <v>1E-3</v>
      </c>
      <c r="S549">
        <v>1E-3</v>
      </c>
      <c r="T549">
        <v>1.274</v>
      </c>
      <c r="U549">
        <v>91.057000000000002</v>
      </c>
      <c r="V549">
        <v>24.375</v>
      </c>
      <c r="W549">
        <v>2.3069999999999999</v>
      </c>
      <c r="X549">
        <v>86.486000000000004</v>
      </c>
      <c r="Y549">
        <v>0.90800000000000003</v>
      </c>
      <c r="Z549">
        <v>1.0649999999999999</v>
      </c>
      <c r="AA549">
        <v>0</v>
      </c>
      <c r="AB549">
        <v>0</v>
      </c>
      <c r="AC549">
        <v>1</v>
      </c>
      <c r="AD549">
        <v>39.75</v>
      </c>
      <c r="AE549">
        <v>1</v>
      </c>
      <c r="AF549">
        <v>72</v>
      </c>
      <c r="AG549">
        <v>6</v>
      </c>
      <c r="AH549" t="s">
        <v>84</v>
      </c>
      <c r="AI549">
        <v>0</v>
      </c>
    </row>
    <row r="550" spans="1:35" x14ac:dyDescent="0.45">
      <c r="A550">
        <v>549</v>
      </c>
      <c r="B550" t="s">
        <v>779</v>
      </c>
      <c r="C550" t="s">
        <v>786</v>
      </c>
      <c r="D550" t="s">
        <v>781</v>
      </c>
      <c r="E550">
        <v>6</v>
      </c>
      <c r="F550">
        <v>-5.9610000000000003</v>
      </c>
      <c r="G550">
        <v>-37.387</v>
      </c>
      <c r="H550">
        <v>16266</v>
      </c>
      <c r="I550">
        <v>0</v>
      </c>
      <c r="J550">
        <v>1</v>
      </c>
      <c r="K550" t="s">
        <v>55</v>
      </c>
      <c r="L550" t="s">
        <v>55</v>
      </c>
      <c r="M550" t="s">
        <v>56</v>
      </c>
      <c r="N550">
        <v>1643537203.79</v>
      </c>
      <c r="O550">
        <v>0.2</v>
      </c>
      <c r="P550">
        <v>0.41</v>
      </c>
      <c r="Q550">
        <v>53.408000000000001</v>
      </c>
      <c r="R550">
        <v>1E-3</v>
      </c>
      <c r="S550">
        <v>2E-3</v>
      </c>
      <c r="T550">
        <v>1.2869999999999999</v>
      </c>
      <c r="U550">
        <v>90.543000000000006</v>
      </c>
      <c r="V550">
        <v>24.398</v>
      </c>
      <c r="W550">
        <v>2.3490000000000002</v>
      </c>
      <c r="X550">
        <v>87.894999999999996</v>
      </c>
      <c r="Y550">
        <v>0.92800000000000005</v>
      </c>
      <c r="Z550">
        <v>1.2310000000000001</v>
      </c>
      <c r="AA550">
        <v>0</v>
      </c>
      <c r="AB550">
        <v>0</v>
      </c>
      <c r="AC550">
        <v>1</v>
      </c>
      <c r="AD550">
        <v>39.75</v>
      </c>
      <c r="AE550">
        <v>1</v>
      </c>
      <c r="AF550">
        <v>72</v>
      </c>
      <c r="AG550">
        <v>6</v>
      </c>
      <c r="AH550" t="s">
        <v>84</v>
      </c>
      <c r="AI550">
        <v>0</v>
      </c>
    </row>
    <row r="551" spans="1:35" x14ac:dyDescent="0.45">
      <c r="A551">
        <v>550</v>
      </c>
      <c r="B551" t="s">
        <v>787</v>
      </c>
      <c r="C551" t="s">
        <v>788</v>
      </c>
      <c r="D551" t="s">
        <v>789</v>
      </c>
      <c r="E551">
        <v>1</v>
      </c>
      <c r="F551">
        <v>-5.5810000000000004</v>
      </c>
      <c r="G551">
        <v>-35.445</v>
      </c>
      <c r="H551">
        <v>16310</v>
      </c>
      <c r="I551">
        <v>-1</v>
      </c>
      <c r="J551">
        <v>1</v>
      </c>
      <c r="K551" t="s">
        <v>55</v>
      </c>
      <c r="L551" t="s">
        <v>55</v>
      </c>
      <c r="M551" t="s">
        <v>56</v>
      </c>
      <c r="N551">
        <v>1643537740.02</v>
      </c>
      <c r="O551">
        <v>0.216</v>
      </c>
      <c r="P551">
        <v>0.41499999999999998</v>
      </c>
      <c r="Q551">
        <v>53.276000000000003</v>
      </c>
      <c r="R551">
        <v>1E-3</v>
      </c>
      <c r="S551">
        <v>0</v>
      </c>
      <c r="T551">
        <v>1.288</v>
      </c>
      <c r="U551">
        <v>90.820999999999998</v>
      </c>
      <c r="V551">
        <v>25.077999999999999</v>
      </c>
      <c r="W551">
        <v>2.3050000000000002</v>
      </c>
      <c r="X551">
        <v>86.108999999999995</v>
      </c>
      <c r="Y551">
        <v>0.90200000000000002</v>
      </c>
      <c r="Z551">
        <v>1.0149999999999999</v>
      </c>
      <c r="AA551">
        <v>0</v>
      </c>
      <c r="AB551">
        <v>0</v>
      </c>
      <c r="AC551">
        <v>1</v>
      </c>
      <c r="AD551">
        <v>39.75</v>
      </c>
      <c r="AE551">
        <v>1</v>
      </c>
      <c r="AF551">
        <v>73</v>
      </c>
      <c r="AG551">
        <v>6</v>
      </c>
      <c r="AH551" t="s">
        <v>84</v>
      </c>
      <c r="AI551">
        <v>0</v>
      </c>
    </row>
    <row r="552" spans="1:35" x14ac:dyDescent="0.45">
      <c r="A552">
        <v>551</v>
      </c>
      <c r="B552" t="s">
        <v>787</v>
      </c>
      <c r="C552" t="s">
        <v>790</v>
      </c>
      <c r="D552" t="s">
        <v>789</v>
      </c>
      <c r="E552">
        <v>2</v>
      </c>
      <c r="F552">
        <v>-5.625</v>
      </c>
      <c r="G552">
        <v>-35.414000000000001</v>
      </c>
      <c r="H552">
        <v>16305</v>
      </c>
      <c r="I552">
        <v>-1</v>
      </c>
      <c r="J552">
        <v>1</v>
      </c>
      <c r="K552" t="s">
        <v>55</v>
      </c>
      <c r="L552" t="s">
        <v>55</v>
      </c>
      <c r="M552" t="s">
        <v>56</v>
      </c>
      <c r="N552">
        <v>1643538276.4100001</v>
      </c>
      <c r="O552">
        <v>0.19500000000000001</v>
      </c>
      <c r="P552">
        <v>0.39100000000000001</v>
      </c>
      <c r="Q552">
        <v>53.225999999999999</v>
      </c>
      <c r="R552">
        <v>1E-3</v>
      </c>
      <c r="S552">
        <v>-1E-3</v>
      </c>
      <c r="T552">
        <v>1.278</v>
      </c>
      <c r="U552">
        <v>90.811000000000007</v>
      </c>
      <c r="V552">
        <v>24.827999999999999</v>
      </c>
      <c r="W552">
        <v>2.359</v>
      </c>
      <c r="X552">
        <v>86.665999999999997</v>
      </c>
      <c r="Y552">
        <v>0.91500000000000004</v>
      </c>
      <c r="Z552">
        <v>1.081</v>
      </c>
      <c r="AA552">
        <v>0</v>
      </c>
      <c r="AB552">
        <v>0</v>
      </c>
      <c r="AC552">
        <v>1</v>
      </c>
      <c r="AD552">
        <v>39.75</v>
      </c>
      <c r="AE552">
        <v>1</v>
      </c>
      <c r="AF552">
        <v>73</v>
      </c>
      <c r="AG552">
        <v>6</v>
      </c>
      <c r="AH552" t="s">
        <v>84</v>
      </c>
      <c r="AI552">
        <v>0</v>
      </c>
    </row>
    <row r="553" spans="1:35" x14ac:dyDescent="0.45">
      <c r="A553">
        <v>552</v>
      </c>
      <c r="B553" t="s">
        <v>787</v>
      </c>
      <c r="C553" t="s">
        <v>791</v>
      </c>
      <c r="D553" t="s">
        <v>789</v>
      </c>
      <c r="E553">
        <v>3</v>
      </c>
      <c r="F553">
        <v>-5.5510000000000002</v>
      </c>
      <c r="G553">
        <v>-35.353999999999999</v>
      </c>
      <c r="H553">
        <v>16270</v>
      </c>
      <c r="I553">
        <v>-1</v>
      </c>
      <c r="J553">
        <v>1</v>
      </c>
      <c r="K553" t="s">
        <v>55</v>
      </c>
      <c r="L553" t="s">
        <v>55</v>
      </c>
      <c r="M553" t="s">
        <v>56</v>
      </c>
      <c r="N553">
        <v>1643538814.3</v>
      </c>
      <c r="O553">
        <v>0.193</v>
      </c>
      <c r="P553">
        <v>0.44</v>
      </c>
      <c r="Q553">
        <v>53.777000000000001</v>
      </c>
      <c r="R553">
        <v>0</v>
      </c>
      <c r="S553">
        <v>2E-3</v>
      </c>
      <c r="T553">
        <v>1.3029999999999999</v>
      </c>
      <c r="U553">
        <v>90.778000000000006</v>
      </c>
      <c r="V553">
        <v>24.201000000000001</v>
      </c>
      <c r="W553">
        <v>2.3740000000000001</v>
      </c>
      <c r="X553">
        <v>87.268000000000001</v>
      </c>
      <c r="Y553">
        <v>0.91900000000000004</v>
      </c>
      <c r="Z553">
        <v>1.1719999999999999</v>
      </c>
      <c r="AA553">
        <v>0</v>
      </c>
      <c r="AB553">
        <v>0</v>
      </c>
      <c r="AC553">
        <v>1</v>
      </c>
      <c r="AD553">
        <v>39.75</v>
      </c>
      <c r="AE553">
        <v>1</v>
      </c>
      <c r="AF553">
        <v>73</v>
      </c>
      <c r="AG553">
        <v>6</v>
      </c>
      <c r="AH553" t="s">
        <v>84</v>
      </c>
      <c r="AI553">
        <v>0</v>
      </c>
    </row>
    <row r="554" spans="1:35" x14ac:dyDescent="0.45">
      <c r="A554">
        <v>553</v>
      </c>
      <c r="B554" t="s">
        <v>787</v>
      </c>
      <c r="C554" t="s">
        <v>792</v>
      </c>
      <c r="D554" t="s">
        <v>789</v>
      </c>
      <c r="E554">
        <v>4</v>
      </c>
      <c r="F554">
        <v>-5.6219999999999999</v>
      </c>
      <c r="G554">
        <v>-35.344000000000001</v>
      </c>
      <c r="H554">
        <v>16271</v>
      </c>
      <c r="I554">
        <v>0</v>
      </c>
      <c r="J554">
        <v>1</v>
      </c>
      <c r="K554" t="s">
        <v>55</v>
      </c>
      <c r="L554" t="s">
        <v>55</v>
      </c>
      <c r="M554" t="s">
        <v>56</v>
      </c>
      <c r="N554">
        <v>1643539350.02</v>
      </c>
      <c r="O554">
        <v>0.20100000000000001</v>
      </c>
      <c r="P554">
        <v>0.38700000000000001</v>
      </c>
      <c r="Q554">
        <v>52.723999999999997</v>
      </c>
      <c r="R554">
        <v>1E-3</v>
      </c>
      <c r="S554">
        <v>0</v>
      </c>
      <c r="T554">
        <v>1.268</v>
      </c>
      <c r="U554">
        <v>90.591999999999999</v>
      </c>
      <c r="V554">
        <v>24.646000000000001</v>
      </c>
      <c r="W554">
        <v>2.343</v>
      </c>
      <c r="X554">
        <v>86.844999999999999</v>
      </c>
      <c r="Y554">
        <v>0.92100000000000004</v>
      </c>
      <c r="Z554">
        <v>1.1180000000000001</v>
      </c>
      <c r="AA554">
        <v>0</v>
      </c>
      <c r="AB554">
        <v>0</v>
      </c>
      <c r="AC554">
        <v>1</v>
      </c>
      <c r="AD554">
        <v>39.75</v>
      </c>
      <c r="AE554">
        <v>1</v>
      </c>
      <c r="AF554">
        <v>73</v>
      </c>
      <c r="AG554">
        <v>6</v>
      </c>
      <c r="AH554" t="s">
        <v>84</v>
      </c>
      <c r="AI554">
        <v>0</v>
      </c>
    </row>
    <row r="555" spans="1:35" x14ac:dyDescent="0.45">
      <c r="A555">
        <v>554</v>
      </c>
      <c r="B555" t="s">
        <v>787</v>
      </c>
      <c r="C555" t="s">
        <v>793</v>
      </c>
      <c r="D555" t="s">
        <v>789</v>
      </c>
      <c r="E555">
        <v>5</v>
      </c>
      <c r="F555">
        <v>-5.5720000000000001</v>
      </c>
      <c r="G555">
        <v>-35.302999999999997</v>
      </c>
      <c r="H555">
        <v>16276</v>
      </c>
      <c r="I555">
        <v>0</v>
      </c>
      <c r="J555">
        <v>1</v>
      </c>
      <c r="K555" t="s">
        <v>55</v>
      </c>
      <c r="L555" t="s">
        <v>55</v>
      </c>
      <c r="M555" t="s">
        <v>56</v>
      </c>
      <c r="N555">
        <v>1643539888.0599999</v>
      </c>
      <c r="O555">
        <v>0.22600000000000001</v>
      </c>
      <c r="P555">
        <v>0.39200000000000002</v>
      </c>
      <c r="Q555">
        <v>53.78</v>
      </c>
      <c r="R555">
        <v>1E-3</v>
      </c>
      <c r="S555">
        <v>1E-3</v>
      </c>
      <c r="T555">
        <v>1.2929999999999999</v>
      </c>
      <c r="U555">
        <v>90.659000000000006</v>
      </c>
      <c r="V555">
        <v>24.414000000000001</v>
      </c>
      <c r="W555">
        <v>2.39</v>
      </c>
      <c r="X555">
        <v>87.525000000000006</v>
      </c>
      <c r="Y555">
        <v>0.93100000000000005</v>
      </c>
      <c r="Z555">
        <v>1.1659999999999999</v>
      </c>
      <c r="AA555">
        <v>0</v>
      </c>
      <c r="AB555">
        <v>0</v>
      </c>
      <c r="AC555">
        <v>1</v>
      </c>
      <c r="AD555">
        <v>39.75</v>
      </c>
      <c r="AE555">
        <v>1</v>
      </c>
      <c r="AF555">
        <v>73</v>
      </c>
      <c r="AG555">
        <v>6</v>
      </c>
      <c r="AH555" t="s">
        <v>84</v>
      </c>
      <c r="AI555">
        <v>0</v>
      </c>
    </row>
    <row r="556" spans="1:35" x14ac:dyDescent="0.45">
      <c r="A556">
        <v>555</v>
      </c>
      <c r="B556" t="s">
        <v>787</v>
      </c>
      <c r="C556" t="s">
        <v>794</v>
      </c>
      <c r="D556" t="s">
        <v>789</v>
      </c>
      <c r="E556">
        <v>6</v>
      </c>
      <c r="F556">
        <v>-5.5979999999999999</v>
      </c>
      <c r="G556">
        <v>-35.326000000000001</v>
      </c>
      <c r="H556">
        <v>16276</v>
      </c>
      <c r="I556">
        <v>0</v>
      </c>
      <c r="J556">
        <v>1</v>
      </c>
      <c r="K556" t="s">
        <v>55</v>
      </c>
      <c r="L556" t="s">
        <v>55</v>
      </c>
      <c r="M556" t="s">
        <v>56</v>
      </c>
      <c r="N556">
        <v>1643540424.3</v>
      </c>
      <c r="O556">
        <v>0.19700000000000001</v>
      </c>
      <c r="P556">
        <v>0.43</v>
      </c>
      <c r="Q556">
        <v>53.942</v>
      </c>
      <c r="R556">
        <v>1E-3</v>
      </c>
      <c r="S556">
        <v>1E-3</v>
      </c>
      <c r="T556">
        <v>1.2909999999999999</v>
      </c>
      <c r="U556">
        <v>90.563999999999993</v>
      </c>
      <c r="V556">
        <v>23.885000000000002</v>
      </c>
      <c r="W556">
        <v>2.419</v>
      </c>
      <c r="X556">
        <v>89.58</v>
      </c>
      <c r="Y556">
        <v>0.93300000000000005</v>
      </c>
      <c r="Z556">
        <v>1.4350000000000001</v>
      </c>
      <c r="AA556">
        <v>0</v>
      </c>
      <c r="AB556">
        <v>0</v>
      </c>
      <c r="AC556">
        <v>1</v>
      </c>
      <c r="AD556">
        <v>39.75</v>
      </c>
      <c r="AE556">
        <v>1</v>
      </c>
      <c r="AF556">
        <v>73</v>
      </c>
      <c r="AG556">
        <v>6</v>
      </c>
      <c r="AH556" t="s">
        <v>84</v>
      </c>
      <c r="AI556">
        <v>0</v>
      </c>
    </row>
    <row r="557" spans="1:35" x14ac:dyDescent="0.45">
      <c r="A557">
        <v>556</v>
      </c>
      <c r="B557" t="s">
        <v>795</v>
      </c>
      <c r="C557" t="s">
        <v>796</v>
      </c>
      <c r="D557" t="s">
        <v>797</v>
      </c>
      <c r="E557">
        <v>1</v>
      </c>
      <c r="F557">
        <v>-5.5750000000000002</v>
      </c>
      <c r="G557">
        <v>-35.201999999999998</v>
      </c>
      <c r="H557">
        <v>16310</v>
      </c>
      <c r="I557">
        <v>-1</v>
      </c>
      <c r="J557">
        <v>1</v>
      </c>
      <c r="K557" t="s">
        <v>55</v>
      </c>
      <c r="L557" t="s">
        <v>55</v>
      </c>
      <c r="M557" t="s">
        <v>56</v>
      </c>
      <c r="N557">
        <v>1643540961.6099999</v>
      </c>
      <c r="O557">
        <v>0.21199999999999999</v>
      </c>
      <c r="P557">
        <v>0.42699999999999999</v>
      </c>
      <c r="Q557">
        <v>53.003</v>
      </c>
      <c r="R557">
        <v>1E-3</v>
      </c>
      <c r="S557">
        <v>2E-3</v>
      </c>
      <c r="T557">
        <v>1.286</v>
      </c>
      <c r="U557">
        <v>90.887</v>
      </c>
      <c r="V557">
        <v>24.263999999999999</v>
      </c>
      <c r="W557">
        <v>2.391</v>
      </c>
      <c r="X557">
        <v>88.123999999999995</v>
      </c>
      <c r="Y557">
        <v>0.91500000000000004</v>
      </c>
      <c r="Z557">
        <v>1.218</v>
      </c>
      <c r="AA557">
        <v>0</v>
      </c>
      <c r="AB557">
        <v>0</v>
      </c>
      <c r="AC557">
        <v>1</v>
      </c>
      <c r="AD557">
        <v>39.75</v>
      </c>
      <c r="AE557">
        <v>1</v>
      </c>
      <c r="AF557">
        <v>74</v>
      </c>
      <c r="AG557">
        <v>6</v>
      </c>
      <c r="AH557" t="s">
        <v>84</v>
      </c>
      <c r="AI557">
        <v>0</v>
      </c>
    </row>
    <row r="558" spans="1:35" x14ac:dyDescent="0.45">
      <c r="A558">
        <v>557</v>
      </c>
      <c r="B558" t="s">
        <v>795</v>
      </c>
      <c r="C558" t="s">
        <v>798</v>
      </c>
      <c r="D558" t="s">
        <v>797</v>
      </c>
      <c r="E558">
        <v>2</v>
      </c>
      <c r="F558">
        <v>-5.6109999999999998</v>
      </c>
      <c r="G558">
        <v>-35.164999999999999</v>
      </c>
      <c r="H558">
        <v>16282</v>
      </c>
      <c r="I558">
        <v>-1</v>
      </c>
      <c r="J558">
        <v>1</v>
      </c>
      <c r="K558" t="s">
        <v>55</v>
      </c>
      <c r="L558" t="s">
        <v>55</v>
      </c>
      <c r="M558" t="s">
        <v>56</v>
      </c>
      <c r="N558">
        <v>1643541497.8800001</v>
      </c>
      <c r="O558">
        <v>0.183</v>
      </c>
      <c r="P558">
        <v>0.47199999999999998</v>
      </c>
      <c r="Q558">
        <v>53.997999999999998</v>
      </c>
      <c r="R558">
        <v>1E-3</v>
      </c>
      <c r="S558">
        <v>2E-3</v>
      </c>
      <c r="T558">
        <v>1.294</v>
      </c>
      <c r="U558">
        <v>90.638999999999996</v>
      </c>
      <c r="V558">
        <v>24.388999999999999</v>
      </c>
      <c r="W558">
        <v>2.3730000000000002</v>
      </c>
      <c r="X558">
        <v>87.933999999999997</v>
      </c>
      <c r="Y558">
        <v>0.92600000000000005</v>
      </c>
      <c r="Z558">
        <v>1.27</v>
      </c>
      <c r="AA558">
        <v>0</v>
      </c>
      <c r="AB558">
        <v>0</v>
      </c>
      <c r="AC558">
        <v>1</v>
      </c>
      <c r="AD558">
        <v>39.811999999999998</v>
      </c>
      <c r="AE558">
        <v>1</v>
      </c>
      <c r="AF558">
        <v>74</v>
      </c>
      <c r="AG558">
        <v>6</v>
      </c>
      <c r="AH558" t="s">
        <v>84</v>
      </c>
      <c r="AI558">
        <v>0</v>
      </c>
    </row>
    <row r="559" spans="1:35" x14ac:dyDescent="0.45">
      <c r="A559">
        <v>558</v>
      </c>
      <c r="B559" t="s">
        <v>795</v>
      </c>
      <c r="C559" t="s">
        <v>799</v>
      </c>
      <c r="D559" t="s">
        <v>797</v>
      </c>
      <c r="E559">
        <v>3</v>
      </c>
      <c r="F559">
        <v>-5.61</v>
      </c>
      <c r="G559">
        <v>-35.228000000000002</v>
      </c>
      <c r="H559">
        <v>16341</v>
      </c>
      <c r="I559">
        <v>-1</v>
      </c>
      <c r="J559">
        <v>1</v>
      </c>
      <c r="K559" t="s">
        <v>55</v>
      </c>
      <c r="L559" t="s">
        <v>55</v>
      </c>
      <c r="M559" t="s">
        <v>56</v>
      </c>
      <c r="N559">
        <v>1643542035.1600001</v>
      </c>
      <c r="O559">
        <v>0.184</v>
      </c>
      <c r="P559">
        <v>0.41699999999999998</v>
      </c>
      <c r="Q559">
        <v>54.39</v>
      </c>
      <c r="R559">
        <v>1E-3</v>
      </c>
      <c r="S559">
        <v>2E-3</v>
      </c>
      <c r="T559">
        <v>1.31</v>
      </c>
      <c r="U559">
        <v>91.230999999999995</v>
      </c>
      <c r="V559">
        <v>24.094999999999999</v>
      </c>
      <c r="W559">
        <v>2.3919999999999999</v>
      </c>
      <c r="X559">
        <v>88.075999999999993</v>
      </c>
      <c r="Y559">
        <v>0.93400000000000005</v>
      </c>
      <c r="Z559">
        <v>1.1919999999999999</v>
      </c>
      <c r="AA559">
        <v>0</v>
      </c>
      <c r="AB559">
        <v>0</v>
      </c>
      <c r="AC559">
        <v>1</v>
      </c>
      <c r="AD559">
        <v>39.75</v>
      </c>
      <c r="AE559">
        <v>1</v>
      </c>
      <c r="AF559">
        <v>74</v>
      </c>
      <c r="AG559">
        <v>6</v>
      </c>
      <c r="AH559" t="s">
        <v>84</v>
      </c>
      <c r="AI559">
        <v>0</v>
      </c>
    </row>
    <row r="560" spans="1:35" x14ac:dyDescent="0.45">
      <c r="A560">
        <v>559</v>
      </c>
      <c r="B560" t="s">
        <v>795</v>
      </c>
      <c r="C560" t="s">
        <v>800</v>
      </c>
      <c r="D560" t="s">
        <v>797</v>
      </c>
      <c r="E560">
        <v>4</v>
      </c>
      <c r="F560">
        <v>-5.5869999999999997</v>
      </c>
      <c r="G560">
        <v>-35.149000000000001</v>
      </c>
      <c r="H560">
        <v>16328</v>
      </c>
      <c r="I560">
        <v>0</v>
      </c>
      <c r="J560">
        <v>1</v>
      </c>
      <c r="K560" t="s">
        <v>55</v>
      </c>
      <c r="L560" t="s">
        <v>55</v>
      </c>
      <c r="M560" t="s">
        <v>56</v>
      </c>
      <c r="N560">
        <v>1643542571.1800001</v>
      </c>
      <c r="O560">
        <v>0.187</v>
      </c>
      <c r="P560">
        <v>0.41399999999999998</v>
      </c>
      <c r="Q560">
        <v>53.537999999999997</v>
      </c>
      <c r="R560">
        <v>1E-3</v>
      </c>
      <c r="S560">
        <v>1E-3</v>
      </c>
      <c r="T560">
        <v>1.2789999999999999</v>
      </c>
      <c r="U560">
        <v>91.081999999999994</v>
      </c>
      <c r="V560">
        <v>24.577000000000002</v>
      </c>
      <c r="W560">
        <v>2.3199999999999998</v>
      </c>
      <c r="X560">
        <v>86.784999999999997</v>
      </c>
      <c r="Y560">
        <v>0.91200000000000003</v>
      </c>
      <c r="Z560">
        <v>1.0580000000000001</v>
      </c>
      <c r="AA560">
        <v>0</v>
      </c>
      <c r="AB560">
        <v>0</v>
      </c>
      <c r="AC560">
        <v>1</v>
      </c>
      <c r="AD560">
        <v>39.75</v>
      </c>
      <c r="AE560">
        <v>1</v>
      </c>
      <c r="AF560">
        <v>74</v>
      </c>
      <c r="AG560">
        <v>6</v>
      </c>
      <c r="AH560" t="s">
        <v>84</v>
      </c>
      <c r="AI560">
        <v>0</v>
      </c>
    </row>
    <row r="561" spans="1:35" x14ac:dyDescent="0.45">
      <c r="A561">
        <v>560</v>
      </c>
      <c r="B561" t="s">
        <v>795</v>
      </c>
      <c r="C561" t="s">
        <v>801</v>
      </c>
      <c r="D561" t="s">
        <v>797</v>
      </c>
      <c r="E561">
        <v>5</v>
      </c>
      <c r="F561">
        <v>-5.6130000000000004</v>
      </c>
      <c r="G561">
        <v>-35.241999999999997</v>
      </c>
      <c r="H561">
        <v>16250</v>
      </c>
      <c r="I561">
        <v>0</v>
      </c>
      <c r="J561">
        <v>1</v>
      </c>
      <c r="K561" t="s">
        <v>55</v>
      </c>
      <c r="L561" t="s">
        <v>55</v>
      </c>
      <c r="M561" t="s">
        <v>56</v>
      </c>
      <c r="N561">
        <v>1643543106.9100001</v>
      </c>
      <c r="O561">
        <v>0.21299999999999999</v>
      </c>
      <c r="P561">
        <v>0.40400000000000003</v>
      </c>
      <c r="Q561">
        <v>52.645000000000003</v>
      </c>
      <c r="R561">
        <v>1E-3</v>
      </c>
      <c r="S561">
        <v>1E-3</v>
      </c>
      <c r="T561">
        <v>1.266</v>
      </c>
      <c r="U561">
        <v>90.388000000000005</v>
      </c>
      <c r="V561">
        <v>24.637</v>
      </c>
      <c r="W561">
        <v>2.383</v>
      </c>
      <c r="X561">
        <v>87.265000000000001</v>
      </c>
      <c r="Y561">
        <v>0.91200000000000003</v>
      </c>
      <c r="Z561">
        <v>1.105</v>
      </c>
      <c r="AA561">
        <v>0</v>
      </c>
      <c r="AB561">
        <v>0</v>
      </c>
      <c r="AC561">
        <v>1</v>
      </c>
      <c r="AD561">
        <v>39.75</v>
      </c>
      <c r="AE561">
        <v>1</v>
      </c>
      <c r="AF561">
        <v>74</v>
      </c>
      <c r="AG561">
        <v>6</v>
      </c>
      <c r="AH561" t="s">
        <v>84</v>
      </c>
      <c r="AI561">
        <v>0</v>
      </c>
    </row>
    <row r="562" spans="1:35" x14ac:dyDescent="0.45">
      <c r="A562">
        <v>561</v>
      </c>
      <c r="B562" t="s">
        <v>795</v>
      </c>
      <c r="C562" t="s">
        <v>802</v>
      </c>
      <c r="D562" t="s">
        <v>797</v>
      </c>
      <c r="E562">
        <v>6</v>
      </c>
      <c r="F562">
        <v>-5.6059999999999999</v>
      </c>
      <c r="G562">
        <v>-35.216000000000001</v>
      </c>
      <c r="H562">
        <v>16346</v>
      </c>
      <c r="I562">
        <v>0</v>
      </c>
      <c r="J562">
        <v>1</v>
      </c>
      <c r="K562" t="s">
        <v>55</v>
      </c>
      <c r="L562" t="s">
        <v>55</v>
      </c>
      <c r="M562" t="s">
        <v>56</v>
      </c>
      <c r="N562">
        <v>1643543644.1700001</v>
      </c>
      <c r="O562">
        <v>0.192</v>
      </c>
      <c r="P562">
        <v>0.44900000000000001</v>
      </c>
      <c r="Q562">
        <v>54.222000000000001</v>
      </c>
      <c r="R562">
        <v>0</v>
      </c>
      <c r="S562">
        <v>1E-3</v>
      </c>
      <c r="T562">
        <v>1.3049999999999999</v>
      </c>
      <c r="U562">
        <v>91.070999999999998</v>
      </c>
      <c r="V562">
        <v>24.574999999999999</v>
      </c>
      <c r="W562">
        <v>2.3849999999999998</v>
      </c>
      <c r="X562">
        <v>87.730999999999995</v>
      </c>
      <c r="Y562">
        <v>0.92900000000000005</v>
      </c>
      <c r="Z562">
        <v>1.181</v>
      </c>
      <c r="AA562">
        <v>0</v>
      </c>
      <c r="AB562">
        <v>0</v>
      </c>
      <c r="AC562">
        <v>1</v>
      </c>
      <c r="AD562">
        <v>39.75</v>
      </c>
      <c r="AE562">
        <v>1</v>
      </c>
      <c r="AF562">
        <v>74</v>
      </c>
      <c r="AG562">
        <v>6</v>
      </c>
      <c r="AH562" t="s">
        <v>84</v>
      </c>
      <c r="AI562">
        <v>0</v>
      </c>
    </row>
    <row r="563" spans="1:35" x14ac:dyDescent="0.45">
      <c r="A563">
        <v>562</v>
      </c>
      <c r="B563" t="s">
        <v>803</v>
      </c>
      <c r="C563" t="s">
        <v>804</v>
      </c>
      <c r="D563" t="s">
        <v>805</v>
      </c>
      <c r="E563">
        <v>1</v>
      </c>
      <c r="F563">
        <v>-5.8010000000000002</v>
      </c>
      <c r="G563">
        <v>-36.576999999999998</v>
      </c>
      <c r="H563">
        <v>16336</v>
      </c>
      <c r="I563">
        <v>-1</v>
      </c>
      <c r="J563">
        <v>1</v>
      </c>
      <c r="K563" t="s">
        <v>55</v>
      </c>
      <c r="L563" t="s">
        <v>55</v>
      </c>
      <c r="M563" t="s">
        <v>56</v>
      </c>
      <c r="N563">
        <v>1643544179.52</v>
      </c>
      <c r="O563">
        <v>0.216</v>
      </c>
      <c r="P563">
        <v>0.43099999999999999</v>
      </c>
      <c r="Q563">
        <v>53.86</v>
      </c>
      <c r="R563">
        <v>1E-3</v>
      </c>
      <c r="S563">
        <v>1E-3</v>
      </c>
      <c r="T563">
        <v>1.2929999999999999</v>
      </c>
      <c r="U563">
        <v>91.191999999999993</v>
      </c>
      <c r="V563">
        <v>24.363</v>
      </c>
      <c r="W563">
        <v>2.3690000000000002</v>
      </c>
      <c r="X563">
        <v>87.224999999999994</v>
      </c>
      <c r="Y563">
        <v>0.90500000000000003</v>
      </c>
      <c r="Z563">
        <v>1.052</v>
      </c>
      <c r="AA563">
        <v>0</v>
      </c>
      <c r="AB563">
        <v>0</v>
      </c>
      <c r="AC563">
        <v>1</v>
      </c>
      <c r="AD563">
        <v>39.75</v>
      </c>
      <c r="AE563">
        <v>1</v>
      </c>
      <c r="AF563">
        <v>75</v>
      </c>
      <c r="AG563">
        <v>6</v>
      </c>
      <c r="AH563" t="s">
        <v>84</v>
      </c>
      <c r="AI563">
        <v>0</v>
      </c>
    </row>
    <row r="564" spans="1:35" x14ac:dyDescent="0.45">
      <c r="A564">
        <v>563</v>
      </c>
      <c r="B564" t="s">
        <v>803</v>
      </c>
      <c r="C564" t="s">
        <v>806</v>
      </c>
      <c r="D564" t="s">
        <v>805</v>
      </c>
      <c r="E564">
        <v>2</v>
      </c>
      <c r="F564">
        <v>-5.8159999999999998</v>
      </c>
      <c r="G564">
        <v>-36.75</v>
      </c>
      <c r="H564">
        <v>16316</v>
      </c>
      <c r="I564">
        <v>-1</v>
      </c>
      <c r="J564">
        <v>1</v>
      </c>
      <c r="K564" t="s">
        <v>55</v>
      </c>
      <c r="L564" t="s">
        <v>55</v>
      </c>
      <c r="M564" t="s">
        <v>56</v>
      </c>
      <c r="N564">
        <v>1643544716.78</v>
      </c>
      <c r="O564">
        <v>0.19400000000000001</v>
      </c>
      <c r="P564">
        <v>0.41399999999999998</v>
      </c>
      <c r="Q564">
        <v>53.975999999999999</v>
      </c>
      <c r="R564">
        <v>0</v>
      </c>
      <c r="S564">
        <v>3.0000000000000001E-3</v>
      </c>
      <c r="T564">
        <v>1.298</v>
      </c>
      <c r="U564">
        <v>91.207999999999998</v>
      </c>
      <c r="V564">
        <v>24.347999999999999</v>
      </c>
      <c r="W564">
        <v>2.31</v>
      </c>
      <c r="X564">
        <v>86.516999999999996</v>
      </c>
      <c r="Y564">
        <v>0.89900000000000002</v>
      </c>
      <c r="Z564">
        <v>0.95399999999999996</v>
      </c>
      <c r="AA564">
        <v>0</v>
      </c>
      <c r="AB564">
        <v>0</v>
      </c>
      <c r="AC564">
        <v>1</v>
      </c>
      <c r="AD564">
        <v>39.75</v>
      </c>
      <c r="AE564">
        <v>1</v>
      </c>
      <c r="AF564">
        <v>75</v>
      </c>
      <c r="AG564">
        <v>6</v>
      </c>
      <c r="AH564" t="s">
        <v>84</v>
      </c>
      <c r="AI564">
        <v>0</v>
      </c>
    </row>
    <row r="565" spans="1:35" x14ac:dyDescent="0.45">
      <c r="A565">
        <v>564</v>
      </c>
      <c r="B565" t="s">
        <v>803</v>
      </c>
      <c r="C565" t="s">
        <v>807</v>
      </c>
      <c r="D565" t="s">
        <v>805</v>
      </c>
      <c r="E565">
        <v>3</v>
      </c>
      <c r="F565">
        <v>-5.8319999999999999</v>
      </c>
      <c r="G565">
        <v>-36.704000000000001</v>
      </c>
      <c r="H565">
        <v>16330</v>
      </c>
      <c r="I565">
        <v>-1</v>
      </c>
      <c r="J565">
        <v>1</v>
      </c>
      <c r="K565" t="s">
        <v>55</v>
      </c>
      <c r="L565" t="s">
        <v>55</v>
      </c>
      <c r="M565" t="s">
        <v>56</v>
      </c>
      <c r="N565">
        <v>1643545253.4200001</v>
      </c>
      <c r="O565">
        <v>0.20300000000000001</v>
      </c>
      <c r="P565">
        <v>0.41599999999999998</v>
      </c>
      <c r="Q565">
        <v>52.619</v>
      </c>
      <c r="R565">
        <v>1E-3</v>
      </c>
      <c r="S565">
        <v>1E-3</v>
      </c>
      <c r="T565">
        <v>1.27</v>
      </c>
      <c r="U565">
        <v>90.789000000000001</v>
      </c>
      <c r="V565">
        <v>24.846</v>
      </c>
      <c r="W565">
        <v>2.3679999999999999</v>
      </c>
      <c r="X565">
        <v>87.635999999999996</v>
      </c>
      <c r="Y565">
        <v>0.90600000000000003</v>
      </c>
      <c r="Z565">
        <v>1.288</v>
      </c>
      <c r="AA565">
        <v>0</v>
      </c>
      <c r="AB565">
        <v>0</v>
      </c>
      <c r="AC565">
        <v>1</v>
      </c>
      <c r="AD565">
        <v>39.75</v>
      </c>
      <c r="AE565">
        <v>1</v>
      </c>
      <c r="AF565">
        <v>75</v>
      </c>
      <c r="AG565">
        <v>6</v>
      </c>
      <c r="AH565" t="s">
        <v>84</v>
      </c>
      <c r="AI565">
        <v>0</v>
      </c>
    </row>
    <row r="566" spans="1:35" x14ac:dyDescent="0.45">
      <c r="A566">
        <v>565</v>
      </c>
      <c r="B566" t="s">
        <v>803</v>
      </c>
      <c r="C566" t="s">
        <v>808</v>
      </c>
      <c r="D566" t="s">
        <v>805</v>
      </c>
      <c r="E566">
        <v>4</v>
      </c>
      <c r="F566">
        <v>-5.8570000000000002</v>
      </c>
      <c r="G566">
        <v>-36.725999999999999</v>
      </c>
      <c r="H566">
        <v>16281</v>
      </c>
      <c r="I566">
        <v>0</v>
      </c>
      <c r="J566">
        <v>1</v>
      </c>
      <c r="K566" t="s">
        <v>55</v>
      </c>
      <c r="L566" t="s">
        <v>55</v>
      </c>
      <c r="M566" t="s">
        <v>56</v>
      </c>
      <c r="N566">
        <v>1643545789.3399999</v>
      </c>
      <c r="O566">
        <v>0.2</v>
      </c>
      <c r="P566">
        <v>0.40799999999999997</v>
      </c>
      <c r="Q566">
        <v>54.106000000000002</v>
      </c>
      <c r="R566">
        <v>1E-3</v>
      </c>
      <c r="S566">
        <v>1E-3</v>
      </c>
      <c r="T566">
        <v>1.3</v>
      </c>
      <c r="U566">
        <v>90.825000000000003</v>
      </c>
      <c r="V566">
        <v>24.300999999999998</v>
      </c>
      <c r="W566">
        <v>2.4039999999999999</v>
      </c>
      <c r="X566">
        <v>86.954999999999998</v>
      </c>
      <c r="Y566">
        <v>0.91100000000000003</v>
      </c>
      <c r="Z566">
        <v>1.0580000000000001</v>
      </c>
      <c r="AA566">
        <v>0</v>
      </c>
      <c r="AB566">
        <v>0</v>
      </c>
      <c r="AC566">
        <v>1</v>
      </c>
      <c r="AD566">
        <v>39.688000000000002</v>
      </c>
      <c r="AE566">
        <v>1</v>
      </c>
      <c r="AF566">
        <v>75</v>
      </c>
      <c r="AG566">
        <v>6</v>
      </c>
      <c r="AH566" t="s">
        <v>84</v>
      </c>
      <c r="AI566">
        <v>0</v>
      </c>
    </row>
    <row r="567" spans="1:35" x14ac:dyDescent="0.45">
      <c r="A567">
        <v>566</v>
      </c>
      <c r="B567" t="s">
        <v>803</v>
      </c>
      <c r="C567" t="s">
        <v>809</v>
      </c>
      <c r="D567" t="s">
        <v>805</v>
      </c>
      <c r="E567">
        <v>5</v>
      </c>
      <c r="F567">
        <v>-5.8419999999999996</v>
      </c>
      <c r="G567">
        <v>-36.798000000000002</v>
      </c>
      <c r="H567">
        <v>16348</v>
      </c>
      <c r="I567">
        <v>0</v>
      </c>
      <c r="J567">
        <v>1</v>
      </c>
      <c r="K567" t="s">
        <v>55</v>
      </c>
      <c r="L567" t="s">
        <v>55</v>
      </c>
      <c r="M567" t="s">
        <v>56</v>
      </c>
      <c r="N567">
        <v>1643546325.9400001</v>
      </c>
      <c r="O567">
        <v>0.216</v>
      </c>
      <c r="P567">
        <v>0.42399999999999999</v>
      </c>
      <c r="Q567">
        <v>54.082999999999998</v>
      </c>
      <c r="R567">
        <v>1E-3</v>
      </c>
      <c r="S567">
        <v>2E-3</v>
      </c>
      <c r="T567">
        <v>1.2969999999999999</v>
      </c>
      <c r="U567">
        <v>90.935000000000002</v>
      </c>
      <c r="V567">
        <v>24.478999999999999</v>
      </c>
      <c r="W567">
        <v>2.431</v>
      </c>
      <c r="X567">
        <v>88.96</v>
      </c>
      <c r="Y567">
        <v>0.91700000000000004</v>
      </c>
      <c r="Z567">
        <v>1.4390000000000001</v>
      </c>
      <c r="AA567">
        <v>0</v>
      </c>
      <c r="AB567">
        <v>0</v>
      </c>
      <c r="AC567">
        <v>1</v>
      </c>
      <c r="AD567">
        <v>39.75</v>
      </c>
      <c r="AE567">
        <v>1</v>
      </c>
      <c r="AF567">
        <v>75</v>
      </c>
      <c r="AG567">
        <v>6</v>
      </c>
      <c r="AH567" t="s">
        <v>84</v>
      </c>
      <c r="AI567">
        <v>0</v>
      </c>
    </row>
    <row r="568" spans="1:35" x14ac:dyDescent="0.45">
      <c r="A568">
        <v>567</v>
      </c>
      <c r="B568" t="s">
        <v>803</v>
      </c>
      <c r="C568" t="s">
        <v>810</v>
      </c>
      <c r="D568" t="s">
        <v>805</v>
      </c>
      <c r="E568">
        <v>6</v>
      </c>
      <c r="F568">
        <v>-5.827</v>
      </c>
      <c r="G568">
        <v>-36.770000000000003</v>
      </c>
      <c r="H568">
        <v>16300</v>
      </c>
      <c r="I568">
        <v>0</v>
      </c>
      <c r="J568">
        <v>1</v>
      </c>
      <c r="K568" t="s">
        <v>55</v>
      </c>
      <c r="L568" t="s">
        <v>55</v>
      </c>
      <c r="M568" t="s">
        <v>56</v>
      </c>
      <c r="N568">
        <v>1643546862.1099999</v>
      </c>
      <c r="O568">
        <v>0.20499999999999999</v>
      </c>
      <c r="P568">
        <v>0.44600000000000001</v>
      </c>
      <c r="Q568">
        <v>53.284999999999997</v>
      </c>
      <c r="R568">
        <v>1E-3</v>
      </c>
      <c r="S568">
        <v>2E-3</v>
      </c>
      <c r="T568">
        <v>1.2769999999999999</v>
      </c>
      <c r="U568">
        <v>90.991</v>
      </c>
      <c r="V568">
        <v>24.163</v>
      </c>
      <c r="W568">
        <v>2.3239999999999998</v>
      </c>
      <c r="X568">
        <v>87.650999999999996</v>
      </c>
      <c r="Y568">
        <v>0.91300000000000003</v>
      </c>
      <c r="Z568">
        <v>1.165</v>
      </c>
      <c r="AA568">
        <v>0</v>
      </c>
      <c r="AB568">
        <v>0</v>
      </c>
      <c r="AC568">
        <v>1</v>
      </c>
      <c r="AD568">
        <v>39.688000000000002</v>
      </c>
      <c r="AE568">
        <v>1</v>
      </c>
      <c r="AF568">
        <v>75</v>
      </c>
      <c r="AG568">
        <v>6</v>
      </c>
      <c r="AH568" t="s">
        <v>84</v>
      </c>
      <c r="AI568">
        <v>0</v>
      </c>
    </row>
    <row r="569" spans="1:35" x14ac:dyDescent="0.45">
      <c r="A569">
        <v>568</v>
      </c>
      <c r="B569" t="s">
        <v>811</v>
      </c>
      <c r="C569" t="s">
        <v>812</v>
      </c>
      <c r="D569" t="s">
        <v>813</v>
      </c>
      <c r="E569">
        <v>1</v>
      </c>
      <c r="F569">
        <v>-5.5369999999999999</v>
      </c>
      <c r="G569">
        <v>-35.372999999999998</v>
      </c>
      <c r="H569">
        <v>16283</v>
      </c>
      <c r="I569">
        <v>-1</v>
      </c>
      <c r="J569">
        <v>1</v>
      </c>
      <c r="K569" t="s">
        <v>55</v>
      </c>
      <c r="L569" t="s">
        <v>55</v>
      </c>
      <c r="M569" t="s">
        <v>56</v>
      </c>
      <c r="N569">
        <v>1643547400.6500001</v>
      </c>
      <c r="O569">
        <v>0.21299999999999999</v>
      </c>
      <c r="P569">
        <v>0.39900000000000002</v>
      </c>
      <c r="Q569">
        <v>54.134</v>
      </c>
      <c r="R569">
        <v>1E-3</v>
      </c>
      <c r="S569">
        <v>2E-3</v>
      </c>
      <c r="T569">
        <v>1.302</v>
      </c>
      <c r="U569">
        <v>90.975999999999999</v>
      </c>
      <c r="V569">
        <v>24.286000000000001</v>
      </c>
      <c r="W569">
        <v>2.302</v>
      </c>
      <c r="X569">
        <v>86.522000000000006</v>
      </c>
      <c r="Y569">
        <v>0.92100000000000004</v>
      </c>
      <c r="Z569">
        <v>0.92700000000000005</v>
      </c>
      <c r="AA569">
        <v>0</v>
      </c>
      <c r="AB569">
        <v>0</v>
      </c>
      <c r="AC569">
        <v>1</v>
      </c>
      <c r="AD569">
        <v>39.75</v>
      </c>
      <c r="AE569">
        <v>1</v>
      </c>
      <c r="AF569">
        <v>76</v>
      </c>
      <c r="AG569">
        <v>6</v>
      </c>
      <c r="AH569" t="s">
        <v>84</v>
      </c>
      <c r="AI569">
        <v>0</v>
      </c>
    </row>
    <row r="570" spans="1:35" x14ac:dyDescent="0.45">
      <c r="A570">
        <v>569</v>
      </c>
      <c r="B570" t="s">
        <v>811</v>
      </c>
      <c r="C570" t="s">
        <v>814</v>
      </c>
      <c r="D570" t="s">
        <v>813</v>
      </c>
      <c r="E570">
        <v>2</v>
      </c>
      <c r="F570">
        <v>-5.5179999999999998</v>
      </c>
      <c r="G570">
        <v>-35.247</v>
      </c>
      <c r="H570">
        <v>16321</v>
      </c>
      <c r="I570">
        <v>-1</v>
      </c>
      <c r="J570">
        <v>1</v>
      </c>
      <c r="K570" t="s">
        <v>55</v>
      </c>
      <c r="L570" t="s">
        <v>55</v>
      </c>
      <c r="M570" t="s">
        <v>56</v>
      </c>
      <c r="N570">
        <v>1643547936.71</v>
      </c>
      <c r="O570">
        <v>0.21299999999999999</v>
      </c>
      <c r="P570">
        <v>0.437</v>
      </c>
      <c r="Q570">
        <v>53.628999999999998</v>
      </c>
      <c r="R570">
        <v>0</v>
      </c>
      <c r="S570">
        <v>1E-3</v>
      </c>
      <c r="T570">
        <v>1.2829999999999999</v>
      </c>
      <c r="U570">
        <v>91.183999999999997</v>
      </c>
      <c r="V570">
        <v>24.483000000000001</v>
      </c>
      <c r="W570">
        <v>2.3039999999999998</v>
      </c>
      <c r="X570">
        <v>86.338999999999999</v>
      </c>
      <c r="Y570">
        <v>0.91400000000000003</v>
      </c>
      <c r="Z570">
        <v>0.89800000000000002</v>
      </c>
      <c r="AA570">
        <v>0</v>
      </c>
      <c r="AB570">
        <v>0</v>
      </c>
      <c r="AC570">
        <v>1</v>
      </c>
      <c r="AD570">
        <v>39.75</v>
      </c>
      <c r="AE570">
        <v>1</v>
      </c>
      <c r="AF570">
        <v>76</v>
      </c>
      <c r="AG570">
        <v>6</v>
      </c>
      <c r="AH570" t="s">
        <v>84</v>
      </c>
      <c r="AI570">
        <v>0</v>
      </c>
    </row>
    <row r="571" spans="1:35" x14ac:dyDescent="0.45">
      <c r="A571">
        <v>570</v>
      </c>
      <c r="B571" t="s">
        <v>811</v>
      </c>
      <c r="C571" t="s">
        <v>815</v>
      </c>
      <c r="D571" t="s">
        <v>813</v>
      </c>
      <c r="E571">
        <v>3</v>
      </c>
      <c r="F571">
        <v>-5.4950000000000001</v>
      </c>
      <c r="G571">
        <v>-35.293999999999997</v>
      </c>
      <c r="H571">
        <v>16305</v>
      </c>
      <c r="I571">
        <v>-1</v>
      </c>
      <c r="J571">
        <v>1</v>
      </c>
      <c r="K571" t="s">
        <v>55</v>
      </c>
      <c r="L571" t="s">
        <v>55</v>
      </c>
      <c r="M571" t="s">
        <v>56</v>
      </c>
      <c r="N571">
        <v>1643548474.3099999</v>
      </c>
      <c r="O571">
        <v>0.19700000000000001</v>
      </c>
      <c r="P571">
        <v>0.36599999999999999</v>
      </c>
      <c r="Q571">
        <v>53.453000000000003</v>
      </c>
      <c r="R571">
        <v>1E-3</v>
      </c>
      <c r="S571">
        <v>2E-3</v>
      </c>
      <c r="T571">
        <v>1.288</v>
      </c>
      <c r="U571">
        <v>90.828999999999994</v>
      </c>
      <c r="V571">
        <v>24.608000000000001</v>
      </c>
      <c r="W571">
        <v>2.3620000000000001</v>
      </c>
      <c r="X571">
        <v>87.414000000000001</v>
      </c>
      <c r="Y571">
        <v>0.9</v>
      </c>
      <c r="Z571">
        <v>1.1379999999999999</v>
      </c>
      <c r="AA571">
        <v>0</v>
      </c>
      <c r="AB571">
        <v>0</v>
      </c>
      <c r="AC571">
        <v>1</v>
      </c>
      <c r="AD571">
        <v>39.75</v>
      </c>
      <c r="AE571">
        <v>1</v>
      </c>
      <c r="AF571">
        <v>76</v>
      </c>
      <c r="AG571">
        <v>6</v>
      </c>
      <c r="AH571" t="s">
        <v>84</v>
      </c>
      <c r="AI571">
        <v>0</v>
      </c>
    </row>
    <row r="572" spans="1:35" x14ac:dyDescent="0.45">
      <c r="A572">
        <v>571</v>
      </c>
      <c r="B572" t="s">
        <v>811</v>
      </c>
      <c r="C572" t="s">
        <v>816</v>
      </c>
      <c r="D572" t="s">
        <v>813</v>
      </c>
      <c r="E572">
        <v>4</v>
      </c>
      <c r="F572">
        <v>-5.5250000000000004</v>
      </c>
      <c r="G572">
        <v>-35.253</v>
      </c>
      <c r="H572">
        <v>16349</v>
      </c>
      <c r="I572">
        <v>0</v>
      </c>
      <c r="J572">
        <v>1</v>
      </c>
      <c r="K572" t="s">
        <v>55</v>
      </c>
      <c r="L572" t="s">
        <v>55</v>
      </c>
      <c r="M572" t="s">
        <v>56</v>
      </c>
      <c r="N572">
        <v>1643549011.1600001</v>
      </c>
      <c r="O572">
        <v>0.21299999999999999</v>
      </c>
      <c r="P572">
        <v>0.40699999999999997</v>
      </c>
      <c r="Q572">
        <v>54.173999999999999</v>
      </c>
      <c r="R572">
        <v>1E-3</v>
      </c>
      <c r="S572">
        <v>2E-3</v>
      </c>
      <c r="T572">
        <v>1.292</v>
      </c>
      <c r="U572">
        <v>91.238</v>
      </c>
      <c r="V572">
        <v>24.434999999999999</v>
      </c>
      <c r="W572">
        <v>2.3719999999999999</v>
      </c>
      <c r="X572">
        <v>87.524000000000001</v>
      </c>
      <c r="Y572">
        <v>0.90500000000000003</v>
      </c>
      <c r="Z572">
        <v>1.139</v>
      </c>
      <c r="AA572">
        <v>0</v>
      </c>
      <c r="AB572">
        <v>0</v>
      </c>
      <c r="AC572">
        <v>1</v>
      </c>
      <c r="AD572">
        <v>39.75</v>
      </c>
      <c r="AE572">
        <v>1</v>
      </c>
      <c r="AF572">
        <v>76</v>
      </c>
      <c r="AG572">
        <v>6</v>
      </c>
      <c r="AH572" t="s">
        <v>84</v>
      </c>
      <c r="AI572">
        <v>0</v>
      </c>
    </row>
    <row r="573" spans="1:35" x14ac:dyDescent="0.45">
      <c r="A573">
        <v>572</v>
      </c>
      <c r="B573" t="s">
        <v>811</v>
      </c>
      <c r="C573" t="s">
        <v>817</v>
      </c>
      <c r="D573" t="s">
        <v>813</v>
      </c>
      <c r="E573">
        <v>5</v>
      </c>
      <c r="F573">
        <v>-5.5060000000000002</v>
      </c>
      <c r="G573">
        <v>-35.256999999999998</v>
      </c>
      <c r="H573">
        <v>16281</v>
      </c>
      <c r="I573">
        <v>0</v>
      </c>
      <c r="J573">
        <v>1</v>
      </c>
      <c r="K573" t="s">
        <v>55</v>
      </c>
      <c r="L573" t="s">
        <v>55</v>
      </c>
      <c r="M573" t="s">
        <v>56</v>
      </c>
      <c r="N573">
        <v>1643549548.46</v>
      </c>
      <c r="O573">
        <v>0.19600000000000001</v>
      </c>
      <c r="P573">
        <v>0.41699999999999998</v>
      </c>
      <c r="Q573">
        <v>53.374000000000002</v>
      </c>
      <c r="R573">
        <v>1E-3</v>
      </c>
      <c r="S573">
        <v>2E-3</v>
      </c>
      <c r="T573">
        <v>1.2869999999999999</v>
      </c>
      <c r="U573">
        <v>90.72</v>
      </c>
      <c r="V573">
        <v>24.114000000000001</v>
      </c>
      <c r="W573">
        <v>2.4089999999999998</v>
      </c>
      <c r="X573">
        <v>88.507999999999996</v>
      </c>
      <c r="Y573">
        <v>0.89800000000000002</v>
      </c>
      <c r="Z573">
        <v>1.3260000000000001</v>
      </c>
      <c r="AA573">
        <v>0</v>
      </c>
      <c r="AB573">
        <v>0</v>
      </c>
      <c r="AC573">
        <v>1</v>
      </c>
      <c r="AD573">
        <v>39.75</v>
      </c>
      <c r="AE573">
        <v>1</v>
      </c>
      <c r="AF573">
        <v>76</v>
      </c>
      <c r="AG573">
        <v>6</v>
      </c>
      <c r="AH573" t="s">
        <v>84</v>
      </c>
      <c r="AI573">
        <v>0</v>
      </c>
    </row>
    <row r="574" spans="1:35" x14ac:dyDescent="0.45">
      <c r="A574">
        <v>573</v>
      </c>
      <c r="B574" t="s">
        <v>811</v>
      </c>
      <c r="C574" t="s">
        <v>818</v>
      </c>
      <c r="D574" t="s">
        <v>813</v>
      </c>
      <c r="E574">
        <v>6</v>
      </c>
      <c r="F574">
        <v>-5.532</v>
      </c>
      <c r="G574">
        <v>-35.213000000000001</v>
      </c>
      <c r="H574">
        <v>16342</v>
      </c>
      <c r="I574">
        <v>0</v>
      </c>
      <c r="J574">
        <v>1</v>
      </c>
      <c r="K574" t="s">
        <v>55</v>
      </c>
      <c r="L574" t="s">
        <v>55</v>
      </c>
      <c r="M574" t="s">
        <v>56</v>
      </c>
      <c r="N574">
        <v>1643550085.5599999</v>
      </c>
      <c r="O574">
        <v>0.184</v>
      </c>
      <c r="P574">
        <v>0.45100000000000001</v>
      </c>
      <c r="Q574">
        <v>53.412999999999997</v>
      </c>
      <c r="R574">
        <v>1E-3</v>
      </c>
      <c r="S574">
        <v>2E-3</v>
      </c>
      <c r="T574">
        <v>1.28</v>
      </c>
      <c r="U574">
        <v>91.150999999999996</v>
      </c>
      <c r="V574">
        <v>24.404</v>
      </c>
      <c r="W574">
        <v>2.3839999999999999</v>
      </c>
      <c r="X574">
        <v>87.628</v>
      </c>
      <c r="Y574">
        <v>0.92100000000000004</v>
      </c>
      <c r="Z574">
        <v>1.1559999999999999</v>
      </c>
      <c r="AA574">
        <v>0</v>
      </c>
      <c r="AB574">
        <v>0</v>
      </c>
      <c r="AC574">
        <v>1</v>
      </c>
      <c r="AD574">
        <v>39.75</v>
      </c>
      <c r="AE574">
        <v>1</v>
      </c>
      <c r="AF574">
        <v>76</v>
      </c>
      <c r="AG574">
        <v>6</v>
      </c>
      <c r="AH574" t="s">
        <v>84</v>
      </c>
      <c r="AI574">
        <v>0</v>
      </c>
    </row>
    <row r="575" spans="1:35" x14ac:dyDescent="0.45">
      <c r="A575">
        <v>574</v>
      </c>
      <c r="B575" t="s">
        <v>819</v>
      </c>
      <c r="C575" t="s">
        <v>820</v>
      </c>
      <c r="D575" t="s">
        <v>821</v>
      </c>
      <c r="E575">
        <v>1</v>
      </c>
      <c r="F575">
        <v>-5.4930000000000003</v>
      </c>
      <c r="G575">
        <v>-29.998000000000001</v>
      </c>
      <c r="H575">
        <v>16322</v>
      </c>
      <c r="I575">
        <v>-1</v>
      </c>
      <c r="J575">
        <v>1</v>
      </c>
      <c r="K575" t="s">
        <v>55</v>
      </c>
      <c r="L575" t="s">
        <v>55</v>
      </c>
      <c r="M575" t="s">
        <v>56</v>
      </c>
      <c r="N575">
        <v>1643550621.1199999</v>
      </c>
      <c r="O575">
        <v>0.20599999999999999</v>
      </c>
      <c r="P575">
        <v>0.38400000000000001</v>
      </c>
      <c r="Q575">
        <v>53.179000000000002</v>
      </c>
      <c r="R575">
        <v>1E-3</v>
      </c>
      <c r="S575">
        <v>1E-3</v>
      </c>
      <c r="T575">
        <v>1.2849999999999999</v>
      </c>
      <c r="U575">
        <v>90.936000000000007</v>
      </c>
      <c r="V575">
        <v>24.594999999999999</v>
      </c>
      <c r="W575">
        <v>2.3769999999999998</v>
      </c>
      <c r="X575">
        <v>87.438000000000002</v>
      </c>
      <c r="Y575">
        <v>0.90700000000000003</v>
      </c>
      <c r="Z575">
        <v>1.21</v>
      </c>
      <c r="AA575">
        <v>0</v>
      </c>
      <c r="AB575">
        <v>0</v>
      </c>
      <c r="AC575">
        <v>1</v>
      </c>
      <c r="AD575">
        <v>39.75</v>
      </c>
      <c r="AE575">
        <v>1</v>
      </c>
      <c r="AF575">
        <v>77</v>
      </c>
      <c r="AG575">
        <v>6</v>
      </c>
      <c r="AH575" t="s">
        <v>84</v>
      </c>
      <c r="AI575">
        <v>0</v>
      </c>
    </row>
    <row r="576" spans="1:35" x14ac:dyDescent="0.45">
      <c r="A576">
        <v>575</v>
      </c>
      <c r="B576" t="s">
        <v>819</v>
      </c>
      <c r="C576" t="s">
        <v>822</v>
      </c>
      <c r="D576" t="s">
        <v>821</v>
      </c>
      <c r="E576">
        <v>2</v>
      </c>
      <c r="F576">
        <v>-5.4509999999999996</v>
      </c>
      <c r="G576">
        <v>-29.533000000000001</v>
      </c>
      <c r="H576">
        <v>16337</v>
      </c>
      <c r="I576">
        <v>-1</v>
      </c>
      <c r="J576">
        <v>1</v>
      </c>
      <c r="K576" t="s">
        <v>55</v>
      </c>
      <c r="L576" t="s">
        <v>55</v>
      </c>
      <c r="M576" t="s">
        <v>56</v>
      </c>
      <c r="N576">
        <v>1643551159.47</v>
      </c>
      <c r="O576">
        <v>0.23400000000000001</v>
      </c>
      <c r="P576">
        <v>0.45600000000000002</v>
      </c>
      <c r="Q576">
        <v>53.884</v>
      </c>
      <c r="R576">
        <v>1E-3</v>
      </c>
      <c r="S576">
        <v>1E-3</v>
      </c>
      <c r="T576">
        <v>1.298</v>
      </c>
      <c r="U576">
        <v>91.07</v>
      </c>
      <c r="V576">
        <v>24.747</v>
      </c>
      <c r="W576">
        <v>2.3290000000000002</v>
      </c>
      <c r="X576">
        <v>87.046000000000006</v>
      </c>
      <c r="Y576">
        <v>0.90900000000000003</v>
      </c>
      <c r="Z576">
        <v>1.0549999999999999</v>
      </c>
      <c r="AA576">
        <v>0</v>
      </c>
      <c r="AB576">
        <v>0</v>
      </c>
      <c r="AC576">
        <v>1</v>
      </c>
      <c r="AD576">
        <v>39.75</v>
      </c>
      <c r="AE576">
        <v>1</v>
      </c>
      <c r="AF576">
        <v>77</v>
      </c>
      <c r="AG576">
        <v>6</v>
      </c>
      <c r="AH576" t="s">
        <v>84</v>
      </c>
      <c r="AI576">
        <v>0</v>
      </c>
    </row>
    <row r="577" spans="1:35" x14ac:dyDescent="0.45">
      <c r="A577">
        <v>576</v>
      </c>
      <c r="B577" t="s">
        <v>819</v>
      </c>
      <c r="C577" t="s">
        <v>823</v>
      </c>
      <c r="D577" t="s">
        <v>821</v>
      </c>
      <c r="E577">
        <v>3</v>
      </c>
      <c r="F577">
        <v>-5.5060000000000002</v>
      </c>
      <c r="G577">
        <v>-29.460999999999999</v>
      </c>
      <c r="H577">
        <v>16284</v>
      </c>
      <c r="I577">
        <v>-1</v>
      </c>
      <c r="J577">
        <v>1</v>
      </c>
      <c r="K577" t="s">
        <v>55</v>
      </c>
      <c r="L577" t="s">
        <v>55</v>
      </c>
      <c r="M577" t="s">
        <v>56</v>
      </c>
      <c r="N577">
        <v>1643551694.1600001</v>
      </c>
      <c r="O577">
        <v>0.20399999999999999</v>
      </c>
      <c r="P577">
        <v>0.435</v>
      </c>
      <c r="Q577">
        <v>53.036000000000001</v>
      </c>
      <c r="R577">
        <v>1E-3</v>
      </c>
      <c r="S577">
        <v>2E-3</v>
      </c>
      <c r="T577">
        <v>1.28</v>
      </c>
      <c r="U577">
        <v>90.866</v>
      </c>
      <c r="V577">
        <v>24.780999999999999</v>
      </c>
      <c r="W577">
        <v>2.2959999999999998</v>
      </c>
      <c r="X577">
        <v>85.825999999999993</v>
      </c>
      <c r="Y577">
        <v>0.90400000000000003</v>
      </c>
      <c r="Z577">
        <v>0.91900000000000004</v>
      </c>
      <c r="AA577">
        <v>0</v>
      </c>
      <c r="AB577">
        <v>0</v>
      </c>
      <c r="AC577">
        <v>1</v>
      </c>
      <c r="AD577">
        <v>39.75</v>
      </c>
      <c r="AE577">
        <v>1</v>
      </c>
      <c r="AF577">
        <v>77</v>
      </c>
      <c r="AG577">
        <v>6</v>
      </c>
      <c r="AH577" t="s">
        <v>84</v>
      </c>
      <c r="AI577">
        <v>0</v>
      </c>
    </row>
    <row r="578" spans="1:35" x14ac:dyDescent="0.45">
      <c r="A578">
        <v>577</v>
      </c>
      <c r="B578" t="s">
        <v>819</v>
      </c>
      <c r="C578" t="s">
        <v>824</v>
      </c>
      <c r="D578" t="s">
        <v>821</v>
      </c>
      <c r="E578">
        <v>4</v>
      </c>
      <c r="F578">
        <v>-5.47</v>
      </c>
      <c r="G578">
        <v>-29.425000000000001</v>
      </c>
      <c r="H578">
        <v>16355</v>
      </c>
      <c r="I578">
        <v>0</v>
      </c>
      <c r="J578">
        <v>1</v>
      </c>
      <c r="K578" t="s">
        <v>55</v>
      </c>
      <c r="L578" t="s">
        <v>55</v>
      </c>
      <c r="M578" t="s">
        <v>56</v>
      </c>
      <c r="N578">
        <v>1643552232.6400001</v>
      </c>
      <c r="O578">
        <v>0.20899999999999999</v>
      </c>
      <c r="P578">
        <v>0.40300000000000002</v>
      </c>
      <c r="Q578">
        <v>54.414999999999999</v>
      </c>
      <c r="R578">
        <v>2E-3</v>
      </c>
      <c r="S578">
        <v>2E-3</v>
      </c>
      <c r="T578">
        <v>1.3049999999999999</v>
      </c>
      <c r="U578">
        <v>91.415999999999997</v>
      </c>
      <c r="V578">
        <v>23.972999999999999</v>
      </c>
      <c r="W578">
        <v>2.4</v>
      </c>
      <c r="X578">
        <v>88.171000000000006</v>
      </c>
      <c r="Y578">
        <v>0.92500000000000004</v>
      </c>
      <c r="Z578">
        <v>1.218</v>
      </c>
      <c r="AA578">
        <v>0</v>
      </c>
      <c r="AB578">
        <v>0</v>
      </c>
      <c r="AC578">
        <v>1</v>
      </c>
      <c r="AD578">
        <v>39.75</v>
      </c>
      <c r="AE578">
        <v>1</v>
      </c>
      <c r="AF578">
        <v>77</v>
      </c>
      <c r="AG578">
        <v>6</v>
      </c>
      <c r="AH578" t="s">
        <v>84</v>
      </c>
      <c r="AI578">
        <v>0</v>
      </c>
    </row>
    <row r="579" spans="1:35" x14ac:dyDescent="0.45">
      <c r="A579">
        <v>578</v>
      </c>
      <c r="B579" t="s">
        <v>819</v>
      </c>
      <c r="C579" t="s">
        <v>825</v>
      </c>
      <c r="D579" t="s">
        <v>821</v>
      </c>
      <c r="E579">
        <v>5</v>
      </c>
      <c r="F579">
        <v>-5.4790000000000001</v>
      </c>
      <c r="G579">
        <v>-29.404</v>
      </c>
      <c r="H579">
        <v>16285</v>
      </c>
      <c r="I579">
        <v>0</v>
      </c>
      <c r="J579">
        <v>1</v>
      </c>
      <c r="K579" t="s">
        <v>55</v>
      </c>
      <c r="L579" t="s">
        <v>55</v>
      </c>
      <c r="M579" t="s">
        <v>56</v>
      </c>
      <c r="N579">
        <v>1643552769.04</v>
      </c>
      <c r="O579">
        <v>0.20300000000000001</v>
      </c>
      <c r="P579">
        <v>0.41499999999999998</v>
      </c>
      <c r="Q579">
        <v>53.915999999999997</v>
      </c>
      <c r="R579">
        <v>1E-3</v>
      </c>
      <c r="S579">
        <v>0</v>
      </c>
      <c r="T579">
        <v>1.296</v>
      </c>
      <c r="U579">
        <v>90.816999999999993</v>
      </c>
      <c r="V579">
        <v>23.841000000000001</v>
      </c>
      <c r="W579">
        <v>2.4239999999999999</v>
      </c>
      <c r="X579">
        <v>88.867000000000004</v>
      </c>
      <c r="Y579">
        <v>0.92500000000000004</v>
      </c>
      <c r="Z579">
        <v>1.4039999999999999</v>
      </c>
      <c r="AA579">
        <v>0</v>
      </c>
      <c r="AB579">
        <v>0</v>
      </c>
      <c r="AC579">
        <v>1</v>
      </c>
      <c r="AD579">
        <v>39.688000000000002</v>
      </c>
      <c r="AE579">
        <v>1</v>
      </c>
      <c r="AF579">
        <v>77</v>
      </c>
      <c r="AG579">
        <v>6</v>
      </c>
      <c r="AH579" t="s">
        <v>84</v>
      </c>
      <c r="AI579">
        <v>0</v>
      </c>
    </row>
    <row r="580" spans="1:35" x14ac:dyDescent="0.45">
      <c r="A580">
        <v>579</v>
      </c>
      <c r="B580" t="s">
        <v>819</v>
      </c>
      <c r="C580" t="s">
        <v>826</v>
      </c>
      <c r="D580" t="s">
        <v>821</v>
      </c>
      <c r="E580">
        <v>6</v>
      </c>
      <c r="F580">
        <v>-5.4740000000000002</v>
      </c>
      <c r="G580">
        <v>-29.38</v>
      </c>
      <c r="H580">
        <v>16312</v>
      </c>
      <c r="I580">
        <v>0</v>
      </c>
      <c r="J580">
        <v>1</v>
      </c>
      <c r="K580" t="s">
        <v>55</v>
      </c>
      <c r="L580" t="s">
        <v>55</v>
      </c>
      <c r="M580" t="s">
        <v>56</v>
      </c>
      <c r="N580">
        <v>1643553306.47</v>
      </c>
      <c r="O580">
        <v>0.20799999999999999</v>
      </c>
      <c r="P580">
        <v>0.40600000000000003</v>
      </c>
      <c r="Q580">
        <v>53.548999999999999</v>
      </c>
      <c r="R580">
        <v>1E-3</v>
      </c>
      <c r="S580">
        <v>0</v>
      </c>
      <c r="T580">
        <v>1.2869999999999999</v>
      </c>
      <c r="U580">
        <v>90.957999999999998</v>
      </c>
      <c r="V580">
        <v>24.571999999999999</v>
      </c>
      <c r="W580">
        <v>2.3639999999999999</v>
      </c>
      <c r="X580">
        <v>87.057000000000002</v>
      </c>
      <c r="Y580">
        <v>0.91500000000000004</v>
      </c>
      <c r="Z580">
        <v>1.1539999999999999</v>
      </c>
      <c r="AA580">
        <v>0</v>
      </c>
      <c r="AB580">
        <v>0</v>
      </c>
      <c r="AC580">
        <v>1</v>
      </c>
      <c r="AD580">
        <v>39.688000000000002</v>
      </c>
      <c r="AE580">
        <v>1</v>
      </c>
      <c r="AF580">
        <v>77</v>
      </c>
      <c r="AG580">
        <v>6</v>
      </c>
      <c r="AH580" t="s">
        <v>84</v>
      </c>
      <c r="AI580">
        <v>0</v>
      </c>
    </row>
    <row r="581" spans="1:35" x14ac:dyDescent="0.45">
      <c r="A581">
        <v>580</v>
      </c>
      <c r="B581" t="s">
        <v>827</v>
      </c>
      <c r="C581" t="s">
        <v>828</v>
      </c>
      <c r="D581" t="s">
        <v>829</v>
      </c>
      <c r="E581">
        <v>1</v>
      </c>
      <c r="F581">
        <v>-5.758</v>
      </c>
      <c r="G581">
        <v>-35.65</v>
      </c>
      <c r="H581">
        <v>16322</v>
      </c>
      <c r="I581">
        <v>-1</v>
      </c>
      <c r="J581">
        <v>1</v>
      </c>
      <c r="K581" t="s">
        <v>55</v>
      </c>
      <c r="L581" t="s">
        <v>55</v>
      </c>
      <c r="M581" t="s">
        <v>56</v>
      </c>
      <c r="N581">
        <v>1643553842.51</v>
      </c>
      <c r="O581">
        <v>0.20100000000000001</v>
      </c>
      <c r="P581">
        <v>0.38600000000000001</v>
      </c>
      <c r="Q581">
        <v>53.101999999999997</v>
      </c>
      <c r="R581">
        <v>1E-3</v>
      </c>
      <c r="S581">
        <v>1E-3</v>
      </c>
      <c r="T581">
        <v>1.272</v>
      </c>
      <c r="U581">
        <v>91.05</v>
      </c>
      <c r="V581">
        <v>24.125</v>
      </c>
      <c r="W581">
        <v>2.4089999999999998</v>
      </c>
      <c r="X581">
        <v>88.203999999999994</v>
      </c>
      <c r="Y581">
        <v>0.91200000000000003</v>
      </c>
      <c r="Z581">
        <v>1.2150000000000001</v>
      </c>
      <c r="AA581">
        <v>0</v>
      </c>
      <c r="AB581">
        <v>0</v>
      </c>
      <c r="AC581">
        <v>1</v>
      </c>
      <c r="AD581">
        <v>39.688000000000002</v>
      </c>
      <c r="AE581">
        <v>1</v>
      </c>
      <c r="AF581">
        <v>78</v>
      </c>
      <c r="AG581">
        <v>6</v>
      </c>
      <c r="AH581" t="s">
        <v>84</v>
      </c>
      <c r="AI581">
        <v>0</v>
      </c>
    </row>
    <row r="582" spans="1:35" x14ac:dyDescent="0.45">
      <c r="A582">
        <v>581</v>
      </c>
      <c r="B582" t="s">
        <v>827</v>
      </c>
      <c r="C582" t="s">
        <v>830</v>
      </c>
      <c r="D582" t="s">
        <v>829</v>
      </c>
      <c r="E582">
        <v>2</v>
      </c>
      <c r="F582">
        <v>-5.7789999999999999</v>
      </c>
      <c r="G582">
        <v>-36.246000000000002</v>
      </c>
      <c r="H582">
        <v>16317</v>
      </c>
      <c r="I582">
        <v>-1</v>
      </c>
      <c r="J582">
        <v>1</v>
      </c>
      <c r="K582" t="s">
        <v>55</v>
      </c>
      <c r="L582" t="s">
        <v>55</v>
      </c>
      <c r="M582" t="s">
        <v>56</v>
      </c>
      <c r="N582">
        <v>1643554379.9300001</v>
      </c>
      <c r="O582">
        <v>0.19500000000000001</v>
      </c>
      <c r="P582">
        <v>0.41599999999999998</v>
      </c>
      <c r="Q582">
        <v>53.499000000000002</v>
      </c>
      <c r="R582">
        <v>1E-3</v>
      </c>
      <c r="S582">
        <v>2E-3</v>
      </c>
      <c r="T582">
        <v>1.2849999999999999</v>
      </c>
      <c r="U582">
        <v>90.947999999999993</v>
      </c>
      <c r="V582">
        <v>24.32</v>
      </c>
      <c r="W582">
        <v>2.367</v>
      </c>
      <c r="X582">
        <v>88.201999999999998</v>
      </c>
      <c r="Y582">
        <v>0.91800000000000004</v>
      </c>
      <c r="Z582">
        <v>1.2150000000000001</v>
      </c>
      <c r="AA582">
        <v>0</v>
      </c>
      <c r="AB582">
        <v>0</v>
      </c>
      <c r="AC582">
        <v>1</v>
      </c>
      <c r="AD582">
        <v>39.688000000000002</v>
      </c>
      <c r="AE582">
        <v>1</v>
      </c>
      <c r="AF582">
        <v>78</v>
      </c>
      <c r="AG582">
        <v>6</v>
      </c>
      <c r="AH582" t="s">
        <v>84</v>
      </c>
      <c r="AI582">
        <v>0</v>
      </c>
    </row>
    <row r="583" spans="1:35" x14ac:dyDescent="0.45">
      <c r="A583">
        <v>582</v>
      </c>
      <c r="B583" t="s">
        <v>827</v>
      </c>
      <c r="C583" t="s">
        <v>831</v>
      </c>
      <c r="D583" t="s">
        <v>829</v>
      </c>
      <c r="E583">
        <v>3</v>
      </c>
      <c r="F583">
        <v>-5.8079999999999998</v>
      </c>
      <c r="G583">
        <v>-36.343000000000004</v>
      </c>
      <c r="H583">
        <v>16251</v>
      </c>
      <c r="I583">
        <v>-1</v>
      </c>
      <c r="J583">
        <v>1</v>
      </c>
      <c r="K583" t="s">
        <v>55</v>
      </c>
      <c r="L583" t="s">
        <v>55</v>
      </c>
      <c r="M583" t="s">
        <v>56</v>
      </c>
      <c r="N583">
        <v>1643554916.1900001</v>
      </c>
      <c r="O583">
        <v>0.19600000000000001</v>
      </c>
      <c r="P583">
        <v>0.372</v>
      </c>
      <c r="Q583">
        <v>53.759</v>
      </c>
      <c r="R583">
        <v>0</v>
      </c>
      <c r="S583">
        <v>0</v>
      </c>
      <c r="T583">
        <v>1.292</v>
      </c>
      <c r="U583">
        <v>90.525999999999996</v>
      </c>
      <c r="V583">
        <v>24.138999999999999</v>
      </c>
      <c r="W583">
        <v>2.3940000000000001</v>
      </c>
      <c r="X583">
        <v>88.236999999999995</v>
      </c>
      <c r="Y583">
        <v>0.93</v>
      </c>
      <c r="Z583">
        <v>1.282</v>
      </c>
      <c r="AA583">
        <v>0</v>
      </c>
      <c r="AB583">
        <v>0</v>
      </c>
      <c r="AC583">
        <v>1</v>
      </c>
      <c r="AD583">
        <v>39.688000000000002</v>
      </c>
      <c r="AE583">
        <v>1</v>
      </c>
      <c r="AF583">
        <v>78</v>
      </c>
      <c r="AG583">
        <v>6</v>
      </c>
      <c r="AH583" t="s">
        <v>84</v>
      </c>
      <c r="AI583">
        <v>0</v>
      </c>
    </row>
    <row r="584" spans="1:35" x14ac:dyDescent="0.45">
      <c r="A584">
        <v>583</v>
      </c>
      <c r="B584" t="s">
        <v>827</v>
      </c>
      <c r="C584" t="s">
        <v>832</v>
      </c>
      <c r="D584" t="s">
        <v>829</v>
      </c>
      <c r="E584">
        <v>4</v>
      </c>
      <c r="F584">
        <v>-5.7969999999999997</v>
      </c>
      <c r="G584">
        <v>-36.445</v>
      </c>
      <c r="H584">
        <v>16269</v>
      </c>
      <c r="I584">
        <v>0</v>
      </c>
      <c r="J584">
        <v>1</v>
      </c>
      <c r="K584" t="s">
        <v>55</v>
      </c>
      <c r="L584" t="s">
        <v>55</v>
      </c>
      <c r="M584" t="s">
        <v>56</v>
      </c>
      <c r="N584">
        <v>1643555452.4100001</v>
      </c>
      <c r="O584">
        <v>0.19</v>
      </c>
      <c r="P584">
        <v>0.44400000000000001</v>
      </c>
      <c r="Q584">
        <v>53.305999999999997</v>
      </c>
      <c r="R584">
        <v>0</v>
      </c>
      <c r="S584">
        <v>0</v>
      </c>
      <c r="T584">
        <v>1.288</v>
      </c>
      <c r="U584">
        <v>90.519000000000005</v>
      </c>
      <c r="V584">
        <v>24.613</v>
      </c>
      <c r="W584">
        <v>2.3439999999999999</v>
      </c>
      <c r="X584">
        <v>87.641000000000005</v>
      </c>
      <c r="Y584">
        <v>0.91900000000000004</v>
      </c>
      <c r="Z584">
        <v>1.266</v>
      </c>
      <c r="AA584">
        <v>0</v>
      </c>
      <c r="AB584">
        <v>0</v>
      </c>
      <c r="AC584">
        <v>1</v>
      </c>
      <c r="AD584">
        <v>39.688000000000002</v>
      </c>
      <c r="AE584">
        <v>1</v>
      </c>
      <c r="AF584">
        <v>78</v>
      </c>
      <c r="AG584">
        <v>6</v>
      </c>
      <c r="AH584" t="s">
        <v>84</v>
      </c>
      <c r="AI584">
        <v>0</v>
      </c>
    </row>
    <row r="585" spans="1:35" x14ac:dyDescent="0.45">
      <c r="A585">
        <v>584</v>
      </c>
      <c r="B585" t="s">
        <v>827</v>
      </c>
      <c r="C585" t="s">
        <v>833</v>
      </c>
      <c r="D585" t="s">
        <v>829</v>
      </c>
      <c r="E585">
        <v>5</v>
      </c>
      <c r="F585">
        <v>-5.8209999999999997</v>
      </c>
      <c r="G585">
        <v>-36.436999999999998</v>
      </c>
      <c r="H585">
        <v>16338</v>
      </c>
      <c r="I585">
        <v>0</v>
      </c>
      <c r="J585">
        <v>1</v>
      </c>
      <c r="K585" t="s">
        <v>55</v>
      </c>
      <c r="L585" t="s">
        <v>55</v>
      </c>
      <c r="M585" t="s">
        <v>56</v>
      </c>
      <c r="N585">
        <v>1643555989.79</v>
      </c>
      <c r="O585">
        <v>0.19800000000000001</v>
      </c>
      <c r="P585">
        <v>0.39900000000000002</v>
      </c>
      <c r="Q585">
        <v>54.377000000000002</v>
      </c>
      <c r="R585">
        <v>1E-3</v>
      </c>
      <c r="S585">
        <v>1E-3</v>
      </c>
      <c r="T585">
        <v>1.3069999999999999</v>
      </c>
      <c r="U585">
        <v>91.027000000000001</v>
      </c>
      <c r="V585">
        <v>24.454000000000001</v>
      </c>
      <c r="W585">
        <v>2.39</v>
      </c>
      <c r="X585">
        <v>88.13</v>
      </c>
      <c r="Y585">
        <v>0.92300000000000004</v>
      </c>
      <c r="Z585">
        <v>1.224</v>
      </c>
      <c r="AA585">
        <v>0</v>
      </c>
      <c r="AB585">
        <v>0</v>
      </c>
      <c r="AC585">
        <v>1</v>
      </c>
      <c r="AD585">
        <v>39.688000000000002</v>
      </c>
      <c r="AE585">
        <v>1</v>
      </c>
      <c r="AF585">
        <v>78</v>
      </c>
      <c r="AG585">
        <v>6</v>
      </c>
      <c r="AH585" t="s">
        <v>84</v>
      </c>
      <c r="AI585">
        <v>0</v>
      </c>
    </row>
    <row r="586" spans="1:35" x14ac:dyDescent="0.45">
      <c r="A586">
        <v>585</v>
      </c>
      <c r="B586" t="s">
        <v>827</v>
      </c>
      <c r="C586" t="s">
        <v>834</v>
      </c>
      <c r="D586" t="s">
        <v>829</v>
      </c>
      <c r="E586">
        <v>6</v>
      </c>
      <c r="F586">
        <v>-5.8179999999999996</v>
      </c>
      <c r="G586">
        <v>-36.454999999999998</v>
      </c>
      <c r="H586">
        <v>16310</v>
      </c>
      <c r="I586">
        <v>0</v>
      </c>
      <c r="J586">
        <v>1</v>
      </c>
      <c r="K586" t="s">
        <v>55</v>
      </c>
      <c r="L586" t="s">
        <v>55</v>
      </c>
      <c r="M586" t="s">
        <v>56</v>
      </c>
      <c r="N586">
        <v>1643556525.3699999</v>
      </c>
      <c r="O586">
        <v>0.183</v>
      </c>
      <c r="P586">
        <v>0.41899999999999998</v>
      </c>
      <c r="Q586">
        <v>52.771000000000001</v>
      </c>
      <c r="R586">
        <v>0</v>
      </c>
      <c r="S586">
        <v>2E-3</v>
      </c>
      <c r="T586">
        <v>1.2829999999999999</v>
      </c>
      <c r="U586">
        <v>90.997</v>
      </c>
      <c r="V586">
        <v>24.38</v>
      </c>
      <c r="W586">
        <v>2.3479999999999999</v>
      </c>
      <c r="X586">
        <v>87.311000000000007</v>
      </c>
      <c r="Y586">
        <v>0.92600000000000005</v>
      </c>
      <c r="Z586">
        <v>1.119</v>
      </c>
      <c r="AA586">
        <v>0</v>
      </c>
      <c r="AB586">
        <v>0</v>
      </c>
      <c r="AC586">
        <v>1</v>
      </c>
      <c r="AD586">
        <v>39.688000000000002</v>
      </c>
      <c r="AE586">
        <v>1</v>
      </c>
      <c r="AF586">
        <v>78</v>
      </c>
      <c r="AG586">
        <v>6</v>
      </c>
      <c r="AH586" t="s">
        <v>84</v>
      </c>
      <c r="AI586">
        <v>0</v>
      </c>
    </row>
    <row r="587" spans="1:35" x14ac:dyDescent="0.45">
      <c r="A587">
        <v>586</v>
      </c>
      <c r="B587" t="s">
        <v>835</v>
      </c>
      <c r="C587" t="s">
        <v>836</v>
      </c>
      <c r="D587" t="s">
        <v>837</v>
      </c>
      <c r="E587">
        <v>1</v>
      </c>
      <c r="F587">
        <v>-5.9160000000000004</v>
      </c>
      <c r="G587">
        <v>-37.093000000000004</v>
      </c>
      <c r="H587">
        <v>16241</v>
      </c>
      <c r="I587">
        <v>-1</v>
      </c>
      <c r="J587">
        <v>1</v>
      </c>
      <c r="K587" t="s">
        <v>55</v>
      </c>
      <c r="L587" t="s">
        <v>55</v>
      </c>
      <c r="M587" t="s">
        <v>56</v>
      </c>
      <c r="N587">
        <v>1643557063.05</v>
      </c>
      <c r="O587">
        <v>0.182</v>
      </c>
      <c r="P587">
        <v>0.40100000000000002</v>
      </c>
      <c r="Q587">
        <v>54.228000000000002</v>
      </c>
      <c r="R587">
        <v>0</v>
      </c>
      <c r="S587">
        <v>2E-3</v>
      </c>
      <c r="T587">
        <v>1.3029999999999999</v>
      </c>
      <c r="U587">
        <v>90.451999999999998</v>
      </c>
      <c r="V587">
        <v>24.4</v>
      </c>
      <c r="W587">
        <v>2.3530000000000002</v>
      </c>
      <c r="X587">
        <v>87.238</v>
      </c>
      <c r="Y587">
        <v>0.93400000000000005</v>
      </c>
      <c r="Z587">
        <v>1.2210000000000001</v>
      </c>
      <c r="AA587">
        <v>0</v>
      </c>
      <c r="AB587">
        <v>0</v>
      </c>
      <c r="AC587">
        <v>1</v>
      </c>
      <c r="AD587">
        <v>39.688000000000002</v>
      </c>
      <c r="AE587">
        <v>1</v>
      </c>
      <c r="AF587">
        <v>79</v>
      </c>
      <c r="AG587">
        <v>6</v>
      </c>
      <c r="AH587" t="s">
        <v>84</v>
      </c>
      <c r="AI587">
        <v>0</v>
      </c>
    </row>
    <row r="588" spans="1:35" x14ac:dyDescent="0.45">
      <c r="A588">
        <v>587</v>
      </c>
      <c r="B588" t="s">
        <v>835</v>
      </c>
      <c r="C588" t="s">
        <v>838</v>
      </c>
      <c r="D588" t="s">
        <v>837</v>
      </c>
      <c r="E588">
        <v>2</v>
      </c>
      <c r="F588">
        <v>-5.8959999999999999</v>
      </c>
      <c r="G588">
        <v>-37.134</v>
      </c>
      <c r="H588">
        <v>16285</v>
      </c>
      <c r="I588">
        <v>-1</v>
      </c>
      <c r="J588">
        <v>1</v>
      </c>
      <c r="K588" t="s">
        <v>55</v>
      </c>
      <c r="L588" t="s">
        <v>55</v>
      </c>
      <c r="M588" t="s">
        <v>56</v>
      </c>
      <c r="N588">
        <v>1643557598.7</v>
      </c>
      <c r="O588">
        <v>0.21</v>
      </c>
      <c r="P588">
        <v>0.38200000000000001</v>
      </c>
      <c r="Q588">
        <v>53.531999999999996</v>
      </c>
      <c r="R588">
        <v>1E-3</v>
      </c>
      <c r="S588">
        <v>1E-3</v>
      </c>
      <c r="T588">
        <v>1.2929999999999999</v>
      </c>
      <c r="U588">
        <v>90.837000000000003</v>
      </c>
      <c r="V588">
        <v>24.492000000000001</v>
      </c>
      <c r="W588">
        <v>2.3130000000000002</v>
      </c>
      <c r="X588">
        <v>86.673000000000002</v>
      </c>
      <c r="Y588">
        <v>0.93600000000000005</v>
      </c>
      <c r="Z588">
        <v>1.101</v>
      </c>
      <c r="AA588">
        <v>0</v>
      </c>
      <c r="AB588">
        <v>0</v>
      </c>
      <c r="AC588">
        <v>1</v>
      </c>
      <c r="AD588">
        <v>39.688000000000002</v>
      </c>
      <c r="AE588">
        <v>1</v>
      </c>
      <c r="AF588">
        <v>79</v>
      </c>
      <c r="AG588">
        <v>6</v>
      </c>
      <c r="AH588" t="s">
        <v>84</v>
      </c>
      <c r="AI588">
        <v>0</v>
      </c>
    </row>
    <row r="589" spans="1:35" x14ac:dyDescent="0.45">
      <c r="A589">
        <v>588</v>
      </c>
      <c r="B589" t="s">
        <v>835</v>
      </c>
      <c r="C589" t="s">
        <v>839</v>
      </c>
      <c r="D589" t="s">
        <v>837</v>
      </c>
      <c r="E589">
        <v>3</v>
      </c>
      <c r="F589">
        <v>-5.9180000000000001</v>
      </c>
      <c r="G589">
        <v>-37.177</v>
      </c>
      <c r="H589">
        <v>16270</v>
      </c>
      <c r="I589">
        <v>-1</v>
      </c>
      <c r="J589">
        <v>1</v>
      </c>
      <c r="K589" t="s">
        <v>55</v>
      </c>
      <c r="L589" t="s">
        <v>55</v>
      </c>
      <c r="M589" t="s">
        <v>56</v>
      </c>
      <c r="N589">
        <v>1643558135.2</v>
      </c>
      <c r="O589">
        <v>0.19500000000000001</v>
      </c>
      <c r="P589">
        <v>0.44700000000000001</v>
      </c>
      <c r="Q589">
        <v>54.198999999999998</v>
      </c>
      <c r="R589">
        <v>1E-3</v>
      </c>
      <c r="S589">
        <v>0</v>
      </c>
      <c r="T589">
        <v>1.3089999999999999</v>
      </c>
      <c r="U589">
        <v>90.710999999999999</v>
      </c>
      <c r="V589">
        <v>24.571999999999999</v>
      </c>
      <c r="W589">
        <v>2.3180000000000001</v>
      </c>
      <c r="X589">
        <v>86.515000000000001</v>
      </c>
      <c r="Y589">
        <v>0.92800000000000005</v>
      </c>
      <c r="Z589">
        <v>1.139</v>
      </c>
      <c r="AA589">
        <v>0</v>
      </c>
      <c r="AB589">
        <v>0</v>
      </c>
      <c r="AC589">
        <v>1</v>
      </c>
      <c r="AD589">
        <v>39.688000000000002</v>
      </c>
      <c r="AE589">
        <v>1</v>
      </c>
      <c r="AF589">
        <v>79</v>
      </c>
      <c r="AG589">
        <v>6</v>
      </c>
      <c r="AH589" t="s">
        <v>84</v>
      </c>
      <c r="AI589">
        <v>0</v>
      </c>
    </row>
    <row r="590" spans="1:35" x14ac:dyDescent="0.45">
      <c r="A590">
        <v>589</v>
      </c>
      <c r="B590" t="s">
        <v>835</v>
      </c>
      <c r="C590" t="s">
        <v>840</v>
      </c>
      <c r="D590" t="s">
        <v>837</v>
      </c>
      <c r="E590">
        <v>4</v>
      </c>
      <c r="F590">
        <v>-5.93</v>
      </c>
      <c r="G590">
        <v>-37.237000000000002</v>
      </c>
      <c r="H590">
        <v>16250</v>
      </c>
      <c r="I590">
        <v>0</v>
      </c>
      <c r="J590">
        <v>1</v>
      </c>
      <c r="K590" t="s">
        <v>55</v>
      </c>
      <c r="L590" t="s">
        <v>55</v>
      </c>
      <c r="M590" t="s">
        <v>56</v>
      </c>
      <c r="N590">
        <v>1643558671.79</v>
      </c>
      <c r="O590">
        <v>0.20499999999999999</v>
      </c>
      <c r="P590">
        <v>0.38100000000000001</v>
      </c>
      <c r="Q590">
        <v>53.848999999999997</v>
      </c>
      <c r="R590">
        <v>1E-3</v>
      </c>
      <c r="S590">
        <v>0</v>
      </c>
      <c r="T590">
        <v>1.2929999999999999</v>
      </c>
      <c r="U590">
        <v>90.662999999999997</v>
      </c>
      <c r="V590">
        <v>24.457000000000001</v>
      </c>
      <c r="W590">
        <v>2.34</v>
      </c>
      <c r="X590">
        <v>86.376000000000005</v>
      </c>
      <c r="Y590">
        <v>0.94899999999999995</v>
      </c>
      <c r="Z590">
        <v>0.96799999999999997</v>
      </c>
      <c r="AA590">
        <v>0</v>
      </c>
      <c r="AB590">
        <v>0</v>
      </c>
      <c r="AC590">
        <v>1</v>
      </c>
      <c r="AD590">
        <v>39.688000000000002</v>
      </c>
      <c r="AE590">
        <v>1</v>
      </c>
      <c r="AF590">
        <v>79</v>
      </c>
      <c r="AG590">
        <v>6</v>
      </c>
      <c r="AH590" t="s">
        <v>84</v>
      </c>
      <c r="AI590">
        <v>0</v>
      </c>
    </row>
    <row r="591" spans="1:35" x14ac:dyDescent="0.45">
      <c r="A591">
        <v>590</v>
      </c>
      <c r="B591" t="s">
        <v>835</v>
      </c>
      <c r="C591" t="s">
        <v>841</v>
      </c>
      <c r="D591" t="s">
        <v>837</v>
      </c>
      <c r="E591">
        <v>5</v>
      </c>
      <c r="F591">
        <v>-5.944</v>
      </c>
      <c r="G591">
        <v>-37.101999999999997</v>
      </c>
      <c r="H591">
        <v>16338</v>
      </c>
      <c r="I591">
        <v>0</v>
      </c>
      <c r="J591">
        <v>1</v>
      </c>
      <c r="K591" t="s">
        <v>55</v>
      </c>
      <c r="L591" t="s">
        <v>55</v>
      </c>
      <c r="M591" t="s">
        <v>56</v>
      </c>
      <c r="N591">
        <v>1643559207.8099999</v>
      </c>
      <c r="O591">
        <v>0.20799999999999999</v>
      </c>
      <c r="P591">
        <v>0.44800000000000001</v>
      </c>
      <c r="Q591">
        <v>53.722000000000001</v>
      </c>
      <c r="R591">
        <v>1E-3</v>
      </c>
      <c r="S591">
        <v>2E-3</v>
      </c>
      <c r="T591">
        <v>1.2929999999999999</v>
      </c>
      <c r="U591">
        <v>91.087000000000003</v>
      </c>
      <c r="V591">
        <v>24.762</v>
      </c>
      <c r="W591">
        <v>2.323</v>
      </c>
      <c r="X591">
        <v>86.665000000000006</v>
      </c>
      <c r="Y591">
        <v>0.93</v>
      </c>
      <c r="Z591">
        <v>1.0529999999999999</v>
      </c>
      <c r="AA591">
        <v>0</v>
      </c>
      <c r="AB591">
        <v>0</v>
      </c>
      <c r="AC591">
        <v>1</v>
      </c>
      <c r="AD591">
        <v>39.688000000000002</v>
      </c>
      <c r="AE591">
        <v>1</v>
      </c>
      <c r="AF591">
        <v>79</v>
      </c>
      <c r="AG591">
        <v>6</v>
      </c>
      <c r="AH591" t="s">
        <v>84</v>
      </c>
      <c r="AI591">
        <v>0</v>
      </c>
    </row>
    <row r="592" spans="1:35" x14ac:dyDescent="0.45">
      <c r="A592">
        <v>591</v>
      </c>
      <c r="B592" t="s">
        <v>835</v>
      </c>
      <c r="C592" t="s">
        <v>842</v>
      </c>
      <c r="D592" t="s">
        <v>837</v>
      </c>
      <c r="E592">
        <v>6</v>
      </c>
      <c r="F592">
        <v>-5.9690000000000003</v>
      </c>
      <c r="G592">
        <v>-37.130000000000003</v>
      </c>
      <c r="H592">
        <v>16273</v>
      </c>
      <c r="I592">
        <v>0</v>
      </c>
      <c r="J592">
        <v>1</v>
      </c>
      <c r="K592" t="s">
        <v>55</v>
      </c>
      <c r="L592" t="s">
        <v>55</v>
      </c>
      <c r="M592" t="s">
        <v>56</v>
      </c>
      <c r="N592">
        <v>1643559745.4000001</v>
      </c>
      <c r="O592">
        <v>0.20599999999999999</v>
      </c>
      <c r="P592">
        <v>0.44600000000000001</v>
      </c>
      <c r="Q592">
        <v>54.819000000000003</v>
      </c>
      <c r="R592">
        <v>0</v>
      </c>
      <c r="S592">
        <v>1E-3</v>
      </c>
      <c r="T592">
        <v>1.3089999999999999</v>
      </c>
      <c r="U592">
        <v>90.549000000000007</v>
      </c>
      <c r="V592">
        <v>24.484999999999999</v>
      </c>
      <c r="W592">
        <v>2.383</v>
      </c>
      <c r="X592">
        <v>87.534999999999997</v>
      </c>
      <c r="Y592">
        <v>0.95199999999999996</v>
      </c>
      <c r="Z592">
        <v>1.2929999999999999</v>
      </c>
      <c r="AA592">
        <v>0</v>
      </c>
      <c r="AB592">
        <v>0</v>
      </c>
      <c r="AC592">
        <v>1</v>
      </c>
      <c r="AD592">
        <v>39.75</v>
      </c>
      <c r="AE592">
        <v>1</v>
      </c>
      <c r="AF592">
        <v>79</v>
      </c>
      <c r="AG592">
        <v>6</v>
      </c>
      <c r="AH592" t="s">
        <v>84</v>
      </c>
      <c r="AI592">
        <v>0</v>
      </c>
    </row>
    <row r="593" spans="1:35" x14ac:dyDescent="0.45">
      <c r="A593">
        <v>592</v>
      </c>
      <c r="B593" t="s">
        <v>843</v>
      </c>
      <c r="C593" t="s">
        <v>844</v>
      </c>
      <c r="D593" t="s">
        <v>845</v>
      </c>
      <c r="E593">
        <v>1</v>
      </c>
      <c r="F593">
        <v>-5.9420000000000002</v>
      </c>
      <c r="G593">
        <v>-37.216000000000001</v>
      </c>
      <c r="H593">
        <v>16298</v>
      </c>
      <c r="I593">
        <v>-1</v>
      </c>
      <c r="J593">
        <v>1</v>
      </c>
      <c r="K593" t="s">
        <v>55</v>
      </c>
      <c r="L593" t="s">
        <v>55</v>
      </c>
      <c r="M593" t="s">
        <v>56</v>
      </c>
      <c r="N593">
        <v>1643560281.4200001</v>
      </c>
      <c r="O593">
        <v>0.20499999999999999</v>
      </c>
      <c r="P593">
        <v>0.40100000000000002</v>
      </c>
      <c r="Q593">
        <v>53.317999999999998</v>
      </c>
      <c r="R593">
        <v>1E-3</v>
      </c>
      <c r="S593">
        <v>1E-3</v>
      </c>
      <c r="T593">
        <v>1.284</v>
      </c>
      <c r="U593">
        <v>90.701999999999998</v>
      </c>
      <c r="V593">
        <v>24.657</v>
      </c>
      <c r="W593">
        <v>2.3849999999999998</v>
      </c>
      <c r="X593">
        <v>87.260999999999996</v>
      </c>
      <c r="Y593">
        <v>0.95199999999999996</v>
      </c>
      <c r="Z593">
        <v>1.2929999999999999</v>
      </c>
      <c r="AA593">
        <v>0</v>
      </c>
      <c r="AB593">
        <v>0</v>
      </c>
      <c r="AC593">
        <v>1</v>
      </c>
      <c r="AD593">
        <v>39.688000000000002</v>
      </c>
      <c r="AE593">
        <v>1</v>
      </c>
      <c r="AF593">
        <v>80</v>
      </c>
      <c r="AG593">
        <v>6</v>
      </c>
      <c r="AH593" t="s">
        <v>84</v>
      </c>
      <c r="AI593">
        <v>0</v>
      </c>
    </row>
    <row r="594" spans="1:35" x14ac:dyDescent="0.45">
      <c r="A594">
        <v>593</v>
      </c>
      <c r="B594" t="s">
        <v>843</v>
      </c>
      <c r="C594" t="s">
        <v>846</v>
      </c>
      <c r="D594" t="s">
        <v>845</v>
      </c>
      <c r="E594">
        <v>2</v>
      </c>
      <c r="F594">
        <v>-5.9240000000000004</v>
      </c>
      <c r="G594">
        <v>-37.241</v>
      </c>
      <c r="H594">
        <v>16322</v>
      </c>
      <c r="I594">
        <v>-1</v>
      </c>
      <c r="J594">
        <v>1</v>
      </c>
      <c r="K594" t="s">
        <v>55</v>
      </c>
      <c r="L594" t="s">
        <v>55</v>
      </c>
      <c r="M594" t="s">
        <v>56</v>
      </c>
      <c r="N594">
        <v>1643560818.4200001</v>
      </c>
      <c r="O594">
        <v>0.17399999999999999</v>
      </c>
      <c r="P594">
        <v>0.39500000000000002</v>
      </c>
      <c r="Q594">
        <v>53.631</v>
      </c>
      <c r="R594">
        <v>1E-3</v>
      </c>
      <c r="S594">
        <v>2E-3</v>
      </c>
      <c r="T594">
        <v>1.2909999999999999</v>
      </c>
      <c r="U594">
        <v>90.744</v>
      </c>
      <c r="V594">
        <v>24.829000000000001</v>
      </c>
      <c r="W594">
        <v>2.3820000000000001</v>
      </c>
      <c r="X594">
        <v>87.596000000000004</v>
      </c>
      <c r="Y594">
        <v>0.95699999999999996</v>
      </c>
      <c r="Z594">
        <v>1.276</v>
      </c>
      <c r="AA594">
        <v>0</v>
      </c>
      <c r="AB594">
        <v>0</v>
      </c>
      <c r="AC594">
        <v>1</v>
      </c>
      <c r="AD594">
        <v>39.75</v>
      </c>
      <c r="AE594">
        <v>1</v>
      </c>
      <c r="AF594">
        <v>80</v>
      </c>
      <c r="AG594">
        <v>6</v>
      </c>
      <c r="AH594" t="s">
        <v>84</v>
      </c>
      <c r="AI594">
        <v>0</v>
      </c>
    </row>
    <row r="595" spans="1:35" x14ac:dyDescent="0.45">
      <c r="A595">
        <v>594</v>
      </c>
      <c r="B595" t="s">
        <v>843</v>
      </c>
      <c r="C595" t="s">
        <v>847</v>
      </c>
      <c r="D595" t="s">
        <v>845</v>
      </c>
      <c r="E595">
        <v>3</v>
      </c>
      <c r="F595">
        <v>-5.931</v>
      </c>
      <c r="G595">
        <v>-37.305</v>
      </c>
      <c r="H595">
        <v>16322</v>
      </c>
      <c r="I595">
        <v>-1</v>
      </c>
      <c r="J595">
        <v>1</v>
      </c>
      <c r="K595" t="s">
        <v>55</v>
      </c>
      <c r="L595" t="s">
        <v>55</v>
      </c>
      <c r="M595" t="s">
        <v>56</v>
      </c>
      <c r="N595">
        <v>1643561355.23</v>
      </c>
      <c r="O595">
        <v>0.21299999999999999</v>
      </c>
      <c r="P595">
        <v>0.39800000000000002</v>
      </c>
      <c r="Q595">
        <v>54.424999999999997</v>
      </c>
      <c r="R595">
        <v>1E-3</v>
      </c>
      <c r="S595">
        <v>2E-3</v>
      </c>
      <c r="T595">
        <v>1.2949999999999999</v>
      </c>
      <c r="U595">
        <v>90.915999999999997</v>
      </c>
      <c r="V595">
        <v>24.870999999999999</v>
      </c>
      <c r="W595">
        <v>2.3330000000000002</v>
      </c>
      <c r="X595">
        <v>86.674000000000007</v>
      </c>
      <c r="Y595">
        <v>0.94699999999999995</v>
      </c>
      <c r="Z595">
        <v>1.175</v>
      </c>
      <c r="AA595">
        <v>0</v>
      </c>
      <c r="AB595">
        <v>0</v>
      </c>
      <c r="AC595">
        <v>1</v>
      </c>
      <c r="AD595">
        <v>39.688000000000002</v>
      </c>
      <c r="AE595">
        <v>1</v>
      </c>
      <c r="AF595">
        <v>80</v>
      </c>
      <c r="AG595">
        <v>6</v>
      </c>
      <c r="AH595" t="s">
        <v>84</v>
      </c>
      <c r="AI595">
        <v>0</v>
      </c>
    </row>
    <row r="596" spans="1:35" x14ac:dyDescent="0.45">
      <c r="A596">
        <v>595</v>
      </c>
      <c r="B596" t="s">
        <v>843</v>
      </c>
      <c r="C596" t="s">
        <v>848</v>
      </c>
      <c r="D596" t="s">
        <v>845</v>
      </c>
      <c r="E596">
        <v>4</v>
      </c>
      <c r="F596">
        <v>-5.9359999999999999</v>
      </c>
      <c r="G596">
        <v>-37.262999999999998</v>
      </c>
      <c r="H596">
        <v>16284</v>
      </c>
      <c r="I596">
        <v>0</v>
      </c>
      <c r="J596">
        <v>1</v>
      </c>
      <c r="K596" t="s">
        <v>55</v>
      </c>
      <c r="L596" t="s">
        <v>55</v>
      </c>
      <c r="M596" t="s">
        <v>56</v>
      </c>
      <c r="N596">
        <v>1643561891.4300001</v>
      </c>
      <c r="O596">
        <v>0.188</v>
      </c>
      <c r="P596">
        <v>0.38500000000000001</v>
      </c>
      <c r="Q596">
        <v>52.981000000000002</v>
      </c>
      <c r="R596">
        <v>1E-3</v>
      </c>
      <c r="S596">
        <v>0</v>
      </c>
      <c r="T596">
        <v>1.286</v>
      </c>
      <c r="U596">
        <v>90.784999999999997</v>
      </c>
      <c r="V596">
        <v>24.712</v>
      </c>
      <c r="W596">
        <v>2.3380000000000001</v>
      </c>
      <c r="X596">
        <v>86.076999999999998</v>
      </c>
      <c r="Y596">
        <v>0.92900000000000005</v>
      </c>
      <c r="Z596">
        <v>0.98199999999999998</v>
      </c>
      <c r="AA596">
        <v>0</v>
      </c>
      <c r="AB596">
        <v>0</v>
      </c>
      <c r="AC596">
        <v>1</v>
      </c>
      <c r="AD596">
        <v>39.688000000000002</v>
      </c>
      <c r="AE596">
        <v>1</v>
      </c>
      <c r="AF596">
        <v>80</v>
      </c>
      <c r="AG596">
        <v>6</v>
      </c>
      <c r="AH596" t="s">
        <v>84</v>
      </c>
      <c r="AI596">
        <v>0</v>
      </c>
    </row>
    <row r="597" spans="1:35" x14ac:dyDescent="0.45">
      <c r="A597">
        <v>596</v>
      </c>
      <c r="B597" t="s">
        <v>843</v>
      </c>
      <c r="C597" t="s">
        <v>849</v>
      </c>
      <c r="D597" t="s">
        <v>845</v>
      </c>
      <c r="E597">
        <v>5</v>
      </c>
      <c r="F597">
        <v>-5.9420000000000002</v>
      </c>
      <c r="G597">
        <v>-37.26</v>
      </c>
      <c r="H597">
        <v>16305</v>
      </c>
      <c r="I597">
        <v>0</v>
      </c>
      <c r="J597">
        <v>1</v>
      </c>
      <c r="K597" t="s">
        <v>55</v>
      </c>
      <c r="L597" t="s">
        <v>55</v>
      </c>
      <c r="M597" t="s">
        <v>56</v>
      </c>
      <c r="N597">
        <v>1643562427.77</v>
      </c>
      <c r="O597">
        <v>0.217</v>
      </c>
      <c r="P597">
        <v>0.45400000000000001</v>
      </c>
      <c r="Q597">
        <v>53.805999999999997</v>
      </c>
      <c r="R597">
        <v>1E-3</v>
      </c>
      <c r="S597">
        <v>1E-3</v>
      </c>
      <c r="T597">
        <v>1.298</v>
      </c>
      <c r="U597">
        <v>90.727000000000004</v>
      </c>
      <c r="V597">
        <v>24.48</v>
      </c>
      <c r="W597">
        <v>2.403</v>
      </c>
      <c r="X597">
        <v>88.036000000000001</v>
      </c>
      <c r="Y597">
        <v>0.96</v>
      </c>
      <c r="Z597">
        <v>1.351</v>
      </c>
      <c r="AA597">
        <v>0</v>
      </c>
      <c r="AB597">
        <v>0</v>
      </c>
      <c r="AC597">
        <v>1</v>
      </c>
      <c r="AD597">
        <v>39.688000000000002</v>
      </c>
      <c r="AE597">
        <v>1</v>
      </c>
      <c r="AF597">
        <v>80</v>
      </c>
      <c r="AG597">
        <v>6</v>
      </c>
      <c r="AH597" t="s">
        <v>84</v>
      </c>
      <c r="AI597">
        <v>0</v>
      </c>
    </row>
    <row r="598" spans="1:35" x14ac:dyDescent="0.45">
      <c r="A598">
        <v>597</v>
      </c>
      <c r="B598" t="s">
        <v>843</v>
      </c>
      <c r="C598" t="s">
        <v>850</v>
      </c>
      <c r="D598" t="s">
        <v>845</v>
      </c>
      <c r="E598">
        <v>6</v>
      </c>
      <c r="F598">
        <v>-5.9470000000000001</v>
      </c>
      <c r="G598">
        <v>-37.305999999999997</v>
      </c>
      <c r="H598">
        <v>16312</v>
      </c>
      <c r="I598">
        <v>0</v>
      </c>
      <c r="J598">
        <v>1</v>
      </c>
      <c r="K598" t="s">
        <v>55</v>
      </c>
      <c r="L598" t="s">
        <v>55</v>
      </c>
      <c r="M598" t="s">
        <v>56</v>
      </c>
      <c r="N598">
        <v>1643562962.3</v>
      </c>
      <c r="O598">
        <v>0.19800000000000001</v>
      </c>
      <c r="P598">
        <v>0.39200000000000002</v>
      </c>
      <c r="Q598">
        <v>53.375999999999998</v>
      </c>
      <c r="R598">
        <v>1E-3</v>
      </c>
      <c r="S598">
        <v>1E-3</v>
      </c>
      <c r="T598">
        <v>1.2769999999999999</v>
      </c>
      <c r="U598">
        <v>91.177000000000007</v>
      </c>
      <c r="V598">
        <v>24.396999999999998</v>
      </c>
      <c r="W598">
        <v>2.3239999999999998</v>
      </c>
      <c r="X598">
        <v>86.114000000000004</v>
      </c>
      <c r="Y598">
        <v>0.97399999999999998</v>
      </c>
      <c r="Z598">
        <v>0.89900000000000002</v>
      </c>
      <c r="AA598">
        <v>0</v>
      </c>
      <c r="AB598">
        <v>0</v>
      </c>
      <c r="AC598">
        <v>1</v>
      </c>
      <c r="AD598">
        <v>39.688000000000002</v>
      </c>
      <c r="AE598">
        <v>1</v>
      </c>
      <c r="AF598">
        <v>80</v>
      </c>
      <c r="AG598">
        <v>6</v>
      </c>
      <c r="AH598" t="s">
        <v>84</v>
      </c>
      <c r="AI598">
        <v>0</v>
      </c>
    </row>
    <row r="599" spans="1:35" x14ac:dyDescent="0.45">
      <c r="A599">
        <v>598</v>
      </c>
      <c r="B599" t="s">
        <v>851</v>
      </c>
      <c r="C599" t="s">
        <v>852</v>
      </c>
      <c r="D599" t="s">
        <v>853</v>
      </c>
      <c r="E599">
        <v>1</v>
      </c>
      <c r="F599">
        <v>-5.8920000000000003</v>
      </c>
      <c r="G599">
        <v>-36.881</v>
      </c>
      <c r="H599">
        <v>16247</v>
      </c>
      <c r="I599">
        <v>-1</v>
      </c>
      <c r="J599">
        <v>1</v>
      </c>
      <c r="K599" t="s">
        <v>55</v>
      </c>
      <c r="L599" t="s">
        <v>55</v>
      </c>
      <c r="M599" t="s">
        <v>56</v>
      </c>
      <c r="N599">
        <v>1643563500.0899999</v>
      </c>
      <c r="O599">
        <v>0.214</v>
      </c>
      <c r="P599">
        <v>0.38</v>
      </c>
      <c r="Q599">
        <v>54.198</v>
      </c>
      <c r="R599">
        <v>1E-3</v>
      </c>
      <c r="S599">
        <v>0</v>
      </c>
      <c r="T599">
        <v>1.3049999999999999</v>
      </c>
      <c r="U599">
        <v>90.468999999999994</v>
      </c>
      <c r="V599">
        <v>24.314</v>
      </c>
      <c r="W599">
        <v>2.37</v>
      </c>
      <c r="X599">
        <v>87.745999999999995</v>
      </c>
      <c r="Y599">
        <v>0.96399999999999997</v>
      </c>
      <c r="Z599">
        <v>1.2490000000000001</v>
      </c>
      <c r="AA599">
        <v>0</v>
      </c>
      <c r="AB599">
        <v>0</v>
      </c>
      <c r="AC599">
        <v>1</v>
      </c>
      <c r="AD599">
        <v>39.688000000000002</v>
      </c>
      <c r="AE599">
        <v>1</v>
      </c>
      <c r="AF599">
        <v>81</v>
      </c>
      <c r="AG599">
        <v>6</v>
      </c>
      <c r="AH599" t="s">
        <v>84</v>
      </c>
      <c r="AI599">
        <v>0</v>
      </c>
    </row>
    <row r="600" spans="1:35" x14ac:dyDescent="0.45">
      <c r="A600">
        <v>599</v>
      </c>
      <c r="B600" t="s">
        <v>851</v>
      </c>
      <c r="C600" t="s">
        <v>854</v>
      </c>
      <c r="D600" t="s">
        <v>853</v>
      </c>
      <c r="E600">
        <v>2</v>
      </c>
      <c r="F600">
        <v>-5.8479999999999999</v>
      </c>
      <c r="G600">
        <v>-36.802</v>
      </c>
      <c r="H600">
        <v>16299</v>
      </c>
      <c r="I600">
        <v>-1</v>
      </c>
      <c r="J600">
        <v>1</v>
      </c>
      <c r="K600" t="s">
        <v>55</v>
      </c>
      <c r="L600" t="s">
        <v>55</v>
      </c>
      <c r="M600" t="s">
        <v>56</v>
      </c>
      <c r="N600">
        <v>1643564035.7</v>
      </c>
      <c r="O600">
        <v>0.21099999999999999</v>
      </c>
      <c r="P600">
        <v>0.41699999999999998</v>
      </c>
      <c r="Q600">
        <v>53.664000000000001</v>
      </c>
      <c r="R600">
        <v>0</v>
      </c>
      <c r="S600">
        <v>1E-3</v>
      </c>
      <c r="T600">
        <v>1.2849999999999999</v>
      </c>
      <c r="U600">
        <v>91.043999999999997</v>
      </c>
      <c r="V600">
        <v>24.515000000000001</v>
      </c>
      <c r="W600">
        <v>2.3199999999999998</v>
      </c>
      <c r="X600">
        <v>86.18</v>
      </c>
      <c r="Y600">
        <v>0.96</v>
      </c>
      <c r="Z600">
        <v>0.85199999999999998</v>
      </c>
      <c r="AA600">
        <v>0</v>
      </c>
      <c r="AB600">
        <v>0</v>
      </c>
      <c r="AC600">
        <v>1</v>
      </c>
      <c r="AD600">
        <v>39.688000000000002</v>
      </c>
      <c r="AE600">
        <v>1</v>
      </c>
      <c r="AF600">
        <v>81</v>
      </c>
      <c r="AG600">
        <v>6</v>
      </c>
      <c r="AH600" t="s">
        <v>84</v>
      </c>
      <c r="AI600">
        <v>0</v>
      </c>
    </row>
    <row r="601" spans="1:35" x14ac:dyDescent="0.45">
      <c r="A601">
        <v>600</v>
      </c>
      <c r="B601" t="s">
        <v>851</v>
      </c>
      <c r="C601" t="s">
        <v>855</v>
      </c>
      <c r="D601" t="s">
        <v>853</v>
      </c>
      <c r="E601">
        <v>3</v>
      </c>
      <c r="F601">
        <v>-5.8390000000000004</v>
      </c>
      <c r="G601">
        <v>-36.802</v>
      </c>
      <c r="H601">
        <v>16281</v>
      </c>
      <c r="I601">
        <v>-1</v>
      </c>
      <c r="J601">
        <v>1</v>
      </c>
      <c r="K601" t="s">
        <v>55</v>
      </c>
      <c r="L601" t="s">
        <v>55</v>
      </c>
      <c r="M601" t="s">
        <v>56</v>
      </c>
      <c r="N601">
        <v>1643564572.1400001</v>
      </c>
      <c r="O601">
        <v>0.20799999999999999</v>
      </c>
      <c r="P601">
        <v>0.42099999999999999</v>
      </c>
      <c r="Q601">
        <v>53.170999999999999</v>
      </c>
      <c r="R601">
        <v>1E-3</v>
      </c>
      <c r="S601">
        <v>2E-3</v>
      </c>
      <c r="T601">
        <v>1.2749999999999999</v>
      </c>
      <c r="U601">
        <v>90.715999999999994</v>
      </c>
      <c r="V601">
        <v>24.728999999999999</v>
      </c>
      <c r="W601">
        <v>2.2949999999999999</v>
      </c>
      <c r="X601">
        <v>86.385000000000005</v>
      </c>
      <c r="Y601">
        <v>0.96699999999999997</v>
      </c>
      <c r="Z601">
        <v>1.0069999999999999</v>
      </c>
      <c r="AA601">
        <v>0</v>
      </c>
      <c r="AB601">
        <v>0</v>
      </c>
      <c r="AC601">
        <v>1</v>
      </c>
      <c r="AD601">
        <v>39.688000000000002</v>
      </c>
      <c r="AE601">
        <v>1</v>
      </c>
      <c r="AF601">
        <v>81</v>
      </c>
      <c r="AG601">
        <v>6</v>
      </c>
      <c r="AH601" t="s">
        <v>84</v>
      </c>
      <c r="AI601">
        <v>0</v>
      </c>
    </row>
    <row r="602" spans="1:35" x14ac:dyDescent="0.45">
      <c r="A602">
        <v>601</v>
      </c>
      <c r="B602" t="s">
        <v>851</v>
      </c>
      <c r="C602" t="s">
        <v>856</v>
      </c>
      <c r="D602" t="s">
        <v>853</v>
      </c>
      <c r="E602">
        <v>4</v>
      </c>
      <c r="F602">
        <v>-5.8380000000000001</v>
      </c>
      <c r="G602">
        <v>-36.777999999999999</v>
      </c>
      <c r="H602">
        <v>16296</v>
      </c>
      <c r="I602">
        <v>0</v>
      </c>
      <c r="J602">
        <v>1</v>
      </c>
      <c r="K602" t="s">
        <v>55</v>
      </c>
      <c r="L602" t="s">
        <v>55</v>
      </c>
      <c r="M602" t="s">
        <v>56</v>
      </c>
      <c r="N602">
        <v>1643565110.6600001</v>
      </c>
      <c r="O602">
        <v>0.20300000000000001</v>
      </c>
      <c r="P602">
        <v>0.39500000000000002</v>
      </c>
      <c r="Q602">
        <v>54.603999999999999</v>
      </c>
      <c r="R602">
        <v>1E-3</v>
      </c>
      <c r="S602">
        <v>0</v>
      </c>
      <c r="T602">
        <v>1.304</v>
      </c>
      <c r="U602">
        <v>90.917000000000002</v>
      </c>
      <c r="V602">
        <v>24.094000000000001</v>
      </c>
      <c r="W602">
        <v>2.33</v>
      </c>
      <c r="X602">
        <v>87.725999999999999</v>
      </c>
      <c r="Y602">
        <v>0.98199999999999998</v>
      </c>
      <c r="Z602">
        <v>1.23</v>
      </c>
      <c r="AA602">
        <v>0</v>
      </c>
      <c r="AB602">
        <v>0</v>
      </c>
      <c r="AC602">
        <v>1</v>
      </c>
      <c r="AD602">
        <v>39.688000000000002</v>
      </c>
      <c r="AE602">
        <v>1</v>
      </c>
      <c r="AF602">
        <v>81</v>
      </c>
      <c r="AG602">
        <v>6</v>
      </c>
      <c r="AH602" t="s">
        <v>84</v>
      </c>
      <c r="AI602">
        <v>0</v>
      </c>
    </row>
    <row r="603" spans="1:35" x14ac:dyDescent="0.45">
      <c r="A603">
        <v>602</v>
      </c>
      <c r="B603" t="s">
        <v>851</v>
      </c>
      <c r="C603" t="s">
        <v>857</v>
      </c>
      <c r="D603" t="s">
        <v>853</v>
      </c>
      <c r="E603">
        <v>5</v>
      </c>
      <c r="F603">
        <v>-5.8949999999999996</v>
      </c>
      <c r="G603">
        <v>-36.795000000000002</v>
      </c>
      <c r="H603">
        <v>16311</v>
      </c>
      <c r="I603">
        <v>0</v>
      </c>
      <c r="J603">
        <v>1</v>
      </c>
      <c r="K603" t="s">
        <v>55</v>
      </c>
      <c r="L603" t="s">
        <v>55</v>
      </c>
      <c r="M603" t="s">
        <v>56</v>
      </c>
      <c r="N603">
        <v>1643565646.46</v>
      </c>
      <c r="O603">
        <v>0.20599999999999999</v>
      </c>
      <c r="P603">
        <v>0.375</v>
      </c>
      <c r="Q603">
        <v>53.597000000000001</v>
      </c>
      <c r="R603">
        <v>0</v>
      </c>
      <c r="S603">
        <v>1E-3</v>
      </c>
      <c r="T603">
        <v>1.2889999999999999</v>
      </c>
      <c r="U603">
        <v>90.744</v>
      </c>
      <c r="V603">
        <v>24.843</v>
      </c>
      <c r="W603">
        <v>2.351</v>
      </c>
      <c r="X603">
        <v>86.998999999999995</v>
      </c>
      <c r="Y603">
        <v>0.99</v>
      </c>
      <c r="Z603">
        <v>1.2549999999999999</v>
      </c>
      <c r="AA603">
        <v>0</v>
      </c>
      <c r="AB603">
        <v>0</v>
      </c>
      <c r="AC603">
        <v>1</v>
      </c>
      <c r="AD603">
        <v>39.688000000000002</v>
      </c>
      <c r="AE603">
        <v>1</v>
      </c>
      <c r="AF603">
        <v>81</v>
      </c>
      <c r="AG603">
        <v>6</v>
      </c>
      <c r="AH603" t="s">
        <v>84</v>
      </c>
      <c r="AI603">
        <v>0</v>
      </c>
    </row>
    <row r="604" spans="1:35" x14ac:dyDescent="0.45">
      <c r="A604">
        <v>603</v>
      </c>
      <c r="B604" t="s">
        <v>851</v>
      </c>
      <c r="C604" t="s">
        <v>858</v>
      </c>
      <c r="D604" t="s">
        <v>853</v>
      </c>
      <c r="E604">
        <v>6</v>
      </c>
      <c r="F604">
        <v>-5.8639999999999999</v>
      </c>
      <c r="G604">
        <v>-36.832999999999998</v>
      </c>
      <c r="H604">
        <v>16312</v>
      </c>
      <c r="I604">
        <v>0</v>
      </c>
      <c r="J604">
        <v>1</v>
      </c>
      <c r="K604" t="s">
        <v>55</v>
      </c>
      <c r="L604" t="s">
        <v>55</v>
      </c>
      <c r="M604" t="s">
        <v>56</v>
      </c>
      <c r="N604">
        <v>1643566184.6099999</v>
      </c>
      <c r="O604">
        <v>0.20300000000000001</v>
      </c>
      <c r="P604">
        <v>0.38500000000000001</v>
      </c>
      <c r="Q604">
        <v>54.274999999999999</v>
      </c>
      <c r="R604">
        <v>0</v>
      </c>
      <c r="S604">
        <v>2E-3</v>
      </c>
      <c r="T604">
        <v>1.3069999999999999</v>
      </c>
      <c r="U604">
        <v>90.866</v>
      </c>
      <c r="V604">
        <v>24.484999999999999</v>
      </c>
      <c r="W604">
        <v>2.33</v>
      </c>
      <c r="X604">
        <v>87.557000000000002</v>
      </c>
      <c r="Y604">
        <v>0.995</v>
      </c>
      <c r="Z604">
        <v>1.198</v>
      </c>
      <c r="AA604">
        <v>0</v>
      </c>
      <c r="AB604">
        <v>0</v>
      </c>
      <c r="AC604">
        <v>1</v>
      </c>
      <c r="AD604">
        <v>39.688000000000002</v>
      </c>
      <c r="AE604">
        <v>1</v>
      </c>
      <c r="AF604">
        <v>81</v>
      </c>
      <c r="AG604">
        <v>6</v>
      </c>
      <c r="AH604" t="s">
        <v>84</v>
      </c>
      <c r="AI604">
        <v>0</v>
      </c>
    </row>
    <row r="605" spans="1:35" x14ac:dyDescent="0.45">
      <c r="A605">
        <v>604</v>
      </c>
      <c r="B605" t="s">
        <v>859</v>
      </c>
      <c r="C605" t="s">
        <v>860</v>
      </c>
      <c r="D605" t="s">
        <v>861</v>
      </c>
      <c r="E605">
        <v>1</v>
      </c>
      <c r="F605">
        <v>-5.9720000000000004</v>
      </c>
      <c r="G605">
        <v>-37.454000000000001</v>
      </c>
      <c r="H605">
        <v>16289</v>
      </c>
      <c r="I605">
        <v>-1</v>
      </c>
      <c r="J605">
        <v>1</v>
      </c>
      <c r="K605" t="s">
        <v>55</v>
      </c>
      <c r="L605" t="s">
        <v>55</v>
      </c>
      <c r="M605" t="s">
        <v>56</v>
      </c>
      <c r="N605">
        <v>1643566720.1099999</v>
      </c>
      <c r="O605">
        <v>0.19</v>
      </c>
      <c r="P605">
        <v>0.38700000000000001</v>
      </c>
      <c r="Q605">
        <v>53.456000000000003</v>
      </c>
      <c r="R605">
        <v>1E-3</v>
      </c>
      <c r="S605">
        <v>2E-3</v>
      </c>
      <c r="T605">
        <v>1.29</v>
      </c>
      <c r="U605">
        <v>90.709000000000003</v>
      </c>
      <c r="V605">
        <v>24.899000000000001</v>
      </c>
      <c r="W605">
        <v>2.3119999999999998</v>
      </c>
      <c r="X605">
        <v>86.379000000000005</v>
      </c>
      <c r="Y605">
        <v>0.95899999999999996</v>
      </c>
      <c r="Z605">
        <v>1.0269999999999999</v>
      </c>
      <c r="AA605">
        <v>0</v>
      </c>
      <c r="AB605">
        <v>0</v>
      </c>
      <c r="AC605">
        <v>1</v>
      </c>
      <c r="AD605">
        <v>39.688000000000002</v>
      </c>
      <c r="AE605">
        <v>1</v>
      </c>
      <c r="AF605">
        <v>82</v>
      </c>
      <c r="AG605">
        <v>6</v>
      </c>
      <c r="AH605" t="s">
        <v>84</v>
      </c>
      <c r="AI605">
        <v>0</v>
      </c>
    </row>
    <row r="606" spans="1:35" x14ac:dyDescent="0.45">
      <c r="A606">
        <v>605</v>
      </c>
      <c r="B606" t="s">
        <v>859</v>
      </c>
      <c r="C606" t="s">
        <v>862</v>
      </c>
      <c r="D606" t="s">
        <v>861</v>
      </c>
      <c r="E606">
        <v>2</v>
      </c>
      <c r="F606">
        <v>-6.0140000000000002</v>
      </c>
      <c r="G606">
        <v>-37.585000000000001</v>
      </c>
      <c r="H606">
        <v>16353</v>
      </c>
      <c r="I606">
        <v>-1</v>
      </c>
      <c r="J606">
        <v>1</v>
      </c>
      <c r="K606" t="s">
        <v>55</v>
      </c>
      <c r="L606" t="s">
        <v>55</v>
      </c>
      <c r="M606" t="s">
        <v>56</v>
      </c>
      <c r="N606">
        <v>1643567255.78</v>
      </c>
      <c r="O606">
        <v>0.19500000000000001</v>
      </c>
      <c r="P606">
        <v>0.39700000000000002</v>
      </c>
      <c r="Q606">
        <v>54.558999999999997</v>
      </c>
      <c r="R606">
        <v>0</v>
      </c>
      <c r="S606">
        <v>-1E-3</v>
      </c>
      <c r="T606">
        <v>1.302</v>
      </c>
      <c r="U606">
        <v>91.096000000000004</v>
      </c>
      <c r="V606">
        <v>24.972999999999999</v>
      </c>
      <c r="W606">
        <v>2.3450000000000002</v>
      </c>
      <c r="X606">
        <v>86.406999999999996</v>
      </c>
      <c r="Y606">
        <v>0.98099999999999998</v>
      </c>
      <c r="Z606">
        <v>1.0620000000000001</v>
      </c>
      <c r="AA606">
        <v>0</v>
      </c>
      <c r="AB606">
        <v>0</v>
      </c>
      <c r="AC606">
        <v>1</v>
      </c>
      <c r="AD606">
        <v>39.688000000000002</v>
      </c>
      <c r="AE606">
        <v>1</v>
      </c>
      <c r="AF606">
        <v>82</v>
      </c>
      <c r="AG606">
        <v>6</v>
      </c>
      <c r="AH606" t="s">
        <v>84</v>
      </c>
      <c r="AI606">
        <v>0</v>
      </c>
    </row>
    <row r="607" spans="1:35" x14ac:dyDescent="0.45">
      <c r="A607">
        <v>606</v>
      </c>
      <c r="B607" t="s">
        <v>859</v>
      </c>
      <c r="C607" t="s">
        <v>863</v>
      </c>
      <c r="D607" t="s">
        <v>861</v>
      </c>
      <c r="E607">
        <v>3</v>
      </c>
      <c r="F607">
        <v>-5.9980000000000002</v>
      </c>
      <c r="G607">
        <v>-37.582000000000001</v>
      </c>
      <c r="H607">
        <v>16310</v>
      </c>
      <c r="I607">
        <v>-1</v>
      </c>
      <c r="J607">
        <v>1</v>
      </c>
      <c r="K607" t="s">
        <v>55</v>
      </c>
      <c r="L607" t="s">
        <v>55</v>
      </c>
      <c r="M607" t="s">
        <v>56</v>
      </c>
      <c r="N607">
        <v>1643567792.8800001</v>
      </c>
      <c r="O607">
        <v>0.218</v>
      </c>
      <c r="P607">
        <v>0.40400000000000003</v>
      </c>
      <c r="Q607">
        <v>52.679000000000002</v>
      </c>
      <c r="R607">
        <v>1E-3</v>
      </c>
      <c r="S607">
        <v>0</v>
      </c>
      <c r="T607">
        <v>1.2749999999999999</v>
      </c>
      <c r="U607">
        <v>90.864000000000004</v>
      </c>
      <c r="V607">
        <v>24.748999999999999</v>
      </c>
      <c r="W607">
        <v>2.3109999999999999</v>
      </c>
      <c r="X607">
        <v>87.167000000000002</v>
      </c>
      <c r="Y607">
        <v>0.97099999999999997</v>
      </c>
      <c r="Z607">
        <v>1.1970000000000001</v>
      </c>
      <c r="AA607">
        <v>0</v>
      </c>
      <c r="AB607">
        <v>0</v>
      </c>
      <c r="AC607">
        <v>1</v>
      </c>
      <c r="AD607">
        <v>39.688000000000002</v>
      </c>
      <c r="AE607">
        <v>1</v>
      </c>
      <c r="AF607">
        <v>82</v>
      </c>
      <c r="AG607">
        <v>6</v>
      </c>
      <c r="AH607" t="s">
        <v>84</v>
      </c>
      <c r="AI607">
        <v>0</v>
      </c>
    </row>
    <row r="608" spans="1:35" x14ac:dyDescent="0.45">
      <c r="A608">
        <v>607</v>
      </c>
      <c r="B608" t="s">
        <v>859</v>
      </c>
      <c r="C608" t="s">
        <v>864</v>
      </c>
      <c r="D608" t="s">
        <v>861</v>
      </c>
      <c r="E608">
        <v>4</v>
      </c>
      <c r="F608">
        <v>-5.9950000000000001</v>
      </c>
      <c r="G608">
        <v>-37.573</v>
      </c>
      <c r="H608">
        <v>16361</v>
      </c>
      <c r="I608">
        <v>0</v>
      </c>
      <c r="J608">
        <v>1</v>
      </c>
      <c r="K608" t="s">
        <v>55</v>
      </c>
      <c r="L608" t="s">
        <v>55</v>
      </c>
      <c r="M608" t="s">
        <v>56</v>
      </c>
      <c r="N608">
        <v>1643568329.98</v>
      </c>
      <c r="O608">
        <v>0.20200000000000001</v>
      </c>
      <c r="P608">
        <v>0.40100000000000002</v>
      </c>
      <c r="Q608">
        <v>54.786000000000001</v>
      </c>
      <c r="R608">
        <v>0</v>
      </c>
      <c r="S608">
        <v>1E-3</v>
      </c>
      <c r="T608">
        <v>1.3109999999999999</v>
      </c>
      <c r="U608">
        <v>91.031999999999996</v>
      </c>
      <c r="V608">
        <v>25.202000000000002</v>
      </c>
      <c r="W608">
        <v>2.3690000000000002</v>
      </c>
      <c r="X608">
        <v>86.421000000000006</v>
      </c>
      <c r="Y608">
        <v>0.99299999999999999</v>
      </c>
      <c r="Z608">
        <v>1.157</v>
      </c>
      <c r="AA608">
        <v>0</v>
      </c>
      <c r="AB608">
        <v>0</v>
      </c>
      <c r="AC608">
        <v>1</v>
      </c>
      <c r="AD608">
        <v>39.688000000000002</v>
      </c>
      <c r="AE608">
        <v>1</v>
      </c>
      <c r="AF608">
        <v>82</v>
      </c>
      <c r="AG608">
        <v>6</v>
      </c>
      <c r="AH608" t="s">
        <v>84</v>
      </c>
      <c r="AI608">
        <v>0</v>
      </c>
    </row>
    <row r="609" spans="1:35" x14ac:dyDescent="0.45">
      <c r="A609">
        <v>608</v>
      </c>
      <c r="B609" t="s">
        <v>859</v>
      </c>
      <c r="C609" t="s">
        <v>865</v>
      </c>
      <c r="D609" t="s">
        <v>861</v>
      </c>
      <c r="E609">
        <v>5</v>
      </c>
      <c r="F609">
        <v>-5.9660000000000002</v>
      </c>
      <c r="G609">
        <v>-37.621000000000002</v>
      </c>
      <c r="H609">
        <v>16303</v>
      </c>
      <c r="I609">
        <v>0</v>
      </c>
      <c r="J609">
        <v>1</v>
      </c>
      <c r="K609" t="s">
        <v>55</v>
      </c>
      <c r="L609" t="s">
        <v>55</v>
      </c>
      <c r="M609" t="s">
        <v>56</v>
      </c>
      <c r="N609">
        <v>1643568866.6199999</v>
      </c>
      <c r="O609">
        <v>0.2</v>
      </c>
      <c r="P609">
        <v>0.40300000000000002</v>
      </c>
      <c r="Q609">
        <v>53.779000000000003</v>
      </c>
      <c r="R609">
        <v>0</v>
      </c>
      <c r="S609">
        <v>0</v>
      </c>
      <c r="T609">
        <v>1.2969999999999999</v>
      </c>
      <c r="U609">
        <v>90.569000000000003</v>
      </c>
      <c r="V609">
        <v>25.052</v>
      </c>
      <c r="W609">
        <v>2.367</v>
      </c>
      <c r="X609">
        <v>87.302999999999997</v>
      </c>
      <c r="Y609">
        <v>0.98</v>
      </c>
      <c r="Z609">
        <v>1.244</v>
      </c>
      <c r="AA609">
        <v>0</v>
      </c>
      <c r="AB609">
        <v>0</v>
      </c>
      <c r="AC609">
        <v>1</v>
      </c>
      <c r="AD609">
        <v>39.75</v>
      </c>
      <c r="AE609">
        <v>1</v>
      </c>
      <c r="AF609">
        <v>82</v>
      </c>
      <c r="AG609">
        <v>6</v>
      </c>
      <c r="AH609" t="s">
        <v>84</v>
      </c>
      <c r="AI609">
        <v>0</v>
      </c>
    </row>
    <row r="610" spans="1:35" x14ac:dyDescent="0.45">
      <c r="A610">
        <v>609</v>
      </c>
      <c r="B610" t="s">
        <v>859</v>
      </c>
      <c r="C610" t="s">
        <v>866</v>
      </c>
      <c r="D610" t="s">
        <v>861</v>
      </c>
      <c r="E610">
        <v>6</v>
      </c>
      <c r="F610">
        <v>-5.984</v>
      </c>
      <c r="G610">
        <v>-37.594999999999999</v>
      </c>
      <c r="H610">
        <v>16373</v>
      </c>
      <c r="I610">
        <v>0</v>
      </c>
      <c r="J610">
        <v>1</v>
      </c>
      <c r="K610" t="s">
        <v>55</v>
      </c>
      <c r="L610" t="s">
        <v>55</v>
      </c>
      <c r="M610" t="s">
        <v>56</v>
      </c>
      <c r="N610">
        <v>1643569403.24</v>
      </c>
      <c r="O610">
        <v>0.21099999999999999</v>
      </c>
      <c r="P610">
        <v>0.39100000000000001</v>
      </c>
      <c r="Q610">
        <v>54.362000000000002</v>
      </c>
      <c r="R610">
        <v>1E-3</v>
      </c>
      <c r="S610">
        <v>2E-3</v>
      </c>
      <c r="T610">
        <v>1.3109999999999999</v>
      </c>
      <c r="U610">
        <v>91.311000000000007</v>
      </c>
      <c r="V610">
        <v>24.863</v>
      </c>
      <c r="W610">
        <v>2.3479999999999999</v>
      </c>
      <c r="X610">
        <v>86.882000000000005</v>
      </c>
      <c r="Y610">
        <v>0.95899999999999996</v>
      </c>
      <c r="Z610">
        <v>1.0409999999999999</v>
      </c>
      <c r="AA610">
        <v>0</v>
      </c>
      <c r="AB610">
        <v>0</v>
      </c>
      <c r="AC610">
        <v>1</v>
      </c>
      <c r="AD610">
        <v>39.75</v>
      </c>
      <c r="AE610">
        <v>1</v>
      </c>
      <c r="AF610">
        <v>82</v>
      </c>
      <c r="AG610">
        <v>6</v>
      </c>
      <c r="AH610" t="s">
        <v>84</v>
      </c>
      <c r="AI610">
        <v>0</v>
      </c>
    </row>
    <row r="611" spans="1:35" x14ac:dyDescent="0.45">
      <c r="A611">
        <v>610</v>
      </c>
      <c r="B611" t="s">
        <v>867</v>
      </c>
      <c r="C611" t="s">
        <v>868</v>
      </c>
      <c r="D611" t="s">
        <v>869</v>
      </c>
      <c r="E611">
        <v>1</v>
      </c>
      <c r="F611">
        <v>-4.7530000000000001</v>
      </c>
      <c r="G611">
        <v>-32.029000000000003</v>
      </c>
      <c r="H611">
        <v>16214</v>
      </c>
      <c r="I611">
        <v>-1</v>
      </c>
      <c r="J611">
        <v>1</v>
      </c>
      <c r="K611" t="s">
        <v>55</v>
      </c>
      <c r="L611" t="s">
        <v>55</v>
      </c>
      <c r="M611" t="s">
        <v>56</v>
      </c>
      <c r="N611">
        <v>1643569939.1900001</v>
      </c>
      <c r="O611">
        <v>0.19800000000000001</v>
      </c>
      <c r="P611">
        <v>0.41399999999999998</v>
      </c>
      <c r="Q611">
        <v>55.295000000000002</v>
      </c>
      <c r="R611">
        <v>0</v>
      </c>
      <c r="S611">
        <v>-2E-3</v>
      </c>
      <c r="T611">
        <v>1.3160000000000001</v>
      </c>
      <c r="U611">
        <v>90.424000000000007</v>
      </c>
      <c r="V611">
        <v>24.483000000000001</v>
      </c>
      <c r="W611">
        <v>2.3260000000000001</v>
      </c>
      <c r="X611">
        <v>86.066999999999993</v>
      </c>
      <c r="Y611">
        <v>0.98299999999999998</v>
      </c>
      <c r="Z611">
        <v>0.97899999999999998</v>
      </c>
      <c r="AA611">
        <v>0</v>
      </c>
      <c r="AB611">
        <v>0</v>
      </c>
      <c r="AC611">
        <v>1</v>
      </c>
      <c r="AD611">
        <v>39.75</v>
      </c>
      <c r="AE611">
        <v>1</v>
      </c>
      <c r="AF611">
        <v>83</v>
      </c>
      <c r="AG611">
        <v>6</v>
      </c>
      <c r="AH611" t="s">
        <v>84</v>
      </c>
      <c r="AI611">
        <v>0</v>
      </c>
    </row>
    <row r="612" spans="1:35" x14ac:dyDescent="0.45">
      <c r="A612">
        <v>611</v>
      </c>
      <c r="B612" t="s">
        <v>867</v>
      </c>
      <c r="C612" t="s">
        <v>870</v>
      </c>
      <c r="D612" t="s">
        <v>869</v>
      </c>
      <c r="E612">
        <v>2</v>
      </c>
      <c r="F612">
        <v>-4.6689999999999996</v>
      </c>
      <c r="G612">
        <v>-31.55</v>
      </c>
      <c r="H612">
        <v>16263</v>
      </c>
      <c r="I612">
        <v>-1</v>
      </c>
      <c r="J612">
        <v>1</v>
      </c>
      <c r="K612" t="s">
        <v>55</v>
      </c>
      <c r="L612" t="s">
        <v>55</v>
      </c>
      <c r="M612" t="s">
        <v>56</v>
      </c>
      <c r="N612">
        <v>1643570475.04</v>
      </c>
      <c r="O612">
        <v>0.21199999999999999</v>
      </c>
      <c r="P612">
        <v>0.435</v>
      </c>
      <c r="Q612">
        <v>52.686</v>
      </c>
      <c r="R612">
        <v>1E-3</v>
      </c>
      <c r="S612">
        <v>0</v>
      </c>
      <c r="T612">
        <v>1.2809999999999999</v>
      </c>
      <c r="U612">
        <v>90.649000000000001</v>
      </c>
      <c r="V612">
        <v>24.687999999999999</v>
      </c>
      <c r="W612">
        <v>2.2879999999999998</v>
      </c>
      <c r="X612">
        <v>86.293999999999997</v>
      </c>
      <c r="Y612">
        <v>0.97</v>
      </c>
      <c r="Z612">
        <v>1.05</v>
      </c>
      <c r="AA612">
        <v>0</v>
      </c>
      <c r="AB612">
        <v>0</v>
      </c>
      <c r="AC612">
        <v>1</v>
      </c>
      <c r="AD612">
        <v>39.75</v>
      </c>
      <c r="AE612">
        <v>1</v>
      </c>
      <c r="AF612">
        <v>83</v>
      </c>
      <c r="AG612">
        <v>6</v>
      </c>
      <c r="AH612" t="s">
        <v>84</v>
      </c>
      <c r="AI612">
        <v>0</v>
      </c>
    </row>
    <row r="613" spans="1:35" x14ac:dyDescent="0.45">
      <c r="A613">
        <v>612</v>
      </c>
      <c r="B613" t="s">
        <v>867</v>
      </c>
      <c r="C613" t="s">
        <v>871</v>
      </c>
      <c r="D613" t="s">
        <v>869</v>
      </c>
      <c r="E613">
        <v>3</v>
      </c>
      <c r="F613">
        <v>-4.6360000000000001</v>
      </c>
      <c r="G613">
        <v>-31.506</v>
      </c>
      <c r="H613">
        <v>16306</v>
      </c>
      <c r="I613">
        <v>-1</v>
      </c>
      <c r="J613">
        <v>1</v>
      </c>
      <c r="K613" t="s">
        <v>55</v>
      </c>
      <c r="L613" t="s">
        <v>55</v>
      </c>
      <c r="M613" t="s">
        <v>56</v>
      </c>
      <c r="N613">
        <v>1643571012</v>
      </c>
      <c r="O613">
        <v>0.20200000000000001</v>
      </c>
      <c r="P613">
        <v>0.374</v>
      </c>
      <c r="Q613">
        <v>53.253</v>
      </c>
      <c r="R613">
        <v>1E-3</v>
      </c>
      <c r="S613">
        <v>1E-3</v>
      </c>
      <c r="T613">
        <v>1.292</v>
      </c>
      <c r="U613">
        <v>90.870999999999995</v>
      </c>
      <c r="V613">
        <v>25.13</v>
      </c>
      <c r="W613">
        <v>2.2879999999999998</v>
      </c>
      <c r="X613">
        <v>85.697000000000003</v>
      </c>
      <c r="Y613">
        <v>0.95799999999999996</v>
      </c>
      <c r="Z613">
        <v>0.91600000000000004</v>
      </c>
      <c r="AA613">
        <v>0</v>
      </c>
      <c r="AB613">
        <v>0</v>
      </c>
      <c r="AC613">
        <v>1</v>
      </c>
      <c r="AD613">
        <v>39.75</v>
      </c>
      <c r="AE613">
        <v>1</v>
      </c>
      <c r="AF613">
        <v>83</v>
      </c>
      <c r="AG613">
        <v>6</v>
      </c>
      <c r="AH613" t="s">
        <v>84</v>
      </c>
      <c r="AI613">
        <v>0</v>
      </c>
    </row>
    <row r="614" spans="1:35" x14ac:dyDescent="0.45">
      <c r="A614">
        <v>613</v>
      </c>
      <c r="B614" t="s">
        <v>867</v>
      </c>
      <c r="C614" t="s">
        <v>872</v>
      </c>
      <c r="D614" t="s">
        <v>869</v>
      </c>
      <c r="E614">
        <v>4</v>
      </c>
      <c r="F614">
        <v>-4.6619999999999999</v>
      </c>
      <c r="G614">
        <v>-31.29</v>
      </c>
      <c r="H614">
        <v>16366</v>
      </c>
      <c r="I614">
        <v>0</v>
      </c>
      <c r="J614">
        <v>1</v>
      </c>
      <c r="K614" t="s">
        <v>55</v>
      </c>
      <c r="L614" t="s">
        <v>55</v>
      </c>
      <c r="M614" t="s">
        <v>56</v>
      </c>
      <c r="N614">
        <v>1643571548.4400001</v>
      </c>
      <c r="O614">
        <v>0.19</v>
      </c>
      <c r="P614">
        <v>0.38300000000000001</v>
      </c>
      <c r="Q614">
        <v>53.841999999999999</v>
      </c>
      <c r="R614">
        <v>1E-3</v>
      </c>
      <c r="S614">
        <v>1E-3</v>
      </c>
      <c r="T614">
        <v>1.3</v>
      </c>
      <c r="U614">
        <v>91.403999999999996</v>
      </c>
      <c r="V614">
        <v>24.867999999999999</v>
      </c>
      <c r="W614">
        <v>2.298</v>
      </c>
      <c r="X614">
        <v>86.045000000000002</v>
      </c>
      <c r="Y614">
        <v>0.97599999999999998</v>
      </c>
      <c r="Z614">
        <v>0.879</v>
      </c>
      <c r="AA614">
        <v>0</v>
      </c>
      <c r="AB614">
        <v>0</v>
      </c>
      <c r="AC614">
        <v>1</v>
      </c>
      <c r="AD614">
        <v>39.75</v>
      </c>
      <c r="AE614">
        <v>1</v>
      </c>
      <c r="AF614">
        <v>83</v>
      </c>
      <c r="AG614">
        <v>6</v>
      </c>
      <c r="AH614" t="s">
        <v>84</v>
      </c>
      <c r="AI614">
        <v>0</v>
      </c>
    </row>
    <row r="615" spans="1:35" x14ac:dyDescent="0.45">
      <c r="A615">
        <v>614</v>
      </c>
      <c r="B615" t="s">
        <v>867</v>
      </c>
      <c r="C615" t="s">
        <v>873</v>
      </c>
      <c r="D615" t="s">
        <v>869</v>
      </c>
      <c r="E615">
        <v>5</v>
      </c>
      <c r="F615">
        <v>-4.6500000000000004</v>
      </c>
      <c r="G615">
        <v>-31.318999999999999</v>
      </c>
      <c r="H615">
        <v>16348</v>
      </c>
      <c r="I615">
        <v>0</v>
      </c>
      <c r="J615">
        <v>1</v>
      </c>
      <c r="K615" t="s">
        <v>55</v>
      </c>
      <c r="L615" t="s">
        <v>55</v>
      </c>
      <c r="M615" t="s">
        <v>56</v>
      </c>
      <c r="N615">
        <v>1643572086.0899999</v>
      </c>
      <c r="O615">
        <v>0.187</v>
      </c>
      <c r="P615">
        <v>0.36</v>
      </c>
      <c r="Q615">
        <v>54.207999999999998</v>
      </c>
      <c r="R615">
        <v>0</v>
      </c>
      <c r="S615">
        <v>-2E-3</v>
      </c>
      <c r="T615">
        <v>1.3089999999999999</v>
      </c>
      <c r="U615">
        <v>91.108000000000004</v>
      </c>
      <c r="V615">
        <v>24.991</v>
      </c>
      <c r="W615">
        <v>2.33</v>
      </c>
      <c r="X615">
        <v>86.206999999999994</v>
      </c>
      <c r="Y615">
        <v>0.98899999999999999</v>
      </c>
      <c r="Z615">
        <v>1.024</v>
      </c>
      <c r="AA615">
        <v>0</v>
      </c>
      <c r="AB615">
        <v>0</v>
      </c>
      <c r="AC615">
        <v>1</v>
      </c>
      <c r="AD615">
        <v>39.811999999999998</v>
      </c>
      <c r="AE615">
        <v>1</v>
      </c>
      <c r="AF615">
        <v>83</v>
      </c>
      <c r="AG615">
        <v>6</v>
      </c>
      <c r="AH615" t="s">
        <v>84</v>
      </c>
      <c r="AI615">
        <v>0</v>
      </c>
    </row>
    <row r="616" spans="1:35" x14ac:dyDescent="0.45">
      <c r="A616">
        <v>615</v>
      </c>
      <c r="B616" t="s">
        <v>867</v>
      </c>
      <c r="C616" t="s">
        <v>874</v>
      </c>
      <c r="D616" t="s">
        <v>869</v>
      </c>
      <c r="E616">
        <v>6</v>
      </c>
      <c r="F616">
        <v>-4.694</v>
      </c>
      <c r="G616">
        <v>-31.466000000000001</v>
      </c>
      <c r="H616">
        <v>16314</v>
      </c>
      <c r="I616">
        <v>0</v>
      </c>
      <c r="J616">
        <v>1</v>
      </c>
      <c r="K616" t="s">
        <v>55</v>
      </c>
      <c r="L616" t="s">
        <v>55</v>
      </c>
      <c r="M616" t="s">
        <v>56</v>
      </c>
      <c r="N616">
        <v>1643572621.77</v>
      </c>
      <c r="O616">
        <v>0.185</v>
      </c>
      <c r="P616">
        <v>0.42499999999999999</v>
      </c>
      <c r="Q616">
        <v>54.353999999999999</v>
      </c>
      <c r="R616">
        <v>0</v>
      </c>
      <c r="S616">
        <v>0</v>
      </c>
      <c r="T616">
        <v>1.3</v>
      </c>
      <c r="U616">
        <v>90.884</v>
      </c>
      <c r="V616">
        <v>24.962</v>
      </c>
      <c r="W616">
        <v>2.3420000000000001</v>
      </c>
      <c r="X616">
        <v>86.254000000000005</v>
      </c>
      <c r="Y616">
        <v>0.97599999999999998</v>
      </c>
      <c r="Z616">
        <v>0.99</v>
      </c>
      <c r="AA616">
        <v>0</v>
      </c>
      <c r="AB616">
        <v>0</v>
      </c>
      <c r="AC616">
        <v>1</v>
      </c>
      <c r="AD616">
        <v>39.811999999999998</v>
      </c>
      <c r="AE616">
        <v>1</v>
      </c>
      <c r="AF616">
        <v>83</v>
      </c>
      <c r="AG616">
        <v>6</v>
      </c>
      <c r="AH616" t="s">
        <v>84</v>
      </c>
      <c r="AI616">
        <v>0</v>
      </c>
    </row>
    <row r="617" spans="1:35" x14ac:dyDescent="0.45">
      <c r="A617">
        <v>616</v>
      </c>
      <c r="B617" t="s">
        <v>875</v>
      </c>
      <c r="C617" t="s">
        <v>876</v>
      </c>
      <c r="D617" t="s">
        <v>877</v>
      </c>
      <c r="E617">
        <v>1</v>
      </c>
      <c r="F617">
        <v>-5.4489999999999998</v>
      </c>
      <c r="G617">
        <v>-29.713999999999999</v>
      </c>
      <c r="H617">
        <v>16330</v>
      </c>
      <c r="I617">
        <v>-1</v>
      </c>
      <c r="J617">
        <v>1</v>
      </c>
      <c r="K617" t="s">
        <v>55</v>
      </c>
      <c r="L617" t="s">
        <v>55</v>
      </c>
      <c r="M617" t="s">
        <v>56</v>
      </c>
      <c r="N617">
        <v>1643573159.51</v>
      </c>
      <c r="O617">
        <v>0.2</v>
      </c>
      <c r="P617">
        <v>0.41799999999999998</v>
      </c>
      <c r="Q617">
        <v>53.820999999999998</v>
      </c>
      <c r="R617">
        <v>1E-3</v>
      </c>
      <c r="S617">
        <v>0</v>
      </c>
      <c r="T617">
        <v>1.3029999999999999</v>
      </c>
      <c r="U617">
        <v>90.769000000000005</v>
      </c>
      <c r="V617">
        <v>25.030999999999999</v>
      </c>
      <c r="W617">
        <v>2.3820000000000001</v>
      </c>
      <c r="X617">
        <v>87.406000000000006</v>
      </c>
      <c r="Y617">
        <v>0.97099999999999997</v>
      </c>
      <c r="Z617">
        <v>1.2370000000000001</v>
      </c>
      <c r="AA617">
        <v>0</v>
      </c>
      <c r="AB617">
        <v>0</v>
      </c>
      <c r="AC617">
        <v>1</v>
      </c>
      <c r="AD617">
        <v>39.811999999999998</v>
      </c>
      <c r="AE617">
        <v>1</v>
      </c>
      <c r="AF617">
        <v>84</v>
      </c>
      <c r="AG617">
        <v>6</v>
      </c>
      <c r="AH617" t="s">
        <v>84</v>
      </c>
      <c r="AI617">
        <v>0</v>
      </c>
    </row>
    <row r="618" spans="1:35" x14ac:dyDescent="0.45">
      <c r="A618">
        <v>617</v>
      </c>
      <c r="B618" t="s">
        <v>875</v>
      </c>
      <c r="C618" t="s">
        <v>878</v>
      </c>
      <c r="D618" t="s">
        <v>877</v>
      </c>
      <c r="E618">
        <v>2</v>
      </c>
      <c r="F618">
        <v>-5.5069999999999997</v>
      </c>
      <c r="G618">
        <v>-29.495999999999999</v>
      </c>
      <c r="H618">
        <v>16368</v>
      </c>
      <c r="I618">
        <v>-1</v>
      </c>
      <c r="J618">
        <v>1</v>
      </c>
      <c r="K618" t="s">
        <v>55</v>
      </c>
      <c r="L618" t="s">
        <v>55</v>
      </c>
      <c r="M618" t="s">
        <v>56</v>
      </c>
      <c r="N618">
        <v>1643573696.8699999</v>
      </c>
      <c r="O618">
        <v>0.19700000000000001</v>
      </c>
      <c r="P618">
        <v>0.41199999999999998</v>
      </c>
      <c r="Q618">
        <v>54.084000000000003</v>
      </c>
      <c r="R618">
        <v>1E-3</v>
      </c>
      <c r="S618">
        <v>2E-3</v>
      </c>
      <c r="T618">
        <v>1.2989999999999999</v>
      </c>
      <c r="U618">
        <v>91.292000000000002</v>
      </c>
      <c r="V618">
        <v>24.847999999999999</v>
      </c>
      <c r="W618">
        <v>2.3069999999999999</v>
      </c>
      <c r="X618">
        <v>86.792000000000002</v>
      </c>
      <c r="Y618">
        <v>0.97699999999999998</v>
      </c>
      <c r="Z618">
        <v>0.96199999999999997</v>
      </c>
      <c r="AA618">
        <v>0</v>
      </c>
      <c r="AB618">
        <v>0</v>
      </c>
      <c r="AC618">
        <v>1</v>
      </c>
      <c r="AD618">
        <v>39.811999999999998</v>
      </c>
      <c r="AE618">
        <v>1</v>
      </c>
      <c r="AF618">
        <v>84</v>
      </c>
      <c r="AG618">
        <v>6</v>
      </c>
      <c r="AH618" t="s">
        <v>84</v>
      </c>
      <c r="AI618">
        <v>0</v>
      </c>
    </row>
    <row r="619" spans="1:35" x14ac:dyDescent="0.45">
      <c r="A619">
        <v>618</v>
      </c>
      <c r="B619" t="s">
        <v>875</v>
      </c>
      <c r="C619" t="s">
        <v>879</v>
      </c>
      <c r="D619" t="s">
        <v>877</v>
      </c>
      <c r="E619">
        <v>3</v>
      </c>
      <c r="F619">
        <v>-5.4870000000000001</v>
      </c>
      <c r="G619">
        <v>-29.497</v>
      </c>
      <c r="H619">
        <v>16363</v>
      </c>
      <c r="I619">
        <v>-1</v>
      </c>
      <c r="J619">
        <v>1</v>
      </c>
      <c r="K619" t="s">
        <v>55</v>
      </c>
      <c r="L619" t="s">
        <v>55</v>
      </c>
      <c r="M619" t="s">
        <v>56</v>
      </c>
      <c r="N619">
        <v>1643574232.4400001</v>
      </c>
      <c r="O619">
        <v>0.186</v>
      </c>
      <c r="P619">
        <v>0.38100000000000001</v>
      </c>
      <c r="Q619">
        <v>53.326999999999998</v>
      </c>
      <c r="R619">
        <v>1E-3</v>
      </c>
      <c r="S619">
        <v>3.0000000000000001E-3</v>
      </c>
      <c r="T619">
        <v>1.2949999999999999</v>
      </c>
      <c r="U619">
        <v>91.204999999999998</v>
      </c>
      <c r="V619">
        <v>25.128</v>
      </c>
      <c r="W619">
        <v>2.3330000000000002</v>
      </c>
      <c r="X619">
        <v>86.509</v>
      </c>
      <c r="Y619">
        <v>0.94799999999999995</v>
      </c>
      <c r="Z619">
        <v>0.95399999999999996</v>
      </c>
      <c r="AA619">
        <v>0</v>
      </c>
      <c r="AB619">
        <v>0</v>
      </c>
      <c r="AC619">
        <v>1</v>
      </c>
      <c r="AD619">
        <v>39.811999999999998</v>
      </c>
      <c r="AE619">
        <v>1</v>
      </c>
      <c r="AF619">
        <v>84</v>
      </c>
      <c r="AG619">
        <v>6</v>
      </c>
      <c r="AH619" t="s">
        <v>84</v>
      </c>
      <c r="AI619">
        <v>0</v>
      </c>
    </row>
    <row r="620" spans="1:35" x14ac:dyDescent="0.45">
      <c r="A620">
        <v>619</v>
      </c>
      <c r="B620" t="s">
        <v>875</v>
      </c>
      <c r="C620" t="s">
        <v>880</v>
      </c>
      <c r="D620" t="s">
        <v>877</v>
      </c>
      <c r="E620">
        <v>4</v>
      </c>
      <c r="F620">
        <v>-5.5170000000000003</v>
      </c>
      <c r="G620">
        <v>-29.468</v>
      </c>
      <c r="H620">
        <v>16350</v>
      </c>
      <c r="I620">
        <v>0</v>
      </c>
      <c r="J620">
        <v>1</v>
      </c>
      <c r="K620" t="s">
        <v>55</v>
      </c>
      <c r="L620" t="s">
        <v>55</v>
      </c>
      <c r="M620" t="s">
        <v>56</v>
      </c>
      <c r="N620">
        <v>1643574768.8399999</v>
      </c>
      <c r="O620">
        <v>0.2</v>
      </c>
      <c r="P620">
        <v>0.35599999999999998</v>
      </c>
      <c r="Q620">
        <v>54.024999999999999</v>
      </c>
      <c r="R620">
        <v>1E-3</v>
      </c>
      <c r="S620">
        <v>1E-3</v>
      </c>
      <c r="T620">
        <v>1.2969999999999999</v>
      </c>
      <c r="U620">
        <v>90.879000000000005</v>
      </c>
      <c r="V620">
        <v>25.434000000000001</v>
      </c>
      <c r="W620">
        <v>2.3359999999999999</v>
      </c>
      <c r="X620">
        <v>86.311999999999998</v>
      </c>
      <c r="Y620">
        <v>0.96099999999999997</v>
      </c>
      <c r="Z620">
        <v>1.127</v>
      </c>
      <c r="AA620">
        <v>0</v>
      </c>
      <c r="AB620">
        <v>0</v>
      </c>
      <c r="AC620">
        <v>1</v>
      </c>
      <c r="AD620">
        <v>39.811999999999998</v>
      </c>
      <c r="AE620">
        <v>1</v>
      </c>
      <c r="AF620">
        <v>84</v>
      </c>
      <c r="AG620">
        <v>6</v>
      </c>
      <c r="AH620" t="s">
        <v>84</v>
      </c>
      <c r="AI620">
        <v>0</v>
      </c>
    </row>
    <row r="621" spans="1:35" x14ac:dyDescent="0.45">
      <c r="A621">
        <v>620</v>
      </c>
      <c r="B621" t="s">
        <v>875</v>
      </c>
      <c r="C621" t="s">
        <v>881</v>
      </c>
      <c r="D621" t="s">
        <v>877</v>
      </c>
      <c r="E621">
        <v>5</v>
      </c>
      <c r="F621">
        <v>-5.4489999999999998</v>
      </c>
      <c r="G621">
        <v>-29.245999999999999</v>
      </c>
      <c r="H621">
        <v>16386</v>
      </c>
      <c r="I621">
        <v>0</v>
      </c>
      <c r="J621">
        <v>1</v>
      </c>
      <c r="K621" t="s">
        <v>55</v>
      </c>
      <c r="L621" t="s">
        <v>55</v>
      </c>
      <c r="M621" t="s">
        <v>56</v>
      </c>
      <c r="N621">
        <v>1643575304.74</v>
      </c>
      <c r="O621">
        <v>0.19600000000000001</v>
      </c>
      <c r="P621">
        <v>0.36899999999999999</v>
      </c>
      <c r="Q621">
        <v>54.058</v>
      </c>
      <c r="R621">
        <v>0</v>
      </c>
      <c r="S621">
        <v>0</v>
      </c>
      <c r="T621">
        <v>1.296</v>
      </c>
      <c r="U621">
        <v>91.042000000000002</v>
      </c>
      <c r="V621">
        <v>24.931999999999999</v>
      </c>
      <c r="W621">
        <v>2.367</v>
      </c>
      <c r="X621">
        <v>88.635000000000005</v>
      </c>
      <c r="Y621">
        <v>0.95599999999999996</v>
      </c>
      <c r="Z621">
        <v>1.4319999999999999</v>
      </c>
      <c r="AA621">
        <v>0</v>
      </c>
      <c r="AB621">
        <v>0</v>
      </c>
      <c r="AC621">
        <v>1</v>
      </c>
      <c r="AD621">
        <v>39.811999999999998</v>
      </c>
      <c r="AE621">
        <v>1</v>
      </c>
      <c r="AF621">
        <v>84</v>
      </c>
      <c r="AG621">
        <v>6</v>
      </c>
      <c r="AH621" t="s">
        <v>84</v>
      </c>
      <c r="AI621">
        <v>0</v>
      </c>
    </row>
    <row r="622" spans="1:35" x14ac:dyDescent="0.45">
      <c r="A622">
        <v>621</v>
      </c>
      <c r="B622" t="s">
        <v>875</v>
      </c>
      <c r="C622" t="s">
        <v>882</v>
      </c>
      <c r="D622" t="s">
        <v>877</v>
      </c>
      <c r="E622">
        <v>6</v>
      </c>
      <c r="F622">
        <v>-5.4969999999999999</v>
      </c>
      <c r="G622">
        <v>-29.395</v>
      </c>
      <c r="H622">
        <v>16334</v>
      </c>
      <c r="I622">
        <v>0</v>
      </c>
      <c r="J622">
        <v>1</v>
      </c>
      <c r="K622" t="s">
        <v>55</v>
      </c>
      <c r="L622" t="s">
        <v>55</v>
      </c>
      <c r="M622" t="s">
        <v>56</v>
      </c>
      <c r="N622">
        <v>1643575841.1600001</v>
      </c>
      <c r="O622">
        <v>0.21199999999999999</v>
      </c>
      <c r="P622">
        <v>0.35</v>
      </c>
      <c r="Q622">
        <v>53.006</v>
      </c>
      <c r="R622">
        <v>1E-3</v>
      </c>
      <c r="S622">
        <v>1E-3</v>
      </c>
      <c r="T622">
        <v>1.2789999999999999</v>
      </c>
      <c r="U622">
        <v>90.769000000000005</v>
      </c>
      <c r="V622">
        <v>24.896999999999998</v>
      </c>
      <c r="W622">
        <v>2.355</v>
      </c>
      <c r="X622">
        <v>88.103999999999999</v>
      </c>
      <c r="Y622">
        <v>0.96699999999999997</v>
      </c>
      <c r="Z622">
        <v>1.3220000000000001</v>
      </c>
      <c r="AA622">
        <v>0</v>
      </c>
      <c r="AB622">
        <v>0</v>
      </c>
      <c r="AC622">
        <v>1</v>
      </c>
      <c r="AD622">
        <v>39.811999999999998</v>
      </c>
      <c r="AE622">
        <v>1</v>
      </c>
      <c r="AF622">
        <v>84</v>
      </c>
      <c r="AG622">
        <v>6</v>
      </c>
      <c r="AH622" t="s">
        <v>84</v>
      </c>
      <c r="AI622">
        <v>0</v>
      </c>
    </row>
    <row r="623" spans="1:35" x14ac:dyDescent="0.45">
      <c r="A623">
        <v>622</v>
      </c>
      <c r="B623" t="s">
        <v>883</v>
      </c>
      <c r="C623" t="s">
        <v>884</v>
      </c>
      <c r="D623" t="s">
        <v>885</v>
      </c>
      <c r="E623">
        <v>1</v>
      </c>
      <c r="F623">
        <v>-5.7220000000000004</v>
      </c>
      <c r="G623">
        <v>-35.378</v>
      </c>
      <c r="H623">
        <v>16331</v>
      </c>
      <c r="I623">
        <v>-1</v>
      </c>
      <c r="J623">
        <v>1</v>
      </c>
      <c r="K623" t="s">
        <v>55</v>
      </c>
      <c r="L623" t="s">
        <v>55</v>
      </c>
      <c r="M623" t="s">
        <v>56</v>
      </c>
      <c r="N623">
        <v>1643576378.23</v>
      </c>
      <c r="O623">
        <v>0.18</v>
      </c>
      <c r="P623">
        <v>0.44600000000000001</v>
      </c>
      <c r="Q623">
        <v>53.76</v>
      </c>
      <c r="R623">
        <v>0</v>
      </c>
      <c r="S623">
        <v>2E-3</v>
      </c>
      <c r="T623">
        <v>1.298</v>
      </c>
      <c r="U623">
        <v>90.978999999999999</v>
      </c>
      <c r="V623">
        <v>24.879000000000001</v>
      </c>
      <c r="W623">
        <v>2.3090000000000002</v>
      </c>
      <c r="X623">
        <v>87.097999999999999</v>
      </c>
      <c r="Y623">
        <v>0.94899999999999995</v>
      </c>
      <c r="Z623">
        <v>1.103</v>
      </c>
      <c r="AA623">
        <v>0</v>
      </c>
      <c r="AB623">
        <v>0</v>
      </c>
      <c r="AC623">
        <v>1</v>
      </c>
      <c r="AD623">
        <v>39.875</v>
      </c>
      <c r="AE623">
        <v>1</v>
      </c>
      <c r="AF623">
        <v>85</v>
      </c>
      <c r="AG623">
        <v>6</v>
      </c>
      <c r="AH623" t="s">
        <v>84</v>
      </c>
      <c r="AI623">
        <v>0</v>
      </c>
    </row>
    <row r="624" spans="1:35" x14ac:dyDescent="0.45">
      <c r="A624">
        <v>623</v>
      </c>
      <c r="B624" t="s">
        <v>883</v>
      </c>
      <c r="C624" t="s">
        <v>886</v>
      </c>
      <c r="D624" t="s">
        <v>885</v>
      </c>
      <c r="E624">
        <v>2</v>
      </c>
      <c r="F624">
        <v>-5.6929999999999996</v>
      </c>
      <c r="G624">
        <v>-35.822000000000003</v>
      </c>
      <c r="H624">
        <v>16362</v>
      </c>
      <c r="I624">
        <v>-1</v>
      </c>
      <c r="J624">
        <v>1</v>
      </c>
      <c r="K624" t="s">
        <v>55</v>
      </c>
      <c r="L624" t="s">
        <v>55</v>
      </c>
      <c r="M624" t="s">
        <v>56</v>
      </c>
      <c r="N624">
        <v>1643576915.1300001</v>
      </c>
      <c r="O624">
        <v>0.191</v>
      </c>
      <c r="P624">
        <v>0.41199999999999998</v>
      </c>
      <c r="Q624">
        <v>53.375</v>
      </c>
      <c r="R624">
        <v>1E-3</v>
      </c>
      <c r="S624">
        <v>1E-3</v>
      </c>
      <c r="T624">
        <v>1.2909999999999999</v>
      </c>
      <c r="U624">
        <v>91.087000000000003</v>
      </c>
      <c r="V624">
        <v>24.959</v>
      </c>
      <c r="W624">
        <v>2.335</v>
      </c>
      <c r="X624">
        <v>87.31</v>
      </c>
      <c r="Y624">
        <v>0.94799999999999995</v>
      </c>
      <c r="Z624">
        <v>1.1339999999999999</v>
      </c>
      <c r="AA624">
        <v>0</v>
      </c>
      <c r="AB624">
        <v>0</v>
      </c>
      <c r="AC624">
        <v>1</v>
      </c>
      <c r="AD624">
        <v>39.875</v>
      </c>
      <c r="AE624">
        <v>1</v>
      </c>
      <c r="AF624">
        <v>85</v>
      </c>
      <c r="AG624">
        <v>6</v>
      </c>
      <c r="AH624" t="s">
        <v>84</v>
      </c>
      <c r="AI624">
        <v>0</v>
      </c>
    </row>
    <row r="625" spans="1:35" x14ac:dyDescent="0.45">
      <c r="A625">
        <v>624</v>
      </c>
      <c r="B625" t="s">
        <v>883</v>
      </c>
      <c r="C625" t="s">
        <v>887</v>
      </c>
      <c r="D625" t="s">
        <v>885</v>
      </c>
      <c r="E625">
        <v>3</v>
      </c>
      <c r="F625">
        <v>-5.7030000000000003</v>
      </c>
      <c r="G625">
        <v>-35.94</v>
      </c>
      <c r="H625">
        <v>16301</v>
      </c>
      <c r="I625">
        <v>-1</v>
      </c>
      <c r="J625">
        <v>1</v>
      </c>
      <c r="K625" t="s">
        <v>55</v>
      </c>
      <c r="L625" t="s">
        <v>55</v>
      </c>
      <c r="M625" t="s">
        <v>56</v>
      </c>
      <c r="N625">
        <v>1643577451.3800001</v>
      </c>
      <c r="O625">
        <v>0.2</v>
      </c>
      <c r="P625">
        <v>0.38100000000000001</v>
      </c>
      <c r="Q625">
        <v>54.491999999999997</v>
      </c>
      <c r="R625">
        <v>0</v>
      </c>
      <c r="S625">
        <v>1E-3</v>
      </c>
      <c r="T625">
        <v>1.2989999999999999</v>
      </c>
      <c r="U625">
        <v>90.834999999999994</v>
      </c>
      <c r="V625">
        <v>25.22</v>
      </c>
      <c r="W625">
        <v>2.2759999999999998</v>
      </c>
      <c r="X625">
        <v>85.278000000000006</v>
      </c>
      <c r="Y625">
        <v>0.96599999999999997</v>
      </c>
      <c r="Z625">
        <v>0.86699999999999999</v>
      </c>
      <c r="AA625">
        <v>0</v>
      </c>
      <c r="AB625">
        <v>0</v>
      </c>
      <c r="AC625">
        <v>1</v>
      </c>
      <c r="AD625">
        <v>39.875</v>
      </c>
      <c r="AE625">
        <v>1</v>
      </c>
      <c r="AF625">
        <v>85</v>
      </c>
      <c r="AG625">
        <v>6</v>
      </c>
      <c r="AH625" t="s">
        <v>84</v>
      </c>
      <c r="AI625">
        <v>0</v>
      </c>
    </row>
    <row r="626" spans="1:35" x14ac:dyDescent="0.45">
      <c r="A626">
        <v>625</v>
      </c>
      <c r="B626" t="s">
        <v>883</v>
      </c>
      <c r="C626" t="s">
        <v>888</v>
      </c>
      <c r="D626" t="s">
        <v>885</v>
      </c>
      <c r="E626">
        <v>4</v>
      </c>
      <c r="F626">
        <v>-5.7</v>
      </c>
      <c r="G626">
        <v>-36.000999999999998</v>
      </c>
      <c r="H626">
        <v>16286</v>
      </c>
      <c r="I626">
        <v>0</v>
      </c>
      <c r="J626">
        <v>1</v>
      </c>
      <c r="K626" t="s">
        <v>55</v>
      </c>
      <c r="L626" t="s">
        <v>55</v>
      </c>
      <c r="M626" t="s">
        <v>56</v>
      </c>
      <c r="N626">
        <v>1643577987.78</v>
      </c>
      <c r="O626">
        <v>0.215</v>
      </c>
      <c r="P626">
        <v>0.377</v>
      </c>
      <c r="Q626">
        <v>53.063000000000002</v>
      </c>
      <c r="R626">
        <v>1E-3</v>
      </c>
      <c r="S626">
        <v>1E-3</v>
      </c>
      <c r="T626">
        <v>1.2809999999999999</v>
      </c>
      <c r="U626">
        <v>90.771000000000001</v>
      </c>
      <c r="V626">
        <v>25.324999999999999</v>
      </c>
      <c r="W626">
        <v>2.2799999999999998</v>
      </c>
      <c r="X626">
        <v>84.754000000000005</v>
      </c>
      <c r="Y626">
        <v>0.95399999999999996</v>
      </c>
      <c r="Z626">
        <v>0.90700000000000003</v>
      </c>
      <c r="AA626">
        <v>0</v>
      </c>
      <c r="AB626">
        <v>0</v>
      </c>
      <c r="AC626">
        <v>1</v>
      </c>
      <c r="AD626">
        <v>39.811999999999998</v>
      </c>
      <c r="AE626">
        <v>1</v>
      </c>
      <c r="AF626">
        <v>85</v>
      </c>
      <c r="AG626">
        <v>6</v>
      </c>
      <c r="AH626" t="s">
        <v>84</v>
      </c>
      <c r="AI626">
        <v>0</v>
      </c>
    </row>
    <row r="627" spans="1:35" x14ac:dyDescent="0.45">
      <c r="A627">
        <v>626</v>
      </c>
      <c r="B627" t="s">
        <v>883</v>
      </c>
      <c r="C627" t="s">
        <v>889</v>
      </c>
      <c r="D627" t="s">
        <v>885</v>
      </c>
      <c r="E627">
        <v>5</v>
      </c>
      <c r="F627">
        <v>-5.7060000000000004</v>
      </c>
      <c r="G627">
        <v>-36.048999999999999</v>
      </c>
      <c r="H627">
        <v>16409</v>
      </c>
      <c r="I627">
        <v>0</v>
      </c>
      <c r="J627">
        <v>1</v>
      </c>
      <c r="K627" t="s">
        <v>55</v>
      </c>
      <c r="L627" t="s">
        <v>55</v>
      </c>
      <c r="M627" t="s">
        <v>56</v>
      </c>
      <c r="N627">
        <v>1643578525.04</v>
      </c>
      <c r="O627">
        <v>0.2</v>
      </c>
      <c r="P627">
        <v>0.41699999999999998</v>
      </c>
      <c r="Q627">
        <v>53.924999999999997</v>
      </c>
      <c r="R627">
        <v>1E-3</v>
      </c>
      <c r="S627">
        <v>1E-3</v>
      </c>
      <c r="T627">
        <v>1.294</v>
      </c>
      <c r="U627">
        <v>91.29</v>
      </c>
      <c r="V627">
        <v>25.312999999999999</v>
      </c>
      <c r="W627">
        <v>2.36</v>
      </c>
      <c r="X627">
        <v>86.980999999999995</v>
      </c>
      <c r="Y627">
        <v>0.95799999999999996</v>
      </c>
      <c r="Z627">
        <v>1.1879999999999999</v>
      </c>
      <c r="AA627">
        <v>0</v>
      </c>
      <c r="AB627">
        <v>0</v>
      </c>
      <c r="AC627">
        <v>1</v>
      </c>
      <c r="AD627">
        <v>39.875</v>
      </c>
      <c r="AE627">
        <v>1</v>
      </c>
      <c r="AF627">
        <v>85</v>
      </c>
      <c r="AG627">
        <v>6</v>
      </c>
      <c r="AH627" t="s">
        <v>84</v>
      </c>
      <c r="AI627">
        <v>0</v>
      </c>
    </row>
    <row r="628" spans="1:35" x14ac:dyDescent="0.45">
      <c r="A628">
        <v>627</v>
      </c>
      <c r="B628" t="s">
        <v>883</v>
      </c>
      <c r="C628" t="s">
        <v>890</v>
      </c>
      <c r="D628" t="s">
        <v>885</v>
      </c>
      <c r="E628">
        <v>6</v>
      </c>
      <c r="F628">
        <v>-5.673</v>
      </c>
      <c r="G628">
        <v>-36.046999999999997</v>
      </c>
      <c r="H628">
        <v>16306</v>
      </c>
      <c r="I628">
        <v>0</v>
      </c>
      <c r="J628">
        <v>1</v>
      </c>
      <c r="K628" t="s">
        <v>55</v>
      </c>
      <c r="L628" t="s">
        <v>55</v>
      </c>
      <c r="M628" t="s">
        <v>56</v>
      </c>
      <c r="N628">
        <v>1643579061.5999999</v>
      </c>
      <c r="O628">
        <v>0.20899999999999999</v>
      </c>
      <c r="P628">
        <v>0.42599999999999999</v>
      </c>
      <c r="Q628">
        <v>53.691000000000003</v>
      </c>
      <c r="R628">
        <v>0</v>
      </c>
      <c r="S628">
        <v>1E-3</v>
      </c>
      <c r="T628">
        <v>1.296</v>
      </c>
      <c r="U628">
        <v>90.965000000000003</v>
      </c>
      <c r="V628">
        <v>24.661999999999999</v>
      </c>
      <c r="W628">
        <v>2.3109999999999999</v>
      </c>
      <c r="X628">
        <v>86.781999999999996</v>
      </c>
      <c r="Y628">
        <v>0.93100000000000005</v>
      </c>
      <c r="Z628">
        <v>1.0249999999999999</v>
      </c>
      <c r="AA628">
        <v>0</v>
      </c>
      <c r="AB628">
        <v>0</v>
      </c>
      <c r="AC628">
        <v>1</v>
      </c>
      <c r="AD628">
        <v>39.811999999999998</v>
      </c>
      <c r="AE628">
        <v>1</v>
      </c>
      <c r="AF628">
        <v>85</v>
      </c>
      <c r="AG628">
        <v>6</v>
      </c>
      <c r="AH628" t="s">
        <v>84</v>
      </c>
      <c r="AI628">
        <v>0</v>
      </c>
    </row>
    <row r="629" spans="1:35" x14ac:dyDescent="0.45">
      <c r="A629">
        <v>628</v>
      </c>
      <c r="B629" t="s">
        <v>891</v>
      </c>
      <c r="C629" t="s">
        <v>892</v>
      </c>
      <c r="D629" t="s">
        <v>893</v>
      </c>
      <c r="E629">
        <v>1</v>
      </c>
      <c r="F629">
        <v>-0.253</v>
      </c>
      <c r="G629">
        <v>-1.627</v>
      </c>
      <c r="H629">
        <v>16308</v>
      </c>
      <c r="I629">
        <v>-1</v>
      </c>
      <c r="J629">
        <v>1</v>
      </c>
      <c r="K629" t="s">
        <v>55</v>
      </c>
      <c r="L629" t="s">
        <v>55</v>
      </c>
      <c r="M629" t="s">
        <v>56</v>
      </c>
      <c r="N629">
        <v>1643579598.77</v>
      </c>
      <c r="O629">
        <v>0.18099999999999999</v>
      </c>
      <c r="P629">
        <v>0.40400000000000003</v>
      </c>
      <c r="Q629">
        <v>53.247999999999998</v>
      </c>
      <c r="R629">
        <v>1E-3</v>
      </c>
      <c r="S629">
        <v>-2E-3</v>
      </c>
      <c r="T629">
        <v>1.284</v>
      </c>
      <c r="U629">
        <v>90.834999999999994</v>
      </c>
      <c r="V629">
        <v>24.657</v>
      </c>
      <c r="W629">
        <v>2.3719999999999999</v>
      </c>
      <c r="X629">
        <v>87.150999999999996</v>
      </c>
      <c r="Y629">
        <v>0.94199999999999995</v>
      </c>
      <c r="Z629">
        <v>1.105</v>
      </c>
      <c r="AA629">
        <v>0</v>
      </c>
      <c r="AB629">
        <v>0</v>
      </c>
      <c r="AC629">
        <v>1</v>
      </c>
      <c r="AD629">
        <v>39.875</v>
      </c>
      <c r="AE629">
        <v>1</v>
      </c>
      <c r="AF629">
        <v>86</v>
      </c>
      <c r="AG629">
        <v>6</v>
      </c>
      <c r="AH629" t="s">
        <v>84</v>
      </c>
      <c r="AI629">
        <v>0</v>
      </c>
    </row>
    <row r="630" spans="1:35" x14ac:dyDescent="0.45">
      <c r="A630">
        <v>629</v>
      </c>
      <c r="B630" t="s">
        <v>891</v>
      </c>
      <c r="C630" t="s">
        <v>894</v>
      </c>
      <c r="D630" t="s">
        <v>893</v>
      </c>
      <c r="E630">
        <v>2</v>
      </c>
      <c r="F630">
        <v>-1E-3</v>
      </c>
      <c r="G630">
        <v>1.1559999999999999</v>
      </c>
      <c r="H630">
        <v>16345</v>
      </c>
      <c r="I630">
        <v>-1</v>
      </c>
      <c r="J630">
        <v>1</v>
      </c>
      <c r="K630" t="s">
        <v>55</v>
      </c>
      <c r="L630" t="s">
        <v>55</v>
      </c>
      <c r="M630" t="s">
        <v>56</v>
      </c>
      <c r="N630">
        <v>1643580134.0899999</v>
      </c>
      <c r="O630">
        <v>0.19500000000000001</v>
      </c>
      <c r="P630">
        <v>0.42</v>
      </c>
      <c r="Q630">
        <v>53.326000000000001</v>
      </c>
      <c r="R630">
        <v>1E-3</v>
      </c>
      <c r="S630">
        <v>-2E-3</v>
      </c>
      <c r="T630">
        <v>1.2869999999999999</v>
      </c>
      <c r="U630">
        <v>90.978999999999999</v>
      </c>
      <c r="V630">
        <v>24.504000000000001</v>
      </c>
      <c r="W630">
        <v>2.3839999999999999</v>
      </c>
      <c r="X630">
        <v>88.283000000000001</v>
      </c>
      <c r="Y630">
        <v>0.94599999999999995</v>
      </c>
      <c r="Z630">
        <v>1.349</v>
      </c>
      <c r="AA630">
        <v>0</v>
      </c>
      <c r="AB630">
        <v>0</v>
      </c>
      <c r="AC630">
        <v>1</v>
      </c>
      <c r="AD630">
        <v>39.811999999999998</v>
      </c>
      <c r="AE630">
        <v>1</v>
      </c>
      <c r="AF630">
        <v>86</v>
      </c>
      <c r="AG630">
        <v>6</v>
      </c>
      <c r="AH630" t="s">
        <v>84</v>
      </c>
      <c r="AI630">
        <v>0</v>
      </c>
    </row>
    <row r="631" spans="1:35" x14ac:dyDescent="0.45">
      <c r="A631">
        <v>630</v>
      </c>
      <c r="B631" t="s">
        <v>891</v>
      </c>
      <c r="C631" t="s">
        <v>895</v>
      </c>
      <c r="D631" t="s">
        <v>893</v>
      </c>
      <c r="E631">
        <v>3</v>
      </c>
      <c r="F631">
        <v>2E-3</v>
      </c>
      <c r="G631">
        <v>1.752</v>
      </c>
      <c r="H631">
        <v>16300</v>
      </c>
      <c r="I631">
        <v>-1</v>
      </c>
      <c r="J631">
        <v>1</v>
      </c>
      <c r="K631" t="s">
        <v>55</v>
      </c>
      <c r="L631" t="s">
        <v>55</v>
      </c>
      <c r="M631" t="s">
        <v>56</v>
      </c>
      <c r="N631">
        <v>1643580670.53</v>
      </c>
      <c r="O631">
        <v>0.22</v>
      </c>
      <c r="P631">
        <v>0.40200000000000002</v>
      </c>
      <c r="Q631">
        <v>53.78</v>
      </c>
      <c r="R631">
        <v>1E-3</v>
      </c>
      <c r="S631">
        <v>-1E-3</v>
      </c>
      <c r="T631">
        <v>1.2969999999999999</v>
      </c>
      <c r="U631">
        <v>90.741</v>
      </c>
      <c r="V631">
        <v>24.716000000000001</v>
      </c>
      <c r="W631">
        <v>2.3069999999999999</v>
      </c>
      <c r="X631">
        <v>87.186000000000007</v>
      </c>
      <c r="Y631">
        <v>0.94299999999999995</v>
      </c>
      <c r="Z631">
        <v>1.1279999999999999</v>
      </c>
      <c r="AA631">
        <v>0</v>
      </c>
      <c r="AB631">
        <v>0</v>
      </c>
      <c r="AC631">
        <v>1</v>
      </c>
      <c r="AD631">
        <v>39.811999999999998</v>
      </c>
      <c r="AE631">
        <v>1</v>
      </c>
      <c r="AF631">
        <v>86</v>
      </c>
      <c r="AG631">
        <v>6</v>
      </c>
      <c r="AH631" t="s">
        <v>84</v>
      </c>
      <c r="AI631">
        <v>0</v>
      </c>
    </row>
    <row r="632" spans="1:35" x14ac:dyDescent="0.45">
      <c r="A632">
        <v>631</v>
      </c>
      <c r="B632" t="s">
        <v>891</v>
      </c>
      <c r="C632" t="s">
        <v>896</v>
      </c>
      <c r="D632" t="s">
        <v>893</v>
      </c>
      <c r="E632">
        <v>4</v>
      </c>
      <c r="F632">
        <v>2.8000000000000001E-2</v>
      </c>
      <c r="G632">
        <v>1.863</v>
      </c>
      <c r="H632">
        <v>16281</v>
      </c>
      <c r="I632">
        <v>0</v>
      </c>
      <c r="J632">
        <v>1</v>
      </c>
      <c r="K632" t="s">
        <v>55</v>
      </c>
      <c r="L632" t="s">
        <v>55</v>
      </c>
      <c r="M632" t="s">
        <v>56</v>
      </c>
      <c r="N632">
        <v>1643581206.4300001</v>
      </c>
      <c r="O632">
        <v>0.19700000000000001</v>
      </c>
      <c r="P632">
        <v>0.39300000000000002</v>
      </c>
      <c r="Q632">
        <v>54.704999999999998</v>
      </c>
      <c r="R632">
        <v>1E-3</v>
      </c>
      <c r="S632">
        <v>-1E-3</v>
      </c>
      <c r="T632">
        <v>1.3220000000000001</v>
      </c>
      <c r="U632">
        <v>90.575999999999993</v>
      </c>
      <c r="V632">
        <v>24.785</v>
      </c>
      <c r="W632">
        <v>2.34</v>
      </c>
      <c r="X632">
        <v>87.138000000000005</v>
      </c>
      <c r="Y632">
        <v>0.93700000000000006</v>
      </c>
      <c r="Z632">
        <v>1.1240000000000001</v>
      </c>
      <c r="AA632">
        <v>0</v>
      </c>
      <c r="AB632">
        <v>0</v>
      </c>
      <c r="AC632">
        <v>1</v>
      </c>
      <c r="AD632">
        <v>39.875</v>
      </c>
      <c r="AE632">
        <v>1</v>
      </c>
      <c r="AF632">
        <v>86</v>
      </c>
      <c r="AG632">
        <v>6</v>
      </c>
      <c r="AH632" t="s">
        <v>84</v>
      </c>
      <c r="AI632">
        <v>0</v>
      </c>
    </row>
    <row r="633" spans="1:35" x14ac:dyDescent="0.45">
      <c r="A633">
        <v>632</v>
      </c>
      <c r="B633" t="s">
        <v>891</v>
      </c>
      <c r="C633" t="s">
        <v>897</v>
      </c>
      <c r="D633" t="s">
        <v>893</v>
      </c>
      <c r="E633">
        <v>5</v>
      </c>
      <c r="F633">
        <v>6.7000000000000004E-2</v>
      </c>
      <c r="G633">
        <v>2.1520000000000001</v>
      </c>
      <c r="H633">
        <v>16373</v>
      </c>
      <c r="I633">
        <v>0</v>
      </c>
      <c r="J633">
        <v>1</v>
      </c>
      <c r="K633" t="s">
        <v>55</v>
      </c>
      <c r="L633" t="s">
        <v>55</v>
      </c>
      <c r="M633" t="s">
        <v>56</v>
      </c>
      <c r="N633">
        <v>1643581743.5</v>
      </c>
      <c r="O633">
        <v>0.19800000000000001</v>
      </c>
      <c r="P633">
        <v>0.41899999999999998</v>
      </c>
      <c r="Q633">
        <v>53.680999999999997</v>
      </c>
      <c r="R633">
        <v>1E-3</v>
      </c>
      <c r="S633">
        <v>-1E-3</v>
      </c>
      <c r="T633">
        <v>1.282</v>
      </c>
      <c r="U633">
        <v>91.253</v>
      </c>
      <c r="V633">
        <v>24.238</v>
      </c>
      <c r="W633">
        <v>2.41</v>
      </c>
      <c r="X633">
        <v>88.902000000000001</v>
      </c>
      <c r="Y633">
        <v>0.97199999999999998</v>
      </c>
      <c r="Z633">
        <v>1.2410000000000001</v>
      </c>
      <c r="AA633">
        <v>0</v>
      </c>
      <c r="AB633">
        <v>0</v>
      </c>
      <c r="AC633">
        <v>1</v>
      </c>
      <c r="AD633">
        <v>39.875</v>
      </c>
      <c r="AE633">
        <v>1</v>
      </c>
      <c r="AF633">
        <v>86</v>
      </c>
      <c r="AG633">
        <v>6</v>
      </c>
      <c r="AH633" t="s">
        <v>84</v>
      </c>
      <c r="AI633">
        <v>0</v>
      </c>
    </row>
    <row r="634" spans="1:35" x14ac:dyDescent="0.45">
      <c r="A634">
        <v>633</v>
      </c>
      <c r="B634" t="s">
        <v>891</v>
      </c>
      <c r="C634" t="s">
        <v>898</v>
      </c>
      <c r="D634" t="s">
        <v>893</v>
      </c>
      <c r="E634">
        <v>6</v>
      </c>
      <c r="F634">
        <v>7.0999999999999994E-2</v>
      </c>
      <c r="G634">
        <v>2.2879999999999998</v>
      </c>
      <c r="H634">
        <v>16347</v>
      </c>
      <c r="I634">
        <v>0</v>
      </c>
      <c r="J634">
        <v>1</v>
      </c>
      <c r="K634" t="s">
        <v>55</v>
      </c>
      <c r="L634" t="s">
        <v>55</v>
      </c>
      <c r="M634" t="s">
        <v>56</v>
      </c>
      <c r="N634">
        <v>1643582280.5</v>
      </c>
      <c r="O634">
        <v>0.192</v>
      </c>
      <c r="P634">
        <v>0.41499999999999998</v>
      </c>
      <c r="Q634">
        <v>54.027000000000001</v>
      </c>
      <c r="R634">
        <v>0</v>
      </c>
      <c r="S634">
        <v>0</v>
      </c>
      <c r="T634">
        <v>1.2989999999999999</v>
      </c>
      <c r="U634">
        <v>90.866</v>
      </c>
      <c r="V634">
        <v>25.03</v>
      </c>
      <c r="W634">
        <v>2.3839999999999999</v>
      </c>
      <c r="X634">
        <v>87.350999999999999</v>
      </c>
      <c r="Y634">
        <v>0.94899999999999995</v>
      </c>
      <c r="Z634">
        <v>1.204</v>
      </c>
      <c r="AA634">
        <v>0</v>
      </c>
      <c r="AB634">
        <v>0</v>
      </c>
      <c r="AC634">
        <v>1</v>
      </c>
      <c r="AD634">
        <v>39.875</v>
      </c>
      <c r="AE634">
        <v>1</v>
      </c>
      <c r="AF634">
        <v>86</v>
      </c>
      <c r="AG634">
        <v>6</v>
      </c>
      <c r="AH634" t="s">
        <v>84</v>
      </c>
      <c r="AI634">
        <v>0</v>
      </c>
    </row>
    <row r="635" spans="1:35" x14ac:dyDescent="0.45">
      <c r="A635">
        <v>634</v>
      </c>
      <c r="B635" t="s">
        <v>899</v>
      </c>
      <c r="C635" t="s">
        <v>900</v>
      </c>
      <c r="D635" t="s">
        <v>901</v>
      </c>
      <c r="E635">
        <v>1</v>
      </c>
      <c r="F635">
        <v>-4.8959999999999999</v>
      </c>
      <c r="G635">
        <v>-28.925000000000001</v>
      </c>
      <c r="H635">
        <v>16358</v>
      </c>
      <c r="I635">
        <v>-1</v>
      </c>
      <c r="J635">
        <v>1</v>
      </c>
      <c r="K635" t="s">
        <v>55</v>
      </c>
      <c r="L635" t="s">
        <v>55</v>
      </c>
      <c r="M635" t="s">
        <v>56</v>
      </c>
      <c r="N635">
        <v>1643582816.28</v>
      </c>
      <c r="O635">
        <v>0.20599999999999999</v>
      </c>
      <c r="P635">
        <v>0.38700000000000001</v>
      </c>
      <c r="Q635">
        <v>54.360999999999997</v>
      </c>
      <c r="R635">
        <v>1E-3</v>
      </c>
      <c r="S635">
        <v>2E-3</v>
      </c>
      <c r="T635">
        <v>1.3120000000000001</v>
      </c>
      <c r="U635">
        <v>91.042000000000002</v>
      </c>
      <c r="V635">
        <v>24.798999999999999</v>
      </c>
      <c r="W635">
        <v>2.34</v>
      </c>
      <c r="X635">
        <v>88.003</v>
      </c>
      <c r="Y635">
        <v>0.95299999999999996</v>
      </c>
      <c r="Z635">
        <v>1.3220000000000001</v>
      </c>
      <c r="AA635">
        <v>0</v>
      </c>
      <c r="AB635">
        <v>0</v>
      </c>
      <c r="AC635">
        <v>1</v>
      </c>
      <c r="AD635">
        <v>39.811999999999998</v>
      </c>
      <c r="AE635">
        <v>1</v>
      </c>
      <c r="AF635">
        <v>87</v>
      </c>
      <c r="AG635">
        <v>6</v>
      </c>
      <c r="AH635" t="s">
        <v>84</v>
      </c>
      <c r="AI635">
        <v>0</v>
      </c>
    </row>
    <row r="636" spans="1:35" x14ac:dyDescent="0.45">
      <c r="A636">
        <v>635</v>
      </c>
      <c r="B636" t="s">
        <v>899</v>
      </c>
      <c r="C636" t="s">
        <v>902</v>
      </c>
      <c r="D636" t="s">
        <v>901</v>
      </c>
      <c r="E636">
        <v>2</v>
      </c>
      <c r="F636">
        <v>-5.1589999999999998</v>
      </c>
      <c r="G636">
        <v>-31.524999999999999</v>
      </c>
      <c r="H636">
        <v>16342</v>
      </c>
      <c r="I636">
        <v>-1</v>
      </c>
      <c r="J636">
        <v>1</v>
      </c>
      <c r="K636" t="s">
        <v>55</v>
      </c>
      <c r="L636" t="s">
        <v>55</v>
      </c>
      <c r="M636" t="s">
        <v>56</v>
      </c>
      <c r="N636">
        <v>1643583351.8299999</v>
      </c>
      <c r="O636">
        <v>0.19600000000000001</v>
      </c>
      <c r="P636">
        <v>0.40799999999999997</v>
      </c>
      <c r="Q636">
        <v>52.893000000000001</v>
      </c>
      <c r="R636">
        <v>0</v>
      </c>
      <c r="S636">
        <v>3.0000000000000001E-3</v>
      </c>
      <c r="T636">
        <v>1.2729999999999999</v>
      </c>
      <c r="U636">
        <v>91.644000000000005</v>
      </c>
      <c r="V636">
        <v>23.655999999999999</v>
      </c>
      <c r="W636">
        <v>2.3090000000000002</v>
      </c>
      <c r="X636">
        <v>87.558000000000007</v>
      </c>
      <c r="Y636">
        <v>0.94599999999999995</v>
      </c>
      <c r="Z636">
        <v>0.83799999999999997</v>
      </c>
      <c r="AA636">
        <v>0</v>
      </c>
      <c r="AB636">
        <v>0</v>
      </c>
      <c r="AC636">
        <v>1</v>
      </c>
      <c r="AD636">
        <v>39.875</v>
      </c>
      <c r="AE636">
        <v>1</v>
      </c>
      <c r="AF636">
        <v>87</v>
      </c>
      <c r="AG636">
        <v>6</v>
      </c>
      <c r="AH636" t="s">
        <v>84</v>
      </c>
      <c r="AI636">
        <v>0</v>
      </c>
    </row>
    <row r="637" spans="1:35" x14ac:dyDescent="0.45">
      <c r="A637">
        <v>636</v>
      </c>
      <c r="B637" t="s">
        <v>899</v>
      </c>
      <c r="C637" t="s">
        <v>903</v>
      </c>
      <c r="D637" t="s">
        <v>901</v>
      </c>
      <c r="E637">
        <v>3</v>
      </c>
      <c r="F637">
        <v>-5.173</v>
      </c>
      <c r="G637">
        <v>-32.100999999999999</v>
      </c>
      <c r="H637">
        <v>16299</v>
      </c>
      <c r="I637">
        <v>-1</v>
      </c>
      <c r="J637">
        <v>1</v>
      </c>
      <c r="K637" t="s">
        <v>55</v>
      </c>
      <c r="L637" t="s">
        <v>55</v>
      </c>
      <c r="M637" t="s">
        <v>56</v>
      </c>
      <c r="N637">
        <v>1643583888.73</v>
      </c>
      <c r="O637">
        <v>0.19</v>
      </c>
      <c r="P637">
        <v>0.41099999999999998</v>
      </c>
      <c r="Q637">
        <v>54.142000000000003</v>
      </c>
      <c r="R637">
        <v>0</v>
      </c>
      <c r="S637">
        <v>3.0000000000000001E-3</v>
      </c>
      <c r="T637">
        <v>1.302</v>
      </c>
      <c r="U637">
        <v>90.941000000000003</v>
      </c>
      <c r="V637">
        <v>24.651</v>
      </c>
      <c r="W637">
        <v>2.3239999999999998</v>
      </c>
      <c r="X637">
        <v>86.450999999999993</v>
      </c>
      <c r="Y637">
        <v>0.94299999999999995</v>
      </c>
      <c r="Z637">
        <v>0.98</v>
      </c>
      <c r="AA637">
        <v>0</v>
      </c>
      <c r="AB637">
        <v>0</v>
      </c>
      <c r="AC637">
        <v>1</v>
      </c>
      <c r="AD637">
        <v>39.875</v>
      </c>
      <c r="AE637">
        <v>1</v>
      </c>
      <c r="AF637">
        <v>87</v>
      </c>
      <c r="AG637">
        <v>6</v>
      </c>
      <c r="AH637" t="s">
        <v>84</v>
      </c>
      <c r="AI637">
        <v>0</v>
      </c>
    </row>
    <row r="638" spans="1:35" x14ac:dyDescent="0.45">
      <c r="A638">
        <v>637</v>
      </c>
      <c r="B638" t="s">
        <v>899</v>
      </c>
      <c r="C638" t="s">
        <v>904</v>
      </c>
      <c r="D638" t="s">
        <v>901</v>
      </c>
      <c r="E638">
        <v>4</v>
      </c>
      <c r="F638">
        <v>-5.2069999999999999</v>
      </c>
      <c r="G638">
        <v>-32.326000000000001</v>
      </c>
      <c r="H638">
        <v>16328</v>
      </c>
      <c r="I638">
        <v>0</v>
      </c>
      <c r="J638">
        <v>1</v>
      </c>
      <c r="K638" t="s">
        <v>55</v>
      </c>
      <c r="L638" t="s">
        <v>55</v>
      </c>
      <c r="M638" t="s">
        <v>56</v>
      </c>
      <c r="N638">
        <v>1643584425.6500001</v>
      </c>
      <c r="O638">
        <v>0.20399999999999999</v>
      </c>
      <c r="P638">
        <v>0.433</v>
      </c>
      <c r="Q638">
        <v>54.536999999999999</v>
      </c>
      <c r="R638">
        <v>0</v>
      </c>
      <c r="S638">
        <v>1E-3</v>
      </c>
      <c r="T638">
        <v>1.298</v>
      </c>
      <c r="U638">
        <v>91.012</v>
      </c>
      <c r="V638">
        <v>25.306000000000001</v>
      </c>
      <c r="W638">
        <v>2.2469999999999999</v>
      </c>
      <c r="X638">
        <v>85.194999999999993</v>
      </c>
      <c r="Y638">
        <v>0.93200000000000005</v>
      </c>
      <c r="Z638">
        <v>0.85899999999999999</v>
      </c>
      <c r="AA638">
        <v>0</v>
      </c>
      <c r="AB638">
        <v>0</v>
      </c>
      <c r="AC638">
        <v>1</v>
      </c>
      <c r="AD638">
        <v>40</v>
      </c>
      <c r="AE638">
        <v>1</v>
      </c>
      <c r="AF638">
        <v>87</v>
      </c>
      <c r="AG638">
        <v>6</v>
      </c>
      <c r="AH638" t="s">
        <v>84</v>
      </c>
      <c r="AI638">
        <v>0</v>
      </c>
    </row>
    <row r="639" spans="1:35" x14ac:dyDescent="0.45">
      <c r="A639">
        <v>638</v>
      </c>
      <c r="B639" t="s">
        <v>899</v>
      </c>
      <c r="C639" t="s">
        <v>905</v>
      </c>
      <c r="D639" t="s">
        <v>901</v>
      </c>
      <c r="E639">
        <v>5</v>
      </c>
      <c r="F639">
        <v>-5.2089999999999996</v>
      </c>
      <c r="G639">
        <v>-32.478000000000002</v>
      </c>
      <c r="H639">
        <v>16310</v>
      </c>
      <c r="I639">
        <v>0</v>
      </c>
      <c r="J639">
        <v>1</v>
      </c>
      <c r="K639" t="s">
        <v>55</v>
      </c>
      <c r="L639" t="s">
        <v>55</v>
      </c>
      <c r="M639" t="s">
        <v>56</v>
      </c>
      <c r="N639">
        <v>1643584963.27</v>
      </c>
      <c r="O639">
        <v>0.21</v>
      </c>
      <c r="P639">
        <v>0.432</v>
      </c>
      <c r="Q639">
        <v>53.753999999999998</v>
      </c>
      <c r="R639">
        <v>1E-3</v>
      </c>
      <c r="S639">
        <v>1E-3</v>
      </c>
      <c r="T639">
        <v>1.302</v>
      </c>
      <c r="U639">
        <v>90.84</v>
      </c>
      <c r="V639">
        <v>25.03</v>
      </c>
      <c r="W639">
        <v>2.3079999999999998</v>
      </c>
      <c r="X639">
        <v>86.459000000000003</v>
      </c>
      <c r="Y639">
        <v>0.93400000000000005</v>
      </c>
      <c r="Z639">
        <v>1.1200000000000001</v>
      </c>
      <c r="AA639">
        <v>0</v>
      </c>
      <c r="AB639">
        <v>0</v>
      </c>
      <c r="AC639">
        <v>1</v>
      </c>
      <c r="AD639">
        <v>40.061999999999998</v>
      </c>
      <c r="AE639">
        <v>1</v>
      </c>
      <c r="AF639">
        <v>87</v>
      </c>
      <c r="AG639">
        <v>6</v>
      </c>
      <c r="AH639" t="s">
        <v>84</v>
      </c>
      <c r="AI639">
        <v>0</v>
      </c>
    </row>
    <row r="640" spans="1:35" x14ac:dyDescent="0.45">
      <c r="A640">
        <v>639</v>
      </c>
      <c r="B640" t="s">
        <v>899</v>
      </c>
      <c r="C640" t="s">
        <v>906</v>
      </c>
      <c r="D640" t="s">
        <v>901</v>
      </c>
      <c r="E640">
        <v>6</v>
      </c>
      <c r="F640">
        <v>-5.2409999999999997</v>
      </c>
      <c r="G640">
        <v>-32.506999999999998</v>
      </c>
      <c r="H640">
        <v>16346</v>
      </c>
      <c r="I640">
        <v>0</v>
      </c>
      <c r="J640">
        <v>1</v>
      </c>
      <c r="K640" t="s">
        <v>55</v>
      </c>
      <c r="L640" t="s">
        <v>55</v>
      </c>
      <c r="M640" t="s">
        <v>56</v>
      </c>
      <c r="N640">
        <v>1643585498.55</v>
      </c>
      <c r="O640">
        <v>0.19800000000000001</v>
      </c>
      <c r="P640">
        <v>0.377</v>
      </c>
      <c r="Q640">
        <v>53.27</v>
      </c>
      <c r="R640">
        <v>0</v>
      </c>
      <c r="S640">
        <v>-1E-3</v>
      </c>
      <c r="T640">
        <v>1.286</v>
      </c>
      <c r="U640">
        <v>91.129000000000005</v>
      </c>
      <c r="V640">
        <v>24.818000000000001</v>
      </c>
      <c r="W640">
        <v>2.363</v>
      </c>
      <c r="X640">
        <v>86.89</v>
      </c>
      <c r="Y640">
        <v>0.94199999999999995</v>
      </c>
      <c r="Z640">
        <v>1.0740000000000001</v>
      </c>
      <c r="AA640">
        <v>0</v>
      </c>
      <c r="AB640">
        <v>0</v>
      </c>
      <c r="AC640">
        <v>1</v>
      </c>
      <c r="AD640">
        <v>40.061999999999998</v>
      </c>
      <c r="AE640">
        <v>1</v>
      </c>
      <c r="AF640">
        <v>87</v>
      </c>
      <c r="AG640">
        <v>6</v>
      </c>
      <c r="AH640" t="s">
        <v>84</v>
      </c>
      <c r="AI640">
        <v>0</v>
      </c>
    </row>
    <row r="641" spans="1:35" x14ac:dyDescent="0.45">
      <c r="A641">
        <v>640</v>
      </c>
      <c r="B641" t="s">
        <v>907</v>
      </c>
      <c r="C641" t="s">
        <v>908</v>
      </c>
      <c r="D641" t="s">
        <v>909</v>
      </c>
      <c r="E641">
        <v>1</v>
      </c>
      <c r="F641">
        <v>-5.8239999999999998</v>
      </c>
      <c r="G641">
        <v>-35.939</v>
      </c>
      <c r="H641">
        <v>16167</v>
      </c>
      <c r="I641">
        <v>-1</v>
      </c>
      <c r="J641">
        <v>1</v>
      </c>
      <c r="K641" t="s">
        <v>55</v>
      </c>
      <c r="L641" t="s">
        <v>55</v>
      </c>
      <c r="M641" t="s">
        <v>56</v>
      </c>
      <c r="N641">
        <v>1643586037.2</v>
      </c>
      <c r="O641">
        <v>0.215</v>
      </c>
      <c r="P641">
        <v>0.374</v>
      </c>
      <c r="Q641">
        <v>53.781999999999996</v>
      </c>
      <c r="R641">
        <v>1E-3</v>
      </c>
      <c r="S641">
        <v>2E-3</v>
      </c>
      <c r="T641">
        <v>1.304</v>
      </c>
      <c r="U641">
        <v>90.036000000000001</v>
      </c>
      <c r="V641">
        <v>24.638000000000002</v>
      </c>
      <c r="W641">
        <v>2.2869999999999999</v>
      </c>
      <c r="X641">
        <v>85.843000000000004</v>
      </c>
      <c r="Y641">
        <v>0.92800000000000005</v>
      </c>
      <c r="Z641">
        <v>1.0840000000000001</v>
      </c>
      <c r="AA641">
        <v>0</v>
      </c>
      <c r="AB641">
        <v>0</v>
      </c>
      <c r="AC641">
        <v>1</v>
      </c>
      <c r="AD641">
        <v>40.061999999999998</v>
      </c>
      <c r="AE641">
        <v>1</v>
      </c>
      <c r="AF641">
        <v>88</v>
      </c>
      <c r="AG641">
        <v>6</v>
      </c>
      <c r="AH641" t="s">
        <v>84</v>
      </c>
      <c r="AI641">
        <v>0</v>
      </c>
    </row>
    <row r="642" spans="1:35" x14ac:dyDescent="0.45">
      <c r="A642">
        <v>641</v>
      </c>
      <c r="B642" t="s">
        <v>907</v>
      </c>
      <c r="C642" t="s">
        <v>910</v>
      </c>
      <c r="D642" t="s">
        <v>909</v>
      </c>
      <c r="E642">
        <v>2</v>
      </c>
      <c r="F642">
        <v>-5.8109999999999999</v>
      </c>
      <c r="G642">
        <v>-36.270000000000003</v>
      </c>
      <c r="H642">
        <v>16356</v>
      </c>
      <c r="I642">
        <v>-1</v>
      </c>
      <c r="J642">
        <v>1</v>
      </c>
      <c r="K642" t="s">
        <v>55</v>
      </c>
      <c r="L642" t="s">
        <v>55</v>
      </c>
      <c r="M642" t="s">
        <v>56</v>
      </c>
      <c r="N642">
        <v>1643586572.5799999</v>
      </c>
      <c r="O642">
        <v>0.19400000000000001</v>
      </c>
      <c r="P642">
        <v>0.41699999999999998</v>
      </c>
      <c r="Q642">
        <v>53.52</v>
      </c>
      <c r="R642">
        <v>1E-3</v>
      </c>
      <c r="S642">
        <v>1E-3</v>
      </c>
      <c r="T642">
        <v>1.286</v>
      </c>
      <c r="U642">
        <v>91.179000000000002</v>
      </c>
      <c r="V642">
        <v>24.88</v>
      </c>
      <c r="W642">
        <v>2.3149999999999999</v>
      </c>
      <c r="X642">
        <v>87.034999999999997</v>
      </c>
      <c r="Y642">
        <v>0.92800000000000005</v>
      </c>
      <c r="Z642">
        <v>1.0580000000000001</v>
      </c>
      <c r="AA642">
        <v>0</v>
      </c>
      <c r="AB642">
        <v>0</v>
      </c>
      <c r="AC642">
        <v>1</v>
      </c>
      <c r="AD642">
        <v>40.125</v>
      </c>
      <c r="AE642">
        <v>1</v>
      </c>
      <c r="AF642">
        <v>88</v>
      </c>
      <c r="AG642">
        <v>6</v>
      </c>
      <c r="AH642" t="s">
        <v>84</v>
      </c>
      <c r="AI642">
        <v>0</v>
      </c>
    </row>
    <row r="643" spans="1:35" x14ac:dyDescent="0.45">
      <c r="A643">
        <v>642</v>
      </c>
      <c r="B643" t="s">
        <v>907</v>
      </c>
      <c r="C643" t="s">
        <v>911</v>
      </c>
      <c r="D643" t="s">
        <v>909</v>
      </c>
      <c r="E643">
        <v>3</v>
      </c>
      <c r="F643">
        <v>-5.8780000000000001</v>
      </c>
      <c r="G643">
        <v>-36.518999999999998</v>
      </c>
      <c r="H643">
        <v>16354</v>
      </c>
      <c r="I643">
        <v>-1</v>
      </c>
      <c r="J643">
        <v>1</v>
      </c>
      <c r="K643" t="s">
        <v>55</v>
      </c>
      <c r="L643" t="s">
        <v>55</v>
      </c>
      <c r="M643" t="s">
        <v>56</v>
      </c>
      <c r="N643">
        <v>1643587110.26</v>
      </c>
      <c r="O643">
        <v>0.22</v>
      </c>
      <c r="P643">
        <v>0.441</v>
      </c>
      <c r="Q643">
        <v>53.91</v>
      </c>
      <c r="R643">
        <v>1E-3</v>
      </c>
      <c r="S643">
        <v>3.0000000000000001E-3</v>
      </c>
      <c r="T643">
        <v>1.3009999999999999</v>
      </c>
      <c r="U643">
        <v>91.015000000000001</v>
      </c>
      <c r="V643">
        <v>25.181000000000001</v>
      </c>
      <c r="W643">
        <v>2.355</v>
      </c>
      <c r="X643">
        <v>86.748999999999995</v>
      </c>
      <c r="Y643">
        <v>0.93799999999999994</v>
      </c>
      <c r="Z643">
        <v>1.161</v>
      </c>
      <c r="AA643">
        <v>0</v>
      </c>
      <c r="AB643">
        <v>0</v>
      </c>
      <c r="AC643">
        <v>1</v>
      </c>
      <c r="AD643">
        <v>40.125</v>
      </c>
      <c r="AE643">
        <v>1</v>
      </c>
      <c r="AF643">
        <v>88</v>
      </c>
      <c r="AG643">
        <v>6</v>
      </c>
      <c r="AH643" t="s">
        <v>84</v>
      </c>
      <c r="AI643">
        <v>0</v>
      </c>
    </row>
    <row r="644" spans="1:35" x14ac:dyDescent="0.45">
      <c r="A644">
        <v>643</v>
      </c>
      <c r="B644" t="s">
        <v>907</v>
      </c>
      <c r="C644" t="s">
        <v>912</v>
      </c>
      <c r="D644" t="s">
        <v>909</v>
      </c>
      <c r="E644">
        <v>4</v>
      </c>
      <c r="F644">
        <v>-5.8460000000000001</v>
      </c>
      <c r="G644">
        <v>-36.454999999999998</v>
      </c>
      <c r="H644">
        <v>16318</v>
      </c>
      <c r="I644">
        <v>0</v>
      </c>
      <c r="J644">
        <v>1</v>
      </c>
      <c r="K644" t="s">
        <v>55</v>
      </c>
      <c r="L644" t="s">
        <v>55</v>
      </c>
      <c r="M644" t="s">
        <v>56</v>
      </c>
      <c r="N644">
        <v>1643587646.46</v>
      </c>
      <c r="O644">
        <v>0.20699999999999999</v>
      </c>
      <c r="P644">
        <v>0.376</v>
      </c>
      <c r="Q644">
        <v>53.23</v>
      </c>
      <c r="R644">
        <v>2E-3</v>
      </c>
      <c r="S644">
        <v>1E-3</v>
      </c>
      <c r="T644">
        <v>1.278</v>
      </c>
      <c r="U644">
        <v>91.128</v>
      </c>
      <c r="V644">
        <v>24.79</v>
      </c>
      <c r="W644">
        <v>2.298</v>
      </c>
      <c r="X644">
        <v>85.863</v>
      </c>
      <c r="Y644">
        <v>0.93300000000000005</v>
      </c>
      <c r="Z644">
        <v>0.82699999999999996</v>
      </c>
      <c r="AA644">
        <v>0</v>
      </c>
      <c r="AB644">
        <v>0</v>
      </c>
      <c r="AC644">
        <v>1</v>
      </c>
      <c r="AD644">
        <v>40.125</v>
      </c>
      <c r="AE644">
        <v>1</v>
      </c>
      <c r="AF644">
        <v>88</v>
      </c>
      <c r="AG644">
        <v>6</v>
      </c>
      <c r="AH644" t="s">
        <v>84</v>
      </c>
      <c r="AI644">
        <v>0</v>
      </c>
    </row>
    <row r="645" spans="1:35" x14ac:dyDescent="0.45">
      <c r="A645">
        <v>644</v>
      </c>
      <c r="B645" t="s">
        <v>907</v>
      </c>
      <c r="C645" t="s">
        <v>913</v>
      </c>
      <c r="D645" t="s">
        <v>909</v>
      </c>
      <c r="E645">
        <v>5</v>
      </c>
      <c r="F645">
        <v>-5.891</v>
      </c>
      <c r="G645">
        <v>-36.49</v>
      </c>
      <c r="H645">
        <v>16331</v>
      </c>
      <c r="I645">
        <v>0</v>
      </c>
      <c r="J645">
        <v>1</v>
      </c>
      <c r="K645" t="s">
        <v>55</v>
      </c>
      <c r="L645" t="s">
        <v>55</v>
      </c>
      <c r="M645" t="s">
        <v>56</v>
      </c>
      <c r="N645">
        <v>1643588183.1300001</v>
      </c>
      <c r="O645">
        <v>0.2</v>
      </c>
      <c r="P645">
        <v>0.39</v>
      </c>
      <c r="Q645">
        <v>52.767000000000003</v>
      </c>
      <c r="R645">
        <v>1E-3</v>
      </c>
      <c r="S645">
        <v>1E-3</v>
      </c>
      <c r="T645">
        <v>1.278</v>
      </c>
      <c r="U645">
        <v>91.003</v>
      </c>
      <c r="V645">
        <v>24.657</v>
      </c>
      <c r="W645">
        <v>2.3460000000000001</v>
      </c>
      <c r="X645">
        <v>87.465999999999994</v>
      </c>
      <c r="Y645">
        <v>0.93300000000000005</v>
      </c>
      <c r="Z645">
        <v>1.1679999999999999</v>
      </c>
      <c r="AA645">
        <v>0</v>
      </c>
      <c r="AB645">
        <v>0</v>
      </c>
      <c r="AC645">
        <v>1</v>
      </c>
      <c r="AD645">
        <v>40.125</v>
      </c>
      <c r="AE645">
        <v>1</v>
      </c>
      <c r="AF645">
        <v>88</v>
      </c>
      <c r="AG645">
        <v>6</v>
      </c>
      <c r="AH645" t="s">
        <v>84</v>
      </c>
      <c r="AI645">
        <v>0</v>
      </c>
    </row>
    <row r="646" spans="1:35" x14ac:dyDescent="0.45">
      <c r="A646">
        <v>645</v>
      </c>
      <c r="B646" t="s">
        <v>907</v>
      </c>
      <c r="C646" t="s">
        <v>914</v>
      </c>
      <c r="D646" t="s">
        <v>909</v>
      </c>
      <c r="E646">
        <v>6</v>
      </c>
      <c r="F646">
        <v>-5.8380000000000001</v>
      </c>
      <c r="G646">
        <v>-36.53</v>
      </c>
      <c r="H646">
        <v>16312</v>
      </c>
      <c r="I646">
        <v>0</v>
      </c>
      <c r="J646">
        <v>1</v>
      </c>
      <c r="K646" t="s">
        <v>55</v>
      </c>
      <c r="L646" t="s">
        <v>55</v>
      </c>
      <c r="M646" t="s">
        <v>56</v>
      </c>
      <c r="N646">
        <v>1643588718.8599999</v>
      </c>
      <c r="O646">
        <v>0.19900000000000001</v>
      </c>
      <c r="P646">
        <v>0.38100000000000001</v>
      </c>
      <c r="Q646">
        <v>54.094999999999999</v>
      </c>
      <c r="R646">
        <v>1E-3</v>
      </c>
      <c r="S646">
        <v>1E-3</v>
      </c>
      <c r="T646">
        <v>1.298</v>
      </c>
      <c r="U646">
        <v>90.727999999999994</v>
      </c>
      <c r="V646">
        <v>24.966999999999999</v>
      </c>
      <c r="W646">
        <v>2.375</v>
      </c>
      <c r="X646">
        <v>87.299000000000007</v>
      </c>
      <c r="Y646">
        <v>0.93300000000000005</v>
      </c>
      <c r="Z646">
        <v>1.2869999999999999</v>
      </c>
      <c r="AA646">
        <v>0</v>
      </c>
      <c r="AB646">
        <v>0</v>
      </c>
      <c r="AC646">
        <v>1</v>
      </c>
      <c r="AD646">
        <v>40.125</v>
      </c>
      <c r="AE646">
        <v>1</v>
      </c>
      <c r="AF646">
        <v>88</v>
      </c>
      <c r="AG646">
        <v>6</v>
      </c>
      <c r="AH646" t="s">
        <v>84</v>
      </c>
      <c r="AI646">
        <v>0</v>
      </c>
    </row>
    <row r="647" spans="1:35" x14ac:dyDescent="0.45">
      <c r="A647">
        <v>646</v>
      </c>
      <c r="B647" t="s">
        <v>915</v>
      </c>
      <c r="C647" t="s">
        <v>916</v>
      </c>
      <c r="D647" t="s">
        <v>917</v>
      </c>
      <c r="E647">
        <v>1</v>
      </c>
      <c r="F647">
        <v>-1.8160000000000001</v>
      </c>
      <c r="G647">
        <v>-15.041</v>
      </c>
      <c r="H647">
        <v>16246</v>
      </c>
      <c r="I647">
        <v>-1</v>
      </c>
      <c r="J647">
        <v>1</v>
      </c>
      <c r="K647" t="s">
        <v>55</v>
      </c>
      <c r="L647" t="s">
        <v>55</v>
      </c>
      <c r="M647" t="s">
        <v>56</v>
      </c>
      <c r="N647">
        <v>1643589255.45</v>
      </c>
      <c r="O647">
        <v>0.20599999999999999</v>
      </c>
      <c r="P647">
        <v>0.434</v>
      </c>
      <c r="Q647">
        <v>53.439</v>
      </c>
      <c r="R647">
        <v>0</v>
      </c>
      <c r="S647">
        <v>-3.0000000000000001E-3</v>
      </c>
      <c r="T647">
        <v>1.2889999999999999</v>
      </c>
      <c r="U647">
        <v>90.581999999999994</v>
      </c>
      <c r="V647">
        <v>24.884</v>
      </c>
      <c r="W647">
        <v>2.2810000000000001</v>
      </c>
      <c r="X647">
        <v>85.491</v>
      </c>
      <c r="Y647">
        <v>0.92800000000000005</v>
      </c>
      <c r="Z647">
        <v>0.88200000000000001</v>
      </c>
      <c r="AA647">
        <v>0</v>
      </c>
      <c r="AB647">
        <v>0</v>
      </c>
      <c r="AC647">
        <v>1</v>
      </c>
      <c r="AD647">
        <v>40.125</v>
      </c>
      <c r="AE647">
        <v>1</v>
      </c>
      <c r="AF647">
        <v>89</v>
      </c>
      <c r="AG647">
        <v>6</v>
      </c>
      <c r="AH647" t="s">
        <v>84</v>
      </c>
      <c r="AI647">
        <v>0</v>
      </c>
    </row>
    <row r="648" spans="1:35" x14ac:dyDescent="0.45">
      <c r="A648">
        <v>647</v>
      </c>
      <c r="B648" t="s">
        <v>915</v>
      </c>
      <c r="C648" t="s">
        <v>918</v>
      </c>
      <c r="D648" t="s">
        <v>917</v>
      </c>
      <c r="E648">
        <v>2</v>
      </c>
      <c r="F648">
        <v>-1.657</v>
      </c>
      <c r="G648">
        <v>-13.151</v>
      </c>
      <c r="H648">
        <v>16311</v>
      </c>
      <c r="I648">
        <v>-1</v>
      </c>
      <c r="J648">
        <v>1</v>
      </c>
      <c r="K648" t="s">
        <v>55</v>
      </c>
      <c r="L648" t="s">
        <v>55</v>
      </c>
      <c r="M648" t="s">
        <v>56</v>
      </c>
      <c r="N648">
        <v>1643589791.8399999</v>
      </c>
      <c r="O648">
        <v>0.20699999999999999</v>
      </c>
      <c r="P648">
        <v>0.379</v>
      </c>
      <c r="Q648">
        <v>53.64</v>
      </c>
      <c r="R648">
        <v>1E-3</v>
      </c>
      <c r="S648">
        <v>1E-3</v>
      </c>
      <c r="T648">
        <v>1.296</v>
      </c>
      <c r="U648">
        <v>90.784000000000006</v>
      </c>
      <c r="V648">
        <v>24.585000000000001</v>
      </c>
      <c r="W648">
        <v>2.3820000000000001</v>
      </c>
      <c r="X648">
        <v>87.858999999999995</v>
      </c>
      <c r="Y648">
        <v>0.93799999999999994</v>
      </c>
      <c r="Z648">
        <v>1.204</v>
      </c>
      <c r="AA648">
        <v>0</v>
      </c>
      <c r="AB648">
        <v>0</v>
      </c>
      <c r="AC648">
        <v>1</v>
      </c>
      <c r="AD648">
        <v>40.125</v>
      </c>
      <c r="AE648">
        <v>1</v>
      </c>
      <c r="AF648">
        <v>89</v>
      </c>
      <c r="AG648">
        <v>6</v>
      </c>
      <c r="AH648" t="s">
        <v>84</v>
      </c>
      <c r="AI648">
        <v>0</v>
      </c>
    </row>
    <row r="649" spans="1:35" x14ac:dyDescent="0.45">
      <c r="A649">
        <v>648</v>
      </c>
      <c r="B649" t="s">
        <v>915</v>
      </c>
      <c r="C649" t="s">
        <v>919</v>
      </c>
      <c r="D649" t="s">
        <v>917</v>
      </c>
      <c r="E649">
        <v>3</v>
      </c>
      <c r="F649">
        <v>-1.621</v>
      </c>
      <c r="G649">
        <v>-12.811</v>
      </c>
      <c r="H649">
        <v>16313</v>
      </c>
      <c r="I649">
        <v>-1</v>
      </c>
      <c r="J649">
        <v>1</v>
      </c>
      <c r="K649" t="s">
        <v>55</v>
      </c>
      <c r="L649" t="s">
        <v>55</v>
      </c>
      <c r="M649" t="s">
        <v>56</v>
      </c>
      <c r="N649">
        <v>1643590329.1300001</v>
      </c>
      <c r="O649">
        <v>0.191</v>
      </c>
      <c r="P649">
        <v>0.38600000000000001</v>
      </c>
      <c r="Q649">
        <v>53.643000000000001</v>
      </c>
      <c r="R649">
        <v>0</v>
      </c>
      <c r="S649">
        <v>-1E-3</v>
      </c>
      <c r="T649">
        <v>1.2909999999999999</v>
      </c>
      <c r="U649">
        <v>90.878</v>
      </c>
      <c r="V649">
        <v>24.696999999999999</v>
      </c>
      <c r="W649">
        <v>2.3319999999999999</v>
      </c>
      <c r="X649">
        <v>87.185000000000002</v>
      </c>
      <c r="Y649">
        <v>0.94099999999999995</v>
      </c>
      <c r="Z649">
        <v>1.0820000000000001</v>
      </c>
      <c r="AA649">
        <v>0</v>
      </c>
      <c r="AB649">
        <v>0</v>
      </c>
      <c r="AC649">
        <v>1</v>
      </c>
      <c r="AD649">
        <v>40.061999999999998</v>
      </c>
      <c r="AE649">
        <v>1</v>
      </c>
      <c r="AF649">
        <v>89</v>
      </c>
      <c r="AG649">
        <v>6</v>
      </c>
      <c r="AH649" t="s">
        <v>84</v>
      </c>
      <c r="AI649">
        <v>0</v>
      </c>
    </row>
    <row r="650" spans="1:35" x14ac:dyDescent="0.45">
      <c r="A650">
        <v>649</v>
      </c>
      <c r="B650" t="s">
        <v>915</v>
      </c>
      <c r="C650" t="s">
        <v>920</v>
      </c>
      <c r="D650" t="s">
        <v>917</v>
      </c>
      <c r="E650">
        <v>4</v>
      </c>
      <c r="F650">
        <v>-1.65</v>
      </c>
      <c r="G650">
        <v>-12.577999999999999</v>
      </c>
      <c r="H650">
        <v>16372</v>
      </c>
      <c r="I650">
        <v>0</v>
      </c>
      <c r="J650">
        <v>1</v>
      </c>
      <c r="K650" t="s">
        <v>55</v>
      </c>
      <c r="L650" t="s">
        <v>55</v>
      </c>
      <c r="M650" t="s">
        <v>56</v>
      </c>
      <c r="N650">
        <v>1643590866.3199999</v>
      </c>
      <c r="O650">
        <v>0.20300000000000001</v>
      </c>
      <c r="P650">
        <v>0.436</v>
      </c>
      <c r="Q650">
        <v>54.298999999999999</v>
      </c>
      <c r="R650">
        <v>0</v>
      </c>
      <c r="S650">
        <v>0</v>
      </c>
      <c r="T650">
        <v>1.3109999999999999</v>
      </c>
      <c r="U650">
        <v>91.26</v>
      </c>
      <c r="V650">
        <v>24.943000000000001</v>
      </c>
      <c r="W650">
        <v>2.3130000000000002</v>
      </c>
      <c r="X650">
        <v>86.786000000000001</v>
      </c>
      <c r="Y650">
        <v>0.92</v>
      </c>
      <c r="Z650">
        <v>1.002</v>
      </c>
      <c r="AA650">
        <v>0</v>
      </c>
      <c r="AB650">
        <v>0</v>
      </c>
      <c r="AC650">
        <v>1</v>
      </c>
      <c r="AD650">
        <v>40.125</v>
      </c>
      <c r="AE650">
        <v>1</v>
      </c>
      <c r="AF650">
        <v>89</v>
      </c>
      <c r="AG650">
        <v>6</v>
      </c>
      <c r="AH650" t="s">
        <v>84</v>
      </c>
      <c r="AI650">
        <v>0</v>
      </c>
    </row>
    <row r="651" spans="1:35" x14ac:dyDescent="0.45">
      <c r="A651">
        <v>650</v>
      </c>
      <c r="B651" t="s">
        <v>915</v>
      </c>
      <c r="C651" t="s">
        <v>921</v>
      </c>
      <c r="D651" t="s">
        <v>917</v>
      </c>
      <c r="E651">
        <v>5</v>
      </c>
      <c r="F651">
        <v>-1.595</v>
      </c>
      <c r="G651">
        <v>-12.555</v>
      </c>
      <c r="H651">
        <v>16332</v>
      </c>
      <c r="I651">
        <v>0</v>
      </c>
      <c r="J651">
        <v>1</v>
      </c>
      <c r="K651" t="s">
        <v>55</v>
      </c>
      <c r="L651" t="s">
        <v>55</v>
      </c>
      <c r="M651" t="s">
        <v>56</v>
      </c>
      <c r="N651">
        <v>1643591402.45</v>
      </c>
      <c r="O651">
        <v>0.22800000000000001</v>
      </c>
      <c r="P651">
        <v>0.40300000000000002</v>
      </c>
      <c r="Q651">
        <v>53.360999999999997</v>
      </c>
      <c r="R651">
        <v>1E-3</v>
      </c>
      <c r="S651">
        <v>1E-3</v>
      </c>
      <c r="T651">
        <v>1.2869999999999999</v>
      </c>
      <c r="U651">
        <v>91.271000000000001</v>
      </c>
      <c r="V651">
        <v>23.908999999999999</v>
      </c>
      <c r="W651">
        <v>2.3860000000000001</v>
      </c>
      <c r="X651">
        <v>88.57</v>
      </c>
      <c r="Y651">
        <v>0.94199999999999995</v>
      </c>
      <c r="Z651">
        <v>1.125</v>
      </c>
      <c r="AA651">
        <v>0</v>
      </c>
      <c r="AB651">
        <v>0</v>
      </c>
      <c r="AC651">
        <v>1</v>
      </c>
      <c r="AD651">
        <v>40.125</v>
      </c>
      <c r="AE651">
        <v>1</v>
      </c>
      <c r="AF651">
        <v>89</v>
      </c>
      <c r="AG651">
        <v>6</v>
      </c>
      <c r="AH651" t="s">
        <v>84</v>
      </c>
      <c r="AI651">
        <v>0</v>
      </c>
    </row>
    <row r="652" spans="1:35" x14ac:dyDescent="0.45">
      <c r="A652">
        <v>651</v>
      </c>
      <c r="B652" t="s">
        <v>915</v>
      </c>
      <c r="C652" t="s">
        <v>922</v>
      </c>
      <c r="D652" t="s">
        <v>917</v>
      </c>
      <c r="E652">
        <v>6</v>
      </c>
      <c r="F652">
        <v>-1.62</v>
      </c>
      <c r="G652">
        <v>-12.436999999999999</v>
      </c>
      <c r="H652">
        <v>16314</v>
      </c>
      <c r="I652">
        <v>0</v>
      </c>
      <c r="J652">
        <v>1</v>
      </c>
      <c r="K652" t="s">
        <v>55</v>
      </c>
      <c r="L652" t="s">
        <v>55</v>
      </c>
      <c r="M652" t="s">
        <v>56</v>
      </c>
      <c r="N652">
        <v>1643591939.4000001</v>
      </c>
      <c r="O652">
        <v>0.21099999999999999</v>
      </c>
      <c r="P652">
        <v>0.40200000000000002</v>
      </c>
      <c r="Q652">
        <v>53.731999999999999</v>
      </c>
      <c r="R652">
        <v>1E-3</v>
      </c>
      <c r="S652">
        <v>0</v>
      </c>
      <c r="T652">
        <v>1.288</v>
      </c>
      <c r="U652">
        <v>91.367000000000004</v>
      </c>
      <c r="V652">
        <v>23.852</v>
      </c>
      <c r="W652">
        <v>2.3090000000000002</v>
      </c>
      <c r="X652">
        <v>86.942999999999998</v>
      </c>
      <c r="Y652">
        <v>0.95199999999999996</v>
      </c>
      <c r="Z652">
        <v>0.89</v>
      </c>
      <c r="AA652">
        <v>0</v>
      </c>
      <c r="AB652">
        <v>0</v>
      </c>
      <c r="AC652">
        <v>1</v>
      </c>
      <c r="AD652">
        <v>40.125</v>
      </c>
      <c r="AE652">
        <v>1</v>
      </c>
      <c r="AF652">
        <v>89</v>
      </c>
      <c r="AG652">
        <v>6</v>
      </c>
      <c r="AH652" t="s">
        <v>84</v>
      </c>
      <c r="AI652">
        <v>0</v>
      </c>
    </row>
    <row r="653" spans="1:35" x14ac:dyDescent="0.45">
      <c r="A653">
        <v>652</v>
      </c>
      <c r="B653" t="s">
        <v>923</v>
      </c>
      <c r="C653" t="s">
        <v>924</v>
      </c>
      <c r="D653" t="s">
        <v>925</v>
      </c>
      <c r="E653">
        <v>1</v>
      </c>
      <c r="F653">
        <v>-4.4880000000000004</v>
      </c>
      <c r="G653">
        <v>-27.431000000000001</v>
      </c>
      <c r="H653">
        <v>16353</v>
      </c>
      <c r="I653">
        <v>-1</v>
      </c>
      <c r="J653">
        <v>1</v>
      </c>
      <c r="K653" t="s">
        <v>55</v>
      </c>
      <c r="L653" t="s">
        <v>55</v>
      </c>
      <c r="M653" t="s">
        <v>56</v>
      </c>
      <c r="N653">
        <v>1643592475.72</v>
      </c>
      <c r="O653">
        <v>0.20699999999999999</v>
      </c>
      <c r="P653">
        <v>0.40100000000000002</v>
      </c>
      <c r="Q653">
        <v>53.576999999999998</v>
      </c>
      <c r="R653">
        <v>1E-3</v>
      </c>
      <c r="S653">
        <v>1E-3</v>
      </c>
      <c r="T653">
        <v>1.298</v>
      </c>
      <c r="U653">
        <v>91.397999999999996</v>
      </c>
      <c r="V653">
        <v>24.335999999999999</v>
      </c>
      <c r="W653">
        <v>2.335</v>
      </c>
      <c r="X653">
        <v>87.563999999999993</v>
      </c>
      <c r="Y653">
        <v>0.92900000000000005</v>
      </c>
      <c r="Z653">
        <v>1.0189999999999999</v>
      </c>
      <c r="AA653">
        <v>0</v>
      </c>
      <c r="AB653">
        <v>0</v>
      </c>
      <c r="AC653">
        <v>1</v>
      </c>
      <c r="AD653">
        <v>40.125</v>
      </c>
      <c r="AE653">
        <v>1</v>
      </c>
      <c r="AF653">
        <v>90</v>
      </c>
      <c r="AG653">
        <v>6</v>
      </c>
      <c r="AH653" t="s">
        <v>84</v>
      </c>
      <c r="AI653">
        <v>0</v>
      </c>
    </row>
    <row r="654" spans="1:35" x14ac:dyDescent="0.45">
      <c r="A654">
        <v>653</v>
      </c>
      <c r="B654" t="s">
        <v>923</v>
      </c>
      <c r="C654" t="s">
        <v>926</v>
      </c>
      <c r="D654" t="s">
        <v>925</v>
      </c>
      <c r="E654">
        <v>2</v>
      </c>
      <c r="F654">
        <v>-4.649</v>
      </c>
      <c r="G654">
        <v>-28.722000000000001</v>
      </c>
      <c r="H654">
        <v>16313</v>
      </c>
      <c r="I654">
        <v>-1</v>
      </c>
      <c r="J654">
        <v>1</v>
      </c>
      <c r="K654" t="s">
        <v>55</v>
      </c>
      <c r="L654" t="s">
        <v>55</v>
      </c>
      <c r="M654" t="s">
        <v>56</v>
      </c>
      <c r="N654">
        <v>1643593013.72</v>
      </c>
      <c r="O654">
        <v>0.19600000000000001</v>
      </c>
      <c r="P654">
        <v>0.39400000000000002</v>
      </c>
      <c r="Q654">
        <v>53.567999999999998</v>
      </c>
      <c r="R654">
        <v>1E-3</v>
      </c>
      <c r="S654">
        <v>2E-3</v>
      </c>
      <c r="T654">
        <v>1.29</v>
      </c>
      <c r="U654">
        <v>90.878</v>
      </c>
      <c r="V654">
        <v>24.393999999999998</v>
      </c>
      <c r="W654">
        <v>2.3809999999999998</v>
      </c>
      <c r="X654">
        <v>88.135000000000005</v>
      </c>
      <c r="Y654">
        <v>0.94799999999999995</v>
      </c>
      <c r="Z654">
        <v>1.3080000000000001</v>
      </c>
      <c r="AA654">
        <v>0</v>
      </c>
      <c r="AB654">
        <v>0</v>
      </c>
      <c r="AC654">
        <v>1</v>
      </c>
      <c r="AD654">
        <v>40.188000000000002</v>
      </c>
      <c r="AE654">
        <v>1</v>
      </c>
      <c r="AF654">
        <v>90</v>
      </c>
      <c r="AG654">
        <v>6</v>
      </c>
      <c r="AH654" t="s">
        <v>84</v>
      </c>
      <c r="AI654">
        <v>0</v>
      </c>
    </row>
    <row r="655" spans="1:35" x14ac:dyDescent="0.45">
      <c r="A655">
        <v>654</v>
      </c>
      <c r="B655" t="s">
        <v>923</v>
      </c>
      <c r="C655" t="s">
        <v>927</v>
      </c>
      <c r="D655" t="s">
        <v>925</v>
      </c>
      <c r="E655">
        <v>3</v>
      </c>
      <c r="F655">
        <v>-4.6790000000000003</v>
      </c>
      <c r="G655">
        <v>-28.931000000000001</v>
      </c>
      <c r="H655">
        <v>16318</v>
      </c>
      <c r="I655">
        <v>-1</v>
      </c>
      <c r="J655">
        <v>1</v>
      </c>
      <c r="K655" t="s">
        <v>55</v>
      </c>
      <c r="L655" t="s">
        <v>55</v>
      </c>
      <c r="M655" t="s">
        <v>56</v>
      </c>
      <c r="N655">
        <v>1643593549.9200001</v>
      </c>
      <c r="O655">
        <v>0.223</v>
      </c>
      <c r="P655">
        <v>0.42599999999999999</v>
      </c>
      <c r="Q655">
        <v>51.987000000000002</v>
      </c>
      <c r="R655">
        <v>1E-3</v>
      </c>
      <c r="S655">
        <v>0</v>
      </c>
      <c r="T655">
        <v>1.27</v>
      </c>
      <c r="U655">
        <v>91.302999999999997</v>
      </c>
      <c r="V655">
        <v>23.687999999999999</v>
      </c>
      <c r="W655">
        <v>2.351</v>
      </c>
      <c r="X655">
        <v>88.391000000000005</v>
      </c>
      <c r="Y655">
        <v>0.95099999999999996</v>
      </c>
      <c r="Z655">
        <v>1.1240000000000001</v>
      </c>
      <c r="AA655">
        <v>0</v>
      </c>
      <c r="AB655">
        <v>0</v>
      </c>
      <c r="AC655">
        <v>1</v>
      </c>
      <c r="AD655">
        <v>40.125</v>
      </c>
      <c r="AE655">
        <v>1</v>
      </c>
      <c r="AF655">
        <v>90</v>
      </c>
      <c r="AG655">
        <v>6</v>
      </c>
      <c r="AH655" t="s">
        <v>84</v>
      </c>
      <c r="AI655">
        <v>0</v>
      </c>
    </row>
    <row r="656" spans="1:35" x14ac:dyDescent="0.45">
      <c r="A656">
        <v>655</v>
      </c>
      <c r="B656" t="s">
        <v>923</v>
      </c>
      <c r="C656" t="s">
        <v>928</v>
      </c>
      <c r="D656" t="s">
        <v>925</v>
      </c>
      <c r="E656">
        <v>4</v>
      </c>
      <c r="F656">
        <v>-4.6790000000000003</v>
      </c>
      <c r="G656">
        <v>-29.04</v>
      </c>
      <c r="H656">
        <v>16285</v>
      </c>
      <c r="I656">
        <v>0</v>
      </c>
      <c r="J656">
        <v>1</v>
      </c>
      <c r="K656" t="s">
        <v>55</v>
      </c>
      <c r="L656" t="s">
        <v>55</v>
      </c>
      <c r="M656" t="s">
        <v>56</v>
      </c>
      <c r="N656">
        <v>1643594086.48</v>
      </c>
      <c r="O656">
        <v>0.20200000000000001</v>
      </c>
      <c r="P656">
        <v>0.40100000000000002</v>
      </c>
      <c r="Q656">
        <v>53.694000000000003</v>
      </c>
      <c r="R656">
        <v>1E-3</v>
      </c>
      <c r="S656">
        <v>3.0000000000000001E-3</v>
      </c>
      <c r="T656">
        <v>1.292</v>
      </c>
      <c r="U656">
        <v>91.308000000000007</v>
      </c>
      <c r="V656">
        <v>23.678000000000001</v>
      </c>
      <c r="W656">
        <v>2.319</v>
      </c>
      <c r="X656">
        <v>87.096000000000004</v>
      </c>
      <c r="Y656">
        <v>0.95099999999999996</v>
      </c>
      <c r="Z656">
        <v>0.90500000000000003</v>
      </c>
      <c r="AA656">
        <v>0</v>
      </c>
      <c r="AB656">
        <v>0</v>
      </c>
      <c r="AC656">
        <v>1</v>
      </c>
      <c r="AD656">
        <v>40.125</v>
      </c>
      <c r="AE656">
        <v>1</v>
      </c>
      <c r="AF656">
        <v>90</v>
      </c>
      <c r="AG656">
        <v>6</v>
      </c>
      <c r="AH656" t="s">
        <v>84</v>
      </c>
      <c r="AI656">
        <v>0</v>
      </c>
    </row>
    <row r="657" spans="1:35" x14ac:dyDescent="0.45">
      <c r="A657">
        <v>656</v>
      </c>
      <c r="B657" t="s">
        <v>923</v>
      </c>
      <c r="C657" t="s">
        <v>929</v>
      </c>
      <c r="D657" t="s">
        <v>925</v>
      </c>
      <c r="E657">
        <v>5</v>
      </c>
      <c r="F657">
        <v>-4.665</v>
      </c>
      <c r="G657">
        <v>-29.026</v>
      </c>
      <c r="H657">
        <v>16333</v>
      </c>
      <c r="I657">
        <v>0</v>
      </c>
      <c r="J657">
        <v>1</v>
      </c>
      <c r="K657" t="s">
        <v>55</v>
      </c>
      <c r="L657" t="s">
        <v>55</v>
      </c>
      <c r="M657" t="s">
        <v>56</v>
      </c>
      <c r="N657">
        <v>1643594622.25</v>
      </c>
      <c r="O657">
        <v>0.182</v>
      </c>
      <c r="P657">
        <v>0.40699999999999997</v>
      </c>
      <c r="Q657">
        <v>52.338999999999999</v>
      </c>
      <c r="R657">
        <v>1E-3</v>
      </c>
      <c r="S657">
        <v>2E-3</v>
      </c>
      <c r="T657">
        <v>1.27</v>
      </c>
      <c r="U657">
        <v>91.230999999999995</v>
      </c>
      <c r="V657">
        <v>24.417999999999999</v>
      </c>
      <c r="W657">
        <v>2.3460000000000001</v>
      </c>
      <c r="X657">
        <v>87.078000000000003</v>
      </c>
      <c r="Y657">
        <v>0.94299999999999995</v>
      </c>
      <c r="Z657">
        <v>1.06</v>
      </c>
      <c r="AA657">
        <v>0</v>
      </c>
      <c r="AB657">
        <v>0</v>
      </c>
      <c r="AC657">
        <v>1</v>
      </c>
      <c r="AD657">
        <v>40.061999999999998</v>
      </c>
      <c r="AE657">
        <v>1</v>
      </c>
      <c r="AF657">
        <v>90</v>
      </c>
      <c r="AG657">
        <v>6</v>
      </c>
      <c r="AH657" t="s">
        <v>84</v>
      </c>
      <c r="AI657">
        <v>0</v>
      </c>
    </row>
    <row r="658" spans="1:35" x14ac:dyDescent="0.45">
      <c r="A658">
        <v>657</v>
      </c>
      <c r="B658" t="s">
        <v>923</v>
      </c>
      <c r="C658" t="s">
        <v>930</v>
      </c>
      <c r="D658" t="s">
        <v>925</v>
      </c>
      <c r="E658">
        <v>6</v>
      </c>
      <c r="F658">
        <v>-4.6859999999999999</v>
      </c>
      <c r="G658">
        <v>-29.114999999999998</v>
      </c>
      <c r="H658">
        <v>16275</v>
      </c>
      <c r="I658">
        <v>0</v>
      </c>
      <c r="J658">
        <v>1</v>
      </c>
      <c r="K658" t="s">
        <v>55</v>
      </c>
      <c r="L658" t="s">
        <v>55</v>
      </c>
      <c r="M658" t="s">
        <v>56</v>
      </c>
      <c r="N658">
        <v>1643595159.76</v>
      </c>
      <c r="O658">
        <v>0.20399999999999999</v>
      </c>
      <c r="P658">
        <v>0.40200000000000002</v>
      </c>
      <c r="Q658">
        <v>54.511000000000003</v>
      </c>
      <c r="R658">
        <v>1E-3</v>
      </c>
      <c r="S658">
        <v>0</v>
      </c>
      <c r="T658">
        <v>1.298</v>
      </c>
      <c r="U658">
        <v>90.542000000000002</v>
      </c>
      <c r="V658">
        <v>25.012</v>
      </c>
      <c r="W658">
        <v>2.29</v>
      </c>
      <c r="X658">
        <v>86.650999999999996</v>
      </c>
      <c r="Y658">
        <v>0.97</v>
      </c>
      <c r="Z658">
        <v>1.1160000000000001</v>
      </c>
      <c r="AA658">
        <v>0</v>
      </c>
      <c r="AB658">
        <v>0</v>
      </c>
      <c r="AC658">
        <v>1</v>
      </c>
      <c r="AD658">
        <v>40.061999999999998</v>
      </c>
      <c r="AE658">
        <v>1</v>
      </c>
      <c r="AF658">
        <v>90</v>
      </c>
      <c r="AG658">
        <v>6</v>
      </c>
      <c r="AH658" t="s">
        <v>84</v>
      </c>
      <c r="AI658">
        <v>0</v>
      </c>
    </row>
    <row r="659" spans="1:35" x14ac:dyDescent="0.45">
      <c r="A659">
        <v>658</v>
      </c>
      <c r="B659" t="s">
        <v>931</v>
      </c>
      <c r="C659" t="s">
        <v>932</v>
      </c>
      <c r="D659" t="s">
        <v>933</v>
      </c>
      <c r="E659">
        <v>1</v>
      </c>
      <c r="F659">
        <v>-5.4210000000000003</v>
      </c>
      <c r="G659">
        <v>-29.204999999999998</v>
      </c>
      <c r="H659">
        <v>16343</v>
      </c>
      <c r="I659">
        <v>-1</v>
      </c>
      <c r="J659">
        <v>1</v>
      </c>
      <c r="K659" t="s">
        <v>55</v>
      </c>
      <c r="L659" t="s">
        <v>55</v>
      </c>
      <c r="M659" t="s">
        <v>56</v>
      </c>
      <c r="N659">
        <v>1643595695.21</v>
      </c>
      <c r="O659">
        <v>0.21099999999999999</v>
      </c>
      <c r="P659">
        <v>0.41699999999999998</v>
      </c>
      <c r="Q659">
        <v>52.93</v>
      </c>
      <c r="R659">
        <v>1E-3</v>
      </c>
      <c r="S659">
        <v>1E-3</v>
      </c>
      <c r="T659">
        <v>1.2789999999999999</v>
      </c>
      <c r="U659">
        <v>91</v>
      </c>
      <c r="V659">
        <v>24.309000000000001</v>
      </c>
      <c r="W659">
        <v>2.3889999999999998</v>
      </c>
      <c r="X659">
        <v>89.096000000000004</v>
      </c>
      <c r="Y659">
        <v>0.94599999999999995</v>
      </c>
      <c r="Z659">
        <v>1.3620000000000001</v>
      </c>
      <c r="AA659">
        <v>0</v>
      </c>
      <c r="AB659">
        <v>0</v>
      </c>
      <c r="AC659">
        <v>1</v>
      </c>
      <c r="AD659">
        <v>40</v>
      </c>
      <c r="AE659">
        <v>1</v>
      </c>
      <c r="AF659">
        <v>91</v>
      </c>
      <c r="AG659">
        <v>6</v>
      </c>
      <c r="AH659" t="s">
        <v>84</v>
      </c>
      <c r="AI659">
        <v>0</v>
      </c>
    </row>
    <row r="660" spans="1:35" x14ac:dyDescent="0.45">
      <c r="A660">
        <v>659</v>
      </c>
      <c r="B660" t="s">
        <v>931</v>
      </c>
      <c r="C660" t="s">
        <v>934</v>
      </c>
      <c r="D660" t="s">
        <v>933</v>
      </c>
      <c r="E660">
        <v>2</v>
      </c>
      <c r="F660">
        <v>-5.4569999999999999</v>
      </c>
      <c r="G660">
        <v>-29.228000000000002</v>
      </c>
      <c r="H660">
        <v>16329</v>
      </c>
      <c r="I660">
        <v>-1</v>
      </c>
      <c r="J660">
        <v>1</v>
      </c>
      <c r="K660" t="s">
        <v>55</v>
      </c>
      <c r="L660" t="s">
        <v>55</v>
      </c>
      <c r="M660" t="s">
        <v>56</v>
      </c>
      <c r="N660">
        <v>1643596232.5</v>
      </c>
      <c r="O660">
        <v>0.23300000000000001</v>
      </c>
      <c r="P660">
        <v>0.41099999999999998</v>
      </c>
      <c r="Q660">
        <v>54.143999999999998</v>
      </c>
      <c r="R660">
        <v>1E-3</v>
      </c>
      <c r="S660">
        <v>2E-3</v>
      </c>
      <c r="T660">
        <v>1.302</v>
      </c>
      <c r="U660">
        <v>90.691000000000003</v>
      </c>
      <c r="V660">
        <v>24.824999999999999</v>
      </c>
      <c r="W660">
        <v>2.4039999999999999</v>
      </c>
      <c r="X660">
        <v>88.682000000000002</v>
      </c>
      <c r="Y660">
        <v>0.95899999999999996</v>
      </c>
      <c r="Z660">
        <v>1.5369999999999999</v>
      </c>
      <c r="AA660">
        <v>0</v>
      </c>
      <c r="AB660">
        <v>0</v>
      </c>
      <c r="AC660">
        <v>1</v>
      </c>
      <c r="AD660">
        <v>40</v>
      </c>
      <c r="AE660">
        <v>1</v>
      </c>
      <c r="AF660">
        <v>91</v>
      </c>
      <c r="AG660">
        <v>6</v>
      </c>
      <c r="AH660" t="s">
        <v>84</v>
      </c>
      <c r="AI660">
        <v>0</v>
      </c>
    </row>
    <row r="661" spans="1:35" x14ac:dyDescent="0.45">
      <c r="A661">
        <v>660</v>
      </c>
      <c r="B661" t="s">
        <v>931</v>
      </c>
      <c r="C661" t="s">
        <v>935</v>
      </c>
      <c r="D661" t="s">
        <v>933</v>
      </c>
      <c r="E661">
        <v>3</v>
      </c>
      <c r="F661">
        <v>-5.4779999999999998</v>
      </c>
      <c r="G661">
        <v>-29.303999999999998</v>
      </c>
      <c r="H661">
        <v>16300</v>
      </c>
      <c r="I661">
        <v>-1</v>
      </c>
      <c r="J661">
        <v>1</v>
      </c>
      <c r="K661" t="s">
        <v>55</v>
      </c>
      <c r="L661" t="s">
        <v>55</v>
      </c>
      <c r="M661" t="s">
        <v>56</v>
      </c>
      <c r="N661">
        <v>1643596767.5999999</v>
      </c>
      <c r="O661">
        <v>0.21299999999999999</v>
      </c>
      <c r="P661">
        <v>0.41599999999999998</v>
      </c>
      <c r="Q661">
        <v>53.418999999999997</v>
      </c>
      <c r="R661">
        <v>1E-3</v>
      </c>
      <c r="S661">
        <v>3.0000000000000001E-3</v>
      </c>
      <c r="T661">
        <v>1.2789999999999999</v>
      </c>
      <c r="U661">
        <v>90.747</v>
      </c>
      <c r="V661">
        <v>25.081</v>
      </c>
      <c r="W661">
        <v>2.3029999999999999</v>
      </c>
      <c r="X661">
        <v>86.524000000000001</v>
      </c>
      <c r="Y661">
        <v>0.96499999999999997</v>
      </c>
      <c r="Z661">
        <v>1.109</v>
      </c>
      <c r="AA661">
        <v>0</v>
      </c>
      <c r="AB661">
        <v>0</v>
      </c>
      <c r="AC661">
        <v>1</v>
      </c>
      <c r="AD661">
        <v>40</v>
      </c>
      <c r="AE661">
        <v>1</v>
      </c>
      <c r="AF661">
        <v>91</v>
      </c>
      <c r="AG661">
        <v>6</v>
      </c>
      <c r="AH661" t="s">
        <v>84</v>
      </c>
      <c r="AI661">
        <v>0</v>
      </c>
    </row>
    <row r="662" spans="1:35" x14ac:dyDescent="0.45">
      <c r="A662">
        <v>661</v>
      </c>
      <c r="B662" t="s">
        <v>931</v>
      </c>
      <c r="C662" t="s">
        <v>936</v>
      </c>
      <c r="D662" t="s">
        <v>933</v>
      </c>
      <c r="E662">
        <v>4</v>
      </c>
      <c r="F662">
        <v>-5.5030000000000001</v>
      </c>
      <c r="G662">
        <v>-29.207999999999998</v>
      </c>
      <c r="H662">
        <v>16368</v>
      </c>
      <c r="I662">
        <v>0</v>
      </c>
      <c r="J662">
        <v>1</v>
      </c>
      <c r="K662" t="s">
        <v>55</v>
      </c>
      <c r="L662" t="s">
        <v>55</v>
      </c>
      <c r="M662" t="s">
        <v>56</v>
      </c>
      <c r="N662">
        <v>1643597304.27</v>
      </c>
      <c r="O662">
        <v>0.216</v>
      </c>
      <c r="P662">
        <v>0.376</v>
      </c>
      <c r="Q662">
        <v>53.991</v>
      </c>
      <c r="R662">
        <v>1E-3</v>
      </c>
      <c r="S662">
        <v>2E-3</v>
      </c>
      <c r="T662">
        <v>1.3049999999999999</v>
      </c>
      <c r="U662">
        <v>91.234999999999999</v>
      </c>
      <c r="V662">
        <v>24.635000000000002</v>
      </c>
      <c r="W662">
        <v>2.3530000000000002</v>
      </c>
      <c r="X662">
        <v>88.001000000000005</v>
      </c>
      <c r="Y662">
        <v>0.95799999999999996</v>
      </c>
      <c r="Z662">
        <v>1.181</v>
      </c>
      <c r="AA662">
        <v>0</v>
      </c>
      <c r="AB662">
        <v>0</v>
      </c>
      <c r="AC662">
        <v>1</v>
      </c>
      <c r="AD662">
        <v>39.938000000000002</v>
      </c>
      <c r="AE662">
        <v>1</v>
      </c>
      <c r="AF662">
        <v>91</v>
      </c>
      <c r="AG662">
        <v>6</v>
      </c>
      <c r="AH662" t="s">
        <v>84</v>
      </c>
      <c r="AI662">
        <v>0</v>
      </c>
    </row>
    <row r="663" spans="1:35" x14ac:dyDescent="0.45">
      <c r="A663">
        <v>662</v>
      </c>
      <c r="B663" t="s">
        <v>931</v>
      </c>
      <c r="C663" t="s">
        <v>937</v>
      </c>
      <c r="D663" t="s">
        <v>933</v>
      </c>
      <c r="E663">
        <v>5</v>
      </c>
      <c r="F663">
        <v>-5.4859999999999998</v>
      </c>
      <c r="G663">
        <v>-29.241</v>
      </c>
      <c r="H663">
        <v>16302</v>
      </c>
      <c r="I663">
        <v>0</v>
      </c>
      <c r="J663">
        <v>1</v>
      </c>
      <c r="K663" t="s">
        <v>55</v>
      </c>
      <c r="L663" t="s">
        <v>55</v>
      </c>
      <c r="M663" t="s">
        <v>56</v>
      </c>
      <c r="N663">
        <v>1643597840.8699999</v>
      </c>
      <c r="O663">
        <v>0.19800000000000001</v>
      </c>
      <c r="P663">
        <v>0.38900000000000001</v>
      </c>
      <c r="Q663">
        <v>53.356000000000002</v>
      </c>
      <c r="R663">
        <v>1E-3</v>
      </c>
      <c r="S663">
        <v>1E-3</v>
      </c>
      <c r="T663">
        <v>1.286</v>
      </c>
      <c r="U663">
        <v>90.634</v>
      </c>
      <c r="V663">
        <v>24.963999999999999</v>
      </c>
      <c r="W663">
        <v>2.38</v>
      </c>
      <c r="X663">
        <v>87.372</v>
      </c>
      <c r="Y663">
        <v>0.97199999999999998</v>
      </c>
      <c r="Z663">
        <v>1.2250000000000001</v>
      </c>
      <c r="AA663">
        <v>0</v>
      </c>
      <c r="AB663">
        <v>0</v>
      </c>
      <c r="AC663">
        <v>1</v>
      </c>
      <c r="AD663">
        <v>39.938000000000002</v>
      </c>
      <c r="AE663">
        <v>1</v>
      </c>
      <c r="AF663">
        <v>91</v>
      </c>
      <c r="AG663">
        <v>6</v>
      </c>
      <c r="AH663" t="s">
        <v>84</v>
      </c>
      <c r="AI663">
        <v>0</v>
      </c>
    </row>
    <row r="664" spans="1:35" x14ac:dyDescent="0.45">
      <c r="A664">
        <v>663</v>
      </c>
      <c r="B664" t="s">
        <v>931</v>
      </c>
      <c r="C664" t="s">
        <v>938</v>
      </c>
      <c r="D664" t="s">
        <v>933</v>
      </c>
      <c r="E664">
        <v>6</v>
      </c>
      <c r="F664">
        <v>-5.4850000000000003</v>
      </c>
      <c r="G664">
        <v>-29.189</v>
      </c>
      <c r="H664">
        <v>16293</v>
      </c>
      <c r="I664">
        <v>0</v>
      </c>
      <c r="J664">
        <v>1</v>
      </c>
      <c r="K664" t="s">
        <v>55</v>
      </c>
      <c r="L664" t="s">
        <v>55</v>
      </c>
      <c r="M664" t="s">
        <v>56</v>
      </c>
      <c r="N664">
        <v>1643598377.21</v>
      </c>
      <c r="O664">
        <v>0.216</v>
      </c>
      <c r="P664">
        <v>0.433</v>
      </c>
      <c r="Q664">
        <v>54.396000000000001</v>
      </c>
      <c r="R664">
        <v>1E-3</v>
      </c>
      <c r="S664">
        <v>0</v>
      </c>
      <c r="T664">
        <v>1.3049999999999999</v>
      </c>
      <c r="U664">
        <v>90.805000000000007</v>
      </c>
      <c r="V664">
        <v>24.806999999999999</v>
      </c>
      <c r="W664">
        <v>2.3620000000000001</v>
      </c>
      <c r="X664">
        <v>86.423000000000002</v>
      </c>
      <c r="Y664">
        <v>0.97099999999999997</v>
      </c>
      <c r="Z664">
        <v>1.0169999999999999</v>
      </c>
      <c r="AA664">
        <v>0</v>
      </c>
      <c r="AB664">
        <v>0</v>
      </c>
      <c r="AC664">
        <v>1</v>
      </c>
      <c r="AD664">
        <v>39.875</v>
      </c>
      <c r="AE664">
        <v>1</v>
      </c>
      <c r="AF664">
        <v>91</v>
      </c>
      <c r="AG664">
        <v>6</v>
      </c>
      <c r="AH664" t="s">
        <v>84</v>
      </c>
      <c r="AI664">
        <v>0</v>
      </c>
    </row>
    <row r="665" spans="1:35" x14ac:dyDescent="0.45">
      <c r="A665">
        <v>664</v>
      </c>
      <c r="B665" t="s">
        <v>939</v>
      </c>
      <c r="C665" t="s">
        <v>940</v>
      </c>
      <c r="D665" t="s">
        <v>941</v>
      </c>
      <c r="E665">
        <v>1</v>
      </c>
      <c r="F665">
        <v>-4.9530000000000003</v>
      </c>
      <c r="G665">
        <v>-30.555</v>
      </c>
      <c r="H665">
        <v>16343</v>
      </c>
      <c r="I665">
        <v>-1</v>
      </c>
      <c r="J665">
        <v>1</v>
      </c>
      <c r="K665" t="s">
        <v>55</v>
      </c>
      <c r="L665" t="s">
        <v>55</v>
      </c>
      <c r="M665" t="s">
        <v>56</v>
      </c>
      <c r="N665">
        <v>1643598913.9100001</v>
      </c>
      <c r="O665">
        <v>0.19700000000000001</v>
      </c>
      <c r="P665">
        <v>0.38700000000000001</v>
      </c>
      <c r="Q665">
        <v>54.847000000000001</v>
      </c>
      <c r="R665">
        <v>0</v>
      </c>
      <c r="S665">
        <v>0</v>
      </c>
      <c r="T665">
        <v>1.3080000000000001</v>
      </c>
      <c r="U665">
        <v>90.83</v>
      </c>
      <c r="V665">
        <v>24.968</v>
      </c>
      <c r="W665">
        <v>2.4020000000000001</v>
      </c>
      <c r="X665">
        <v>88.042000000000002</v>
      </c>
      <c r="Y665">
        <v>0.98399999999999999</v>
      </c>
      <c r="Z665">
        <v>1.244</v>
      </c>
      <c r="AA665">
        <v>0</v>
      </c>
      <c r="AB665">
        <v>0</v>
      </c>
      <c r="AC665">
        <v>1</v>
      </c>
      <c r="AD665">
        <v>39.875</v>
      </c>
      <c r="AE665">
        <v>1</v>
      </c>
      <c r="AF665">
        <v>92</v>
      </c>
      <c r="AG665">
        <v>6</v>
      </c>
      <c r="AH665" t="s">
        <v>84</v>
      </c>
      <c r="AI665">
        <v>0</v>
      </c>
    </row>
    <row r="666" spans="1:35" x14ac:dyDescent="0.45">
      <c r="A666">
        <v>665</v>
      </c>
      <c r="B666" t="s">
        <v>939</v>
      </c>
      <c r="C666" t="s">
        <v>942</v>
      </c>
      <c r="D666" t="s">
        <v>941</v>
      </c>
      <c r="E666">
        <v>2</v>
      </c>
      <c r="F666">
        <v>-4.9089999999999998</v>
      </c>
      <c r="G666">
        <v>-30.692</v>
      </c>
      <c r="H666">
        <v>16333</v>
      </c>
      <c r="I666">
        <v>-1</v>
      </c>
      <c r="J666">
        <v>1</v>
      </c>
      <c r="K666" t="s">
        <v>55</v>
      </c>
      <c r="L666" t="s">
        <v>55</v>
      </c>
      <c r="M666" t="s">
        <v>56</v>
      </c>
      <c r="N666">
        <v>1643599448.52</v>
      </c>
      <c r="O666">
        <v>0.222</v>
      </c>
      <c r="P666">
        <v>0.39800000000000002</v>
      </c>
      <c r="Q666">
        <v>53.481000000000002</v>
      </c>
      <c r="R666">
        <v>1E-3</v>
      </c>
      <c r="S666">
        <v>0</v>
      </c>
      <c r="T666">
        <v>1.2829999999999999</v>
      </c>
      <c r="U666">
        <v>90.784000000000006</v>
      </c>
      <c r="V666">
        <v>25.37</v>
      </c>
      <c r="W666">
        <v>2.3180000000000001</v>
      </c>
      <c r="X666">
        <v>86.668000000000006</v>
      </c>
      <c r="Y666">
        <v>0.99</v>
      </c>
      <c r="Z666">
        <v>1.1399999999999999</v>
      </c>
      <c r="AA666">
        <v>0</v>
      </c>
      <c r="AB666">
        <v>0</v>
      </c>
      <c r="AC666">
        <v>1</v>
      </c>
      <c r="AD666">
        <v>39.875</v>
      </c>
      <c r="AE666">
        <v>1</v>
      </c>
      <c r="AF666">
        <v>92</v>
      </c>
      <c r="AG666">
        <v>6</v>
      </c>
      <c r="AH666" t="s">
        <v>84</v>
      </c>
      <c r="AI666">
        <v>0</v>
      </c>
    </row>
    <row r="667" spans="1:35" x14ac:dyDescent="0.45">
      <c r="A667">
        <v>666</v>
      </c>
      <c r="B667" t="s">
        <v>939</v>
      </c>
      <c r="C667" t="s">
        <v>943</v>
      </c>
      <c r="D667" t="s">
        <v>941</v>
      </c>
      <c r="E667">
        <v>3</v>
      </c>
      <c r="F667">
        <v>-4.9109999999999996</v>
      </c>
      <c r="G667">
        <v>-30.818999999999999</v>
      </c>
      <c r="H667">
        <v>16268</v>
      </c>
      <c r="I667">
        <v>-1</v>
      </c>
      <c r="J667">
        <v>1</v>
      </c>
      <c r="K667" t="s">
        <v>55</v>
      </c>
      <c r="L667" t="s">
        <v>55</v>
      </c>
      <c r="M667" t="s">
        <v>56</v>
      </c>
      <c r="N667">
        <v>1643599985.21</v>
      </c>
      <c r="O667">
        <v>0.20499999999999999</v>
      </c>
      <c r="P667">
        <v>0.44500000000000001</v>
      </c>
      <c r="Q667">
        <v>54.247999999999998</v>
      </c>
      <c r="R667">
        <v>1E-3</v>
      </c>
      <c r="S667">
        <v>1E-3</v>
      </c>
      <c r="T667">
        <v>1.2889999999999999</v>
      </c>
      <c r="U667">
        <v>90.533000000000001</v>
      </c>
      <c r="V667">
        <v>24.547000000000001</v>
      </c>
      <c r="W667">
        <v>2.33</v>
      </c>
      <c r="X667">
        <v>87.951999999999998</v>
      </c>
      <c r="Y667">
        <v>0.996</v>
      </c>
      <c r="Z667">
        <v>1.2170000000000001</v>
      </c>
      <c r="AA667">
        <v>0</v>
      </c>
      <c r="AB667">
        <v>0</v>
      </c>
      <c r="AC667">
        <v>1</v>
      </c>
      <c r="AD667">
        <v>39.875</v>
      </c>
      <c r="AE667">
        <v>1</v>
      </c>
      <c r="AF667">
        <v>92</v>
      </c>
      <c r="AG667">
        <v>6</v>
      </c>
      <c r="AH667" t="s">
        <v>84</v>
      </c>
      <c r="AI667">
        <v>0</v>
      </c>
    </row>
    <row r="668" spans="1:35" x14ac:dyDescent="0.45">
      <c r="A668">
        <v>667</v>
      </c>
      <c r="B668" t="s">
        <v>939</v>
      </c>
      <c r="C668" t="s">
        <v>944</v>
      </c>
      <c r="D668" t="s">
        <v>941</v>
      </c>
      <c r="E668">
        <v>4</v>
      </c>
      <c r="F668">
        <v>-4.9130000000000003</v>
      </c>
      <c r="G668">
        <v>-30.771999999999998</v>
      </c>
      <c r="H668">
        <v>16315</v>
      </c>
      <c r="I668">
        <v>0</v>
      </c>
      <c r="J668">
        <v>1</v>
      </c>
      <c r="K668" t="s">
        <v>55</v>
      </c>
      <c r="L668" t="s">
        <v>55</v>
      </c>
      <c r="M668" t="s">
        <v>56</v>
      </c>
      <c r="N668">
        <v>1643600520.8900001</v>
      </c>
      <c r="O668">
        <v>0.21</v>
      </c>
      <c r="P668">
        <v>0.36199999999999999</v>
      </c>
      <c r="Q668">
        <v>54.097000000000001</v>
      </c>
      <c r="R668">
        <v>1E-3</v>
      </c>
      <c r="S668">
        <v>1E-3</v>
      </c>
      <c r="T668">
        <v>1.302</v>
      </c>
      <c r="U668">
        <v>90.956000000000003</v>
      </c>
      <c r="V668">
        <v>25.105</v>
      </c>
      <c r="W668">
        <v>2.2650000000000001</v>
      </c>
      <c r="X668">
        <v>85.914000000000001</v>
      </c>
      <c r="Y668">
        <v>0.97299999999999998</v>
      </c>
      <c r="Z668">
        <v>0.873</v>
      </c>
      <c r="AA668">
        <v>0</v>
      </c>
      <c r="AB668">
        <v>0</v>
      </c>
      <c r="AC668">
        <v>1</v>
      </c>
      <c r="AD668">
        <v>39.875</v>
      </c>
      <c r="AE668">
        <v>1</v>
      </c>
      <c r="AF668">
        <v>92</v>
      </c>
      <c r="AG668">
        <v>6</v>
      </c>
      <c r="AH668" t="s">
        <v>84</v>
      </c>
      <c r="AI668">
        <v>0</v>
      </c>
    </row>
    <row r="669" spans="1:35" x14ac:dyDescent="0.45">
      <c r="A669">
        <v>668</v>
      </c>
      <c r="B669" t="s">
        <v>939</v>
      </c>
      <c r="C669" t="s">
        <v>945</v>
      </c>
      <c r="D669" t="s">
        <v>941</v>
      </c>
      <c r="E669">
        <v>5</v>
      </c>
      <c r="F669">
        <v>-4.9009999999999998</v>
      </c>
      <c r="G669">
        <v>-30.8</v>
      </c>
      <c r="H669">
        <v>16283</v>
      </c>
      <c r="I669">
        <v>0</v>
      </c>
      <c r="J669">
        <v>1</v>
      </c>
      <c r="K669" t="s">
        <v>55</v>
      </c>
      <c r="L669" t="s">
        <v>55</v>
      </c>
      <c r="M669" t="s">
        <v>56</v>
      </c>
      <c r="N669">
        <v>1643601056.3299999</v>
      </c>
      <c r="O669">
        <v>0.19400000000000001</v>
      </c>
      <c r="P669">
        <v>0.40600000000000003</v>
      </c>
      <c r="Q669">
        <v>54.04</v>
      </c>
      <c r="R669">
        <v>1E-3</v>
      </c>
      <c r="S669">
        <v>1E-3</v>
      </c>
      <c r="T669">
        <v>1.2909999999999999</v>
      </c>
      <c r="U669">
        <v>90.677000000000007</v>
      </c>
      <c r="V669">
        <v>25.007999999999999</v>
      </c>
      <c r="W669">
        <v>2.294</v>
      </c>
      <c r="X669">
        <v>86.402000000000001</v>
      </c>
      <c r="Y669">
        <v>1.0009999999999999</v>
      </c>
      <c r="Z669">
        <v>1.087</v>
      </c>
      <c r="AA669">
        <v>0</v>
      </c>
      <c r="AB669">
        <v>0</v>
      </c>
      <c r="AC669">
        <v>1</v>
      </c>
      <c r="AD669">
        <v>39.875</v>
      </c>
      <c r="AE669">
        <v>1</v>
      </c>
      <c r="AF669">
        <v>92</v>
      </c>
      <c r="AG669">
        <v>6</v>
      </c>
      <c r="AH669" t="s">
        <v>84</v>
      </c>
      <c r="AI669">
        <v>0</v>
      </c>
    </row>
    <row r="670" spans="1:35" x14ac:dyDescent="0.45">
      <c r="A670">
        <v>669</v>
      </c>
      <c r="B670" t="s">
        <v>939</v>
      </c>
      <c r="C670" t="s">
        <v>946</v>
      </c>
      <c r="D670" t="s">
        <v>941</v>
      </c>
      <c r="E670">
        <v>6</v>
      </c>
      <c r="F670">
        <v>-4.9249999999999998</v>
      </c>
      <c r="G670">
        <v>-30.786000000000001</v>
      </c>
      <c r="H670">
        <v>16257</v>
      </c>
      <c r="I670">
        <v>0</v>
      </c>
      <c r="J670">
        <v>1</v>
      </c>
      <c r="K670" t="s">
        <v>55</v>
      </c>
      <c r="L670" t="s">
        <v>55</v>
      </c>
      <c r="M670" t="s">
        <v>56</v>
      </c>
      <c r="N670">
        <v>1643601592.97</v>
      </c>
      <c r="O670">
        <v>0.215</v>
      </c>
      <c r="P670">
        <v>0.38100000000000001</v>
      </c>
      <c r="Q670">
        <v>54.442999999999998</v>
      </c>
      <c r="R670">
        <v>2E-3</v>
      </c>
      <c r="S670">
        <v>2E-3</v>
      </c>
      <c r="T670">
        <v>1.3069999999999999</v>
      </c>
      <c r="U670">
        <v>90.281999999999996</v>
      </c>
      <c r="V670">
        <v>25.48</v>
      </c>
      <c r="W670">
        <v>2.3540000000000001</v>
      </c>
      <c r="X670">
        <v>86.022999999999996</v>
      </c>
      <c r="Y670">
        <v>0.997</v>
      </c>
      <c r="Z670">
        <v>0.98199999999999998</v>
      </c>
      <c r="AA670">
        <v>0</v>
      </c>
      <c r="AB670">
        <v>0</v>
      </c>
      <c r="AC670">
        <v>1</v>
      </c>
      <c r="AD670">
        <v>39.875</v>
      </c>
      <c r="AE670">
        <v>1</v>
      </c>
      <c r="AF670">
        <v>92</v>
      </c>
      <c r="AG670">
        <v>6</v>
      </c>
      <c r="AH670" t="s">
        <v>84</v>
      </c>
      <c r="AI670">
        <v>0</v>
      </c>
    </row>
    <row r="671" spans="1:35" x14ac:dyDescent="0.45">
      <c r="A671">
        <v>670</v>
      </c>
      <c r="B671" t="s">
        <v>947</v>
      </c>
      <c r="C671" t="s">
        <v>948</v>
      </c>
      <c r="D671" t="s">
        <v>949</v>
      </c>
      <c r="E671">
        <v>1</v>
      </c>
      <c r="F671">
        <v>-5.5709999999999997</v>
      </c>
      <c r="G671">
        <v>-34.491999999999997</v>
      </c>
      <c r="H671">
        <v>16274</v>
      </c>
      <c r="I671">
        <v>-1</v>
      </c>
      <c r="J671">
        <v>1</v>
      </c>
      <c r="K671" t="s">
        <v>55</v>
      </c>
      <c r="L671" t="s">
        <v>55</v>
      </c>
      <c r="M671" t="s">
        <v>56</v>
      </c>
      <c r="N671">
        <v>1643602128.53</v>
      </c>
      <c r="O671">
        <v>0.219</v>
      </c>
      <c r="P671">
        <v>0.41899999999999998</v>
      </c>
      <c r="Q671">
        <v>53.920999999999999</v>
      </c>
      <c r="R671">
        <v>0</v>
      </c>
      <c r="S671">
        <v>0</v>
      </c>
      <c r="T671">
        <v>1.2969999999999999</v>
      </c>
      <c r="U671">
        <v>90.471000000000004</v>
      </c>
      <c r="V671">
        <v>25.241</v>
      </c>
      <c r="W671">
        <v>2.3570000000000002</v>
      </c>
      <c r="X671">
        <v>86.218000000000004</v>
      </c>
      <c r="Y671">
        <v>0.99399999999999999</v>
      </c>
      <c r="Z671">
        <v>1.0820000000000001</v>
      </c>
      <c r="AA671">
        <v>0</v>
      </c>
      <c r="AB671">
        <v>0</v>
      </c>
      <c r="AC671">
        <v>1</v>
      </c>
      <c r="AD671">
        <v>39.938000000000002</v>
      </c>
      <c r="AE671">
        <v>1</v>
      </c>
      <c r="AF671">
        <v>93</v>
      </c>
      <c r="AG671">
        <v>6</v>
      </c>
      <c r="AH671" t="s">
        <v>84</v>
      </c>
      <c r="AI671">
        <v>0</v>
      </c>
    </row>
    <row r="672" spans="1:35" x14ac:dyDescent="0.45">
      <c r="A672">
        <v>671</v>
      </c>
      <c r="B672" t="s">
        <v>947</v>
      </c>
      <c r="C672" t="s">
        <v>950</v>
      </c>
      <c r="D672" t="s">
        <v>949</v>
      </c>
      <c r="E672">
        <v>2</v>
      </c>
      <c r="F672">
        <v>-5.5590000000000002</v>
      </c>
      <c r="G672">
        <v>-34.718000000000004</v>
      </c>
      <c r="H672">
        <v>16327</v>
      </c>
      <c r="I672">
        <v>-1</v>
      </c>
      <c r="J672">
        <v>1</v>
      </c>
      <c r="K672" t="s">
        <v>55</v>
      </c>
      <c r="L672" t="s">
        <v>55</v>
      </c>
      <c r="M672" t="s">
        <v>56</v>
      </c>
      <c r="N672">
        <v>1643602665.02</v>
      </c>
      <c r="O672">
        <v>0.189</v>
      </c>
      <c r="P672">
        <v>0.38200000000000001</v>
      </c>
      <c r="Q672">
        <v>54.747</v>
      </c>
      <c r="R672">
        <v>1E-3</v>
      </c>
      <c r="S672">
        <v>2E-3</v>
      </c>
      <c r="T672">
        <v>1.321</v>
      </c>
      <c r="U672">
        <v>91.063999999999993</v>
      </c>
      <c r="V672">
        <v>25.050999999999998</v>
      </c>
      <c r="W672">
        <v>2.3290000000000002</v>
      </c>
      <c r="X672">
        <v>86.218999999999994</v>
      </c>
      <c r="Y672">
        <v>0.97199999999999998</v>
      </c>
      <c r="Z672">
        <v>0.93799999999999994</v>
      </c>
      <c r="AA672">
        <v>0</v>
      </c>
      <c r="AB672">
        <v>0</v>
      </c>
      <c r="AC672">
        <v>1</v>
      </c>
      <c r="AD672">
        <v>39.875</v>
      </c>
      <c r="AE672">
        <v>1</v>
      </c>
      <c r="AF672">
        <v>93</v>
      </c>
      <c r="AG672">
        <v>6</v>
      </c>
      <c r="AH672" t="s">
        <v>84</v>
      </c>
      <c r="AI672">
        <v>0</v>
      </c>
    </row>
    <row r="673" spans="1:35" x14ac:dyDescent="0.45">
      <c r="A673">
        <v>672</v>
      </c>
      <c r="B673" t="s">
        <v>947</v>
      </c>
      <c r="C673" t="s">
        <v>951</v>
      </c>
      <c r="D673" t="s">
        <v>949</v>
      </c>
      <c r="E673">
        <v>3</v>
      </c>
      <c r="F673">
        <v>-5.63</v>
      </c>
      <c r="G673">
        <v>-34.927</v>
      </c>
      <c r="H673">
        <v>16274</v>
      </c>
      <c r="I673">
        <v>-1</v>
      </c>
      <c r="J673">
        <v>1</v>
      </c>
      <c r="K673" t="s">
        <v>55</v>
      </c>
      <c r="L673" t="s">
        <v>55</v>
      </c>
      <c r="M673" t="s">
        <v>56</v>
      </c>
      <c r="N673">
        <v>1643603199.73</v>
      </c>
      <c r="O673">
        <v>0.19800000000000001</v>
      </c>
      <c r="P673">
        <v>0.42499999999999999</v>
      </c>
      <c r="Q673">
        <v>54.247</v>
      </c>
      <c r="R673">
        <v>1E-3</v>
      </c>
      <c r="S673">
        <v>1E-3</v>
      </c>
      <c r="T673">
        <v>1.304</v>
      </c>
      <c r="U673">
        <v>90.634</v>
      </c>
      <c r="V673">
        <v>25.19</v>
      </c>
      <c r="W673">
        <v>2.3170000000000002</v>
      </c>
      <c r="X673">
        <v>85.620999999999995</v>
      </c>
      <c r="Y673">
        <v>1.0069999999999999</v>
      </c>
      <c r="Z673">
        <v>0.91900000000000004</v>
      </c>
      <c r="AA673">
        <v>0</v>
      </c>
      <c r="AB673">
        <v>0</v>
      </c>
      <c r="AC673">
        <v>1</v>
      </c>
      <c r="AD673">
        <v>39.938000000000002</v>
      </c>
      <c r="AE673">
        <v>1</v>
      </c>
      <c r="AF673">
        <v>93</v>
      </c>
      <c r="AG673">
        <v>6</v>
      </c>
      <c r="AH673" t="s">
        <v>84</v>
      </c>
      <c r="AI673">
        <v>0</v>
      </c>
    </row>
    <row r="674" spans="1:35" x14ac:dyDescent="0.45">
      <c r="A674">
        <v>673</v>
      </c>
      <c r="B674" t="s">
        <v>947</v>
      </c>
      <c r="C674" t="s">
        <v>952</v>
      </c>
      <c r="D674" t="s">
        <v>949</v>
      </c>
      <c r="E674">
        <v>4</v>
      </c>
      <c r="F674">
        <v>-5.5750000000000002</v>
      </c>
      <c r="G674">
        <v>-34.823999999999998</v>
      </c>
      <c r="H674">
        <v>16292</v>
      </c>
      <c r="I674">
        <v>0</v>
      </c>
      <c r="J674">
        <v>1</v>
      </c>
      <c r="K674" t="s">
        <v>55</v>
      </c>
      <c r="L674" t="s">
        <v>55</v>
      </c>
      <c r="M674" t="s">
        <v>56</v>
      </c>
      <c r="N674">
        <v>1643603735.99</v>
      </c>
      <c r="O674">
        <v>0.214</v>
      </c>
      <c r="P674">
        <v>0.39100000000000001</v>
      </c>
      <c r="Q674">
        <v>53.945999999999998</v>
      </c>
      <c r="R674">
        <v>1E-3</v>
      </c>
      <c r="S674">
        <v>1E-3</v>
      </c>
      <c r="T674">
        <v>1.298</v>
      </c>
      <c r="U674">
        <v>90.566000000000003</v>
      </c>
      <c r="V674">
        <v>24.797999999999998</v>
      </c>
      <c r="W674">
        <v>2.3969999999999998</v>
      </c>
      <c r="X674">
        <v>87.835999999999999</v>
      </c>
      <c r="Y674">
        <v>0.98499999999999999</v>
      </c>
      <c r="Z674">
        <v>1.224</v>
      </c>
      <c r="AA674">
        <v>0</v>
      </c>
      <c r="AB674">
        <v>0</v>
      </c>
      <c r="AC674">
        <v>1</v>
      </c>
      <c r="AD674">
        <v>39.938000000000002</v>
      </c>
      <c r="AE674">
        <v>1</v>
      </c>
      <c r="AF674">
        <v>93</v>
      </c>
      <c r="AG674">
        <v>6</v>
      </c>
      <c r="AH674" t="s">
        <v>84</v>
      </c>
      <c r="AI674">
        <v>0</v>
      </c>
    </row>
    <row r="675" spans="1:35" x14ac:dyDescent="0.45">
      <c r="A675">
        <v>674</v>
      </c>
      <c r="B675" t="s">
        <v>947</v>
      </c>
      <c r="C675" t="s">
        <v>953</v>
      </c>
      <c r="D675" t="s">
        <v>949</v>
      </c>
      <c r="E675">
        <v>5</v>
      </c>
      <c r="F675">
        <v>-5.5830000000000002</v>
      </c>
      <c r="G675">
        <v>-34.917999999999999</v>
      </c>
      <c r="H675">
        <v>16266</v>
      </c>
      <c r="I675">
        <v>0</v>
      </c>
      <c r="J675">
        <v>1</v>
      </c>
      <c r="K675" t="s">
        <v>55</v>
      </c>
      <c r="L675" t="s">
        <v>55</v>
      </c>
      <c r="M675" t="s">
        <v>56</v>
      </c>
      <c r="N675">
        <v>1643604272</v>
      </c>
      <c r="O675">
        <v>0.19500000000000001</v>
      </c>
      <c r="P675">
        <v>0.36499999999999999</v>
      </c>
      <c r="Q675">
        <v>53.872</v>
      </c>
      <c r="R675">
        <v>0</v>
      </c>
      <c r="S675">
        <v>0</v>
      </c>
      <c r="T675">
        <v>1.294</v>
      </c>
      <c r="U675">
        <v>90.74</v>
      </c>
      <c r="V675">
        <v>24.742000000000001</v>
      </c>
      <c r="W675">
        <v>2.3130000000000002</v>
      </c>
      <c r="X675">
        <v>86.120999999999995</v>
      </c>
      <c r="Y675">
        <v>0.97199999999999998</v>
      </c>
      <c r="Z675">
        <v>0.97299999999999998</v>
      </c>
      <c r="AA675">
        <v>0</v>
      </c>
      <c r="AB675">
        <v>0</v>
      </c>
      <c r="AC675">
        <v>1</v>
      </c>
      <c r="AD675">
        <v>40</v>
      </c>
      <c r="AE675">
        <v>1</v>
      </c>
      <c r="AF675">
        <v>93</v>
      </c>
      <c r="AG675">
        <v>6</v>
      </c>
      <c r="AH675" t="s">
        <v>84</v>
      </c>
      <c r="AI675">
        <v>0</v>
      </c>
    </row>
    <row r="676" spans="1:35" x14ac:dyDescent="0.45">
      <c r="A676">
        <v>675</v>
      </c>
      <c r="B676" t="s">
        <v>947</v>
      </c>
      <c r="C676" t="s">
        <v>954</v>
      </c>
      <c r="D676" t="s">
        <v>949</v>
      </c>
      <c r="E676">
        <v>6</v>
      </c>
      <c r="F676">
        <v>-5.6130000000000004</v>
      </c>
      <c r="G676">
        <v>-35.002000000000002</v>
      </c>
      <c r="H676">
        <v>16277</v>
      </c>
      <c r="I676">
        <v>0</v>
      </c>
      <c r="J676">
        <v>1</v>
      </c>
      <c r="K676" t="s">
        <v>55</v>
      </c>
      <c r="L676" t="s">
        <v>55</v>
      </c>
      <c r="M676" t="s">
        <v>56</v>
      </c>
      <c r="N676">
        <v>1643604808.29</v>
      </c>
      <c r="O676">
        <v>0.19400000000000001</v>
      </c>
      <c r="P676">
        <v>0.38500000000000001</v>
      </c>
      <c r="Q676">
        <v>54.38</v>
      </c>
      <c r="R676">
        <v>1E-3</v>
      </c>
      <c r="S676">
        <v>2E-3</v>
      </c>
      <c r="T676">
        <v>1.306</v>
      </c>
      <c r="U676">
        <v>91.042000000000002</v>
      </c>
      <c r="V676">
        <v>24.638000000000002</v>
      </c>
      <c r="W676">
        <v>2.2719999999999998</v>
      </c>
      <c r="X676">
        <v>85.378</v>
      </c>
      <c r="Y676">
        <v>0.97899999999999998</v>
      </c>
      <c r="Z676">
        <v>0.78700000000000003</v>
      </c>
      <c r="AA676">
        <v>0</v>
      </c>
      <c r="AB676">
        <v>0</v>
      </c>
      <c r="AC676">
        <v>1</v>
      </c>
      <c r="AD676">
        <v>40</v>
      </c>
      <c r="AE676">
        <v>1</v>
      </c>
      <c r="AF676">
        <v>93</v>
      </c>
      <c r="AG676">
        <v>6</v>
      </c>
      <c r="AH676" t="s">
        <v>84</v>
      </c>
      <c r="AI676">
        <v>0</v>
      </c>
    </row>
    <row r="677" spans="1:35" x14ac:dyDescent="0.45">
      <c r="A677">
        <v>676</v>
      </c>
      <c r="B677" t="s">
        <v>955</v>
      </c>
      <c r="C677" t="s">
        <v>956</v>
      </c>
      <c r="D677" t="s">
        <v>957</v>
      </c>
      <c r="E677">
        <v>1</v>
      </c>
      <c r="F677">
        <v>-5.8079999999999998</v>
      </c>
      <c r="G677">
        <v>-36.058999999999997</v>
      </c>
      <c r="H677">
        <v>16353</v>
      </c>
      <c r="I677">
        <v>-1</v>
      </c>
      <c r="J677">
        <v>1</v>
      </c>
      <c r="K677" t="s">
        <v>55</v>
      </c>
      <c r="L677" t="s">
        <v>55</v>
      </c>
      <c r="M677" t="s">
        <v>56</v>
      </c>
      <c r="N677">
        <v>1643605344.97</v>
      </c>
      <c r="O677">
        <v>0.19500000000000001</v>
      </c>
      <c r="P677">
        <v>0.38100000000000001</v>
      </c>
      <c r="Q677">
        <v>53.841000000000001</v>
      </c>
      <c r="R677">
        <v>1E-3</v>
      </c>
      <c r="S677">
        <v>2E-3</v>
      </c>
      <c r="T677">
        <v>1.294</v>
      </c>
      <c r="U677">
        <v>91.125</v>
      </c>
      <c r="V677">
        <v>25.07</v>
      </c>
      <c r="W677">
        <v>2.3570000000000002</v>
      </c>
      <c r="X677">
        <v>86.778000000000006</v>
      </c>
      <c r="Y677">
        <v>0.98599999999999999</v>
      </c>
      <c r="Z677">
        <v>1.034</v>
      </c>
      <c r="AA677">
        <v>0</v>
      </c>
      <c r="AB677">
        <v>0</v>
      </c>
      <c r="AC677">
        <v>1</v>
      </c>
      <c r="AD677">
        <v>40</v>
      </c>
      <c r="AE677">
        <v>1</v>
      </c>
      <c r="AF677">
        <v>94</v>
      </c>
      <c r="AG677">
        <v>6</v>
      </c>
      <c r="AH677" t="s">
        <v>84</v>
      </c>
      <c r="AI677">
        <v>0</v>
      </c>
    </row>
    <row r="678" spans="1:35" x14ac:dyDescent="0.45">
      <c r="A678">
        <v>677</v>
      </c>
      <c r="B678" t="s">
        <v>955</v>
      </c>
      <c r="C678" t="s">
        <v>958</v>
      </c>
      <c r="D678" t="s">
        <v>957</v>
      </c>
      <c r="E678">
        <v>2</v>
      </c>
      <c r="F678">
        <v>-5.79</v>
      </c>
      <c r="G678">
        <v>-36.165999999999997</v>
      </c>
      <c r="H678">
        <v>16304</v>
      </c>
      <c r="I678">
        <v>-1</v>
      </c>
      <c r="J678">
        <v>1</v>
      </c>
      <c r="K678" t="s">
        <v>55</v>
      </c>
      <c r="L678" t="s">
        <v>55</v>
      </c>
      <c r="M678" t="s">
        <v>56</v>
      </c>
      <c r="N678">
        <v>1643605880.3699999</v>
      </c>
      <c r="O678">
        <v>0.19600000000000001</v>
      </c>
      <c r="P678">
        <v>0.40300000000000002</v>
      </c>
      <c r="Q678">
        <v>53.094000000000001</v>
      </c>
      <c r="R678">
        <v>1E-3</v>
      </c>
      <c r="S678">
        <v>1E-3</v>
      </c>
      <c r="T678">
        <v>1.292</v>
      </c>
      <c r="U678">
        <v>90.454999999999998</v>
      </c>
      <c r="V678">
        <v>25.503</v>
      </c>
      <c r="W678">
        <v>2.3450000000000002</v>
      </c>
      <c r="X678">
        <v>87.069000000000003</v>
      </c>
      <c r="Y678">
        <v>0.97699999999999998</v>
      </c>
      <c r="Z678">
        <v>1.228</v>
      </c>
      <c r="AA678">
        <v>0</v>
      </c>
      <c r="AB678">
        <v>0</v>
      </c>
      <c r="AC678">
        <v>1</v>
      </c>
      <c r="AD678">
        <v>39.938000000000002</v>
      </c>
      <c r="AE678">
        <v>1</v>
      </c>
      <c r="AF678">
        <v>94</v>
      </c>
      <c r="AG678">
        <v>6</v>
      </c>
      <c r="AH678" t="s">
        <v>84</v>
      </c>
      <c r="AI678">
        <v>0</v>
      </c>
    </row>
    <row r="679" spans="1:35" x14ac:dyDescent="0.45">
      <c r="A679">
        <v>678</v>
      </c>
      <c r="B679" t="s">
        <v>955</v>
      </c>
      <c r="C679" t="s">
        <v>959</v>
      </c>
      <c r="D679" t="s">
        <v>957</v>
      </c>
      <c r="E679">
        <v>3</v>
      </c>
      <c r="F679">
        <v>-5.7690000000000001</v>
      </c>
      <c r="G679">
        <v>-36.112000000000002</v>
      </c>
      <c r="H679">
        <v>16306</v>
      </c>
      <c r="I679">
        <v>-1</v>
      </c>
      <c r="J679">
        <v>1</v>
      </c>
      <c r="K679" t="s">
        <v>55</v>
      </c>
      <c r="L679" t="s">
        <v>55</v>
      </c>
      <c r="M679" t="s">
        <v>56</v>
      </c>
      <c r="N679">
        <v>1643606416.1199999</v>
      </c>
      <c r="O679">
        <v>0.20499999999999999</v>
      </c>
      <c r="P679">
        <v>0.44400000000000001</v>
      </c>
      <c r="Q679">
        <v>54.095999999999997</v>
      </c>
      <c r="R679">
        <v>1E-3</v>
      </c>
      <c r="S679">
        <v>2E-3</v>
      </c>
      <c r="T679">
        <v>1.294</v>
      </c>
      <c r="U679">
        <v>90.671999999999997</v>
      </c>
      <c r="V679">
        <v>24.977</v>
      </c>
      <c r="W679">
        <v>2.38</v>
      </c>
      <c r="X679">
        <v>87.734999999999999</v>
      </c>
      <c r="Y679">
        <v>0.96199999999999997</v>
      </c>
      <c r="Z679">
        <v>1.3260000000000001</v>
      </c>
      <c r="AA679">
        <v>0</v>
      </c>
      <c r="AB679">
        <v>0</v>
      </c>
      <c r="AC679">
        <v>1</v>
      </c>
      <c r="AD679">
        <v>39.938000000000002</v>
      </c>
      <c r="AE679">
        <v>1</v>
      </c>
      <c r="AF679">
        <v>94</v>
      </c>
      <c r="AG679">
        <v>6</v>
      </c>
      <c r="AH679" t="s">
        <v>84</v>
      </c>
      <c r="AI679">
        <v>0</v>
      </c>
    </row>
    <row r="680" spans="1:35" x14ac:dyDescent="0.45">
      <c r="A680">
        <v>679</v>
      </c>
      <c r="B680" t="s">
        <v>955</v>
      </c>
      <c r="C680" t="s">
        <v>960</v>
      </c>
      <c r="D680" t="s">
        <v>957</v>
      </c>
      <c r="E680">
        <v>4</v>
      </c>
      <c r="F680">
        <v>-5.774</v>
      </c>
      <c r="G680">
        <v>-36.204999999999998</v>
      </c>
      <c r="H680">
        <v>16333</v>
      </c>
      <c r="I680">
        <v>0</v>
      </c>
      <c r="J680">
        <v>1</v>
      </c>
      <c r="K680" t="s">
        <v>55</v>
      </c>
      <c r="L680" t="s">
        <v>55</v>
      </c>
      <c r="M680" t="s">
        <v>56</v>
      </c>
      <c r="N680">
        <v>1643606952.05</v>
      </c>
      <c r="O680">
        <v>0.19600000000000001</v>
      </c>
      <c r="P680">
        <v>0.42399999999999999</v>
      </c>
      <c r="Q680">
        <v>54.076999999999998</v>
      </c>
      <c r="R680">
        <v>0</v>
      </c>
      <c r="S680">
        <v>1E-3</v>
      </c>
      <c r="T680">
        <v>1.3029999999999999</v>
      </c>
      <c r="U680">
        <v>91.070999999999998</v>
      </c>
      <c r="V680">
        <v>24.867999999999999</v>
      </c>
      <c r="W680">
        <v>2.3340000000000001</v>
      </c>
      <c r="X680">
        <v>86.975999999999999</v>
      </c>
      <c r="Y680">
        <v>1.0009999999999999</v>
      </c>
      <c r="Z680">
        <v>1.0269999999999999</v>
      </c>
      <c r="AA680">
        <v>0</v>
      </c>
      <c r="AB680">
        <v>0</v>
      </c>
      <c r="AC680">
        <v>1</v>
      </c>
      <c r="AD680">
        <v>40</v>
      </c>
      <c r="AE680">
        <v>1</v>
      </c>
      <c r="AF680">
        <v>94</v>
      </c>
      <c r="AG680">
        <v>6</v>
      </c>
      <c r="AH680" t="s">
        <v>84</v>
      </c>
      <c r="AI680">
        <v>0</v>
      </c>
    </row>
    <row r="681" spans="1:35" x14ac:dyDescent="0.45">
      <c r="A681">
        <v>680</v>
      </c>
      <c r="B681" t="s">
        <v>955</v>
      </c>
      <c r="C681" t="s">
        <v>961</v>
      </c>
      <c r="D681" t="s">
        <v>957</v>
      </c>
      <c r="E681">
        <v>5</v>
      </c>
      <c r="F681">
        <v>-5.7859999999999996</v>
      </c>
      <c r="G681">
        <v>-36.237000000000002</v>
      </c>
      <c r="H681">
        <v>16282</v>
      </c>
      <c r="I681">
        <v>0</v>
      </c>
      <c r="J681">
        <v>1</v>
      </c>
      <c r="K681" t="s">
        <v>55</v>
      </c>
      <c r="L681" t="s">
        <v>55</v>
      </c>
      <c r="M681" t="s">
        <v>56</v>
      </c>
      <c r="N681">
        <v>1643607489.03</v>
      </c>
      <c r="O681">
        <v>0.18</v>
      </c>
      <c r="P681">
        <v>0.41099999999999998</v>
      </c>
      <c r="Q681">
        <v>54.314</v>
      </c>
      <c r="R681">
        <v>0</v>
      </c>
      <c r="S681">
        <v>1E-3</v>
      </c>
      <c r="T681">
        <v>1.2989999999999999</v>
      </c>
      <c r="U681">
        <v>90.834999999999994</v>
      </c>
      <c r="V681">
        <v>24.436</v>
      </c>
      <c r="W681">
        <v>2.3839999999999999</v>
      </c>
      <c r="X681">
        <v>87.322000000000003</v>
      </c>
      <c r="Y681">
        <v>0.995</v>
      </c>
      <c r="Z681">
        <v>1.0920000000000001</v>
      </c>
      <c r="AA681">
        <v>0</v>
      </c>
      <c r="AB681">
        <v>0</v>
      </c>
      <c r="AC681">
        <v>1</v>
      </c>
      <c r="AD681">
        <v>39.938000000000002</v>
      </c>
      <c r="AE681">
        <v>1</v>
      </c>
      <c r="AF681">
        <v>94</v>
      </c>
      <c r="AG681">
        <v>6</v>
      </c>
      <c r="AH681" t="s">
        <v>84</v>
      </c>
      <c r="AI681">
        <v>0</v>
      </c>
    </row>
    <row r="682" spans="1:35" x14ac:dyDescent="0.45">
      <c r="A682">
        <v>681</v>
      </c>
      <c r="B682" t="s">
        <v>955</v>
      </c>
      <c r="C682" t="s">
        <v>962</v>
      </c>
      <c r="D682" t="s">
        <v>957</v>
      </c>
      <c r="E682">
        <v>6</v>
      </c>
      <c r="F682">
        <v>-5.7910000000000004</v>
      </c>
      <c r="G682">
        <v>-36.192999999999998</v>
      </c>
      <c r="H682">
        <v>16367</v>
      </c>
      <c r="I682">
        <v>0</v>
      </c>
      <c r="J682">
        <v>1</v>
      </c>
      <c r="K682" t="s">
        <v>55</v>
      </c>
      <c r="L682" t="s">
        <v>55</v>
      </c>
      <c r="M682" t="s">
        <v>56</v>
      </c>
      <c r="N682">
        <v>1643608024.1700001</v>
      </c>
      <c r="O682">
        <v>0.19800000000000001</v>
      </c>
      <c r="P682">
        <v>0.43</v>
      </c>
      <c r="Q682">
        <v>53.631999999999998</v>
      </c>
      <c r="R682">
        <v>1E-3</v>
      </c>
      <c r="S682">
        <v>1E-3</v>
      </c>
      <c r="T682">
        <v>1.298</v>
      </c>
      <c r="U682">
        <v>91.41</v>
      </c>
      <c r="V682">
        <v>24.616</v>
      </c>
      <c r="W682">
        <v>2.375</v>
      </c>
      <c r="X682">
        <v>87.156000000000006</v>
      </c>
      <c r="Y682">
        <v>0.97699999999999998</v>
      </c>
      <c r="Z682">
        <v>0.98299999999999998</v>
      </c>
      <c r="AA682">
        <v>0</v>
      </c>
      <c r="AB682">
        <v>0</v>
      </c>
      <c r="AC682">
        <v>1</v>
      </c>
      <c r="AD682">
        <v>39.938000000000002</v>
      </c>
      <c r="AE682">
        <v>1</v>
      </c>
      <c r="AF682">
        <v>94</v>
      </c>
      <c r="AG682">
        <v>6</v>
      </c>
      <c r="AH682" t="s">
        <v>84</v>
      </c>
      <c r="AI682">
        <v>0</v>
      </c>
    </row>
    <row r="683" spans="1:35" x14ac:dyDescent="0.45">
      <c r="A683">
        <v>682</v>
      </c>
      <c r="B683" t="s">
        <v>963</v>
      </c>
      <c r="C683" t="s">
        <v>964</v>
      </c>
      <c r="D683" t="s">
        <v>965</v>
      </c>
      <c r="E683">
        <v>1</v>
      </c>
      <c r="F683">
        <v>-5.77</v>
      </c>
      <c r="G683">
        <v>-36.116</v>
      </c>
      <c r="H683">
        <v>16225</v>
      </c>
      <c r="I683">
        <v>-1</v>
      </c>
      <c r="J683">
        <v>1</v>
      </c>
      <c r="K683" t="s">
        <v>55</v>
      </c>
      <c r="L683" t="s">
        <v>55</v>
      </c>
      <c r="M683" t="s">
        <v>56</v>
      </c>
      <c r="N683">
        <v>1643608560.53</v>
      </c>
      <c r="O683">
        <v>0.19700000000000001</v>
      </c>
      <c r="P683">
        <v>0.36</v>
      </c>
      <c r="Q683">
        <v>54.097000000000001</v>
      </c>
      <c r="R683">
        <v>1E-3</v>
      </c>
      <c r="S683">
        <v>0</v>
      </c>
      <c r="T683">
        <v>1.3029999999999999</v>
      </c>
      <c r="U683">
        <v>90.292000000000002</v>
      </c>
      <c r="V683">
        <v>24.538</v>
      </c>
      <c r="W683">
        <v>2.3940000000000001</v>
      </c>
      <c r="X683">
        <v>87.495000000000005</v>
      </c>
      <c r="Y683">
        <v>0.97299999999999998</v>
      </c>
      <c r="Z683">
        <v>1.28</v>
      </c>
      <c r="AA683">
        <v>0</v>
      </c>
      <c r="AB683">
        <v>0</v>
      </c>
      <c r="AC683">
        <v>1</v>
      </c>
      <c r="AD683">
        <v>39.875</v>
      </c>
      <c r="AE683">
        <v>1</v>
      </c>
      <c r="AF683">
        <v>95</v>
      </c>
      <c r="AG683">
        <v>6</v>
      </c>
      <c r="AH683" t="s">
        <v>84</v>
      </c>
      <c r="AI683">
        <v>0</v>
      </c>
    </row>
    <row r="684" spans="1:35" x14ac:dyDescent="0.45">
      <c r="A684">
        <v>683</v>
      </c>
      <c r="B684" t="s">
        <v>963</v>
      </c>
      <c r="C684" t="s">
        <v>966</v>
      </c>
      <c r="D684" t="s">
        <v>965</v>
      </c>
      <c r="E684">
        <v>2</v>
      </c>
      <c r="F684">
        <v>-5.7690000000000001</v>
      </c>
      <c r="G684">
        <v>-35.994</v>
      </c>
      <c r="H684">
        <v>16294</v>
      </c>
      <c r="I684">
        <v>-1</v>
      </c>
      <c r="J684">
        <v>1</v>
      </c>
      <c r="K684" t="s">
        <v>55</v>
      </c>
      <c r="L684" t="s">
        <v>55</v>
      </c>
      <c r="M684" t="s">
        <v>56</v>
      </c>
      <c r="N684">
        <v>1643609096.03</v>
      </c>
      <c r="O684">
        <v>0.215</v>
      </c>
      <c r="P684">
        <v>0.442</v>
      </c>
      <c r="Q684">
        <v>53.954000000000001</v>
      </c>
      <c r="R684">
        <v>0</v>
      </c>
      <c r="S684">
        <v>0</v>
      </c>
      <c r="T684">
        <v>1.2989999999999999</v>
      </c>
      <c r="U684">
        <v>90.74</v>
      </c>
      <c r="V684">
        <v>24.481000000000002</v>
      </c>
      <c r="W684">
        <v>2.411</v>
      </c>
      <c r="X684">
        <v>88.22</v>
      </c>
      <c r="Y684">
        <v>0.98699999999999999</v>
      </c>
      <c r="Z684">
        <v>1.246</v>
      </c>
      <c r="AA684">
        <v>0</v>
      </c>
      <c r="AB684">
        <v>0</v>
      </c>
      <c r="AC684">
        <v>1</v>
      </c>
      <c r="AD684">
        <v>39.875</v>
      </c>
      <c r="AE684">
        <v>1</v>
      </c>
      <c r="AF684">
        <v>95</v>
      </c>
      <c r="AG684">
        <v>6</v>
      </c>
      <c r="AH684" t="s">
        <v>84</v>
      </c>
      <c r="AI684">
        <v>0</v>
      </c>
    </row>
    <row r="685" spans="1:35" x14ac:dyDescent="0.45">
      <c r="A685">
        <v>684</v>
      </c>
      <c r="B685" t="s">
        <v>963</v>
      </c>
      <c r="C685" t="s">
        <v>967</v>
      </c>
      <c r="D685" t="s">
        <v>965</v>
      </c>
      <c r="E685">
        <v>3</v>
      </c>
      <c r="F685">
        <v>-5.76</v>
      </c>
      <c r="G685">
        <v>-36.066000000000003</v>
      </c>
      <c r="H685">
        <v>16298</v>
      </c>
      <c r="I685">
        <v>-1</v>
      </c>
      <c r="J685">
        <v>1</v>
      </c>
      <c r="K685" t="s">
        <v>55</v>
      </c>
      <c r="L685" t="s">
        <v>55</v>
      </c>
      <c r="M685" t="s">
        <v>56</v>
      </c>
      <c r="N685">
        <v>1643609633.2</v>
      </c>
      <c r="O685">
        <v>0.20699999999999999</v>
      </c>
      <c r="P685">
        <v>0.39800000000000002</v>
      </c>
      <c r="Q685">
        <v>54.113</v>
      </c>
      <c r="R685">
        <v>1E-3</v>
      </c>
      <c r="S685">
        <v>2E-3</v>
      </c>
      <c r="T685">
        <v>1.3140000000000001</v>
      </c>
      <c r="U685">
        <v>91.182000000000002</v>
      </c>
      <c r="V685">
        <v>24.204000000000001</v>
      </c>
      <c r="W685">
        <v>2.3260000000000001</v>
      </c>
      <c r="X685">
        <v>86.616</v>
      </c>
      <c r="Y685">
        <v>0.98</v>
      </c>
      <c r="Z685">
        <v>1.0489999999999999</v>
      </c>
      <c r="AA685">
        <v>0</v>
      </c>
      <c r="AB685">
        <v>0</v>
      </c>
      <c r="AC685">
        <v>1</v>
      </c>
      <c r="AD685">
        <v>39.875</v>
      </c>
      <c r="AE685">
        <v>1</v>
      </c>
      <c r="AF685">
        <v>95</v>
      </c>
      <c r="AG685">
        <v>6</v>
      </c>
      <c r="AH685" t="s">
        <v>84</v>
      </c>
      <c r="AI685">
        <v>0</v>
      </c>
    </row>
    <row r="686" spans="1:35" x14ac:dyDescent="0.45">
      <c r="A686">
        <v>685</v>
      </c>
      <c r="B686" t="s">
        <v>963</v>
      </c>
      <c r="C686" t="s">
        <v>968</v>
      </c>
      <c r="D686" t="s">
        <v>965</v>
      </c>
      <c r="E686">
        <v>4</v>
      </c>
      <c r="F686">
        <v>-5.7690000000000001</v>
      </c>
      <c r="G686">
        <v>-36.014000000000003</v>
      </c>
      <c r="H686">
        <v>16324</v>
      </c>
      <c r="I686">
        <v>0</v>
      </c>
      <c r="J686">
        <v>1</v>
      </c>
      <c r="K686" t="s">
        <v>55</v>
      </c>
      <c r="L686" t="s">
        <v>55</v>
      </c>
      <c r="M686" t="s">
        <v>56</v>
      </c>
      <c r="N686">
        <v>1643610168.54</v>
      </c>
      <c r="O686">
        <v>0.214</v>
      </c>
      <c r="P686">
        <v>0.38400000000000001</v>
      </c>
      <c r="Q686">
        <v>54.374000000000002</v>
      </c>
      <c r="R686">
        <v>1E-3</v>
      </c>
      <c r="S686">
        <v>1E-3</v>
      </c>
      <c r="T686">
        <v>1.298</v>
      </c>
      <c r="U686">
        <v>90.78</v>
      </c>
      <c r="V686">
        <v>24.654</v>
      </c>
      <c r="W686">
        <v>2.4049999999999998</v>
      </c>
      <c r="X686">
        <v>88.468000000000004</v>
      </c>
      <c r="Y686">
        <v>0.98799999999999999</v>
      </c>
      <c r="Z686">
        <v>1.431</v>
      </c>
      <c r="AA686">
        <v>0</v>
      </c>
      <c r="AB686">
        <v>0</v>
      </c>
      <c r="AC686">
        <v>1</v>
      </c>
      <c r="AD686">
        <v>39.875</v>
      </c>
      <c r="AE686">
        <v>1</v>
      </c>
      <c r="AF686">
        <v>95</v>
      </c>
      <c r="AG686">
        <v>6</v>
      </c>
      <c r="AH686" t="s">
        <v>84</v>
      </c>
      <c r="AI686">
        <v>0</v>
      </c>
    </row>
    <row r="687" spans="1:35" x14ac:dyDescent="0.45">
      <c r="A687">
        <v>686</v>
      </c>
      <c r="B687" t="s">
        <v>963</v>
      </c>
      <c r="C687" t="s">
        <v>969</v>
      </c>
      <c r="D687" t="s">
        <v>965</v>
      </c>
      <c r="E687">
        <v>5</v>
      </c>
      <c r="F687">
        <v>-5.7469999999999999</v>
      </c>
      <c r="G687">
        <v>-36.000999999999998</v>
      </c>
      <c r="H687">
        <v>16333</v>
      </c>
      <c r="I687">
        <v>0</v>
      </c>
      <c r="J687">
        <v>1</v>
      </c>
      <c r="K687" t="s">
        <v>55</v>
      </c>
      <c r="L687" t="s">
        <v>55</v>
      </c>
      <c r="M687" t="s">
        <v>56</v>
      </c>
      <c r="N687">
        <v>1643610702.95</v>
      </c>
      <c r="O687">
        <v>0.19600000000000001</v>
      </c>
      <c r="P687">
        <v>0.42599999999999999</v>
      </c>
      <c r="Q687">
        <v>52.847000000000001</v>
      </c>
      <c r="R687">
        <v>1E-3</v>
      </c>
      <c r="S687">
        <v>1E-3</v>
      </c>
      <c r="T687">
        <v>1.2809999999999999</v>
      </c>
      <c r="U687">
        <v>91.253</v>
      </c>
      <c r="V687">
        <v>23.885999999999999</v>
      </c>
      <c r="W687">
        <v>2.3780000000000001</v>
      </c>
      <c r="X687">
        <v>88.632999999999996</v>
      </c>
      <c r="Y687">
        <v>0.97</v>
      </c>
      <c r="Z687">
        <v>1.266</v>
      </c>
      <c r="AA687">
        <v>0</v>
      </c>
      <c r="AB687">
        <v>0</v>
      </c>
      <c r="AC687">
        <v>1</v>
      </c>
      <c r="AD687">
        <v>39.875</v>
      </c>
      <c r="AE687">
        <v>1</v>
      </c>
      <c r="AF687">
        <v>95</v>
      </c>
      <c r="AG687">
        <v>6</v>
      </c>
      <c r="AH687" t="s">
        <v>84</v>
      </c>
      <c r="AI687">
        <v>0</v>
      </c>
    </row>
    <row r="688" spans="1:35" x14ac:dyDescent="0.45">
      <c r="A688">
        <v>687</v>
      </c>
      <c r="B688" t="s">
        <v>963</v>
      </c>
      <c r="C688" t="s">
        <v>970</v>
      </c>
      <c r="D688" t="s">
        <v>965</v>
      </c>
      <c r="E688">
        <v>6</v>
      </c>
      <c r="F688">
        <v>-5.7850000000000001</v>
      </c>
      <c r="G688">
        <v>-36.023000000000003</v>
      </c>
      <c r="H688">
        <v>16351</v>
      </c>
      <c r="I688">
        <v>0</v>
      </c>
      <c r="J688">
        <v>1</v>
      </c>
      <c r="K688" t="s">
        <v>55</v>
      </c>
      <c r="L688" t="s">
        <v>55</v>
      </c>
      <c r="M688" t="s">
        <v>56</v>
      </c>
      <c r="N688">
        <v>1643611240.24</v>
      </c>
      <c r="O688">
        <v>0.215</v>
      </c>
      <c r="P688">
        <v>0.36799999999999999</v>
      </c>
      <c r="Q688">
        <v>54.6</v>
      </c>
      <c r="R688">
        <v>1E-3</v>
      </c>
      <c r="S688">
        <v>0</v>
      </c>
      <c r="T688">
        <v>1.302</v>
      </c>
      <c r="U688">
        <v>91.244</v>
      </c>
      <c r="V688">
        <v>24.506</v>
      </c>
      <c r="W688">
        <v>2.3780000000000001</v>
      </c>
      <c r="X688">
        <v>87.492000000000004</v>
      </c>
      <c r="Y688">
        <v>0.99</v>
      </c>
      <c r="Z688">
        <v>1.0249999999999999</v>
      </c>
      <c r="AA688">
        <v>0</v>
      </c>
      <c r="AB688">
        <v>0</v>
      </c>
      <c r="AC688">
        <v>1</v>
      </c>
      <c r="AD688">
        <v>39.875</v>
      </c>
      <c r="AE688">
        <v>1</v>
      </c>
      <c r="AF688">
        <v>95</v>
      </c>
      <c r="AG688">
        <v>6</v>
      </c>
      <c r="AH688" t="s">
        <v>84</v>
      </c>
      <c r="AI688">
        <v>0</v>
      </c>
    </row>
    <row r="689" spans="1:35" x14ac:dyDescent="0.45">
      <c r="A689">
        <v>688</v>
      </c>
      <c r="B689" t="s">
        <v>971</v>
      </c>
      <c r="C689" t="s">
        <v>972</v>
      </c>
      <c r="D689" t="s">
        <v>973</v>
      </c>
      <c r="E689">
        <v>1</v>
      </c>
      <c r="F689">
        <v>-2.74</v>
      </c>
      <c r="G689">
        <v>-20.056999999999999</v>
      </c>
      <c r="H689">
        <v>16320</v>
      </c>
      <c r="I689">
        <v>-1</v>
      </c>
      <c r="J689">
        <v>1</v>
      </c>
      <c r="K689" t="s">
        <v>55</v>
      </c>
      <c r="L689" t="s">
        <v>55</v>
      </c>
      <c r="M689" t="s">
        <v>56</v>
      </c>
      <c r="N689">
        <v>1643611777.04</v>
      </c>
      <c r="O689">
        <v>0.20699999999999999</v>
      </c>
      <c r="P689">
        <v>0.4</v>
      </c>
      <c r="Q689">
        <v>53.777999999999999</v>
      </c>
      <c r="R689">
        <v>1E-3</v>
      </c>
      <c r="S689">
        <v>0</v>
      </c>
      <c r="T689">
        <v>1.2969999999999999</v>
      </c>
      <c r="U689">
        <v>90.96</v>
      </c>
      <c r="V689">
        <v>24.475000000000001</v>
      </c>
      <c r="W689">
        <v>2.3929999999999998</v>
      </c>
      <c r="X689">
        <v>87.798000000000002</v>
      </c>
      <c r="Y689">
        <v>0.96499999999999997</v>
      </c>
      <c r="Z689">
        <v>1.2569999999999999</v>
      </c>
      <c r="AA689">
        <v>0</v>
      </c>
      <c r="AB689">
        <v>0</v>
      </c>
      <c r="AC689">
        <v>1</v>
      </c>
      <c r="AD689">
        <v>39.875</v>
      </c>
      <c r="AE689">
        <v>1</v>
      </c>
      <c r="AF689">
        <v>96</v>
      </c>
      <c r="AG689">
        <v>6</v>
      </c>
      <c r="AH689" t="s">
        <v>84</v>
      </c>
      <c r="AI689">
        <v>0</v>
      </c>
    </row>
    <row r="690" spans="1:35" x14ac:dyDescent="0.45">
      <c r="A690">
        <v>689</v>
      </c>
      <c r="B690" t="s">
        <v>971</v>
      </c>
      <c r="C690" t="s">
        <v>974</v>
      </c>
      <c r="D690" t="s">
        <v>973</v>
      </c>
      <c r="E690">
        <v>2</v>
      </c>
      <c r="F690">
        <v>-2.5510000000000002</v>
      </c>
      <c r="G690">
        <v>-18.722999999999999</v>
      </c>
      <c r="H690">
        <v>16245</v>
      </c>
      <c r="I690">
        <v>-1</v>
      </c>
      <c r="J690">
        <v>1</v>
      </c>
      <c r="K690" t="s">
        <v>55</v>
      </c>
      <c r="L690" t="s">
        <v>55</v>
      </c>
      <c r="M690" t="s">
        <v>56</v>
      </c>
      <c r="N690">
        <v>1643612312.53</v>
      </c>
      <c r="O690">
        <v>0.21</v>
      </c>
      <c r="P690">
        <v>0.375</v>
      </c>
      <c r="Q690">
        <v>53.779000000000003</v>
      </c>
      <c r="R690">
        <v>1E-3</v>
      </c>
      <c r="S690">
        <v>0</v>
      </c>
      <c r="T690">
        <v>1.294</v>
      </c>
      <c r="U690">
        <v>90.671000000000006</v>
      </c>
      <c r="V690">
        <v>24.369</v>
      </c>
      <c r="W690">
        <v>2.3340000000000001</v>
      </c>
      <c r="X690">
        <v>86.8</v>
      </c>
      <c r="Y690">
        <v>0.96399999999999997</v>
      </c>
      <c r="Z690">
        <v>1.0680000000000001</v>
      </c>
      <c r="AA690">
        <v>0</v>
      </c>
      <c r="AB690">
        <v>0</v>
      </c>
      <c r="AC690">
        <v>1</v>
      </c>
      <c r="AD690">
        <v>39.875</v>
      </c>
      <c r="AE690">
        <v>1</v>
      </c>
      <c r="AF690">
        <v>96</v>
      </c>
      <c r="AG690">
        <v>6</v>
      </c>
      <c r="AH690" t="s">
        <v>84</v>
      </c>
      <c r="AI690">
        <v>0</v>
      </c>
    </row>
    <row r="691" spans="1:35" x14ac:dyDescent="0.45">
      <c r="A691">
        <v>690</v>
      </c>
      <c r="B691" t="s">
        <v>971</v>
      </c>
      <c r="C691" t="s">
        <v>975</v>
      </c>
      <c r="D691" t="s">
        <v>973</v>
      </c>
      <c r="E691">
        <v>3</v>
      </c>
      <c r="F691">
        <v>-2.5419999999999998</v>
      </c>
      <c r="G691">
        <v>-18.411000000000001</v>
      </c>
      <c r="H691">
        <v>16339</v>
      </c>
      <c r="I691">
        <v>-1</v>
      </c>
      <c r="J691">
        <v>1</v>
      </c>
      <c r="K691" t="s">
        <v>55</v>
      </c>
      <c r="L691" t="s">
        <v>55</v>
      </c>
      <c r="M691" t="s">
        <v>56</v>
      </c>
      <c r="N691">
        <v>1643612847.7</v>
      </c>
      <c r="O691">
        <v>0.20399999999999999</v>
      </c>
      <c r="P691">
        <v>0.38300000000000001</v>
      </c>
      <c r="Q691">
        <v>53.210999999999999</v>
      </c>
      <c r="R691">
        <v>1E-3</v>
      </c>
      <c r="S691">
        <v>0</v>
      </c>
      <c r="T691">
        <v>1.284</v>
      </c>
      <c r="U691">
        <v>90.91</v>
      </c>
      <c r="V691">
        <v>24.591999999999999</v>
      </c>
      <c r="W691">
        <v>2.423</v>
      </c>
      <c r="X691">
        <v>88.472999999999999</v>
      </c>
      <c r="Y691">
        <v>1</v>
      </c>
      <c r="Z691">
        <v>1.4259999999999999</v>
      </c>
      <c r="AA691">
        <v>0</v>
      </c>
      <c r="AB691">
        <v>0</v>
      </c>
      <c r="AC691">
        <v>1</v>
      </c>
      <c r="AD691">
        <v>39.875</v>
      </c>
      <c r="AE691">
        <v>1</v>
      </c>
      <c r="AF691">
        <v>96</v>
      </c>
      <c r="AG691">
        <v>6</v>
      </c>
      <c r="AH691" t="s">
        <v>84</v>
      </c>
      <c r="AI691">
        <v>0</v>
      </c>
    </row>
    <row r="692" spans="1:35" x14ac:dyDescent="0.45">
      <c r="A692">
        <v>691</v>
      </c>
      <c r="B692" t="s">
        <v>971</v>
      </c>
      <c r="C692" t="s">
        <v>976</v>
      </c>
      <c r="D692" t="s">
        <v>973</v>
      </c>
      <c r="E692">
        <v>4</v>
      </c>
      <c r="F692">
        <v>-2.5089999999999999</v>
      </c>
      <c r="G692">
        <v>-18.286999999999999</v>
      </c>
      <c r="H692">
        <v>16308</v>
      </c>
      <c r="I692">
        <v>0</v>
      </c>
      <c r="J692">
        <v>1</v>
      </c>
      <c r="K692" t="s">
        <v>55</v>
      </c>
      <c r="L692" t="s">
        <v>55</v>
      </c>
      <c r="M692" t="s">
        <v>56</v>
      </c>
      <c r="N692">
        <v>1643613384.95</v>
      </c>
      <c r="O692">
        <v>0.218</v>
      </c>
      <c r="P692">
        <v>0.41099999999999998</v>
      </c>
      <c r="Q692">
        <v>54.487000000000002</v>
      </c>
      <c r="R692">
        <v>1E-3</v>
      </c>
      <c r="S692">
        <v>2E-3</v>
      </c>
      <c r="T692">
        <v>1.3220000000000001</v>
      </c>
      <c r="U692">
        <v>90.998000000000005</v>
      </c>
      <c r="V692">
        <v>23.975999999999999</v>
      </c>
      <c r="W692">
        <v>2.4049999999999998</v>
      </c>
      <c r="X692">
        <v>88.988</v>
      </c>
      <c r="Y692">
        <v>0.99199999999999999</v>
      </c>
      <c r="Z692">
        <v>1.2909999999999999</v>
      </c>
      <c r="AA692">
        <v>0</v>
      </c>
      <c r="AB692">
        <v>0</v>
      </c>
      <c r="AC692">
        <v>1</v>
      </c>
      <c r="AD692">
        <v>39.875</v>
      </c>
      <c r="AE692">
        <v>1</v>
      </c>
      <c r="AF692">
        <v>96</v>
      </c>
      <c r="AG692">
        <v>6</v>
      </c>
      <c r="AH692" t="s">
        <v>84</v>
      </c>
      <c r="AI692">
        <v>0</v>
      </c>
    </row>
    <row r="693" spans="1:35" x14ac:dyDescent="0.45">
      <c r="A693">
        <v>692</v>
      </c>
      <c r="B693" t="s">
        <v>971</v>
      </c>
      <c r="C693" t="s">
        <v>977</v>
      </c>
      <c r="D693" t="s">
        <v>973</v>
      </c>
      <c r="E693">
        <v>5</v>
      </c>
      <c r="F693">
        <v>-2.5259999999999998</v>
      </c>
      <c r="G693">
        <v>-18.253</v>
      </c>
      <c r="H693">
        <v>16262</v>
      </c>
      <c r="I693">
        <v>0</v>
      </c>
      <c r="J693">
        <v>1</v>
      </c>
      <c r="K693" t="s">
        <v>55</v>
      </c>
      <c r="L693" t="s">
        <v>55</v>
      </c>
      <c r="M693" t="s">
        <v>56</v>
      </c>
      <c r="N693">
        <v>1643613920.01</v>
      </c>
      <c r="O693">
        <v>0.20599999999999999</v>
      </c>
      <c r="P693">
        <v>0.41499999999999998</v>
      </c>
      <c r="Q693">
        <v>53.914999999999999</v>
      </c>
      <c r="R693">
        <v>1E-3</v>
      </c>
      <c r="S693">
        <v>1E-3</v>
      </c>
      <c r="T693">
        <v>1.286</v>
      </c>
      <c r="U693">
        <v>90.540999999999997</v>
      </c>
      <c r="V693">
        <v>24.620999999999999</v>
      </c>
      <c r="W693">
        <v>2.371</v>
      </c>
      <c r="X693">
        <v>87.156000000000006</v>
      </c>
      <c r="Y693">
        <v>0.98799999999999999</v>
      </c>
      <c r="Z693">
        <v>1.3149999999999999</v>
      </c>
      <c r="AA693">
        <v>0</v>
      </c>
      <c r="AB693">
        <v>0</v>
      </c>
      <c r="AC693">
        <v>1</v>
      </c>
      <c r="AD693">
        <v>39.875</v>
      </c>
      <c r="AE693">
        <v>1</v>
      </c>
      <c r="AF693">
        <v>96</v>
      </c>
      <c r="AG693">
        <v>6</v>
      </c>
      <c r="AH693" t="s">
        <v>84</v>
      </c>
      <c r="AI693">
        <v>0</v>
      </c>
    </row>
    <row r="694" spans="1:35" x14ac:dyDescent="0.45">
      <c r="A694">
        <v>693</v>
      </c>
      <c r="B694" t="s">
        <v>971</v>
      </c>
      <c r="C694" t="s">
        <v>978</v>
      </c>
      <c r="D694" t="s">
        <v>973</v>
      </c>
      <c r="E694">
        <v>6</v>
      </c>
      <c r="F694">
        <v>-2.5329999999999999</v>
      </c>
      <c r="G694">
        <v>-18.172999999999998</v>
      </c>
      <c r="H694">
        <v>16265</v>
      </c>
      <c r="I694">
        <v>0</v>
      </c>
      <c r="J694">
        <v>1</v>
      </c>
      <c r="K694" t="s">
        <v>55</v>
      </c>
      <c r="L694" t="s">
        <v>55</v>
      </c>
      <c r="M694" t="s">
        <v>56</v>
      </c>
      <c r="N694">
        <v>1643614455.26</v>
      </c>
      <c r="O694">
        <v>0.2</v>
      </c>
      <c r="P694">
        <v>0.38600000000000001</v>
      </c>
      <c r="Q694">
        <v>53.643999999999998</v>
      </c>
      <c r="R694">
        <v>1E-3</v>
      </c>
      <c r="S694">
        <v>-1E-3</v>
      </c>
      <c r="T694">
        <v>1.2869999999999999</v>
      </c>
      <c r="U694">
        <v>90.846000000000004</v>
      </c>
      <c r="V694">
        <v>24.178999999999998</v>
      </c>
      <c r="W694">
        <v>2.3610000000000002</v>
      </c>
      <c r="X694">
        <v>87.1</v>
      </c>
      <c r="Y694">
        <v>0.99</v>
      </c>
      <c r="Z694">
        <v>1.1399999999999999</v>
      </c>
      <c r="AA694">
        <v>0</v>
      </c>
      <c r="AB694">
        <v>0</v>
      </c>
      <c r="AC694">
        <v>1</v>
      </c>
      <c r="AD694">
        <v>39.875</v>
      </c>
      <c r="AE694">
        <v>1</v>
      </c>
      <c r="AF694">
        <v>96</v>
      </c>
      <c r="AG694">
        <v>6</v>
      </c>
      <c r="AH694" t="s">
        <v>84</v>
      </c>
      <c r="AI694">
        <v>0</v>
      </c>
    </row>
    <row r="695" spans="1:35" x14ac:dyDescent="0.45">
      <c r="A695">
        <v>694</v>
      </c>
      <c r="B695" t="s">
        <v>979</v>
      </c>
      <c r="C695" t="s">
        <v>980</v>
      </c>
      <c r="D695" t="s">
        <v>981</v>
      </c>
      <c r="E695">
        <v>1</v>
      </c>
      <c r="F695">
        <v>-5.7469999999999999</v>
      </c>
      <c r="G695">
        <v>-35.183</v>
      </c>
      <c r="H695">
        <v>16260</v>
      </c>
      <c r="I695">
        <v>-1</v>
      </c>
      <c r="J695">
        <v>1</v>
      </c>
      <c r="K695" t="s">
        <v>55</v>
      </c>
      <c r="L695" t="s">
        <v>55</v>
      </c>
      <c r="M695" t="s">
        <v>56</v>
      </c>
      <c r="N695">
        <v>1643614992.1300001</v>
      </c>
      <c r="O695">
        <v>0.19500000000000001</v>
      </c>
      <c r="P695">
        <v>0.432</v>
      </c>
      <c r="Q695">
        <v>53.601999999999997</v>
      </c>
      <c r="R695">
        <v>1E-3</v>
      </c>
      <c r="S695">
        <v>2E-3</v>
      </c>
      <c r="T695">
        <v>1.302</v>
      </c>
      <c r="U695">
        <v>90.474999999999994</v>
      </c>
      <c r="V695">
        <v>24.646999999999998</v>
      </c>
      <c r="W695">
        <v>2.359</v>
      </c>
      <c r="X695">
        <v>87.863</v>
      </c>
      <c r="Y695">
        <v>0.96799999999999997</v>
      </c>
      <c r="Z695">
        <v>1.3160000000000001</v>
      </c>
      <c r="AA695">
        <v>0</v>
      </c>
      <c r="AB695">
        <v>0</v>
      </c>
      <c r="AC695">
        <v>1</v>
      </c>
      <c r="AD695">
        <v>39.875</v>
      </c>
      <c r="AE695">
        <v>1</v>
      </c>
      <c r="AF695">
        <v>97</v>
      </c>
      <c r="AG695">
        <v>6</v>
      </c>
      <c r="AH695" t="s">
        <v>84</v>
      </c>
      <c r="AI695">
        <v>0</v>
      </c>
    </row>
    <row r="696" spans="1:35" x14ac:dyDescent="0.45">
      <c r="A696">
        <v>695</v>
      </c>
      <c r="B696" t="s">
        <v>979</v>
      </c>
      <c r="C696" t="s">
        <v>982</v>
      </c>
      <c r="D696" t="s">
        <v>981</v>
      </c>
      <c r="E696">
        <v>2</v>
      </c>
      <c r="F696">
        <v>-5.9089999999999998</v>
      </c>
      <c r="G696">
        <v>-36.591000000000001</v>
      </c>
      <c r="H696">
        <v>16316</v>
      </c>
      <c r="I696">
        <v>-1</v>
      </c>
      <c r="J696">
        <v>1</v>
      </c>
      <c r="K696" t="s">
        <v>55</v>
      </c>
      <c r="L696" t="s">
        <v>55</v>
      </c>
      <c r="M696" t="s">
        <v>56</v>
      </c>
      <c r="N696">
        <v>1643615527.8399999</v>
      </c>
      <c r="O696">
        <v>0.20899999999999999</v>
      </c>
      <c r="P696">
        <v>0.39200000000000002</v>
      </c>
      <c r="Q696">
        <v>54.3</v>
      </c>
      <c r="R696">
        <v>1E-3</v>
      </c>
      <c r="S696">
        <v>2E-3</v>
      </c>
      <c r="T696">
        <v>1.298</v>
      </c>
      <c r="U696">
        <v>91.122</v>
      </c>
      <c r="V696">
        <v>24.327999999999999</v>
      </c>
      <c r="W696">
        <v>2.33</v>
      </c>
      <c r="X696">
        <v>87.299000000000007</v>
      </c>
      <c r="Y696">
        <v>0.99</v>
      </c>
      <c r="Z696">
        <v>1.075</v>
      </c>
      <c r="AA696">
        <v>0</v>
      </c>
      <c r="AB696">
        <v>0</v>
      </c>
      <c r="AC696">
        <v>1</v>
      </c>
      <c r="AD696">
        <v>39.875</v>
      </c>
      <c r="AE696">
        <v>1</v>
      </c>
      <c r="AF696">
        <v>97</v>
      </c>
      <c r="AG696">
        <v>6</v>
      </c>
      <c r="AH696" t="s">
        <v>84</v>
      </c>
      <c r="AI696">
        <v>0</v>
      </c>
    </row>
    <row r="697" spans="1:35" x14ac:dyDescent="0.45">
      <c r="A697">
        <v>696</v>
      </c>
      <c r="B697" t="s">
        <v>979</v>
      </c>
      <c r="C697" t="s">
        <v>983</v>
      </c>
      <c r="D697" t="s">
        <v>981</v>
      </c>
      <c r="E697">
        <v>3</v>
      </c>
      <c r="F697">
        <v>-5.9139999999999997</v>
      </c>
      <c r="G697">
        <v>-36.793999999999997</v>
      </c>
      <c r="H697">
        <v>16325</v>
      </c>
      <c r="I697">
        <v>-1</v>
      </c>
      <c r="J697">
        <v>1</v>
      </c>
      <c r="K697" t="s">
        <v>55</v>
      </c>
      <c r="L697" t="s">
        <v>55</v>
      </c>
      <c r="M697" t="s">
        <v>56</v>
      </c>
      <c r="N697">
        <v>1643616063.9000001</v>
      </c>
      <c r="O697">
        <v>0.22700000000000001</v>
      </c>
      <c r="P697">
        <v>0.41799999999999998</v>
      </c>
      <c r="Q697">
        <v>53.415999999999997</v>
      </c>
      <c r="R697">
        <v>1E-3</v>
      </c>
      <c r="S697">
        <v>3.0000000000000001E-3</v>
      </c>
      <c r="T697">
        <v>1.3</v>
      </c>
      <c r="U697">
        <v>91.037999999999997</v>
      </c>
      <c r="V697">
        <v>24.66</v>
      </c>
      <c r="W697">
        <v>2.3839999999999999</v>
      </c>
      <c r="X697">
        <v>87.343999999999994</v>
      </c>
      <c r="Y697">
        <v>0.98499999999999999</v>
      </c>
      <c r="Z697">
        <v>1.0980000000000001</v>
      </c>
      <c r="AA697">
        <v>0</v>
      </c>
      <c r="AB697">
        <v>0</v>
      </c>
      <c r="AC697">
        <v>1</v>
      </c>
      <c r="AD697">
        <v>39.811999999999998</v>
      </c>
      <c r="AE697">
        <v>1</v>
      </c>
      <c r="AF697">
        <v>97</v>
      </c>
      <c r="AG697">
        <v>6</v>
      </c>
      <c r="AH697" t="s">
        <v>84</v>
      </c>
      <c r="AI697">
        <v>0</v>
      </c>
    </row>
    <row r="698" spans="1:35" x14ac:dyDescent="0.45">
      <c r="A698">
        <v>697</v>
      </c>
      <c r="B698" t="s">
        <v>979</v>
      </c>
      <c r="C698" t="s">
        <v>984</v>
      </c>
      <c r="D698" t="s">
        <v>981</v>
      </c>
      <c r="E698">
        <v>4</v>
      </c>
      <c r="F698">
        <v>-5.9240000000000004</v>
      </c>
      <c r="G698">
        <v>-36.994</v>
      </c>
      <c r="H698">
        <v>16290</v>
      </c>
      <c r="I698">
        <v>0</v>
      </c>
      <c r="J698">
        <v>1</v>
      </c>
      <c r="K698" t="s">
        <v>55</v>
      </c>
      <c r="L698" t="s">
        <v>55</v>
      </c>
      <c r="M698" t="s">
        <v>56</v>
      </c>
      <c r="N698">
        <v>1643616599.8199999</v>
      </c>
      <c r="O698">
        <v>0.20599999999999999</v>
      </c>
      <c r="P698">
        <v>0.42399999999999999</v>
      </c>
      <c r="Q698">
        <v>53.68</v>
      </c>
      <c r="R698">
        <v>1E-3</v>
      </c>
      <c r="S698">
        <v>1E-3</v>
      </c>
      <c r="T698">
        <v>1.2969999999999999</v>
      </c>
      <c r="U698">
        <v>90.781999999999996</v>
      </c>
      <c r="V698">
        <v>24.545999999999999</v>
      </c>
      <c r="W698">
        <v>2.3780000000000001</v>
      </c>
      <c r="X698">
        <v>87.51</v>
      </c>
      <c r="Y698">
        <v>0.96599999999999997</v>
      </c>
      <c r="Z698">
        <v>1.163</v>
      </c>
      <c r="AA698">
        <v>0</v>
      </c>
      <c r="AB698">
        <v>0</v>
      </c>
      <c r="AC698">
        <v>1</v>
      </c>
      <c r="AD698">
        <v>39.875</v>
      </c>
      <c r="AE698">
        <v>1</v>
      </c>
      <c r="AF698">
        <v>97</v>
      </c>
      <c r="AG698">
        <v>6</v>
      </c>
      <c r="AH698" t="s">
        <v>84</v>
      </c>
      <c r="AI698">
        <v>0</v>
      </c>
    </row>
    <row r="699" spans="1:35" x14ac:dyDescent="0.45">
      <c r="A699">
        <v>698</v>
      </c>
      <c r="B699" t="s">
        <v>979</v>
      </c>
      <c r="C699" t="s">
        <v>985</v>
      </c>
      <c r="D699" t="s">
        <v>981</v>
      </c>
      <c r="E699">
        <v>5</v>
      </c>
      <c r="F699">
        <v>-5.9269999999999996</v>
      </c>
      <c r="G699">
        <v>-37.002000000000002</v>
      </c>
      <c r="H699">
        <v>16306</v>
      </c>
      <c r="I699">
        <v>0</v>
      </c>
      <c r="J699">
        <v>1</v>
      </c>
      <c r="K699" t="s">
        <v>55</v>
      </c>
      <c r="L699" t="s">
        <v>55</v>
      </c>
      <c r="M699" t="s">
        <v>56</v>
      </c>
      <c r="N699">
        <v>1643617136.0899999</v>
      </c>
      <c r="O699">
        <v>0.20899999999999999</v>
      </c>
      <c r="P699">
        <v>0.39500000000000002</v>
      </c>
      <c r="Q699">
        <v>53.29</v>
      </c>
      <c r="R699">
        <v>1E-3</v>
      </c>
      <c r="S699">
        <v>2E-3</v>
      </c>
      <c r="T699">
        <v>1.286</v>
      </c>
      <c r="U699">
        <v>91.018000000000001</v>
      </c>
      <c r="V699">
        <v>24.678999999999998</v>
      </c>
      <c r="W699">
        <v>2.298</v>
      </c>
      <c r="X699">
        <v>86.453000000000003</v>
      </c>
      <c r="Y699">
        <v>0.96</v>
      </c>
      <c r="Z699">
        <v>0.97</v>
      </c>
      <c r="AA699">
        <v>0</v>
      </c>
      <c r="AB699">
        <v>0</v>
      </c>
      <c r="AC699">
        <v>1</v>
      </c>
      <c r="AD699">
        <v>39.938000000000002</v>
      </c>
      <c r="AE699">
        <v>1</v>
      </c>
      <c r="AF699">
        <v>97</v>
      </c>
      <c r="AG699">
        <v>6</v>
      </c>
      <c r="AH699" t="s">
        <v>84</v>
      </c>
      <c r="AI699">
        <v>0</v>
      </c>
    </row>
    <row r="700" spans="1:35" x14ac:dyDescent="0.45">
      <c r="A700">
        <v>699</v>
      </c>
      <c r="B700" t="s">
        <v>979</v>
      </c>
      <c r="C700" t="s">
        <v>986</v>
      </c>
      <c r="D700" t="s">
        <v>981</v>
      </c>
      <c r="E700">
        <v>6</v>
      </c>
      <c r="F700">
        <v>-5.97</v>
      </c>
      <c r="G700">
        <v>-37.057000000000002</v>
      </c>
      <c r="H700">
        <v>16288</v>
      </c>
      <c r="I700">
        <v>0</v>
      </c>
      <c r="J700">
        <v>1</v>
      </c>
      <c r="K700" t="s">
        <v>55</v>
      </c>
      <c r="L700" t="s">
        <v>55</v>
      </c>
      <c r="M700" t="s">
        <v>56</v>
      </c>
      <c r="N700">
        <v>1643617673.0999999</v>
      </c>
      <c r="O700">
        <v>0.22</v>
      </c>
      <c r="P700">
        <v>0.46700000000000003</v>
      </c>
      <c r="Q700">
        <v>54.524999999999999</v>
      </c>
      <c r="R700">
        <v>1E-3</v>
      </c>
      <c r="S700">
        <v>2E-3</v>
      </c>
      <c r="T700">
        <v>1.3140000000000001</v>
      </c>
      <c r="U700">
        <v>90.674000000000007</v>
      </c>
      <c r="V700">
        <v>24.904</v>
      </c>
      <c r="W700">
        <v>2.3740000000000001</v>
      </c>
      <c r="X700">
        <v>86.84</v>
      </c>
      <c r="Y700">
        <v>0.997</v>
      </c>
      <c r="Z700">
        <v>1.167</v>
      </c>
      <c r="AA700">
        <v>0</v>
      </c>
      <c r="AB700">
        <v>0</v>
      </c>
      <c r="AC700">
        <v>1</v>
      </c>
      <c r="AD700">
        <v>39.938000000000002</v>
      </c>
      <c r="AE700">
        <v>1</v>
      </c>
      <c r="AF700">
        <v>97</v>
      </c>
      <c r="AG700">
        <v>6</v>
      </c>
      <c r="AH700" t="s">
        <v>84</v>
      </c>
      <c r="AI700">
        <v>0</v>
      </c>
    </row>
    <row r="701" spans="1:35" x14ac:dyDescent="0.45">
      <c r="A701">
        <v>700</v>
      </c>
      <c r="B701" t="s">
        <v>987</v>
      </c>
      <c r="C701" t="s">
        <v>988</v>
      </c>
      <c r="D701" t="s">
        <v>989</v>
      </c>
      <c r="E701">
        <v>1</v>
      </c>
      <c r="F701">
        <v>-5.52</v>
      </c>
      <c r="G701">
        <v>-30.074000000000002</v>
      </c>
      <c r="H701">
        <v>16281</v>
      </c>
      <c r="I701">
        <v>-1</v>
      </c>
      <c r="J701">
        <v>1</v>
      </c>
      <c r="K701" t="s">
        <v>55</v>
      </c>
      <c r="L701" t="s">
        <v>55</v>
      </c>
      <c r="M701" t="s">
        <v>56</v>
      </c>
      <c r="N701">
        <v>1643618206.4300001</v>
      </c>
      <c r="O701">
        <v>0.20200000000000001</v>
      </c>
      <c r="P701">
        <v>0.46600000000000003</v>
      </c>
      <c r="Q701">
        <v>52.828000000000003</v>
      </c>
      <c r="R701">
        <v>0</v>
      </c>
      <c r="S701">
        <v>1E-3</v>
      </c>
      <c r="T701">
        <v>1.2769999999999999</v>
      </c>
      <c r="U701">
        <v>90.989000000000004</v>
      </c>
      <c r="V701">
        <v>24.061</v>
      </c>
      <c r="W701">
        <v>2.3540000000000001</v>
      </c>
      <c r="X701">
        <v>87.325000000000003</v>
      </c>
      <c r="Y701">
        <v>0.97899999999999998</v>
      </c>
      <c r="Z701">
        <v>1.0169999999999999</v>
      </c>
      <c r="AA701">
        <v>0</v>
      </c>
      <c r="AB701">
        <v>0</v>
      </c>
      <c r="AC701">
        <v>1</v>
      </c>
      <c r="AD701">
        <v>39.875</v>
      </c>
      <c r="AE701">
        <v>1</v>
      </c>
      <c r="AF701">
        <v>98</v>
      </c>
      <c r="AG701">
        <v>6</v>
      </c>
      <c r="AH701" t="s">
        <v>84</v>
      </c>
      <c r="AI701">
        <v>0</v>
      </c>
    </row>
    <row r="702" spans="1:35" x14ac:dyDescent="0.45">
      <c r="A702">
        <v>701</v>
      </c>
      <c r="B702" t="s">
        <v>987</v>
      </c>
      <c r="C702" t="s">
        <v>990</v>
      </c>
      <c r="D702" t="s">
        <v>989</v>
      </c>
      <c r="E702">
        <v>2</v>
      </c>
      <c r="F702">
        <v>-5.5250000000000004</v>
      </c>
      <c r="G702">
        <v>-29.626999999999999</v>
      </c>
      <c r="H702">
        <v>16212</v>
      </c>
      <c r="I702">
        <v>-1</v>
      </c>
      <c r="J702">
        <v>1</v>
      </c>
      <c r="K702" t="s">
        <v>55</v>
      </c>
      <c r="L702" t="s">
        <v>55</v>
      </c>
      <c r="M702" t="s">
        <v>56</v>
      </c>
      <c r="N702">
        <v>1643618744.7</v>
      </c>
      <c r="O702">
        <v>0.20399999999999999</v>
      </c>
      <c r="P702">
        <v>0.39900000000000002</v>
      </c>
      <c r="Q702">
        <v>54.179000000000002</v>
      </c>
      <c r="R702">
        <v>1E-3</v>
      </c>
      <c r="S702">
        <v>2E-3</v>
      </c>
      <c r="T702">
        <v>1.2989999999999999</v>
      </c>
      <c r="U702">
        <v>90.33</v>
      </c>
      <c r="V702">
        <v>24.361000000000001</v>
      </c>
      <c r="W702">
        <v>2.3620000000000001</v>
      </c>
      <c r="X702">
        <v>87.292000000000002</v>
      </c>
      <c r="Y702">
        <v>0.99399999999999999</v>
      </c>
      <c r="Z702">
        <v>1.1379999999999999</v>
      </c>
      <c r="AA702">
        <v>0</v>
      </c>
      <c r="AB702">
        <v>0</v>
      </c>
      <c r="AC702">
        <v>1</v>
      </c>
      <c r="AD702">
        <v>39.875</v>
      </c>
      <c r="AE702">
        <v>1</v>
      </c>
      <c r="AF702">
        <v>98</v>
      </c>
      <c r="AG702">
        <v>6</v>
      </c>
      <c r="AH702" t="s">
        <v>84</v>
      </c>
      <c r="AI702">
        <v>0</v>
      </c>
    </row>
    <row r="703" spans="1:35" x14ac:dyDescent="0.45">
      <c r="A703">
        <v>702</v>
      </c>
      <c r="B703" t="s">
        <v>987</v>
      </c>
      <c r="C703" t="s">
        <v>991</v>
      </c>
      <c r="D703" t="s">
        <v>989</v>
      </c>
      <c r="E703">
        <v>3</v>
      </c>
      <c r="F703">
        <v>-5.5090000000000003</v>
      </c>
      <c r="G703">
        <v>-29.38</v>
      </c>
      <c r="H703">
        <v>16412</v>
      </c>
      <c r="I703">
        <v>-1</v>
      </c>
      <c r="J703">
        <v>1</v>
      </c>
      <c r="K703" t="s">
        <v>55</v>
      </c>
      <c r="L703" t="s">
        <v>55</v>
      </c>
      <c r="M703" t="s">
        <v>56</v>
      </c>
      <c r="N703">
        <v>1643619280.27</v>
      </c>
      <c r="O703">
        <v>0.20100000000000001</v>
      </c>
      <c r="P703">
        <v>0.40100000000000002</v>
      </c>
      <c r="Q703">
        <v>53.661999999999999</v>
      </c>
      <c r="R703">
        <v>1E-3</v>
      </c>
      <c r="S703">
        <v>-1E-3</v>
      </c>
      <c r="T703">
        <v>1.292</v>
      </c>
      <c r="U703">
        <v>92.664000000000001</v>
      </c>
      <c r="V703">
        <v>22.452000000000002</v>
      </c>
      <c r="W703">
        <v>2.3769999999999998</v>
      </c>
      <c r="X703">
        <v>88.775000000000006</v>
      </c>
      <c r="Y703">
        <v>0.999</v>
      </c>
      <c r="Z703">
        <v>0.83799999999999997</v>
      </c>
      <c r="AA703">
        <v>0</v>
      </c>
      <c r="AB703">
        <v>0</v>
      </c>
      <c r="AC703">
        <v>1</v>
      </c>
      <c r="AD703">
        <v>39.811999999999998</v>
      </c>
      <c r="AE703">
        <v>1</v>
      </c>
      <c r="AF703">
        <v>98</v>
      </c>
      <c r="AG703">
        <v>6</v>
      </c>
      <c r="AH703" t="s">
        <v>84</v>
      </c>
      <c r="AI703">
        <v>0</v>
      </c>
    </row>
    <row r="704" spans="1:35" x14ac:dyDescent="0.45">
      <c r="A704">
        <v>703</v>
      </c>
      <c r="B704" t="s">
        <v>987</v>
      </c>
      <c r="C704" t="s">
        <v>992</v>
      </c>
      <c r="D704" t="s">
        <v>989</v>
      </c>
      <c r="E704">
        <v>4</v>
      </c>
      <c r="F704">
        <v>-5.516</v>
      </c>
      <c r="G704">
        <v>-29.369</v>
      </c>
      <c r="H704">
        <v>16352</v>
      </c>
      <c r="I704">
        <v>0</v>
      </c>
      <c r="J704">
        <v>1</v>
      </c>
      <c r="K704" t="s">
        <v>55</v>
      </c>
      <c r="L704" t="s">
        <v>55</v>
      </c>
      <c r="M704" t="s">
        <v>56</v>
      </c>
      <c r="N704">
        <v>1643619815.9100001</v>
      </c>
      <c r="O704">
        <v>0.19900000000000001</v>
      </c>
      <c r="P704">
        <v>0.41699999999999998</v>
      </c>
      <c r="Q704">
        <v>54.609000000000002</v>
      </c>
      <c r="R704">
        <v>1E-3</v>
      </c>
      <c r="S704">
        <v>0</v>
      </c>
      <c r="T704">
        <v>1.3149999999999999</v>
      </c>
      <c r="U704">
        <v>91.756</v>
      </c>
      <c r="V704">
        <v>23.408000000000001</v>
      </c>
      <c r="W704">
        <v>2.3439999999999999</v>
      </c>
      <c r="X704">
        <v>88.284999999999997</v>
      </c>
      <c r="Y704">
        <v>0.97499999999999998</v>
      </c>
      <c r="Z704">
        <v>1.004</v>
      </c>
      <c r="AA704">
        <v>0</v>
      </c>
      <c r="AB704">
        <v>0</v>
      </c>
      <c r="AC704">
        <v>1</v>
      </c>
      <c r="AD704">
        <v>39.875</v>
      </c>
      <c r="AE704">
        <v>1</v>
      </c>
      <c r="AF704">
        <v>98</v>
      </c>
      <c r="AG704">
        <v>6</v>
      </c>
      <c r="AH704" t="s">
        <v>84</v>
      </c>
      <c r="AI704">
        <v>0</v>
      </c>
    </row>
    <row r="705" spans="1:35" x14ac:dyDescent="0.45">
      <c r="A705">
        <v>704</v>
      </c>
      <c r="B705" t="s">
        <v>987</v>
      </c>
      <c r="C705" t="s">
        <v>993</v>
      </c>
      <c r="D705" t="s">
        <v>989</v>
      </c>
      <c r="E705">
        <v>5</v>
      </c>
      <c r="F705">
        <v>-5.5190000000000001</v>
      </c>
      <c r="G705">
        <v>-29.36</v>
      </c>
      <c r="H705">
        <v>16368</v>
      </c>
      <c r="I705">
        <v>0</v>
      </c>
      <c r="J705">
        <v>1</v>
      </c>
      <c r="K705" t="s">
        <v>55</v>
      </c>
      <c r="L705" t="s">
        <v>55</v>
      </c>
      <c r="M705" t="s">
        <v>56</v>
      </c>
      <c r="N705">
        <v>1643620352.6600001</v>
      </c>
      <c r="O705">
        <v>0.189</v>
      </c>
      <c r="P705">
        <v>0.436</v>
      </c>
      <c r="Q705">
        <v>55.006</v>
      </c>
      <c r="R705">
        <v>0</v>
      </c>
      <c r="S705">
        <v>2E-3</v>
      </c>
      <c r="T705">
        <v>1.323</v>
      </c>
      <c r="U705">
        <v>91.08</v>
      </c>
      <c r="V705">
        <v>25.047000000000001</v>
      </c>
      <c r="W705">
        <v>2.3620000000000001</v>
      </c>
      <c r="X705">
        <v>87.665999999999997</v>
      </c>
      <c r="Y705">
        <v>0.98099999999999998</v>
      </c>
      <c r="Z705">
        <v>1.1299999999999999</v>
      </c>
      <c r="AA705">
        <v>0</v>
      </c>
      <c r="AB705">
        <v>0</v>
      </c>
      <c r="AC705">
        <v>1</v>
      </c>
      <c r="AD705">
        <v>39.938000000000002</v>
      </c>
      <c r="AE705">
        <v>1</v>
      </c>
      <c r="AF705">
        <v>98</v>
      </c>
      <c r="AG705">
        <v>6</v>
      </c>
      <c r="AH705" t="s">
        <v>84</v>
      </c>
      <c r="AI705">
        <v>0</v>
      </c>
    </row>
    <row r="706" spans="1:35" x14ac:dyDescent="0.45">
      <c r="A706">
        <v>705</v>
      </c>
      <c r="B706" t="s">
        <v>987</v>
      </c>
      <c r="C706" t="s">
        <v>994</v>
      </c>
      <c r="D706" t="s">
        <v>989</v>
      </c>
      <c r="E706">
        <v>6</v>
      </c>
      <c r="F706">
        <v>-5.46</v>
      </c>
      <c r="G706">
        <v>-29.395</v>
      </c>
      <c r="H706">
        <v>16302</v>
      </c>
      <c r="I706">
        <v>0</v>
      </c>
      <c r="J706">
        <v>1</v>
      </c>
      <c r="K706" t="s">
        <v>55</v>
      </c>
      <c r="L706" t="s">
        <v>55</v>
      </c>
      <c r="M706" t="s">
        <v>56</v>
      </c>
      <c r="N706">
        <v>1643620887.47</v>
      </c>
      <c r="O706">
        <v>0.20300000000000001</v>
      </c>
      <c r="P706">
        <v>0.35799999999999998</v>
      </c>
      <c r="Q706">
        <v>53.970999999999997</v>
      </c>
      <c r="R706">
        <v>1E-3</v>
      </c>
      <c r="S706">
        <v>0</v>
      </c>
      <c r="T706">
        <v>1.2889999999999999</v>
      </c>
      <c r="U706">
        <v>90.983999999999995</v>
      </c>
      <c r="V706">
        <v>24.591000000000001</v>
      </c>
      <c r="W706">
        <v>2.3359999999999999</v>
      </c>
      <c r="X706">
        <v>86.936000000000007</v>
      </c>
      <c r="Y706">
        <v>0.97899999999999998</v>
      </c>
      <c r="Z706">
        <v>0.95599999999999996</v>
      </c>
      <c r="AA706">
        <v>0</v>
      </c>
      <c r="AB706">
        <v>0</v>
      </c>
      <c r="AC706">
        <v>1</v>
      </c>
      <c r="AD706">
        <v>39.938000000000002</v>
      </c>
      <c r="AE706">
        <v>1</v>
      </c>
      <c r="AF706">
        <v>98</v>
      </c>
      <c r="AG706">
        <v>6</v>
      </c>
      <c r="AH706" t="s">
        <v>84</v>
      </c>
      <c r="AI706">
        <v>0</v>
      </c>
    </row>
    <row r="707" spans="1:35" x14ac:dyDescent="0.45">
      <c r="A707">
        <v>706</v>
      </c>
      <c r="B707" t="s">
        <v>995</v>
      </c>
      <c r="C707" t="s">
        <v>996</v>
      </c>
      <c r="D707" t="s">
        <v>997</v>
      </c>
      <c r="E707">
        <v>1</v>
      </c>
      <c r="F707">
        <v>-5.1719999999999997</v>
      </c>
      <c r="G707">
        <v>-31.495000000000001</v>
      </c>
      <c r="H707">
        <v>16266</v>
      </c>
      <c r="I707">
        <v>-1</v>
      </c>
      <c r="J707">
        <v>1</v>
      </c>
      <c r="K707" t="s">
        <v>55</v>
      </c>
      <c r="L707" t="s">
        <v>55</v>
      </c>
      <c r="M707" t="s">
        <v>56</v>
      </c>
      <c r="N707">
        <v>1643621423.6400001</v>
      </c>
      <c r="O707">
        <v>0.19700000000000001</v>
      </c>
      <c r="P707">
        <v>0.39200000000000002</v>
      </c>
      <c r="Q707">
        <v>53.244999999999997</v>
      </c>
      <c r="R707">
        <v>1E-3</v>
      </c>
      <c r="S707">
        <v>1E-3</v>
      </c>
      <c r="T707">
        <v>1.2949999999999999</v>
      </c>
      <c r="U707">
        <v>90.974999999999994</v>
      </c>
      <c r="V707">
        <v>24.097000000000001</v>
      </c>
      <c r="W707">
        <v>2.3149999999999999</v>
      </c>
      <c r="X707">
        <v>86.873000000000005</v>
      </c>
      <c r="Y707">
        <v>0.97599999999999998</v>
      </c>
      <c r="Z707">
        <v>1.002</v>
      </c>
      <c r="AA707">
        <v>0</v>
      </c>
      <c r="AB707">
        <v>0</v>
      </c>
      <c r="AC707">
        <v>1</v>
      </c>
      <c r="AD707">
        <v>40</v>
      </c>
      <c r="AE707">
        <v>1</v>
      </c>
      <c r="AF707">
        <v>99</v>
      </c>
      <c r="AG707">
        <v>6</v>
      </c>
      <c r="AH707" t="s">
        <v>84</v>
      </c>
      <c r="AI707">
        <v>0</v>
      </c>
    </row>
    <row r="708" spans="1:35" x14ac:dyDescent="0.45">
      <c r="A708">
        <v>707</v>
      </c>
      <c r="B708" t="s">
        <v>995</v>
      </c>
      <c r="C708" t="s">
        <v>998</v>
      </c>
      <c r="D708" t="s">
        <v>997</v>
      </c>
      <c r="E708">
        <v>2</v>
      </c>
      <c r="F708">
        <v>-5.1390000000000002</v>
      </c>
      <c r="G708">
        <v>-31.646000000000001</v>
      </c>
      <c r="H708">
        <v>16295</v>
      </c>
      <c r="I708">
        <v>-1</v>
      </c>
      <c r="J708">
        <v>1</v>
      </c>
      <c r="K708" t="s">
        <v>55</v>
      </c>
      <c r="L708" t="s">
        <v>55</v>
      </c>
      <c r="M708" t="s">
        <v>56</v>
      </c>
      <c r="N708">
        <v>1643621960.77</v>
      </c>
      <c r="O708">
        <v>0.20300000000000001</v>
      </c>
      <c r="P708">
        <v>0.44</v>
      </c>
      <c r="Q708">
        <v>55.32</v>
      </c>
      <c r="R708">
        <v>1E-3</v>
      </c>
      <c r="S708">
        <v>2E-3</v>
      </c>
      <c r="T708">
        <v>1.321</v>
      </c>
      <c r="U708">
        <v>91.161000000000001</v>
      </c>
      <c r="V708">
        <v>24.108000000000001</v>
      </c>
      <c r="W708">
        <v>2.3130000000000002</v>
      </c>
      <c r="X708">
        <v>87.019000000000005</v>
      </c>
      <c r="Y708">
        <v>0.998</v>
      </c>
      <c r="Z708">
        <v>0.99</v>
      </c>
      <c r="AA708">
        <v>0</v>
      </c>
      <c r="AB708">
        <v>0</v>
      </c>
      <c r="AC708">
        <v>1</v>
      </c>
      <c r="AD708">
        <v>39.875</v>
      </c>
      <c r="AE708">
        <v>1</v>
      </c>
      <c r="AF708">
        <v>99</v>
      </c>
      <c r="AG708">
        <v>6</v>
      </c>
      <c r="AH708" t="s">
        <v>84</v>
      </c>
      <c r="AI708">
        <v>0</v>
      </c>
    </row>
    <row r="709" spans="1:35" x14ac:dyDescent="0.45">
      <c r="A709">
        <v>708</v>
      </c>
      <c r="B709" t="s">
        <v>995</v>
      </c>
      <c r="C709" t="s">
        <v>999</v>
      </c>
      <c r="D709" t="s">
        <v>997</v>
      </c>
      <c r="E709">
        <v>3</v>
      </c>
      <c r="F709">
        <v>-5.1130000000000004</v>
      </c>
      <c r="G709">
        <v>-31.632999999999999</v>
      </c>
      <c r="H709">
        <v>16317</v>
      </c>
      <c r="I709">
        <v>-1</v>
      </c>
      <c r="J709">
        <v>1</v>
      </c>
      <c r="K709" t="s">
        <v>55</v>
      </c>
      <c r="L709" t="s">
        <v>55</v>
      </c>
      <c r="M709" t="s">
        <v>56</v>
      </c>
      <c r="N709">
        <v>1643622496.0599999</v>
      </c>
      <c r="O709">
        <v>0.19900000000000001</v>
      </c>
      <c r="P709">
        <v>0.436</v>
      </c>
      <c r="Q709">
        <v>53.701999999999998</v>
      </c>
      <c r="R709">
        <v>1E-3</v>
      </c>
      <c r="S709">
        <v>2E-3</v>
      </c>
      <c r="T709">
        <v>1.3089999999999999</v>
      </c>
      <c r="U709">
        <v>91.19</v>
      </c>
      <c r="V709">
        <v>24.530999999999999</v>
      </c>
      <c r="W709">
        <v>2.3109999999999999</v>
      </c>
      <c r="X709">
        <v>86.483000000000004</v>
      </c>
      <c r="Y709">
        <v>0.97199999999999998</v>
      </c>
      <c r="Z709">
        <v>0.85</v>
      </c>
      <c r="AA709">
        <v>0</v>
      </c>
      <c r="AB709">
        <v>0</v>
      </c>
      <c r="AC709">
        <v>1</v>
      </c>
      <c r="AD709">
        <v>39.811999999999998</v>
      </c>
      <c r="AE709">
        <v>1</v>
      </c>
      <c r="AF709">
        <v>99</v>
      </c>
      <c r="AG709">
        <v>6</v>
      </c>
      <c r="AH709" t="s">
        <v>84</v>
      </c>
      <c r="AI709">
        <v>0</v>
      </c>
    </row>
    <row r="710" spans="1:35" x14ac:dyDescent="0.45">
      <c r="A710">
        <v>709</v>
      </c>
      <c r="B710" t="s">
        <v>995</v>
      </c>
      <c r="C710" t="s">
        <v>1000</v>
      </c>
      <c r="D710" t="s">
        <v>997</v>
      </c>
      <c r="E710">
        <v>4</v>
      </c>
      <c r="F710">
        <v>-5.1289999999999996</v>
      </c>
      <c r="G710">
        <v>-31.710999999999999</v>
      </c>
      <c r="H710">
        <v>16290</v>
      </c>
      <c r="I710">
        <v>0</v>
      </c>
      <c r="J710">
        <v>1</v>
      </c>
      <c r="K710" t="s">
        <v>55</v>
      </c>
      <c r="L710" t="s">
        <v>55</v>
      </c>
      <c r="M710" t="s">
        <v>56</v>
      </c>
      <c r="N710">
        <v>1643623032.8900001</v>
      </c>
      <c r="O710">
        <v>0.19400000000000001</v>
      </c>
      <c r="P710">
        <v>0.36599999999999999</v>
      </c>
      <c r="Q710">
        <v>54.69</v>
      </c>
      <c r="R710">
        <v>1E-3</v>
      </c>
      <c r="S710">
        <v>0</v>
      </c>
      <c r="T710">
        <v>1.3149999999999999</v>
      </c>
      <c r="U710">
        <v>90.825000000000003</v>
      </c>
      <c r="V710">
        <v>24.672999999999998</v>
      </c>
      <c r="W710">
        <v>2.3570000000000002</v>
      </c>
      <c r="X710">
        <v>86.837000000000003</v>
      </c>
      <c r="Y710">
        <v>0.98</v>
      </c>
      <c r="Z710">
        <v>1.0289999999999999</v>
      </c>
      <c r="AA710">
        <v>0</v>
      </c>
      <c r="AB710">
        <v>0</v>
      </c>
      <c r="AC710">
        <v>1</v>
      </c>
      <c r="AD710">
        <v>39.875</v>
      </c>
      <c r="AE710">
        <v>1</v>
      </c>
      <c r="AF710">
        <v>99</v>
      </c>
      <c r="AG710">
        <v>6</v>
      </c>
      <c r="AH710" t="s">
        <v>84</v>
      </c>
      <c r="AI710">
        <v>0</v>
      </c>
    </row>
    <row r="711" spans="1:35" x14ac:dyDescent="0.45">
      <c r="A711">
        <v>710</v>
      </c>
      <c r="B711" t="s">
        <v>995</v>
      </c>
      <c r="C711" t="s">
        <v>1001</v>
      </c>
      <c r="D711" t="s">
        <v>997</v>
      </c>
      <c r="E711">
        <v>5</v>
      </c>
      <c r="F711">
        <v>-5.133</v>
      </c>
      <c r="G711">
        <v>-31.625</v>
      </c>
      <c r="H711">
        <v>16321</v>
      </c>
      <c r="I711">
        <v>0</v>
      </c>
      <c r="J711">
        <v>1</v>
      </c>
      <c r="K711" t="s">
        <v>55</v>
      </c>
      <c r="L711" t="s">
        <v>55</v>
      </c>
      <c r="M711" t="s">
        <v>56</v>
      </c>
      <c r="N711">
        <v>1643623568.5999999</v>
      </c>
      <c r="O711">
        <v>0.20699999999999999</v>
      </c>
      <c r="P711">
        <v>0.36499999999999999</v>
      </c>
      <c r="Q711">
        <v>52.893999999999998</v>
      </c>
      <c r="R711">
        <v>2E-3</v>
      </c>
      <c r="S711">
        <v>1E-3</v>
      </c>
      <c r="T711">
        <v>1.2789999999999999</v>
      </c>
      <c r="U711">
        <v>91.063000000000002</v>
      </c>
      <c r="V711">
        <v>24.914999999999999</v>
      </c>
      <c r="W711">
        <v>2.3170000000000002</v>
      </c>
      <c r="X711">
        <v>86.152000000000001</v>
      </c>
      <c r="Y711">
        <v>0.96499999999999997</v>
      </c>
      <c r="Z711">
        <v>0.86799999999999999</v>
      </c>
      <c r="AA711">
        <v>0</v>
      </c>
      <c r="AB711">
        <v>0</v>
      </c>
      <c r="AC711">
        <v>1</v>
      </c>
      <c r="AD711">
        <v>39.875</v>
      </c>
      <c r="AE711">
        <v>1</v>
      </c>
      <c r="AF711">
        <v>99</v>
      </c>
      <c r="AG711">
        <v>6</v>
      </c>
      <c r="AH711" t="s">
        <v>84</v>
      </c>
      <c r="AI711">
        <v>0</v>
      </c>
    </row>
    <row r="712" spans="1:35" x14ac:dyDescent="0.45">
      <c r="A712">
        <v>711</v>
      </c>
      <c r="B712" t="s">
        <v>995</v>
      </c>
      <c r="C712" t="s">
        <v>1002</v>
      </c>
      <c r="D712" t="s">
        <v>997</v>
      </c>
      <c r="E712">
        <v>6</v>
      </c>
      <c r="F712">
        <v>-5.1479999999999997</v>
      </c>
      <c r="G712">
        <v>-31.718</v>
      </c>
      <c r="H712">
        <v>16322</v>
      </c>
      <c r="I712">
        <v>0</v>
      </c>
      <c r="J712">
        <v>1</v>
      </c>
      <c r="K712" t="s">
        <v>55</v>
      </c>
      <c r="L712" t="s">
        <v>55</v>
      </c>
      <c r="M712" t="s">
        <v>56</v>
      </c>
      <c r="N712">
        <v>1643624104.9100001</v>
      </c>
      <c r="O712">
        <v>0.182</v>
      </c>
      <c r="P712">
        <v>0.375</v>
      </c>
      <c r="Q712">
        <v>54.457999999999998</v>
      </c>
      <c r="R712">
        <v>1E-3</v>
      </c>
      <c r="S712">
        <v>1E-3</v>
      </c>
      <c r="T712">
        <v>1.3169999999999999</v>
      </c>
      <c r="U712">
        <v>90.977999999999994</v>
      </c>
      <c r="V712">
        <v>24.829000000000001</v>
      </c>
      <c r="W712">
        <v>2.335</v>
      </c>
      <c r="X712">
        <v>86.989000000000004</v>
      </c>
      <c r="Y712">
        <v>0.96599999999999997</v>
      </c>
      <c r="Z712">
        <v>1.175</v>
      </c>
      <c r="AA712">
        <v>0</v>
      </c>
      <c r="AB712">
        <v>0</v>
      </c>
      <c r="AC712">
        <v>1</v>
      </c>
      <c r="AD712">
        <v>40</v>
      </c>
      <c r="AE712">
        <v>1</v>
      </c>
      <c r="AF712">
        <v>99</v>
      </c>
      <c r="AG712">
        <v>6</v>
      </c>
      <c r="AH712" t="s">
        <v>84</v>
      </c>
      <c r="AI712">
        <v>0</v>
      </c>
    </row>
    <row r="713" spans="1:35" x14ac:dyDescent="0.45">
      <c r="A713">
        <v>712</v>
      </c>
      <c r="B713" t="s">
        <v>1003</v>
      </c>
      <c r="C713" t="s">
        <v>1004</v>
      </c>
      <c r="D713" t="s">
        <v>1005</v>
      </c>
      <c r="E713">
        <v>1</v>
      </c>
      <c r="F713">
        <v>-4.8449999999999998</v>
      </c>
      <c r="G713">
        <v>-30.001999999999999</v>
      </c>
      <c r="H713">
        <v>16353</v>
      </c>
      <c r="I713">
        <v>-1</v>
      </c>
      <c r="J713">
        <v>1</v>
      </c>
      <c r="K713" t="s">
        <v>55</v>
      </c>
      <c r="L713" t="s">
        <v>55</v>
      </c>
      <c r="M713" t="s">
        <v>56</v>
      </c>
      <c r="N713">
        <v>1643624640.0599999</v>
      </c>
      <c r="O713">
        <v>0.19900000000000001</v>
      </c>
      <c r="P713">
        <v>0.41699999999999998</v>
      </c>
      <c r="Q713">
        <v>53.781999999999996</v>
      </c>
      <c r="R713">
        <v>0</v>
      </c>
      <c r="S713">
        <v>1E-3</v>
      </c>
      <c r="T713">
        <v>1.302</v>
      </c>
      <c r="U713">
        <v>90.972999999999999</v>
      </c>
      <c r="V713">
        <v>25.172000000000001</v>
      </c>
      <c r="W713">
        <v>2.375</v>
      </c>
      <c r="X713">
        <v>87.272999999999996</v>
      </c>
      <c r="Y713">
        <v>0.94799999999999995</v>
      </c>
      <c r="Z713">
        <v>1.1180000000000001</v>
      </c>
      <c r="AA713">
        <v>0</v>
      </c>
      <c r="AB713">
        <v>0</v>
      </c>
      <c r="AC713">
        <v>1</v>
      </c>
      <c r="AD713">
        <v>40</v>
      </c>
      <c r="AE713">
        <v>1</v>
      </c>
      <c r="AF713">
        <v>100</v>
      </c>
      <c r="AG713">
        <v>6</v>
      </c>
      <c r="AH713" t="s">
        <v>84</v>
      </c>
      <c r="AI713">
        <v>0</v>
      </c>
    </row>
    <row r="714" spans="1:35" x14ac:dyDescent="0.45">
      <c r="A714">
        <v>713</v>
      </c>
      <c r="B714" t="s">
        <v>1003</v>
      </c>
      <c r="C714" t="s">
        <v>1006</v>
      </c>
      <c r="D714" t="s">
        <v>1005</v>
      </c>
      <c r="E714">
        <v>2</v>
      </c>
      <c r="F714">
        <v>-4.8150000000000004</v>
      </c>
      <c r="G714">
        <v>-29.861999999999998</v>
      </c>
      <c r="H714">
        <v>16272</v>
      </c>
      <c r="I714">
        <v>-1</v>
      </c>
      <c r="J714">
        <v>1</v>
      </c>
      <c r="K714" t="s">
        <v>55</v>
      </c>
      <c r="L714" t="s">
        <v>55</v>
      </c>
      <c r="M714" t="s">
        <v>56</v>
      </c>
      <c r="N714">
        <v>1643625176.8099999</v>
      </c>
      <c r="O714">
        <v>0.20100000000000001</v>
      </c>
      <c r="P714">
        <v>0.42299999999999999</v>
      </c>
      <c r="Q714">
        <v>54.034999999999997</v>
      </c>
      <c r="R714">
        <v>1E-3</v>
      </c>
      <c r="S714">
        <v>2E-3</v>
      </c>
      <c r="T714">
        <v>1.3009999999999999</v>
      </c>
      <c r="U714">
        <v>90.567999999999998</v>
      </c>
      <c r="V714">
        <v>24.984999999999999</v>
      </c>
      <c r="W714">
        <v>2.3260000000000001</v>
      </c>
      <c r="X714">
        <v>86.728999999999999</v>
      </c>
      <c r="Y714">
        <v>0.96799999999999997</v>
      </c>
      <c r="Z714">
        <v>1.147</v>
      </c>
      <c r="AA714">
        <v>0</v>
      </c>
      <c r="AB714">
        <v>0</v>
      </c>
      <c r="AC714">
        <v>1</v>
      </c>
      <c r="AD714">
        <v>39.938000000000002</v>
      </c>
      <c r="AE714">
        <v>1</v>
      </c>
      <c r="AF714">
        <v>100</v>
      </c>
      <c r="AG714">
        <v>6</v>
      </c>
      <c r="AH714" t="s">
        <v>84</v>
      </c>
      <c r="AI714">
        <v>0</v>
      </c>
    </row>
    <row r="715" spans="1:35" x14ac:dyDescent="0.45">
      <c r="A715">
        <v>714</v>
      </c>
      <c r="B715" t="s">
        <v>1003</v>
      </c>
      <c r="C715" t="s">
        <v>1007</v>
      </c>
      <c r="D715" t="s">
        <v>1005</v>
      </c>
      <c r="E715">
        <v>3</v>
      </c>
      <c r="F715">
        <v>-4.8239999999999998</v>
      </c>
      <c r="G715">
        <v>-29.715</v>
      </c>
      <c r="H715">
        <v>16282</v>
      </c>
      <c r="I715">
        <v>-1</v>
      </c>
      <c r="J715">
        <v>1</v>
      </c>
      <c r="K715" t="s">
        <v>55</v>
      </c>
      <c r="L715" t="s">
        <v>55</v>
      </c>
      <c r="M715" t="s">
        <v>56</v>
      </c>
      <c r="N715">
        <v>1643625717.54</v>
      </c>
      <c r="O715">
        <v>0.23799999999999999</v>
      </c>
      <c r="P715">
        <v>0.39100000000000001</v>
      </c>
      <c r="Q715">
        <v>50.514000000000003</v>
      </c>
      <c r="R715">
        <v>1E-3</v>
      </c>
      <c r="S715">
        <v>0</v>
      </c>
      <c r="T715">
        <v>1.2849999999999999</v>
      </c>
      <c r="U715">
        <v>90.564999999999998</v>
      </c>
      <c r="V715">
        <v>24.896000000000001</v>
      </c>
      <c r="W715">
        <v>2.323</v>
      </c>
      <c r="X715">
        <v>87.28</v>
      </c>
      <c r="Y715">
        <v>1.0249999999999999</v>
      </c>
      <c r="Z715">
        <v>1.31</v>
      </c>
      <c r="AA715">
        <v>0</v>
      </c>
      <c r="AB715">
        <v>0</v>
      </c>
      <c r="AC715">
        <v>1</v>
      </c>
      <c r="AD715">
        <v>39.938000000000002</v>
      </c>
      <c r="AE715">
        <v>1</v>
      </c>
      <c r="AF715">
        <v>100</v>
      </c>
      <c r="AG715">
        <v>6</v>
      </c>
      <c r="AH715" t="s">
        <v>84</v>
      </c>
      <c r="AI715">
        <v>0</v>
      </c>
    </row>
    <row r="716" spans="1:35" x14ac:dyDescent="0.45">
      <c r="A716">
        <v>715</v>
      </c>
      <c r="B716" t="s">
        <v>1003</v>
      </c>
      <c r="C716" t="s">
        <v>1008</v>
      </c>
      <c r="D716" t="s">
        <v>1005</v>
      </c>
      <c r="E716">
        <v>4</v>
      </c>
      <c r="F716">
        <v>-4.7880000000000003</v>
      </c>
      <c r="G716">
        <v>-29.824000000000002</v>
      </c>
      <c r="H716">
        <v>16292</v>
      </c>
      <c r="I716">
        <v>0</v>
      </c>
      <c r="J716">
        <v>1</v>
      </c>
      <c r="K716" t="s">
        <v>55</v>
      </c>
      <c r="L716" t="s">
        <v>55</v>
      </c>
      <c r="M716" t="s">
        <v>56</v>
      </c>
      <c r="N716">
        <v>1643626248.5699999</v>
      </c>
      <c r="O716">
        <v>0.22700000000000001</v>
      </c>
      <c r="P716">
        <v>0.38900000000000001</v>
      </c>
      <c r="Q716">
        <v>54.313000000000002</v>
      </c>
      <c r="R716">
        <v>1E-3</v>
      </c>
      <c r="S716">
        <v>1E-3</v>
      </c>
      <c r="T716">
        <v>1.31</v>
      </c>
      <c r="U716">
        <v>90.856999999999999</v>
      </c>
      <c r="V716">
        <v>24.805</v>
      </c>
      <c r="W716">
        <v>2.286</v>
      </c>
      <c r="X716">
        <v>86.613</v>
      </c>
      <c r="Y716">
        <v>0.96</v>
      </c>
      <c r="Z716">
        <v>1.03</v>
      </c>
      <c r="AA716">
        <v>0</v>
      </c>
      <c r="AB716">
        <v>0</v>
      </c>
      <c r="AC716">
        <v>1</v>
      </c>
      <c r="AD716">
        <v>39.811999999999998</v>
      </c>
      <c r="AE716">
        <v>1</v>
      </c>
      <c r="AF716">
        <v>100</v>
      </c>
      <c r="AG716">
        <v>6</v>
      </c>
      <c r="AH716" t="s">
        <v>84</v>
      </c>
      <c r="AI716">
        <v>0</v>
      </c>
    </row>
    <row r="717" spans="1:35" x14ac:dyDescent="0.45">
      <c r="A717">
        <v>716</v>
      </c>
      <c r="B717" t="s">
        <v>1003</v>
      </c>
      <c r="C717" t="s">
        <v>1009</v>
      </c>
      <c r="D717" t="s">
        <v>1005</v>
      </c>
      <c r="E717">
        <v>5</v>
      </c>
      <c r="F717">
        <v>-4.798</v>
      </c>
      <c r="G717">
        <v>-29.81</v>
      </c>
      <c r="H717">
        <v>16245</v>
      </c>
      <c r="I717">
        <v>0</v>
      </c>
      <c r="J717">
        <v>1</v>
      </c>
      <c r="K717" t="s">
        <v>55</v>
      </c>
      <c r="L717" t="s">
        <v>55</v>
      </c>
      <c r="M717" t="s">
        <v>56</v>
      </c>
      <c r="N717">
        <v>1643626784.5899999</v>
      </c>
      <c r="O717">
        <v>0.20200000000000001</v>
      </c>
      <c r="P717">
        <v>0.435</v>
      </c>
      <c r="Q717">
        <v>53.941000000000003</v>
      </c>
      <c r="R717">
        <v>1E-3</v>
      </c>
      <c r="S717">
        <v>1E-3</v>
      </c>
      <c r="T717">
        <v>1.3009999999999999</v>
      </c>
      <c r="U717">
        <v>90.492999999999995</v>
      </c>
      <c r="V717">
        <v>24.702999999999999</v>
      </c>
      <c r="W717">
        <v>2.3090000000000002</v>
      </c>
      <c r="X717">
        <v>86.741</v>
      </c>
      <c r="Y717">
        <v>0.97299999999999998</v>
      </c>
      <c r="Z717">
        <v>1.1040000000000001</v>
      </c>
      <c r="AA717">
        <v>0</v>
      </c>
      <c r="AB717">
        <v>0</v>
      </c>
      <c r="AC717">
        <v>1</v>
      </c>
      <c r="AD717">
        <v>39.811999999999998</v>
      </c>
      <c r="AE717">
        <v>1</v>
      </c>
      <c r="AF717">
        <v>100</v>
      </c>
      <c r="AG717">
        <v>6</v>
      </c>
      <c r="AH717" t="s">
        <v>84</v>
      </c>
      <c r="AI717">
        <v>0</v>
      </c>
    </row>
    <row r="718" spans="1:35" x14ac:dyDescent="0.45">
      <c r="A718">
        <v>717</v>
      </c>
      <c r="B718" t="s">
        <v>1003</v>
      </c>
      <c r="C718" t="s">
        <v>1010</v>
      </c>
      <c r="D718" t="s">
        <v>1005</v>
      </c>
      <c r="E718">
        <v>6</v>
      </c>
      <c r="F718">
        <v>-4.8120000000000003</v>
      </c>
      <c r="G718">
        <v>-29.795000000000002</v>
      </c>
      <c r="H718">
        <v>16274</v>
      </c>
      <c r="I718">
        <v>0</v>
      </c>
      <c r="J718">
        <v>1</v>
      </c>
      <c r="K718" t="s">
        <v>55</v>
      </c>
      <c r="L718" t="s">
        <v>55</v>
      </c>
      <c r="M718" t="s">
        <v>56</v>
      </c>
      <c r="N718">
        <v>1643627320</v>
      </c>
      <c r="O718">
        <v>0.214</v>
      </c>
      <c r="P718">
        <v>0.39600000000000002</v>
      </c>
      <c r="Q718">
        <v>53.551000000000002</v>
      </c>
      <c r="R718">
        <v>1E-3</v>
      </c>
      <c r="S718">
        <v>0</v>
      </c>
      <c r="T718">
        <v>1.2949999999999999</v>
      </c>
      <c r="U718">
        <v>90.715000000000003</v>
      </c>
      <c r="V718">
        <v>25.02</v>
      </c>
      <c r="W718">
        <v>2.3090000000000002</v>
      </c>
      <c r="X718">
        <v>85.783000000000001</v>
      </c>
      <c r="Y718">
        <v>0.96199999999999997</v>
      </c>
      <c r="Z718">
        <v>0.92700000000000005</v>
      </c>
      <c r="AA718">
        <v>0</v>
      </c>
      <c r="AB718">
        <v>0</v>
      </c>
      <c r="AC718">
        <v>1</v>
      </c>
      <c r="AD718">
        <v>39.75</v>
      </c>
      <c r="AE718">
        <v>1</v>
      </c>
      <c r="AF718">
        <v>100</v>
      </c>
      <c r="AG718">
        <v>6</v>
      </c>
      <c r="AH718" t="s">
        <v>84</v>
      </c>
      <c r="AI718">
        <v>0</v>
      </c>
    </row>
    <row r="719" spans="1:35" x14ac:dyDescent="0.45">
      <c r="A719">
        <v>718</v>
      </c>
      <c r="B719" t="s">
        <v>1011</v>
      </c>
      <c r="C719" t="s">
        <v>1012</v>
      </c>
      <c r="D719" t="s">
        <v>1013</v>
      </c>
      <c r="E719">
        <v>1</v>
      </c>
      <c r="F719">
        <v>-5.7990000000000004</v>
      </c>
      <c r="G719">
        <v>-35.915999999999997</v>
      </c>
      <c r="H719">
        <v>16322</v>
      </c>
      <c r="I719">
        <v>-1</v>
      </c>
      <c r="J719">
        <v>1</v>
      </c>
      <c r="K719" t="s">
        <v>55</v>
      </c>
      <c r="L719" t="s">
        <v>55</v>
      </c>
      <c r="M719" t="s">
        <v>56</v>
      </c>
      <c r="N719">
        <v>1643627857.1900001</v>
      </c>
      <c r="O719">
        <v>0.20200000000000001</v>
      </c>
      <c r="P719">
        <v>0.42099999999999999</v>
      </c>
      <c r="Q719">
        <v>54.774000000000001</v>
      </c>
      <c r="R719">
        <v>1E-3</v>
      </c>
      <c r="S719">
        <v>0</v>
      </c>
      <c r="T719">
        <v>1.3109999999999999</v>
      </c>
      <c r="U719">
        <v>90.805000000000007</v>
      </c>
      <c r="V719">
        <v>25.295000000000002</v>
      </c>
      <c r="W719">
        <v>2.3420000000000001</v>
      </c>
      <c r="X719">
        <v>86.587000000000003</v>
      </c>
      <c r="Y719">
        <v>0.98099999999999998</v>
      </c>
      <c r="Z719">
        <v>1.1020000000000001</v>
      </c>
      <c r="AA719">
        <v>0</v>
      </c>
      <c r="AB719">
        <v>0</v>
      </c>
      <c r="AC719">
        <v>1</v>
      </c>
      <c r="AD719">
        <v>39.75</v>
      </c>
      <c r="AE719">
        <v>1</v>
      </c>
      <c r="AF719">
        <v>101</v>
      </c>
      <c r="AG719">
        <v>6</v>
      </c>
      <c r="AH719" t="s">
        <v>84</v>
      </c>
      <c r="AI719">
        <v>0</v>
      </c>
    </row>
    <row r="720" spans="1:35" x14ac:dyDescent="0.45">
      <c r="A720">
        <v>719</v>
      </c>
      <c r="B720" t="s">
        <v>1011</v>
      </c>
      <c r="C720" t="s">
        <v>1014</v>
      </c>
      <c r="D720" t="s">
        <v>1013</v>
      </c>
      <c r="E720">
        <v>2</v>
      </c>
      <c r="F720">
        <v>-5.8659999999999997</v>
      </c>
      <c r="G720">
        <v>-36.33</v>
      </c>
      <c r="H720">
        <v>16331</v>
      </c>
      <c r="I720">
        <v>-1</v>
      </c>
      <c r="J720">
        <v>1</v>
      </c>
      <c r="K720" t="s">
        <v>55</v>
      </c>
      <c r="L720" t="s">
        <v>55</v>
      </c>
      <c r="M720" t="s">
        <v>56</v>
      </c>
      <c r="N720">
        <v>1643628392.51</v>
      </c>
      <c r="O720">
        <v>0.19</v>
      </c>
      <c r="P720">
        <v>0.41</v>
      </c>
      <c r="Q720">
        <v>53.802999999999997</v>
      </c>
      <c r="R720">
        <v>0</v>
      </c>
      <c r="S720">
        <v>3.0000000000000001E-3</v>
      </c>
      <c r="T720">
        <v>1.298</v>
      </c>
      <c r="U720">
        <v>91.063000000000002</v>
      </c>
      <c r="V720">
        <v>25.12</v>
      </c>
      <c r="W720">
        <v>2.3220000000000001</v>
      </c>
      <c r="X720">
        <v>85.912999999999997</v>
      </c>
      <c r="Y720">
        <v>0.96499999999999997</v>
      </c>
      <c r="Z720">
        <v>1.0129999999999999</v>
      </c>
      <c r="AA720">
        <v>0</v>
      </c>
      <c r="AB720">
        <v>0</v>
      </c>
      <c r="AC720">
        <v>1</v>
      </c>
      <c r="AD720">
        <v>39.75</v>
      </c>
      <c r="AE720">
        <v>1</v>
      </c>
      <c r="AF720">
        <v>101</v>
      </c>
      <c r="AG720">
        <v>6</v>
      </c>
      <c r="AH720" t="s">
        <v>84</v>
      </c>
      <c r="AI720">
        <v>0</v>
      </c>
    </row>
    <row r="721" spans="1:35" x14ac:dyDescent="0.45">
      <c r="A721">
        <v>720</v>
      </c>
      <c r="B721" t="s">
        <v>1011</v>
      </c>
      <c r="C721" t="s">
        <v>1015</v>
      </c>
      <c r="D721" t="s">
        <v>1013</v>
      </c>
      <c r="E721">
        <v>3</v>
      </c>
      <c r="F721">
        <v>-5.87</v>
      </c>
      <c r="G721">
        <v>-36.505000000000003</v>
      </c>
      <c r="H721">
        <v>16290</v>
      </c>
      <c r="I721">
        <v>-1</v>
      </c>
      <c r="J721">
        <v>1</v>
      </c>
      <c r="K721" t="s">
        <v>55</v>
      </c>
      <c r="L721" t="s">
        <v>55</v>
      </c>
      <c r="M721" t="s">
        <v>56</v>
      </c>
      <c r="N721">
        <v>1643628929.2</v>
      </c>
      <c r="O721">
        <v>0.216</v>
      </c>
      <c r="P721">
        <v>0.36799999999999999</v>
      </c>
      <c r="Q721">
        <v>54.094000000000001</v>
      </c>
      <c r="R721">
        <v>1E-3</v>
      </c>
      <c r="S721">
        <v>1E-3</v>
      </c>
      <c r="T721">
        <v>1.3029999999999999</v>
      </c>
      <c r="U721">
        <v>90.656000000000006</v>
      </c>
      <c r="V721">
        <v>25.242999999999999</v>
      </c>
      <c r="W721">
        <v>2.29</v>
      </c>
      <c r="X721">
        <v>86.204999999999998</v>
      </c>
      <c r="Y721">
        <v>0.97899999999999998</v>
      </c>
      <c r="Z721">
        <v>1.0149999999999999</v>
      </c>
      <c r="AA721">
        <v>0</v>
      </c>
      <c r="AB721">
        <v>0</v>
      </c>
      <c r="AC721">
        <v>1</v>
      </c>
      <c r="AD721">
        <v>39.688000000000002</v>
      </c>
      <c r="AE721">
        <v>1</v>
      </c>
      <c r="AF721">
        <v>101</v>
      </c>
      <c r="AG721">
        <v>6</v>
      </c>
      <c r="AH721" t="s">
        <v>84</v>
      </c>
      <c r="AI721">
        <v>0</v>
      </c>
    </row>
    <row r="722" spans="1:35" x14ac:dyDescent="0.45">
      <c r="A722">
        <v>721</v>
      </c>
      <c r="B722" t="s">
        <v>1011</v>
      </c>
      <c r="C722" t="s">
        <v>1016</v>
      </c>
      <c r="D722" t="s">
        <v>1013</v>
      </c>
      <c r="E722">
        <v>4</v>
      </c>
      <c r="F722">
        <v>-5.8659999999999997</v>
      </c>
      <c r="G722">
        <v>-36.526000000000003</v>
      </c>
      <c r="H722">
        <v>16246</v>
      </c>
      <c r="I722">
        <v>0</v>
      </c>
      <c r="J722">
        <v>1</v>
      </c>
      <c r="K722" t="s">
        <v>55</v>
      </c>
      <c r="L722" t="s">
        <v>55</v>
      </c>
      <c r="M722" t="s">
        <v>56</v>
      </c>
      <c r="N722">
        <v>1643629464.3800001</v>
      </c>
      <c r="O722">
        <v>0.19700000000000001</v>
      </c>
      <c r="P722">
        <v>0.40899999999999997</v>
      </c>
      <c r="Q722">
        <v>54.636000000000003</v>
      </c>
      <c r="R722">
        <v>1E-3</v>
      </c>
      <c r="S722">
        <v>1E-3</v>
      </c>
      <c r="T722">
        <v>1.31</v>
      </c>
      <c r="U722">
        <v>90.653999999999996</v>
      </c>
      <c r="V722">
        <v>24.713999999999999</v>
      </c>
      <c r="W722">
        <v>2.2999999999999998</v>
      </c>
      <c r="X722">
        <v>85.858000000000004</v>
      </c>
      <c r="Y722">
        <v>0.97</v>
      </c>
      <c r="Z722">
        <v>0.90700000000000003</v>
      </c>
      <c r="AA722">
        <v>0</v>
      </c>
      <c r="AB722">
        <v>0</v>
      </c>
      <c r="AC722">
        <v>1</v>
      </c>
      <c r="AD722">
        <v>39.625</v>
      </c>
      <c r="AE722">
        <v>1</v>
      </c>
      <c r="AF722">
        <v>101</v>
      </c>
      <c r="AG722">
        <v>6</v>
      </c>
      <c r="AH722" t="s">
        <v>84</v>
      </c>
      <c r="AI722">
        <v>0</v>
      </c>
    </row>
    <row r="723" spans="1:35" x14ac:dyDescent="0.45">
      <c r="A723">
        <v>722</v>
      </c>
      <c r="B723" t="s">
        <v>1011</v>
      </c>
      <c r="C723" t="s">
        <v>1017</v>
      </c>
      <c r="D723" t="s">
        <v>1013</v>
      </c>
      <c r="E723">
        <v>5</v>
      </c>
      <c r="F723">
        <v>-5.875</v>
      </c>
      <c r="G723">
        <v>-36.625999999999998</v>
      </c>
      <c r="H723">
        <v>16298</v>
      </c>
      <c r="I723">
        <v>0</v>
      </c>
      <c r="J723">
        <v>1</v>
      </c>
      <c r="K723" t="s">
        <v>55</v>
      </c>
      <c r="L723" t="s">
        <v>55</v>
      </c>
      <c r="M723" t="s">
        <v>56</v>
      </c>
      <c r="N723">
        <v>1643629999.96</v>
      </c>
      <c r="O723">
        <v>0.20300000000000001</v>
      </c>
      <c r="P723">
        <v>0.42499999999999999</v>
      </c>
      <c r="Q723">
        <v>54.523000000000003</v>
      </c>
      <c r="R723">
        <v>0</v>
      </c>
      <c r="S723">
        <v>-1E-3</v>
      </c>
      <c r="T723">
        <v>1.3069999999999999</v>
      </c>
      <c r="U723">
        <v>90.731999999999999</v>
      </c>
      <c r="V723">
        <v>25.114000000000001</v>
      </c>
      <c r="W723">
        <v>2.3079999999999998</v>
      </c>
      <c r="X723">
        <v>86.260999999999996</v>
      </c>
      <c r="Y723">
        <v>1.002</v>
      </c>
      <c r="Z723">
        <v>1.0549999999999999</v>
      </c>
      <c r="AA723">
        <v>0</v>
      </c>
      <c r="AB723">
        <v>0</v>
      </c>
      <c r="AC723">
        <v>1</v>
      </c>
      <c r="AD723">
        <v>39.688000000000002</v>
      </c>
      <c r="AE723">
        <v>1</v>
      </c>
      <c r="AF723">
        <v>101</v>
      </c>
      <c r="AG723">
        <v>6</v>
      </c>
      <c r="AH723" t="s">
        <v>84</v>
      </c>
      <c r="AI723">
        <v>0</v>
      </c>
    </row>
    <row r="724" spans="1:35" x14ac:dyDescent="0.45">
      <c r="A724">
        <v>723</v>
      </c>
      <c r="B724" t="s">
        <v>1011</v>
      </c>
      <c r="C724" t="s">
        <v>1018</v>
      </c>
      <c r="D724" t="s">
        <v>1013</v>
      </c>
      <c r="E724">
        <v>6</v>
      </c>
      <c r="F724">
        <v>-5.851</v>
      </c>
      <c r="G724">
        <v>-36.549999999999997</v>
      </c>
      <c r="H724">
        <v>16297</v>
      </c>
      <c r="I724">
        <v>0</v>
      </c>
      <c r="J724">
        <v>1</v>
      </c>
      <c r="K724" t="s">
        <v>55</v>
      </c>
      <c r="L724" t="s">
        <v>55</v>
      </c>
      <c r="M724" t="s">
        <v>56</v>
      </c>
      <c r="N724">
        <v>1643630536.55</v>
      </c>
      <c r="O724">
        <v>0.19400000000000001</v>
      </c>
      <c r="P724">
        <v>0.39900000000000002</v>
      </c>
      <c r="Q724">
        <v>53.396000000000001</v>
      </c>
      <c r="R724">
        <v>0</v>
      </c>
      <c r="S724">
        <v>-1E-3</v>
      </c>
      <c r="T724">
        <v>1.2909999999999999</v>
      </c>
      <c r="U724">
        <v>90.715000000000003</v>
      </c>
      <c r="V724">
        <v>25.021999999999998</v>
      </c>
      <c r="W724">
        <v>2.3290000000000002</v>
      </c>
      <c r="X724">
        <v>86.900999999999996</v>
      </c>
      <c r="Y724">
        <v>0.97799999999999998</v>
      </c>
      <c r="Z724">
        <v>1.1459999999999999</v>
      </c>
      <c r="AA724">
        <v>0</v>
      </c>
      <c r="AB724">
        <v>0</v>
      </c>
      <c r="AC724">
        <v>1</v>
      </c>
      <c r="AD724">
        <v>39.688000000000002</v>
      </c>
      <c r="AE724">
        <v>1</v>
      </c>
      <c r="AF724">
        <v>101</v>
      </c>
      <c r="AG724">
        <v>6</v>
      </c>
      <c r="AH724" t="s">
        <v>84</v>
      </c>
      <c r="AI724">
        <v>0</v>
      </c>
    </row>
    <row r="725" spans="1:35" x14ac:dyDescent="0.45">
      <c r="A725">
        <v>724</v>
      </c>
      <c r="B725" t="s">
        <v>1019</v>
      </c>
      <c r="C725" t="s">
        <v>1020</v>
      </c>
      <c r="D725" t="s">
        <v>1021</v>
      </c>
      <c r="E725">
        <v>1</v>
      </c>
      <c r="F725">
        <v>-5.4989999999999997</v>
      </c>
      <c r="G725">
        <v>-30.007000000000001</v>
      </c>
      <c r="H725">
        <v>16325</v>
      </c>
      <c r="I725">
        <v>-1</v>
      </c>
      <c r="J725">
        <v>1</v>
      </c>
      <c r="K725" t="s">
        <v>55</v>
      </c>
      <c r="L725" t="s">
        <v>55</v>
      </c>
      <c r="M725" t="s">
        <v>56</v>
      </c>
      <c r="N725">
        <v>1643631073.2</v>
      </c>
      <c r="O725">
        <v>0.20599999999999999</v>
      </c>
      <c r="P725">
        <v>0.42399999999999999</v>
      </c>
      <c r="Q725">
        <v>54.97</v>
      </c>
      <c r="R725">
        <v>0</v>
      </c>
      <c r="S725">
        <v>2E-3</v>
      </c>
      <c r="T725">
        <v>1.3129999999999999</v>
      </c>
      <c r="U725">
        <v>91.197999999999993</v>
      </c>
      <c r="V725">
        <v>24.802</v>
      </c>
      <c r="W725">
        <v>2.25</v>
      </c>
      <c r="X725">
        <v>85.99</v>
      </c>
      <c r="Y725">
        <v>0.995</v>
      </c>
      <c r="Z725">
        <v>0.99299999999999999</v>
      </c>
      <c r="AA725">
        <v>0</v>
      </c>
      <c r="AB725">
        <v>0</v>
      </c>
      <c r="AC725">
        <v>1</v>
      </c>
      <c r="AD725">
        <v>39.75</v>
      </c>
      <c r="AE725">
        <v>1</v>
      </c>
      <c r="AF725">
        <v>102</v>
      </c>
      <c r="AG725">
        <v>7</v>
      </c>
      <c r="AH725" t="s">
        <v>84</v>
      </c>
      <c r="AI725">
        <v>0</v>
      </c>
    </row>
    <row r="726" spans="1:35" x14ac:dyDescent="0.45">
      <c r="A726">
        <v>725</v>
      </c>
      <c r="B726" t="s">
        <v>1019</v>
      </c>
      <c r="C726" t="s">
        <v>1022</v>
      </c>
      <c r="D726" t="s">
        <v>1021</v>
      </c>
      <c r="E726">
        <v>2</v>
      </c>
      <c r="F726">
        <v>-5.4729999999999999</v>
      </c>
      <c r="G726">
        <v>-29.533000000000001</v>
      </c>
      <c r="H726">
        <v>16208</v>
      </c>
      <c r="I726">
        <v>-1</v>
      </c>
      <c r="J726">
        <v>1</v>
      </c>
      <c r="K726" t="s">
        <v>55</v>
      </c>
      <c r="L726" t="s">
        <v>55</v>
      </c>
      <c r="M726" t="s">
        <v>56</v>
      </c>
      <c r="N726">
        <v>1643631608.25</v>
      </c>
      <c r="O726">
        <v>0.21</v>
      </c>
      <c r="P726">
        <v>0.36899999999999999</v>
      </c>
      <c r="Q726">
        <v>54.17</v>
      </c>
      <c r="R726">
        <v>1E-3</v>
      </c>
      <c r="S726">
        <v>0</v>
      </c>
      <c r="T726">
        <v>1.2929999999999999</v>
      </c>
      <c r="U726">
        <v>90.51</v>
      </c>
      <c r="V726">
        <v>25.048999999999999</v>
      </c>
      <c r="W726">
        <v>2.226</v>
      </c>
      <c r="X726">
        <v>83.902000000000001</v>
      </c>
      <c r="Y726">
        <v>0.96799999999999997</v>
      </c>
      <c r="Z726">
        <v>0.67200000000000004</v>
      </c>
      <c r="AA726">
        <v>0</v>
      </c>
      <c r="AB726">
        <v>0</v>
      </c>
      <c r="AC726">
        <v>1</v>
      </c>
      <c r="AD726">
        <v>39.75</v>
      </c>
      <c r="AE726">
        <v>1</v>
      </c>
      <c r="AF726">
        <v>102</v>
      </c>
      <c r="AG726">
        <v>7</v>
      </c>
      <c r="AH726" t="s">
        <v>84</v>
      </c>
      <c r="AI726">
        <v>0</v>
      </c>
    </row>
    <row r="727" spans="1:35" x14ac:dyDescent="0.45">
      <c r="A727">
        <v>726</v>
      </c>
      <c r="B727" t="s">
        <v>1019</v>
      </c>
      <c r="C727" t="s">
        <v>1023</v>
      </c>
      <c r="D727" t="s">
        <v>1021</v>
      </c>
      <c r="E727">
        <v>3</v>
      </c>
      <c r="F727">
        <v>-5.4790000000000001</v>
      </c>
      <c r="G727">
        <v>-29.452999999999999</v>
      </c>
      <c r="H727">
        <v>16257</v>
      </c>
      <c r="I727">
        <v>-1</v>
      </c>
      <c r="J727">
        <v>1</v>
      </c>
      <c r="K727" t="s">
        <v>55</v>
      </c>
      <c r="L727" t="s">
        <v>55</v>
      </c>
      <c r="M727" t="s">
        <v>56</v>
      </c>
      <c r="N727">
        <v>1643632144.6900001</v>
      </c>
      <c r="O727">
        <v>0.21</v>
      </c>
      <c r="P727">
        <v>0.40300000000000002</v>
      </c>
      <c r="Q727">
        <v>54.029000000000003</v>
      </c>
      <c r="R727">
        <v>1E-3</v>
      </c>
      <c r="S727">
        <v>2E-3</v>
      </c>
      <c r="T727">
        <v>1.3080000000000001</v>
      </c>
      <c r="U727">
        <v>90.620999999999995</v>
      </c>
      <c r="V727">
        <v>24.777000000000001</v>
      </c>
      <c r="W727">
        <v>2.323</v>
      </c>
      <c r="X727">
        <v>86.646000000000001</v>
      </c>
      <c r="Y727">
        <v>0.94499999999999995</v>
      </c>
      <c r="Z727">
        <v>0.998</v>
      </c>
      <c r="AA727">
        <v>0</v>
      </c>
      <c r="AB727">
        <v>0</v>
      </c>
      <c r="AC727">
        <v>1</v>
      </c>
      <c r="AD727">
        <v>39.811999999999998</v>
      </c>
      <c r="AE727">
        <v>1</v>
      </c>
      <c r="AF727">
        <v>102</v>
      </c>
      <c r="AG727">
        <v>7</v>
      </c>
      <c r="AH727" t="s">
        <v>84</v>
      </c>
      <c r="AI727">
        <v>0</v>
      </c>
    </row>
    <row r="728" spans="1:35" x14ac:dyDescent="0.45">
      <c r="A728">
        <v>727</v>
      </c>
      <c r="B728" t="s">
        <v>1019</v>
      </c>
      <c r="C728" t="s">
        <v>1024</v>
      </c>
      <c r="D728" t="s">
        <v>1021</v>
      </c>
      <c r="E728">
        <v>4</v>
      </c>
      <c r="F728">
        <v>-5.5019999999999998</v>
      </c>
      <c r="G728">
        <v>-29.36</v>
      </c>
      <c r="H728">
        <v>16274</v>
      </c>
      <c r="I728">
        <v>0</v>
      </c>
      <c r="J728">
        <v>1</v>
      </c>
      <c r="K728" t="s">
        <v>55</v>
      </c>
      <c r="L728" t="s">
        <v>55</v>
      </c>
      <c r="M728" t="s">
        <v>56</v>
      </c>
      <c r="N728">
        <v>1643632679.2</v>
      </c>
      <c r="O728">
        <v>0.20899999999999999</v>
      </c>
      <c r="P728">
        <v>0.43099999999999999</v>
      </c>
      <c r="Q728">
        <v>53.795999999999999</v>
      </c>
      <c r="R728">
        <v>1E-3</v>
      </c>
      <c r="S728">
        <v>0</v>
      </c>
      <c r="T728">
        <v>1.2789999999999999</v>
      </c>
      <c r="U728">
        <v>90.655000000000001</v>
      </c>
      <c r="V728">
        <v>25.352</v>
      </c>
      <c r="W728">
        <v>2.2890000000000001</v>
      </c>
      <c r="X728">
        <v>84.811999999999998</v>
      </c>
      <c r="Y728">
        <v>0.98799999999999999</v>
      </c>
      <c r="Z728">
        <v>0.89300000000000002</v>
      </c>
      <c r="AA728">
        <v>0</v>
      </c>
      <c r="AB728">
        <v>0</v>
      </c>
      <c r="AC728">
        <v>1</v>
      </c>
      <c r="AD728">
        <v>39.938000000000002</v>
      </c>
      <c r="AE728">
        <v>1</v>
      </c>
      <c r="AF728">
        <v>102</v>
      </c>
      <c r="AG728">
        <v>7</v>
      </c>
      <c r="AH728" t="s">
        <v>84</v>
      </c>
      <c r="AI728">
        <v>0</v>
      </c>
    </row>
    <row r="729" spans="1:35" x14ac:dyDescent="0.45">
      <c r="A729">
        <v>728</v>
      </c>
      <c r="B729" t="s">
        <v>1019</v>
      </c>
      <c r="C729" t="s">
        <v>1025</v>
      </c>
      <c r="D729" t="s">
        <v>1021</v>
      </c>
      <c r="E729">
        <v>5</v>
      </c>
      <c r="F729">
        <v>-5.51</v>
      </c>
      <c r="G729">
        <v>-29.32</v>
      </c>
      <c r="H729">
        <v>16303</v>
      </c>
      <c r="I729">
        <v>0</v>
      </c>
      <c r="J729">
        <v>1</v>
      </c>
      <c r="K729" t="s">
        <v>55</v>
      </c>
      <c r="L729" t="s">
        <v>55</v>
      </c>
      <c r="M729" t="s">
        <v>56</v>
      </c>
      <c r="N729">
        <v>1643633216.3900001</v>
      </c>
      <c r="O729">
        <v>0.20200000000000001</v>
      </c>
      <c r="P729">
        <v>0.42499999999999999</v>
      </c>
      <c r="Q729">
        <v>53.238999999999997</v>
      </c>
      <c r="R729">
        <v>1E-3</v>
      </c>
      <c r="S729">
        <v>1E-3</v>
      </c>
      <c r="T729">
        <v>1.294</v>
      </c>
      <c r="U729">
        <v>91.11</v>
      </c>
      <c r="V729">
        <v>24.95</v>
      </c>
      <c r="W729">
        <v>2.2759999999999998</v>
      </c>
      <c r="X729">
        <v>85.066999999999993</v>
      </c>
      <c r="Y729">
        <v>0.96199999999999997</v>
      </c>
      <c r="Z729">
        <v>0.79900000000000004</v>
      </c>
      <c r="AA729">
        <v>0</v>
      </c>
      <c r="AB729">
        <v>0</v>
      </c>
      <c r="AC729">
        <v>1</v>
      </c>
      <c r="AD729">
        <v>39.875</v>
      </c>
      <c r="AE729">
        <v>1</v>
      </c>
      <c r="AF729">
        <v>102</v>
      </c>
      <c r="AG729">
        <v>7</v>
      </c>
      <c r="AH729" t="s">
        <v>84</v>
      </c>
      <c r="AI729">
        <v>0</v>
      </c>
    </row>
    <row r="730" spans="1:35" x14ac:dyDescent="0.45">
      <c r="A730">
        <v>729</v>
      </c>
      <c r="B730" t="s">
        <v>1019</v>
      </c>
      <c r="C730" t="s">
        <v>1026</v>
      </c>
      <c r="D730" t="s">
        <v>1021</v>
      </c>
      <c r="E730">
        <v>6</v>
      </c>
      <c r="F730">
        <v>-5.5010000000000003</v>
      </c>
      <c r="G730">
        <v>-29.37</v>
      </c>
      <c r="H730">
        <v>16279</v>
      </c>
      <c r="I730">
        <v>0</v>
      </c>
      <c r="J730">
        <v>1</v>
      </c>
      <c r="K730" t="s">
        <v>55</v>
      </c>
      <c r="L730" t="s">
        <v>55</v>
      </c>
      <c r="M730" t="s">
        <v>56</v>
      </c>
      <c r="N730">
        <v>1643633752.24</v>
      </c>
      <c r="O730">
        <v>0.19800000000000001</v>
      </c>
      <c r="P730">
        <v>0.40100000000000002</v>
      </c>
      <c r="Q730">
        <v>54.683</v>
      </c>
      <c r="R730">
        <v>1E-3</v>
      </c>
      <c r="S730">
        <v>2E-3</v>
      </c>
      <c r="T730">
        <v>1.3160000000000001</v>
      </c>
      <c r="U730">
        <v>90.852999999999994</v>
      </c>
      <c r="V730">
        <v>25.033000000000001</v>
      </c>
      <c r="W730">
        <v>2.254</v>
      </c>
      <c r="X730">
        <v>85.049000000000007</v>
      </c>
      <c r="Y730">
        <v>0.96199999999999997</v>
      </c>
      <c r="Z730">
        <v>0.86</v>
      </c>
      <c r="AA730">
        <v>0</v>
      </c>
      <c r="AB730">
        <v>0</v>
      </c>
      <c r="AC730">
        <v>1</v>
      </c>
      <c r="AD730">
        <v>39.875</v>
      </c>
      <c r="AE730">
        <v>1</v>
      </c>
      <c r="AF730">
        <v>102</v>
      </c>
      <c r="AG730">
        <v>7</v>
      </c>
      <c r="AH730" t="s">
        <v>84</v>
      </c>
      <c r="AI730">
        <v>0</v>
      </c>
    </row>
    <row r="731" spans="1:35" x14ac:dyDescent="0.45">
      <c r="A731">
        <v>730</v>
      </c>
      <c r="B731" t="s">
        <v>1019</v>
      </c>
      <c r="C731" t="s">
        <v>1027</v>
      </c>
      <c r="D731" t="s">
        <v>1021</v>
      </c>
      <c r="E731">
        <v>7</v>
      </c>
      <c r="F731">
        <v>-5.476</v>
      </c>
      <c r="G731">
        <v>-29.265999999999998</v>
      </c>
      <c r="H731">
        <v>16197</v>
      </c>
      <c r="I731">
        <v>0</v>
      </c>
      <c r="J731">
        <v>1</v>
      </c>
      <c r="K731" t="s">
        <v>55</v>
      </c>
      <c r="L731" t="s">
        <v>55</v>
      </c>
      <c r="M731" t="s">
        <v>56</v>
      </c>
      <c r="N731">
        <v>1643634287.8599999</v>
      </c>
      <c r="O731">
        <v>0.215</v>
      </c>
      <c r="P731">
        <v>0.42699999999999999</v>
      </c>
      <c r="Q731">
        <v>53.948999999999998</v>
      </c>
      <c r="R731">
        <v>1E-3</v>
      </c>
      <c r="S731">
        <v>-1E-3</v>
      </c>
      <c r="T731">
        <v>1.294</v>
      </c>
      <c r="U731">
        <v>90.408000000000001</v>
      </c>
      <c r="V731">
        <v>25.102</v>
      </c>
      <c r="W731">
        <v>2.2549999999999999</v>
      </c>
      <c r="X731">
        <v>83.894000000000005</v>
      </c>
      <c r="Y731">
        <v>0.97199999999999998</v>
      </c>
      <c r="Z731">
        <v>0.78300000000000003</v>
      </c>
      <c r="AA731">
        <v>0</v>
      </c>
      <c r="AB731">
        <v>0</v>
      </c>
      <c r="AC731">
        <v>1</v>
      </c>
      <c r="AD731">
        <v>39.811999999999998</v>
      </c>
      <c r="AE731">
        <v>1</v>
      </c>
      <c r="AF731">
        <v>102</v>
      </c>
      <c r="AG731">
        <v>7</v>
      </c>
      <c r="AH731" t="s">
        <v>84</v>
      </c>
      <c r="AI731">
        <v>0</v>
      </c>
    </row>
    <row r="732" spans="1:35" x14ac:dyDescent="0.45">
      <c r="A732">
        <v>731</v>
      </c>
      <c r="B732" t="s">
        <v>1019</v>
      </c>
      <c r="C732" t="s">
        <v>1028</v>
      </c>
      <c r="D732" t="s">
        <v>1021</v>
      </c>
      <c r="E732">
        <v>8</v>
      </c>
      <c r="F732">
        <v>-5.4960000000000004</v>
      </c>
      <c r="G732">
        <v>-29.388999999999999</v>
      </c>
      <c r="H732">
        <v>16254</v>
      </c>
      <c r="I732">
        <v>0</v>
      </c>
      <c r="J732">
        <v>1</v>
      </c>
      <c r="K732" t="s">
        <v>55</v>
      </c>
      <c r="L732" t="s">
        <v>55</v>
      </c>
      <c r="M732" t="s">
        <v>56</v>
      </c>
      <c r="N732">
        <v>1643634824.0599999</v>
      </c>
      <c r="O732">
        <v>0.19700000000000001</v>
      </c>
      <c r="P732">
        <v>0.40400000000000003</v>
      </c>
      <c r="Q732">
        <v>53.683999999999997</v>
      </c>
      <c r="R732">
        <v>1E-3</v>
      </c>
      <c r="S732">
        <v>1E-3</v>
      </c>
      <c r="T732">
        <v>1.294</v>
      </c>
      <c r="U732">
        <v>90.593999999999994</v>
      </c>
      <c r="V732">
        <v>24.896999999999998</v>
      </c>
      <c r="W732">
        <v>2.3090000000000002</v>
      </c>
      <c r="X732">
        <v>86.040999999999997</v>
      </c>
      <c r="Y732">
        <v>0.97299999999999998</v>
      </c>
      <c r="Z732">
        <v>1.03</v>
      </c>
      <c r="AA732">
        <v>0</v>
      </c>
      <c r="AB732">
        <v>0</v>
      </c>
      <c r="AC732">
        <v>1</v>
      </c>
      <c r="AD732">
        <v>39.75</v>
      </c>
      <c r="AE732">
        <v>1</v>
      </c>
      <c r="AF732">
        <v>102</v>
      </c>
      <c r="AG732">
        <v>7</v>
      </c>
      <c r="AH732" t="s">
        <v>84</v>
      </c>
      <c r="AI732">
        <v>0</v>
      </c>
    </row>
    <row r="733" spans="1:35" x14ac:dyDescent="0.45">
      <c r="A733">
        <v>732</v>
      </c>
      <c r="B733" t="s">
        <v>1019</v>
      </c>
      <c r="C733" t="s">
        <v>1029</v>
      </c>
      <c r="D733" t="s">
        <v>1021</v>
      </c>
      <c r="E733">
        <v>9</v>
      </c>
      <c r="F733">
        <v>-5.4480000000000004</v>
      </c>
      <c r="G733">
        <v>-29.241</v>
      </c>
      <c r="H733">
        <v>16219</v>
      </c>
      <c r="I733">
        <v>0</v>
      </c>
      <c r="J733">
        <v>1</v>
      </c>
      <c r="K733" t="s">
        <v>55</v>
      </c>
      <c r="L733" t="s">
        <v>55</v>
      </c>
      <c r="M733" t="s">
        <v>56</v>
      </c>
      <c r="N733">
        <v>1643635359.5899999</v>
      </c>
      <c r="O733">
        <v>0.21099999999999999</v>
      </c>
      <c r="P733">
        <v>0.41599999999999998</v>
      </c>
      <c r="Q733">
        <v>54.228000000000002</v>
      </c>
      <c r="R733">
        <v>1E-3</v>
      </c>
      <c r="S733">
        <v>2E-3</v>
      </c>
      <c r="T733">
        <v>1.3</v>
      </c>
      <c r="U733">
        <v>90.352999999999994</v>
      </c>
      <c r="V733">
        <v>24.95</v>
      </c>
      <c r="W733">
        <v>2.2829999999999999</v>
      </c>
      <c r="X733">
        <v>85.674999999999997</v>
      </c>
      <c r="Y733">
        <v>0.96599999999999997</v>
      </c>
      <c r="Z733">
        <v>1.0129999999999999</v>
      </c>
      <c r="AA733">
        <v>0</v>
      </c>
      <c r="AB733">
        <v>0</v>
      </c>
      <c r="AC733">
        <v>1</v>
      </c>
      <c r="AD733">
        <v>39.75</v>
      </c>
      <c r="AE733">
        <v>1</v>
      </c>
      <c r="AF733">
        <v>102</v>
      </c>
      <c r="AG733">
        <v>7</v>
      </c>
      <c r="AH733" t="s">
        <v>84</v>
      </c>
      <c r="AI733">
        <v>0</v>
      </c>
    </row>
    <row r="734" spans="1:35" x14ac:dyDescent="0.45">
      <c r="A734">
        <v>733</v>
      </c>
      <c r="B734" t="s">
        <v>1019</v>
      </c>
      <c r="C734" t="s">
        <v>1030</v>
      </c>
      <c r="D734" t="s">
        <v>1021</v>
      </c>
      <c r="E734">
        <v>10</v>
      </c>
      <c r="F734">
        <v>-5.484</v>
      </c>
      <c r="G734">
        <v>-29.334</v>
      </c>
      <c r="H734">
        <v>16235</v>
      </c>
      <c r="I734">
        <v>0</v>
      </c>
      <c r="J734">
        <v>1</v>
      </c>
      <c r="K734" t="s">
        <v>55</v>
      </c>
      <c r="L734" t="s">
        <v>55</v>
      </c>
      <c r="M734" t="s">
        <v>56</v>
      </c>
      <c r="N734">
        <v>1643635894.3199999</v>
      </c>
      <c r="O734">
        <v>0.217</v>
      </c>
      <c r="P734">
        <v>0.40699999999999997</v>
      </c>
      <c r="Q734">
        <v>52.207000000000001</v>
      </c>
      <c r="R734">
        <v>1E-3</v>
      </c>
      <c r="S734">
        <v>1E-3</v>
      </c>
      <c r="T734">
        <v>1.2649999999999999</v>
      </c>
      <c r="U734">
        <v>90.456000000000003</v>
      </c>
      <c r="V734">
        <v>25.117000000000001</v>
      </c>
      <c r="W734">
        <v>2.3010000000000002</v>
      </c>
      <c r="X734">
        <v>85.566999999999993</v>
      </c>
      <c r="Y734">
        <v>0.97199999999999998</v>
      </c>
      <c r="Z734">
        <v>0.92500000000000004</v>
      </c>
      <c r="AA734">
        <v>0</v>
      </c>
      <c r="AB734">
        <v>0</v>
      </c>
      <c r="AC734">
        <v>1</v>
      </c>
      <c r="AD734">
        <v>39.688000000000002</v>
      </c>
      <c r="AE734">
        <v>1</v>
      </c>
      <c r="AF734">
        <v>102</v>
      </c>
      <c r="AG734">
        <v>7</v>
      </c>
      <c r="AH734" t="s">
        <v>84</v>
      </c>
      <c r="AI734">
        <v>0</v>
      </c>
    </row>
    <row r="735" spans="1:35" x14ac:dyDescent="0.45">
      <c r="A735">
        <v>734</v>
      </c>
      <c r="B735" t="s">
        <v>1019</v>
      </c>
      <c r="C735" t="s">
        <v>1031</v>
      </c>
      <c r="D735" t="s">
        <v>1021</v>
      </c>
      <c r="E735">
        <v>11</v>
      </c>
      <c r="F735">
        <v>-5.4950000000000001</v>
      </c>
      <c r="G735">
        <v>-29.257999999999999</v>
      </c>
      <c r="H735">
        <v>16248</v>
      </c>
      <c r="I735">
        <v>0</v>
      </c>
      <c r="J735">
        <v>1</v>
      </c>
      <c r="K735" t="s">
        <v>55</v>
      </c>
      <c r="L735" t="s">
        <v>55</v>
      </c>
      <c r="M735" t="s">
        <v>56</v>
      </c>
      <c r="N735">
        <v>1643636431.6700001</v>
      </c>
      <c r="O735">
        <v>0.19600000000000001</v>
      </c>
      <c r="P735">
        <v>0.38300000000000001</v>
      </c>
      <c r="Q735">
        <v>53.81</v>
      </c>
      <c r="R735">
        <v>1E-3</v>
      </c>
      <c r="S735">
        <v>1E-3</v>
      </c>
      <c r="T735">
        <v>1.3009999999999999</v>
      </c>
      <c r="U735">
        <v>90.489000000000004</v>
      </c>
      <c r="V735">
        <v>25.18</v>
      </c>
      <c r="W735">
        <v>2.2599999999999998</v>
      </c>
      <c r="X735">
        <v>85.323999999999998</v>
      </c>
      <c r="Y735">
        <v>0.95699999999999996</v>
      </c>
      <c r="Z735">
        <v>1</v>
      </c>
      <c r="AA735">
        <v>0</v>
      </c>
      <c r="AB735">
        <v>0</v>
      </c>
      <c r="AC735">
        <v>1</v>
      </c>
      <c r="AD735">
        <v>39.75</v>
      </c>
      <c r="AE735">
        <v>1</v>
      </c>
      <c r="AF735">
        <v>102</v>
      </c>
      <c r="AG735">
        <v>7</v>
      </c>
      <c r="AH735" t="s">
        <v>84</v>
      </c>
      <c r="AI735">
        <v>0</v>
      </c>
    </row>
    <row r="736" spans="1:35" x14ac:dyDescent="0.45">
      <c r="A736">
        <v>735</v>
      </c>
      <c r="B736" t="s">
        <v>1019</v>
      </c>
      <c r="C736" t="s">
        <v>1032</v>
      </c>
      <c r="D736" t="s">
        <v>1021</v>
      </c>
      <c r="E736">
        <v>12</v>
      </c>
      <c r="F736">
        <v>-5.4930000000000003</v>
      </c>
      <c r="G736">
        <v>-29.364000000000001</v>
      </c>
      <c r="H736">
        <v>16280</v>
      </c>
      <c r="I736">
        <v>0</v>
      </c>
      <c r="J736">
        <v>1</v>
      </c>
      <c r="K736" t="s">
        <v>55</v>
      </c>
      <c r="L736" t="s">
        <v>55</v>
      </c>
      <c r="M736" t="s">
        <v>56</v>
      </c>
      <c r="N736">
        <v>1643636967.3399999</v>
      </c>
      <c r="O736">
        <v>0.21099999999999999</v>
      </c>
      <c r="P736">
        <v>0.38100000000000001</v>
      </c>
      <c r="Q736">
        <v>54.566000000000003</v>
      </c>
      <c r="R736">
        <v>1E-3</v>
      </c>
      <c r="S736">
        <v>0</v>
      </c>
      <c r="T736">
        <v>1.3140000000000001</v>
      </c>
      <c r="U736">
        <v>90.658000000000001</v>
      </c>
      <c r="V736">
        <v>25.428000000000001</v>
      </c>
      <c r="W736">
        <v>2.3149999999999999</v>
      </c>
      <c r="X736">
        <v>85.144000000000005</v>
      </c>
      <c r="Y736">
        <v>0.96199999999999997</v>
      </c>
      <c r="Z736">
        <v>0.93899999999999995</v>
      </c>
      <c r="AA736">
        <v>0</v>
      </c>
      <c r="AB736">
        <v>0</v>
      </c>
      <c r="AC736">
        <v>1</v>
      </c>
      <c r="AD736">
        <v>39.75</v>
      </c>
      <c r="AE736">
        <v>1</v>
      </c>
      <c r="AF736">
        <v>102</v>
      </c>
      <c r="AG736">
        <v>7</v>
      </c>
      <c r="AH736" t="s">
        <v>84</v>
      </c>
      <c r="AI736">
        <v>0</v>
      </c>
    </row>
    <row r="737" spans="1:35" x14ac:dyDescent="0.45">
      <c r="A737">
        <v>736</v>
      </c>
      <c r="B737" t="s">
        <v>1019</v>
      </c>
      <c r="C737" t="s">
        <v>1033</v>
      </c>
      <c r="D737" t="s">
        <v>1021</v>
      </c>
      <c r="E737">
        <v>13</v>
      </c>
      <c r="F737">
        <v>-5.47</v>
      </c>
      <c r="G737">
        <v>-29.277999999999999</v>
      </c>
      <c r="H737">
        <v>16240</v>
      </c>
      <c r="I737">
        <v>0</v>
      </c>
      <c r="J737">
        <v>1</v>
      </c>
      <c r="K737" t="s">
        <v>55</v>
      </c>
      <c r="L737" t="s">
        <v>55</v>
      </c>
      <c r="M737" t="s">
        <v>56</v>
      </c>
      <c r="N737">
        <v>1643637502.8800001</v>
      </c>
      <c r="O737">
        <v>0.189</v>
      </c>
      <c r="P737">
        <v>0.38200000000000001</v>
      </c>
      <c r="Q737">
        <v>53.015000000000001</v>
      </c>
      <c r="R737">
        <v>1E-3</v>
      </c>
      <c r="S737">
        <v>0</v>
      </c>
      <c r="T737">
        <v>1.2829999999999999</v>
      </c>
      <c r="U737">
        <v>90.424999999999997</v>
      </c>
      <c r="V737">
        <v>25.146000000000001</v>
      </c>
      <c r="W737">
        <v>2.3119999999999998</v>
      </c>
      <c r="X737">
        <v>85.593999999999994</v>
      </c>
      <c r="Y737">
        <v>0.94899999999999995</v>
      </c>
      <c r="Z737">
        <v>1.0569999999999999</v>
      </c>
      <c r="AA737">
        <v>0</v>
      </c>
      <c r="AB737">
        <v>0</v>
      </c>
      <c r="AC737">
        <v>1</v>
      </c>
      <c r="AD737">
        <v>39.688000000000002</v>
      </c>
      <c r="AE737">
        <v>1</v>
      </c>
      <c r="AF737">
        <v>102</v>
      </c>
      <c r="AG737">
        <v>7</v>
      </c>
      <c r="AH737" t="s">
        <v>84</v>
      </c>
      <c r="AI737">
        <v>0</v>
      </c>
    </row>
    <row r="738" spans="1:35" x14ac:dyDescent="0.45">
      <c r="A738">
        <v>737</v>
      </c>
      <c r="B738" t="s">
        <v>1019</v>
      </c>
      <c r="C738" t="s">
        <v>1034</v>
      </c>
      <c r="D738" t="s">
        <v>1021</v>
      </c>
      <c r="E738">
        <v>14</v>
      </c>
      <c r="F738">
        <v>-5.4960000000000004</v>
      </c>
      <c r="G738">
        <v>-29.288</v>
      </c>
      <c r="H738">
        <v>16278</v>
      </c>
      <c r="I738">
        <v>0</v>
      </c>
      <c r="J738">
        <v>1</v>
      </c>
      <c r="K738" t="s">
        <v>55</v>
      </c>
      <c r="L738" t="s">
        <v>55</v>
      </c>
      <c r="M738" t="s">
        <v>56</v>
      </c>
      <c r="N738">
        <v>1643638039.6300001</v>
      </c>
      <c r="O738">
        <v>0.222</v>
      </c>
      <c r="P738">
        <v>0.40100000000000002</v>
      </c>
      <c r="Q738">
        <v>54.795000000000002</v>
      </c>
      <c r="R738">
        <v>2E-3</v>
      </c>
      <c r="S738">
        <v>2E-3</v>
      </c>
      <c r="T738">
        <v>1.319</v>
      </c>
      <c r="U738">
        <v>90.623999999999995</v>
      </c>
      <c r="V738">
        <v>24.849</v>
      </c>
      <c r="W738">
        <v>2.3239999999999998</v>
      </c>
      <c r="X738">
        <v>87.087000000000003</v>
      </c>
      <c r="Y738">
        <v>0.96</v>
      </c>
      <c r="Z738">
        <v>1.2390000000000001</v>
      </c>
      <c r="AA738">
        <v>0</v>
      </c>
      <c r="AB738">
        <v>0</v>
      </c>
      <c r="AC738">
        <v>1</v>
      </c>
      <c r="AD738">
        <v>39.688000000000002</v>
      </c>
      <c r="AE738">
        <v>1</v>
      </c>
      <c r="AF738">
        <v>102</v>
      </c>
      <c r="AG738">
        <v>7</v>
      </c>
      <c r="AH738" t="s">
        <v>84</v>
      </c>
      <c r="AI738">
        <v>0</v>
      </c>
    </row>
    <row r="739" spans="1:35" x14ac:dyDescent="0.45">
      <c r="A739">
        <v>738</v>
      </c>
      <c r="B739" t="s">
        <v>1019</v>
      </c>
      <c r="C739" t="s">
        <v>1035</v>
      </c>
      <c r="D739" t="s">
        <v>1021</v>
      </c>
      <c r="E739">
        <v>15</v>
      </c>
      <c r="F739">
        <v>-5.5</v>
      </c>
      <c r="G739">
        <v>-29.332999999999998</v>
      </c>
      <c r="H739">
        <v>16248</v>
      </c>
      <c r="I739">
        <v>0</v>
      </c>
      <c r="J739">
        <v>1</v>
      </c>
      <c r="K739" t="s">
        <v>55</v>
      </c>
      <c r="L739" t="s">
        <v>55</v>
      </c>
      <c r="M739" t="s">
        <v>56</v>
      </c>
      <c r="N739">
        <v>1643638573.49</v>
      </c>
      <c r="O739">
        <v>0.216</v>
      </c>
      <c r="P739">
        <v>0.35099999999999998</v>
      </c>
      <c r="Q739">
        <v>53.463999999999999</v>
      </c>
      <c r="R739">
        <v>0</v>
      </c>
      <c r="S739">
        <v>0</v>
      </c>
      <c r="T739">
        <v>1.28</v>
      </c>
      <c r="U739">
        <v>90.572999999999993</v>
      </c>
      <c r="V739">
        <v>24.594000000000001</v>
      </c>
      <c r="W739">
        <v>2.2949999999999999</v>
      </c>
      <c r="X739">
        <v>86.899000000000001</v>
      </c>
      <c r="Y739">
        <v>0.99299999999999999</v>
      </c>
      <c r="Z739">
        <v>1.2010000000000001</v>
      </c>
      <c r="AA739">
        <v>0</v>
      </c>
      <c r="AB739">
        <v>0</v>
      </c>
      <c r="AC739">
        <v>1</v>
      </c>
      <c r="AD739">
        <v>39.75</v>
      </c>
      <c r="AE739">
        <v>1</v>
      </c>
      <c r="AF739">
        <v>102</v>
      </c>
      <c r="AG739">
        <v>7</v>
      </c>
      <c r="AH739" t="s">
        <v>84</v>
      </c>
      <c r="AI739">
        <v>0</v>
      </c>
    </row>
    <row r="740" spans="1:35" x14ac:dyDescent="0.45">
      <c r="A740">
        <v>739</v>
      </c>
      <c r="B740" t="s">
        <v>1036</v>
      </c>
      <c r="C740" t="s">
        <v>1037</v>
      </c>
      <c r="D740" t="s">
        <v>1038</v>
      </c>
      <c r="E740">
        <v>1</v>
      </c>
      <c r="F740">
        <v>-4.6189999999999998</v>
      </c>
      <c r="G740">
        <v>-23.279</v>
      </c>
      <c r="H740">
        <v>16302</v>
      </c>
      <c r="I740">
        <v>-1</v>
      </c>
      <c r="J740">
        <v>1</v>
      </c>
      <c r="K740" t="s">
        <v>55</v>
      </c>
      <c r="L740" t="s">
        <v>55</v>
      </c>
      <c r="M740" t="s">
        <v>56</v>
      </c>
      <c r="N740">
        <v>1643639111.24</v>
      </c>
      <c r="O740">
        <v>0.215</v>
      </c>
      <c r="P740">
        <v>0.41399999999999998</v>
      </c>
      <c r="Q740">
        <v>53.777000000000001</v>
      </c>
      <c r="R740">
        <v>1E-3</v>
      </c>
      <c r="S740">
        <v>3.0000000000000001E-3</v>
      </c>
      <c r="T740">
        <v>1.2989999999999999</v>
      </c>
      <c r="U740">
        <v>90.938000000000002</v>
      </c>
      <c r="V740">
        <v>25.138000000000002</v>
      </c>
      <c r="W740">
        <v>2.2639999999999998</v>
      </c>
      <c r="X740">
        <v>85.418000000000006</v>
      </c>
      <c r="Y740">
        <v>0.97199999999999998</v>
      </c>
      <c r="Z740">
        <v>0.81799999999999995</v>
      </c>
      <c r="AA740">
        <v>0</v>
      </c>
      <c r="AB740">
        <v>0</v>
      </c>
      <c r="AC740">
        <v>1</v>
      </c>
      <c r="AD740">
        <v>39.75</v>
      </c>
      <c r="AE740">
        <v>1</v>
      </c>
      <c r="AF740">
        <v>103</v>
      </c>
      <c r="AG740">
        <v>7</v>
      </c>
      <c r="AH740" t="s">
        <v>84</v>
      </c>
      <c r="AI740">
        <v>0</v>
      </c>
    </row>
    <row r="741" spans="1:35" x14ac:dyDescent="0.45">
      <c r="A741">
        <v>740</v>
      </c>
      <c r="B741" t="s">
        <v>1036</v>
      </c>
      <c r="C741" t="s">
        <v>1039</v>
      </c>
      <c r="D741" t="s">
        <v>1038</v>
      </c>
      <c r="E741">
        <v>2</v>
      </c>
      <c r="F741">
        <v>-4.5519999999999996</v>
      </c>
      <c r="G741">
        <v>-22.64</v>
      </c>
      <c r="H741">
        <v>16240</v>
      </c>
      <c r="I741">
        <v>-1</v>
      </c>
      <c r="J741">
        <v>1</v>
      </c>
      <c r="K741" t="s">
        <v>55</v>
      </c>
      <c r="L741" t="s">
        <v>55</v>
      </c>
      <c r="M741" t="s">
        <v>56</v>
      </c>
      <c r="N741">
        <v>1643639646.5799999</v>
      </c>
      <c r="O741">
        <v>0.19500000000000001</v>
      </c>
      <c r="P741">
        <v>0.37</v>
      </c>
      <c r="Q741">
        <v>54.49</v>
      </c>
      <c r="R741">
        <v>1E-3</v>
      </c>
      <c r="S741">
        <v>1E-3</v>
      </c>
      <c r="T741">
        <v>1.2949999999999999</v>
      </c>
      <c r="U741">
        <v>90.498999999999995</v>
      </c>
      <c r="V741">
        <v>24.751999999999999</v>
      </c>
      <c r="W741">
        <v>2.3170000000000002</v>
      </c>
      <c r="X741">
        <v>86.346999999999994</v>
      </c>
      <c r="Y741">
        <v>0.97599999999999998</v>
      </c>
      <c r="Z741">
        <v>1.0760000000000001</v>
      </c>
      <c r="AA741">
        <v>0</v>
      </c>
      <c r="AB741">
        <v>0</v>
      </c>
      <c r="AC741">
        <v>1</v>
      </c>
      <c r="AD741">
        <v>39.811999999999998</v>
      </c>
      <c r="AE741">
        <v>1</v>
      </c>
      <c r="AF741">
        <v>103</v>
      </c>
      <c r="AG741">
        <v>7</v>
      </c>
      <c r="AH741" t="s">
        <v>84</v>
      </c>
      <c r="AI741">
        <v>0</v>
      </c>
    </row>
    <row r="742" spans="1:35" x14ac:dyDescent="0.45">
      <c r="A742">
        <v>741</v>
      </c>
      <c r="B742" t="s">
        <v>1036</v>
      </c>
      <c r="C742" t="s">
        <v>1040</v>
      </c>
      <c r="D742" t="s">
        <v>1038</v>
      </c>
      <c r="E742">
        <v>3</v>
      </c>
      <c r="F742">
        <v>-4.5789999999999997</v>
      </c>
      <c r="G742">
        <v>-22.518000000000001</v>
      </c>
      <c r="H742">
        <v>16225</v>
      </c>
      <c r="I742">
        <v>-1</v>
      </c>
      <c r="J742">
        <v>1</v>
      </c>
      <c r="K742" t="s">
        <v>55</v>
      </c>
      <c r="L742" t="s">
        <v>55</v>
      </c>
      <c r="M742" t="s">
        <v>56</v>
      </c>
      <c r="N742">
        <v>1643640182.96</v>
      </c>
      <c r="O742">
        <v>0.20200000000000001</v>
      </c>
      <c r="P742">
        <v>0.38800000000000001</v>
      </c>
      <c r="Q742">
        <v>53.6</v>
      </c>
      <c r="R742">
        <v>1E-3</v>
      </c>
      <c r="S742">
        <v>0</v>
      </c>
      <c r="T742">
        <v>1.292</v>
      </c>
      <c r="U742">
        <v>90.210999999999999</v>
      </c>
      <c r="V742">
        <v>25.161000000000001</v>
      </c>
      <c r="W742">
        <v>2.2989999999999999</v>
      </c>
      <c r="X742">
        <v>86.147999999999996</v>
      </c>
      <c r="Y742">
        <v>0.95299999999999996</v>
      </c>
      <c r="Z742">
        <v>1.171</v>
      </c>
      <c r="AA742">
        <v>0</v>
      </c>
      <c r="AB742">
        <v>0</v>
      </c>
      <c r="AC742">
        <v>1</v>
      </c>
      <c r="AD742">
        <v>39.75</v>
      </c>
      <c r="AE742">
        <v>1</v>
      </c>
      <c r="AF742">
        <v>103</v>
      </c>
      <c r="AG742">
        <v>7</v>
      </c>
      <c r="AH742" t="s">
        <v>84</v>
      </c>
      <c r="AI742">
        <v>0</v>
      </c>
    </row>
    <row r="743" spans="1:35" x14ac:dyDescent="0.45">
      <c r="A743">
        <v>742</v>
      </c>
      <c r="B743" t="s">
        <v>1036</v>
      </c>
      <c r="C743" t="s">
        <v>1041</v>
      </c>
      <c r="D743" t="s">
        <v>1038</v>
      </c>
      <c r="E743">
        <v>4</v>
      </c>
      <c r="F743">
        <v>-4.569</v>
      </c>
      <c r="G743">
        <v>-22.545999999999999</v>
      </c>
      <c r="H743">
        <v>16292</v>
      </c>
      <c r="I743">
        <v>0</v>
      </c>
      <c r="J743">
        <v>1</v>
      </c>
      <c r="K743" t="s">
        <v>55</v>
      </c>
      <c r="L743" t="s">
        <v>55</v>
      </c>
      <c r="M743" t="s">
        <v>56</v>
      </c>
      <c r="N743">
        <v>1643640719.04</v>
      </c>
      <c r="O743">
        <v>0.193</v>
      </c>
      <c r="P743">
        <v>0.40600000000000003</v>
      </c>
      <c r="Q743">
        <v>54.53</v>
      </c>
      <c r="R743">
        <v>0</v>
      </c>
      <c r="S743">
        <v>2E-3</v>
      </c>
      <c r="T743">
        <v>1.3009999999999999</v>
      </c>
      <c r="U743">
        <v>91.058000000000007</v>
      </c>
      <c r="V743">
        <v>24.853999999999999</v>
      </c>
      <c r="W743">
        <v>2.2440000000000002</v>
      </c>
      <c r="X743">
        <v>85.347999999999999</v>
      </c>
      <c r="Y743">
        <v>0.96399999999999997</v>
      </c>
      <c r="Z743">
        <v>0.86199999999999999</v>
      </c>
      <c r="AA743">
        <v>0</v>
      </c>
      <c r="AB743">
        <v>0</v>
      </c>
      <c r="AC743">
        <v>1</v>
      </c>
      <c r="AD743">
        <v>39.811999999999998</v>
      </c>
      <c r="AE743">
        <v>1</v>
      </c>
      <c r="AF743">
        <v>103</v>
      </c>
      <c r="AG743">
        <v>7</v>
      </c>
      <c r="AH743" t="s">
        <v>84</v>
      </c>
      <c r="AI743">
        <v>0</v>
      </c>
    </row>
    <row r="744" spans="1:35" x14ac:dyDescent="0.45">
      <c r="A744">
        <v>743</v>
      </c>
      <c r="B744" t="s">
        <v>1036</v>
      </c>
      <c r="C744" t="s">
        <v>1042</v>
      </c>
      <c r="D744" t="s">
        <v>1038</v>
      </c>
      <c r="E744">
        <v>5</v>
      </c>
      <c r="F744">
        <v>-4.5510000000000002</v>
      </c>
      <c r="G744">
        <v>-22.428000000000001</v>
      </c>
      <c r="H744">
        <v>16290</v>
      </c>
      <c r="I744">
        <v>0</v>
      </c>
      <c r="J744">
        <v>1</v>
      </c>
      <c r="K744" t="s">
        <v>55</v>
      </c>
      <c r="L744" t="s">
        <v>55</v>
      </c>
      <c r="M744" t="s">
        <v>56</v>
      </c>
      <c r="N744">
        <v>1643641255.3299999</v>
      </c>
      <c r="O744">
        <v>0.187</v>
      </c>
      <c r="P744">
        <v>0.38100000000000001</v>
      </c>
      <c r="Q744">
        <v>53.805999999999997</v>
      </c>
      <c r="R744">
        <v>1E-3</v>
      </c>
      <c r="S744">
        <v>-1E-3</v>
      </c>
      <c r="T744">
        <v>1.3</v>
      </c>
      <c r="U744">
        <v>91.049000000000007</v>
      </c>
      <c r="V744">
        <v>24.754000000000001</v>
      </c>
      <c r="W744">
        <v>2.274</v>
      </c>
      <c r="X744">
        <v>85.492999999999995</v>
      </c>
      <c r="Y744">
        <v>0.95</v>
      </c>
      <c r="Z744">
        <v>0.82199999999999995</v>
      </c>
      <c r="AA744">
        <v>0</v>
      </c>
      <c r="AB744">
        <v>0</v>
      </c>
      <c r="AC744">
        <v>1</v>
      </c>
      <c r="AD744">
        <v>39.811999999999998</v>
      </c>
      <c r="AE744">
        <v>1</v>
      </c>
      <c r="AF744">
        <v>103</v>
      </c>
      <c r="AG744">
        <v>7</v>
      </c>
      <c r="AH744" t="s">
        <v>84</v>
      </c>
      <c r="AI744">
        <v>0</v>
      </c>
    </row>
    <row r="745" spans="1:35" x14ac:dyDescent="0.45">
      <c r="A745">
        <v>744</v>
      </c>
      <c r="B745" t="s">
        <v>1036</v>
      </c>
      <c r="C745" t="s">
        <v>1043</v>
      </c>
      <c r="D745" t="s">
        <v>1038</v>
      </c>
      <c r="E745">
        <v>6</v>
      </c>
      <c r="F745">
        <v>-4.58</v>
      </c>
      <c r="G745">
        <v>-22.452999999999999</v>
      </c>
      <c r="H745">
        <v>16294</v>
      </c>
      <c r="I745">
        <v>0</v>
      </c>
      <c r="J745">
        <v>1</v>
      </c>
      <c r="K745" t="s">
        <v>55</v>
      </c>
      <c r="L745" t="s">
        <v>55</v>
      </c>
      <c r="M745" t="s">
        <v>56</v>
      </c>
      <c r="N745">
        <v>1643641791.45</v>
      </c>
      <c r="O745">
        <v>0.19800000000000001</v>
      </c>
      <c r="P745">
        <v>0.41599999999999998</v>
      </c>
      <c r="Q745">
        <v>54.32</v>
      </c>
      <c r="R745">
        <v>1E-3</v>
      </c>
      <c r="S745">
        <v>2E-3</v>
      </c>
      <c r="T745">
        <v>1.304</v>
      </c>
      <c r="U745">
        <v>90.695999999999998</v>
      </c>
      <c r="V745">
        <v>25.3</v>
      </c>
      <c r="W745">
        <v>2.286</v>
      </c>
      <c r="X745">
        <v>86.081000000000003</v>
      </c>
      <c r="Y745">
        <v>0.96599999999999997</v>
      </c>
      <c r="Z745">
        <v>1.01</v>
      </c>
      <c r="AA745">
        <v>0</v>
      </c>
      <c r="AB745">
        <v>0</v>
      </c>
      <c r="AC745">
        <v>1</v>
      </c>
      <c r="AD745">
        <v>39.875</v>
      </c>
      <c r="AE745">
        <v>1</v>
      </c>
      <c r="AF745">
        <v>103</v>
      </c>
      <c r="AG745">
        <v>7</v>
      </c>
      <c r="AH745" t="s">
        <v>84</v>
      </c>
      <c r="AI745">
        <v>0</v>
      </c>
    </row>
    <row r="746" spans="1:35" x14ac:dyDescent="0.45">
      <c r="A746">
        <v>745</v>
      </c>
      <c r="B746" t="s">
        <v>1036</v>
      </c>
      <c r="C746" t="s">
        <v>1044</v>
      </c>
      <c r="D746" t="s">
        <v>1038</v>
      </c>
      <c r="E746">
        <v>7</v>
      </c>
      <c r="F746">
        <v>-4.5570000000000004</v>
      </c>
      <c r="G746">
        <v>-22.401</v>
      </c>
      <c r="H746">
        <v>16251</v>
      </c>
      <c r="I746">
        <v>0</v>
      </c>
      <c r="J746">
        <v>1</v>
      </c>
      <c r="K746" t="s">
        <v>55</v>
      </c>
      <c r="L746" t="s">
        <v>55</v>
      </c>
      <c r="M746" t="s">
        <v>56</v>
      </c>
      <c r="N746">
        <v>1643642326.27</v>
      </c>
      <c r="O746">
        <v>0.20100000000000001</v>
      </c>
      <c r="P746">
        <v>0.41699999999999998</v>
      </c>
      <c r="Q746">
        <v>53.546999999999997</v>
      </c>
      <c r="R746">
        <v>1E-3</v>
      </c>
      <c r="S746">
        <v>1E-3</v>
      </c>
      <c r="T746">
        <v>1.2929999999999999</v>
      </c>
      <c r="U746">
        <v>90.373000000000005</v>
      </c>
      <c r="V746">
        <v>25.541</v>
      </c>
      <c r="W746">
        <v>2.2690000000000001</v>
      </c>
      <c r="X746">
        <v>85.028000000000006</v>
      </c>
      <c r="Y746">
        <v>0.96599999999999997</v>
      </c>
      <c r="Z746">
        <v>1.0469999999999999</v>
      </c>
      <c r="AA746">
        <v>0</v>
      </c>
      <c r="AB746">
        <v>0</v>
      </c>
      <c r="AC746">
        <v>1</v>
      </c>
      <c r="AD746">
        <v>39.875</v>
      </c>
      <c r="AE746">
        <v>1</v>
      </c>
      <c r="AF746">
        <v>103</v>
      </c>
      <c r="AG746">
        <v>7</v>
      </c>
      <c r="AH746" t="s">
        <v>84</v>
      </c>
      <c r="AI746">
        <v>0</v>
      </c>
    </row>
    <row r="747" spans="1:35" x14ac:dyDescent="0.45">
      <c r="A747">
        <v>746</v>
      </c>
      <c r="B747" t="s">
        <v>1036</v>
      </c>
      <c r="C747" t="s">
        <v>1045</v>
      </c>
      <c r="D747" t="s">
        <v>1038</v>
      </c>
      <c r="E747">
        <v>8</v>
      </c>
      <c r="F747">
        <v>-4.532</v>
      </c>
      <c r="G747">
        <v>-22.335999999999999</v>
      </c>
      <c r="H747">
        <v>16263</v>
      </c>
      <c r="I747">
        <v>0</v>
      </c>
      <c r="J747">
        <v>1</v>
      </c>
      <c r="K747" t="s">
        <v>55</v>
      </c>
      <c r="L747" t="s">
        <v>55</v>
      </c>
      <c r="M747" t="s">
        <v>56</v>
      </c>
      <c r="N747">
        <v>1643642863.4300001</v>
      </c>
      <c r="O747">
        <v>0.19700000000000001</v>
      </c>
      <c r="P747">
        <v>0.38400000000000001</v>
      </c>
      <c r="Q747">
        <v>53.987000000000002</v>
      </c>
      <c r="R747">
        <v>2E-3</v>
      </c>
      <c r="S747">
        <v>0</v>
      </c>
      <c r="T747">
        <v>1.3009999999999999</v>
      </c>
      <c r="U747">
        <v>90.923000000000002</v>
      </c>
      <c r="V747">
        <v>25.033000000000001</v>
      </c>
      <c r="W747">
        <v>2.1789999999999998</v>
      </c>
      <c r="X747">
        <v>84.078999999999994</v>
      </c>
      <c r="Y747">
        <v>0.96899999999999997</v>
      </c>
      <c r="Z747">
        <v>0.61499999999999999</v>
      </c>
      <c r="AA747">
        <v>0</v>
      </c>
      <c r="AB747">
        <v>0</v>
      </c>
      <c r="AC747">
        <v>1</v>
      </c>
      <c r="AD747">
        <v>39.875</v>
      </c>
      <c r="AE747">
        <v>1</v>
      </c>
      <c r="AF747">
        <v>103</v>
      </c>
      <c r="AG747">
        <v>7</v>
      </c>
      <c r="AH747" t="s">
        <v>84</v>
      </c>
      <c r="AI747">
        <v>0</v>
      </c>
    </row>
    <row r="748" spans="1:35" x14ac:dyDescent="0.45">
      <c r="A748">
        <v>747</v>
      </c>
      <c r="B748" t="s">
        <v>1036</v>
      </c>
      <c r="C748" t="s">
        <v>1046</v>
      </c>
      <c r="D748" t="s">
        <v>1038</v>
      </c>
      <c r="E748">
        <v>9</v>
      </c>
      <c r="F748">
        <v>-4.5469999999999997</v>
      </c>
      <c r="G748">
        <v>-22.41</v>
      </c>
      <c r="H748">
        <v>16225</v>
      </c>
      <c r="I748">
        <v>0</v>
      </c>
      <c r="J748">
        <v>1</v>
      </c>
      <c r="K748" t="s">
        <v>55</v>
      </c>
      <c r="L748" t="s">
        <v>55</v>
      </c>
      <c r="M748" t="s">
        <v>56</v>
      </c>
      <c r="N748">
        <v>1643643399.21</v>
      </c>
      <c r="O748">
        <v>0.20200000000000001</v>
      </c>
      <c r="P748">
        <v>0.41299999999999998</v>
      </c>
      <c r="Q748">
        <v>54.116999999999997</v>
      </c>
      <c r="R748">
        <v>1E-3</v>
      </c>
      <c r="S748">
        <v>0</v>
      </c>
      <c r="T748">
        <v>1.2929999999999999</v>
      </c>
      <c r="U748">
        <v>90.257999999999996</v>
      </c>
      <c r="V748">
        <v>25.238</v>
      </c>
      <c r="W748">
        <v>2.3010000000000002</v>
      </c>
      <c r="X748">
        <v>85.614999999999995</v>
      </c>
      <c r="Y748">
        <v>0.97499999999999998</v>
      </c>
      <c r="Z748">
        <v>1.1990000000000001</v>
      </c>
      <c r="AA748">
        <v>0</v>
      </c>
      <c r="AB748">
        <v>0</v>
      </c>
      <c r="AC748">
        <v>1</v>
      </c>
      <c r="AD748">
        <v>39.811999999999998</v>
      </c>
      <c r="AE748">
        <v>1</v>
      </c>
      <c r="AF748">
        <v>103</v>
      </c>
      <c r="AG748">
        <v>7</v>
      </c>
      <c r="AH748" t="s">
        <v>84</v>
      </c>
      <c r="AI748">
        <v>0</v>
      </c>
    </row>
    <row r="749" spans="1:35" x14ac:dyDescent="0.45">
      <c r="A749">
        <v>748</v>
      </c>
      <c r="B749" t="s">
        <v>1036</v>
      </c>
      <c r="C749" t="s">
        <v>1047</v>
      </c>
      <c r="D749" t="s">
        <v>1038</v>
      </c>
      <c r="E749">
        <v>10</v>
      </c>
      <c r="F749">
        <v>-4.585</v>
      </c>
      <c r="G749">
        <v>-22.363</v>
      </c>
      <c r="H749">
        <v>16235</v>
      </c>
      <c r="I749">
        <v>0</v>
      </c>
      <c r="J749">
        <v>1</v>
      </c>
      <c r="K749" t="s">
        <v>55</v>
      </c>
      <c r="L749" t="s">
        <v>55</v>
      </c>
      <c r="M749" t="s">
        <v>56</v>
      </c>
      <c r="N749">
        <v>1643643935.73</v>
      </c>
      <c r="O749">
        <v>0.21299999999999999</v>
      </c>
      <c r="P749">
        <v>0.41099999999999998</v>
      </c>
      <c r="Q749">
        <v>54.256</v>
      </c>
      <c r="R749">
        <v>1E-3</v>
      </c>
      <c r="S749">
        <v>0</v>
      </c>
      <c r="T749">
        <v>1.306</v>
      </c>
      <c r="U749">
        <v>90.471999999999994</v>
      </c>
      <c r="V749">
        <v>24.658999999999999</v>
      </c>
      <c r="W749">
        <v>2.3330000000000002</v>
      </c>
      <c r="X749">
        <v>86.498000000000005</v>
      </c>
      <c r="Y749">
        <v>0.95</v>
      </c>
      <c r="Z749">
        <v>1.1399999999999999</v>
      </c>
      <c r="AA749">
        <v>0</v>
      </c>
      <c r="AB749">
        <v>0</v>
      </c>
      <c r="AC749">
        <v>1</v>
      </c>
      <c r="AD749">
        <v>39.875</v>
      </c>
      <c r="AE749">
        <v>1</v>
      </c>
      <c r="AF749">
        <v>103</v>
      </c>
      <c r="AG749">
        <v>7</v>
      </c>
      <c r="AH749" t="s">
        <v>84</v>
      </c>
      <c r="AI749">
        <v>0</v>
      </c>
    </row>
    <row r="750" spans="1:35" x14ac:dyDescent="0.45">
      <c r="A750">
        <v>749</v>
      </c>
      <c r="B750" t="s">
        <v>1036</v>
      </c>
      <c r="C750" t="s">
        <v>1048</v>
      </c>
      <c r="D750" t="s">
        <v>1038</v>
      </c>
      <c r="E750">
        <v>11</v>
      </c>
      <c r="F750">
        <v>-4.5579999999999998</v>
      </c>
      <c r="G750">
        <v>-22.33</v>
      </c>
      <c r="H750">
        <v>16247</v>
      </c>
      <c r="I750">
        <v>0</v>
      </c>
      <c r="J750">
        <v>1</v>
      </c>
      <c r="K750" t="s">
        <v>55</v>
      </c>
      <c r="L750" t="s">
        <v>55</v>
      </c>
      <c r="M750" t="s">
        <v>56</v>
      </c>
      <c r="N750">
        <v>1643644469.96</v>
      </c>
      <c r="O750">
        <v>0.19800000000000001</v>
      </c>
      <c r="P750">
        <v>0.41699999999999998</v>
      </c>
      <c r="Q750">
        <v>54.055999999999997</v>
      </c>
      <c r="R750">
        <v>0</v>
      </c>
      <c r="S750">
        <v>1E-3</v>
      </c>
      <c r="T750">
        <v>1.296</v>
      </c>
      <c r="U750">
        <v>90.655000000000001</v>
      </c>
      <c r="V750">
        <v>24.850999999999999</v>
      </c>
      <c r="W750">
        <v>2.2890000000000001</v>
      </c>
      <c r="X750">
        <v>85.465000000000003</v>
      </c>
      <c r="Y750">
        <v>0.96799999999999997</v>
      </c>
      <c r="Z750">
        <v>0.97799999999999998</v>
      </c>
      <c r="AA750">
        <v>0</v>
      </c>
      <c r="AB750">
        <v>0</v>
      </c>
      <c r="AC750">
        <v>1</v>
      </c>
      <c r="AD750">
        <v>39.875</v>
      </c>
      <c r="AE750">
        <v>1</v>
      </c>
      <c r="AF750">
        <v>103</v>
      </c>
      <c r="AG750">
        <v>7</v>
      </c>
      <c r="AH750" t="s">
        <v>84</v>
      </c>
      <c r="AI750">
        <v>0</v>
      </c>
    </row>
    <row r="751" spans="1:35" x14ac:dyDescent="0.45">
      <c r="A751">
        <v>750</v>
      </c>
      <c r="B751" t="s">
        <v>1036</v>
      </c>
      <c r="C751" t="s">
        <v>1049</v>
      </c>
      <c r="D751" t="s">
        <v>1038</v>
      </c>
      <c r="E751">
        <v>12</v>
      </c>
      <c r="F751">
        <v>-4.5810000000000004</v>
      </c>
      <c r="G751">
        <v>-22.442</v>
      </c>
      <c r="H751">
        <v>16250</v>
      </c>
      <c r="I751">
        <v>0</v>
      </c>
      <c r="J751">
        <v>1</v>
      </c>
      <c r="K751" t="s">
        <v>55</v>
      </c>
      <c r="L751" t="s">
        <v>55</v>
      </c>
      <c r="M751" t="s">
        <v>56</v>
      </c>
      <c r="N751">
        <v>1643645009.3199999</v>
      </c>
      <c r="O751">
        <v>0.21</v>
      </c>
      <c r="P751">
        <v>0.435</v>
      </c>
      <c r="Q751">
        <v>52.899000000000001</v>
      </c>
      <c r="R751">
        <v>1E-3</v>
      </c>
      <c r="S751">
        <v>2E-3</v>
      </c>
      <c r="T751">
        <v>1.2929999999999999</v>
      </c>
      <c r="U751">
        <v>91.061999999999998</v>
      </c>
      <c r="V751">
        <v>23.837</v>
      </c>
      <c r="W751">
        <v>2.282</v>
      </c>
      <c r="X751">
        <v>86.679000000000002</v>
      </c>
      <c r="Y751">
        <v>0.97699999999999998</v>
      </c>
      <c r="Z751">
        <v>0.93</v>
      </c>
      <c r="AA751">
        <v>0</v>
      </c>
      <c r="AB751">
        <v>0</v>
      </c>
      <c r="AC751">
        <v>1</v>
      </c>
      <c r="AD751">
        <v>39.875</v>
      </c>
      <c r="AE751">
        <v>1</v>
      </c>
      <c r="AF751">
        <v>103</v>
      </c>
      <c r="AG751">
        <v>7</v>
      </c>
      <c r="AH751" t="s">
        <v>84</v>
      </c>
      <c r="AI751">
        <v>0</v>
      </c>
    </row>
    <row r="752" spans="1:35" x14ac:dyDescent="0.45">
      <c r="A752">
        <v>751</v>
      </c>
      <c r="B752" t="s">
        <v>1036</v>
      </c>
      <c r="C752" t="s">
        <v>1050</v>
      </c>
      <c r="D752" t="s">
        <v>1038</v>
      </c>
      <c r="E752">
        <v>13</v>
      </c>
      <c r="F752">
        <v>-4.5759999999999996</v>
      </c>
      <c r="G752">
        <v>-22.312999999999999</v>
      </c>
      <c r="H752">
        <v>16264</v>
      </c>
      <c r="I752">
        <v>0</v>
      </c>
      <c r="J752">
        <v>1</v>
      </c>
      <c r="K752" t="s">
        <v>55</v>
      </c>
      <c r="L752" t="s">
        <v>55</v>
      </c>
      <c r="M752" t="s">
        <v>56</v>
      </c>
      <c r="N752">
        <v>1643645542.1700001</v>
      </c>
      <c r="O752">
        <v>0.19400000000000001</v>
      </c>
      <c r="P752">
        <v>0.39700000000000002</v>
      </c>
      <c r="Q752">
        <v>53.08</v>
      </c>
      <c r="R752">
        <v>1E-3</v>
      </c>
      <c r="S752">
        <v>1E-3</v>
      </c>
      <c r="T752">
        <v>1.278</v>
      </c>
      <c r="U752">
        <v>92.423000000000002</v>
      </c>
      <c r="V752">
        <v>21.213999999999999</v>
      </c>
      <c r="W752">
        <v>2.2549999999999999</v>
      </c>
      <c r="X752">
        <v>87.906000000000006</v>
      </c>
      <c r="Y752">
        <v>0.98199999999999998</v>
      </c>
      <c r="Z752">
        <v>0.45400000000000001</v>
      </c>
      <c r="AA752">
        <v>0</v>
      </c>
      <c r="AB752">
        <v>0</v>
      </c>
      <c r="AC752">
        <v>1</v>
      </c>
      <c r="AD752">
        <v>39.811999999999998</v>
      </c>
      <c r="AE752">
        <v>1</v>
      </c>
      <c r="AF752">
        <v>103</v>
      </c>
      <c r="AG752">
        <v>7</v>
      </c>
      <c r="AH752" t="s">
        <v>84</v>
      </c>
      <c r="AI752">
        <v>0</v>
      </c>
    </row>
    <row r="753" spans="1:35" x14ac:dyDescent="0.45">
      <c r="A753">
        <v>752</v>
      </c>
      <c r="B753" t="s">
        <v>1036</v>
      </c>
      <c r="C753" t="s">
        <v>1051</v>
      </c>
      <c r="D753" t="s">
        <v>1038</v>
      </c>
      <c r="E753">
        <v>14</v>
      </c>
      <c r="F753">
        <v>-4.5709999999999997</v>
      </c>
      <c r="G753">
        <v>-22.251000000000001</v>
      </c>
      <c r="H753">
        <v>16281</v>
      </c>
      <c r="I753">
        <v>0</v>
      </c>
      <c r="J753">
        <v>1</v>
      </c>
      <c r="K753" t="s">
        <v>55</v>
      </c>
      <c r="L753" t="s">
        <v>55</v>
      </c>
      <c r="M753" t="s">
        <v>56</v>
      </c>
      <c r="N753">
        <v>1643646080.4400001</v>
      </c>
      <c r="O753">
        <v>0.17899999999999999</v>
      </c>
      <c r="P753">
        <v>0.34799999999999998</v>
      </c>
      <c r="Q753">
        <v>54.847999999999999</v>
      </c>
      <c r="R753">
        <v>1E-3</v>
      </c>
      <c r="S753">
        <v>2E-3</v>
      </c>
      <c r="T753">
        <v>1.3180000000000001</v>
      </c>
      <c r="U753">
        <v>92.757999999999996</v>
      </c>
      <c r="V753">
        <v>20.431999999999999</v>
      </c>
      <c r="W753">
        <v>2.2839999999999998</v>
      </c>
      <c r="X753">
        <v>89.364999999999995</v>
      </c>
      <c r="Y753">
        <v>0.97199999999999998</v>
      </c>
      <c r="Z753">
        <v>0.44900000000000001</v>
      </c>
      <c r="AA753">
        <v>0</v>
      </c>
      <c r="AB753">
        <v>0</v>
      </c>
      <c r="AC753">
        <v>1</v>
      </c>
      <c r="AD753">
        <v>39.811999999999998</v>
      </c>
      <c r="AE753">
        <v>1</v>
      </c>
      <c r="AF753">
        <v>103</v>
      </c>
      <c r="AG753">
        <v>7</v>
      </c>
      <c r="AH753" t="s">
        <v>84</v>
      </c>
      <c r="AI753">
        <v>0</v>
      </c>
    </row>
    <row r="754" spans="1:35" x14ac:dyDescent="0.45">
      <c r="A754">
        <v>753</v>
      </c>
      <c r="B754" t="s">
        <v>1036</v>
      </c>
      <c r="C754" t="s">
        <v>1052</v>
      </c>
      <c r="D754" t="s">
        <v>1038</v>
      </c>
      <c r="E754">
        <v>15</v>
      </c>
      <c r="F754">
        <v>-4.6109999999999998</v>
      </c>
      <c r="G754">
        <v>-22.335999999999999</v>
      </c>
      <c r="H754">
        <v>16242</v>
      </c>
      <c r="I754">
        <v>0</v>
      </c>
      <c r="J754">
        <v>1</v>
      </c>
      <c r="K754" t="s">
        <v>55</v>
      </c>
      <c r="L754" t="s">
        <v>55</v>
      </c>
      <c r="M754" t="s">
        <v>56</v>
      </c>
      <c r="N754">
        <v>1643646614.5599999</v>
      </c>
      <c r="O754">
        <v>0.20899999999999999</v>
      </c>
      <c r="P754">
        <v>0.374</v>
      </c>
      <c r="Q754">
        <v>52.575000000000003</v>
      </c>
      <c r="R754">
        <v>0</v>
      </c>
      <c r="S754">
        <v>-1E-3</v>
      </c>
      <c r="T754">
        <v>1.268</v>
      </c>
      <c r="U754">
        <v>92.668999999999997</v>
      </c>
      <c r="V754">
        <v>19.884</v>
      </c>
      <c r="W754">
        <v>2.3239999999999998</v>
      </c>
      <c r="X754">
        <v>89.801000000000002</v>
      </c>
      <c r="Y754">
        <v>0.97499999999999998</v>
      </c>
      <c r="Z754">
        <v>0.46600000000000003</v>
      </c>
      <c r="AA754">
        <v>0</v>
      </c>
      <c r="AB754">
        <v>0</v>
      </c>
      <c r="AC754">
        <v>1</v>
      </c>
      <c r="AD754">
        <v>39.811999999999998</v>
      </c>
      <c r="AE754">
        <v>1</v>
      </c>
      <c r="AF754">
        <v>103</v>
      </c>
      <c r="AG754">
        <v>7</v>
      </c>
      <c r="AH754" t="s">
        <v>84</v>
      </c>
      <c r="AI754">
        <v>0</v>
      </c>
    </row>
    <row r="755" spans="1:35" x14ac:dyDescent="0.45">
      <c r="A755">
        <v>754</v>
      </c>
      <c r="B755" t="s">
        <v>1053</v>
      </c>
      <c r="C755" t="s">
        <v>1054</v>
      </c>
      <c r="D755" t="s">
        <v>1055</v>
      </c>
      <c r="E755">
        <v>1</v>
      </c>
      <c r="F755">
        <v>-7.7910000000000004</v>
      </c>
      <c r="G755">
        <v>-49.113999999999997</v>
      </c>
      <c r="H755">
        <v>16237</v>
      </c>
      <c r="I755">
        <v>-1</v>
      </c>
      <c r="J755">
        <v>1</v>
      </c>
      <c r="K755" t="s">
        <v>55</v>
      </c>
      <c r="L755" t="s">
        <v>55</v>
      </c>
      <c r="M755" t="s">
        <v>56</v>
      </c>
      <c r="N755">
        <v>1643647152.8099999</v>
      </c>
      <c r="O755">
        <v>0.20300000000000001</v>
      </c>
      <c r="P755">
        <v>0.42199999999999999</v>
      </c>
      <c r="Q755">
        <v>54.192</v>
      </c>
      <c r="R755">
        <v>1E-3</v>
      </c>
      <c r="S755">
        <v>3.0000000000000001E-3</v>
      </c>
      <c r="T755">
        <v>1.3009999999999999</v>
      </c>
      <c r="U755">
        <v>92.87</v>
      </c>
      <c r="V755">
        <v>19.951000000000001</v>
      </c>
      <c r="W755">
        <v>2.2610000000000001</v>
      </c>
      <c r="X755">
        <v>88.509</v>
      </c>
      <c r="Y755">
        <v>0.97699999999999998</v>
      </c>
      <c r="Z755">
        <v>0.24</v>
      </c>
      <c r="AA755">
        <v>0</v>
      </c>
      <c r="AB755">
        <v>0</v>
      </c>
      <c r="AC755">
        <v>1</v>
      </c>
      <c r="AD755">
        <v>39.811999999999998</v>
      </c>
      <c r="AE755">
        <v>1</v>
      </c>
      <c r="AF755">
        <v>104</v>
      </c>
      <c r="AG755">
        <v>7</v>
      </c>
      <c r="AH755" t="s">
        <v>84</v>
      </c>
      <c r="AI755">
        <v>0</v>
      </c>
    </row>
    <row r="756" spans="1:35" x14ac:dyDescent="0.45">
      <c r="A756">
        <v>755</v>
      </c>
      <c r="B756" t="s">
        <v>1053</v>
      </c>
      <c r="C756" t="s">
        <v>1056</v>
      </c>
      <c r="D756" t="s">
        <v>1055</v>
      </c>
      <c r="E756">
        <v>2</v>
      </c>
      <c r="F756">
        <v>-7.9290000000000003</v>
      </c>
      <c r="G756">
        <v>-51.332000000000001</v>
      </c>
      <c r="H756">
        <v>16310</v>
      </c>
      <c r="I756">
        <v>-1</v>
      </c>
      <c r="J756">
        <v>1</v>
      </c>
      <c r="K756" t="s">
        <v>55</v>
      </c>
      <c r="L756" t="s">
        <v>55</v>
      </c>
      <c r="M756" t="s">
        <v>56</v>
      </c>
      <c r="N756">
        <v>1643647687.4300001</v>
      </c>
      <c r="O756">
        <v>0.218</v>
      </c>
      <c r="P756">
        <v>0.41199999999999998</v>
      </c>
      <c r="Q756">
        <v>54.43</v>
      </c>
      <c r="R756">
        <v>0</v>
      </c>
      <c r="S756">
        <v>1E-3</v>
      </c>
      <c r="T756">
        <v>1.3160000000000001</v>
      </c>
      <c r="U756">
        <v>93.013999999999996</v>
      </c>
      <c r="V756">
        <v>20.664999999999999</v>
      </c>
      <c r="W756">
        <v>2.262</v>
      </c>
      <c r="X756">
        <v>88.709000000000003</v>
      </c>
      <c r="Y756">
        <v>0.96899999999999997</v>
      </c>
      <c r="Z756">
        <v>0.29699999999999999</v>
      </c>
      <c r="AA756">
        <v>0</v>
      </c>
      <c r="AB756">
        <v>0</v>
      </c>
      <c r="AC756">
        <v>1</v>
      </c>
      <c r="AD756">
        <v>39.75</v>
      </c>
      <c r="AE756">
        <v>1</v>
      </c>
      <c r="AF756">
        <v>104</v>
      </c>
      <c r="AG756">
        <v>7</v>
      </c>
      <c r="AH756" t="s">
        <v>84</v>
      </c>
      <c r="AI756">
        <v>0</v>
      </c>
    </row>
    <row r="757" spans="1:35" x14ac:dyDescent="0.45">
      <c r="A757">
        <v>756</v>
      </c>
      <c r="B757" t="s">
        <v>1053</v>
      </c>
      <c r="C757" t="s">
        <v>1057</v>
      </c>
      <c r="D757" t="s">
        <v>1055</v>
      </c>
      <c r="E757">
        <v>3</v>
      </c>
      <c r="F757">
        <v>-7.9829999999999997</v>
      </c>
      <c r="G757">
        <v>-51.792999999999999</v>
      </c>
      <c r="H757">
        <v>16260</v>
      </c>
      <c r="I757">
        <v>-1</v>
      </c>
      <c r="J757">
        <v>1</v>
      </c>
      <c r="K757" t="s">
        <v>55</v>
      </c>
      <c r="L757" t="s">
        <v>55</v>
      </c>
      <c r="M757" t="s">
        <v>56</v>
      </c>
      <c r="N757">
        <v>1643648224.0899999</v>
      </c>
      <c r="O757">
        <v>0.20699999999999999</v>
      </c>
      <c r="P757">
        <v>0.41</v>
      </c>
      <c r="Q757">
        <v>54.186</v>
      </c>
      <c r="R757">
        <v>1E-3</v>
      </c>
      <c r="S757">
        <v>3.0000000000000001E-3</v>
      </c>
      <c r="T757">
        <v>1.3</v>
      </c>
      <c r="U757">
        <v>92.873000000000005</v>
      </c>
      <c r="V757">
        <v>20.338000000000001</v>
      </c>
      <c r="W757">
        <v>2.266</v>
      </c>
      <c r="X757">
        <v>88.424999999999997</v>
      </c>
      <c r="Y757">
        <v>0.96099999999999997</v>
      </c>
      <c r="Z757">
        <v>0.26</v>
      </c>
      <c r="AA757">
        <v>0</v>
      </c>
      <c r="AB757">
        <v>0</v>
      </c>
      <c r="AC757">
        <v>1</v>
      </c>
      <c r="AD757">
        <v>39.688000000000002</v>
      </c>
      <c r="AE757">
        <v>1</v>
      </c>
      <c r="AF757">
        <v>104</v>
      </c>
      <c r="AG757">
        <v>7</v>
      </c>
      <c r="AH757" t="s">
        <v>84</v>
      </c>
      <c r="AI757">
        <v>0</v>
      </c>
    </row>
    <row r="758" spans="1:35" x14ac:dyDescent="0.45">
      <c r="A758">
        <v>757</v>
      </c>
      <c r="B758" t="s">
        <v>1053</v>
      </c>
      <c r="C758" t="s">
        <v>1058</v>
      </c>
      <c r="D758" t="s">
        <v>1055</v>
      </c>
      <c r="E758">
        <v>4</v>
      </c>
      <c r="F758">
        <v>-7.9669999999999996</v>
      </c>
      <c r="G758">
        <v>-52.029000000000003</v>
      </c>
      <c r="H758">
        <v>16264</v>
      </c>
      <c r="I758">
        <v>0</v>
      </c>
      <c r="J758">
        <v>1</v>
      </c>
      <c r="K758" t="s">
        <v>55</v>
      </c>
      <c r="L758" t="s">
        <v>55</v>
      </c>
      <c r="M758" t="s">
        <v>56</v>
      </c>
      <c r="N758">
        <v>1643648759.55</v>
      </c>
      <c r="O758">
        <v>0.19800000000000001</v>
      </c>
      <c r="P758">
        <v>0.376</v>
      </c>
      <c r="Q758">
        <v>53.33</v>
      </c>
      <c r="R758">
        <v>1E-3</v>
      </c>
      <c r="S758">
        <v>2E-3</v>
      </c>
      <c r="T758">
        <v>1.284</v>
      </c>
      <c r="U758">
        <v>91.777000000000001</v>
      </c>
      <c r="V758">
        <v>23.286999999999999</v>
      </c>
      <c r="W758">
        <v>2.2130000000000001</v>
      </c>
      <c r="X758">
        <v>85.061000000000007</v>
      </c>
      <c r="Y758">
        <v>0.97099999999999997</v>
      </c>
      <c r="Z758">
        <v>0.40899999999999997</v>
      </c>
      <c r="AA758">
        <v>0</v>
      </c>
      <c r="AB758">
        <v>0</v>
      </c>
      <c r="AC758">
        <v>1</v>
      </c>
      <c r="AD758">
        <v>39.688000000000002</v>
      </c>
      <c r="AE758">
        <v>1</v>
      </c>
      <c r="AF758">
        <v>104</v>
      </c>
      <c r="AG758">
        <v>7</v>
      </c>
      <c r="AH758" t="s">
        <v>84</v>
      </c>
      <c r="AI758">
        <v>0</v>
      </c>
    </row>
    <row r="759" spans="1:35" x14ac:dyDescent="0.45">
      <c r="A759">
        <v>758</v>
      </c>
      <c r="B759" t="s">
        <v>1053</v>
      </c>
      <c r="C759" t="s">
        <v>1059</v>
      </c>
      <c r="D759" t="s">
        <v>1055</v>
      </c>
      <c r="E759">
        <v>5</v>
      </c>
      <c r="F759">
        <v>-7.968</v>
      </c>
      <c r="G759">
        <v>-52.171999999999997</v>
      </c>
      <c r="H759">
        <v>16254</v>
      </c>
      <c r="I759">
        <v>0</v>
      </c>
      <c r="J759">
        <v>1</v>
      </c>
      <c r="K759" t="s">
        <v>55</v>
      </c>
      <c r="L759" t="s">
        <v>55</v>
      </c>
      <c r="M759" t="s">
        <v>56</v>
      </c>
      <c r="N759">
        <v>1643649296.1900001</v>
      </c>
      <c r="O759">
        <v>0.184</v>
      </c>
      <c r="P759">
        <v>0.38800000000000001</v>
      </c>
      <c r="Q759">
        <v>53.936999999999998</v>
      </c>
      <c r="R759">
        <v>1E-3</v>
      </c>
      <c r="S759">
        <v>2E-3</v>
      </c>
      <c r="T759">
        <v>1.3049999999999999</v>
      </c>
      <c r="U759">
        <v>90.849000000000004</v>
      </c>
      <c r="V759">
        <v>24.547000000000001</v>
      </c>
      <c r="W759">
        <v>2.29</v>
      </c>
      <c r="X759">
        <v>85.715000000000003</v>
      </c>
      <c r="Y759">
        <v>0.94899999999999995</v>
      </c>
      <c r="Z759">
        <v>0.95199999999999996</v>
      </c>
      <c r="AA759">
        <v>0</v>
      </c>
      <c r="AB759">
        <v>0</v>
      </c>
      <c r="AC759">
        <v>1</v>
      </c>
      <c r="AD759">
        <v>39.688000000000002</v>
      </c>
      <c r="AE759">
        <v>1</v>
      </c>
      <c r="AF759">
        <v>104</v>
      </c>
      <c r="AG759">
        <v>7</v>
      </c>
      <c r="AH759" t="s">
        <v>84</v>
      </c>
      <c r="AI759">
        <v>0</v>
      </c>
    </row>
    <row r="760" spans="1:35" x14ac:dyDescent="0.45">
      <c r="A760">
        <v>759</v>
      </c>
      <c r="B760" t="s">
        <v>1053</v>
      </c>
      <c r="C760" t="s">
        <v>1060</v>
      </c>
      <c r="D760" t="s">
        <v>1055</v>
      </c>
      <c r="E760">
        <v>6</v>
      </c>
      <c r="F760">
        <v>-7.9969999999999999</v>
      </c>
      <c r="G760">
        <v>-52.314</v>
      </c>
      <c r="H760">
        <v>16275</v>
      </c>
      <c r="I760">
        <v>0</v>
      </c>
      <c r="J760">
        <v>1</v>
      </c>
      <c r="K760" t="s">
        <v>55</v>
      </c>
      <c r="L760" t="s">
        <v>55</v>
      </c>
      <c r="M760" t="s">
        <v>56</v>
      </c>
      <c r="N760">
        <v>1643649832.1800001</v>
      </c>
      <c r="O760">
        <v>0.191</v>
      </c>
      <c r="P760">
        <v>0.40300000000000002</v>
      </c>
      <c r="Q760">
        <v>53.817</v>
      </c>
      <c r="R760">
        <v>0</v>
      </c>
      <c r="S760">
        <v>2E-3</v>
      </c>
      <c r="T760">
        <v>1.298</v>
      </c>
      <c r="U760">
        <v>90.38</v>
      </c>
      <c r="V760">
        <v>25.37</v>
      </c>
      <c r="W760">
        <v>2.323</v>
      </c>
      <c r="X760">
        <v>86.870999999999995</v>
      </c>
      <c r="Y760">
        <v>0.95899999999999996</v>
      </c>
      <c r="Z760">
        <v>1.335</v>
      </c>
      <c r="AA760">
        <v>0</v>
      </c>
      <c r="AB760">
        <v>0</v>
      </c>
      <c r="AC760">
        <v>1</v>
      </c>
      <c r="AD760">
        <v>39.688000000000002</v>
      </c>
      <c r="AE760">
        <v>1</v>
      </c>
      <c r="AF760">
        <v>104</v>
      </c>
      <c r="AG760">
        <v>7</v>
      </c>
      <c r="AH760" t="s">
        <v>84</v>
      </c>
      <c r="AI760">
        <v>0</v>
      </c>
    </row>
    <row r="761" spans="1:35" x14ac:dyDescent="0.45">
      <c r="A761">
        <v>760</v>
      </c>
      <c r="B761" t="s">
        <v>1053</v>
      </c>
      <c r="C761" t="s">
        <v>1061</v>
      </c>
      <c r="D761" t="s">
        <v>1055</v>
      </c>
      <c r="E761">
        <v>7</v>
      </c>
      <c r="F761">
        <v>-7.9740000000000002</v>
      </c>
      <c r="G761">
        <v>-52.305</v>
      </c>
      <c r="H761">
        <v>16237</v>
      </c>
      <c r="I761">
        <v>0</v>
      </c>
      <c r="J761">
        <v>1</v>
      </c>
      <c r="K761" t="s">
        <v>55</v>
      </c>
      <c r="L761" t="s">
        <v>55</v>
      </c>
      <c r="M761" t="s">
        <v>56</v>
      </c>
      <c r="N761">
        <v>1643650367.98</v>
      </c>
      <c r="O761">
        <v>0.19500000000000001</v>
      </c>
      <c r="P761">
        <v>0.41799999999999998</v>
      </c>
      <c r="Q761">
        <v>53.759</v>
      </c>
      <c r="R761">
        <v>1E-3</v>
      </c>
      <c r="S761">
        <v>2E-3</v>
      </c>
      <c r="T761">
        <v>1.302</v>
      </c>
      <c r="U761">
        <v>90.700999999999993</v>
      </c>
      <c r="V761">
        <v>24.364999999999998</v>
      </c>
      <c r="W761">
        <v>2.319</v>
      </c>
      <c r="X761">
        <v>86.492000000000004</v>
      </c>
      <c r="Y761">
        <v>0.94299999999999995</v>
      </c>
      <c r="Z761">
        <v>1.0860000000000001</v>
      </c>
      <c r="AA761">
        <v>0</v>
      </c>
      <c r="AB761">
        <v>0</v>
      </c>
      <c r="AC761">
        <v>1</v>
      </c>
      <c r="AD761">
        <v>39.625</v>
      </c>
      <c r="AE761">
        <v>1</v>
      </c>
      <c r="AF761">
        <v>104</v>
      </c>
      <c r="AG761">
        <v>7</v>
      </c>
      <c r="AH761" t="s">
        <v>84</v>
      </c>
      <c r="AI761">
        <v>0</v>
      </c>
    </row>
    <row r="762" spans="1:35" x14ac:dyDescent="0.45">
      <c r="A762">
        <v>761</v>
      </c>
      <c r="B762" t="s">
        <v>1053</v>
      </c>
      <c r="C762" t="s">
        <v>1062</v>
      </c>
      <c r="D762" t="s">
        <v>1055</v>
      </c>
      <c r="E762">
        <v>8</v>
      </c>
      <c r="F762">
        <v>-7.98</v>
      </c>
      <c r="G762">
        <v>-52.408999999999999</v>
      </c>
      <c r="H762">
        <v>16270</v>
      </c>
      <c r="I762">
        <v>0</v>
      </c>
      <c r="J762">
        <v>1</v>
      </c>
      <c r="K762" t="s">
        <v>55</v>
      </c>
      <c r="L762" t="s">
        <v>55</v>
      </c>
      <c r="M762" t="s">
        <v>56</v>
      </c>
      <c r="N762">
        <v>1643650905.3499999</v>
      </c>
      <c r="O762">
        <v>0.21099999999999999</v>
      </c>
      <c r="P762">
        <v>0.41299999999999998</v>
      </c>
      <c r="Q762">
        <v>54.35</v>
      </c>
      <c r="R762">
        <v>1E-3</v>
      </c>
      <c r="S762">
        <v>3.0000000000000001E-3</v>
      </c>
      <c r="T762">
        <v>1.3029999999999999</v>
      </c>
      <c r="U762">
        <v>90.662000000000006</v>
      </c>
      <c r="V762">
        <v>24.975000000000001</v>
      </c>
      <c r="W762">
        <v>2.3170000000000002</v>
      </c>
      <c r="X762">
        <v>86.251000000000005</v>
      </c>
      <c r="Y762">
        <v>0.96799999999999997</v>
      </c>
      <c r="Z762">
        <v>1.111</v>
      </c>
      <c r="AA762">
        <v>0</v>
      </c>
      <c r="AB762">
        <v>0</v>
      </c>
      <c r="AC762">
        <v>1</v>
      </c>
      <c r="AD762">
        <v>39.625</v>
      </c>
      <c r="AE762">
        <v>1</v>
      </c>
      <c r="AF762">
        <v>104</v>
      </c>
      <c r="AG762">
        <v>7</v>
      </c>
      <c r="AH762" t="s">
        <v>84</v>
      </c>
      <c r="AI762">
        <v>0</v>
      </c>
    </row>
    <row r="763" spans="1:35" x14ac:dyDescent="0.45">
      <c r="A763">
        <v>762</v>
      </c>
      <c r="B763" t="s">
        <v>1053</v>
      </c>
      <c r="C763" t="s">
        <v>1063</v>
      </c>
      <c r="D763" t="s">
        <v>1055</v>
      </c>
      <c r="E763">
        <v>9</v>
      </c>
      <c r="F763">
        <v>-7.9989999999999997</v>
      </c>
      <c r="G763">
        <v>-52.316000000000003</v>
      </c>
      <c r="H763">
        <v>16250</v>
      </c>
      <c r="I763">
        <v>0</v>
      </c>
      <c r="J763">
        <v>1</v>
      </c>
      <c r="K763" t="s">
        <v>55</v>
      </c>
      <c r="L763" t="s">
        <v>55</v>
      </c>
      <c r="M763" t="s">
        <v>56</v>
      </c>
      <c r="N763">
        <v>1643651440.3599999</v>
      </c>
      <c r="O763">
        <v>0.192</v>
      </c>
      <c r="P763">
        <v>0.40100000000000002</v>
      </c>
      <c r="Q763">
        <v>54.006999999999998</v>
      </c>
      <c r="R763">
        <v>0</v>
      </c>
      <c r="S763">
        <v>1E-3</v>
      </c>
      <c r="T763">
        <v>1.3009999999999999</v>
      </c>
      <c r="U763">
        <v>91.766000000000005</v>
      </c>
      <c r="V763">
        <v>22.055</v>
      </c>
      <c r="W763">
        <v>2.3039999999999998</v>
      </c>
      <c r="X763">
        <v>88.418999999999997</v>
      </c>
      <c r="Y763">
        <v>0.96499999999999997</v>
      </c>
      <c r="Z763">
        <v>0.76300000000000001</v>
      </c>
      <c r="AA763">
        <v>0</v>
      </c>
      <c r="AB763">
        <v>0</v>
      </c>
      <c r="AC763">
        <v>1</v>
      </c>
      <c r="AD763">
        <v>39.625</v>
      </c>
      <c r="AE763">
        <v>1</v>
      </c>
      <c r="AF763">
        <v>104</v>
      </c>
      <c r="AG763">
        <v>7</v>
      </c>
      <c r="AH763" t="s">
        <v>84</v>
      </c>
      <c r="AI763">
        <v>0</v>
      </c>
    </row>
    <row r="764" spans="1:35" x14ac:dyDescent="0.45">
      <c r="A764">
        <v>763</v>
      </c>
      <c r="B764" t="s">
        <v>1053</v>
      </c>
      <c r="C764" t="s">
        <v>1064</v>
      </c>
      <c r="D764" t="s">
        <v>1055</v>
      </c>
      <c r="E764">
        <v>10</v>
      </c>
      <c r="F764">
        <v>-7.9969999999999999</v>
      </c>
      <c r="G764">
        <v>-52.356999999999999</v>
      </c>
      <c r="H764">
        <v>16235</v>
      </c>
      <c r="I764">
        <v>0</v>
      </c>
      <c r="J764">
        <v>1</v>
      </c>
      <c r="K764" t="s">
        <v>55</v>
      </c>
      <c r="L764" t="s">
        <v>55</v>
      </c>
      <c r="M764" t="s">
        <v>56</v>
      </c>
      <c r="N764">
        <v>1643651976.27</v>
      </c>
      <c r="O764">
        <v>0.20699999999999999</v>
      </c>
      <c r="P764">
        <v>0.38100000000000001</v>
      </c>
      <c r="Q764">
        <v>54.531999999999996</v>
      </c>
      <c r="R764">
        <v>1E-3</v>
      </c>
      <c r="S764">
        <v>1E-3</v>
      </c>
      <c r="T764">
        <v>1.3</v>
      </c>
      <c r="U764">
        <v>91.664000000000001</v>
      </c>
      <c r="V764">
        <v>22.227</v>
      </c>
      <c r="W764">
        <v>2.2970000000000002</v>
      </c>
      <c r="X764">
        <v>87.8</v>
      </c>
      <c r="Y764">
        <v>0.95299999999999996</v>
      </c>
      <c r="Z764">
        <v>0.74</v>
      </c>
      <c r="AA764">
        <v>0</v>
      </c>
      <c r="AB764">
        <v>0</v>
      </c>
      <c r="AC764">
        <v>1</v>
      </c>
      <c r="AD764">
        <v>39.625</v>
      </c>
      <c r="AE764">
        <v>1</v>
      </c>
      <c r="AF764">
        <v>104</v>
      </c>
      <c r="AG764">
        <v>7</v>
      </c>
      <c r="AH764" t="s">
        <v>84</v>
      </c>
      <c r="AI764">
        <v>0</v>
      </c>
    </row>
    <row r="765" spans="1:35" x14ac:dyDescent="0.45">
      <c r="A765">
        <v>764</v>
      </c>
      <c r="B765" t="s">
        <v>1053</v>
      </c>
      <c r="C765" t="s">
        <v>1065</v>
      </c>
      <c r="D765" t="s">
        <v>1055</v>
      </c>
      <c r="E765">
        <v>11</v>
      </c>
      <c r="F765">
        <v>-8.0090000000000003</v>
      </c>
      <c r="G765">
        <v>-52.414000000000001</v>
      </c>
      <c r="H765">
        <v>16312</v>
      </c>
      <c r="I765">
        <v>0</v>
      </c>
      <c r="J765">
        <v>1</v>
      </c>
      <c r="K765" t="s">
        <v>55</v>
      </c>
      <c r="L765" t="s">
        <v>55</v>
      </c>
      <c r="M765" t="s">
        <v>56</v>
      </c>
      <c r="N765">
        <v>1643652513.8599999</v>
      </c>
      <c r="O765">
        <v>0.217</v>
      </c>
      <c r="P765">
        <v>0.438</v>
      </c>
      <c r="Q765">
        <v>53.485999999999997</v>
      </c>
      <c r="R765">
        <v>1E-3</v>
      </c>
      <c r="S765">
        <v>2E-3</v>
      </c>
      <c r="T765">
        <v>1.302</v>
      </c>
      <c r="U765">
        <v>92.003</v>
      </c>
      <c r="V765">
        <v>22.844000000000001</v>
      </c>
      <c r="W765">
        <v>2.2879999999999998</v>
      </c>
      <c r="X765">
        <v>87.262</v>
      </c>
      <c r="Y765">
        <v>0.95599999999999996</v>
      </c>
      <c r="Z765">
        <v>0.80200000000000005</v>
      </c>
      <c r="AA765">
        <v>0</v>
      </c>
      <c r="AB765">
        <v>0</v>
      </c>
      <c r="AC765">
        <v>1</v>
      </c>
      <c r="AD765">
        <v>39.625</v>
      </c>
      <c r="AE765">
        <v>1</v>
      </c>
      <c r="AF765">
        <v>104</v>
      </c>
      <c r="AG765">
        <v>7</v>
      </c>
      <c r="AH765" t="s">
        <v>84</v>
      </c>
      <c r="AI765">
        <v>0</v>
      </c>
    </row>
    <row r="766" spans="1:35" x14ac:dyDescent="0.45">
      <c r="A766">
        <v>765</v>
      </c>
      <c r="B766" t="s">
        <v>1053</v>
      </c>
      <c r="C766" t="s">
        <v>1066</v>
      </c>
      <c r="D766" t="s">
        <v>1055</v>
      </c>
      <c r="E766">
        <v>12</v>
      </c>
      <c r="F766">
        <v>-7.9829999999999997</v>
      </c>
      <c r="G766">
        <v>-52.448</v>
      </c>
      <c r="H766">
        <v>16292</v>
      </c>
      <c r="I766">
        <v>0</v>
      </c>
      <c r="J766">
        <v>1</v>
      </c>
      <c r="K766" t="s">
        <v>55</v>
      </c>
      <c r="L766" t="s">
        <v>55</v>
      </c>
      <c r="M766" t="s">
        <v>56</v>
      </c>
      <c r="N766">
        <v>1643653049.29</v>
      </c>
      <c r="O766">
        <v>0.21</v>
      </c>
      <c r="P766">
        <v>0.38600000000000001</v>
      </c>
      <c r="Q766">
        <v>54.292999999999999</v>
      </c>
      <c r="R766">
        <v>2E-3</v>
      </c>
      <c r="S766">
        <v>2E-3</v>
      </c>
      <c r="T766">
        <v>1.302</v>
      </c>
      <c r="U766">
        <v>91.795000000000002</v>
      </c>
      <c r="V766">
        <v>23.378</v>
      </c>
      <c r="W766">
        <v>2.2469999999999999</v>
      </c>
      <c r="X766">
        <v>86.114999999999995</v>
      </c>
      <c r="Y766">
        <v>0.94699999999999995</v>
      </c>
      <c r="Z766">
        <v>0.56899999999999995</v>
      </c>
      <c r="AA766">
        <v>0</v>
      </c>
      <c r="AB766">
        <v>0</v>
      </c>
      <c r="AC766">
        <v>1</v>
      </c>
      <c r="AD766">
        <v>39.625</v>
      </c>
      <c r="AE766">
        <v>1</v>
      </c>
      <c r="AF766">
        <v>104</v>
      </c>
      <c r="AG766">
        <v>7</v>
      </c>
      <c r="AH766" t="s">
        <v>84</v>
      </c>
      <c r="AI766">
        <v>0</v>
      </c>
    </row>
    <row r="767" spans="1:35" x14ac:dyDescent="0.45">
      <c r="A767">
        <v>766</v>
      </c>
      <c r="B767" t="s">
        <v>1053</v>
      </c>
      <c r="C767" t="s">
        <v>1067</v>
      </c>
      <c r="D767" t="s">
        <v>1055</v>
      </c>
      <c r="E767">
        <v>13</v>
      </c>
      <c r="F767">
        <v>-8</v>
      </c>
      <c r="G767">
        <v>-52.515999999999998</v>
      </c>
      <c r="H767">
        <v>16271</v>
      </c>
      <c r="I767">
        <v>0</v>
      </c>
      <c r="J767">
        <v>1</v>
      </c>
      <c r="K767" t="s">
        <v>55</v>
      </c>
      <c r="L767" t="s">
        <v>55</v>
      </c>
      <c r="M767" t="s">
        <v>56</v>
      </c>
      <c r="N767">
        <v>1643653584.28</v>
      </c>
      <c r="O767">
        <v>0.20799999999999999</v>
      </c>
      <c r="P767">
        <v>0.373</v>
      </c>
      <c r="Q767">
        <v>54.4</v>
      </c>
      <c r="R767">
        <v>1E-3</v>
      </c>
      <c r="S767">
        <v>2E-3</v>
      </c>
      <c r="T767">
        <v>1.3089999999999999</v>
      </c>
      <c r="U767">
        <v>90.781000000000006</v>
      </c>
      <c r="V767">
        <v>24.797999999999998</v>
      </c>
      <c r="W767">
        <v>2.2869999999999999</v>
      </c>
      <c r="X767">
        <v>86.149000000000001</v>
      </c>
      <c r="Y767">
        <v>0.95599999999999996</v>
      </c>
      <c r="Z767">
        <v>1.054</v>
      </c>
      <c r="AA767">
        <v>0</v>
      </c>
      <c r="AB767">
        <v>0</v>
      </c>
      <c r="AC767">
        <v>1</v>
      </c>
      <c r="AD767">
        <v>39.625</v>
      </c>
      <c r="AE767">
        <v>1</v>
      </c>
      <c r="AF767">
        <v>104</v>
      </c>
      <c r="AG767">
        <v>7</v>
      </c>
      <c r="AH767" t="s">
        <v>84</v>
      </c>
      <c r="AI767">
        <v>0</v>
      </c>
    </row>
    <row r="768" spans="1:35" x14ac:dyDescent="0.45">
      <c r="A768">
        <v>767</v>
      </c>
      <c r="B768" t="s">
        <v>1053</v>
      </c>
      <c r="C768" t="s">
        <v>1068</v>
      </c>
      <c r="D768" t="s">
        <v>1055</v>
      </c>
      <c r="E768">
        <v>14</v>
      </c>
      <c r="F768">
        <v>-8.0039999999999996</v>
      </c>
      <c r="G768">
        <v>-52.624000000000002</v>
      </c>
      <c r="H768">
        <v>16307</v>
      </c>
      <c r="I768">
        <v>0</v>
      </c>
      <c r="J768">
        <v>1</v>
      </c>
      <c r="K768" t="s">
        <v>55</v>
      </c>
      <c r="L768" t="s">
        <v>55</v>
      </c>
      <c r="M768" t="s">
        <v>56</v>
      </c>
      <c r="N768">
        <v>1643654120.75</v>
      </c>
      <c r="O768">
        <v>0.191</v>
      </c>
      <c r="P768">
        <v>0.40100000000000002</v>
      </c>
      <c r="Q768">
        <v>53.719000000000001</v>
      </c>
      <c r="R768">
        <v>1E-3</v>
      </c>
      <c r="S768">
        <v>1E-3</v>
      </c>
      <c r="T768">
        <v>1.2929999999999999</v>
      </c>
      <c r="U768">
        <v>91.263000000000005</v>
      </c>
      <c r="V768">
        <v>24.254000000000001</v>
      </c>
      <c r="W768">
        <v>2.2770000000000001</v>
      </c>
      <c r="X768">
        <v>86.918999999999997</v>
      </c>
      <c r="Y768">
        <v>0.96499999999999997</v>
      </c>
      <c r="Z768">
        <v>1.028</v>
      </c>
      <c r="AA768">
        <v>0</v>
      </c>
      <c r="AB768">
        <v>0</v>
      </c>
      <c r="AC768">
        <v>1</v>
      </c>
      <c r="AD768">
        <v>39.625</v>
      </c>
      <c r="AE768">
        <v>1</v>
      </c>
      <c r="AF768">
        <v>104</v>
      </c>
      <c r="AG768">
        <v>7</v>
      </c>
      <c r="AH768" t="s">
        <v>84</v>
      </c>
      <c r="AI768">
        <v>0</v>
      </c>
    </row>
    <row r="769" spans="1:35" x14ac:dyDescent="0.45">
      <c r="A769">
        <v>768</v>
      </c>
      <c r="B769" t="s">
        <v>1053</v>
      </c>
      <c r="C769" t="s">
        <v>1069</v>
      </c>
      <c r="D769" t="s">
        <v>1055</v>
      </c>
      <c r="E769">
        <v>15</v>
      </c>
      <c r="F769">
        <v>-8.0280000000000005</v>
      </c>
      <c r="G769">
        <v>-52.686999999999998</v>
      </c>
      <c r="H769">
        <v>16255</v>
      </c>
      <c r="I769">
        <v>0</v>
      </c>
      <c r="J769">
        <v>1</v>
      </c>
      <c r="K769" t="s">
        <v>55</v>
      </c>
      <c r="L769" t="s">
        <v>55</v>
      </c>
      <c r="M769" t="s">
        <v>56</v>
      </c>
      <c r="N769">
        <v>1643654658.45</v>
      </c>
      <c r="O769">
        <v>0.224</v>
      </c>
      <c r="P769">
        <v>0.39100000000000001</v>
      </c>
      <c r="Q769">
        <v>55.042000000000002</v>
      </c>
      <c r="R769">
        <v>1E-3</v>
      </c>
      <c r="S769">
        <v>1E-3</v>
      </c>
      <c r="T769">
        <v>1.3180000000000001</v>
      </c>
      <c r="U769">
        <v>90.983999999999995</v>
      </c>
      <c r="V769">
        <v>24.172999999999998</v>
      </c>
      <c r="W769">
        <v>2.2759999999999998</v>
      </c>
      <c r="X769">
        <v>86.099000000000004</v>
      </c>
      <c r="Y769">
        <v>0.97799999999999998</v>
      </c>
      <c r="Z769">
        <v>0.92500000000000004</v>
      </c>
      <c r="AA769">
        <v>0</v>
      </c>
      <c r="AB769">
        <v>0</v>
      </c>
      <c r="AC769">
        <v>1</v>
      </c>
      <c r="AD769">
        <v>39.688000000000002</v>
      </c>
      <c r="AE769">
        <v>1</v>
      </c>
      <c r="AF769">
        <v>104</v>
      </c>
      <c r="AG769">
        <v>7</v>
      </c>
      <c r="AH769" t="s">
        <v>84</v>
      </c>
      <c r="AI769">
        <v>0</v>
      </c>
    </row>
    <row r="770" spans="1:35" x14ac:dyDescent="0.45">
      <c r="A770">
        <v>769</v>
      </c>
      <c r="B770" t="s">
        <v>1070</v>
      </c>
      <c r="C770" t="s">
        <v>1071</v>
      </c>
      <c r="D770" t="s">
        <v>1072</v>
      </c>
      <c r="E770">
        <v>1</v>
      </c>
      <c r="F770">
        <v>-5.6589999999999998</v>
      </c>
      <c r="G770">
        <v>-32.051000000000002</v>
      </c>
      <c r="H770">
        <v>16323</v>
      </c>
      <c r="I770">
        <v>-1</v>
      </c>
      <c r="J770">
        <v>1</v>
      </c>
      <c r="K770" t="s">
        <v>55</v>
      </c>
      <c r="L770" t="s">
        <v>55</v>
      </c>
      <c r="M770" t="s">
        <v>56</v>
      </c>
      <c r="N770">
        <v>1643655193.8499999</v>
      </c>
      <c r="O770">
        <v>0.22500000000000001</v>
      </c>
      <c r="P770">
        <v>0.439</v>
      </c>
      <c r="Q770">
        <v>53.566000000000003</v>
      </c>
      <c r="R770">
        <v>0</v>
      </c>
      <c r="S770">
        <v>0</v>
      </c>
      <c r="T770">
        <v>1.288</v>
      </c>
      <c r="U770">
        <v>91.165999999999997</v>
      </c>
      <c r="V770">
        <v>24.564</v>
      </c>
      <c r="W770">
        <v>2.3090000000000002</v>
      </c>
      <c r="X770">
        <v>87.012</v>
      </c>
      <c r="Y770">
        <v>0.97199999999999998</v>
      </c>
      <c r="Z770">
        <v>1.008</v>
      </c>
      <c r="AA770">
        <v>0</v>
      </c>
      <c r="AB770">
        <v>0</v>
      </c>
      <c r="AC770">
        <v>1</v>
      </c>
      <c r="AD770">
        <v>39.625</v>
      </c>
      <c r="AE770">
        <v>1</v>
      </c>
      <c r="AF770">
        <v>105</v>
      </c>
      <c r="AG770">
        <v>7</v>
      </c>
      <c r="AH770" t="s">
        <v>84</v>
      </c>
      <c r="AI770">
        <v>0</v>
      </c>
    </row>
    <row r="771" spans="1:35" x14ac:dyDescent="0.45">
      <c r="A771">
        <v>770</v>
      </c>
      <c r="B771" t="s">
        <v>1070</v>
      </c>
      <c r="C771" t="s">
        <v>1073</v>
      </c>
      <c r="D771" t="s">
        <v>1072</v>
      </c>
      <c r="E771">
        <v>2</v>
      </c>
      <c r="F771">
        <v>-5.5570000000000004</v>
      </c>
      <c r="G771">
        <v>-30.295999999999999</v>
      </c>
      <c r="H771">
        <v>16315</v>
      </c>
      <c r="I771">
        <v>-1</v>
      </c>
      <c r="J771">
        <v>1</v>
      </c>
      <c r="K771" t="s">
        <v>55</v>
      </c>
      <c r="L771" t="s">
        <v>55</v>
      </c>
      <c r="M771" t="s">
        <v>56</v>
      </c>
      <c r="N771">
        <v>1643655730</v>
      </c>
      <c r="O771">
        <v>0.19700000000000001</v>
      </c>
      <c r="P771">
        <v>0.42199999999999999</v>
      </c>
      <c r="Q771">
        <v>54.585999999999999</v>
      </c>
      <c r="R771">
        <v>1E-3</v>
      </c>
      <c r="S771">
        <v>0</v>
      </c>
      <c r="T771">
        <v>1.3029999999999999</v>
      </c>
      <c r="U771">
        <v>91.317999999999998</v>
      </c>
      <c r="V771">
        <v>24.09</v>
      </c>
      <c r="W771">
        <v>2.31</v>
      </c>
      <c r="X771">
        <v>87.149000000000001</v>
      </c>
      <c r="Y771">
        <v>0.99</v>
      </c>
      <c r="Z771">
        <v>0.97599999999999998</v>
      </c>
      <c r="AA771">
        <v>0</v>
      </c>
      <c r="AB771">
        <v>0</v>
      </c>
      <c r="AC771">
        <v>1</v>
      </c>
      <c r="AD771">
        <v>39.625</v>
      </c>
      <c r="AE771">
        <v>1</v>
      </c>
      <c r="AF771">
        <v>105</v>
      </c>
      <c r="AG771">
        <v>7</v>
      </c>
      <c r="AH771" t="s">
        <v>84</v>
      </c>
      <c r="AI771">
        <v>0</v>
      </c>
    </row>
    <row r="772" spans="1:35" x14ac:dyDescent="0.45">
      <c r="A772">
        <v>771</v>
      </c>
      <c r="B772" t="s">
        <v>1070</v>
      </c>
      <c r="C772" t="s">
        <v>1074</v>
      </c>
      <c r="D772" t="s">
        <v>1072</v>
      </c>
      <c r="E772">
        <v>3</v>
      </c>
      <c r="F772">
        <v>-5.5910000000000002</v>
      </c>
      <c r="G772">
        <v>-29.844999999999999</v>
      </c>
      <c r="H772">
        <v>16321</v>
      </c>
      <c r="I772">
        <v>-1</v>
      </c>
      <c r="J772">
        <v>1</v>
      </c>
      <c r="K772" t="s">
        <v>55</v>
      </c>
      <c r="L772" t="s">
        <v>55</v>
      </c>
      <c r="M772" t="s">
        <v>56</v>
      </c>
      <c r="N772">
        <v>1643656265.1300001</v>
      </c>
      <c r="O772">
        <v>0.185</v>
      </c>
      <c r="P772">
        <v>0.45100000000000001</v>
      </c>
      <c r="Q772">
        <v>53.715000000000003</v>
      </c>
      <c r="R772">
        <v>1E-3</v>
      </c>
      <c r="S772">
        <v>0</v>
      </c>
      <c r="T772">
        <v>1.2989999999999999</v>
      </c>
      <c r="U772">
        <v>92.131</v>
      </c>
      <c r="V772">
        <v>22.419</v>
      </c>
      <c r="W772">
        <v>2.3250000000000002</v>
      </c>
      <c r="X772">
        <v>88.247</v>
      </c>
      <c r="Y772">
        <v>0.96899999999999997</v>
      </c>
      <c r="Z772">
        <v>0.66200000000000003</v>
      </c>
      <c r="AA772">
        <v>0</v>
      </c>
      <c r="AB772">
        <v>0</v>
      </c>
      <c r="AC772">
        <v>1</v>
      </c>
      <c r="AD772">
        <v>39.625</v>
      </c>
      <c r="AE772">
        <v>1</v>
      </c>
      <c r="AF772">
        <v>105</v>
      </c>
      <c r="AG772">
        <v>7</v>
      </c>
      <c r="AH772" t="s">
        <v>84</v>
      </c>
      <c r="AI772">
        <v>0</v>
      </c>
    </row>
    <row r="773" spans="1:35" x14ac:dyDescent="0.45">
      <c r="A773">
        <v>772</v>
      </c>
      <c r="B773" t="s">
        <v>1070</v>
      </c>
      <c r="C773" t="s">
        <v>1075</v>
      </c>
      <c r="D773" t="s">
        <v>1072</v>
      </c>
      <c r="E773">
        <v>4</v>
      </c>
      <c r="F773">
        <v>-5.5640000000000001</v>
      </c>
      <c r="G773">
        <v>-29.61</v>
      </c>
      <c r="H773">
        <v>16301</v>
      </c>
      <c r="I773">
        <v>0</v>
      </c>
      <c r="J773">
        <v>1</v>
      </c>
      <c r="K773" t="s">
        <v>55</v>
      </c>
      <c r="L773" t="s">
        <v>55</v>
      </c>
      <c r="M773" t="s">
        <v>56</v>
      </c>
      <c r="N773">
        <v>1643656802.76</v>
      </c>
      <c r="O773">
        <v>0.20799999999999999</v>
      </c>
      <c r="P773">
        <v>0.40600000000000003</v>
      </c>
      <c r="Q773">
        <v>55.24</v>
      </c>
      <c r="R773">
        <v>1E-3</v>
      </c>
      <c r="S773">
        <v>1E-3</v>
      </c>
      <c r="T773">
        <v>1.321</v>
      </c>
      <c r="U773">
        <v>92.864000000000004</v>
      </c>
      <c r="V773">
        <v>20.443999999999999</v>
      </c>
      <c r="W773">
        <v>2.3239999999999998</v>
      </c>
      <c r="X773">
        <v>89.561999999999998</v>
      </c>
      <c r="Y773">
        <v>0.97799999999999998</v>
      </c>
      <c r="Z773">
        <v>0.48499999999999999</v>
      </c>
      <c r="AA773">
        <v>0</v>
      </c>
      <c r="AB773">
        <v>0</v>
      </c>
      <c r="AC773">
        <v>1</v>
      </c>
      <c r="AD773">
        <v>39.625</v>
      </c>
      <c r="AE773">
        <v>1</v>
      </c>
      <c r="AF773">
        <v>105</v>
      </c>
      <c r="AG773">
        <v>7</v>
      </c>
      <c r="AH773" t="s">
        <v>84</v>
      </c>
      <c r="AI773">
        <v>0</v>
      </c>
    </row>
    <row r="774" spans="1:35" x14ac:dyDescent="0.45">
      <c r="A774">
        <v>773</v>
      </c>
      <c r="B774" t="s">
        <v>1070</v>
      </c>
      <c r="C774" t="s">
        <v>1076</v>
      </c>
      <c r="D774" t="s">
        <v>1072</v>
      </c>
      <c r="E774">
        <v>5</v>
      </c>
      <c r="F774">
        <v>-5.51</v>
      </c>
      <c r="G774">
        <v>-29.539000000000001</v>
      </c>
      <c r="H774">
        <v>16283</v>
      </c>
      <c r="I774">
        <v>0</v>
      </c>
      <c r="J774">
        <v>1</v>
      </c>
      <c r="K774" t="s">
        <v>55</v>
      </c>
      <c r="L774" t="s">
        <v>55</v>
      </c>
      <c r="M774" t="s">
        <v>56</v>
      </c>
      <c r="N774">
        <v>1643657337.79</v>
      </c>
      <c r="O774">
        <v>0.19900000000000001</v>
      </c>
      <c r="P774">
        <v>0.40300000000000002</v>
      </c>
      <c r="Q774">
        <v>53.905000000000001</v>
      </c>
      <c r="R774">
        <v>1E-3</v>
      </c>
      <c r="S774">
        <v>-1E-3</v>
      </c>
      <c r="T774">
        <v>1.292</v>
      </c>
      <c r="U774">
        <v>92.188000000000002</v>
      </c>
      <c r="V774">
        <v>22.119</v>
      </c>
      <c r="W774">
        <v>2.2770000000000001</v>
      </c>
      <c r="X774">
        <v>87.296000000000006</v>
      </c>
      <c r="Y774">
        <v>0.97899999999999998</v>
      </c>
      <c r="Z774">
        <v>0.44700000000000001</v>
      </c>
      <c r="AA774">
        <v>0</v>
      </c>
      <c r="AB774">
        <v>0</v>
      </c>
      <c r="AC774">
        <v>1</v>
      </c>
      <c r="AD774">
        <v>39.625</v>
      </c>
      <c r="AE774">
        <v>1</v>
      </c>
      <c r="AF774">
        <v>105</v>
      </c>
      <c r="AG774">
        <v>7</v>
      </c>
      <c r="AH774" t="s">
        <v>84</v>
      </c>
      <c r="AI774">
        <v>0</v>
      </c>
    </row>
    <row r="775" spans="1:35" x14ac:dyDescent="0.45">
      <c r="A775">
        <v>774</v>
      </c>
      <c r="B775" t="s">
        <v>1070</v>
      </c>
      <c r="C775" t="s">
        <v>1077</v>
      </c>
      <c r="D775" t="s">
        <v>1072</v>
      </c>
      <c r="E775">
        <v>6</v>
      </c>
      <c r="F775">
        <v>-5.532</v>
      </c>
      <c r="G775">
        <v>-29.555</v>
      </c>
      <c r="H775">
        <v>16289</v>
      </c>
      <c r="I775">
        <v>0</v>
      </c>
      <c r="J775">
        <v>1</v>
      </c>
      <c r="K775" t="s">
        <v>55</v>
      </c>
      <c r="L775" t="s">
        <v>55</v>
      </c>
      <c r="M775" t="s">
        <v>56</v>
      </c>
      <c r="N775">
        <v>1643657874.5799999</v>
      </c>
      <c r="O775">
        <v>0.184</v>
      </c>
      <c r="P775">
        <v>0.42899999999999999</v>
      </c>
      <c r="Q775">
        <v>54.04</v>
      </c>
      <c r="R775">
        <v>1E-3</v>
      </c>
      <c r="S775">
        <v>2E-3</v>
      </c>
      <c r="T775">
        <v>1.304</v>
      </c>
      <c r="U775">
        <v>91.986999999999995</v>
      </c>
      <c r="V775">
        <v>22.709</v>
      </c>
      <c r="W775">
        <v>2.2559999999999998</v>
      </c>
      <c r="X775">
        <v>86.912000000000006</v>
      </c>
      <c r="Y775">
        <v>0.96899999999999997</v>
      </c>
      <c r="Z775">
        <v>0.53200000000000003</v>
      </c>
      <c r="AA775">
        <v>0</v>
      </c>
      <c r="AB775">
        <v>0</v>
      </c>
      <c r="AC775">
        <v>1</v>
      </c>
      <c r="AD775">
        <v>39.625</v>
      </c>
      <c r="AE775">
        <v>1</v>
      </c>
      <c r="AF775">
        <v>105</v>
      </c>
      <c r="AG775">
        <v>7</v>
      </c>
      <c r="AH775" t="s">
        <v>84</v>
      </c>
      <c r="AI775">
        <v>0</v>
      </c>
    </row>
    <row r="776" spans="1:35" x14ac:dyDescent="0.45">
      <c r="A776">
        <v>775</v>
      </c>
      <c r="B776" t="s">
        <v>1070</v>
      </c>
      <c r="C776" t="s">
        <v>1078</v>
      </c>
      <c r="D776" t="s">
        <v>1072</v>
      </c>
      <c r="E776">
        <v>7</v>
      </c>
      <c r="F776">
        <v>-5.53</v>
      </c>
      <c r="G776">
        <v>-29.431000000000001</v>
      </c>
      <c r="H776">
        <v>16287</v>
      </c>
      <c r="I776">
        <v>0</v>
      </c>
      <c r="J776">
        <v>1</v>
      </c>
      <c r="K776" t="s">
        <v>55</v>
      </c>
      <c r="L776" t="s">
        <v>55</v>
      </c>
      <c r="M776" t="s">
        <v>56</v>
      </c>
      <c r="N776">
        <v>1643658410.23</v>
      </c>
      <c r="O776">
        <v>0.20899999999999999</v>
      </c>
      <c r="P776">
        <v>0.42199999999999999</v>
      </c>
      <c r="Q776">
        <v>53.55</v>
      </c>
      <c r="R776">
        <v>1E-3</v>
      </c>
      <c r="S776">
        <v>0</v>
      </c>
      <c r="T776">
        <v>1.288</v>
      </c>
      <c r="U776">
        <v>92.197000000000003</v>
      </c>
      <c r="V776">
        <v>21.747</v>
      </c>
      <c r="W776">
        <v>2.3029999999999999</v>
      </c>
      <c r="X776">
        <v>88.472999999999999</v>
      </c>
      <c r="Y776">
        <v>0.98199999999999998</v>
      </c>
      <c r="Z776">
        <v>0.63</v>
      </c>
      <c r="AA776">
        <v>0</v>
      </c>
      <c r="AB776">
        <v>0</v>
      </c>
      <c r="AC776">
        <v>1</v>
      </c>
      <c r="AD776">
        <v>39.625</v>
      </c>
      <c r="AE776">
        <v>1</v>
      </c>
      <c r="AF776">
        <v>105</v>
      </c>
      <c r="AG776">
        <v>7</v>
      </c>
      <c r="AH776" t="s">
        <v>84</v>
      </c>
      <c r="AI776">
        <v>0</v>
      </c>
    </row>
    <row r="777" spans="1:35" x14ac:dyDescent="0.45">
      <c r="A777">
        <v>776</v>
      </c>
      <c r="B777" t="s">
        <v>1070</v>
      </c>
      <c r="C777" t="s">
        <v>1079</v>
      </c>
      <c r="D777" t="s">
        <v>1072</v>
      </c>
      <c r="E777">
        <v>8</v>
      </c>
      <c r="F777">
        <v>-5.53</v>
      </c>
      <c r="G777">
        <v>-29.385999999999999</v>
      </c>
      <c r="H777">
        <v>16288</v>
      </c>
      <c r="I777">
        <v>0</v>
      </c>
      <c r="J777">
        <v>1</v>
      </c>
      <c r="K777" t="s">
        <v>55</v>
      </c>
      <c r="L777" t="s">
        <v>55</v>
      </c>
      <c r="M777" t="s">
        <v>56</v>
      </c>
      <c r="N777">
        <v>1643658946.48</v>
      </c>
      <c r="O777">
        <v>0.19900000000000001</v>
      </c>
      <c r="P777">
        <v>0.39200000000000002</v>
      </c>
      <c r="Q777">
        <v>54.981000000000002</v>
      </c>
      <c r="R777">
        <v>1E-3</v>
      </c>
      <c r="S777">
        <v>0</v>
      </c>
      <c r="T777">
        <v>1.3169999999999999</v>
      </c>
      <c r="U777">
        <v>92.774000000000001</v>
      </c>
      <c r="V777">
        <v>20.234000000000002</v>
      </c>
      <c r="W777">
        <v>2.343</v>
      </c>
      <c r="X777">
        <v>90.198999999999998</v>
      </c>
      <c r="Y777">
        <v>0.97699999999999998</v>
      </c>
      <c r="Z777">
        <v>0.58899999999999997</v>
      </c>
      <c r="AA777">
        <v>0</v>
      </c>
      <c r="AB777">
        <v>0</v>
      </c>
      <c r="AC777">
        <v>1</v>
      </c>
      <c r="AD777">
        <v>39.561999999999998</v>
      </c>
      <c r="AE777">
        <v>1</v>
      </c>
      <c r="AF777">
        <v>105</v>
      </c>
      <c r="AG777">
        <v>7</v>
      </c>
      <c r="AH777" t="s">
        <v>84</v>
      </c>
      <c r="AI777">
        <v>0</v>
      </c>
    </row>
    <row r="778" spans="1:35" x14ac:dyDescent="0.45">
      <c r="A778">
        <v>777</v>
      </c>
      <c r="B778" t="s">
        <v>1070</v>
      </c>
      <c r="C778" t="s">
        <v>1080</v>
      </c>
      <c r="D778" t="s">
        <v>1072</v>
      </c>
      <c r="E778">
        <v>9</v>
      </c>
      <c r="F778">
        <v>-5.5289999999999999</v>
      </c>
      <c r="G778">
        <v>-29.338000000000001</v>
      </c>
      <c r="H778">
        <v>16323</v>
      </c>
      <c r="I778">
        <v>0</v>
      </c>
      <c r="J778">
        <v>1</v>
      </c>
      <c r="K778" t="s">
        <v>55</v>
      </c>
      <c r="L778" t="s">
        <v>55</v>
      </c>
      <c r="M778" t="s">
        <v>56</v>
      </c>
      <c r="N778">
        <v>1643659480.98</v>
      </c>
      <c r="O778">
        <v>0.19700000000000001</v>
      </c>
      <c r="P778">
        <v>0.35599999999999998</v>
      </c>
      <c r="Q778">
        <v>53.716000000000001</v>
      </c>
      <c r="R778">
        <v>0</v>
      </c>
      <c r="S778">
        <v>0</v>
      </c>
      <c r="T778">
        <v>1.2909999999999999</v>
      </c>
      <c r="U778">
        <v>93.25</v>
      </c>
      <c r="V778">
        <v>20.613</v>
      </c>
      <c r="W778">
        <v>2.2440000000000002</v>
      </c>
      <c r="X778">
        <v>87.861000000000004</v>
      </c>
      <c r="Y778">
        <v>0.98099999999999998</v>
      </c>
      <c r="Z778">
        <v>0.20200000000000001</v>
      </c>
      <c r="AA778">
        <v>0</v>
      </c>
      <c r="AB778">
        <v>0</v>
      </c>
      <c r="AC778">
        <v>1</v>
      </c>
      <c r="AD778">
        <v>39.561999999999998</v>
      </c>
      <c r="AE778">
        <v>1</v>
      </c>
      <c r="AF778">
        <v>105</v>
      </c>
      <c r="AG778">
        <v>7</v>
      </c>
      <c r="AH778" t="s">
        <v>84</v>
      </c>
      <c r="AI778">
        <v>0</v>
      </c>
    </row>
    <row r="779" spans="1:35" x14ac:dyDescent="0.45">
      <c r="A779">
        <v>778</v>
      </c>
      <c r="B779" t="s">
        <v>1070</v>
      </c>
      <c r="C779" t="s">
        <v>1081</v>
      </c>
      <c r="D779" t="s">
        <v>1072</v>
      </c>
      <c r="E779">
        <v>10</v>
      </c>
      <c r="F779">
        <v>-5.5339999999999998</v>
      </c>
      <c r="G779">
        <v>-29.317</v>
      </c>
      <c r="H779">
        <v>16274</v>
      </c>
      <c r="I779">
        <v>0</v>
      </c>
      <c r="J779">
        <v>1</v>
      </c>
      <c r="K779" t="s">
        <v>55</v>
      </c>
      <c r="L779" t="s">
        <v>55</v>
      </c>
      <c r="M779" t="s">
        <v>56</v>
      </c>
      <c r="N779">
        <v>1643660017.5699999</v>
      </c>
      <c r="O779">
        <v>0.193</v>
      </c>
      <c r="P779">
        <v>0.36799999999999999</v>
      </c>
      <c r="Q779">
        <v>53.996000000000002</v>
      </c>
      <c r="R779">
        <v>1E-3</v>
      </c>
      <c r="S779">
        <v>2E-3</v>
      </c>
      <c r="T779">
        <v>1.298</v>
      </c>
      <c r="U779">
        <v>92.893000000000001</v>
      </c>
      <c r="V779">
        <v>20.321999999999999</v>
      </c>
      <c r="W779">
        <v>2.294</v>
      </c>
      <c r="X779">
        <v>88.786000000000001</v>
      </c>
      <c r="Y779">
        <v>0.96699999999999997</v>
      </c>
      <c r="Z779">
        <v>0.379</v>
      </c>
      <c r="AA779">
        <v>0</v>
      </c>
      <c r="AB779">
        <v>0</v>
      </c>
      <c r="AC779">
        <v>1</v>
      </c>
      <c r="AD779">
        <v>39.561999999999998</v>
      </c>
      <c r="AE779">
        <v>1</v>
      </c>
      <c r="AF779">
        <v>105</v>
      </c>
      <c r="AG779">
        <v>7</v>
      </c>
      <c r="AH779" t="s">
        <v>84</v>
      </c>
      <c r="AI779">
        <v>0</v>
      </c>
    </row>
    <row r="780" spans="1:35" x14ac:dyDescent="0.45">
      <c r="A780">
        <v>779</v>
      </c>
      <c r="B780" t="s">
        <v>1070</v>
      </c>
      <c r="C780" t="s">
        <v>1082</v>
      </c>
      <c r="D780" t="s">
        <v>1072</v>
      </c>
      <c r="E780">
        <v>11</v>
      </c>
      <c r="F780">
        <v>-5.5149999999999997</v>
      </c>
      <c r="G780">
        <v>-29.434000000000001</v>
      </c>
      <c r="H780">
        <v>16283</v>
      </c>
      <c r="I780">
        <v>0</v>
      </c>
      <c r="J780">
        <v>1</v>
      </c>
      <c r="K780" t="s">
        <v>55</v>
      </c>
      <c r="L780" t="s">
        <v>55</v>
      </c>
      <c r="M780" t="s">
        <v>56</v>
      </c>
      <c r="N780">
        <v>1643660553.3800001</v>
      </c>
      <c r="O780">
        <v>0.20200000000000001</v>
      </c>
      <c r="P780">
        <v>0.39700000000000002</v>
      </c>
      <c r="Q780">
        <v>52.951999999999998</v>
      </c>
      <c r="R780">
        <v>1E-3</v>
      </c>
      <c r="S780">
        <v>-1E-3</v>
      </c>
      <c r="T780">
        <v>1.276</v>
      </c>
      <c r="U780">
        <v>91.581000000000003</v>
      </c>
      <c r="V780">
        <v>23.154</v>
      </c>
      <c r="W780">
        <v>2.2799999999999998</v>
      </c>
      <c r="X780">
        <v>87.213999999999999</v>
      </c>
      <c r="Y780">
        <v>0.97499999999999998</v>
      </c>
      <c r="Z780">
        <v>0.79400000000000004</v>
      </c>
      <c r="AA780">
        <v>0</v>
      </c>
      <c r="AB780">
        <v>0</v>
      </c>
      <c r="AC780">
        <v>1</v>
      </c>
      <c r="AD780">
        <v>39.625</v>
      </c>
      <c r="AE780">
        <v>1</v>
      </c>
      <c r="AF780">
        <v>105</v>
      </c>
      <c r="AG780">
        <v>7</v>
      </c>
      <c r="AH780" t="s">
        <v>84</v>
      </c>
      <c r="AI780">
        <v>0</v>
      </c>
    </row>
    <row r="781" spans="1:35" x14ac:dyDescent="0.45">
      <c r="A781">
        <v>780</v>
      </c>
      <c r="B781" t="s">
        <v>1070</v>
      </c>
      <c r="C781" t="s">
        <v>1083</v>
      </c>
      <c r="D781" t="s">
        <v>1072</v>
      </c>
      <c r="E781">
        <v>12</v>
      </c>
      <c r="F781">
        <v>-5.5140000000000002</v>
      </c>
      <c r="G781">
        <v>-29.382999999999999</v>
      </c>
      <c r="H781">
        <v>16321</v>
      </c>
      <c r="I781">
        <v>0</v>
      </c>
      <c r="J781">
        <v>1</v>
      </c>
      <c r="K781" t="s">
        <v>55</v>
      </c>
      <c r="L781" t="s">
        <v>55</v>
      </c>
      <c r="M781" t="s">
        <v>56</v>
      </c>
      <c r="N781">
        <v>1643661089.99</v>
      </c>
      <c r="O781">
        <v>0.19700000000000001</v>
      </c>
      <c r="P781">
        <v>0.44400000000000001</v>
      </c>
      <c r="Q781">
        <v>53.777000000000001</v>
      </c>
      <c r="R781">
        <v>0</v>
      </c>
      <c r="S781">
        <v>-1E-3</v>
      </c>
      <c r="T781">
        <v>1.2969999999999999</v>
      </c>
      <c r="U781">
        <v>91.566999999999993</v>
      </c>
      <c r="V781">
        <v>24.175999999999998</v>
      </c>
      <c r="W781">
        <v>2.254</v>
      </c>
      <c r="X781">
        <v>85.936000000000007</v>
      </c>
      <c r="Y781">
        <v>0.96399999999999997</v>
      </c>
      <c r="Z781">
        <v>0.73199999999999998</v>
      </c>
      <c r="AA781">
        <v>0</v>
      </c>
      <c r="AB781">
        <v>0</v>
      </c>
      <c r="AC781">
        <v>1</v>
      </c>
      <c r="AD781">
        <v>39.625</v>
      </c>
      <c r="AE781">
        <v>1</v>
      </c>
      <c r="AF781">
        <v>105</v>
      </c>
      <c r="AG781">
        <v>7</v>
      </c>
      <c r="AH781" t="s">
        <v>84</v>
      </c>
      <c r="AI781">
        <v>0</v>
      </c>
    </row>
    <row r="782" spans="1:35" x14ac:dyDescent="0.45">
      <c r="A782">
        <v>781</v>
      </c>
      <c r="B782" t="s">
        <v>1070</v>
      </c>
      <c r="C782" t="s">
        <v>1084</v>
      </c>
      <c r="D782" t="s">
        <v>1072</v>
      </c>
      <c r="E782">
        <v>13</v>
      </c>
      <c r="F782">
        <v>-5.4960000000000004</v>
      </c>
      <c r="G782">
        <v>-29.388999999999999</v>
      </c>
      <c r="H782">
        <v>16325</v>
      </c>
      <c r="I782">
        <v>0</v>
      </c>
      <c r="J782">
        <v>1</v>
      </c>
      <c r="K782" t="s">
        <v>55</v>
      </c>
      <c r="L782" t="s">
        <v>55</v>
      </c>
      <c r="M782" t="s">
        <v>56</v>
      </c>
      <c r="N782">
        <v>1643661626.3599999</v>
      </c>
      <c r="O782">
        <v>0.217</v>
      </c>
      <c r="P782">
        <v>0.42299999999999999</v>
      </c>
      <c r="Q782">
        <v>55.207000000000001</v>
      </c>
      <c r="R782">
        <v>0</v>
      </c>
      <c r="S782">
        <v>0</v>
      </c>
      <c r="T782">
        <v>1.327</v>
      </c>
      <c r="U782">
        <v>91.144999999999996</v>
      </c>
      <c r="V782">
        <v>25.190999999999999</v>
      </c>
      <c r="W782">
        <v>2.2839999999999998</v>
      </c>
      <c r="X782">
        <v>85.171000000000006</v>
      </c>
      <c r="Y782">
        <v>0.97499999999999998</v>
      </c>
      <c r="Z782">
        <v>0.82899999999999996</v>
      </c>
      <c r="AA782">
        <v>0</v>
      </c>
      <c r="AB782">
        <v>0</v>
      </c>
      <c r="AC782">
        <v>1</v>
      </c>
      <c r="AD782">
        <v>39.625</v>
      </c>
      <c r="AE782">
        <v>1</v>
      </c>
      <c r="AF782">
        <v>105</v>
      </c>
      <c r="AG782">
        <v>7</v>
      </c>
      <c r="AH782" t="s">
        <v>84</v>
      </c>
      <c r="AI782">
        <v>0</v>
      </c>
    </row>
    <row r="783" spans="1:35" x14ac:dyDescent="0.45">
      <c r="A783">
        <v>782</v>
      </c>
      <c r="B783" t="s">
        <v>1070</v>
      </c>
      <c r="C783" t="s">
        <v>1085</v>
      </c>
      <c r="D783" t="s">
        <v>1072</v>
      </c>
      <c r="E783">
        <v>14</v>
      </c>
      <c r="F783">
        <v>-5.5019999999999998</v>
      </c>
      <c r="G783">
        <v>-29.385999999999999</v>
      </c>
      <c r="H783">
        <v>16259</v>
      </c>
      <c r="I783">
        <v>0</v>
      </c>
      <c r="J783">
        <v>1</v>
      </c>
      <c r="K783" t="s">
        <v>55</v>
      </c>
      <c r="L783" t="s">
        <v>55</v>
      </c>
      <c r="M783" t="s">
        <v>56</v>
      </c>
      <c r="N783">
        <v>1643662162.29</v>
      </c>
      <c r="O783">
        <v>0.22500000000000001</v>
      </c>
      <c r="P783">
        <v>0.41399999999999998</v>
      </c>
      <c r="Q783">
        <v>53.384</v>
      </c>
      <c r="R783">
        <v>1E-3</v>
      </c>
      <c r="S783">
        <v>1E-3</v>
      </c>
      <c r="T783">
        <v>1.292</v>
      </c>
      <c r="U783">
        <v>90.543999999999997</v>
      </c>
      <c r="V783">
        <v>24.908999999999999</v>
      </c>
      <c r="W783">
        <v>2.3439999999999999</v>
      </c>
      <c r="X783">
        <v>86.745999999999995</v>
      </c>
      <c r="Y783">
        <v>0.94499999999999995</v>
      </c>
      <c r="Z783">
        <v>1.1220000000000001</v>
      </c>
      <c r="AA783">
        <v>0</v>
      </c>
      <c r="AB783">
        <v>0</v>
      </c>
      <c r="AC783">
        <v>1</v>
      </c>
      <c r="AD783">
        <v>39.625</v>
      </c>
      <c r="AE783">
        <v>1</v>
      </c>
      <c r="AF783">
        <v>105</v>
      </c>
      <c r="AG783">
        <v>7</v>
      </c>
      <c r="AH783" t="s">
        <v>84</v>
      </c>
      <c r="AI783">
        <v>0</v>
      </c>
    </row>
    <row r="784" spans="1:35" x14ac:dyDescent="0.45">
      <c r="A784">
        <v>783</v>
      </c>
      <c r="B784" t="s">
        <v>1070</v>
      </c>
      <c r="C784" t="s">
        <v>1086</v>
      </c>
      <c r="D784" t="s">
        <v>1072</v>
      </c>
      <c r="E784">
        <v>15</v>
      </c>
      <c r="F784">
        <v>-5.5229999999999997</v>
      </c>
      <c r="G784">
        <v>-29.381</v>
      </c>
      <c r="H784">
        <v>16279</v>
      </c>
      <c r="I784">
        <v>0</v>
      </c>
      <c r="J784">
        <v>1</v>
      </c>
      <c r="K784" t="s">
        <v>55</v>
      </c>
      <c r="L784" t="s">
        <v>55</v>
      </c>
      <c r="M784" t="s">
        <v>56</v>
      </c>
      <c r="N784">
        <v>1643662698.0899999</v>
      </c>
      <c r="O784">
        <v>0.19400000000000001</v>
      </c>
      <c r="P784">
        <v>0.41899999999999998</v>
      </c>
      <c r="Q784">
        <v>54.390999999999998</v>
      </c>
      <c r="R784">
        <v>1E-3</v>
      </c>
      <c r="S784">
        <v>1E-3</v>
      </c>
      <c r="T784">
        <v>1.3069999999999999</v>
      </c>
      <c r="U784">
        <v>91.906000000000006</v>
      </c>
      <c r="V784">
        <v>22.277999999999999</v>
      </c>
      <c r="W784">
        <v>2.2989999999999999</v>
      </c>
      <c r="X784">
        <v>88.275000000000006</v>
      </c>
      <c r="Y784">
        <v>0.96899999999999997</v>
      </c>
      <c r="Z784">
        <v>0.68</v>
      </c>
      <c r="AA784">
        <v>0</v>
      </c>
      <c r="AB784">
        <v>0</v>
      </c>
      <c r="AC784">
        <v>1</v>
      </c>
      <c r="AD784">
        <v>39.688000000000002</v>
      </c>
      <c r="AE784">
        <v>1</v>
      </c>
      <c r="AF784">
        <v>105</v>
      </c>
      <c r="AG784">
        <v>7</v>
      </c>
      <c r="AH784" t="s">
        <v>84</v>
      </c>
      <c r="AI784">
        <v>0</v>
      </c>
    </row>
  </sheetData>
  <sheetProtection algorithmName="SHA-512" hashValue="vkhu/cu5RsM7bVReAov5o6MzYRov79eDbKWltHSzgz7VhyxEclF0ap7DZKy83lRdOfhP7XCyW6BpACDWi1yUDw==" saltValue="FXn6M1dzpyPTO7L8QM5NrQ==" spinCount="100000" sheet="1" objects="1" scenarios="1"/>
  <phoneticPr fontId="22" type="noConversion"/>
  <pageMargins left="0.7" right="0.7" top="0.75" bottom="0.75" header="0.3" footer="0.3"/>
  <extLst>
    <ext xmlns:mx="http://schemas.microsoft.com/office/mac/excel/2008/main" uri="http://schemas.microsoft.com/office/mac/excel/2008/main">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421"/>
  <sheetViews>
    <sheetView showGridLines="0" zoomScale="90" zoomScaleNormal="90" workbookViewId="0">
      <pane ySplit="1" topLeftCell="A2" activePane="bottomLeft" state="frozen"/>
      <selection pane="bottomLeft"/>
    </sheetView>
  </sheetViews>
  <sheetFormatPr defaultColWidth="8.796875" defaultRowHeight="14.25" x14ac:dyDescent="0.45"/>
  <cols>
    <col min="1" max="1" width="12.46484375" style="1" bestFit="1" customWidth="1"/>
    <col min="2" max="2" width="32.796875" bestFit="1" customWidth="1"/>
    <col min="3" max="3" width="8.6640625" style="130" customWidth="1"/>
    <col min="4" max="4" width="9.1328125" style="45" bestFit="1" customWidth="1"/>
    <col min="5" max="5" width="10.33203125" style="45" customWidth="1"/>
    <col min="6" max="6" width="8.46484375" style="53" bestFit="1" customWidth="1"/>
    <col min="7" max="7" width="4.1328125" customWidth="1"/>
  </cols>
  <sheetData>
    <row r="1" spans="1:6" ht="14.65" thickBot="1" x14ac:dyDescent="0.5">
      <c r="A1" s="21" t="s">
        <v>17</v>
      </c>
      <c r="B1" s="22" t="s">
        <v>18</v>
      </c>
      <c r="C1" s="125" t="s">
        <v>14</v>
      </c>
      <c r="D1" s="120" t="s">
        <v>15</v>
      </c>
      <c r="E1" s="121" t="s">
        <v>16</v>
      </c>
      <c r="F1" s="54" t="s">
        <v>69</v>
      </c>
    </row>
    <row r="2" spans="1:6" ht="15.75" customHeight="1" x14ac:dyDescent="0.45">
      <c r="A2" s="19">
        <v>1</v>
      </c>
      <c r="B2" s="20" t="str">
        <f>'Tray Configuration'!B28</f>
        <v>Ouachita</v>
      </c>
      <c r="C2" s="126" t="str">
        <f>'Picarro Output'!B16</f>
        <v xml:space="preserve">     P-238</v>
      </c>
      <c r="D2" s="122">
        <f>AVERAGE('Picarro Output'!F12:F16)</f>
        <v>-5.6062000000000003</v>
      </c>
      <c r="E2" s="122">
        <f>AVERAGE('Picarro Output'!G12:G16)</f>
        <v>-30.220199999999998</v>
      </c>
      <c r="F2" s="52">
        <v>15</v>
      </c>
    </row>
    <row r="3" spans="1:6" x14ac:dyDescent="0.45">
      <c r="A3" s="16">
        <v>2</v>
      </c>
      <c r="B3" s="15" t="str">
        <f>'Tray Configuration'!C28</f>
        <v>Sipsey</v>
      </c>
      <c r="C3" s="126" t="str">
        <f>'Picarro Output'!B31</f>
        <v xml:space="preserve">     P-239</v>
      </c>
      <c r="D3" s="122">
        <f>AVERAGE('Picarro Output'!F27:F31)</f>
        <v>-4.5428000000000006</v>
      </c>
      <c r="E3" s="122">
        <f>AVERAGE('Picarro Output'!G27:G31)</f>
        <v>-22.928800000000003</v>
      </c>
      <c r="F3" s="52">
        <v>15</v>
      </c>
    </row>
    <row r="4" spans="1:6" x14ac:dyDescent="0.45">
      <c r="A4" s="16">
        <v>3</v>
      </c>
      <c r="B4" s="15" t="str">
        <f>'Tray Configuration'!D28</f>
        <v>Iceland</v>
      </c>
      <c r="C4" s="126" t="str">
        <f>'Picarro Output'!B46</f>
        <v xml:space="preserve">     P-240</v>
      </c>
      <c r="D4" s="122">
        <f>AVERAGE('Picarro Output'!F42:F46)</f>
        <v>-8.0141999999999989</v>
      </c>
      <c r="E4" s="122">
        <f>AVERAGE('Picarro Output'!G42:G46)</f>
        <v>-52.989400000000003</v>
      </c>
      <c r="F4" s="52">
        <v>15</v>
      </c>
    </row>
    <row r="5" spans="1:6" x14ac:dyDescent="0.45">
      <c r="A5" s="16">
        <v>4</v>
      </c>
      <c r="B5" s="15" t="str">
        <f>'Tray Configuration'!E28</f>
        <v>Ouachita</v>
      </c>
      <c r="C5" s="126" t="str">
        <f>'Picarro Output'!B61</f>
        <v xml:space="preserve">     P-241</v>
      </c>
      <c r="D5" s="122">
        <f>AVERAGE('Picarro Output'!F57:F61)</f>
        <v>-5.5760000000000005</v>
      </c>
      <c r="E5" s="122">
        <f>AVERAGE('Picarro Output'!G57:G61)</f>
        <v>-29.889999999999997</v>
      </c>
      <c r="F5" s="52">
        <v>15</v>
      </c>
    </row>
    <row r="6" spans="1:6" x14ac:dyDescent="0.45">
      <c r="A6" s="16">
        <v>5</v>
      </c>
      <c r="B6" s="15" t="str">
        <f>'Tray Configuration'!F28</f>
        <v>Ouachita</v>
      </c>
      <c r="C6" s="126" t="str">
        <f>'Picarro Output'!B76</f>
        <v xml:space="preserve">     P-242</v>
      </c>
      <c r="D6" s="122">
        <f>AVERAGE('Picarro Output'!F72:F76)</f>
        <v>-5.5494000000000003</v>
      </c>
      <c r="E6" s="122">
        <f>AVERAGE('Picarro Output'!G72:G76)</f>
        <v>-29.747399999999999</v>
      </c>
      <c r="F6" s="52">
        <v>15</v>
      </c>
    </row>
    <row r="7" spans="1:6" x14ac:dyDescent="0.45">
      <c r="A7" s="16">
        <v>6</v>
      </c>
      <c r="B7" s="15" t="str">
        <f>'Tray Configuration'!G28</f>
        <v>WAIS_SFM01_2_RAW_20210607</v>
      </c>
      <c r="C7" s="126" t="str">
        <f>'Picarro Output'!B82</f>
        <v xml:space="preserve">     P-243</v>
      </c>
      <c r="D7" s="123">
        <f>AVERAGE('Picarro Output'!F80:F82)</f>
        <v>-5.9379999999999997</v>
      </c>
      <c r="E7" s="123">
        <f>AVERAGE('Picarro Output'!G80:G82)</f>
        <v>-36.928666666666665</v>
      </c>
      <c r="F7" s="52">
        <v>6</v>
      </c>
    </row>
    <row r="8" spans="1:6" x14ac:dyDescent="0.45">
      <c r="A8" s="16">
        <v>7</v>
      </c>
      <c r="B8" s="15" t="str">
        <f>'Tray Configuration'!H28</f>
        <v>WAIS_SFM02_1_RAW_20210607</v>
      </c>
      <c r="C8" s="126" t="str">
        <f>'Picarro Output'!B88</f>
        <v xml:space="preserve">     P-244</v>
      </c>
      <c r="D8" s="123">
        <f>AVERAGE('Picarro Output'!F86:F88)</f>
        <v>-5.9590000000000005</v>
      </c>
      <c r="E8" s="123">
        <f>AVERAGE('Picarro Output'!G86:G88)</f>
        <v>-37.079000000000001</v>
      </c>
      <c r="F8" s="52">
        <v>6</v>
      </c>
    </row>
    <row r="9" spans="1:6" x14ac:dyDescent="0.45">
      <c r="A9" s="16">
        <v>8</v>
      </c>
      <c r="B9" s="15" t="str">
        <f>'Tray Configuration'!B27</f>
        <v>WAIS_SFM03_1_RAW_20210607</v>
      </c>
      <c r="C9" s="126" t="str">
        <f>'Picarro Output'!B94</f>
        <v xml:space="preserve">     P-245</v>
      </c>
      <c r="D9" s="123">
        <f>AVERAGE('Picarro Output'!F84:F92)</f>
        <v>-5.9372222222222222</v>
      </c>
      <c r="E9" s="123">
        <f>AVERAGE('Picarro Output'!G92:G94)</f>
        <v>-36.988999999999997</v>
      </c>
      <c r="F9" s="52">
        <v>6</v>
      </c>
    </row>
    <row r="10" spans="1:6" x14ac:dyDescent="0.45">
      <c r="A10" s="16">
        <v>9</v>
      </c>
      <c r="B10" s="15" t="str">
        <f>'Tray Configuration'!C27</f>
        <v>WAIS_SFM04_1_RAW_20210607</v>
      </c>
      <c r="C10" s="126" t="str">
        <f>'Picarro Output'!B100</f>
        <v xml:space="preserve">     P-246</v>
      </c>
      <c r="D10" s="123">
        <f>AVERAGE('Picarro Output'!F98:F100)</f>
        <v>-5.9323333333333332</v>
      </c>
      <c r="E10" s="123">
        <f>AVERAGE('Picarro Output'!G98:G100)</f>
        <v>-37.066000000000003</v>
      </c>
      <c r="F10" s="52">
        <v>6</v>
      </c>
    </row>
    <row r="11" spans="1:6" x14ac:dyDescent="0.45">
      <c r="A11" s="16">
        <v>10</v>
      </c>
      <c r="B11" s="15" t="str">
        <f>'Tray Configuration'!D27</f>
        <v>WAIS_SFM05_1_RAW_20210607</v>
      </c>
      <c r="C11" s="126" t="str">
        <f>'Picarro Output'!B106</f>
        <v xml:space="preserve">     P-247</v>
      </c>
      <c r="D11" s="123">
        <f>AVERAGE('Picarro Output'!F104:F106)</f>
        <v>-5.9159999999999995</v>
      </c>
      <c r="E11" s="123">
        <f>AVERAGE('Picarro Output'!G104:G106)</f>
        <v>-36.934666666666665</v>
      </c>
      <c r="F11" s="52">
        <v>6</v>
      </c>
    </row>
    <row r="12" spans="1:6" x14ac:dyDescent="0.45">
      <c r="A12" s="16">
        <v>11</v>
      </c>
      <c r="B12" s="15" t="str">
        <f>'Tray Configuration'!E27</f>
        <v>WAIS_SFM06_1_RAW_20210607</v>
      </c>
      <c r="C12" s="126" t="str">
        <f>'Picarro Output'!B112</f>
        <v xml:space="preserve">     P-248</v>
      </c>
      <c r="D12" s="123">
        <f>AVERAGE('Picarro Output'!F110:F112)</f>
        <v>-5.932666666666667</v>
      </c>
      <c r="E12" s="123">
        <f>AVERAGE('Picarro Output'!G110:G112)</f>
        <v>-36.963666666666668</v>
      </c>
      <c r="F12" s="52">
        <v>6</v>
      </c>
    </row>
    <row r="13" spans="1:6" x14ac:dyDescent="0.45">
      <c r="A13" s="16">
        <v>12</v>
      </c>
      <c r="B13" s="15" t="str">
        <f>'Tray Configuration'!F27</f>
        <v>WAIS_SFM07_1_RAW_20210607</v>
      </c>
      <c r="C13" s="126" t="str">
        <f>'Picarro Output'!B118</f>
        <v xml:space="preserve">     P-249</v>
      </c>
      <c r="D13" s="123">
        <f>AVERAGE('Picarro Output'!F116:F118)</f>
        <v>-5.9793333333333329</v>
      </c>
      <c r="E13" s="123">
        <f>AVERAGE('Picarro Output'!G116:G118)</f>
        <v>-37.169000000000004</v>
      </c>
      <c r="F13" s="52">
        <v>6</v>
      </c>
    </row>
    <row r="14" spans="1:6" ht="15" customHeight="1" x14ac:dyDescent="0.45">
      <c r="A14" s="16">
        <v>13</v>
      </c>
      <c r="B14" s="15" t="str">
        <f>'Tray Configuration'!G27</f>
        <v>WAIS_SFT01_1_RAW_20210606</v>
      </c>
      <c r="C14" s="126" t="str">
        <f>'Picarro Output'!B124</f>
        <v xml:space="preserve">     P-250</v>
      </c>
      <c r="D14" s="123">
        <f>AVERAGE('Picarro Output'!F122:F124)</f>
        <v>-5.8146666666666667</v>
      </c>
      <c r="E14" s="123">
        <f>AVERAGE('Picarro Output'!G122:G124)</f>
        <v>-36.726333333333336</v>
      </c>
      <c r="F14" s="52">
        <v>6</v>
      </c>
    </row>
    <row r="15" spans="1:6" x14ac:dyDescent="0.45">
      <c r="A15" s="16">
        <v>14</v>
      </c>
      <c r="B15" s="15" t="str">
        <f>'Tray Configuration'!H27</f>
        <v>Ouachita</v>
      </c>
      <c r="C15" s="126" t="str">
        <f>'Picarro Output'!B130</f>
        <v xml:space="preserve">     P-251</v>
      </c>
      <c r="D15" s="123">
        <f>AVERAGE('Picarro Output'!F128:F130)</f>
        <v>-5.5366666666666662</v>
      </c>
      <c r="E15" s="123">
        <f>AVERAGE('Picarro Output'!G128:G130)</f>
        <v>-29.735333333333333</v>
      </c>
      <c r="F15" s="52">
        <v>6</v>
      </c>
    </row>
    <row r="16" spans="1:6" x14ac:dyDescent="0.45">
      <c r="A16" s="16">
        <v>15</v>
      </c>
      <c r="B16" s="15" t="str">
        <f>'Tray Configuration'!B26</f>
        <v>WAIS_SFT02_1_RAW_20210606</v>
      </c>
      <c r="C16" s="126" t="str">
        <f>'Picarro Output'!B136</f>
        <v xml:space="preserve">     P-252</v>
      </c>
      <c r="D16" s="123">
        <f>AVERAGE('Picarro Output'!F134:F136)</f>
        <v>-5.8973333333333331</v>
      </c>
      <c r="E16" s="123">
        <f>AVERAGE('Picarro Output'!G134:G136)</f>
        <v>-37.146666666666668</v>
      </c>
      <c r="F16" s="52">
        <v>6</v>
      </c>
    </row>
    <row r="17" spans="1:6" x14ac:dyDescent="0.45">
      <c r="A17" s="16">
        <v>16</v>
      </c>
      <c r="B17" s="15" t="str">
        <f>'Tray Configuration'!C26</f>
        <v>WAIS_01M01_1_RAW_20210607</v>
      </c>
      <c r="C17" s="126" t="str">
        <f>'Picarro Output'!B142</f>
        <v xml:space="preserve">     P-253</v>
      </c>
      <c r="D17" s="123">
        <f>AVERAGE('Picarro Output'!F140:F142)</f>
        <v>-5.9736666666666665</v>
      </c>
      <c r="E17" s="123">
        <f>AVERAGE('Picarro Output'!G140:G142)</f>
        <v>-37.332999999999998</v>
      </c>
      <c r="F17" s="52">
        <v>6</v>
      </c>
    </row>
    <row r="18" spans="1:6" x14ac:dyDescent="0.45">
      <c r="A18" s="16">
        <v>17</v>
      </c>
      <c r="B18" s="15" t="str">
        <f>'Tray Configuration'!D26</f>
        <v>WAIS_01M02_1_RAW_20210607</v>
      </c>
      <c r="C18" s="126" t="str">
        <f>'Picarro Output'!B148</f>
        <v xml:space="preserve">     P-254</v>
      </c>
      <c r="D18" s="123">
        <f>AVERAGE('Picarro Output'!F146:F148)</f>
        <v>-5.9896666666666674</v>
      </c>
      <c r="E18" s="123">
        <f>AVERAGE('Picarro Output'!G146:G148)</f>
        <v>-37.375999999999998</v>
      </c>
      <c r="F18" s="52">
        <v>6</v>
      </c>
    </row>
    <row r="19" spans="1:6" x14ac:dyDescent="0.45">
      <c r="A19" s="16">
        <v>18</v>
      </c>
      <c r="B19" s="15" t="str">
        <f>'Tray Configuration'!E26</f>
        <v>WAIS_01M03_1_RAW_20210607</v>
      </c>
      <c r="C19" s="126" t="str">
        <f>'Picarro Output'!B154</f>
        <v xml:space="preserve">     P-255</v>
      </c>
      <c r="D19" s="123">
        <f>AVERAGE('Picarro Output'!F152:F154)</f>
        <v>-5.8009999999999993</v>
      </c>
      <c r="E19" s="123">
        <f>AVERAGE('Picarro Output'!G152:G154)</f>
        <v>-36.581666666666663</v>
      </c>
      <c r="F19" s="52">
        <v>6</v>
      </c>
    </row>
    <row r="20" spans="1:6" x14ac:dyDescent="0.45">
      <c r="A20" s="16">
        <v>19</v>
      </c>
      <c r="B20" s="15" t="str">
        <f>'Tray Configuration'!F26</f>
        <v>WAIS_01M04_1_RAW_20210607</v>
      </c>
      <c r="C20" s="126" t="str">
        <f>'Picarro Output'!B160</f>
        <v xml:space="preserve">     P-256</v>
      </c>
      <c r="D20" s="123">
        <f>AVERAGE('Picarro Output'!F158:F160)</f>
        <v>-5.8353333333333337</v>
      </c>
      <c r="E20" s="123">
        <f>AVERAGE('Picarro Output'!G158:G160)</f>
        <v>-36.758000000000003</v>
      </c>
      <c r="F20" s="52">
        <v>6</v>
      </c>
    </row>
    <row r="21" spans="1:6" x14ac:dyDescent="0.45">
      <c r="A21" s="16">
        <v>20</v>
      </c>
      <c r="B21" s="15" t="str">
        <f>'Tray Configuration'!G26</f>
        <v>WAIS_01M05_1_RAW_20210607</v>
      </c>
      <c r="C21" s="127" t="str">
        <f>'Picarro Output'!B166</f>
        <v xml:space="preserve">     P-257</v>
      </c>
      <c r="D21" s="117">
        <f>AVERAGE('Picarro Output'!F164:F166)</f>
        <v>-5.8633333333333333</v>
      </c>
      <c r="E21" s="118">
        <f>AVERAGE('Picarro Output'!G164:G166)</f>
        <v>-36.963333333333331</v>
      </c>
      <c r="F21" s="52">
        <v>6</v>
      </c>
    </row>
    <row r="22" spans="1:6" x14ac:dyDescent="0.45">
      <c r="A22" s="16">
        <v>21</v>
      </c>
      <c r="B22" s="15" t="str">
        <f>'Tray Configuration'!H26</f>
        <v>Ouachita</v>
      </c>
      <c r="C22" s="127" t="str">
        <f>'Picarro Output'!B172</f>
        <v xml:space="preserve">     P-258</v>
      </c>
      <c r="D22" s="117">
        <f>AVERAGE('Picarro Output'!F170:F172)</f>
        <v>-5.5336666666666661</v>
      </c>
      <c r="E22" s="118">
        <f>AVERAGE('Picarro Output'!G170:G172)</f>
        <v>-29.668000000000003</v>
      </c>
      <c r="F22" s="52">
        <v>6</v>
      </c>
    </row>
    <row r="23" spans="1:6" x14ac:dyDescent="0.45">
      <c r="A23" s="16">
        <v>22</v>
      </c>
      <c r="B23" s="15" t="str">
        <f>'Tray Configuration'!B25</f>
        <v>WAIS_01M06_1_RAW_20210607</v>
      </c>
      <c r="C23" s="127" t="str">
        <f>'Picarro Output'!B178</f>
        <v xml:space="preserve">     P-259</v>
      </c>
      <c r="D23" s="117">
        <f>AVERAGE('Picarro Output'!F176:F178)</f>
        <v>-5.8156666666666661</v>
      </c>
      <c r="E23" s="118">
        <f>AVERAGE('Picarro Output'!G176:G178)</f>
        <v>-36.568333333333335</v>
      </c>
      <c r="F23" s="52">
        <v>6</v>
      </c>
    </row>
    <row r="24" spans="1:6" x14ac:dyDescent="0.45">
      <c r="A24" s="16">
        <v>23</v>
      </c>
      <c r="B24" s="15" t="str">
        <f>'Tray Configuration'!C25</f>
        <v>WAIS_20M04_1_RAW_20210607</v>
      </c>
      <c r="C24" s="127" t="str">
        <f>'Picarro Output'!B184</f>
        <v xml:space="preserve">     P-260</v>
      </c>
      <c r="D24" s="117">
        <f>AVERAGE('Picarro Output'!F182:F184)</f>
        <v>-6.0276666666666658</v>
      </c>
      <c r="E24" s="118">
        <f>AVERAGE('Picarro Output'!G182:G184)</f>
        <v>-37.152666666666669</v>
      </c>
      <c r="F24" s="52">
        <v>6</v>
      </c>
    </row>
    <row r="25" spans="1:6" x14ac:dyDescent="0.45">
      <c r="A25" s="16">
        <v>24</v>
      </c>
      <c r="B25" s="15" t="str">
        <f>'Tray Configuration'!D25</f>
        <v>WAIS_20M05_1_RAW_20210607</v>
      </c>
      <c r="C25" s="127" t="str">
        <f>'Picarro Output'!B190</f>
        <v xml:space="preserve">     P-261</v>
      </c>
      <c r="D25" s="117">
        <f>AVERAGE('Picarro Output'!F188:F190)</f>
        <v>-6.0579999999999998</v>
      </c>
      <c r="E25" s="118">
        <f>AVERAGE('Picarro Output'!G188:G190)</f>
        <v>-37.477666666666664</v>
      </c>
      <c r="F25" s="52">
        <v>6</v>
      </c>
    </row>
    <row r="26" spans="1:6" x14ac:dyDescent="0.45">
      <c r="A26" s="16">
        <v>25</v>
      </c>
      <c r="B26" s="15" t="str">
        <f>'Tray Configuration'!E25</f>
        <v>WAIS_02M01_1_RAW_20210607</v>
      </c>
      <c r="C26" s="127" t="str">
        <f>'Picarro Output'!B196</f>
        <v xml:space="preserve">     P-262</v>
      </c>
      <c r="D26" s="117">
        <f>AVERAGE('Picarro Output'!F194:F196)</f>
        <v>-5.8323333333333336</v>
      </c>
      <c r="E26" s="118">
        <f>AVERAGE('Picarro Output'!G194:G196)</f>
        <v>-36.591999999999999</v>
      </c>
      <c r="F26" s="52">
        <v>6</v>
      </c>
    </row>
    <row r="27" spans="1:6" x14ac:dyDescent="0.45">
      <c r="A27" s="16">
        <v>26</v>
      </c>
      <c r="B27" s="15" t="str">
        <f>'Tray Configuration'!F25</f>
        <v>WAIS_02M02_1_RAW_20210607</v>
      </c>
      <c r="C27" s="127" t="str">
        <f>'Picarro Output'!B202</f>
        <v xml:space="preserve">     P-263</v>
      </c>
      <c r="D27" s="117">
        <f>AVERAGE('Picarro Output'!F200:F202)</f>
        <v>-5.8536666666666664</v>
      </c>
      <c r="E27" s="118">
        <f>AVERAGE('Picarro Output'!G200:G202)</f>
        <v>-36.722333333333331</v>
      </c>
      <c r="F27" s="52">
        <v>6</v>
      </c>
    </row>
    <row r="28" spans="1:6" x14ac:dyDescent="0.45">
      <c r="A28" s="16">
        <v>27</v>
      </c>
      <c r="B28" s="15" t="str">
        <f>'Tray Configuration'!G25</f>
        <v>WAIS_02M03_1_RAW_20210607</v>
      </c>
      <c r="C28" s="127" t="str">
        <f>'Picarro Output'!B208</f>
        <v xml:space="preserve">     P-264</v>
      </c>
      <c r="D28" s="117">
        <f>AVERAGE('Picarro Output'!F206:F208)</f>
        <v>-5.8820000000000006</v>
      </c>
      <c r="E28" s="118">
        <f>AVERAGE('Picarro Output'!G206:G208)</f>
        <v>-36.751666666666672</v>
      </c>
      <c r="F28" s="52">
        <v>6</v>
      </c>
    </row>
    <row r="29" spans="1:6" x14ac:dyDescent="0.45">
      <c r="A29" s="16">
        <v>28</v>
      </c>
      <c r="B29" s="15" t="str">
        <f>'Tray Configuration'!H25</f>
        <v>Ouachita</v>
      </c>
      <c r="C29" s="127" t="str">
        <f>'Picarro Output'!B214</f>
        <v xml:space="preserve">     P-265</v>
      </c>
      <c r="D29" s="117">
        <f>AVERAGE('Picarro Output'!F212:F214)</f>
        <v>-5.5270000000000001</v>
      </c>
      <c r="E29" s="118">
        <f>AVERAGE('Picarro Output'!G212:G214)</f>
        <v>-29.720333333333333</v>
      </c>
      <c r="F29" s="52">
        <v>6</v>
      </c>
    </row>
    <row r="30" spans="1:6" x14ac:dyDescent="0.45">
      <c r="A30" s="16">
        <v>29</v>
      </c>
      <c r="B30" s="15" t="str">
        <f>'Tray Configuration'!B24</f>
        <v>WAIS_02M05_1_RAW_20210607_spring</v>
      </c>
      <c r="C30" s="127" t="str">
        <f>'Picarro Output'!B220</f>
        <v xml:space="preserve">     P-266</v>
      </c>
      <c r="D30" s="117">
        <f>AVERAGE('Picarro Output'!F218:F220)</f>
        <v>-5.863666666666667</v>
      </c>
      <c r="E30" s="118">
        <f>AVERAGE('Picarro Output'!G218:G220)</f>
        <v>-36.979999999999997</v>
      </c>
      <c r="F30" s="52">
        <v>6</v>
      </c>
    </row>
    <row r="31" spans="1:6" x14ac:dyDescent="0.45">
      <c r="A31" s="16">
        <v>30</v>
      </c>
      <c r="B31" s="15" t="str">
        <f>'Tray Configuration'!C24</f>
        <v>WAIS_02M06_1_RAW_20210607</v>
      </c>
      <c r="C31" s="127" t="str">
        <f>'Picarro Output'!B226</f>
        <v xml:space="preserve">     P-267</v>
      </c>
      <c r="D31" s="117">
        <f>AVERAGE('Picarro Output'!F224:F226)</f>
        <v>-5.9463333333333326</v>
      </c>
      <c r="E31" s="118">
        <f>AVERAGE('Picarro Output'!G224:G226)</f>
        <v>-37.042666666666669</v>
      </c>
      <c r="F31" s="52">
        <v>6</v>
      </c>
    </row>
    <row r="32" spans="1:6" x14ac:dyDescent="0.45">
      <c r="A32" s="16">
        <v>31</v>
      </c>
      <c r="B32" s="15" t="str">
        <f>'Tray Configuration'!D24</f>
        <v>WAIS_02M07_1_RAW_20210607</v>
      </c>
      <c r="C32" s="127" t="str">
        <f>'Picarro Output'!B232</f>
        <v xml:space="preserve">     P-268</v>
      </c>
      <c r="D32" s="117">
        <f>AVERAGE('Picarro Output'!F230:F232)</f>
        <v>-5.950333333333333</v>
      </c>
      <c r="E32" s="118">
        <f>AVERAGE('Picarro Output'!G230:G232)</f>
        <v>-37.159333333333329</v>
      </c>
      <c r="F32" s="52">
        <v>6</v>
      </c>
    </row>
    <row r="33" spans="1:6" x14ac:dyDescent="0.45">
      <c r="A33" s="16">
        <v>32</v>
      </c>
      <c r="B33" s="15" t="str">
        <f>'Tray Configuration'!E24</f>
        <v>Ouachita</v>
      </c>
      <c r="C33" s="127" t="str">
        <f>'Picarro Output'!B247</f>
        <v xml:space="preserve">     P-269</v>
      </c>
      <c r="D33" s="118">
        <f>AVERAGE('Picarro Output'!F243:F247)</f>
        <v>-5.5342000000000002</v>
      </c>
      <c r="E33" s="118">
        <f>AVERAGE('Picarro Output'!G243:G247)</f>
        <v>-29.603199999999998</v>
      </c>
      <c r="F33" s="52">
        <v>15</v>
      </c>
    </row>
    <row r="34" spans="1:6" x14ac:dyDescent="0.45">
      <c r="A34" s="16">
        <v>33</v>
      </c>
      <c r="B34" s="15" t="str">
        <f>'Tray Configuration'!F24</f>
        <v>Sipsey</v>
      </c>
      <c r="C34" s="127" t="str">
        <f>'Picarro Output'!B262</f>
        <v xml:space="preserve">     P-270</v>
      </c>
      <c r="D34" s="118">
        <f>AVERAGE('Picarro Output'!F258:F262)</f>
        <v>-4.579600000000001</v>
      </c>
      <c r="E34" s="118">
        <f>AVERAGE('Picarro Output'!G258:G262)</f>
        <v>-22.567599999999999</v>
      </c>
      <c r="F34" s="52">
        <v>15</v>
      </c>
    </row>
    <row r="35" spans="1:6" x14ac:dyDescent="0.45">
      <c r="A35" s="16">
        <v>34</v>
      </c>
      <c r="B35" s="15" t="str">
        <f>'Tray Configuration'!G24</f>
        <v>Iceland</v>
      </c>
      <c r="C35" s="127" t="str">
        <f>'Picarro Output'!B277</f>
        <v xml:space="preserve">     P-271</v>
      </c>
      <c r="D35" s="118">
        <f>AVERAGE('Picarro Output'!F273:F277)</f>
        <v>-8.0188000000000006</v>
      </c>
      <c r="E35" s="118">
        <f>AVERAGE('Picarro Output'!G273:G277)</f>
        <v>-52.685199999999995</v>
      </c>
      <c r="F35" s="52">
        <v>15</v>
      </c>
    </row>
    <row r="36" spans="1:6" x14ac:dyDescent="0.45">
      <c r="A36" s="16">
        <v>35</v>
      </c>
      <c r="B36" s="15" t="str">
        <f>'Tray Configuration'!H24</f>
        <v>Ouachita</v>
      </c>
      <c r="C36" s="127" t="str">
        <f>'Picarro Output'!B292</f>
        <v xml:space="preserve">     P-272</v>
      </c>
      <c r="D36" s="118">
        <f>AVERAGE('Picarro Output'!F288:F292)</f>
        <v>-5.5185999999999993</v>
      </c>
      <c r="E36" s="118">
        <f>AVERAGE('Picarro Output'!G288:G292)</f>
        <v>-29.570999999999998</v>
      </c>
      <c r="F36" s="52">
        <v>15</v>
      </c>
    </row>
    <row r="37" spans="1:6" x14ac:dyDescent="0.45">
      <c r="A37" s="16">
        <v>36</v>
      </c>
      <c r="B37" s="15" t="str">
        <f>'Tray Configuration'!B23</f>
        <v>WAIS_04M02_2_RAW_20210607</v>
      </c>
      <c r="C37" s="128" t="str">
        <f>'Picarro Output'!B298</f>
        <v xml:space="preserve">     P-273</v>
      </c>
      <c r="D37" s="118">
        <f>AVERAGE('Picarro Output'!F296:F298)</f>
        <v>-5.9359999999999999</v>
      </c>
      <c r="E37" s="118">
        <f>AVERAGE('Picarro Output'!G296:G298)</f>
        <v>-37.018999999999998</v>
      </c>
      <c r="F37" s="52">
        <v>6</v>
      </c>
    </row>
    <row r="38" spans="1:6" x14ac:dyDescent="0.45">
      <c r="A38" s="16">
        <v>37</v>
      </c>
      <c r="B38" s="15" t="str">
        <f>'Tray Configuration'!C23</f>
        <v>WAIS_04M05_2_RAW_20210607</v>
      </c>
      <c r="C38" s="128" t="str">
        <f>'Picarro Output'!B304</f>
        <v xml:space="preserve">     P-274</v>
      </c>
      <c r="D38" s="118">
        <f>AVERAGE('Picarro Output'!F302:F304)</f>
        <v>-5.9229999999999992</v>
      </c>
      <c r="E38" s="118">
        <f>AVERAGE('Picarro Output'!G302:G304)</f>
        <v>-37.020333333333333</v>
      </c>
      <c r="F38" s="52">
        <v>6</v>
      </c>
    </row>
    <row r="39" spans="1:6" x14ac:dyDescent="0.45">
      <c r="A39" s="16">
        <v>38</v>
      </c>
      <c r="B39" s="15" t="str">
        <f>'Tray Configuration'!D23</f>
        <v>WAIS_04M09_2_RAW_20210607</v>
      </c>
      <c r="C39" s="128" t="str">
        <f>'Picarro Output'!B310</f>
        <v xml:space="preserve">     P-275</v>
      </c>
      <c r="D39" s="118">
        <f>AVERAGE('Picarro Output'!F308:F310)</f>
        <v>-6.003333333333333</v>
      </c>
      <c r="E39" s="118">
        <f>AVERAGE('Picarro Output'!G308:G310)</f>
        <v>-37.271000000000001</v>
      </c>
      <c r="F39" s="52">
        <v>6</v>
      </c>
    </row>
    <row r="40" spans="1:6" x14ac:dyDescent="0.45">
      <c r="A40" s="16">
        <v>39</v>
      </c>
      <c r="B40" s="15" t="str">
        <f>'Tray Configuration'!E23</f>
        <v>WAIS_02M04_1_RAW_20210607</v>
      </c>
      <c r="C40" s="128" t="str">
        <f>'Picarro Output'!B316</f>
        <v xml:space="preserve">     P-276</v>
      </c>
      <c r="D40" s="118">
        <f>AVERAGE('Picarro Output'!F314:F316)</f>
        <v>-5.915</v>
      </c>
      <c r="E40" s="118">
        <f>AVERAGE('Picarro Output'!G314:G316)</f>
        <v>-36.897666666666673</v>
      </c>
      <c r="F40" s="52">
        <v>6</v>
      </c>
    </row>
    <row r="41" spans="1:6" x14ac:dyDescent="0.45">
      <c r="A41" s="16">
        <v>40</v>
      </c>
      <c r="B41" s="15" t="str">
        <f>'Tray Configuration'!F23</f>
        <v>WAIS_02M05_1_RAW_20210607</v>
      </c>
      <c r="C41" s="128" t="str">
        <f>'Picarro Output'!B322</f>
        <v xml:space="preserve">     P-277</v>
      </c>
      <c r="D41" s="118">
        <f>AVERAGE('Picarro Output'!F320:F322)</f>
        <v>-5.9096666666666664</v>
      </c>
      <c r="E41" s="118">
        <f>AVERAGE('Picarro Output'!G320:G322)</f>
        <v>-36.996333333333332</v>
      </c>
      <c r="F41" s="52">
        <v>6</v>
      </c>
    </row>
    <row r="42" spans="1:6" x14ac:dyDescent="0.45">
      <c r="A42" s="16">
        <v>41</v>
      </c>
      <c r="B42" s="15" t="str">
        <f>'Tray Configuration'!G23</f>
        <v>WAIS_02M08_1_RAW_20210607</v>
      </c>
      <c r="C42" s="128" t="str">
        <f>'Picarro Output'!B328</f>
        <v xml:space="preserve">     P-278</v>
      </c>
      <c r="D42" s="118">
        <f>AVERAGE('Picarro Output'!F326:F328)</f>
        <v>-5.9403333333333324</v>
      </c>
      <c r="E42" s="118">
        <f>AVERAGE('Picarro Output'!G326:G328)</f>
        <v>-36.994333333333337</v>
      </c>
      <c r="F42" s="52">
        <v>6</v>
      </c>
    </row>
    <row r="43" spans="1:6" x14ac:dyDescent="0.45">
      <c r="A43" s="16">
        <v>42</v>
      </c>
      <c r="B43" s="15" t="str">
        <f>'Tray Configuration'!H23</f>
        <v>Ouachita</v>
      </c>
      <c r="C43" s="128" t="str">
        <f>'Picarro Output'!B334</f>
        <v xml:space="preserve">     P-279</v>
      </c>
      <c r="D43" s="118">
        <f>AVERAGE('Picarro Output'!F332:F334)</f>
        <v>-5.3629999999999995</v>
      </c>
      <c r="E43" s="118">
        <f>AVERAGE('Picarro Output'!G332:G334)</f>
        <v>-29.539000000000001</v>
      </c>
      <c r="F43" s="52">
        <v>6</v>
      </c>
    </row>
    <row r="44" spans="1:6" x14ac:dyDescent="0.45">
      <c r="A44" s="16">
        <v>43</v>
      </c>
      <c r="B44" s="15" t="str">
        <f>'Tray Configuration'!B22</f>
        <v>WAIS_02M10_1_RAW_20210607</v>
      </c>
      <c r="C44" s="128" t="str">
        <f>'Picarro Output'!B340</f>
        <v xml:space="preserve">     P-280</v>
      </c>
      <c r="D44" s="118">
        <f>AVERAGE('Picarro Output'!F338:F340)</f>
        <v>-5.9353333333333333</v>
      </c>
      <c r="E44" s="118">
        <f>AVERAGE('Picarro Output'!G338:G340)</f>
        <v>-36.898666666666671</v>
      </c>
      <c r="F44" s="52">
        <v>6</v>
      </c>
    </row>
    <row r="45" spans="1:6" x14ac:dyDescent="0.45">
      <c r="A45" s="16">
        <v>44</v>
      </c>
      <c r="B45" s="15" t="str">
        <f>'Tray Configuration'!C22</f>
        <v>WAIS_02M11_1_RAW_20210607</v>
      </c>
      <c r="C45" s="128" t="str">
        <f>'Picarro Output'!B346</f>
        <v xml:space="preserve">     P-281</v>
      </c>
      <c r="D45" s="118">
        <f>AVERAGE('Picarro Output'!F344:F346)</f>
        <v>-5.93</v>
      </c>
      <c r="E45" s="118">
        <f>AVERAGE('Picarro Output'!G344:G346)</f>
        <v>-36.952333333333335</v>
      </c>
      <c r="F45" s="52">
        <v>6</v>
      </c>
    </row>
    <row r="46" spans="1:6" x14ac:dyDescent="0.45">
      <c r="A46" s="16">
        <v>45</v>
      </c>
      <c r="B46" s="15" t="str">
        <f>'Tray Configuration'!D22</f>
        <v>WAIS_04M01_1_RAW_20210607</v>
      </c>
      <c r="C46" s="128" t="str">
        <f>'Picarro Output'!B352</f>
        <v xml:space="preserve">     P-282</v>
      </c>
      <c r="D46" s="118">
        <f>AVERAGE('Picarro Output'!F350:F352)</f>
        <v>-5.9340000000000002</v>
      </c>
      <c r="E46" s="118">
        <f>AVERAGE('Picarro Output'!G350:G352)</f>
        <v>-36.965333333333341</v>
      </c>
      <c r="F46" s="52">
        <v>6</v>
      </c>
    </row>
    <row r="47" spans="1:6" x14ac:dyDescent="0.45">
      <c r="A47" s="16">
        <v>46</v>
      </c>
      <c r="B47" s="15" t="str">
        <f>'Tray Configuration'!E22</f>
        <v>WAIS_04M03_1_RAW_20210607</v>
      </c>
      <c r="C47" s="128" t="str">
        <f>'Picarro Output'!B358</f>
        <v xml:space="preserve">     P-283</v>
      </c>
      <c r="D47" s="118">
        <f>AVERAGE('Picarro Output'!F356:F358)</f>
        <v>-5.9463333333333326</v>
      </c>
      <c r="E47" s="118">
        <f>AVERAGE('Picarro Output'!G356:G358)</f>
        <v>-37.082999999999998</v>
      </c>
      <c r="F47" s="52">
        <v>6</v>
      </c>
    </row>
    <row r="48" spans="1:6" x14ac:dyDescent="0.45">
      <c r="A48" s="16">
        <v>47</v>
      </c>
      <c r="B48" s="15" t="str">
        <f>'Tray Configuration'!F22</f>
        <v>WAIS_04M04_1_RAW_20210607</v>
      </c>
      <c r="C48" s="128" t="str">
        <f>'Picarro Output'!B364</f>
        <v xml:space="preserve">     P-284</v>
      </c>
      <c r="D48" s="118">
        <f>AVERAGE('Picarro Output'!F362:F364)</f>
        <v>-5.9229999999999992</v>
      </c>
      <c r="E48" s="118">
        <f>AVERAGE('Picarro Output'!G362:G364)</f>
        <v>-37.007333333333328</v>
      </c>
      <c r="F48" s="52">
        <v>6</v>
      </c>
    </row>
    <row r="49" spans="1:6" x14ac:dyDescent="0.45">
      <c r="A49" s="16">
        <v>48</v>
      </c>
      <c r="B49" s="15" t="str">
        <f>'Tray Configuration'!G22</f>
        <v>WAIS_04M06_1_RAW_20210607</v>
      </c>
      <c r="C49" s="128" t="str">
        <f>'Picarro Output'!B370</f>
        <v xml:space="preserve">     P-285</v>
      </c>
      <c r="D49" s="118">
        <f>AVERAGE('Picarro Output'!F368:F370)</f>
        <v>-5.9543333333333335</v>
      </c>
      <c r="E49" s="118">
        <f>AVERAGE('Picarro Output'!G368:G370)</f>
        <v>-37.141333333333336</v>
      </c>
      <c r="F49" s="52">
        <v>6</v>
      </c>
    </row>
    <row r="50" spans="1:6" x14ac:dyDescent="0.45">
      <c r="A50" s="16">
        <v>49</v>
      </c>
      <c r="B50" s="15" t="str">
        <f>'Tray Configuration'!H22</f>
        <v>Ouachita</v>
      </c>
      <c r="C50" s="128" t="str">
        <f>'Picarro Output'!B376</f>
        <v xml:space="preserve">     P-286</v>
      </c>
      <c r="D50" s="118">
        <f>AVERAGE('Picarro Output'!F374:F376)</f>
        <v>-5.4909999999999997</v>
      </c>
      <c r="E50" s="118">
        <f>AVERAGE('Picarro Output'!G374:G376)</f>
        <v>-29.453666666666663</v>
      </c>
      <c r="F50" s="52">
        <v>6</v>
      </c>
    </row>
    <row r="51" spans="1:6" x14ac:dyDescent="0.45">
      <c r="A51" s="16">
        <v>50</v>
      </c>
      <c r="B51" s="15" t="str">
        <f>'Tray Configuration'!B21</f>
        <v>WAIS_04M07_1_RAW_20210607</v>
      </c>
      <c r="C51" s="128" t="str">
        <f>'Picarro Output'!B382</f>
        <v xml:space="preserve">     P-287</v>
      </c>
      <c r="D51" s="118">
        <f>AVERAGE('Picarro Output'!F380:F382)</f>
        <v>-5.9776666666666669</v>
      </c>
      <c r="E51" s="118">
        <f>AVERAGE('Picarro Output'!G380:G382)</f>
        <v>-37.085333333333331</v>
      </c>
      <c r="F51" s="52">
        <v>6</v>
      </c>
    </row>
    <row r="52" spans="1:6" x14ac:dyDescent="0.45">
      <c r="A52" s="16">
        <v>51</v>
      </c>
      <c r="B52" s="15" t="str">
        <f>'Tray Configuration'!C21</f>
        <v>WAIS_04M08_1_RAW__20210607</v>
      </c>
      <c r="C52" s="128" t="str">
        <f>'Picarro Output'!B388</f>
        <v xml:space="preserve">     P-288</v>
      </c>
      <c r="D52" s="118">
        <f>AVERAGE('Picarro Output'!F386:F388)</f>
        <v>-5.9776666666666669</v>
      </c>
      <c r="E52" s="118">
        <f>AVERAGE('Picarro Output'!G386:G388)</f>
        <v>-37.05466666666667</v>
      </c>
      <c r="F52" s="52">
        <v>6</v>
      </c>
    </row>
    <row r="53" spans="1:6" x14ac:dyDescent="0.45">
      <c r="A53" s="16">
        <v>52</v>
      </c>
      <c r="B53" s="15" t="str">
        <f>'Tray Configuration'!D21</f>
        <v>WAIS_04M10_1_RAW_20210607</v>
      </c>
      <c r="C53" s="128" t="str">
        <f>'Picarro Output'!B394</f>
        <v xml:space="preserve">     P-289</v>
      </c>
      <c r="D53" s="118">
        <f>AVERAGE('Picarro Output'!F392:F394)</f>
        <v>-5.992333333333332</v>
      </c>
      <c r="E53" s="118">
        <f>AVERAGE('Picarro Output'!G392:G394)</f>
        <v>-37.126333333333328</v>
      </c>
      <c r="F53" s="52">
        <v>6</v>
      </c>
    </row>
    <row r="54" spans="1:6" x14ac:dyDescent="0.45">
      <c r="A54" s="16">
        <v>53</v>
      </c>
      <c r="B54" s="15" t="str">
        <f>'Tray Configuration'!E21</f>
        <v>WAIS_04M11_1_RAW_20210607</v>
      </c>
      <c r="C54" s="128" t="str">
        <f>'Picarro Output'!B400</f>
        <v xml:space="preserve">     P-290</v>
      </c>
      <c r="D54" s="118">
        <f>AVERAGE('Picarro Output'!F398:F400)</f>
        <v>-5.9703333333333335</v>
      </c>
      <c r="E54" s="118">
        <f>AVERAGE('Picarro Output'!G398:G400)</f>
        <v>-37.034999999999997</v>
      </c>
      <c r="F54" s="52">
        <v>6</v>
      </c>
    </row>
    <row r="55" spans="1:6" x14ac:dyDescent="0.45">
      <c r="A55" s="16">
        <v>54</v>
      </c>
      <c r="B55" s="15" t="str">
        <f>'Tray Configuration'!F21</f>
        <v>WAIS_04W03_1_RAW_20210607</v>
      </c>
      <c r="C55" s="128" t="str">
        <f>'Picarro Output'!B406</f>
        <v xml:space="preserve">     P-291</v>
      </c>
      <c r="D55" s="118">
        <f>AVERAGE('Picarro Output'!F404:F406)</f>
        <v>-5.9126666666666665</v>
      </c>
      <c r="E55" s="118">
        <f>AVERAGE('Picarro Output'!G404:G406)</f>
        <v>-36.708333333333336</v>
      </c>
      <c r="F55" s="52">
        <v>6</v>
      </c>
    </row>
    <row r="56" spans="1:6" x14ac:dyDescent="0.45">
      <c r="A56" s="16">
        <v>55</v>
      </c>
      <c r="B56" s="15" t="str">
        <f>'Tray Configuration'!G21</f>
        <v>WAIS_04W02_1_RAW_20210607</v>
      </c>
      <c r="C56" s="128" t="str">
        <f>'Picarro Output'!B412</f>
        <v xml:space="preserve">     P-292</v>
      </c>
      <c r="D56" s="118">
        <f>AVERAGE('Picarro Output'!F410:F412)</f>
        <v>-5.8266666666666671</v>
      </c>
      <c r="E56" s="118">
        <f>AVERAGE('Picarro Output'!G410:G412)</f>
        <v>-36.31366666666667</v>
      </c>
      <c r="F56" s="52">
        <v>6</v>
      </c>
    </row>
    <row r="57" spans="1:6" x14ac:dyDescent="0.45">
      <c r="A57" s="16">
        <v>56</v>
      </c>
      <c r="B57" s="15" t="str">
        <f>'Tray Configuration'!H21</f>
        <v>Ouachita</v>
      </c>
      <c r="C57" s="128" t="str">
        <f>'Picarro Output'!B418</f>
        <v xml:space="preserve">     P-293</v>
      </c>
      <c r="D57" s="118">
        <f>AVERAGE('Picarro Output'!F416:F418)</f>
        <v>-5.4980000000000002</v>
      </c>
      <c r="E57" s="118">
        <f>AVERAGE('Picarro Output'!G416:G418)</f>
        <v>-29.418333333333333</v>
      </c>
      <c r="F57" s="52">
        <v>6</v>
      </c>
    </row>
    <row r="58" spans="1:6" x14ac:dyDescent="0.45">
      <c r="A58" s="16">
        <v>57</v>
      </c>
      <c r="B58" s="15" t="str">
        <f>'Tray Configuration'!B20</f>
        <v>WAIS_04W04_1_RAW_20210607</v>
      </c>
      <c r="C58" s="128" t="str">
        <f>'Picarro Output'!B424</f>
        <v xml:space="preserve">     P-294</v>
      </c>
      <c r="D58" s="118">
        <f>AVERAGE('Picarro Output'!F422:F424)</f>
        <v>-5.8606666666666669</v>
      </c>
      <c r="E58" s="118">
        <f>AVERAGE('Picarro Output'!G422:G424)</f>
        <v>-36.606333333333332</v>
      </c>
      <c r="F58" s="52">
        <v>6</v>
      </c>
    </row>
    <row r="59" spans="1:6" x14ac:dyDescent="0.45">
      <c r="A59" s="16">
        <v>58</v>
      </c>
      <c r="B59" s="15" t="str">
        <f>'Tray Configuration'!C20</f>
        <v>WAIS_04T02_1_RAW_20210607</v>
      </c>
      <c r="C59" s="128" t="str">
        <f>'Picarro Output'!B430</f>
        <v xml:space="preserve">     P-295</v>
      </c>
      <c r="D59" s="118">
        <f>AVERAGE('Picarro Output'!F428:F430)</f>
        <v>-5.9516666666666671</v>
      </c>
      <c r="E59" s="118">
        <f>AVERAGE('Picarro Output'!G428:G430)</f>
        <v>-36.994</v>
      </c>
      <c r="F59" s="52">
        <v>6</v>
      </c>
    </row>
    <row r="60" spans="1:6" x14ac:dyDescent="0.45">
      <c r="A60" s="16">
        <v>59</v>
      </c>
      <c r="B60" s="15" t="str">
        <f>'Tray Configuration'!D20</f>
        <v>WAIS_SFM01_1_RAW_20210723</v>
      </c>
      <c r="C60" s="128" t="str">
        <f>'Picarro Output'!B436</f>
        <v xml:space="preserve">     P-296</v>
      </c>
      <c r="D60" s="118">
        <f>AVERAGE('Picarro Output'!F434:F436)</f>
        <v>-5.817333333333333</v>
      </c>
      <c r="E60" s="118">
        <f>AVERAGE('Picarro Output'!G434:G436)</f>
        <v>-35.996333333333332</v>
      </c>
      <c r="F60" s="52">
        <v>6</v>
      </c>
    </row>
    <row r="61" spans="1:6" x14ac:dyDescent="0.45">
      <c r="A61" s="16">
        <v>60</v>
      </c>
      <c r="B61" s="15" t="str">
        <f>'Tray Configuration'!E20</f>
        <v>WAIS_SFM05_1_RAW_20210713</v>
      </c>
      <c r="C61" s="128" t="str">
        <f>'Picarro Output'!B442</f>
        <v xml:space="preserve">     P-297</v>
      </c>
      <c r="D61" s="118">
        <f>AVERAGE('Picarro Output'!F440:F442)</f>
        <v>-5.7019999999999991</v>
      </c>
      <c r="E61" s="118">
        <f>AVERAGE('Picarro Output'!G440:G442)</f>
        <v>-36.556000000000004</v>
      </c>
      <c r="F61" s="52">
        <v>6</v>
      </c>
    </row>
    <row r="62" spans="1:6" x14ac:dyDescent="0.45">
      <c r="A62" s="16">
        <v>61</v>
      </c>
      <c r="B62" s="15" t="str">
        <f>'Tray Configuration'!F20</f>
        <v>WAIS_SFT01_1_RAW_20210713</v>
      </c>
      <c r="C62" s="128" t="str">
        <f>'Picarro Output'!B448</f>
        <v xml:space="preserve">     P-298</v>
      </c>
      <c r="D62" s="118">
        <f>AVERAGE('Picarro Output'!F446:F448)</f>
        <v>-5.8043333333333331</v>
      </c>
      <c r="E62" s="118">
        <f>AVERAGE('Picarro Output'!G446:G448)</f>
        <v>-37.108666666666664</v>
      </c>
      <c r="F62" s="52">
        <v>6</v>
      </c>
    </row>
    <row r="63" spans="1:6" x14ac:dyDescent="0.45">
      <c r="A63" s="16">
        <v>62</v>
      </c>
      <c r="B63" s="15" t="str">
        <f>'Tray Configuration'!G20</f>
        <v>WAIS_01M02_1_RAW_20210713</v>
      </c>
      <c r="C63" s="128" t="str">
        <f>'Picarro Output'!B454</f>
        <v xml:space="preserve">     P-299</v>
      </c>
      <c r="D63" s="118">
        <f>AVERAGE('Picarro Output'!F452:F454)</f>
        <v>-6.1373333333333333</v>
      </c>
      <c r="E63" s="118">
        <f>AVERAGE('Picarro Output'!G452:G454)</f>
        <v>-38.197000000000003</v>
      </c>
      <c r="F63" s="52">
        <v>6</v>
      </c>
    </row>
    <row r="64" spans="1:6" x14ac:dyDescent="0.45">
      <c r="A64" s="16">
        <v>63</v>
      </c>
      <c r="B64" s="15" t="str">
        <f>'Tray Configuration'!H20</f>
        <v>Ouachita</v>
      </c>
      <c r="C64" s="128" t="str">
        <f>'Picarro Output'!B460</f>
        <v xml:space="preserve">     P-300</v>
      </c>
      <c r="D64" s="118">
        <f>AVERAGE('Picarro Output'!F458:F460)</f>
        <v>-5.4973333333333327</v>
      </c>
      <c r="E64" s="118">
        <f>AVERAGE('Picarro Output'!G458:G460)</f>
        <v>-29.454666666666668</v>
      </c>
      <c r="F64" s="52">
        <v>6</v>
      </c>
    </row>
    <row r="65" spans="1:6" x14ac:dyDescent="0.45">
      <c r="A65" s="16">
        <v>64</v>
      </c>
      <c r="B65" s="15" t="str">
        <f>'Tray Configuration'!B19</f>
        <v>WAIS_01M05_1_RAW_20210713</v>
      </c>
      <c r="C65" s="128" t="str">
        <f>'Picarro Output'!B466</f>
        <v xml:space="preserve">     P-301</v>
      </c>
      <c r="D65" s="118">
        <f>AVERAGE('Picarro Output'!F464:F466)</f>
        <v>-5.6083333333333334</v>
      </c>
      <c r="E65" s="118">
        <f>AVERAGE('Picarro Output'!G464:G466)</f>
        <v>-35.685333333333332</v>
      </c>
      <c r="F65" s="52">
        <v>6</v>
      </c>
    </row>
    <row r="66" spans="1:6" x14ac:dyDescent="0.45">
      <c r="A66" s="16">
        <v>65</v>
      </c>
      <c r="B66" s="15" t="str">
        <f>'Tray Configuration'!C19</f>
        <v>WAIS_20M05_1_RAW_20210713</v>
      </c>
      <c r="C66" s="128" t="str">
        <f>'Picarro Output'!B472</f>
        <v xml:space="preserve">     P-302</v>
      </c>
      <c r="D66" s="118">
        <f>AVERAGE('Picarro Output'!F470:F472)</f>
        <v>-5.1253333333333337</v>
      </c>
      <c r="E66" s="118">
        <f>AVERAGE('Picarro Output'!G470:G472)</f>
        <v>-32.254999999999995</v>
      </c>
      <c r="F66" s="52">
        <v>6</v>
      </c>
    </row>
    <row r="67" spans="1:6" x14ac:dyDescent="0.45">
      <c r="A67" s="16">
        <v>66</v>
      </c>
      <c r="B67" s="15" t="str">
        <f>'Tray Configuration'!D19</f>
        <v>WAIS_02M05_1_RAW_20210713</v>
      </c>
      <c r="C67" s="128" t="str">
        <f>'Picarro Output'!B478</f>
        <v xml:space="preserve">     P-303</v>
      </c>
      <c r="D67" s="118">
        <f>AVERAGE('Picarro Output'!F476:F478)</f>
        <v>-5.6813333333333338</v>
      </c>
      <c r="E67" s="118">
        <f>AVERAGE('Picarro Output'!G476:G478)</f>
        <v>-36.277666666666669</v>
      </c>
      <c r="F67" s="52">
        <v>6</v>
      </c>
    </row>
    <row r="68" spans="1:6" x14ac:dyDescent="0.45">
      <c r="A68" s="16">
        <v>67</v>
      </c>
      <c r="B68" s="15" t="str">
        <f>'Tray Configuration'!E19</f>
        <v>Ouachita</v>
      </c>
      <c r="C68" s="128" t="str">
        <f>'Picarro Output'!B493</f>
        <v xml:space="preserve">     P-304</v>
      </c>
      <c r="D68" s="118">
        <f>AVERAGE('Picarro Output'!F489:F493)</f>
        <v>-5.4942000000000011</v>
      </c>
      <c r="E68" s="118">
        <f>AVERAGE('Picarro Output'!G489:G493)</f>
        <v>-29.343</v>
      </c>
      <c r="F68" s="52">
        <v>15</v>
      </c>
    </row>
    <row r="69" spans="1:6" x14ac:dyDescent="0.45">
      <c r="A69" s="16">
        <v>68</v>
      </c>
      <c r="B69" s="15" t="str">
        <f>'Tray Configuration'!F19</f>
        <v>Sipsey</v>
      </c>
      <c r="C69" s="128" t="str">
        <f>'Picarro Output'!B508</f>
        <v xml:space="preserve">     P-305</v>
      </c>
      <c r="D69" s="118">
        <f>AVERAGE('Picarro Output'!F504:F508)</f>
        <v>-4.5606</v>
      </c>
      <c r="E69" s="118">
        <f>AVERAGE('Picarro Output'!G504:G508)</f>
        <v>-22.405999999999999</v>
      </c>
      <c r="F69" s="52">
        <v>15</v>
      </c>
    </row>
    <row r="70" spans="1:6" x14ac:dyDescent="0.45">
      <c r="A70" s="16">
        <v>69</v>
      </c>
      <c r="B70" s="15" t="str">
        <f>'Tray Configuration'!G19</f>
        <v>Iceland</v>
      </c>
      <c r="C70" s="128" t="str">
        <f>'Picarro Output'!B523</f>
        <v xml:space="preserve">     P-306</v>
      </c>
      <c r="D70" s="118">
        <f>AVERAGE('Picarro Output'!F519:F523)</f>
        <v>-7.9882000000000009</v>
      </c>
      <c r="E70" s="118">
        <f>AVERAGE('Picarro Output'!G519:G523)</f>
        <v>-52.547600000000003</v>
      </c>
      <c r="F70" s="52">
        <v>15</v>
      </c>
    </row>
    <row r="71" spans="1:6" x14ac:dyDescent="0.45">
      <c r="A71" s="16">
        <v>70</v>
      </c>
      <c r="B71" s="15" t="str">
        <f>'Tray Configuration'!H19</f>
        <v>Ouachita</v>
      </c>
      <c r="C71" s="128" t="str">
        <f>'Picarro Output'!B538</f>
        <v xml:space="preserve">     P-307</v>
      </c>
      <c r="D71" s="118">
        <f>AVERAGE('Picarro Output'!F534:F538)</f>
        <v>-5.5171999999999999</v>
      </c>
      <c r="E71" s="118">
        <f>AVERAGE('Picarro Output'!G534:G538)</f>
        <v>-29.4558</v>
      </c>
      <c r="F71" s="52">
        <v>15</v>
      </c>
    </row>
    <row r="72" spans="1:6" x14ac:dyDescent="0.45">
      <c r="A72" s="16">
        <v>71</v>
      </c>
      <c r="B72" s="15" t="str">
        <f>'Tray Configuration'!B18</f>
        <v>WAIS_02M05_1_RAW_20210713</v>
      </c>
      <c r="C72" s="127" t="str">
        <f>'Picarro Output'!B544</f>
        <v xml:space="preserve">     P-308</v>
      </c>
      <c r="D72" s="118">
        <f>AVERAGE('Picarro Output'!F542:F544)</f>
        <v>-5.9193333333333333</v>
      </c>
      <c r="E72" s="118">
        <f>AVERAGE('Picarro Output'!G542:G544)</f>
        <v>-37.184666666666665</v>
      </c>
      <c r="F72" s="52">
        <v>6</v>
      </c>
    </row>
    <row r="73" spans="1:6" x14ac:dyDescent="0.45">
      <c r="A73" s="16">
        <v>72</v>
      </c>
      <c r="B73" s="15" t="str">
        <f>'Tray Configuration'!C18</f>
        <v>WAIS_02M07_1_RAW_20210713</v>
      </c>
      <c r="C73" s="127" t="str">
        <f>'Picarro Output'!B550</f>
        <v xml:space="preserve">     P-309</v>
      </c>
      <c r="D73" s="118">
        <f>AVERAGE('Picarro Output'!F548:F550)</f>
        <v>-5.9533333333333331</v>
      </c>
      <c r="E73" s="118">
        <f>AVERAGE('Picarro Output'!G548:G550)</f>
        <v>-37.344666666666662</v>
      </c>
      <c r="F73" s="52">
        <v>6</v>
      </c>
    </row>
    <row r="74" spans="1:6" x14ac:dyDescent="0.45">
      <c r="A74" s="16">
        <v>73</v>
      </c>
      <c r="B74" s="15" t="str">
        <f>'Tray Configuration'!D18</f>
        <v>WAIS_02M10_1_RAW_20210713</v>
      </c>
      <c r="C74" s="127" t="str">
        <f>'Picarro Output'!B556</f>
        <v xml:space="preserve">     P-310</v>
      </c>
      <c r="D74" s="118">
        <f>AVERAGE('Picarro Output'!F554:F556)</f>
        <v>-5.5973333333333324</v>
      </c>
      <c r="E74" s="118">
        <f>AVERAGE('Picarro Output'!G554:G556)</f>
        <v>-35.324333333333328</v>
      </c>
      <c r="F74" s="52">
        <v>6</v>
      </c>
    </row>
    <row r="75" spans="1:6" x14ac:dyDescent="0.45">
      <c r="A75" s="16">
        <v>74</v>
      </c>
      <c r="B75" s="15" t="str">
        <f>'Tray Configuration'!E18</f>
        <v>WAIS_02M11_1_RAW_20210713</v>
      </c>
      <c r="C75" s="127" t="str">
        <f>'Picarro Output'!B562</f>
        <v xml:space="preserve">     P-311</v>
      </c>
      <c r="D75" s="118">
        <f>AVERAGE('Picarro Output'!F560:F562)</f>
        <v>-5.6019999999999994</v>
      </c>
      <c r="E75" s="118">
        <f>AVERAGE('Picarro Output'!G560:G562)</f>
        <v>-35.202333333333335</v>
      </c>
      <c r="F75" s="52">
        <v>6</v>
      </c>
    </row>
    <row r="76" spans="1:6" x14ac:dyDescent="0.45">
      <c r="A76" s="16">
        <v>75</v>
      </c>
      <c r="B76" s="15" t="str">
        <f>'Tray Configuration'!F18</f>
        <v>WAIS_04M01_1_RAW_20210713</v>
      </c>
      <c r="C76" s="127" t="str">
        <f>'Picarro Output'!B568</f>
        <v xml:space="preserve">     P-312</v>
      </c>
      <c r="D76" s="118">
        <f>AVERAGE('Picarro Output'!F566:F568)</f>
        <v>-5.8419999999999996</v>
      </c>
      <c r="E76" s="118">
        <f>AVERAGE('Picarro Output'!G566:G568)</f>
        <v>-36.76466666666667</v>
      </c>
      <c r="F76" s="52">
        <v>6</v>
      </c>
    </row>
    <row r="77" spans="1:6" x14ac:dyDescent="0.45">
      <c r="A77" s="16">
        <v>76</v>
      </c>
      <c r="B77" s="15" t="str">
        <f>'Tray Configuration'!G18</f>
        <v>WAIS_04M03_1_RAW_20210713</v>
      </c>
      <c r="C77" s="127" t="str">
        <f>'Picarro Output'!B574</f>
        <v xml:space="preserve">     P-313</v>
      </c>
      <c r="D77" s="118">
        <f>AVERAGE('Picarro Output'!F572:F574)</f>
        <v>-5.5210000000000008</v>
      </c>
      <c r="E77" s="118">
        <f>AVERAGE('Picarro Output'!G572:G574)</f>
        <v>-35.240999999999993</v>
      </c>
      <c r="F77" s="52">
        <v>6</v>
      </c>
    </row>
    <row r="78" spans="1:6" x14ac:dyDescent="0.45">
      <c r="A78" s="16">
        <v>77</v>
      </c>
      <c r="B78" s="15" t="str">
        <f>'Tray Configuration'!H18</f>
        <v>Ouachita</v>
      </c>
      <c r="C78" s="127" t="str">
        <f>'Picarro Output'!B580</f>
        <v xml:space="preserve">     P-314</v>
      </c>
      <c r="D78" s="118">
        <f>AVERAGE('Picarro Output'!F578:F580)</f>
        <v>-5.4743333333333339</v>
      </c>
      <c r="E78" s="118">
        <f>AVERAGE('Picarro Output'!G578:G580)</f>
        <v>-29.403000000000002</v>
      </c>
      <c r="F78" s="52">
        <v>6</v>
      </c>
    </row>
    <row r="79" spans="1:6" x14ac:dyDescent="0.45">
      <c r="A79" s="16">
        <v>78</v>
      </c>
      <c r="B79" s="15" t="str">
        <f>'Tray Configuration'!B17</f>
        <v>WAIS_04M04_1_RAW_20210713</v>
      </c>
      <c r="C79" s="127" t="str">
        <f>'Picarro Output'!B586</f>
        <v xml:space="preserve">     P-315</v>
      </c>
      <c r="D79" s="118">
        <f>AVERAGE('Picarro Output'!F584:F586)</f>
        <v>-5.8120000000000003</v>
      </c>
      <c r="E79" s="118">
        <f>AVERAGE('Picarro Output'!G584:G586)</f>
        <v>-36.445666666666668</v>
      </c>
      <c r="F79" s="52">
        <v>6</v>
      </c>
    </row>
    <row r="80" spans="1:6" x14ac:dyDescent="0.45">
      <c r="A80" s="16">
        <v>79</v>
      </c>
      <c r="B80" s="15" t="str">
        <f>'Tray Configuration'!C17</f>
        <v>WAIS_04M06_1_RAW_20210713</v>
      </c>
      <c r="C80" s="127" t="str">
        <f>'Picarro Output'!B592</f>
        <v xml:space="preserve">     P-316</v>
      </c>
      <c r="D80" s="118">
        <f>AVERAGE('Picarro Output'!F590:F592)</f>
        <v>-5.9476666666666667</v>
      </c>
      <c r="E80" s="118">
        <f>AVERAGE('Picarro Output'!G590:G592)</f>
        <v>-37.156333333333329</v>
      </c>
      <c r="F80" s="52">
        <v>6</v>
      </c>
    </row>
    <row r="81" spans="1:6" x14ac:dyDescent="0.45">
      <c r="A81" s="16">
        <v>80</v>
      </c>
      <c r="B81" s="15" t="str">
        <f>'Tray Configuration'!D17</f>
        <v>WAIS_04M08_1_RAW_20210713</v>
      </c>
      <c r="C81" s="127" t="str">
        <f>'Picarro Output'!B598</f>
        <v xml:space="preserve">     P-317</v>
      </c>
      <c r="D81" s="118">
        <f>AVERAGE('Picarro Output'!F596:F598)</f>
        <v>-5.9416666666666664</v>
      </c>
      <c r="E81" s="118">
        <f>AVERAGE('Picarro Output'!G596:G598)</f>
        <v>-37.276333333333334</v>
      </c>
      <c r="F81" s="52">
        <v>6</v>
      </c>
    </row>
    <row r="82" spans="1:6" x14ac:dyDescent="0.45">
      <c r="A82" s="16">
        <v>81</v>
      </c>
      <c r="B82" s="15" t="str">
        <f>'Tray Configuration'!E17</f>
        <v>WAIS_04W03_1_RAW_20210713</v>
      </c>
      <c r="C82" s="127" t="str">
        <f>'Picarro Output'!B604</f>
        <v xml:space="preserve">     P-318</v>
      </c>
      <c r="D82" s="118">
        <f>AVERAGE('Picarro Output'!F602:F604)</f>
        <v>-5.8656666666666668</v>
      </c>
      <c r="E82" s="118">
        <f>AVERAGE('Picarro Output'!G602:G604)</f>
        <v>-36.802</v>
      </c>
      <c r="F82" s="52">
        <v>6</v>
      </c>
    </row>
    <row r="83" spans="1:6" x14ac:dyDescent="0.45">
      <c r="A83" s="16">
        <v>82</v>
      </c>
      <c r="B83" s="15" t="str">
        <f>'Tray Configuration'!F17</f>
        <v>WAIS_04W04_1_RAW_20210713</v>
      </c>
      <c r="C83" s="127" t="str">
        <f>'Picarro Output'!B610</f>
        <v xml:space="preserve">     P-319</v>
      </c>
      <c r="D83" s="118">
        <f>AVERAGE('Picarro Output'!F608:F610)</f>
        <v>-5.9816666666666665</v>
      </c>
      <c r="E83" s="118">
        <f>AVERAGE('Picarro Output'!G608:G610)</f>
        <v>-37.596333333333334</v>
      </c>
      <c r="F83" s="52">
        <v>6</v>
      </c>
    </row>
    <row r="84" spans="1:6" x14ac:dyDescent="0.45">
      <c r="A84" s="16">
        <v>83</v>
      </c>
      <c r="B84" s="15" t="str">
        <f>'Tray Configuration'!G17</f>
        <v>WAIS_N04D_1_RAW_20210723</v>
      </c>
      <c r="C84" s="127" t="str">
        <f>'Picarro Output'!B616</f>
        <v xml:space="preserve">     P-320</v>
      </c>
      <c r="D84" s="118">
        <f>AVERAGE('Picarro Output'!F614:F616)</f>
        <v>-4.6686666666666667</v>
      </c>
      <c r="E84" s="118">
        <f>AVERAGE('Picarro Output'!G614:G616)</f>
        <v>-31.358333333333331</v>
      </c>
      <c r="F84" s="52">
        <v>6</v>
      </c>
    </row>
    <row r="85" spans="1:6" x14ac:dyDescent="0.45">
      <c r="A85" s="16">
        <v>84</v>
      </c>
      <c r="B85" s="15" t="str">
        <f>'Tray Configuration'!H17</f>
        <v>Ouachita</v>
      </c>
      <c r="C85" s="127" t="str">
        <f>'Picarro Output'!B622</f>
        <v xml:space="preserve">     P-321</v>
      </c>
      <c r="D85" s="118">
        <f>AVERAGE('Picarro Output'!F620:F622)</f>
        <v>-5.4876666666666667</v>
      </c>
      <c r="E85" s="118">
        <f>AVERAGE('Picarro Output'!G620:G622)</f>
        <v>-29.369666666666664</v>
      </c>
      <c r="F85" s="52">
        <v>6</v>
      </c>
    </row>
    <row r="86" spans="1:6" x14ac:dyDescent="0.45">
      <c r="A86" s="16">
        <v>85</v>
      </c>
      <c r="B86" s="15" t="str">
        <f>'Tray Configuration'!B16</f>
        <v>WAIS_SFT01_1_RAW_20210809</v>
      </c>
      <c r="C86" s="127" t="str">
        <f>'Picarro Output'!B628</f>
        <v xml:space="preserve">     P-322</v>
      </c>
      <c r="D86" s="118">
        <f>AVERAGE('Picarro Output'!F626:F628)</f>
        <v>-5.6930000000000005</v>
      </c>
      <c r="E86" s="118">
        <f>AVERAGE('Picarro Output'!G626:G628)</f>
        <v>-36.032333333333334</v>
      </c>
      <c r="F86" s="52">
        <v>6</v>
      </c>
    </row>
    <row r="87" spans="1:6" x14ac:dyDescent="0.45">
      <c r="A87" s="16">
        <v>86</v>
      </c>
      <c r="B87" s="15" t="str">
        <f>'Tray Configuration'!C16</f>
        <v>WAIS_01M01_1_RAW_20210809</v>
      </c>
      <c r="C87" s="127" t="str">
        <f>'Picarro Output'!B634</f>
        <v xml:space="preserve">     P-323</v>
      </c>
      <c r="D87" s="118">
        <f>AVERAGE('Picarro Output'!F632:F634)</f>
        <v>5.5333333333333325E-2</v>
      </c>
      <c r="E87" s="118">
        <f>AVERAGE('Picarro Output'!G632:G634)</f>
        <v>2.1010000000000004</v>
      </c>
      <c r="F87" s="52">
        <v>6</v>
      </c>
    </row>
    <row r="88" spans="1:6" x14ac:dyDescent="0.45">
      <c r="A88" s="16">
        <v>87</v>
      </c>
      <c r="B88" s="15" t="str">
        <f>'Tray Configuration'!D16</f>
        <v>WAIS_01M05_1_RAW_20210809</v>
      </c>
      <c r="C88" s="127" t="str">
        <f>'Picarro Output'!B640</f>
        <v xml:space="preserve">     P-324</v>
      </c>
      <c r="D88" s="118">
        <f>AVERAGE('Picarro Output'!F638:F640)</f>
        <v>-5.2190000000000003</v>
      </c>
      <c r="E88" s="118">
        <f>AVERAGE('Picarro Output'!G638:G640)</f>
        <v>-32.437000000000005</v>
      </c>
      <c r="F88" s="52">
        <v>6</v>
      </c>
    </row>
    <row r="89" spans="1:6" x14ac:dyDescent="0.45">
      <c r="A89" s="16">
        <v>88</v>
      </c>
      <c r="B89" s="15" t="str">
        <f>'Tray Configuration'!E16</f>
        <v>WAIS_02M05_1_RAW_20210809</v>
      </c>
      <c r="C89" s="127" t="str">
        <f>'Picarro Output'!B646</f>
        <v xml:space="preserve">     P-325</v>
      </c>
      <c r="D89" s="118">
        <f>AVERAGE('Picarro Output'!F644:F646)</f>
        <v>-5.8583333333333334</v>
      </c>
      <c r="E89" s="118">
        <f>AVERAGE('Picarro Output'!G644:G646)</f>
        <v>-36.491666666666667</v>
      </c>
      <c r="F89" s="52">
        <v>6</v>
      </c>
    </row>
    <row r="90" spans="1:6" x14ac:dyDescent="0.45">
      <c r="A90" s="16">
        <v>89</v>
      </c>
      <c r="B90" s="15" t="str">
        <f>'Tray Configuration'!F16</f>
        <v>WAIS_02M06_1_RAW_20210809</v>
      </c>
      <c r="C90" s="127" t="str">
        <f>'Picarro Output'!B652</f>
        <v xml:space="preserve">     P-326</v>
      </c>
      <c r="D90" s="118">
        <f>AVERAGE('Picarro Output'!F650:F652)</f>
        <v>-1.6216666666666668</v>
      </c>
      <c r="E90" s="118">
        <f>AVERAGE('Picarro Output'!G650:G652)</f>
        <v>-12.523333333333333</v>
      </c>
      <c r="F90" s="52">
        <v>6</v>
      </c>
    </row>
    <row r="91" spans="1:6" x14ac:dyDescent="0.45">
      <c r="A91" s="16">
        <v>90</v>
      </c>
      <c r="B91" s="15" t="str">
        <f>'Tray Configuration'!G16</f>
        <v>WAIS_04M01_1_RAW_20210809</v>
      </c>
      <c r="C91" s="127" t="str">
        <f>'Picarro Output'!B658</f>
        <v xml:space="preserve">     P-327</v>
      </c>
      <c r="D91" s="118">
        <f>AVERAGE('Picarro Output'!F656:F658)</f>
        <v>-4.6766666666666667</v>
      </c>
      <c r="E91" s="118">
        <f>AVERAGE('Picarro Output'!G656:G658)</f>
        <v>-29.060333333333332</v>
      </c>
      <c r="F91" s="52">
        <v>6</v>
      </c>
    </row>
    <row r="92" spans="1:6" x14ac:dyDescent="0.45">
      <c r="A92" s="16">
        <v>91</v>
      </c>
      <c r="B92" s="15" t="str">
        <f>'Tray Configuration'!H16</f>
        <v>Ouachita</v>
      </c>
      <c r="C92" s="127" t="str">
        <f>'Picarro Output'!B664</f>
        <v xml:space="preserve">     P-328</v>
      </c>
      <c r="D92" s="118">
        <f>AVERAGE('Picarro Output'!F662:F664)</f>
        <v>-5.4913333333333334</v>
      </c>
      <c r="E92" s="118">
        <f>AVERAGE('Picarro Output'!G662:G664)</f>
        <v>-29.212666666666667</v>
      </c>
      <c r="F92" s="52">
        <v>6</v>
      </c>
    </row>
    <row r="93" spans="1:6" x14ac:dyDescent="0.45">
      <c r="A93" s="16">
        <v>92</v>
      </c>
      <c r="B93" s="15" t="str">
        <f>'Tray Configuration'!B15</f>
        <v>WAIS_04M03_1_RAW_20210809</v>
      </c>
      <c r="C93" s="127" t="str">
        <f>'Picarro Output'!B670</f>
        <v xml:space="preserve">     P-329</v>
      </c>
      <c r="D93" s="118">
        <f>AVERAGE('Picarro Output'!F668:F670)</f>
        <v>-4.9130000000000003</v>
      </c>
      <c r="E93" s="118">
        <f>AVERAGE('Picarro Output'!G668:G670)</f>
        <v>-30.786000000000001</v>
      </c>
      <c r="F93" s="52">
        <v>6</v>
      </c>
    </row>
    <row r="94" spans="1:6" x14ac:dyDescent="0.45">
      <c r="A94" s="16">
        <v>93</v>
      </c>
      <c r="B94" s="15" t="str">
        <f>'Tray Configuration'!C15</f>
        <v>WAIS_04M04_1_RAW_20210809</v>
      </c>
      <c r="C94" s="127" t="str">
        <f>'Picarro Output'!B676</f>
        <v xml:space="preserve">     P-330</v>
      </c>
      <c r="D94" s="118">
        <f>AVERAGE('Picarro Output'!F674:F676)</f>
        <v>-5.5903333333333336</v>
      </c>
      <c r="E94" s="118">
        <f>AVERAGE('Picarro Output'!G674:G676)</f>
        <v>-34.914666666666669</v>
      </c>
      <c r="F94" s="52">
        <v>6</v>
      </c>
    </row>
    <row r="95" spans="1:6" x14ac:dyDescent="0.45">
      <c r="A95" s="16">
        <v>94</v>
      </c>
      <c r="B95" s="15" t="str">
        <f>'Tray Configuration'!D15</f>
        <v>WAIS_04M05_1_RAW_20210810_S</v>
      </c>
      <c r="C95" s="127" t="str">
        <f>'Picarro Output'!B682</f>
        <v xml:space="preserve">     P-331</v>
      </c>
      <c r="D95" s="118">
        <f>AVERAGE('Picarro Output'!F680:F682)</f>
        <v>-5.7836666666666661</v>
      </c>
      <c r="E95" s="118">
        <f>AVERAGE('Picarro Output'!G680:G682)</f>
        <v>-36.211666666666666</v>
      </c>
      <c r="F95" s="52">
        <v>6</v>
      </c>
    </row>
    <row r="96" spans="1:6" x14ac:dyDescent="0.45">
      <c r="A96" s="16">
        <v>95</v>
      </c>
      <c r="B96" s="15" t="str">
        <f>'Tray Configuration'!E15</f>
        <v>WAIS_04M06_1_RAW_20210809</v>
      </c>
      <c r="C96" s="127" t="str">
        <f>'Picarro Output'!B688</f>
        <v xml:space="preserve">     P-332</v>
      </c>
      <c r="D96" s="118">
        <f>AVERAGE('Picarro Output'!F686:F688)</f>
        <v>-5.7670000000000003</v>
      </c>
      <c r="E96" s="118">
        <f>AVERAGE('Picarro Output'!G686:G688)</f>
        <v>-36.012666666666668</v>
      </c>
      <c r="F96" s="52">
        <v>6</v>
      </c>
    </row>
    <row r="97" spans="1:6" x14ac:dyDescent="0.45">
      <c r="A97" s="16">
        <v>96</v>
      </c>
      <c r="B97" s="15" t="str">
        <f>'Tray Configuration'!F15</f>
        <v>WAIS_02M07_1_RAW_20210809</v>
      </c>
      <c r="C97" s="127" t="str">
        <f>'Picarro Output'!B694</f>
        <v xml:space="preserve">     P-333</v>
      </c>
      <c r="D97" s="118">
        <f>AVERAGE('Picarro Output'!F692:F694)</f>
        <v>-2.5226666666666664</v>
      </c>
      <c r="E97" s="118">
        <f>AVERAGE('Picarro Output'!G692:G694)</f>
        <v>-18.237666666666666</v>
      </c>
      <c r="F97" s="52">
        <v>6</v>
      </c>
    </row>
    <row r="98" spans="1:6" x14ac:dyDescent="0.45">
      <c r="A98" s="16">
        <v>97</v>
      </c>
      <c r="B98" s="15" t="str">
        <f>'Tray Configuration'!G15</f>
        <v>WAIS_04M08_1_RAW_20210809</v>
      </c>
      <c r="C98" s="127" t="str">
        <f>'Picarro Output'!B700</f>
        <v xml:space="preserve">     P-334</v>
      </c>
      <c r="D98" s="118">
        <f>AVERAGE('Picarro Output'!F698:F700)</f>
        <v>-5.9403333333333324</v>
      </c>
      <c r="E98" s="118">
        <f>AVERAGE('Picarro Output'!G698:G700)</f>
        <v>-37.01766666666667</v>
      </c>
      <c r="F98" s="52">
        <v>6</v>
      </c>
    </row>
    <row r="99" spans="1:6" x14ac:dyDescent="0.45">
      <c r="A99" s="16">
        <v>98</v>
      </c>
      <c r="B99" s="15" t="str">
        <f>'Tray Configuration'!H15</f>
        <v>Ouachita</v>
      </c>
      <c r="C99" s="127" t="str">
        <f>'Picarro Output'!B706</f>
        <v xml:space="preserve">     P-335</v>
      </c>
      <c r="D99" s="118">
        <f>AVERAGE('Picarro Output'!F704:F706)</f>
        <v>-5.498333333333334</v>
      </c>
      <c r="E99" s="118">
        <f>AVERAGE('Picarro Output'!G704:G706)</f>
        <v>-29.374666666666666</v>
      </c>
      <c r="F99" s="52">
        <v>6</v>
      </c>
    </row>
    <row r="100" spans="1:6" x14ac:dyDescent="0.45">
      <c r="A100" s="16">
        <v>99</v>
      </c>
      <c r="B100" s="15" t="str">
        <f>'Tray Configuration'!B14</f>
        <v>WAIS_04M09_1_RAW_20210810_S</v>
      </c>
      <c r="C100" s="127" t="str">
        <f>'Picarro Output'!B712</f>
        <v xml:space="preserve">     P-336</v>
      </c>
      <c r="D100" s="118">
        <f>AVERAGE('Picarro Output'!F710:F712)</f>
        <v>-5.1366666666666667</v>
      </c>
      <c r="E100" s="118">
        <f>AVERAGE('Picarro Output'!G710:G712)</f>
        <v>-31.684666666666669</v>
      </c>
      <c r="F100" s="52">
        <v>6</v>
      </c>
    </row>
    <row r="101" spans="1:6" x14ac:dyDescent="0.45">
      <c r="A101" s="16">
        <v>100</v>
      </c>
      <c r="B101" s="15" t="str">
        <f>'Tray Configuration'!C14</f>
        <v>WAIS_04W03_1_RAW_20210809</v>
      </c>
      <c r="C101" s="127" t="str">
        <f>'Picarro Output'!B718</f>
        <v xml:space="preserve">     P-337</v>
      </c>
      <c r="D101" s="118">
        <f>AVERAGE('Picarro Output'!F716:F718)</f>
        <v>-4.7993333333333332</v>
      </c>
      <c r="E101" s="118">
        <f>AVERAGE('Picarro Output'!G716:G718)</f>
        <v>-29.809666666666669</v>
      </c>
      <c r="F101" s="52">
        <v>6</v>
      </c>
    </row>
    <row r="102" spans="1:6" x14ac:dyDescent="0.45">
      <c r="A102" s="16">
        <v>101</v>
      </c>
      <c r="B102" s="15" t="str">
        <f>'Tray Configuration'!D14</f>
        <v>WAIS_04W04_1_RAW_20210809</v>
      </c>
      <c r="C102" s="127" t="str">
        <f>'Picarro Output'!B724</f>
        <v xml:space="preserve">     P-338</v>
      </c>
      <c r="D102" s="118">
        <f>AVERAGE('Picarro Output'!F722:F724)</f>
        <v>-5.8639999999999999</v>
      </c>
      <c r="E102" s="118">
        <f>AVERAGE('Picarro Output'!G722:G724)</f>
        <v>-36.56733333333333</v>
      </c>
      <c r="F102" s="52">
        <v>6</v>
      </c>
    </row>
    <row r="103" spans="1:6" x14ac:dyDescent="0.45">
      <c r="A103" s="16">
        <v>102</v>
      </c>
      <c r="B103" s="15" t="str">
        <f>'Tray Configuration'!E14</f>
        <v>Ouachita</v>
      </c>
      <c r="C103" s="127" t="str">
        <f>'Picarro Output'!B739</f>
        <v xml:space="preserve">     P-339</v>
      </c>
      <c r="D103" s="118">
        <f>AVERAGE('Picarro Output'!F735:F739)</f>
        <v>-5.4908000000000001</v>
      </c>
      <c r="E103" s="118">
        <f>AVERAGE('Picarro Output'!G735:G739)</f>
        <v>-29.304200000000002</v>
      </c>
      <c r="F103" s="52">
        <v>15</v>
      </c>
    </row>
    <row r="104" spans="1:6" x14ac:dyDescent="0.45">
      <c r="A104" s="16">
        <v>103</v>
      </c>
      <c r="B104" s="15" t="str">
        <f>'Tray Configuration'!F14</f>
        <v>Sipsey</v>
      </c>
      <c r="C104" s="127" t="str">
        <f>'Picarro Output'!B754</f>
        <v xml:space="preserve">     P-340</v>
      </c>
      <c r="D104" s="118">
        <f>AVERAGE('Picarro Output'!F750:F754)</f>
        <v>-4.5794000000000006</v>
      </c>
      <c r="E104" s="118">
        <f>AVERAGE('Picarro Output'!G750:G754)</f>
        <v>-22.334399999999999</v>
      </c>
      <c r="F104" s="52">
        <v>15</v>
      </c>
    </row>
    <row r="105" spans="1:6" x14ac:dyDescent="0.45">
      <c r="A105" s="16">
        <v>104</v>
      </c>
      <c r="B105" s="15" t="str">
        <f>'Tray Configuration'!G14</f>
        <v>Iceland</v>
      </c>
      <c r="C105" s="127" t="str">
        <f>'Picarro Output'!B769</f>
        <v xml:space="preserve">     P-341</v>
      </c>
      <c r="D105" s="118">
        <f>AVERAGE('Picarro Output'!F765:F769)</f>
        <v>-8.0047999999999995</v>
      </c>
      <c r="E105" s="118">
        <f>AVERAGE('Picarro Output'!G765:G769)</f>
        <v>-52.53779999999999</v>
      </c>
      <c r="F105" s="52">
        <v>15</v>
      </c>
    </row>
    <row r="106" spans="1:6" ht="14.65" thickBot="1" x14ac:dyDescent="0.5">
      <c r="A106" s="17">
        <v>105</v>
      </c>
      <c r="B106" s="18" t="str">
        <f>'Tray Configuration'!H14</f>
        <v>Ouachita</v>
      </c>
      <c r="C106" s="129" t="str">
        <f>'Picarro Output'!B784</f>
        <v xml:space="preserve">     P-342</v>
      </c>
      <c r="D106" s="124">
        <f>AVERAGE('Picarro Output'!F780:F784)</f>
        <v>-5.51</v>
      </c>
      <c r="E106" s="124">
        <f>AVERAGE('Picarro Output'!G780:G784)</f>
        <v>-29.394600000000004</v>
      </c>
      <c r="F106" s="119">
        <v>15</v>
      </c>
    </row>
    <row r="107" spans="1:6" x14ac:dyDescent="0.45">
      <c r="B107" s="1"/>
    </row>
    <row r="108" spans="1:6" x14ac:dyDescent="0.45">
      <c r="B108" s="1"/>
    </row>
    <row r="109" spans="1:6" x14ac:dyDescent="0.45">
      <c r="B109" s="1"/>
    </row>
    <row r="110" spans="1:6" x14ac:dyDescent="0.45">
      <c r="B110" s="1"/>
    </row>
    <row r="111" spans="1:6" x14ac:dyDescent="0.45">
      <c r="B111" s="1"/>
    </row>
    <row r="112" spans="1:6" x14ac:dyDescent="0.45">
      <c r="B112" s="1"/>
    </row>
    <row r="113" spans="2:2" x14ac:dyDescent="0.45">
      <c r="B113" s="1"/>
    </row>
    <row r="114" spans="2:2" x14ac:dyDescent="0.45">
      <c r="B114" s="1"/>
    </row>
    <row r="115" spans="2:2" x14ac:dyDescent="0.45">
      <c r="B115" s="1"/>
    </row>
    <row r="116" spans="2:2" x14ac:dyDescent="0.45">
      <c r="B116" s="1"/>
    </row>
    <row r="117" spans="2:2" x14ac:dyDescent="0.45">
      <c r="B117" s="1"/>
    </row>
    <row r="118" spans="2:2" x14ac:dyDescent="0.45">
      <c r="B118" s="1"/>
    </row>
    <row r="119" spans="2:2" x14ac:dyDescent="0.45">
      <c r="B119" s="1"/>
    </row>
    <row r="120" spans="2:2" x14ac:dyDescent="0.45">
      <c r="B120" s="1"/>
    </row>
    <row r="121" spans="2:2" x14ac:dyDescent="0.45">
      <c r="B121" s="1"/>
    </row>
    <row r="122" spans="2:2" x14ac:dyDescent="0.45">
      <c r="B122" s="1"/>
    </row>
    <row r="123" spans="2:2" x14ac:dyDescent="0.45">
      <c r="B123" s="1"/>
    </row>
    <row r="124" spans="2:2" x14ac:dyDescent="0.45">
      <c r="B124" s="1"/>
    </row>
    <row r="125" spans="2:2" x14ac:dyDescent="0.45">
      <c r="B125" s="1"/>
    </row>
    <row r="126" spans="2:2" x14ac:dyDescent="0.45">
      <c r="B126" s="1"/>
    </row>
    <row r="127" spans="2:2" x14ac:dyDescent="0.45">
      <c r="B127" s="1"/>
    </row>
    <row r="128" spans="2:2" x14ac:dyDescent="0.45">
      <c r="B128" s="1"/>
    </row>
    <row r="129" spans="2:5" x14ac:dyDescent="0.45">
      <c r="B129" s="1"/>
    </row>
    <row r="130" spans="2:5" x14ac:dyDescent="0.45">
      <c r="B130" s="1"/>
    </row>
    <row r="131" spans="2:5" x14ac:dyDescent="0.45">
      <c r="B131" s="1"/>
    </row>
    <row r="132" spans="2:5" x14ac:dyDescent="0.45">
      <c r="B132" s="1"/>
    </row>
    <row r="133" spans="2:5" x14ac:dyDescent="0.45">
      <c r="B133" s="1"/>
    </row>
    <row r="134" spans="2:5" x14ac:dyDescent="0.45">
      <c r="B134" s="1"/>
    </row>
    <row r="135" spans="2:5" x14ac:dyDescent="0.45">
      <c r="B135" s="1"/>
    </row>
    <row r="136" spans="2:5" x14ac:dyDescent="0.45">
      <c r="B136" s="1"/>
    </row>
    <row r="137" spans="2:5" x14ac:dyDescent="0.45">
      <c r="B137" s="1"/>
    </row>
    <row r="138" spans="2:5" x14ac:dyDescent="0.45">
      <c r="B138" s="1"/>
    </row>
    <row r="139" spans="2:5" x14ac:dyDescent="0.45">
      <c r="B139" s="1"/>
      <c r="E139" s="45" t="str">
        <f>IFERROR(AVERAGEIFS('Picarro Output'!G:G, 'Picarro Output'!$B:$B, 'Uncalibrated Data'!$C139, 'Picarro Output'!$I:$I, 0, 'Picarro Output'!$J:$J, 1), "")</f>
        <v/>
      </c>
    </row>
    <row r="140" spans="2:5" x14ac:dyDescent="0.45">
      <c r="B140" s="1"/>
      <c r="E140" s="45" t="str">
        <f>IFERROR(AVERAGEIFS('Picarro Output'!G:G, 'Picarro Output'!$B:$B, 'Uncalibrated Data'!$C140, 'Picarro Output'!$I:$I, 0, 'Picarro Output'!$J:$J, 1), "")</f>
        <v/>
      </c>
    </row>
    <row r="141" spans="2:5" x14ac:dyDescent="0.45">
      <c r="B141" s="1"/>
      <c r="E141" s="45" t="str">
        <f>IFERROR(AVERAGEIFS('Picarro Output'!G:G, 'Picarro Output'!$B:$B, 'Uncalibrated Data'!$C141, 'Picarro Output'!$I:$I, 0, 'Picarro Output'!$J:$J, 1), "")</f>
        <v/>
      </c>
    </row>
    <row r="142" spans="2:5" x14ac:dyDescent="0.45">
      <c r="B142" s="1"/>
      <c r="E142" s="45" t="str">
        <f>IFERROR(AVERAGEIFS('Picarro Output'!G:G, 'Picarro Output'!$B:$B, 'Uncalibrated Data'!$C142, 'Picarro Output'!$I:$I, 0, 'Picarro Output'!$J:$J, 1), "")</f>
        <v/>
      </c>
    </row>
    <row r="143" spans="2:5" x14ac:dyDescent="0.45">
      <c r="B143" s="1"/>
      <c r="E143" s="45" t="str">
        <f>IFERROR(AVERAGEIFS('Picarro Output'!G:G, 'Picarro Output'!$B:$B, 'Uncalibrated Data'!$C143, 'Picarro Output'!$I:$I, 0, 'Picarro Output'!$J:$J, 1), "")</f>
        <v/>
      </c>
    </row>
    <row r="144" spans="2:5" x14ac:dyDescent="0.45">
      <c r="B144" s="1"/>
      <c r="E144" s="45" t="str">
        <f>IFERROR(AVERAGEIFS('Picarro Output'!G:G, 'Picarro Output'!$B:$B, 'Uncalibrated Data'!$C144, 'Picarro Output'!$I:$I, 0, 'Picarro Output'!$J:$J, 1), "")</f>
        <v/>
      </c>
    </row>
    <row r="145" spans="2:5" x14ac:dyDescent="0.45">
      <c r="B145" s="1"/>
      <c r="E145" s="45" t="str">
        <f>IFERROR(AVERAGEIFS('Picarro Output'!G:G, 'Picarro Output'!$B:$B, 'Uncalibrated Data'!$C145, 'Picarro Output'!$I:$I, 0, 'Picarro Output'!$J:$J, 1), "")</f>
        <v/>
      </c>
    </row>
    <row r="146" spans="2:5" x14ac:dyDescent="0.45">
      <c r="B146" s="1"/>
      <c r="E146" s="45" t="str">
        <f>IFERROR(AVERAGEIFS('Picarro Output'!G:G, 'Picarro Output'!$B:$B, 'Uncalibrated Data'!$C146, 'Picarro Output'!$I:$I, 0, 'Picarro Output'!$J:$J, 1), "")</f>
        <v/>
      </c>
    </row>
    <row r="147" spans="2:5" x14ac:dyDescent="0.45">
      <c r="B147" s="1"/>
      <c r="E147" s="45" t="str">
        <f>IFERROR(AVERAGEIFS('Picarro Output'!G:G, 'Picarro Output'!$B:$B, 'Uncalibrated Data'!$C147, 'Picarro Output'!$I:$I, 0, 'Picarro Output'!$J:$J, 1), "")</f>
        <v/>
      </c>
    </row>
    <row r="148" spans="2:5" x14ac:dyDescent="0.45">
      <c r="B148" s="1"/>
      <c r="E148" s="45" t="str">
        <f>IFERROR(AVERAGEIFS('Picarro Output'!G:G, 'Picarro Output'!$B:$B, 'Uncalibrated Data'!$C148, 'Picarro Output'!$I:$I, 0, 'Picarro Output'!$J:$J, 1), "")</f>
        <v/>
      </c>
    </row>
    <row r="149" spans="2:5" x14ac:dyDescent="0.45">
      <c r="B149" s="1"/>
      <c r="E149" s="45" t="str">
        <f>IFERROR(AVERAGEIFS('Picarro Output'!G:G, 'Picarro Output'!$B:$B, 'Uncalibrated Data'!$C149, 'Picarro Output'!$I:$I, 0, 'Picarro Output'!$J:$J, 1), "")</f>
        <v/>
      </c>
    </row>
    <row r="150" spans="2:5" x14ac:dyDescent="0.45">
      <c r="B150" s="1"/>
      <c r="E150" s="45" t="str">
        <f>IFERROR(AVERAGEIFS('Picarro Output'!G:G, 'Picarro Output'!$B:$B, 'Uncalibrated Data'!$C150, 'Picarro Output'!$I:$I, 0, 'Picarro Output'!$J:$J, 1), "")</f>
        <v/>
      </c>
    </row>
    <row r="151" spans="2:5" x14ac:dyDescent="0.45">
      <c r="B151" s="1"/>
      <c r="E151" s="45" t="str">
        <f>IFERROR(AVERAGEIFS('Picarro Output'!G:G, 'Picarro Output'!$B:$B, 'Uncalibrated Data'!$C151, 'Picarro Output'!$I:$I, 0, 'Picarro Output'!$J:$J, 1), "")</f>
        <v/>
      </c>
    </row>
    <row r="152" spans="2:5" x14ac:dyDescent="0.45">
      <c r="B152" s="1"/>
      <c r="E152" s="45" t="str">
        <f>IFERROR(AVERAGEIFS('Picarro Output'!G:G, 'Picarro Output'!$B:$B, 'Uncalibrated Data'!$C152, 'Picarro Output'!$I:$I, 0, 'Picarro Output'!$J:$J, 1), "")</f>
        <v/>
      </c>
    </row>
    <row r="153" spans="2:5" x14ac:dyDescent="0.45">
      <c r="B153" s="1"/>
      <c r="E153" s="45" t="str">
        <f>IFERROR(AVERAGEIFS('Picarro Output'!G:G, 'Picarro Output'!$B:$B, 'Uncalibrated Data'!$C153, 'Picarro Output'!$I:$I, 0, 'Picarro Output'!$J:$J, 1), "")</f>
        <v/>
      </c>
    </row>
    <row r="154" spans="2:5" x14ac:dyDescent="0.45">
      <c r="B154" s="1"/>
      <c r="E154" s="45" t="str">
        <f>IFERROR(AVERAGEIFS('Picarro Output'!G:G, 'Picarro Output'!$B:$B, 'Uncalibrated Data'!$C154, 'Picarro Output'!$I:$I, 0, 'Picarro Output'!$J:$J, 1), "")</f>
        <v/>
      </c>
    </row>
    <row r="155" spans="2:5" x14ac:dyDescent="0.45">
      <c r="B155" s="1"/>
      <c r="E155" s="45" t="str">
        <f>IFERROR(AVERAGEIFS('Picarro Output'!G:G, 'Picarro Output'!$B:$B, 'Uncalibrated Data'!$C155, 'Picarro Output'!$I:$I, 0, 'Picarro Output'!$J:$J, 1), "")</f>
        <v/>
      </c>
    </row>
    <row r="156" spans="2:5" x14ac:dyDescent="0.45">
      <c r="B156" s="1"/>
      <c r="E156" s="45" t="str">
        <f>IFERROR(AVERAGEIFS('Picarro Output'!G:G, 'Picarro Output'!$B:$B, 'Uncalibrated Data'!$C156, 'Picarro Output'!$I:$I, 0, 'Picarro Output'!$J:$J, 1), "")</f>
        <v/>
      </c>
    </row>
    <row r="157" spans="2:5" x14ac:dyDescent="0.45">
      <c r="B157" s="1"/>
      <c r="E157" s="45" t="str">
        <f>IFERROR(AVERAGEIFS('Picarro Output'!G:G, 'Picarro Output'!$B:$B, 'Uncalibrated Data'!$C157, 'Picarro Output'!$I:$I, 0, 'Picarro Output'!$J:$J, 1), "")</f>
        <v/>
      </c>
    </row>
    <row r="158" spans="2:5" x14ac:dyDescent="0.45">
      <c r="B158" s="1"/>
      <c r="E158" s="45" t="str">
        <f>IFERROR(AVERAGEIFS('Picarro Output'!G:G, 'Picarro Output'!$B:$B, 'Uncalibrated Data'!$C158, 'Picarro Output'!$I:$I, 0, 'Picarro Output'!$J:$J, 1), "")</f>
        <v/>
      </c>
    </row>
    <row r="159" spans="2:5" x14ac:dyDescent="0.45">
      <c r="B159" s="1"/>
      <c r="E159" s="45" t="str">
        <f>IFERROR(AVERAGEIFS('Picarro Output'!G:G, 'Picarro Output'!$B:$B, 'Uncalibrated Data'!$C159, 'Picarro Output'!$I:$I, 0, 'Picarro Output'!$J:$J, 1), "")</f>
        <v/>
      </c>
    </row>
    <row r="160" spans="2:5" x14ac:dyDescent="0.45">
      <c r="B160" s="1"/>
      <c r="E160" s="45" t="str">
        <f>IFERROR(AVERAGEIFS('Picarro Output'!G:G, 'Picarro Output'!$B:$B, 'Uncalibrated Data'!$C160, 'Picarro Output'!$I:$I, 0, 'Picarro Output'!$J:$J, 1), "")</f>
        <v/>
      </c>
    </row>
    <row r="161" spans="2:5" x14ac:dyDescent="0.45">
      <c r="B161" s="1"/>
      <c r="E161" s="45" t="str">
        <f>IFERROR(AVERAGEIFS('Picarro Output'!G:G, 'Picarro Output'!$B:$B, 'Uncalibrated Data'!$C161, 'Picarro Output'!$I:$I, 0, 'Picarro Output'!$J:$J, 1), "")</f>
        <v/>
      </c>
    </row>
    <row r="162" spans="2:5" x14ac:dyDescent="0.45">
      <c r="B162" s="1"/>
      <c r="E162" s="45" t="str">
        <f>IFERROR(AVERAGEIFS('Picarro Output'!G:G, 'Picarro Output'!$B:$B, 'Uncalibrated Data'!$C162, 'Picarro Output'!$I:$I, 0, 'Picarro Output'!$J:$J, 1), "")</f>
        <v/>
      </c>
    </row>
    <row r="163" spans="2:5" x14ac:dyDescent="0.45">
      <c r="B163" s="1"/>
      <c r="E163" s="45" t="str">
        <f>IFERROR(AVERAGEIFS('Picarro Output'!G:G, 'Picarro Output'!$B:$B, 'Uncalibrated Data'!$C163, 'Picarro Output'!$I:$I, 0, 'Picarro Output'!$J:$J, 1), "")</f>
        <v/>
      </c>
    </row>
    <row r="164" spans="2:5" x14ac:dyDescent="0.45">
      <c r="B164" s="1"/>
      <c r="E164" s="45" t="str">
        <f>IFERROR(AVERAGEIFS('Picarro Output'!G:G, 'Picarro Output'!$B:$B, 'Uncalibrated Data'!$C164, 'Picarro Output'!$I:$I, 0, 'Picarro Output'!$J:$J, 1), "")</f>
        <v/>
      </c>
    </row>
    <row r="165" spans="2:5" x14ac:dyDescent="0.45">
      <c r="B165" s="1"/>
      <c r="E165" s="45" t="str">
        <f>IFERROR(AVERAGEIFS('Picarro Output'!G:G, 'Picarro Output'!$B:$B, 'Uncalibrated Data'!$C165, 'Picarro Output'!$I:$I, 0, 'Picarro Output'!$J:$J, 1), "")</f>
        <v/>
      </c>
    </row>
    <row r="166" spans="2:5" x14ac:dyDescent="0.45">
      <c r="B166" s="1"/>
      <c r="E166" s="45" t="str">
        <f>IFERROR(AVERAGEIFS('Picarro Output'!G:G, 'Picarro Output'!$B:$B, 'Uncalibrated Data'!$C166, 'Picarro Output'!$I:$I, 0, 'Picarro Output'!$J:$J, 1), "")</f>
        <v/>
      </c>
    </row>
    <row r="167" spans="2:5" x14ac:dyDescent="0.45">
      <c r="B167" s="1"/>
      <c r="E167" s="45" t="str">
        <f>IFERROR(AVERAGEIFS('Picarro Output'!G:G, 'Picarro Output'!$B:$B, 'Uncalibrated Data'!$C167, 'Picarro Output'!$I:$I, 0, 'Picarro Output'!$J:$J, 1), "")</f>
        <v/>
      </c>
    </row>
    <row r="168" spans="2:5" x14ac:dyDescent="0.45">
      <c r="B168" s="1"/>
      <c r="E168" s="45" t="str">
        <f>IFERROR(AVERAGEIFS('Picarro Output'!G:G, 'Picarro Output'!$B:$B, 'Uncalibrated Data'!$C168, 'Picarro Output'!$I:$I, 0, 'Picarro Output'!$J:$J, 1), "")</f>
        <v/>
      </c>
    </row>
    <row r="169" spans="2:5" x14ac:dyDescent="0.45">
      <c r="B169" s="1"/>
      <c r="E169" s="45" t="str">
        <f>IFERROR(AVERAGEIFS('Picarro Output'!G:G, 'Picarro Output'!$B:$B, 'Uncalibrated Data'!$C169, 'Picarro Output'!$I:$I, 0, 'Picarro Output'!$J:$J, 1), "")</f>
        <v/>
      </c>
    </row>
    <row r="170" spans="2:5" x14ac:dyDescent="0.45">
      <c r="B170" s="1"/>
      <c r="E170" s="45" t="str">
        <f>IFERROR(AVERAGEIFS('Picarro Output'!G:G, 'Picarro Output'!$B:$B, 'Uncalibrated Data'!$C170, 'Picarro Output'!$I:$I, 0, 'Picarro Output'!$J:$J, 1), "")</f>
        <v/>
      </c>
    </row>
    <row r="171" spans="2:5" x14ac:dyDescent="0.45">
      <c r="B171" s="1"/>
      <c r="E171" s="45" t="str">
        <f>IFERROR(AVERAGEIFS('Picarro Output'!G:G, 'Picarro Output'!$B:$B, 'Uncalibrated Data'!$C171, 'Picarro Output'!$I:$I, 0, 'Picarro Output'!$J:$J, 1), "")</f>
        <v/>
      </c>
    </row>
    <row r="172" spans="2:5" x14ac:dyDescent="0.45">
      <c r="B172" s="1"/>
      <c r="E172" s="45" t="str">
        <f>IFERROR(AVERAGEIFS('Picarro Output'!G:G, 'Picarro Output'!$B:$B, 'Uncalibrated Data'!$C172, 'Picarro Output'!$I:$I, 0, 'Picarro Output'!$J:$J, 1), "")</f>
        <v/>
      </c>
    </row>
    <row r="173" spans="2:5" x14ac:dyDescent="0.45">
      <c r="B173" s="1"/>
      <c r="E173" s="45" t="str">
        <f>IFERROR(AVERAGEIFS('Picarro Output'!G:G, 'Picarro Output'!$B:$B, 'Uncalibrated Data'!$C173, 'Picarro Output'!$I:$I, 0, 'Picarro Output'!$J:$J, 1), "")</f>
        <v/>
      </c>
    </row>
    <row r="174" spans="2:5" x14ac:dyDescent="0.45">
      <c r="B174" s="1"/>
      <c r="E174" s="45" t="str">
        <f>IFERROR(AVERAGEIFS('Picarro Output'!G:G, 'Picarro Output'!$B:$B, 'Uncalibrated Data'!$C174, 'Picarro Output'!$I:$I, 0, 'Picarro Output'!$J:$J, 1), "")</f>
        <v/>
      </c>
    </row>
    <row r="175" spans="2:5" x14ac:dyDescent="0.45">
      <c r="B175" s="1"/>
      <c r="E175" s="45" t="str">
        <f>IFERROR(AVERAGEIFS('Picarro Output'!G:G, 'Picarro Output'!$B:$B, 'Uncalibrated Data'!$C175, 'Picarro Output'!$I:$I, 0, 'Picarro Output'!$J:$J, 1), "")</f>
        <v/>
      </c>
    </row>
    <row r="176" spans="2:5" x14ac:dyDescent="0.45">
      <c r="B176" s="1"/>
      <c r="E176" s="45" t="str">
        <f>IFERROR(AVERAGEIFS('Picarro Output'!G:G, 'Picarro Output'!$B:$B, 'Uncalibrated Data'!$C176, 'Picarro Output'!$I:$I, 0, 'Picarro Output'!$J:$J, 1), "")</f>
        <v/>
      </c>
    </row>
    <row r="177" spans="2:5" x14ac:dyDescent="0.45">
      <c r="B177" s="1"/>
      <c r="E177" s="45" t="str">
        <f>IFERROR(AVERAGEIFS('Picarro Output'!G:G, 'Picarro Output'!$B:$B, 'Uncalibrated Data'!$C177, 'Picarro Output'!$I:$I, 0, 'Picarro Output'!$J:$J, 1), "")</f>
        <v/>
      </c>
    </row>
    <row r="178" spans="2:5" x14ac:dyDescent="0.45">
      <c r="B178" s="1"/>
      <c r="E178" s="45" t="str">
        <f>IFERROR(AVERAGEIFS('Picarro Output'!G:G, 'Picarro Output'!$B:$B, 'Uncalibrated Data'!$C178, 'Picarro Output'!$I:$I, 0, 'Picarro Output'!$J:$J, 1), "")</f>
        <v/>
      </c>
    </row>
    <row r="179" spans="2:5" x14ac:dyDescent="0.45">
      <c r="B179" s="1"/>
      <c r="E179" s="45" t="str">
        <f>IFERROR(AVERAGEIFS('Picarro Output'!G:G, 'Picarro Output'!$B:$B, 'Uncalibrated Data'!$C179, 'Picarro Output'!$I:$I, 0, 'Picarro Output'!$J:$J, 1), "")</f>
        <v/>
      </c>
    </row>
    <row r="180" spans="2:5" x14ac:dyDescent="0.45">
      <c r="B180" s="1"/>
      <c r="E180" s="45" t="str">
        <f>IFERROR(AVERAGEIFS('Picarro Output'!G:G, 'Picarro Output'!$B:$B, 'Uncalibrated Data'!$C180, 'Picarro Output'!$I:$I, 0, 'Picarro Output'!$J:$J, 1), "")</f>
        <v/>
      </c>
    </row>
    <row r="181" spans="2:5" x14ac:dyDescent="0.45">
      <c r="B181" s="1"/>
      <c r="E181" s="45" t="str">
        <f>IFERROR(AVERAGEIFS('Picarro Output'!G:G, 'Picarro Output'!$B:$B, 'Uncalibrated Data'!$C181, 'Picarro Output'!$I:$I, 0, 'Picarro Output'!$J:$J, 1), "")</f>
        <v/>
      </c>
    </row>
    <row r="182" spans="2:5" x14ac:dyDescent="0.45">
      <c r="B182" s="1"/>
      <c r="E182" s="45" t="str">
        <f>IFERROR(AVERAGEIFS('Picarro Output'!G:G, 'Picarro Output'!$B:$B, 'Uncalibrated Data'!$C182, 'Picarro Output'!$I:$I, 0, 'Picarro Output'!$J:$J, 1), "")</f>
        <v/>
      </c>
    </row>
    <row r="183" spans="2:5" x14ac:dyDescent="0.45">
      <c r="B183" s="1"/>
      <c r="E183" s="45" t="str">
        <f>IFERROR(AVERAGEIFS('Picarro Output'!G:G, 'Picarro Output'!$B:$B, 'Uncalibrated Data'!$C183, 'Picarro Output'!$I:$I, 0, 'Picarro Output'!$J:$J, 1), "")</f>
        <v/>
      </c>
    </row>
    <row r="184" spans="2:5" x14ac:dyDescent="0.45">
      <c r="B184" s="1"/>
      <c r="E184" s="45" t="str">
        <f>IFERROR(AVERAGEIFS('Picarro Output'!G:G, 'Picarro Output'!$B:$B, 'Uncalibrated Data'!$C184, 'Picarro Output'!$I:$I, 0, 'Picarro Output'!$J:$J, 1), "")</f>
        <v/>
      </c>
    </row>
    <row r="185" spans="2:5" x14ac:dyDescent="0.45">
      <c r="B185" s="1"/>
      <c r="E185" s="45" t="str">
        <f>IFERROR(AVERAGEIFS('Picarro Output'!G:G, 'Picarro Output'!$B:$B, 'Uncalibrated Data'!$C185, 'Picarro Output'!$I:$I, 0, 'Picarro Output'!$J:$J, 1), "")</f>
        <v/>
      </c>
    </row>
    <row r="186" spans="2:5" x14ac:dyDescent="0.45">
      <c r="B186" s="1"/>
      <c r="E186" s="45" t="str">
        <f>IFERROR(AVERAGEIFS('Picarro Output'!G:G, 'Picarro Output'!$B:$B, 'Uncalibrated Data'!$C186, 'Picarro Output'!$I:$I, 0, 'Picarro Output'!$J:$J, 1), "")</f>
        <v/>
      </c>
    </row>
    <row r="187" spans="2:5" x14ac:dyDescent="0.45">
      <c r="B187" s="1"/>
      <c r="E187" s="45" t="str">
        <f>IFERROR(AVERAGEIFS('Picarro Output'!G:G, 'Picarro Output'!$B:$B, 'Uncalibrated Data'!$C187, 'Picarro Output'!$I:$I, 0, 'Picarro Output'!$J:$J, 1), "")</f>
        <v/>
      </c>
    </row>
    <row r="188" spans="2:5" x14ac:dyDescent="0.45">
      <c r="B188" s="1"/>
      <c r="E188" s="45" t="str">
        <f>IFERROR(AVERAGEIFS('Picarro Output'!G:G, 'Picarro Output'!$B:$B, 'Uncalibrated Data'!$C188, 'Picarro Output'!$I:$I, 0, 'Picarro Output'!$J:$J, 1), "")</f>
        <v/>
      </c>
    </row>
    <row r="189" spans="2:5" x14ac:dyDescent="0.45">
      <c r="B189" s="1"/>
      <c r="E189" s="45" t="str">
        <f>IFERROR(AVERAGEIFS('Picarro Output'!G:G, 'Picarro Output'!$B:$B, 'Uncalibrated Data'!$C189, 'Picarro Output'!$I:$I, 0, 'Picarro Output'!$J:$J, 1), "")</f>
        <v/>
      </c>
    </row>
    <row r="190" spans="2:5" x14ac:dyDescent="0.45">
      <c r="B190" s="1"/>
      <c r="E190" s="45" t="str">
        <f>IFERROR(AVERAGEIFS('Picarro Output'!G:G, 'Picarro Output'!$B:$B, 'Uncalibrated Data'!$C190, 'Picarro Output'!$I:$I, 0, 'Picarro Output'!$J:$J, 1), "")</f>
        <v/>
      </c>
    </row>
    <row r="191" spans="2:5" x14ac:dyDescent="0.45">
      <c r="B191" s="1"/>
      <c r="E191" s="45" t="str">
        <f>IFERROR(AVERAGEIFS('Picarro Output'!G:G, 'Picarro Output'!$B:$B, 'Uncalibrated Data'!$C191, 'Picarro Output'!$I:$I, 0, 'Picarro Output'!$J:$J, 1), "")</f>
        <v/>
      </c>
    </row>
    <row r="192" spans="2:5" x14ac:dyDescent="0.45">
      <c r="B192" s="1"/>
      <c r="E192" s="45" t="str">
        <f>IFERROR(AVERAGEIFS('Picarro Output'!G:G, 'Picarro Output'!$B:$B, 'Uncalibrated Data'!$C192, 'Picarro Output'!$I:$I, 0, 'Picarro Output'!$J:$J, 1), "")</f>
        <v/>
      </c>
    </row>
    <row r="193" spans="2:5" x14ac:dyDescent="0.45">
      <c r="B193" s="1"/>
      <c r="E193" s="45" t="str">
        <f>IFERROR(AVERAGEIFS('Picarro Output'!G:G, 'Picarro Output'!$B:$B, 'Uncalibrated Data'!$C193, 'Picarro Output'!$I:$I, 0, 'Picarro Output'!$J:$J, 1), "")</f>
        <v/>
      </c>
    </row>
    <row r="194" spans="2:5" x14ac:dyDescent="0.45">
      <c r="B194" s="1"/>
      <c r="E194" s="45" t="str">
        <f>IFERROR(AVERAGEIFS('Picarro Output'!G:G, 'Picarro Output'!$B:$B, 'Uncalibrated Data'!$C194, 'Picarro Output'!$I:$I, 0, 'Picarro Output'!$J:$J, 1), "")</f>
        <v/>
      </c>
    </row>
    <row r="195" spans="2:5" x14ac:dyDescent="0.45">
      <c r="B195" s="1"/>
      <c r="E195" s="45" t="str">
        <f>IFERROR(AVERAGEIFS('Picarro Output'!G:G, 'Picarro Output'!$B:$B, 'Uncalibrated Data'!$C195, 'Picarro Output'!$I:$I, 0, 'Picarro Output'!$J:$J, 1), "")</f>
        <v/>
      </c>
    </row>
    <row r="196" spans="2:5" x14ac:dyDescent="0.45">
      <c r="B196" s="1"/>
      <c r="E196" s="45" t="str">
        <f>IFERROR(AVERAGEIFS('Picarro Output'!G:G, 'Picarro Output'!$B:$B, 'Uncalibrated Data'!$C196, 'Picarro Output'!$I:$I, 0, 'Picarro Output'!$J:$J, 1), "")</f>
        <v/>
      </c>
    </row>
    <row r="197" spans="2:5" x14ac:dyDescent="0.45">
      <c r="B197" s="1"/>
      <c r="E197" s="45" t="str">
        <f>IFERROR(AVERAGEIFS('Picarro Output'!G:G, 'Picarro Output'!$B:$B, 'Uncalibrated Data'!$C197, 'Picarro Output'!$I:$I, 0, 'Picarro Output'!$J:$J, 1), "")</f>
        <v/>
      </c>
    </row>
    <row r="198" spans="2:5" x14ac:dyDescent="0.45">
      <c r="B198" s="1"/>
      <c r="E198" s="45" t="str">
        <f>IFERROR(AVERAGEIFS('Picarro Output'!G:G, 'Picarro Output'!$B:$B, 'Uncalibrated Data'!$C198, 'Picarro Output'!$I:$I, 0, 'Picarro Output'!$J:$J, 1), "")</f>
        <v/>
      </c>
    </row>
    <row r="199" spans="2:5" x14ac:dyDescent="0.45">
      <c r="B199" s="1"/>
      <c r="E199" s="45" t="str">
        <f>IFERROR(AVERAGEIFS('Picarro Output'!G:G, 'Picarro Output'!$B:$B, 'Uncalibrated Data'!$C199, 'Picarro Output'!$I:$I, 0, 'Picarro Output'!$J:$J, 1), "")</f>
        <v/>
      </c>
    </row>
    <row r="200" spans="2:5" x14ac:dyDescent="0.45">
      <c r="B200" s="1"/>
      <c r="E200" s="45" t="str">
        <f>IFERROR(AVERAGEIFS('Picarro Output'!G:G, 'Picarro Output'!$B:$B, 'Uncalibrated Data'!$C200, 'Picarro Output'!$I:$I, 0, 'Picarro Output'!$J:$J, 1), "")</f>
        <v/>
      </c>
    </row>
    <row r="201" spans="2:5" x14ac:dyDescent="0.45">
      <c r="B201" s="1"/>
      <c r="E201" s="45" t="str">
        <f>IFERROR(AVERAGEIFS('Picarro Output'!G:G, 'Picarro Output'!$B:$B, 'Uncalibrated Data'!$C201, 'Picarro Output'!$I:$I, 0, 'Picarro Output'!$J:$J, 1), "")</f>
        <v/>
      </c>
    </row>
    <row r="202" spans="2:5" x14ac:dyDescent="0.45">
      <c r="B202" s="1"/>
      <c r="E202" s="45" t="str">
        <f>IFERROR(AVERAGEIFS('Picarro Output'!G:G, 'Picarro Output'!$B:$B, 'Uncalibrated Data'!$C202, 'Picarro Output'!$I:$I, 0, 'Picarro Output'!$J:$J, 1), "")</f>
        <v/>
      </c>
    </row>
    <row r="203" spans="2:5" x14ac:dyDescent="0.45">
      <c r="B203" s="1"/>
      <c r="E203" s="45" t="str">
        <f>IFERROR(AVERAGEIFS('Picarro Output'!G:G, 'Picarro Output'!$B:$B, 'Uncalibrated Data'!$C203, 'Picarro Output'!$I:$I, 0, 'Picarro Output'!$J:$J, 1), "")</f>
        <v/>
      </c>
    </row>
    <row r="204" spans="2:5" x14ac:dyDescent="0.45">
      <c r="B204" s="1"/>
      <c r="E204" s="45" t="str">
        <f>IFERROR(AVERAGEIFS('Picarro Output'!G:G, 'Picarro Output'!$B:$B, 'Uncalibrated Data'!$C204, 'Picarro Output'!$I:$I, 0, 'Picarro Output'!$J:$J, 1), "")</f>
        <v/>
      </c>
    </row>
    <row r="205" spans="2:5" x14ac:dyDescent="0.45">
      <c r="B205" s="1"/>
      <c r="E205" s="45" t="str">
        <f>IFERROR(AVERAGEIFS('Picarro Output'!G:G, 'Picarro Output'!$B:$B, 'Uncalibrated Data'!$C205, 'Picarro Output'!$I:$I, 0, 'Picarro Output'!$J:$J, 1), "")</f>
        <v/>
      </c>
    </row>
    <row r="206" spans="2:5" x14ac:dyDescent="0.45">
      <c r="B206" s="1"/>
      <c r="E206" s="45" t="str">
        <f>IFERROR(AVERAGEIFS('Picarro Output'!G:G, 'Picarro Output'!$B:$B, 'Uncalibrated Data'!$C206, 'Picarro Output'!$I:$I, 0, 'Picarro Output'!$J:$J, 1), "")</f>
        <v/>
      </c>
    </row>
    <row r="207" spans="2:5" x14ac:dyDescent="0.45">
      <c r="B207" s="1"/>
      <c r="E207" s="45" t="str">
        <f>IFERROR(AVERAGEIFS('Picarro Output'!G:G, 'Picarro Output'!$B:$B, 'Uncalibrated Data'!$C207, 'Picarro Output'!$I:$I, 0, 'Picarro Output'!$J:$J, 1), "")</f>
        <v/>
      </c>
    </row>
    <row r="208" spans="2:5" x14ac:dyDescent="0.45">
      <c r="B208" s="1"/>
      <c r="E208" s="45" t="str">
        <f>IFERROR(AVERAGEIFS('Picarro Output'!G:G, 'Picarro Output'!$B:$B, 'Uncalibrated Data'!$C208, 'Picarro Output'!$I:$I, 0, 'Picarro Output'!$J:$J, 1), "")</f>
        <v/>
      </c>
    </row>
    <row r="209" spans="2:5" x14ac:dyDescent="0.45">
      <c r="B209" s="1"/>
      <c r="E209" s="45" t="str">
        <f>IFERROR(AVERAGEIFS('Picarro Output'!G:G, 'Picarro Output'!$B:$B, 'Uncalibrated Data'!$C209, 'Picarro Output'!$I:$I, 0, 'Picarro Output'!$J:$J, 1), "")</f>
        <v/>
      </c>
    </row>
    <row r="210" spans="2:5" x14ac:dyDescent="0.45">
      <c r="B210" s="1"/>
      <c r="E210" s="45" t="str">
        <f>IFERROR(AVERAGEIFS('Picarro Output'!G:G, 'Picarro Output'!$B:$B, 'Uncalibrated Data'!$C210, 'Picarro Output'!$I:$I, 0, 'Picarro Output'!$J:$J, 1), "")</f>
        <v/>
      </c>
    </row>
    <row r="211" spans="2:5" x14ac:dyDescent="0.45">
      <c r="B211" s="1"/>
      <c r="E211" s="45" t="str">
        <f>IFERROR(AVERAGEIFS('Picarro Output'!G:G, 'Picarro Output'!$B:$B, 'Uncalibrated Data'!$C211, 'Picarro Output'!$I:$I, 0, 'Picarro Output'!$J:$J, 1), "")</f>
        <v/>
      </c>
    </row>
    <row r="212" spans="2:5" x14ac:dyDescent="0.45">
      <c r="B212" s="1"/>
      <c r="E212" s="45" t="str">
        <f>IFERROR(AVERAGEIFS('Picarro Output'!G:G, 'Picarro Output'!$B:$B, 'Uncalibrated Data'!$C212, 'Picarro Output'!$I:$I, 0, 'Picarro Output'!$J:$J, 1), "")</f>
        <v/>
      </c>
    </row>
    <row r="213" spans="2:5" x14ac:dyDescent="0.45">
      <c r="B213" s="1"/>
      <c r="E213" s="45" t="str">
        <f>IFERROR(AVERAGEIFS('Picarro Output'!G:G, 'Picarro Output'!$B:$B, 'Uncalibrated Data'!$C213, 'Picarro Output'!$I:$I, 0, 'Picarro Output'!$J:$J, 1), "")</f>
        <v/>
      </c>
    </row>
    <row r="214" spans="2:5" x14ac:dyDescent="0.45">
      <c r="B214" s="1"/>
      <c r="E214" s="45" t="str">
        <f>IFERROR(AVERAGEIFS('Picarro Output'!G:G, 'Picarro Output'!$B:$B, 'Uncalibrated Data'!$C214, 'Picarro Output'!$I:$I, 0, 'Picarro Output'!$J:$J, 1), "")</f>
        <v/>
      </c>
    </row>
    <row r="215" spans="2:5" x14ac:dyDescent="0.45">
      <c r="B215" s="1"/>
      <c r="E215" s="45" t="str">
        <f>IFERROR(AVERAGEIFS('Picarro Output'!G:G, 'Picarro Output'!$B:$B, 'Uncalibrated Data'!$C215, 'Picarro Output'!$I:$I, 0, 'Picarro Output'!$J:$J, 1), "")</f>
        <v/>
      </c>
    </row>
    <row r="216" spans="2:5" x14ac:dyDescent="0.45">
      <c r="B216" s="1"/>
      <c r="E216" s="45" t="str">
        <f>IFERROR(AVERAGEIFS('Picarro Output'!G:G, 'Picarro Output'!$B:$B, 'Uncalibrated Data'!$C216, 'Picarro Output'!$I:$I, 0, 'Picarro Output'!$J:$J, 1), "")</f>
        <v/>
      </c>
    </row>
    <row r="217" spans="2:5" x14ac:dyDescent="0.45">
      <c r="B217" s="1"/>
      <c r="E217" s="45" t="str">
        <f>IFERROR(AVERAGEIFS('Picarro Output'!G:G, 'Picarro Output'!$B:$B, 'Uncalibrated Data'!$C217, 'Picarro Output'!$I:$I, 0, 'Picarro Output'!$J:$J, 1), "")</f>
        <v/>
      </c>
    </row>
    <row r="218" spans="2:5" x14ac:dyDescent="0.45">
      <c r="B218" s="1"/>
      <c r="E218" s="45" t="str">
        <f>IFERROR(AVERAGEIFS('Picarro Output'!G:G, 'Picarro Output'!$B:$B, 'Uncalibrated Data'!$C218, 'Picarro Output'!$I:$I, 0, 'Picarro Output'!$J:$J, 1), "")</f>
        <v/>
      </c>
    </row>
    <row r="219" spans="2:5" x14ac:dyDescent="0.45">
      <c r="B219" s="1"/>
      <c r="E219" s="45" t="str">
        <f>IFERROR(AVERAGEIFS('Picarro Output'!G:G, 'Picarro Output'!$B:$B, 'Uncalibrated Data'!$C219, 'Picarro Output'!$I:$I, 0, 'Picarro Output'!$J:$J, 1), "")</f>
        <v/>
      </c>
    </row>
    <row r="220" spans="2:5" x14ac:dyDescent="0.45">
      <c r="B220" s="1"/>
      <c r="E220" s="45" t="str">
        <f>IFERROR(AVERAGEIFS('Picarro Output'!G:G, 'Picarro Output'!$B:$B, 'Uncalibrated Data'!$C220, 'Picarro Output'!$I:$I, 0, 'Picarro Output'!$J:$J, 1), "")</f>
        <v/>
      </c>
    </row>
    <row r="221" spans="2:5" x14ac:dyDescent="0.45">
      <c r="B221" s="1"/>
      <c r="E221" s="45" t="str">
        <f>IFERROR(AVERAGEIFS('Picarro Output'!G:G, 'Picarro Output'!$B:$B, 'Uncalibrated Data'!$C221, 'Picarro Output'!$I:$I, 0, 'Picarro Output'!$J:$J, 1), "")</f>
        <v/>
      </c>
    </row>
    <row r="222" spans="2:5" x14ac:dyDescent="0.45">
      <c r="B222" s="1"/>
      <c r="E222" s="45" t="str">
        <f>IFERROR(AVERAGEIFS('Picarro Output'!G:G, 'Picarro Output'!$B:$B, 'Uncalibrated Data'!$C222, 'Picarro Output'!$I:$I, 0, 'Picarro Output'!$J:$J, 1), "")</f>
        <v/>
      </c>
    </row>
    <row r="223" spans="2:5" x14ac:dyDescent="0.45">
      <c r="B223" s="1"/>
      <c r="E223" s="45" t="str">
        <f>IFERROR(AVERAGEIFS('Picarro Output'!G:G, 'Picarro Output'!$B:$B, 'Uncalibrated Data'!$C223, 'Picarro Output'!$I:$I, 0, 'Picarro Output'!$J:$J, 1), "")</f>
        <v/>
      </c>
    </row>
    <row r="224" spans="2:5" x14ac:dyDescent="0.45">
      <c r="B224" s="1"/>
      <c r="E224" s="45" t="str">
        <f>IFERROR(AVERAGEIFS('Picarro Output'!G:G, 'Picarro Output'!$B:$B, 'Uncalibrated Data'!$C224, 'Picarro Output'!$I:$I, 0, 'Picarro Output'!$J:$J, 1), "")</f>
        <v/>
      </c>
    </row>
    <row r="225" spans="2:5" x14ac:dyDescent="0.45">
      <c r="B225" s="1"/>
      <c r="E225" s="45" t="str">
        <f>IFERROR(AVERAGEIFS('Picarro Output'!G:G, 'Picarro Output'!$B:$B, 'Uncalibrated Data'!$C225, 'Picarro Output'!$I:$I, 0, 'Picarro Output'!$J:$J, 1), "")</f>
        <v/>
      </c>
    </row>
    <row r="226" spans="2:5" x14ac:dyDescent="0.45">
      <c r="B226" s="1"/>
      <c r="E226" s="45" t="str">
        <f>IFERROR(AVERAGEIFS('Picarro Output'!G:G, 'Picarro Output'!$B:$B, 'Uncalibrated Data'!$C226, 'Picarro Output'!$I:$I, 0, 'Picarro Output'!$J:$J, 1), "")</f>
        <v/>
      </c>
    </row>
    <row r="227" spans="2:5" x14ac:dyDescent="0.45">
      <c r="B227" s="1"/>
      <c r="E227" s="45" t="str">
        <f>IFERROR(AVERAGEIFS('Picarro Output'!G:G, 'Picarro Output'!$B:$B, 'Uncalibrated Data'!$C227, 'Picarro Output'!$I:$I, 0, 'Picarro Output'!$J:$J, 1), "")</f>
        <v/>
      </c>
    </row>
    <row r="228" spans="2:5" x14ac:dyDescent="0.45">
      <c r="B228" s="1"/>
      <c r="E228" s="45" t="str">
        <f>IFERROR(AVERAGEIFS('Picarro Output'!G:G, 'Picarro Output'!$B:$B, 'Uncalibrated Data'!$C228, 'Picarro Output'!$I:$I, 0, 'Picarro Output'!$J:$J, 1), "")</f>
        <v/>
      </c>
    </row>
    <row r="229" spans="2:5" x14ac:dyDescent="0.45">
      <c r="B229" s="1"/>
      <c r="E229" s="45" t="str">
        <f>IFERROR(AVERAGEIFS('Picarro Output'!G:G, 'Picarro Output'!$B:$B, 'Uncalibrated Data'!$C229, 'Picarro Output'!$I:$I, 0, 'Picarro Output'!$J:$J, 1), "")</f>
        <v/>
      </c>
    </row>
    <row r="230" spans="2:5" x14ac:dyDescent="0.45">
      <c r="B230" s="1"/>
      <c r="E230" s="45" t="str">
        <f>IFERROR(AVERAGEIFS('Picarro Output'!G:G, 'Picarro Output'!$B:$B, 'Uncalibrated Data'!$C230, 'Picarro Output'!$I:$I, 0, 'Picarro Output'!$J:$J, 1), "")</f>
        <v/>
      </c>
    </row>
    <row r="231" spans="2:5" x14ac:dyDescent="0.45">
      <c r="B231" s="1"/>
      <c r="E231" s="45" t="str">
        <f>IFERROR(AVERAGEIFS('Picarro Output'!G:G, 'Picarro Output'!$B:$B, 'Uncalibrated Data'!$C231, 'Picarro Output'!$I:$I, 0, 'Picarro Output'!$J:$J, 1), "")</f>
        <v/>
      </c>
    </row>
    <row r="232" spans="2:5" x14ac:dyDescent="0.45">
      <c r="B232" s="1"/>
      <c r="E232" s="45" t="str">
        <f>IFERROR(AVERAGEIFS('Picarro Output'!G:G, 'Picarro Output'!$B:$B, 'Uncalibrated Data'!$C232, 'Picarro Output'!$I:$I, 0, 'Picarro Output'!$J:$J, 1), "")</f>
        <v/>
      </c>
    </row>
    <row r="233" spans="2:5" x14ac:dyDescent="0.45">
      <c r="B233" s="1"/>
      <c r="E233" s="45" t="str">
        <f>IFERROR(AVERAGEIFS('Picarro Output'!G:G, 'Picarro Output'!$B:$B, 'Uncalibrated Data'!$C233, 'Picarro Output'!$I:$I, 0, 'Picarro Output'!$J:$J, 1), "")</f>
        <v/>
      </c>
    </row>
    <row r="234" spans="2:5" x14ac:dyDescent="0.45">
      <c r="B234" s="1"/>
      <c r="E234" s="45" t="str">
        <f>IFERROR(AVERAGEIFS('Picarro Output'!G:G, 'Picarro Output'!$B:$B, 'Uncalibrated Data'!$C234, 'Picarro Output'!$I:$I, 0, 'Picarro Output'!$J:$J, 1), "")</f>
        <v/>
      </c>
    </row>
    <row r="235" spans="2:5" x14ac:dyDescent="0.45">
      <c r="B235" s="1"/>
      <c r="E235" s="45" t="str">
        <f>IFERROR(AVERAGEIFS('Picarro Output'!G:G, 'Picarro Output'!$B:$B, 'Uncalibrated Data'!$C235, 'Picarro Output'!$I:$I, 0, 'Picarro Output'!$J:$J, 1), "")</f>
        <v/>
      </c>
    </row>
    <row r="236" spans="2:5" x14ac:dyDescent="0.45">
      <c r="B236" s="1"/>
      <c r="E236" s="45" t="str">
        <f>IFERROR(AVERAGEIFS('Picarro Output'!G:G, 'Picarro Output'!$B:$B, 'Uncalibrated Data'!$C236, 'Picarro Output'!$I:$I, 0, 'Picarro Output'!$J:$J, 1), "")</f>
        <v/>
      </c>
    </row>
    <row r="237" spans="2:5" x14ac:dyDescent="0.45">
      <c r="B237" s="1"/>
      <c r="E237" s="45" t="str">
        <f>IFERROR(AVERAGEIFS('Picarro Output'!G:G, 'Picarro Output'!$B:$B, 'Uncalibrated Data'!$C237, 'Picarro Output'!$I:$I, 0, 'Picarro Output'!$J:$J, 1), "")</f>
        <v/>
      </c>
    </row>
    <row r="238" spans="2:5" x14ac:dyDescent="0.45">
      <c r="B238" s="1"/>
      <c r="E238" s="45" t="str">
        <f>IFERROR(AVERAGEIFS('Picarro Output'!G:G, 'Picarro Output'!$B:$B, 'Uncalibrated Data'!$C238, 'Picarro Output'!$I:$I, 0, 'Picarro Output'!$J:$J, 1), "")</f>
        <v/>
      </c>
    </row>
    <row r="239" spans="2:5" x14ac:dyDescent="0.45">
      <c r="B239" s="1"/>
      <c r="E239" s="45" t="str">
        <f>IFERROR(AVERAGEIFS('Picarro Output'!G:G, 'Picarro Output'!$B:$B, 'Uncalibrated Data'!$C239, 'Picarro Output'!$I:$I, 0, 'Picarro Output'!$J:$J, 1), "")</f>
        <v/>
      </c>
    </row>
    <row r="240" spans="2:5" x14ac:dyDescent="0.45">
      <c r="B240" s="1"/>
      <c r="E240" s="45" t="str">
        <f>IFERROR(AVERAGEIFS('Picarro Output'!G:G, 'Picarro Output'!$B:$B, 'Uncalibrated Data'!$C240, 'Picarro Output'!$I:$I, 0, 'Picarro Output'!$J:$J, 1), "")</f>
        <v/>
      </c>
    </row>
    <row r="241" spans="2:5" x14ac:dyDescent="0.45">
      <c r="B241" s="1"/>
      <c r="E241" s="45" t="str">
        <f>IFERROR(AVERAGEIFS('Picarro Output'!G:G, 'Picarro Output'!$B:$B, 'Uncalibrated Data'!$C241, 'Picarro Output'!$I:$I, 0, 'Picarro Output'!$J:$J, 1), "")</f>
        <v/>
      </c>
    </row>
    <row r="242" spans="2:5" x14ac:dyDescent="0.45">
      <c r="B242" s="1"/>
      <c r="E242" s="45" t="str">
        <f>IFERROR(AVERAGEIFS('Picarro Output'!G:G, 'Picarro Output'!$B:$B, 'Uncalibrated Data'!$C242, 'Picarro Output'!$I:$I, 0, 'Picarro Output'!$J:$J, 1), "")</f>
        <v/>
      </c>
    </row>
    <row r="243" spans="2:5" x14ac:dyDescent="0.45">
      <c r="B243" s="1"/>
      <c r="E243" s="45" t="str">
        <f>IFERROR(AVERAGEIFS('Picarro Output'!G:G, 'Picarro Output'!$B:$B, 'Uncalibrated Data'!$C243, 'Picarro Output'!$I:$I, 0, 'Picarro Output'!$J:$J, 1), "")</f>
        <v/>
      </c>
    </row>
    <row r="244" spans="2:5" x14ac:dyDescent="0.45">
      <c r="B244" s="1"/>
      <c r="E244" s="45" t="str">
        <f>IFERROR(AVERAGEIFS('Picarro Output'!G:G, 'Picarro Output'!$B:$B, 'Uncalibrated Data'!$C244, 'Picarro Output'!$I:$I, 0, 'Picarro Output'!$J:$J, 1), "")</f>
        <v/>
      </c>
    </row>
    <row r="245" spans="2:5" x14ac:dyDescent="0.45">
      <c r="B245" s="1"/>
      <c r="E245" s="45" t="str">
        <f>IFERROR(AVERAGEIFS('Picarro Output'!G:G, 'Picarro Output'!$B:$B, 'Uncalibrated Data'!$C245, 'Picarro Output'!$I:$I, 0, 'Picarro Output'!$J:$J, 1), "")</f>
        <v/>
      </c>
    </row>
    <row r="246" spans="2:5" x14ac:dyDescent="0.45">
      <c r="B246" s="1"/>
      <c r="E246" s="45" t="str">
        <f>IFERROR(AVERAGEIFS('Picarro Output'!G:G, 'Picarro Output'!$B:$B, 'Uncalibrated Data'!$C246, 'Picarro Output'!$I:$I, 0, 'Picarro Output'!$J:$J, 1), "")</f>
        <v/>
      </c>
    </row>
    <row r="247" spans="2:5" x14ac:dyDescent="0.45">
      <c r="B247" s="1"/>
      <c r="E247" s="45" t="str">
        <f>IFERROR(AVERAGEIFS('Picarro Output'!G:G, 'Picarro Output'!$B:$B, 'Uncalibrated Data'!$C247, 'Picarro Output'!$I:$I, 0, 'Picarro Output'!$J:$J, 1), "")</f>
        <v/>
      </c>
    </row>
    <row r="248" spans="2:5" x14ac:dyDescent="0.45">
      <c r="B248" s="1"/>
      <c r="E248" s="45" t="str">
        <f>IFERROR(AVERAGEIFS('Picarro Output'!G:G, 'Picarro Output'!$B:$B, 'Uncalibrated Data'!$C248, 'Picarro Output'!$I:$I, 0, 'Picarro Output'!$J:$J, 1), "")</f>
        <v/>
      </c>
    </row>
    <row r="249" spans="2:5" x14ac:dyDescent="0.45">
      <c r="B249" s="1"/>
      <c r="E249" s="45" t="str">
        <f>IFERROR(AVERAGEIFS('Picarro Output'!G:G, 'Picarro Output'!$B:$B, 'Uncalibrated Data'!$C249, 'Picarro Output'!$I:$I, 0, 'Picarro Output'!$J:$J, 1), "")</f>
        <v/>
      </c>
    </row>
    <row r="250" spans="2:5" x14ac:dyDescent="0.45">
      <c r="B250" s="1"/>
      <c r="E250" s="45" t="str">
        <f>IFERROR(AVERAGEIFS('Picarro Output'!G:G, 'Picarro Output'!$B:$B, 'Uncalibrated Data'!$C250, 'Picarro Output'!$I:$I, 0, 'Picarro Output'!$J:$J, 1), "")</f>
        <v/>
      </c>
    </row>
    <row r="251" spans="2:5" x14ac:dyDescent="0.45">
      <c r="B251" s="1"/>
      <c r="E251" s="45" t="str">
        <f>IFERROR(AVERAGEIFS('Picarro Output'!G:G, 'Picarro Output'!$B:$B, 'Uncalibrated Data'!$C251, 'Picarro Output'!$I:$I, 0, 'Picarro Output'!$J:$J, 1), "")</f>
        <v/>
      </c>
    </row>
    <row r="252" spans="2:5" x14ac:dyDescent="0.45">
      <c r="B252" s="1"/>
      <c r="E252" s="45" t="str">
        <f>IFERROR(AVERAGEIFS('Picarro Output'!G:G, 'Picarro Output'!$B:$B, 'Uncalibrated Data'!$C252, 'Picarro Output'!$I:$I, 0, 'Picarro Output'!$J:$J, 1), "")</f>
        <v/>
      </c>
    </row>
    <row r="253" spans="2:5" x14ac:dyDescent="0.45">
      <c r="B253" s="1"/>
      <c r="E253" s="45" t="str">
        <f>IFERROR(AVERAGEIFS('Picarro Output'!G:G, 'Picarro Output'!$B:$B, 'Uncalibrated Data'!$C253, 'Picarro Output'!$I:$I, 0, 'Picarro Output'!$J:$J, 1), "")</f>
        <v/>
      </c>
    </row>
    <row r="254" spans="2:5" x14ac:dyDescent="0.45">
      <c r="B254" s="1"/>
      <c r="E254" s="45" t="str">
        <f>IFERROR(AVERAGEIFS('Picarro Output'!G:G, 'Picarro Output'!$B:$B, 'Uncalibrated Data'!$C254, 'Picarro Output'!$I:$I, 0, 'Picarro Output'!$J:$J, 1), "")</f>
        <v/>
      </c>
    </row>
    <row r="255" spans="2:5" x14ac:dyDescent="0.45">
      <c r="B255" s="1"/>
      <c r="E255" s="45" t="str">
        <f>IFERROR(AVERAGEIFS('Picarro Output'!G:G, 'Picarro Output'!$B:$B, 'Uncalibrated Data'!$C255, 'Picarro Output'!$I:$I, 0, 'Picarro Output'!$J:$J, 1), "")</f>
        <v/>
      </c>
    </row>
    <row r="256" spans="2:5" x14ac:dyDescent="0.45">
      <c r="B256" s="1"/>
      <c r="E256" s="45" t="str">
        <f>IFERROR(AVERAGEIFS('Picarro Output'!G:G, 'Picarro Output'!$B:$B, 'Uncalibrated Data'!$C256, 'Picarro Output'!$I:$I, 0, 'Picarro Output'!$J:$J, 1), "")</f>
        <v/>
      </c>
    </row>
    <row r="257" spans="2:5" x14ac:dyDescent="0.45">
      <c r="B257" s="1"/>
      <c r="E257" s="45" t="str">
        <f>IFERROR(AVERAGEIFS('Picarro Output'!G:G, 'Picarro Output'!$B:$B, 'Uncalibrated Data'!$C257, 'Picarro Output'!$I:$I, 0, 'Picarro Output'!$J:$J, 1), "")</f>
        <v/>
      </c>
    </row>
    <row r="258" spans="2:5" x14ac:dyDescent="0.45">
      <c r="B258" s="1"/>
      <c r="E258" s="45" t="str">
        <f>IFERROR(AVERAGEIFS('Picarro Output'!G:G, 'Picarro Output'!$B:$B, 'Uncalibrated Data'!$C258, 'Picarro Output'!$I:$I, 0, 'Picarro Output'!$J:$J, 1), "")</f>
        <v/>
      </c>
    </row>
    <row r="259" spans="2:5" x14ac:dyDescent="0.45">
      <c r="B259" s="1"/>
      <c r="E259" s="45" t="str">
        <f>IFERROR(AVERAGEIFS('Picarro Output'!G:G, 'Picarro Output'!$B:$B, 'Uncalibrated Data'!$C259, 'Picarro Output'!$I:$I, 0, 'Picarro Output'!$J:$J, 1), "")</f>
        <v/>
      </c>
    </row>
    <row r="260" spans="2:5" x14ac:dyDescent="0.45">
      <c r="B260" s="1"/>
      <c r="E260" s="45" t="str">
        <f>IFERROR(AVERAGEIFS('Picarro Output'!G:G, 'Picarro Output'!$B:$B, 'Uncalibrated Data'!$C260, 'Picarro Output'!$I:$I, 0, 'Picarro Output'!$J:$J, 1), "")</f>
        <v/>
      </c>
    </row>
    <row r="261" spans="2:5" x14ac:dyDescent="0.45">
      <c r="B261" s="1"/>
      <c r="E261" s="45" t="str">
        <f>IFERROR(AVERAGEIFS('Picarro Output'!G:G, 'Picarro Output'!$B:$B, 'Uncalibrated Data'!$C261, 'Picarro Output'!$I:$I, 0, 'Picarro Output'!$J:$J, 1), "")</f>
        <v/>
      </c>
    </row>
    <row r="262" spans="2:5" x14ac:dyDescent="0.45">
      <c r="B262" s="1"/>
      <c r="E262" s="45" t="str">
        <f>IFERROR(AVERAGEIFS('Picarro Output'!G:G, 'Picarro Output'!$B:$B, 'Uncalibrated Data'!$C262, 'Picarro Output'!$I:$I, 0, 'Picarro Output'!$J:$J, 1), "")</f>
        <v/>
      </c>
    </row>
    <row r="263" spans="2:5" x14ac:dyDescent="0.45">
      <c r="B263" s="1"/>
      <c r="E263" s="45" t="str">
        <f>IFERROR(AVERAGEIFS('Picarro Output'!G:G, 'Picarro Output'!$B:$B, 'Uncalibrated Data'!$C263, 'Picarro Output'!$I:$I, 0, 'Picarro Output'!$J:$J, 1), "")</f>
        <v/>
      </c>
    </row>
    <row r="264" spans="2:5" x14ac:dyDescent="0.45">
      <c r="B264" s="1"/>
      <c r="E264" s="45" t="str">
        <f>IFERROR(AVERAGEIFS('Picarro Output'!G:G, 'Picarro Output'!$B:$B, 'Uncalibrated Data'!$C264, 'Picarro Output'!$I:$I, 0, 'Picarro Output'!$J:$J, 1), "")</f>
        <v/>
      </c>
    </row>
    <row r="265" spans="2:5" x14ac:dyDescent="0.45">
      <c r="B265" s="1"/>
      <c r="E265" s="45" t="str">
        <f>IFERROR(AVERAGEIFS('Picarro Output'!G:G, 'Picarro Output'!$B:$B, 'Uncalibrated Data'!$C265, 'Picarro Output'!$I:$I, 0, 'Picarro Output'!$J:$J, 1), "")</f>
        <v/>
      </c>
    </row>
    <row r="266" spans="2:5" x14ac:dyDescent="0.45">
      <c r="B266" s="1"/>
      <c r="E266" s="45" t="str">
        <f>IFERROR(AVERAGEIFS('Picarro Output'!G:G, 'Picarro Output'!$B:$B, 'Uncalibrated Data'!$C266, 'Picarro Output'!$I:$I, 0, 'Picarro Output'!$J:$J, 1), "")</f>
        <v/>
      </c>
    </row>
    <row r="267" spans="2:5" x14ac:dyDescent="0.45">
      <c r="B267" s="1"/>
      <c r="E267" s="45" t="str">
        <f>IFERROR(AVERAGEIFS('Picarro Output'!G:G, 'Picarro Output'!$B:$B, 'Uncalibrated Data'!$C267, 'Picarro Output'!$I:$I, 0, 'Picarro Output'!$J:$J, 1), "")</f>
        <v/>
      </c>
    </row>
    <row r="268" spans="2:5" x14ac:dyDescent="0.45">
      <c r="B268" s="1"/>
      <c r="E268" s="45" t="str">
        <f>IFERROR(AVERAGEIFS('Picarro Output'!G:G, 'Picarro Output'!$B:$B, 'Uncalibrated Data'!$C268, 'Picarro Output'!$I:$I, 0, 'Picarro Output'!$J:$J, 1), "")</f>
        <v/>
      </c>
    </row>
    <row r="269" spans="2:5" x14ac:dyDescent="0.45">
      <c r="B269" s="1"/>
      <c r="E269" s="45" t="str">
        <f>IFERROR(AVERAGEIFS('Picarro Output'!G:G, 'Picarro Output'!$B:$B, 'Uncalibrated Data'!$C269, 'Picarro Output'!$I:$I, 0, 'Picarro Output'!$J:$J, 1), "")</f>
        <v/>
      </c>
    </row>
    <row r="270" spans="2:5" x14ac:dyDescent="0.45">
      <c r="B270" s="1"/>
      <c r="E270" s="45" t="str">
        <f>IFERROR(AVERAGEIFS('Picarro Output'!G:G, 'Picarro Output'!$B:$B, 'Uncalibrated Data'!$C270, 'Picarro Output'!$I:$I, 0, 'Picarro Output'!$J:$J, 1), "")</f>
        <v/>
      </c>
    </row>
    <row r="271" spans="2:5" x14ac:dyDescent="0.45">
      <c r="B271" s="1"/>
      <c r="E271" s="45" t="str">
        <f>IFERROR(AVERAGEIFS('Picarro Output'!G:G, 'Picarro Output'!$B:$B, 'Uncalibrated Data'!$C271, 'Picarro Output'!$I:$I, 0, 'Picarro Output'!$J:$J, 1), "")</f>
        <v/>
      </c>
    </row>
    <row r="272" spans="2:5" x14ac:dyDescent="0.45">
      <c r="B272" s="1"/>
      <c r="E272" s="45" t="str">
        <f>IFERROR(AVERAGEIFS('Picarro Output'!G:G, 'Picarro Output'!$B:$B, 'Uncalibrated Data'!$C272, 'Picarro Output'!$I:$I, 0, 'Picarro Output'!$J:$J, 1), "")</f>
        <v/>
      </c>
    </row>
    <row r="273" spans="2:5" x14ac:dyDescent="0.45">
      <c r="B273" s="1"/>
      <c r="E273" s="45" t="str">
        <f>IFERROR(AVERAGEIFS('Picarro Output'!G:G, 'Picarro Output'!$B:$B, 'Uncalibrated Data'!$C273, 'Picarro Output'!$I:$I, 0, 'Picarro Output'!$J:$J, 1), "")</f>
        <v/>
      </c>
    </row>
    <row r="274" spans="2:5" x14ac:dyDescent="0.45">
      <c r="B274" s="1"/>
      <c r="E274" s="45" t="str">
        <f>IFERROR(AVERAGEIFS('Picarro Output'!G:G, 'Picarro Output'!$B:$B, 'Uncalibrated Data'!$C274, 'Picarro Output'!$I:$I, 0, 'Picarro Output'!$J:$J, 1), "")</f>
        <v/>
      </c>
    </row>
    <row r="275" spans="2:5" x14ac:dyDescent="0.45">
      <c r="B275" s="1"/>
      <c r="E275" s="45" t="str">
        <f>IFERROR(AVERAGEIFS('Picarro Output'!G:G, 'Picarro Output'!$B:$B, 'Uncalibrated Data'!$C275, 'Picarro Output'!$I:$I, 0, 'Picarro Output'!$J:$J, 1), "")</f>
        <v/>
      </c>
    </row>
    <row r="276" spans="2:5" x14ac:dyDescent="0.45">
      <c r="B276" s="1"/>
      <c r="E276" s="45" t="str">
        <f>IFERROR(AVERAGEIFS('Picarro Output'!G:G, 'Picarro Output'!$B:$B, 'Uncalibrated Data'!$C276, 'Picarro Output'!$I:$I, 0, 'Picarro Output'!$J:$J, 1), "")</f>
        <v/>
      </c>
    </row>
    <row r="277" spans="2:5" x14ac:dyDescent="0.45">
      <c r="B277" s="1"/>
      <c r="E277" s="45" t="str">
        <f>IFERROR(AVERAGEIFS('Picarro Output'!G:G, 'Picarro Output'!$B:$B, 'Uncalibrated Data'!$C277, 'Picarro Output'!$I:$I, 0, 'Picarro Output'!$J:$J, 1), "")</f>
        <v/>
      </c>
    </row>
    <row r="278" spans="2:5" x14ac:dyDescent="0.45">
      <c r="B278" s="1"/>
      <c r="E278" s="45" t="str">
        <f>IFERROR(AVERAGEIFS('Picarro Output'!G:G, 'Picarro Output'!$B:$B, 'Uncalibrated Data'!$C278, 'Picarro Output'!$I:$I, 0, 'Picarro Output'!$J:$J, 1), "")</f>
        <v/>
      </c>
    </row>
    <row r="279" spans="2:5" x14ac:dyDescent="0.45">
      <c r="B279" s="1"/>
      <c r="E279" s="45" t="str">
        <f>IFERROR(AVERAGEIFS('Picarro Output'!G:G, 'Picarro Output'!$B:$B, 'Uncalibrated Data'!$C279, 'Picarro Output'!$I:$I, 0, 'Picarro Output'!$J:$J, 1), "")</f>
        <v/>
      </c>
    </row>
    <row r="280" spans="2:5" x14ac:dyDescent="0.45">
      <c r="B280" s="1"/>
      <c r="E280" s="45" t="str">
        <f>IFERROR(AVERAGEIFS('Picarro Output'!G:G, 'Picarro Output'!$B:$B, 'Uncalibrated Data'!$C280, 'Picarro Output'!$I:$I, 0, 'Picarro Output'!$J:$J, 1), "")</f>
        <v/>
      </c>
    </row>
    <row r="281" spans="2:5" x14ac:dyDescent="0.45">
      <c r="B281" s="1"/>
      <c r="E281" s="45" t="str">
        <f>IFERROR(AVERAGEIFS('Picarro Output'!G:G, 'Picarro Output'!$B:$B, 'Uncalibrated Data'!$C281, 'Picarro Output'!$I:$I, 0, 'Picarro Output'!$J:$J, 1), "")</f>
        <v/>
      </c>
    </row>
    <row r="282" spans="2:5" x14ac:dyDescent="0.45">
      <c r="B282" s="1"/>
      <c r="E282" s="45" t="str">
        <f>IFERROR(AVERAGEIFS('Picarro Output'!G:G, 'Picarro Output'!$B:$B, 'Uncalibrated Data'!$C282, 'Picarro Output'!$I:$I, 0, 'Picarro Output'!$J:$J, 1), "")</f>
        <v/>
      </c>
    </row>
    <row r="283" spans="2:5" x14ac:dyDescent="0.45">
      <c r="B283" s="1"/>
      <c r="E283" s="45" t="str">
        <f>IFERROR(AVERAGEIFS('Picarro Output'!G:G, 'Picarro Output'!$B:$B, 'Uncalibrated Data'!$C283, 'Picarro Output'!$I:$I, 0, 'Picarro Output'!$J:$J, 1), "")</f>
        <v/>
      </c>
    </row>
    <row r="284" spans="2:5" x14ac:dyDescent="0.45">
      <c r="B284" s="1"/>
      <c r="E284" s="45" t="str">
        <f>IFERROR(AVERAGEIFS('Picarro Output'!G:G, 'Picarro Output'!$B:$B, 'Uncalibrated Data'!$C284, 'Picarro Output'!$I:$I, 0, 'Picarro Output'!$J:$J, 1), "")</f>
        <v/>
      </c>
    </row>
    <row r="285" spans="2:5" x14ac:dyDescent="0.45">
      <c r="B285" s="1"/>
      <c r="E285" s="45" t="str">
        <f>IFERROR(AVERAGEIFS('Picarro Output'!G:G, 'Picarro Output'!$B:$B, 'Uncalibrated Data'!$C285, 'Picarro Output'!$I:$I, 0, 'Picarro Output'!$J:$J, 1), "")</f>
        <v/>
      </c>
    </row>
    <row r="286" spans="2:5" x14ac:dyDescent="0.45">
      <c r="B286" s="1"/>
      <c r="E286" s="45" t="str">
        <f>IFERROR(AVERAGEIFS('Picarro Output'!G:G, 'Picarro Output'!$B:$B, 'Uncalibrated Data'!$C286, 'Picarro Output'!$I:$I, 0, 'Picarro Output'!$J:$J, 1), "")</f>
        <v/>
      </c>
    </row>
    <row r="287" spans="2:5" x14ac:dyDescent="0.45">
      <c r="B287" s="1"/>
      <c r="E287" s="45" t="str">
        <f>IFERROR(AVERAGEIFS('Picarro Output'!G:G, 'Picarro Output'!$B:$B, 'Uncalibrated Data'!$C287, 'Picarro Output'!$I:$I, 0, 'Picarro Output'!$J:$J, 1), "")</f>
        <v/>
      </c>
    </row>
    <row r="288" spans="2:5" x14ac:dyDescent="0.45">
      <c r="B288" s="1"/>
      <c r="E288" s="45" t="str">
        <f>IFERROR(AVERAGEIFS('Picarro Output'!G:G, 'Picarro Output'!$B:$B, 'Uncalibrated Data'!$C288, 'Picarro Output'!$I:$I, 0, 'Picarro Output'!$J:$J, 1), "")</f>
        <v/>
      </c>
    </row>
    <row r="289" spans="2:5" x14ac:dyDescent="0.45">
      <c r="B289" s="1"/>
      <c r="E289" s="45" t="str">
        <f>IFERROR(AVERAGEIFS('Picarro Output'!G:G, 'Picarro Output'!$B:$B, 'Uncalibrated Data'!$C289, 'Picarro Output'!$I:$I, 0, 'Picarro Output'!$J:$J, 1), "")</f>
        <v/>
      </c>
    </row>
    <row r="290" spans="2:5" x14ac:dyDescent="0.45">
      <c r="B290" s="1"/>
      <c r="E290" s="45" t="str">
        <f>IFERROR(AVERAGEIFS('Picarro Output'!G:G, 'Picarro Output'!$B:$B, 'Uncalibrated Data'!$C290, 'Picarro Output'!$I:$I, 0, 'Picarro Output'!$J:$J, 1), "")</f>
        <v/>
      </c>
    </row>
    <row r="291" spans="2:5" x14ac:dyDescent="0.45">
      <c r="B291" s="1"/>
      <c r="E291" s="45" t="str">
        <f>IFERROR(AVERAGEIFS('Picarro Output'!G:G, 'Picarro Output'!$B:$B, 'Uncalibrated Data'!$C291, 'Picarro Output'!$I:$I, 0, 'Picarro Output'!$J:$J, 1), "")</f>
        <v/>
      </c>
    </row>
    <row r="292" spans="2:5" x14ac:dyDescent="0.45">
      <c r="B292" s="1"/>
      <c r="E292" s="45" t="str">
        <f>IFERROR(AVERAGEIFS('Picarro Output'!G:G, 'Picarro Output'!$B:$B, 'Uncalibrated Data'!$C292, 'Picarro Output'!$I:$I, 0, 'Picarro Output'!$J:$J, 1), "")</f>
        <v/>
      </c>
    </row>
    <row r="293" spans="2:5" x14ac:dyDescent="0.45">
      <c r="B293" s="1"/>
      <c r="E293" s="45" t="str">
        <f>IFERROR(AVERAGEIFS('Picarro Output'!G:G, 'Picarro Output'!$B:$B, 'Uncalibrated Data'!$C293, 'Picarro Output'!$I:$I, 0, 'Picarro Output'!$J:$J, 1), "")</f>
        <v/>
      </c>
    </row>
    <row r="294" spans="2:5" x14ac:dyDescent="0.45">
      <c r="B294" s="1"/>
      <c r="E294" s="45" t="str">
        <f>IFERROR(AVERAGEIFS('Picarro Output'!G:G, 'Picarro Output'!$B:$B, 'Uncalibrated Data'!$C294, 'Picarro Output'!$I:$I, 0, 'Picarro Output'!$J:$J, 1), "")</f>
        <v/>
      </c>
    </row>
    <row r="295" spans="2:5" x14ac:dyDescent="0.45">
      <c r="B295" s="1"/>
      <c r="E295" s="45" t="str">
        <f>IFERROR(AVERAGEIFS('Picarro Output'!G:G, 'Picarro Output'!$B:$B, 'Uncalibrated Data'!$C295, 'Picarro Output'!$I:$I, 0, 'Picarro Output'!$J:$J, 1), "")</f>
        <v/>
      </c>
    </row>
    <row r="296" spans="2:5" x14ac:dyDescent="0.45">
      <c r="B296" s="1"/>
      <c r="E296" s="45" t="str">
        <f>IFERROR(AVERAGEIFS('Picarro Output'!G:G, 'Picarro Output'!$B:$B, 'Uncalibrated Data'!$C296, 'Picarro Output'!$I:$I, 0, 'Picarro Output'!$J:$J, 1), "")</f>
        <v/>
      </c>
    </row>
    <row r="297" spans="2:5" x14ac:dyDescent="0.45">
      <c r="B297" s="1"/>
      <c r="E297" s="45" t="str">
        <f>IFERROR(AVERAGEIFS('Picarro Output'!G:G, 'Picarro Output'!$B:$B, 'Uncalibrated Data'!$C297, 'Picarro Output'!$I:$I, 0, 'Picarro Output'!$J:$J, 1), "")</f>
        <v/>
      </c>
    </row>
    <row r="298" spans="2:5" x14ac:dyDescent="0.45">
      <c r="B298" s="1"/>
      <c r="E298" s="45" t="str">
        <f>IFERROR(AVERAGEIFS('Picarro Output'!G:G, 'Picarro Output'!$B:$B, 'Uncalibrated Data'!$C298, 'Picarro Output'!$I:$I, 0, 'Picarro Output'!$J:$J, 1), "")</f>
        <v/>
      </c>
    </row>
    <row r="299" spans="2:5" x14ac:dyDescent="0.45">
      <c r="B299" s="1"/>
      <c r="E299" s="45" t="str">
        <f>IFERROR(AVERAGEIFS('Picarro Output'!G:G, 'Picarro Output'!$B:$B, 'Uncalibrated Data'!$C299, 'Picarro Output'!$I:$I, 0, 'Picarro Output'!$J:$J, 1), "")</f>
        <v/>
      </c>
    </row>
    <row r="300" spans="2:5" x14ac:dyDescent="0.45">
      <c r="B300" s="1"/>
      <c r="E300" s="45" t="str">
        <f>IFERROR(AVERAGEIFS('Picarro Output'!G:G, 'Picarro Output'!$B:$B, 'Uncalibrated Data'!$C300, 'Picarro Output'!$I:$I, 0, 'Picarro Output'!$J:$J, 1), "")</f>
        <v/>
      </c>
    </row>
    <row r="301" spans="2:5" x14ac:dyDescent="0.45">
      <c r="B301" s="1"/>
      <c r="E301" s="45" t="str">
        <f>IFERROR(AVERAGEIFS('Picarro Output'!G:G, 'Picarro Output'!$B:$B, 'Uncalibrated Data'!$C301, 'Picarro Output'!$I:$I, 0, 'Picarro Output'!$J:$J, 1), "")</f>
        <v/>
      </c>
    </row>
    <row r="302" spans="2:5" x14ac:dyDescent="0.45">
      <c r="B302" s="1"/>
      <c r="E302" s="45" t="str">
        <f>IFERROR(AVERAGEIFS('Picarro Output'!G:G, 'Picarro Output'!$B:$B, 'Uncalibrated Data'!$C302, 'Picarro Output'!$I:$I, 0, 'Picarro Output'!$J:$J, 1), "")</f>
        <v/>
      </c>
    </row>
    <row r="303" spans="2:5" x14ac:dyDescent="0.45">
      <c r="B303" s="1"/>
      <c r="E303" s="45" t="str">
        <f>IFERROR(AVERAGEIFS('Picarro Output'!G:G, 'Picarro Output'!$B:$B, 'Uncalibrated Data'!$C303, 'Picarro Output'!$I:$I, 0, 'Picarro Output'!$J:$J, 1), "")</f>
        <v/>
      </c>
    </row>
    <row r="304" spans="2:5" x14ac:dyDescent="0.45">
      <c r="B304" s="1"/>
      <c r="E304" s="45" t="str">
        <f>IFERROR(AVERAGEIFS('Picarro Output'!G:G, 'Picarro Output'!$B:$B, 'Uncalibrated Data'!$C304, 'Picarro Output'!$I:$I, 0, 'Picarro Output'!$J:$J, 1), "")</f>
        <v/>
      </c>
    </row>
    <row r="305" spans="2:5" x14ac:dyDescent="0.45">
      <c r="B305" s="1"/>
      <c r="E305" s="45" t="str">
        <f>IFERROR(AVERAGEIFS('Picarro Output'!G:G, 'Picarro Output'!$B:$B, 'Uncalibrated Data'!$C305, 'Picarro Output'!$I:$I, 0, 'Picarro Output'!$J:$J, 1), "")</f>
        <v/>
      </c>
    </row>
    <row r="306" spans="2:5" x14ac:dyDescent="0.45">
      <c r="B306" s="1"/>
      <c r="E306" s="45" t="str">
        <f>IFERROR(AVERAGEIFS('Picarro Output'!G:G, 'Picarro Output'!$B:$B, 'Uncalibrated Data'!$C306, 'Picarro Output'!$I:$I, 0, 'Picarro Output'!$J:$J, 1), "")</f>
        <v/>
      </c>
    </row>
    <row r="307" spans="2:5" x14ac:dyDescent="0.45">
      <c r="B307" s="1"/>
      <c r="E307" s="45" t="str">
        <f>IFERROR(AVERAGEIFS('Picarro Output'!G:G, 'Picarro Output'!$B:$B, 'Uncalibrated Data'!$C307, 'Picarro Output'!$I:$I, 0, 'Picarro Output'!$J:$J, 1), "")</f>
        <v/>
      </c>
    </row>
    <row r="308" spans="2:5" x14ac:dyDescent="0.45">
      <c r="B308" s="1"/>
      <c r="E308" s="45" t="str">
        <f>IFERROR(AVERAGEIFS('Picarro Output'!G:G, 'Picarro Output'!$B:$B, 'Uncalibrated Data'!$C308, 'Picarro Output'!$I:$I, 0, 'Picarro Output'!$J:$J, 1), "")</f>
        <v/>
      </c>
    </row>
    <row r="309" spans="2:5" x14ac:dyDescent="0.45">
      <c r="B309" s="1"/>
      <c r="E309" s="45" t="str">
        <f>IFERROR(AVERAGEIFS('Picarro Output'!G:G, 'Picarro Output'!$B:$B, 'Uncalibrated Data'!$C309, 'Picarro Output'!$I:$I, 0, 'Picarro Output'!$J:$J, 1), "")</f>
        <v/>
      </c>
    </row>
    <row r="310" spans="2:5" x14ac:dyDescent="0.45">
      <c r="B310" s="1"/>
      <c r="E310" s="45" t="str">
        <f>IFERROR(AVERAGEIFS('Picarro Output'!G:G, 'Picarro Output'!$B:$B, 'Uncalibrated Data'!$C310, 'Picarro Output'!$I:$I, 0, 'Picarro Output'!$J:$J, 1), "")</f>
        <v/>
      </c>
    </row>
    <row r="311" spans="2:5" x14ac:dyDescent="0.45">
      <c r="B311" s="1"/>
      <c r="E311" s="45" t="str">
        <f>IFERROR(AVERAGEIFS('Picarro Output'!G:G, 'Picarro Output'!$B:$B, 'Uncalibrated Data'!$C311, 'Picarro Output'!$I:$I, 0, 'Picarro Output'!$J:$J, 1), "")</f>
        <v/>
      </c>
    </row>
    <row r="312" spans="2:5" x14ac:dyDescent="0.45">
      <c r="B312" s="1"/>
      <c r="E312" s="45" t="str">
        <f>IFERROR(AVERAGEIFS('Picarro Output'!G:G, 'Picarro Output'!$B:$B, 'Uncalibrated Data'!$C312, 'Picarro Output'!$I:$I, 0, 'Picarro Output'!$J:$J, 1), "")</f>
        <v/>
      </c>
    </row>
    <row r="313" spans="2:5" x14ac:dyDescent="0.45">
      <c r="B313" s="1"/>
      <c r="E313" s="45" t="str">
        <f>IFERROR(AVERAGEIFS('Picarro Output'!G:G, 'Picarro Output'!$B:$B, 'Uncalibrated Data'!$C313, 'Picarro Output'!$I:$I, 0, 'Picarro Output'!$J:$J, 1), "")</f>
        <v/>
      </c>
    </row>
    <row r="314" spans="2:5" x14ac:dyDescent="0.45">
      <c r="B314" s="1"/>
      <c r="E314" s="45" t="str">
        <f>IFERROR(AVERAGEIFS('Picarro Output'!G:G, 'Picarro Output'!$B:$B, 'Uncalibrated Data'!$C314, 'Picarro Output'!$I:$I, 0, 'Picarro Output'!$J:$J, 1), "")</f>
        <v/>
      </c>
    </row>
    <row r="315" spans="2:5" x14ac:dyDescent="0.45">
      <c r="B315" s="1"/>
      <c r="E315" s="45" t="str">
        <f>IFERROR(AVERAGEIFS('Picarro Output'!G:G, 'Picarro Output'!$B:$B, 'Uncalibrated Data'!$C315, 'Picarro Output'!$I:$I, 0, 'Picarro Output'!$J:$J, 1), "")</f>
        <v/>
      </c>
    </row>
    <row r="316" spans="2:5" x14ac:dyDescent="0.45">
      <c r="B316" s="1"/>
      <c r="E316" s="45" t="str">
        <f>IFERROR(AVERAGEIFS('Picarro Output'!G:G, 'Picarro Output'!$B:$B, 'Uncalibrated Data'!$C316, 'Picarro Output'!$I:$I, 0, 'Picarro Output'!$J:$J, 1), "")</f>
        <v/>
      </c>
    </row>
    <row r="317" spans="2:5" x14ac:dyDescent="0.45">
      <c r="B317" s="1"/>
      <c r="E317" s="45" t="str">
        <f>IFERROR(AVERAGEIFS('Picarro Output'!G:G, 'Picarro Output'!$B:$B, 'Uncalibrated Data'!$C317, 'Picarro Output'!$I:$I, 0, 'Picarro Output'!$J:$J, 1), "")</f>
        <v/>
      </c>
    </row>
    <row r="318" spans="2:5" x14ac:dyDescent="0.45">
      <c r="B318" s="1"/>
      <c r="E318" s="45" t="str">
        <f>IFERROR(AVERAGEIFS('Picarro Output'!G:G, 'Picarro Output'!$B:$B, 'Uncalibrated Data'!$C318, 'Picarro Output'!$I:$I, 0, 'Picarro Output'!$J:$J, 1), "")</f>
        <v/>
      </c>
    </row>
    <row r="319" spans="2:5" x14ac:dyDescent="0.45">
      <c r="B319" s="1"/>
      <c r="E319" s="45" t="str">
        <f>IFERROR(AVERAGEIFS('Picarro Output'!G:G, 'Picarro Output'!$B:$B, 'Uncalibrated Data'!$C319, 'Picarro Output'!$I:$I, 0, 'Picarro Output'!$J:$J, 1), "")</f>
        <v/>
      </c>
    </row>
    <row r="320" spans="2:5" x14ac:dyDescent="0.45">
      <c r="B320" s="1"/>
      <c r="E320" s="45" t="str">
        <f>IFERROR(AVERAGEIFS('Picarro Output'!G:G, 'Picarro Output'!$B:$B, 'Uncalibrated Data'!$C320, 'Picarro Output'!$I:$I, 0, 'Picarro Output'!$J:$J, 1), "")</f>
        <v/>
      </c>
    </row>
    <row r="321" spans="2:5" x14ac:dyDescent="0.45">
      <c r="B321" s="1"/>
      <c r="E321" s="45" t="str">
        <f>IFERROR(AVERAGEIFS('Picarro Output'!G:G, 'Picarro Output'!$B:$B, 'Uncalibrated Data'!$C321, 'Picarro Output'!$I:$I, 0, 'Picarro Output'!$J:$J, 1), "")</f>
        <v/>
      </c>
    </row>
    <row r="322" spans="2:5" x14ac:dyDescent="0.45">
      <c r="B322" s="1"/>
      <c r="E322" s="45" t="str">
        <f>IFERROR(AVERAGEIFS('Picarro Output'!G:G, 'Picarro Output'!$B:$B, 'Uncalibrated Data'!$C322, 'Picarro Output'!$I:$I, 0, 'Picarro Output'!$J:$J, 1), "")</f>
        <v/>
      </c>
    </row>
    <row r="323" spans="2:5" x14ac:dyDescent="0.45">
      <c r="B323" s="1"/>
      <c r="E323" s="45" t="str">
        <f>IFERROR(AVERAGEIFS('Picarro Output'!G:G, 'Picarro Output'!$B:$B, 'Uncalibrated Data'!$C323, 'Picarro Output'!$I:$I, 0, 'Picarro Output'!$J:$J, 1), "")</f>
        <v/>
      </c>
    </row>
    <row r="324" spans="2:5" x14ac:dyDescent="0.45">
      <c r="B324" s="1"/>
      <c r="E324" s="45" t="str">
        <f>IFERROR(AVERAGEIFS('Picarro Output'!G:G, 'Picarro Output'!$B:$B, 'Uncalibrated Data'!$C324, 'Picarro Output'!$I:$I, 0, 'Picarro Output'!$J:$J, 1), "")</f>
        <v/>
      </c>
    </row>
    <row r="325" spans="2:5" x14ac:dyDescent="0.45">
      <c r="B325" s="1"/>
      <c r="E325" s="45" t="str">
        <f>IFERROR(AVERAGEIFS('Picarro Output'!G:G, 'Picarro Output'!$B:$B, 'Uncalibrated Data'!$C325, 'Picarro Output'!$I:$I, 0, 'Picarro Output'!$J:$J, 1), "")</f>
        <v/>
      </c>
    </row>
    <row r="326" spans="2:5" x14ac:dyDescent="0.45">
      <c r="B326" s="1"/>
      <c r="E326" s="45" t="str">
        <f>IFERROR(AVERAGEIFS('Picarro Output'!G:G, 'Picarro Output'!$B:$B, 'Uncalibrated Data'!$C326, 'Picarro Output'!$I:$I, 0, 'Picarro Output'!$J:$J, 1), "")</f>
        <v/>
      </c>
    </row>
    <row r="327" spans="2:5" x14ac:dyDescent="0.45">
      <c r="B327" s="1"/>
      <c r="E327" s="45" t="str">
        <f>IFERROR(AVERAGEIFS('Picarro Output'!G:G, 'Picarro Output'!$B:$B, 'Uncalibrated Data'!$C327, 'Picarro Output'!$I:$I, 0, 'Picarro Output'!$J:$J, 1), "")</f>
        <v/>
      </c>
    </row>
    <row r="328" spans="2:5" x14ac:dyDescent="0.45">
      <c r="B328" s="1"/>
      <c r="E328" s="45" t="str">
        <f>IFERROR(AVERAGEIFS('Picarro Output'!G:G, 'Picarro Output'!$B:$B, 'Uncalibrated Data'!$C328, 'Picarro Output'!$I:$I, 0, 'Picarro Output'!$J:$J, 1), "")</f>
        <v/>
      </c>
    </row>
    <row r="329" spans="2:5" x14ac:dyDescent="0.45">
      <c r="B329" s="1"/>
      <c r="E329" s="45" t="str">
        <f>IFERROR(AVERAGEIFS('Picarro Output'!G:G, 'Picarro Output'!$B:$B, 'Uncalibrated Data'!$C329, 'Picarro Output'!$I:$I, 0, 'Picarro Output'!$J:$J, 1), "")</f>
        <v/>
      </c>
    </row>
    <row r="330" spans="2:5" x14ac:dyDescent="0.45">
      <c r="B330" s="1"/>
      <c r="E330" s="45" t="str">
        <f>IFERROR(AVERAGEIFS('Picarro Output'!G:G, 'Picarro Output'!$B:$B, 'Uncalibrated Data'!$C330, 'Picarro Output'!$I:$I, 0, 'Picarro Output'!$J:$J, 1), "")</f>
        <v/>
      </c>
    </row>
    <row r="331" spans="2:5" x14ac:dyDescent="0.45">
      <c r="B331" s="1"/>
      <c r="E331" s="45" t="str">
        <f>IFERROR(AVERAGEIFS('Picarro Output'!G:G, 'Picarro Output'!$B:$B, 'Uncalibrated Data'!$C331, 'Picarro Output'!$I:$I, 0, 'Picarro Output'!$J:$J, 1), "")</f>
        <v/>
      </c>
    </row>
    <row r="332" spans="2:5" x14ac:dyDescent="0.45">
      <c r="B332" s="1"/>
      <c r="E332" s="45" t="str">
        <f>IFERROR(AVERAGEIFS('Picarro Output'!G:G, 'Picarro Output'!$B:$B, 'Uncalibrated Data'!$C332, 'Picarro Output'!$I:$I, 0, 'Picarro Output'!$J:$J, 1), "")</f>
        <v/>
      </c>
    </row>
    <row r="333" spans="2:5" x14ac:dyDescent="0.45">
      <c r="B333" s="1"/>
      <c r="E333" s="45" t="str">
        <f>IFERROR(AVERAGEIFS('Picarro Output'!G:G, 'Picarro Output'!$B:$B, 'Uncalibrated Data'!$C333, 'Picarro Output'!$I:$I, 0, 'Picarro Output'!$J:$J, 1), "")</f>
        <v/>
      </c>
    </row>
    <row r="334" spans="2:5" x14ac:dyDescent="0.45">
      <c r="B334" s="1"/>
      <c r="E334" s="45" t="str">
        <f>IFERROR(AVERAGEIFS('Picarro Output'!G:G, 'Picarro Output'!$B:$B, 'Uncalibrated Data'!$C334, 'Picarro Output'!$I:$I, 0, 'Picarro Output'!$J:$J, 1), "")</f>
        <v/>
      </c>
    </row>
    <row r="335" spans="2:5" x14ac:dyDescent="0.45">
      <c r="B335" s="1"/>
      <c r="E335" s="45" t="str">
        <f>IFERROR(AVERAGEIFS('Picarro Output'!G:G, 'Picarro Output'!$B:$B, 'Uncalibrated Data'!$C335, 'Picarro Output'!$I:$I, 0, 'Picarro Output'!$J:$J, 1), "")</f>
        <v/>
      </c>
    </row>
    <row r="336" spans="2:5" x14ac:dyDescent="0.45">
      <c r="B336" s="1"/>
      <c r="E336" s="45" t="str">
        <f>IFERROR(AVERAGEIFS('Picarro Output'!G:G, 'Picarro Output'!$B:$B, 'Uncalibrated Data'!$C336, 'Picarro Output'!$I:$I, 0, 'Picarro Output'!$J:$J, 1), "")</f>
        <v/>
      </c>
    </row>
    <row r="337" spans="2:5" x14ac:dyDescent="0.45">
      <c r="B337" s="1"/>
      <c r="E337" s="45" t="str">
        <f>IFERROR(AVERAGEIFS('Picarro Output'!G:G, 'Picarro Output'!$B:$B, 'Uncalibrated Data'!$C337, 'Picarro Output'!$I:$I, 0, 'Picarro Output'!$J:$J, 1), "")</f>
        <v/>
      </c>
    </row>
    <row r="338" spans="2:5" x14ac:dyDescent="0.45">
      <c r="B338" s="1"/>
      <c r="E338" s="45" t="str">
        <f>IFERROR(AVERAGEIFS('Picarro Output'!G:G, 'Picarro Output'!$B:$B, 'Uncalibrated Data'!$C338, 'Picarro Output'!$I:$I, 0, 'Picarro Output'!$J:$J, 1), "")</f>
        <v/>
      </c>
    </row>
    <row r="339" spans="2:5" x14ac:dyDescent="0.45">
      <c r="B339" s="1"/>
      <c r="E339" s="45" t="str">
        <f>IFERROR(AVERAGEIFS('Picarro Output'!G:G, 'Picarro Output'!$B:$B, 'Uncalibrated Data'!$C339, 'Picarro Output'!$I:$I, 0, 'Picarro Output'!$J:$J, 1), "")</f>
        <v/>
      </c>
    </row>
    <row r="340" spans="2:5" x14ac:dyDescent="0.45">
      <c r="B340" s="1"/>
      <c r="E340" s="45" t="str">
        <f>IFERROR(AVERAGEIFS('Picarro Output'!G:G, 'Picarro Output'!$B:$B, 'Uncalibrated Data'!$C340, 'Picarro Output'!$I:$I, 0, 'Picarro Output'!$J:$J, 1), "")</f>
        <v/>
      </c>
    </row>
    <row r="341" spans="2:5" x14ac:dyDescent="0.45">
      <c r="B341" s="1"/>
      <c r="E341" s="45" t="str">
        <f>IFERROR(AVERAGEIFS('Picarro Output'!G:G, 'Picarro Output'!$B:$B, 'Uncalibrated Data'!$C341, 'Picarro Output'!$I:$I, 0, 'Picarro Output'!$J:$J, 1), "")</f>
        <v/>
      </c>
    </row>
    <row r="342" spans="2:5" x14ac:dyDescent="0.45">
      <c r="B342" s="1"/>
      <c r="E342" s="45" t="str">
        <f>IFERROR(AVERAGEIFS('Picarro Output'!G:G, 'Picarro Output'!$B:$B, 'Uncalibrated Data'!$C342, 'Picarro Output'!$I:$I, 0, 'Picarro Output'!$J:$J, 1), "")</f>
        <v/>
      </c>
    </row>
    <row r="343" spans="2:5" x14ac:dyDescent="0.45">
      <c r="B343" s="1"/>
      <c r="E343" s="45" t="str">
        <f>IFERROR(AVERAGEIFS('Picarro Output'!G:G, 'Picarro Output'!$B:$B, 'Uncalibrated Data'!$C343, 'Picarro Output'!$I:$I, 0, 'Picarro Output'!$J:$J, 1), "")</f>
        <v/>
      </c>
    </row>
    <row r="344" spans="2:5" x14ac:dyDescent="0.45">
      <c r="B344" s="1"/>
      <c r="E344" s="45" t="str">
        <f>IFERROR(AVERAGEIFS('Picarro Output'!G:G, 'Picarro Output'!$B:$B, 'Uncalibrated Data'!$C344, 'Picarro Output'!$I:$I, 0, 'Picarro Output'!$J:$J, 1), "")</f>
        <v/>
      </c>
    </row>
    <row r="345" spans="2:5" x14ac:dyDescent="0.45">
      <c r="B345" s="1"/>
      <c r="E345" s="45" t="str">
        <f>IFERROR(AVERAGEIFS('Picarro Output'!G:G, 'Picarro Output'!$B:$B, 'Uncalibrated Data'!$C345, 'Picarro Output'!$I:$I, 0, 'Picarro Output'!$J:$J, 1), "")</f>
        <v/>
      </c>
    </row>
    <row r="346" spans="2:5" x14ac:dyDescent="0.45">
      <c r="B346" s="1"/>
      <c r="E346" s="45" t="str">
        <f>IFERROR(AVERAGEIFS('Picarro Output'!G:G, 'Picarro Output'!$B:$B, 'Uncalibrated Data'!$C346, 'Picarro Output'!$I:$I, 0, 'Picarro Output'!$J:$J, 1), "")</f>
        <v/>
      </c>
    </row>
    <row r="347" spans="2:5" x14ac:dyDescent="0.45">
      <c r="B347" s="1"/>
      <c r="E347" s="45" t="str">
        <f>IFERROR(AVERAGEIFS('Picarro Output'!G:G, 'Picarro Output'!$B:$B, 'Uncalibrated Data'!$C347, 'Picarro Output'!$I:$I, 0, 'Picarro Output'!$J:$J, 1), "")</f>
        <v/>
      </c>
    </row>
    <row r="348" spans="2:5" x14ac:dyDescent="0.45">
      <c r="B348" s="1"/>
      <c r="E348" s="45" t="str">
        <f>IFERROR(AVERAGEIFS('Picarro Output'!G:G, 'Picarro Output'!$B:$B, 'Uncalibrated Data'!$C348, 'Picarro Output'!$I:$I, 0, 'Picarro Output'!$J:$J, 1), "")</f>
        <v/>
      </c>
    </row>
    <row r="349" spans="2:5" x14ac:dyDescent="0.45">
      <c r="B349" s="1"/>
      <c r="E349" s="45" t="str">
        <f>IFERROR(AVERAGEIFS('Picarro Output'!G:G, 'Picarro Output'!$B:$B, 'Uncalibrated Data'!$C349, 'Picarro Output'!$I:$I, 0, 'Picarro Output'!$J:$J, 1), "")</f>
        <v/>
      </c>
    </row>
    <row r="350" spans="2:5" x14ac:dyDescent="0.45">
      <c r="B350" s="1"/>
      <c r="E350" s="45" t="str">
        <f>IFERROR(AVERAGEIFS('Picarro Output'!G:G, 'Picarro Output'!$B:$B, 'Uncalibrated Data'!$C350, 'Picarro Output'!$I:$I, 0, 'Picarro Output'!$J:$J, 1), "")</f>
        <v/>
      </c>
    </row>
    <row r="351" spans="2:5" x14ac:dyDescent="0.45">
      <c r="B351" s="1"/>
      <c r="E351" s="45" t="str">
        <f>IFERROR(AVERAGEIFS('Picarro Output'!G:G, 'Picarro Output'!$B:$B, 'Uncalibrated Data'!$C351, 'Picarro Output'!$I:$I, 0, 'Picarro Output'!$J:$J, 1), "")</f>
        <v/>
      </c>
    </row>
    <row r="352" spans="2:5" x14ac:dyDescent="0.45">
      <c r="B352" s="1"/>
      <c r="E352" s="45" t="str">
        <f>IFERROR(AVERAGEIFS('Picarro Output'!G:G, 'Picarro Output'!$B:$B, 'Uncalibrated Data'!$C352, 'Picarro Output'!$I:$I, 0, 'Picarro Output'!$J:$J, 1), "")</f>
        <v/>
      </c>
    </row>
    <row r="353" spans="2:5" x14ac:dyDescent="0.45">
      <c r="B353" s="1"/>
      <c r="E353" s="45" t="str">
        <f>IFERROR(AVERAGEIFS('Picarro Output'!G:G, 'Picarro Output'!$B:$B, 'Uncalibrated Data'!$C353, 'Picarro Output'!$I:$I, 0, 'Picarro Output'!$J:$J, 1), "")</f>
        <v/>
      </c>
    </row>
    <row r="354" spans="2:5" x14ac:dyDescent="0.45">
      <c r="B354" s="1"/>
      <c r="E354" s="45" t="str">
        <f>IFERROR(AVERAGEIFS('Picarro Output'!G:G, 'Picarro Output'!$B:$B, 'Uncalibrated Data'!$C354, 'Picarro Output'!$I:$I, 0, 'Picarro Output'!$J:$J, 1), "")</f>
        <v/>
      </c>
    </row>
    <row r="355" spans="2:5" x14ac:dyDescent="0.45">
      <c r="B355" s="1"/>
      <c r="E355" s="45" t="str">
        <f>IFERROR(AVERAGEIFS('Picarro Output'!G:G, 'Picarro Output'!$B:$B, 'Uncalibrated Data'!$C355, 'Picarro Output'!$I:$I, 0, 'Picarro Output'!$J:$J, 1), "")</f>
        <v/>
      </c>
    </row>
    <row r="356" spans="2:5" x14ac:dyDescent="0.45">
      <c r="B356" s="1"/>
      <c r="E356" s="45" t="str">
        <f>IFERROR(AVERAGEIFS('Picarro Output'!G:G, 'Picarro Output'!$B:$B, 'Uncalibrated Data'!$C356, 'Picarro Output'!$I:$I, 0, 'Picarro Output'!$J:$J, 1), "")</f>
        <v/>
      </c>
    </row>
    <row r="357" spans="2:5" x14ac:dyDescent="0.45">
      <c r="B357" s="1"/>
      <c r="E357" s="45" t="str">
        <f>IFERROR(AVERAGEIFS('Picarro Output'!G:G, 'Picarro Output'!$B:$B, 'Uncalibrated Data'!$C357, 'Picarro Output'!$I:$I, 0, 'Picarro Output'!$J:$J, 1), "")</f>
        <v/>
      </c>
    </row>
    <row r="358" spans="2:5" x14ac:dyDescent="0.45">
      <c r="B358" s="1"/>
      <c r="E358" s="45" t="str">
        <f>IFERROR(AVERAGEIFS('Picarro Output'!G:G, 'Picarro Output'!$B:$B, 'Uncalibrated Data'!$C358, 'Picarro Output'!$I:$I, 0, 'Picarro Output'!$J:$J, 1), "")</f>
        <v/>
      </c>
    </row>
    <row r="359" spans="2:5" x14ac:dyDescent="0.45">
      <c r="B359" s="1"/>
      <c r="E359" s="45" t="str">
        <f>IFERROR(AVERAGEIFS('Picarro Output'!G:G, 'Picarro Output'!$B:$B, 'Uncalibrated Data'!$C359, 'Picarro Output'!$I:$I, 0, 'Picarro Output'!$J:$J, 1), "")</f>
        <v/>
      </c>
    </row>
    <row r="360" spans="2:5" x14ac:dyDescent="0.45">
      <c r="B360" s="1"/>
      <c r="E360" s="45" t="str">
        <f>IFERROR(AVERAGEIFS('Picarro Output'!G:G, 'Picarro Output'!$B:$B, 'Uncalibrated Data'!$C360, 'Picarro Output'!$I:$I, 0, 'Picarro Output'!$J:$J, 1), "")</f>
        <v/>
      </c>
    </row>
    <row r="361" spans="2:5" x14ac:dyDescent="0.45">
      <c r="B361" s="1"/>
      <c r="E361" s="45" t="str">
        <f>IFERROR(AVERAGEIFS('Picarro Output'!G:G, 'Picarro Output'!$B:$B, 'Uncalibrated Data'!$C361, 'Picarro Output'!$I:$I, 0, 'Picarro Output'!$J:$J, 1), "")</f>
        <v/>
      </c>
    </row>
    <row r="362" spans="2:5" x14ac:dyDescent="0.45">
      <c r="B362" s="1"/>
      <c r="E362" s="45" t="str">
        <f>IFERROR(AVERAGEIFS('Picarro Output'!G:G, 'Picarro Output'!$B:$B, 'Uncalibrated Data'!$C362, 'Picarro Output'!$I:$I, 0, 'Picarro Output'!$J:$J, 1), "")</f>
        <v/>
      </c>
    </row>
    <row r="363" spans="2:5" x14ac:dyDescent="0.45">
      <c r="B363" s="1"/>
      <c r="E363" s="45" t="str">
        <f>IFERROR(AVERAGEIFS('Picarro Output'!G:G, 'Picarro Output'!$B:$B, 'Uncalibrated Data'!$C363, 'Picarro Output'!$I:$I, 0, 'Picarro Output'!$J:$J, 1), "")</f>
        <v/>
      </c>
    </row>
    <row r="364" spans="2:5" x14ac:dyDescent="0.45">
      <c r="B364" s="1"/>
      <c r="E364" s="45" t="str">
        <f>IFERROR(AVERAGEIFS('Picarro Output'!G:G, 'Picarro Output'!$B:$B, 'Uncalibrated Data'!$C364, 'Picarro Output'!$I:$I, 0, 'Picarro Output'!$J:$J, 1), "")</f>
        <v/>
      </c>
    </row>
    <row r="365" spans="2:5" x14ac:dyDescent="0.45">
      <c r="B365" s="1"/>
      <c r="E365" s="45" t="str">
        <f>IFERROR(AVERAGEIFS('Picarro Output'!G:G, 'Picarro Output'!$B:$B, 'Uncalibrated Data'!$C365, 'Picarro Output'!$I:$I, 0, 'Picarro Output'!$J:$J, 1), "")</f>
        <v/>
      </c>
    </row>
    <row r="366" spans="2:5" x14ac:dyDescent="0.45">
      <c r="B366" s="1"/>
      <c r="E366" s="45" t="str">
        <f>IFERROR(AVERAGEIFS('Picarro Output'!G:G, 'Picarro Output'!$B:$B, 'Uncalibrated Data'!$C366, 'Picarro Output'!$I:$I, 0, 'Picarro Output'!$J:$J, 1), "")</f>
        <v/>
      </c>
    </row>
    <row r="367" spans="2:5" x14ac:dyDescent="0.45">
      <c r="B367" s="1"/>
      <c r="E367" s="45" t="str">
        <f>IFERROR(AVERAGEIFS('Picarro Output'!G:G, 'Picarro Output'!$B:$B, 'Uncalibrated Data'!$C367, 'Picarro Output'!$I:$I, 0, 'Picarro Output'!$J:$J, 1), "")</f>
        <v/>
      </c>
    </row>
    <row r="368" spans="2:5" x14ac:dyDescent="0.45">
      <c r="B368" s="1"/>
      <c r="E368" s="45" t="str">
        <f>IFERROR(AVERAGEIFS('Picarro Output'!G:G, 'Picarro Output'!$B:$B, 'Uncalibrated Data'!$C368, 'Picarro Output'!$I:$I, 0, 'Picarro Output'!$J:$J, 1), "")</f>
        <v/>
      </c>
    </row>
    <row r="369" spans="2:5" x14ac:dyDescent="0.45">
      <c r="B369" s="1"/>
      <c r="E369" s="45" t="str">
        <f>IFERROR(AVERAGEIFS('Picarro Output'!G:G, 'Picarro Output'!$B:$B, 'Uncalibrated Data'!$C369, 'Picarro Output'!$I:$I, 0, 'Picarro Output'!$J:$J, 1), "")</f>
        <v/>
      </c>
    </row>
    <row r="370" spans="2:5" x14ac:dyDescent="0.45">
      <c r="B370" s="1"/>
      <c r="E370" s="45" t="str">
        <f>IFERROR(AVERAGEIFS('Picarro Output'!G:G, 'Picarro Output'!$B:$B, 'Uncalibrated Data'!$C370, 'Picarro Output'!$I:$I, 0, 'Picarro Output'!$J:$J, 1), "")</f>
        <v/>
      </c>
    </row>
    <row r="371" spans="2:5" x14ac:dyDescent="0.45">
      <c r="B371" s="1"/>
      <c r="E371" s="45" t="str">
        <f>IFERROR(AVERAGEIFS('Picarro Output'!G:G, 'Picarro Output'!$B:$B, 'Uncalibrated Data'!$C371, 'Picarro Output'!$I:$I, 0, 'Picarro Output'!$J:$J, 1), "")</f>
        <v/>
      </c>
    </row>
    <row r="372" spans="2:5" x14ac:dyDescent="0.45">
      <c r="B372" s="1"/>
      <c r="E372" s="45" t="str">
        <f>IFERROR(AVERAGEIFS('Picarro Output'!G:G, 'Picarro Output'!$B:$B, 'Uncalibrated Data'!$C372, 'Picarro Output'!$I:$I, 0, 'Picarro Output'!$J:$J, 1), "")</f>
        <v/>
      </c>
    </row>
    <row r="373" spans="2:5" x14ac:dyDescent="0.45">
      <c r="B373" s="1"/>
      <c r="E373" s="45" t="str">
        <f>IFERROR(AVERAGEIFS('Picarro Output'!G:G, 'Picarro Output'!$B:$B, 'Uncalibrated Data'!$C373, 'Picarro Output'!$I:$I, 0, 'Picarro Output'!$J:$J, 1), "")</f>
        <v/>
      </c>
    </row>
    <row r="374" spans="2:5" x14ac:dyDescent="0.45">
      <c r="B374" s="1"/>
      <c r="E374" s="45" t="str">
        <f>IFERROR(AVERAGEIFS('Picarro Output'!G:G, 'Picarro Output'!$B:$B, 'Uncalibrated Data'!$C374, 'Picarro Output'!$I:$I, 0, 'Picarro Output'!$J:$J, 1), "")</f>
        <v/>
      </c>
    </row>
    <row r="375" spans="2:5" x14ac:dyDescent="0.45">
      <c r="B375" s="1"/>
      <c r="E375" s="45" t="str">
        <f>IFERROR(AVERAGEIFS('Picarro Output'!G:G, 'Picarro Output'!$B:$B, 'Uncalibrated Data'!$C375, 'Picarro Output'!$I:$I, 0, 'Picarro Output'!$J:$J, 1), "")</f>
        <v/>
      </c>
    </row>
    <row r="376" spans="2:5" x14ac:dyDescent="0.45">
      <c r="B376" s="1"/>
      <c r="E376" s="45" t="str">
        <f>IFERROR(AVERAGEIFS('Picarro Output'!G:G, 'Picarro Output'!$B:$B, 'Uncalibrated Data'!$C376, 'Picarro Output'!$I:$I, 0, 'Picarro Output'!$J:$J, 1), "")</f>
        <v/>
      </c>
    </row>
    <row r="377" spans="2:5" x14ac:dyDescent="0.45">
      <c r="B377" s="1"/>
      <c r="E377" s="45" t="str">
        <f>IFERROR(AVERAGEIFS('Picarro Output'!G:G, 'Picarro Output'!$B:$B, 'Uncalibrated Data'!$C377, 'Picarro Output'!$I:$I, 0, 'Picarro Output'!$J:$J, 1), "")</f>
        <v/>
      </c>
    </row>
    <row r="378" spans="2:5" x14ac:dyDescent="0.45">
      <c r="B378" s="1"/>
      <c r="E378" s="45" t="str">
        <f>IFERROR(AVERAGEIFS('Picarro Output'!G:G, 'Picarro Output'!$B:$B, 'Uncalibrated Data'!$C378, 'Picarro Output'!$I:$I, 0, 'Picarro Output'!$J:$J, 1), "")</f>
        <v/>
      </c>
    </row>
    <row r="379" spans="2:5" x14ac:dyDescent="0.45">
      <c r="B379" s="1"/>
      <c r="E379" s="45" t="str">
        <f>IFERROR(AVERAGEIFS('Picarro Output'!G:G, 'Picarro Output'!$B:$B, 'Uncalibrated Data'!$C379, 'Picarro Output'!$I:$I, 0, 'Picarro Output'!$J:$J, 1), "")</f>
        <v/>
      </c>
    </row>
    <row r="380" spans="2:5" x14ac:dyDescent="0.45">
      <c r="B380" s="1"/>
      <c r="E380" s="45" t="str">
        <f>IFERROR(AVERAGEIFS('Picarro Output'!G:G, 'Picarro Output'!$B:$B, 'Uncalibrated Data'!$C380, 'Picarro Output'!$I:$I, 0, 'Picarro Output'!$J:$J, 1), "")</f>
        <v/>
      </c>
    </row>
    <row r="381" spans="2:5" x14ac:dyDescent="0.45">
      <c r="B381" s="1"/>
      <c r="E381" s="45" t="str">
        <f>IFERROR(AVERAGEIFS('Picarro Output'!G:G, 'Picarro Output'!$B:$B, 'Uncalibrated Data'!$C381, 'Picarro Output'!$I:$I, 0, 'Picarro Output'!$J:$J, 1), "")</f>
        <v/>
      </c>
    </row>
    <row r="382" spans="2:5" x14ac:dyDescent="0.45">
      <c r="B382" s="1"/>
      <c r="E382" s="45" t="str">
        <f>IFERROR(AVERAGEIFS('Picarro Output'!G:G, 'Picarro Output'!$B:$B, 'Uncalibrated Data'!$C382, 'Picarro Output'!$I:$I, 0, 'Picarro Output'!$J:$J, 1), "")</f>
        <v/>
      </c>
    </row>
    <row r="383" spans="2:5" x14ac:dyDescent="0.45">
      <c r="B383" s="1"/>
      <c r="E383" s="45" t="str">
        <f>IFERROR(AVERAGEIFS('Picarro Output'!G:G, 'Picarro Output'!$B:$B, 'Uncalibrated Data'!$C383, 'Picarro Output'!$I:$I, 0, 'Picarro Output'!$J:$J, 1), "")</f>
        <v/>
      </c>
    </row>
    <row r="384" spans="2:5" x14ac:dyDescent="0.45">
      <c r="B384" s="1"/>
      <c r="E384" s="45" t="str">
        <f>IFERROR(AVERAGEIFS('Picarro Output'!G:G, 'Picarro Output'!$B:$B, 'Uncalibrated Data'!$C384, 'Picarro Output'!$I:$I, 0, 'Picarro Output'!$J:$J, 1), "")</f>
        <v/>
      </c>
    </row>
    <row r="385" spans="2:5" x14ac:dyDescent="0.45">
      <c r="B385" s="1"/>
      <c r="E385" s="45" t="str">
        <f>IFERROR(AVERAGEIFS('Picarro Output'!G:G, 'Picarro Output'!$B:$B, 'Uncalibrated Data'!$C385, 'Picarro Output'!$I:$I, 0, 'Picarro Output'!$J:$J, 1), "")</f>
        <v/>
      </c>
    </row>
    <row r="386" spans="2:5" x14ac:dyDescent="0.45">
      <c r="B386" s="1"/>
      <c r="E386" s="45" t="str">
        <f>IFERROR(AVERAGEIFS('Picarro Output'!G:G, 'Picarro Output'!$B:$B, 'Uncalibrated Data'!$C386, 'Picarro Output'!$I:$I, 0, 'Picarro Output'!$J:$J, 1), "")</f>
        <v/>
      </c>
    </row>
    <row r="387" spans="2:5" x14ac:dyDescent="0.45">
      <c r="B387" s="1"/>
      <c r="E387" s="45" t="str">
        <f>IFERROR(AVERAGEIFS('Picarro Output'!G:G, 'Picarro Output'!$B:$B, 'Uncalibrated Data'!$C387, 'Picarro Output'!$I:$I, 0, 'Picarro Output'!$J:$J, 1), "")</f>
        <v/>
      </c>
    </row>
    <row r="388" spans="2:5" x14ac:dyDescent="0.45">
      <c r="B388" s="1"/>
      <c r="E388" s="45" t="str">
        <f>IFERROR(AVERAGEIFS('Picarro Output'!G:G, 'Picarro Output'!$B:$B, 'Uncalibrated Data'!$C388, 'Picarro Output'!$I:$I, 0, 'Picarro Output'!$J:$J, 1), "")</f>
        <v/>
      </c>
    </row>
    <row r="389" spans="2:5" x14ac:dyDescent="0.45">
      <c r="B389" s="1"/>
      <c r="E389" s="45" t="str">
        <f>IFERROR(AVERAGEIFS('Picarro Output'!G:G, 'Picarro Output'!$B:$B, 'Uncalibrated Data'!$C389, 'Picarro Output'!$I:$I, 0, 'Picarro Output'!$J:$J, 1), "")</f>
        <v/>
      </c>
    </row>
    <row r="390" spans="2:5" x14ac:dyDescent="0.45">
      <c r="B390" s="1"/>
      <c r="E390" s="45" t="str">
        <f>IFERROR(AVERAGEIFS('Picarro Output'!G:G, 'Picarro Output'!$B:$B, 'Uncalibrated Data'!$C390, 'Picarro Output'!$I:$I, 0, 'Picarro Output'!$J:$J, 1), "")</f>
        <v/>
      </c>
    </row>
    <row r="391" spans="2:5" x14ac:dyDescent="0.45">
      <c r="B391" s="1"/>
      <c r="E391" s="45" t="str">
        <f>IFERROR(AVERAGEIFS('Picarro Output'!G:G, 'Picarro Output'!$B:$B, 'Uncalibrated Data'!$C391, 'Picarro Output'!$I:$I, 0, 'Picarro Output'!$J:$J, 1), "")</f>
        <v/>
      </c>
    </row>
    <row r="392" spans="2:5" x14ac:dyDescent="0.45">
      <c r="B392" s="1"/>
      <c r="E392" s="45" t="str">
        <f>IFERROR(AVERAGEIFS('Picarro Output'!G:G, 'Picarro Output'!$B:$B, 'Uncalibrated Data'!$C392, 'Picarro Output'!$I:$I, 0, 'Picarro Output'!$J:$J, 1), "")</f>
        <v/>
      </c>
    </row>
    <row r="393" spans="2:5" x14ac:dyDescent="0.45">
      <c r="B393" s="1"/>
      <c r="E393" s="45" t="str">
        <f>IFERROR(AVERAGEIFS('Picarro Output'!G:G, 'Picarro Output'!$B:$B, 'Uncalibrated Data'!$C393, 'Picarro Output'!$I:$I, 0, 'Picarro Output'!$J:$J, 1), "")</f>
        <v/>
      </c>
    </row>
    <row r="394" spans="2:5" x14ac:dyDescent="0.45">
      <c r="B394" s="1"/>
      <c r="E394" s="45" t="str">
        <f>IFERROR(AVERAGEIFS('Picarro Output'!G:G, 'Picarro Output'!$B:$B, 'Uncalibrated Data'!$C394, 'Picarro Output'!$I:$I, 0, 'Picarro Output'!$J:$J, 1), "")</f>
        <v/>
      </c>
    </row>
    <row r="395" spans="2:5" x14ac:dyDescent="0.45">
      <c r="B395" s="1"/>
      <c r="E395" s="45" t="str">
        <f>IFERROR(AVERAGEIFS('Picarro Output'!G:G, 'Picarro Output'!$B:$B, 'Uncalibrated Data'!$C395, 'Picarro Output'!$I:$I, 0, 'Picarro Output'!$J:$J, 1), "")</f>
        <v/>
      </c>
    </row>
    <row r="396" spans="2:5" x14ac:dyDescent="0.45">
      <c r="B396" s="1"/>
      <c r="E396" s="45" t="str">
        <f>IFERROR(AVERAGEIFS('Picarro Output'!G:G, 'Picarro Output'!$B:$B, 'Uncalibrated Data'!$C396, 'Picarro Output'!$I:$I, 0, 'Picarro Output'!$J:$J, 1), "")</f>
        <v/>
      </c>
    </row>
    <row r="397" spans="2:5" x14ac:dyDescent="0.45">
      <c r="B397" s="1"/>
      <c r="E397" s="45" t="str">
        <f>IFERROR(AVERAGEIFS('Picarro Output'!G:G, 'Picarro Output'!$B:$B, 'Uncalibrated Data'!$C397, 'Picarro Output'!$I:$I, 0, 'Picarro Output'!$J:$J, 1), "")</f>
        <v/>
      </c>
    </row>
    <row r="398" spans="2:5" x14ac:dyDescent="0.45">
      <c r="B398" s="1"/>
      <c r="E398" s="45" t="str">
        <f>IFERROR(AVERAGEIFS('Picarro Output'!G:G, 'Picarro Output'!$B:$B, 'Uncalibrated Data'!$C398, 'Picarro Output'!$I:$I, 0, 'Picarro Output'!$J:$J, 1), "")</f>
        <v/>
      </c>
    </row>
    <row r="399" spans="2:5" x14ac:dyDescent="0.45">
      <c r="B399" s="1"/>
      <c r="E399" s="45" t="str">
        <f>IFERROR(AVERAGEIFS('Picarro Output'!G:G, 'Picarro Output'!$B:$B, 'Uncalibrated Data'!$C399, 'Picarro Output'!$I:$I, 0, 'Picarro Output'!$J:$J, 1), "")</f>
        <v/>
      </c>
    </row>
    <row r="400" spans="2:5" x14ac:dyDescent="0.45">
      <c r="B400" s="1"/>
      <c r="E400" s="45" t="str">
        <f>IFERROR(AVERAGEIFS('Picarro Output'!G:G, 'Picarro Output'!$B:$B, 'Uncalibrated Data'!$C400, 'Picarro Output'!$I:$I, 0, 'Picarro Output'!$J:$J, 1), "")</f>
        <v/>
      </c>
    </row>
    <row r="401" spans="2:5" x14ac:dyDescent="0.45">
      <c r="B401" s="1"/>
      <c r="E401" s="45" t="str">
        <f>IFERROR(AVERAGEIFS('Picarro Output'!G:G, 'Picarro Output'!$B:$B, 'Uncalibrated Data'!$C401, 'Picarro Output'!$I:$I, 0, 'Picarro Output'!$J:$J, 1), "")</f>
        <v/>
      </c>
    </row>
    <row r="402" spans="2:5" x14ac:dyDescent="0.45">
      <c r="B402" s="1"/>
      <c r="E402" s="45" t="str">
        <f>IFERROR(AVERAGEIFS('Picarro Output'!G:G, 'Picarro Output'!$B:$B, 'Uncalibrated Data'!$C402, 'Picarro Output'!$I:$I, 0, 'Picarro Output'!$J:$J, 1), "")</f>
        <v/>
      </c>
    </row>
    <row r="403" spans="2:5" x14ac:dyDescent="0.45">
      <c r="B403" s="1"/>
      <c r="E403" s="45" t="str">
        <f>IFERROR(AVERAGEIFS('Picarro Output'!G:G, 'Picarro Output'!$B:$B, 'Uncalibrated Data'!$C403, 'Picarro Output'!$I:$I, 0, 'Picarro Output'!$J:$J, 1), "")</f>
        <v/>
      </c>
    </row>
    <row r="404" spans="2:5" x14ac:dyDescent="0.45">
      <c r="B404" s="1"/>
      <c r="E404" s="45" t="str">
        <f>IFERROR(AVERAGEIFS('Picarro Output'!G:G, 'Picarro Output'!$B:$B, 'Uncalibrated Data'!$C404, 'Picarro Output'!$I:$I, 0, 'Picarro Output'!$J:$J, 1), "")</f>
        <v/>
      </c>
    </row>
    <row r="405" spans="2:5" x14ac:dyDescent="0.45">
      <c r="B405" s="1"/>
      <c r="E405" s="45" t="str">
        <f>IFERROR(AVERAGEIFS('Picarro Output'!G:G, 'Picarro Output'!$B:$B, 'Uncalibrated Data'!$C405, 'Picarro Output'!$I:$I, 0, 'Picarro Output'!$J:$J, 1), "")</f>
        <v/>
      </c>
    </row>
    <row r="406" spans="2:5" x14ac:dyDescent="0.45">
      <c r="B406" s="1"/>
      <c r="E406" s="45" t="str">
        <f>IFERROR(AVERAGEIFS('Picarro Output'!G:G, 'Picarro Output'!$B:$B, 'Uncalibrated Data'!$C406, 'Picarro Output'!$I:$I, 0, 'Picarro Output'!$J:$J, 1), "")</f>
        <v/>
      </c>
    </row>
    <row r="407" spans="2:5" x14ac:dyDescent="0.45">
      <c r="B407" s="1"/>
      <c r="E407" s="45" t="str">
        <f>IFERROR(AVERAGEIFS('Picarro Output'!G:G, 'Picarro Output'!$B:$B, 'Uncalibrated Data'!$C407, 'Picarro Output'!$I:$I, 0, 'Picarro Output'!$J:$J, 1), "")</f>
        <v/>
      </c>
    </row>
    <row r="408" spans="2:5" x14ac:dyDescent="0.45">
      <c r="B408" s="1"/>
      <c r="E408" s="45" t="str">
        <f>IFERROR(AVERAGEIFS('Picarro Output'!G:G, 'Picarro Output'!$B:$B, 'Uncalibrated Data'!$C408, 'Picarro Output'!$I:$I, 0, 'Picarro Output'!$J:$J, 1), "")</f>
        <v/>
      </c>
    </row>
    <row r="409" spans="2:5" x14ac:dyDescent="0.45">
      <c r="B409" s="1"/>
      <c r="E409" s="45" t="str">
        <f>IFERROR(AVERAGEIFS('Picarro Output'!G:G, 'Picarro Output'!$B:$B, 'Uncalibrated Data'!$C409, 'Picarro Output'!$I:$I, 0, 'Picarro Output'!$J:$J, 1), "")</f>
        <v/>
      </c>
    </row>
    <row r="410" spans="2:5" x14ac:dyDescent="0.45">
      <c r="B410" s="1"/>
      <c r="E410" s="45" t="str">
        <f>IFERROR(AVERAGEIFS('Picarro Output'!G:G, 'Picarro Output'!$B:$B, 'Uncalibrated Data'!$C410, 'Picarro Output'!$I:$I, 0, 'Picarro Output'!$J:$J, 1), "")</f>
        <v/>
      </c>
    </row>
    <row r="411" spans="2:5" x14ac:dyDescent="0.45">
      <c r="B411" s="1"/>
      <c r="E411" s="45" t="str">
        <f>IFERROR(AVERAGEIFS('Picarro Output'!G:G, 'Picarro Output'!$B:$B, 'Uncalibrated Data'!$C411, 'Picarro Output'!$I:$I, 0, 'Picarro Output'!$J:$J, 1), "")</f>
        <v/>
      </c>
    </row>
    <row r="412" spans="2:5" x14ac:dyDescent="0.45">
      <c r="B412" s="1"/>
      <c r="E412" s="45" t="str">
        <f>IFERROR(AVERAGEIFS('Picarro Output'!G:G, 'Picarro Output'!$B:$B, 'Uncalibrated Data'!$C412, 'Picarro Output'!$I:$I, 0, 'Picarro Output'!$J:$J, 1), "")</f>
        <v/>
      </c>
    </row>
    <row r="413" spans="2:5" x14ac:dyDescent="0.45">
      <c r="B413" s="1"/>
      <c r="E413" s="45" t="str">
        <f>IFERROR(AVERAGEIFS('Picarro Output'!G:G, 'Picarro Output'!$B:$B, 'Uncalibrated Data'!$C413, 'Picarro Output'!$I:$I, 0, 'Picarro Output'!$J:$J, 1), "")</f>
        <v/>
      </c>
    </row>
    <row r="414" spans="2:5" x14ac:dyDescent="0.45">
      <c r="B414" s="1"/>
      <c r="E414" s="45" t="str">
        <f>IFERROR(AVERAGEIFS('Picarro Output'!G:G, 'Picarro Output'!$B:$B, 'Uncalibrated Data'!$C414, 'Picarro Output'!$I:$I, 0, 'Picarro Output'!$J:$J, 1), "")</f>
        <v/>
      </c>
    </row>
    <row r="415" spans="2:5" x14ac:dyDescent="0.45">
      <c r="B415" s="1"/>
      <c r="E415" s="45" t="str">
        <f>IFERROR(AVERAGEIFS('Picarro Output'!G:G, 'Picarro Output'!$B:$B, 'Uncalibrated Data'!$C415, 'Picarro Output'!$I:$I, 0, 'Picarro Output'!$J:$J, 1), "")</f>
        <v/>
      </c>
    </row>
    <row r="416" spans="2:5" x14ac:dyDescent="0.45">
      <c r="B416" s="1"/>
      <c r="E416" s="45" t="str">
        <f>IFERROR(AVERAGEIFS('Picarro Output'!G:G, 'Picarro Output'!$B:$B, 'Uncalibrated Data'!$C416, 'Picarro Output'!$I:$I, 0, 'Picarro Output'!$J:$J, 1), "")</f>
        <v/>
      </c>
    </row>
    <row r="417" spans="2:5" x14ac:dyDescent="0.45">
      <c r="B417" s="1"/>
      <c r="E417" s="45" t="str">
        <f>IFERROR(AVERAGEIFS('Picarro Output'!G:G, 'Picarro Output'!$B:$B, 'Uncalibrated Data'!$C417, 'Picarro Output'!$I:$I, 0, 'Picarro Output'!$J:$J, 1), "")</f>
        <v/>
      </c>
    </row>
    <row r="418" spans="2:5" x14ac:dyDescent="0.45">
      <c r="B418" s="1"/>
      <c r="E418" s="45" t="str">
        <f>IFERROR(AVERAGEIFS('Picarro Output'!G:G, 'Picarro Output'!$B:$B, 'Uncalibrated Data'!$C418, 'Picarro Output'!$I:$I, 0, 'Picarro Output'!$J:$J, 1), "")</f>
        <v/>
      </c>
    </row>
    <row r="419" spans="2:5" x14ac:dyDescent="0.45">
      <c r="B419" s="1"/>
      <c r="E419" s="45" t="str">
        <f>IFERROR(AVERAGEIFS('Picarro Output'!G:G, 'Picarro Output'!$B:$B, 'Uncalibrated Data'!$C419, 'Picarro Output'!$I:$I, 0, 'Picarro Output'!$J:$J, 1), "")</f>
        <v/>
      </c>
    </row>
    <row r="420" spans="2:5" x14ac:dyDescent="0.45">
      <c r="B420" s="1"/>
      <c r="E420" s="45" t="str">
        <f>IFERROR(AVERAGEIFS('Picarro Output'!G:G, 'Picarro Output'!$B:$B, 'Uncalibrated Data'!$C420, 'Picarro Output'!$I:$I, 0, 'Picarro Output'!$J:$J, 1), "")</f>
        <v/>
      </c>
    </row>
    <row r="421" spans="2:5" x14ac:dyDescent="0.45">
      <c r="B421" s="1"/>
      <c r="E421" s="45" t="str">
        <f>IFERROR(AVERAGEIFS('Picarro Output'!G:G, 'Picarro Output'!$B:$B, 'Uncalibrated Data'!$C421, 'Picarro Output'!$I:$I, 0, 'Picarro Output'!$J:$J, 1), "")</f>
        <v/>
      </c>
    </row>
    <row r="422" spans="2:5" x14ac:dyDescent="0.45">
      <c r="B422" s="1"/>
      <c r="E422" s="45" t="str">
        <f>IFERROR(AVERAGEIFS('Picarro Output'!G:G, 'Picarro Output'!$B:$B, 'Uncalibrated Data'!$C422, 'Picarro Output'!$I:$I, 0, 'Picarro Output'!$J:$J, 1), "")</f>
        <v/>
      </c>
    </row>
    <row r="423" spans="2:5" x14ac:dyDescent="0.45">
      <c r="B423" s="1"/>
      <c r="E423" s="45" t="str">
        <f>IFERROR(AVERAGEIFS('Picarro Output'!G:G, 'Picarro Output'!$B:$B, 'Uncalibrated Data'!$C423, 'Picarro Output'!$I:$I, 0, 'Picarro Output'!$J:$J, 1), "")</f>
        <v/>
      </c>
    </row>
    <row r="424" spans="2:5" x14ac:dyDescent="0.45">
      <c r="B424" s="1"/>
      <c r="E424" s="45" t="str">
        <f>IFERROR(AVERAGEIFS('Picarro Output'!G:G, 'Picarro Output'!$B:$B, 'Uncalibrated Data'!$C424, 'Picarro Output'!$I:$I, 0, 'Picarro Output'!$J:$J, 1), "")</f>
        <v/>
      </c>
    </row>
    <row r="425" spans="2:5" x14ac:dyDescent="0.45">
      <c r="B425" s="1"/>
      <c r="E425" s="45" t="str">
        <f>IFERROR(AVERAGEIFS('Picarro Output'!G:G, 'Picarro Output'!$B:$B, 'Uncalibrated Data'!$C425, 'Picarro Output'!$I:$I, 0, 'Picarro Output'!$J:$J, 1), "")</f>
        <v/>
      </c>
    </row>
    <row r="426" spans="2:5" x14ac:dyDescent="0.45">
      <c r="B426" s="1"/>
      <c r="E426" s="45" t="str">
        <f>IFERROR(AVERAGEIFS('Picarro Output'!G:G, 'Picarro Output'!$B:$B, 'Uncalibrated Data'!$C426, 'Picarro Output'!$I:$I, 0, 'Picarro Output'!$J:$J, 1), "")</f>
        <v/>
      </c>
    </row>
    <row r="427" spans="2:5" x14ac:dyDescent="0.45">
      <c r="B427" s="1"/>
      <c r="E427" s="45" t="str">
        <f>IFERROR(AVERAGEIFS('Picarro Output'!G:G, 'Picarro Output'!$B:$B, 'Uncalibrated Data'!$C427, 'Picarro Output'!$I:$I, 0, 'Picarro Output'!$J:$J, 1), "")</f>
        <v/>
      </c>
    </row>
    <row r="428" spans="2:5" x14ac:dyDescent="0.45">
      <c r="B428" s="1"/>
      <c r="E428" s="45" t="str">
        <f>IFERROR(AVERAGEIFS('Picarro Output'!G:G, 'Picarro Output'!$B:$B, 'Uncalibrated Data'!$C428, 'Picarro Output'!$I:$I, 0, 'Picarro Output'!$J:$J, 1), "")</f>
        <v/>
      </c>
    </row>
    <row r="429" spans="2:5" x14ac:dyDescent="0.45">
      <c r="B429" s="1"/>
      <c r="E429" s="45" t="str">
        <f>IFERROR(AVERAGEIFS('Picarro Output'!G:G, 'Picarro Output'!$B:$B, 'Uncalibrated Data'!$C429, 'Picarro Output'!$I:$I, 0, 'Picarro Output'!$J:$J, 1), "")</f>
        <v/>
      </c>
    </row>
    <row r="430" spans="2:5" x14ac:dyDescent="0.45">
      <c r="B430" s="1"/>
      <c r="E430" s="45" t="str">
        <f>IFERROR(AVERAGEIFS('Picarro Output'!G:G, 'Picarro Output'!$B:$B, 'Uncalibrated Data'!$C430, 'Picarro Output'!$I:$I, 0, 'Picarro Output'!$J:$J, 1), "")</f>
        <v/>
      </c>
    </row>
    <row r="431" spans="2:5" x14ac:dyDescent="0.45">
      <c r="B431" s="1"/>
      <c r="E431" s="45" t="str">
        <f>IFERROR(AVERAGEIFS('Picarro Output'!G:G, 'Picarro Output'!$B:$B, 'Uncalibrated Data'!$C431, 'Picarro Output'!$I:$I, 0, 'Picarro Output'!$J:$J, 1), "")</f>
        <v/>
      </c>
    </row>
    <row r="432" spans="2:5" x14ac:dyDescent="0.45">
      <c r="B432" s="1"/>
      <c r="E432" s="45" t="str">
        <f>IFERROR(AVERAGEIFS('Picarro Output'!G:G, 'Picarro Output'!$B:$B, 'Uncalibrated Data'!$C432, 'Picarro Output'!$I:$I, 0, 'Picarro Output'!$J:$J, 1), "")</f>
        <v/>
      </c>
    </row>
    <row r="433" spans="2:5" x14ac:dyDescent="0.45">
      <c r="B433" s="1"/>
      <c r="E433" s="45" t="str">
        <f>IFERROR(AVERAGEIFS('Picarro Output'!G:G, 'Picarro Output'!$B:$B, 'Uncalibrated Data'!$C433, 'Picarro Output'!$I:$I, 0, 'Picarro Output'!$J:$J, 1), "")</f>
        <v/>
      </c>
    </row>
    <row r="434" spans="2:5" x14ac:dyDescent="0.45">
      <c r="B434" s="1"/>
      <c r="E434" s="45" t="str">
        <f>IFERROR(AVERAGEIFS('Picarro Output'!G:G, 'Picarro Output'!$B:$B, 'Uncalibrated Data'!$C434, 'Picarro Output'!$I:$I, 0, 'Picarro Output'!$J:$J, 1), "")</f>
        <v/>
      </c>
    </row>
    <row r="435" spans="2:5" x14ac:dyDescent="0.45">
      <c r="B435" s="1"/>
      <c r="E435" s="45" t="str">
        <f>IFERROR(AVERAGEIFS('Picarro Output'!G:G, 'Picarro Output'!$B:$B, 'Uncalibrated Data'!$C435, 'Picarro Output'!$I:$I, 0, 'Picarro Output'!$J:$J, 1), "")</f>
        <v/>
      </c>
    </row>
    <row r="436" spans="2:5" x14ac:dyDescent="0.45">
      <c r="B436" s="1"/>
      <c r="E436" s="45" t="str">
        <f>IFERROR(AVERAGEIFS('Picarro Output'!G:G, 'Picarro Output'!$B:$B, 'Uncalibrated Data'!$C436, 'Picarro Output'!$I:$I, 0, 'Picarro Output'!$J:$J, 1), "")</f>
        <v/>
      </c>
    </row>
    <row r="437" spans="2:5" x14ac:dyDescent="0.45">
      <c r="B437" s="1"/>
      <c r="E437" s="45" t="str">
        <f>IFERROR(AVERAGEIFS('Picarro Output'!G:G, 'Picarro Output'!$B:$B, 'Uncalibrated Data'!$C437, 'Picarro Output'!$I:$I, 0, 'Picarro Output'!$J:$J, 1), "")</f>
        <v/>
      </c>
    </row>
    <row r="438" spans="2:5" x14ac:dyDescent="0.45">
      <c r="B438" s="1"/>
      <c r="E438" s="45" t="str">
        <f>IFERROR(AVERAGEIFS('Picarro Output'!G:G, 'Picarro Output'!$B:$B, 'Uncalibrated Data'!$C438, 'Picarro Output'!$I:$I, 0, 'Picarro Output'!$J:$J, 1), "")</f>
        <v/>
      </c>
    </row>
    <row r="439" spans="2:5" x14ac:dyDescent="0.45">
      <c r="B439" s="1"/>
      <c r="E439" s="45" t="str">
        <f>IFERROR(AVERAGEIFS('Picarro Output'!G:G, 'Picarro Output'!$B:$B, 'Uncalibrated Data'!$C439, 'Picarro Output'!$I:$I, 0, 'Picarro Output'!$J:$J, 1), "")</f>
        <v/>
      </c>
    </row>
    <row r="440" spans="2:5" x14ac:dyDescent="0.45">
      <c r="B440" s="1"/>
      <c r="E440" s="45" t="str">
        <f>IFERROR(AVERAGEIFS('Picarro Output'!G:G, 'Picarro Output'!$B:$B, 'Uncalibrated Data'!$C440, 'Picarro Output'!$I:$I, 0, 'Picarro Output'!$J:$J, 1), "")</f>
        <v/>
      </c>
    </row>
    <row r="441" spans="2:5" x14ac:dyDescent="0.45">
      <c r="B441" s="1"/>
      <c r="E441" s="45" t="str">
        <f>IFERROR(AVERAGEIFS('Picarro Output'!G:G, 'Picarro Output'!$B:$B, 'Uncalibrated Data'!$C441, 'Picarro Output'!$I:$I, 0, 'Picarro Output'!$J:$J, 1), "")</f>
        <v/>
      </c>
    </row>
    <row r="442" spans="2:5" x14ac:dyDescent="0.45">
      <c r="B442" s="1"/>
      <c r="E442" s="45" t="str">
        <f>IFERROR(AVERAGEIFS('Picarro Output'!G:G, 'Picarro Output'!$B:$B, 'Uncalibrated Data'!$C442, 'Picarro Output'!$I:$I, 0, 'Picarro Output'!$J:$J, 1), "")</f>
        <v/>
      </c>
    </row>
    <row r="443" spans="2:5" x14ac:dyDescent="0.45">
      <c r="B443" s="1"/>
      <c r="E443" s="45" t="str">
        <f>IFERROR(AVERAGEIFS('Picarro Output'!G:G, 'Picarro Output'!$B:$B, 'Uncalibrated Data'!$C443, 'Picarro Output'!$I:$I, 0, 'Picarro Output'!$J:$J, 1), "")</f>
        <v/>
      </c>
    </row>
    <row r="444" spans="2:5" x14ac:dyDescent="0.45">
      <c r="B444" s="1"/>
      <c r="E444" s="45" t="str">
        <f>IFERROR(AVERAGEIFS('Picarro Output'!G:G, 'Picarro Output'!$B:$B, 'Uncalibrated Data'!$C444, 'Picarro Output'!$I:$I, 0, 'Picarro Output'!$J:$J, 1), "")</f>
        <v/>
      </c>
    </row>
    <row r="445" spans="2:5" x14ac:dyDescent="0.45">
      <c r="B445" s="1"/>
      <c r="E445" s="45" t="str">
        <f>IFERROR(AVERAGEIFS('Picarro Output'!G:G, 'Picarro Output'!$B:$B, 'Uncalibrated Data'!$C445, 'Picarro Output'!$I:$I, 0, 'Picarro Output'!$J:$J, 1), "")</f>
        <v/>
      </c>
    </row>
    <row r="446" spans="2:5" x14ac:dyDescent="0.45">
      <c r="B446" s="1"/>
      <c r="E446" s="45" t="str">
        <f>IFERROR(AVERAGEIFS('Picarro Output'!G:G, 'Picarro Output'!$B:$B, 'Uncalibrated Data'!$C446, 'Picarro Output'!$I:$I, 0, 'Picarro Output'!$J:$J, 1), "")</f>
        <v/>
      </c>
    </row>
    <row r="447" spans="2:5" x14ac:dyDescent="0.45">
      <c r="B447" s="1"/>
      <c r="E447" s="45" t="str">
        <f>IFERROR(AVERAGEIFS('Picarro Output'!G:G, 'Picarro Output'!$B:$B, 'Uncalibrated Data'!$C447, 'Picarro Output'!$I:$I, 0, 'Picarro Output'!$J:$J, 1), "")</f>
        <v/>
      </c>
    </row>
    <row r="448" spans="2:5" x14ac:dyDescent="0.45">
      <c r="B448" s="1"/>
      <c r="E448" s="45" t="str">
        <f>IFERROR(AVERAGEIFS('Picarro Output'!G:G, 'Picarro Output'!$B:$B, 'Uncalibrated Data'!$C448, 'Picarro Output'!$I:$I, 0, 'Picarro Output'!$J:$J, 1), "")</f>
        <v/>
      </c>
    </row>
    <row r="449" spans="2:5" x14ac:dyDescent="0.45">
      <c r="B449" s="1"/>
      <c r="E449" s="45" t="str">
        <f>IFERROR(AVERAGEIFS('Picarro Output'!G:G, 'Picarro Output'!$B:$B, 'Uncalibrated Data'!$C449, 'Picarro Output'!$I:$I, 0, 'Picarro Output'!$J:$J, 1), "")</f>
        <v/>
      </c>
    </row>
    <row r="450" spans="2:5" x14ac:dyDescent="0.45">
      <c r="B450" s="1"/>
      <c r="E450" s="45" t="str">
        <f>IFERROR(AVERAGEIFS('Picarro Output'!G:G, 'Picarro Output'!$B:$B, 'Uncalibrated Data'!$C450, 'Picarro Output'!$I:$I, 0, 'Picarro Output'!$J:$J, 1), "")</f>
        <v/>
      </c>
    </row>
    <row r="451" spans="2:5" x14ac:dyDescent="0.45">
      <c r="B451" s="1"/>
      <c r="E451" s="45" t="str">
        <f>IFERROR(AVERAGEIFS('Picarro Output'!G:G, 'Picarro Output'!$B:$B, 'Uncalibrated Data'!$C451, 'Picarro Output'!$I:$I, 0, 'Picarro Output'!$J:$J, 1), "")</f>
        <v/>
      </c>
    </row>
    <row r="452" spans="2:5" x14ac:dyDescent="0.45">
      <c r="B452" s="1"/>
      <c r="E452" s="45" t="str">
        <f>IFERROR(AVERAGEIFS('Picarro Output'!G:G, 'Picarro Output'!$B:$B, 'Uncalibrated Data'!$C452, 'Picarro Output'!$I:$I, 0, 'Picarro Output'!$J:$J, 1), "")</f>
        <v/>
      </c>
    </row>
    <row r="453" spans="2:5" x14ac:dyDescent="0.45">
      <c r="B453" s="1"/>
      <c r="E453" s="45" t="str">
        <f>IFERROR(AVERAGEIFS('Picarro Output'!G:G, 'Picarro Output'!$B:$B, 'Uncalibrated Data'!$C453, 'Picarro Output'!$I:$I, 0, 'Picarro Output'!$J:$J, 1), "")</f>
        <v/>
      </c>
    </row>
    <row r="454" spans="2:5" x14ac:dyDescent="0.45">
      <c r="B454" s="1"/>
      <c r="E454" s="45" t="str">
        <f>IFERROR(AVERAGEIFS('Picarro Output'!G:G, 'Picarro Output'!$B:$B, 'Uncalibrated Data'!$C454, 'Picarro Output'!$I:$I, 0, 'Picarro Output'!$J:$J, 1), "")</f>
        <v/>
      </c>
    </row>
    <row r="455" spans="2:5" x14ac:dyDescent="0.45">
      <c r="B455" s="1"/>
      <c r="E455" s="45" t="str">
        <f>IFERROR(AVERAGEIFS('Picarro Output'!G:G, 'Picarro Output'!$B:$B, 'Uncalibrated Data'!$C455, 'Picarro Output'!$I:$I, 0, 'Picarro Output'!$J:$J, 1), "")</f>
        <v/>
      </c>
    </row>
    <row r="456" spans="2:5" x14ac:dyDescent="0.45">
      <c r="B456" s="1"/>
      <c r="E456" s="45" t="str">
        <f>IFERROR(AVERAGEIFS('Picarro Output'!G:G, 'Picarro Output'!$B:$B, 'Uncalibrated Data'!$C456, 'Picarro Output'!$I:$I, 0, 'Picarro Output'!$J:$J, 1), "")</f>
        <v/>
      </c>
    </row>
    <row r="457" spans="2:5" x14ac:dyDescent="0.45">
      <c r="B457" s="1"/>
      <c r="E457" s="45" t="str">
        <f>IFERROR(AVERAGEIFS('Picarro Output'!G:G, 'Picarro Output'!$B:$B, 'Uncalibrated Data'!$C457, 'Picarro Output'!$I:$I, 0, 'Picarro Output'!$J:$J, 1), "")</f>
        <v/>
      </c>
    </row>
    <row r="458" spans="2:5" x14ac:dyDescent="0.45">
      <c r="B458" s="1"/>
      <c r="E458" s="45" t="str">
        <f>IFERROR(AVERAGEIFS('Picarro Output'!G:G, 'Picarro Output'!$B:$B, 'Uncalibrated Data'!$C458, 'Picarro Output'!$I:$I, 0, 'Picarro Output'!$J:$J, 1), "")</f>
        <v/>
      </c>
    </row>
    <row r="459" spans="2:5" x14ac:dyDescent="0.45">
      <c r="B459" s="1"/>
      <c r="E459" s="45" t="str">
        <f>IFERROR(AVERAGEIFS('Picarro Output'!G:G, 'Picarro Output'!$B:$B, 'Uncalibrated Data'!$C459, 'Picarro Output'!$I:$I, 0, 'Picarro Output'!$J:$J, 1), "")</f>
        <v/>
      </c>
    </row>
    <row r="460" spans="2:5" x14ac:dyDescent="0.45">
      <c r="B460" s="1"/>
      <c r="E460" s="45" t="str">
        <f>IFERROR(AVERAGEIFS('Picarro Output'!G:G, 'Picarro Output'!$B:$B, 'Uncalibrated Data'!$C460, 'Picarro Output'!$I:$I, 0, 'Picarro Output'!$J:$J, 1), "")</f>
        <v/>
      </c>
    </row>
    <row r="461" spans="2:5" x14ac:dyDescent="0.45">
      <c r="B461" s="1"/>
      <c r="E461" s="45" t="str">
        <f>IFERROR(AVERAGEIFS('Picarro Output'!G:G, 'Picarro Output'!$B:$B, 'Uncalibrated Data'!$C461, 'Picarro Output'!$I:$I, 0, 'Picarro Output'!$J:$J, 1), "")</f>
        <v/>
      </c>
    </row>
    <row r="462" spans="2:5" x14ac:dyDescent="0.45">
      <c r="B462" s="1"/>
      <c r="E462" s="45" t="str">
        <f>IFERROR(AVERAGEIFS('Picarro Output'!G:G, 'Picarro Output'!$B:$B, 'Uncalibrated Data'!$C462, 'Picarro Output'!$I:$I, 0, 'Picarro Output'!$J:$J, 1), "")</f>
        <v/>
      </c>
    </row>
    <row r="463" spans="2:5" x14ac:dyDescent="0.45">
      <c r="B463" s="1"/>
      <c r="E463" s="45" t="str">
        <f>IFERROR(AVERAGEIFS('Picarro Output'!G:G, 'Picarro Output'!$B:$B, 'Uncalibrated Data'!$C463, 'Picarro Output'!$I:$I, 0, 'Picarro Output'!$J:$J, 1), "")</f>
        <v/>
      </c>
    </row>
    <row r="464" spans="2:5" x14ac:dyDescent="0.45">
      <c r="B464" s="1"/>
      <c r="E464" s="45" t="str">
        <f>IFERROR(AVERAGEIFS('Picarro Output'!G:G, 'Picarro Output'!$B:$B, 'Uncalibrated Data'!$C464, 'Picarro Output'!$I:$I, 0, 'Picarro Output'!$J:$J, 1), "")</f>
        <v/>
      </c>
    </row>
    <row r="465" spans="2:5" x14ac:dyDescent="0.45">
      <c r="B465" s="1"/>
      <c r="E465" s="45" t="str">
        <f>IFERROR(AVERAGEIFS('Picarro Output'!G:G, 'Picarro Output'!$B:$B, 'Uncalibrated Data'!$C465, 'Picarro Output'!$I:$I, 0, 'Picarro Output'!$J:$J, 1), "")</f>
        <v/>
      </c>
    </row>
    <row r="466" spans="2:5" x14ac:dyDescent="0.45">
      <c r="B466" s="1"/>
      <c r="E466" s="45" t="str">
        <f>IFERROR(AVERAGEIFS('Picarro Output'!G:G, 'Picarro Output'!$B:$B, 'Uncalibrated Data'!$C466, 'Picarro Output'!$I:$I, 0, 'Picarro Output'!$J:$J, 1), "")</f>
        <v/>
      </c>
    </row>
    <row r="467" spans="2:5" x14ac:dyDescent="0.45">
      <c r="B467" s="1"/>
      <c r="E467" s="45" t="str">
        <f>IFERROR(AVERAGEIFS('Picarro Output'!G:G, 'Picarro Output'!$B:$B, 'Uncalibrated Data'!$C467, 'Picarro Output'!$I:$I, 0, 'Picarro Output'!$J:$J, 1), "")</f>
        <v/>
      </c>
    </row>
    <row r="468" spans="2:5" x14ac:dyDescent="0.45">
      <c r="B468" s="1"/>
      <c r="E468" s="45" t="str">
        <f>IFERROR(AVERAGEIFS('Picarro Output'!G:G, 'Picarro Output'!$B:$B, 'Uncalibrated Data'!$C468, 'Picarro Output'!$I:$I, 0, 'Picarro Output'!$J:$J, 1), "")</f>
        <v/>
      </c>
    </row>
    <row r="469" spans="2:5" x14ac:dyDescent="0.45">
      <c r="B469" s="1"/>
      <c r="E469" s="45" t="str">
        <f>IFERROR(AVERAGEIFS('Picarro Output'!G:G, 'Picarro Output'!$B:$B, 'Uncalibrated Data'!$C469, 'Picarro Output'!$I:$I, 0, 'Picarro Output'!$J:$J, 1), "")</f>
        <v/>
      </c>
    </row>
    <row r="470" spans="2:5" x14ac:dyDescent="0.45">
      <c r="B470" s="1"/>
      <c r="E470" s="45" t="str">
        <f>IFERROR(AVERAGEIFS('Picarro Output'!G:G, 'Picarro Output'!$B:$B, 'Uncalibrated Data'!$C470, 'Picarro Output'!$I:$I, 0, 'Picarro Output'!$J:$J, 1), "")</f>
        <v/>
      </c>
    </row>
    <row r="471" spans="2:5" x14ac:dyDescent="0.45">
      <c r="B471" s="1"/>
      <c r="E471" s="45" t="str">
        <f>IFERROR(AVERAGEIFS('Picarro Output'!G:G, 'Picarro Output'!$B:$B, 'Uncalibrated Data'!$C471, 'Picarro Output'!$I:$I, 0, 'Picarro Output'!$J:$J, 1), "")</f>
        <v/>
      </c>
    </row>
    <row r="472" spans="2:5" x14ac:dyDescent="0.45">
      <c r="B472" s="1"/>
      <c r="E472" s="45" t="str">
        <f>IFERROR(AVERAGEIFS('Picarro Output'!G:G, 'Picarro Output'!$B:$B, 'Uncalibrated Data'!$C472, 'Picarro Output'!$I:$I, 0, 'Picarro Output'!$J:$J, 1), "")</f>
        <v/>
      </c>
    </row>
    <row r="473" spans="2:5" x14ac:dyDescent="0.45">
      <c r="B473" s="1"/>
      <c r="E473" s="45" t="str">
        <f>IFERROR(AVERAGEIFS('Picarro Output'!G:G, 'Picarro Output'!$B:$B, 'Uncalibrated Data'!$C473, 'Picarro Output'!$I:$I, 0, 'Picarro Output'!$J:$J, 1), "")</f>
        <v/>
      </c>
    </row>
    <row r="474" spans="2:5" x14ac:dyDescent="0.45">
      <c r="B474" s="1"/>
      <c r="E474" s="45" t="str">
        <f>IFERROR(AVERAGEIFS('Picarro Output'!G:G, 'Picarro Output'!$B:$B, 'Uncalibrated Data'!$C474, 'Picarro Output'!$I:$I, 0, 'Picarro Output'!$J:$J, 1), "")</f>
        <v/>
      </c>
    </row>
    <row r="475" spans="2:5" x14ac:dyDescent="0.45">
      <c r="B475" s="1"/>
      <c r="E475" s="45" t="str">
        <f>IFERROR(AVERAGEIFS('Picarro Output'!G:G, 'Picarro Output'!$B:$B, 'Uncalibrated Data'!$C475, 'Picarro Output'!$I:$I, 0, 'Picarro Output'!$J:$J, 1), "")</f>
        <v/>
      </c>
    </row>
    <row r="476" spans="2:5" x14ac:dyDescent="0.45">
      <c r="B476" s="1"/>
      <c r="E476" s="45" t="str">
        <f>IFERROR(AVERAGEIFS('Picarro Output'!G:G, 'Picarro Output'!$B:$B, 'Uncalibrated Data'!$C476, 'Picarro Output'!$I:$I, 0, 'Picarro Output'!$J:$J, 1), "")</f>
        <v/>
      </c>
    </row>
    <row r="477" spans="2:5" x14ac:dyDescent="0.45">
      <c r="B477" s="1"/>
      <c r="E477" s="45" t="str">
        <f>IFERROR(AVERAGEIFS('Picarro Output'!G:G, 'Picarro Output'!$B:$B, 'Uncalibrated Data'!$C477, 'Picarro Output'!$I:$I, 0, 'Picarro Output'!$J:$J, 1), "")</f>
        <v/>
      </c>
    </row>
    <row r="478" spans="2:5" x14ac:dyDescent="0.45">
      <c r="B478" s="1"/>
      <c r="E478" s="45" t="str">
        <f>IFERROR(AVERAGEIFS('Picarro Output'!G:G, 'Picarro Output'!$B:$B, 'Uncalibrated Data'!$C478, 'Picarro Output'!$I:$I, 0, 'Picarro Output'!$J:$J, 1), "")</f>
        <v/>
      </c>
    </row>
    <row r="479" spans="2:5" x14ac:dyDescent="0.45">
      <c r="B479" s="1"/>
      <c r="E479" s="45" t="str">
        <f>IFERROR(AVERAGEIFS('Picarro Output'!G:G, 'Picarro Output'!$B:$B, 'Uncalibrated Data'!$C479, 'Picarro Output'!$I:$I, 0, 'Picarro Output'!$J:$J, 1), "")</f>
        <v/>
      </c>
    </row>
    <row r="480" spans="2:5" x14ac:dyDescent="0.45">
      <c r="B480" s="1"/>
      <c r="E480" s="45" t="str">
        <f>IFERROR(AVERAGEIFS('Picarro Output'!G:G, 'Picarro Output'!$B:$B, 'Uncalibrated Data'!$C480, 'Picarro Output'!$I:$I, 0, 'Picarro Output'!$J:$J, 1), "")</f>
        <v/>
      </c>
    </row>
    <row r="481" spans="2:5" x14ac:dyDescent="0.45">
      <c r="B481" s="1"/>
      <c r="E481" s="45" t="str">
        <f>IFERROR(AVERAGEIFS('Picarro Output'!G:G, 'Picarro Output'!$B:$B, 'Uncalibrated Data'!$C481, 'Picarro Output'!$I:$I, 0, 'Picarro Output'!$J:$J, 1), "")</f>
        <v/>
      </c>
    </row>
    <row r="482" spans="2:5" x14ac:dyDescent="0.45">
      <c r="B482" s="1"/>
      <c r="E482" s="45" t="str">
        <f>IFERROR(AVERAGEIFS('Picarro Output'!G:G, 'Picarro Output'!$B:$B, 'Uncalibrated Data'!$C482, 'Picarro Output'!$I:$I, 0, 'Picarro Output'!$J:$J, 1), "")</f>
        <v/>
      </c>
    </row>
    <row r="483" spans="2:5" x14ac:dyDescent="0.45">
      <c r="B483" s="1"/>
      <c r="E483" s="45" t="str">
        <f>IFERROR(AVERAGEIFS('Picarro Output'!G:G, 'Picarro Output'!$B:$B, 'Uncalibrated Data'!$C483, 'Picarro Output'!$I:$I, 0, 'Picarro Output'!$J:$J, 1), "")</f>
        <v/>
      </c>
    </row>
    <row r="484" spans="2:5" x14ac:dyDescent="0.45">
      <c r="B484" s="1"/>
      <c r="E484" s="45" t="str">
        <f>IFERROR(AVERAGEIFS('Picarro Output'!G:G, 'Picarro Output'!$B:$B, 'Uncalibrated Data'!$C484, 'Picarro Output'!$I:$I, 0, 'Picarro Output'!$J:$J, 1), "")</f>
        <v/>
      </c>
    </row>
    <row r="485" spans="2:5" x14ac:dyDescent="0.45">
      <c r="B485" s="1"/>
      <c r="E485" s="45" t="str">
        <f>IFERROR(AVERAGEIFS('Picarro Output'!G:G, 'Picarro Output'!$B:$B, 'Uncalibrated Data'!$C485, 'Picarro Output'!$I:$I, 0, 'Picarro Output'!$J:$J, 1), "")</f>
        <v/>
      </c>
    </row>
    <row r="486" spans="2:5" x14ac:dyDescent="0.45">
      <c r="B486" s="1"/>
      <c r="E486" s="45" t="str">
        <f>IFERROR(AVERAGEIFS('Picarro Output'!G:G, 'Picarro Output'!$B:$B, 'Uncalibrated Data'!$C486, 'Picarro Output'!$I:$I, 0, 'Picarro Output'!$J:$J, 1), "")</f>
        <v/>
      </c>
    </row>
    <row r="487" spans="2:5" x14ac:dyDescent="0.45">
      <c r="B487" s="1"/>
      <c r="E487" s="45" t="str">
        <f>IFERROR(AVERAGEIFS('Picarro Output'!G:G, 'Picarro Output'!$B:$B, 'Uncalibrated Data'!$C487, 'Picarro Output'!$I:$I, 0, 'Picarro Output'!$J:$J, 1), "")</f>
        <v/>
      </c>
    </row>
    <row r="488" spans="2:5" x14ac:dyDescent="0.45">
      <c r="B488" s="1"/>
      <c r="E488" s="45" t="str">
        <f>IFERROR(AVERAGEIFS('Picarro Output'!G:G, 'Picarro Output'!$B:$B, 'Uncalibrated Data'!$C488, 'Picarro Output'!$I:$I, 0, 'Picarro Output'!$J:$J, 1), "")</f>
        <v/>
      </c>
    </row>
    <row r="489" spans="2:5" x14ac:dyDescent="0.45">
      <c r="B489" s="1"/>
      <c r="E489" s="45" t="str">
        <f>IFERROR(AVERAGEIFS('Picarro Output'!G:G, 'Picarro Output'!$B:$B, 'Uncalibrated Data'!$C489, 'Picarro Output'!$I:$I, 0, 'Picarro Output'!$J:$J, 1), "")</f>
        <v/>
      </c>
    </row>
    <row r="490" spans="2:5" x14ac:dyDescent="0.45">
      <c r="B490" s="1"/>
      <c r="E490" s="45" t="str">
        <f>IFERROR(AVERAGEIFS('Picarro Output'!G:G, 'Picarro Output'!$B:$B, 'Uncalibrated Data'!$C490, 'Picarro Output'!$I:$I, 0, 'Picarro Output'!$J:$J, 1), "")</f>
        <v/>
      </c>
    </row>
    <row r="491" spans="2:5" x14ac:dyDescent="0.45">
      <c r="B491" s="1"/>
      <c r="E491" s="45" t="str">
        <f>IFERROR(AVERAGEIFS('Picarro Output'!G:G, 'Picarro Output'!$B:$B, 'Uncalibrated Data'!$C491, 'Picarro Output'!$I:$I, 0, 'Picarro Output'!$J:$J, 1), "")</f>
        <v/>
      </c>
    </row>
    <row r="492" spans="2:5" x14ac:dyDescent="0.45">
      <c r="B492" s="1"/>
      <c r="E492" s="45" t="str">
        <f>IFERROR(AVERAGEIFS('Picarro Output'!G:G, 'Picarro Output'!$B:$B, 'Uncalibrated Data'!$C492, 'Picarro Output'!$I:$I, 0, 'Picarro Output'!$J:$J, 1), "")</f>
        <v/>
      </c>
    </row>
    <row r="493" spans="2:5" x14ac:dyDescent="0.45">
      <c r="B493" s="1"/>
      <c r="E493" s="45" t="str">
        <f>IFERROR(AVERAGEIFS('Picarro Output'!G:G, 'Picarro Output'!$B:$B, 'Uncalibrated Data'!$C493, 'Picarro Output'!$I:$I, 0, 'Picarro Output'!$J:$J, 1), "")</f>
        <v/>
      </c>
    </row>
    <row r="494" spans="2:5" x14ac:dyDescent="0.45">
      <c r="B494" s="1"/>
      <c r="E494" s="45" t="str">
        <f>IFERROR(AVERAGEIFS('Picarro Output'!G:G, 'Picarro Output'!$B:$B, 'Uncalibrated Data'!$C494, 'Picarro Output'!$I:$I, 0, 'Picarro Output'!$J:$J, 1), "")</f>
        <v/>
      </c>
    </row>
    <row r="495" spans="2:5" x14ac:dyDescent="0.45">
      <c r="B495" s="1"/>
      <c r="E495" s="45" t="str">
        <f>IFERROR(AVERAGEIFS('Picarro Output'!G:G, 'Picarro Output'!$B:$B, 'Uncalibrated Data'!$C495, 'Picarro Output'!$I:$I, 0, 'Picarro Output'!$J:$J, 1), "")</f>
        <v/>
      </c>
    </row>
    <row r="496" spans="2:5" x14ac:dyDescent="0.45">
      <c r="B496" s="1"/>
      <c r="E496" s="45" t="str">
        <f>IFERROR(AVERAGEIFS('Picarro Output'!G:G, 'Picarro Output'!$B:$B, 'Uncalibrated Data'!$C496, 'Picarro Output'!$I:$I, 0, 'Picarro Output'!$J:$J, 1), "")</f>
        <v/>
      </c>
    </row>
    <row r="497" spans="2:5" x14ac:dyDescent="0.45">
      <c r="B497" s="1"/>
      <c r="E497" s="45" t="str">
        <f>IFERROR(AVERAGEIFS('Picarro Output'!G:G, 'Picarro Output'!$B:$B, 'Uncalibrated Data'!$C497, 'Picarro Output'!$I:$I, 0, 'Picarro Output'!$J:$J, 1), "")</f>
        <v/>
      </c>
    </row>
    <row r="498" spans="2:5" x14ac:dyDescent="0.45">
      <c r="B498" s="1"/>
      <c r="E498" s="45" t="str">
        <f>IFERROR(AVERAGEIFS('Picarro Output'!G:G, 'Picarro Output'!$B:$B, 'Uncalibrated Data'!$C498, 'Picarro Output'!$I:$I, 0, 'Picarro Output'!$J:$J, 1), "")</f>
        <v/>
      </c>
    </row>
    <row r="499" spans="2:5" x14ac:dyDescent="0.45">
      <c r="B499" s="1"/>
      <c r="E499" s="45" t="str">
        <f>IFERROR(AVERAGEIFS('Picarro Output'!G:G, 'Picarro Output'!$B:$B, 'Uncalibrated Data'!$C499, 'Picarro Output'!$I:$I, 0, 'Picarro Output'!$J:$J, 1), "")</f>
        <v/>
      </c>
    </row>
    <row r="500" spans="2:5" x14ac:dyDescent="0.45">
      <c r="B500" s="1"/>
      <c r="E500" s="45" t="str">
        <f>IFERROR(AVERAGEIFS('Picarro Output'!G:G, 'Picarro Output'!$B:$B, 'Uncalibrated Data'!$C500, 'Picarro Output'!$I:$I, 0, 'Picarro Output'!$J:$J, 1), "")</f>
        <v/>
      </c>
    </row>
    <row r="501" spans="2:5" x14ac:dyDescent="0.45">
      <c r="B501" s="1"/>
      <c r="E501" s="45" t="str">
        <f>IFERROR(AVERAGEIFS('Picarro Output'!G:G, 'Picarro Output'!$B:$B, 'Uncalibrated Data'!$C501, 'Picarro Output'!$I:$I, 0, 'Picarro Output'!$J:$J, 1), "")</f>
        <v/>
      </c>
    </row>
    <row r="502" spans="2:5" x14ac:dyDescent="0.45">
      <c r="B502" s="1"/>
      <c r="E502" s="45" t="str">
        <f>IFERROR(AVERAGEIFS('Picarro Output'!G:G, 'Picarro Output'!$B:$B, 'Uncalibrated Data'!$C502, 'Picarro Output'!$I:$I, 0, 'Picarro Output'!$J:$J, 1), "")</f>
        <v/>
      </c>
    </row>
    <row r="503" spans="2:5" x14ac:dyDescent="0.45">
      <c r="B503" s="1"/>
      <c r="E503" s="45" t="str">
        <f>IFERROR(AVERAGEIFS('Picarro Output'!G:G, 'Picarro Output'!$B:$B, 'Uncalibrated Data'!$C503, 'Picarro Output'!$I:$I, 0, 'Picarro Output'!$J:$J, 1), "")</f>
        <v/>
      </c>
    </row>
    <row r="504" spans="2:5" x14ac:dyDescent="0.45">
      <c r="B504" s="1"/>
      <c r="E504" s="45" t="str">
        <f>IFERROR(AVERAGEIFS('Picarro Output'!G:G, 'Picarro Output'!$B:$B, 'Uncalibrated Data'!$C504, 'Picarro Output'!$I:$I, 0, 'Picarro Output'!$J:$J, 1), "")</f>
        <v/>
      </c>
    </row>
    <row r="505" spans="2:5" x14ac:dyDescent="0.45">
      <c r="B505" s="1"/>
      <c r="E505" s="45" t="str">
        <f>IFERROR(AVERAGEIFS('Picarro Output'!G:G, 'Picarro Output'!$B:$B, 'Uncalibrated Data'!$C505, 'Picarro Output'!$I:$I, 0, 'Picarro Output'!$J:$J, 1), "")</f>
        <v/>
      </c>
    </row>
    <row r="506" spans="2:5" x14ac:dyDescent="0.45">
      <c r="B506" s="1"/>
      <c r="E506" s="45" t="str">
        <f>IFERROR(AVERAGEIFS('Picarro Output'!G:G, 'Picarro Output'!$B:$B, 'Uncalibrated Data'!$C506, 'Picarro Output'!$I:$I, 0, 'Picarro Output'!$J:$J, 1), "")</f>
        <v/>
      </c>
    </row>
    <row r="507" spans="2:5" x14ac:dyDescent="0.45">
      <c r="B507" s="1"/>
      <c r="E507" s="45" t="str">
        <f>IFERROR(AVERAGEIFS('Picarro Output'!G:G, 'Picarro Output'!$B:$B, 'Uncalibrated Data'!$C507, 'Picarro Output'!$I:$I, 0, 'Picarro Output'!$J:$J, 1), "")</f>
        <v/>
      </c>
    </row>
    <row r="508" spans="2:5" x14ac:dyDescent="0.45">
      <c r="B508" s="1"/>
      <c r="E508" s="45" t="str">
        <f>IFERROR(AVERAGEIFS('Picarro Output'!G:G, 'Picarro Output'!$B:$B, 'Uncalibrated Data'!$C508, 'Picarro Output'!$I:$I, 0, 'Picarro Output'!$J:$J, 1), "")</f>
        <v/>
      </c>
    </row>
    <row r="509" spans="2:5" x14ac:dyDescent="0.45">
      <c r="B509" s="1"/>
      <c r="E509" s="45" t="str">
        <f>IFERROR(AVERAGEIFS('Picarro Output'!G:G, 'Picarro Output'!$B:$B, 'Uncalibrated Data'!$C509, 'Picarro Output'!$I:$I, 0, 'Picarro Output'!$J:$J, 1), "")</f>
        <v/>
      </c>
    </row>
    <row r="510" spans="2:5" x14ac:dyDescent="0.45">
      <c r="B510" s="1"/>
      <c r="E510" s="45" t="str">
        <f>IFERROR(AVERAGEIFS('Picarro Output'!G:G, 'Picarro Output'!$B:$B, 'Uncalibrated Data'!$C510, 'Picarro Output'!$I:$I, 0, 'Picarro Output'!$J:$J, 1), "")</f>
        <v/>
      </c>
    </row>
    <row r="511" spans="2:5" x14ac:dyDescent="0.45">
      <c r="B511" s="1"/>
      <c r="E511" s="45" t="str">
        <f>IFERROR(AVERAGEIFS('Picarro Output'!G:G, 'Picarro Output'!$B:$B, 'Uncalibrated Data'!$C511, 'Picarro Output'!$I:$I, 0, 'Picarro Output'!$J:$J, 1), "")</f>
        <v/>
      </c>
    </row>
    <row r="512" spans="2:5" x14ac:dyDescent="0.45">
      <c r="B512" s="1"/>
      <c r="E512" s="45" t="str">
        <f>IFERROR(AVERAGEIFS('Picarro Output'!G:G, 'Picarro Output'!$B:$B, 'Uncalibrated Data'!$C512, 'Picarro Output'!$I:$I, 0, 'Picarro Output'!$J:$J, 1), "")</f>
        <v/>
      </c>
    </row>
    <row r="513" spans="2:5" x14ac:dyDescent="0.45">
      <c r="B513" s="1"/>
      <c r="E513" s="45" t="str">
        <f>IFERROR(AVERAGEIFS('Picarro Output'!G:G, 'Picarro Output'!$B:$B, 'Uncalibrated Data'!$C513, 'Picarro Output'!$I:$I, 0, 'Picarro Output'!$J:$J, 1), "")</f>
        <v/>
      </c>
    </row>
    <row r="514" spans="2:5" x14ac:dyDescent="0.45">
      <c r="B514" s="1"/>
      <c r="E514" s="45" t="str">
        <f>IFERROR(AVERAGEIFS('Picarro Output'!G:G, 'Picarro Output'!$B:$B, 'Uncalibrated Data'!$C514, 'Picarro Output'!$I:$I, 0, 'Picarro Output'!$J:$J, 1), "")</f>
        <v/>
      </c>
    </row>
    <row r="515" spans="2:5" x14ac:dyDescent="0.45">
      <c r="B515" s="1"/>
      <c r="E515" s="45" t="str">
        <f>IFERROR(AVERAGEIFS('Picarro Output'!G:G, 'Picarro Output'!$B:$B, 'Uncalibrated Data'!$C515, 'Picarro Output'!$I:$I, 0, 'Picarro Output'!$J:$J, 1), "")</f>
        <v/>
      </c>
    </row>
    <row r="516" spans="2:5" x14ac:dyDescent="0.45">
      <c r="B516" s="1"/>
      <c r="E516" s="45" t="str">
        <f>IFERROR(AVERAGEIFS('Picarro Output'!G:G, 'Picarro Output'!$B:$B, 'Uncalibrated Data'!$C516, 'Picarro Output'!$I:$I, 0, 'Picarro Output'!$J:$J, 1), "")</f>
        <v/>
      </c>
    </row>
    <row r="517" spans="2:5" x14ac:dyDescent="0.45">
      <c r="B517" s="1"/>
      <c r="E517" s="45" t="str">
        <f>IFERROR(AVERAGEIFS('Picarro Output'!G:G, 'Picarro Output'!$B:$B, 'Uncalibrated Data'!$C517, 'Picarro Output'!$I:$I, 0, 'Picarro Output'!$J:$J, 1), "")</f>
        <v/>
      </c>
    </row>
    <row r="518" spans="2:5" x14ac:dyDescent="0.45">
      <c r="B518" s="1"/>
      <c r="E518" s="45" t="str">
        <f>IFERROR(AVERAGEIFS('Picarro Output'!G:G, 'Picarro Output'!$B:$B, 'Uncalibrated Data'!$C518, 'Picarro Output'!$I:$I, 0, 'Picarro Output'!$J:$J, 1), "")</f>
        <v/>
      </c>
    </row>
    <row r="519" spans="2:5" x14ac:dyDescent="0.45">
      <c r="B519" s="1"/>
      <c r="E519" s="45" t="str">
        <f>IFERROR(AVERAGEIFS('Picarro Output'!G:G, 'Picarro Output'!$B:$B, 'Uncalibrated Data'!$C519, 'Picarro Output'!$I:$I, 0, 'Picarro Output'!$J:$J, 1), "")</f>
        <v/>
      </c>
    </row>
    <row r="520" spans="2:5" x14ac:dyDescent="0.45">
      <c r="B520" s="1"/>
      <c r="E520" s="45" t="str">
        <f>IFERROR(AVERAGEIFS('Picarro Output'!G:G, 'Picarro Output'!$B:$B, 'Uncalibrated Data'!$C520, 'Picarro Output'!$I:$I, 0, 'Picarro Output'!$J:$J, 1), "")</f>
        <v/>
      </c>
    </row>
    <row r="521" spans="2:5" x14ac:dyDescent="0.45">
      <c r="B521" s="1"/>
      <c r="E521" s="45" t="str">
        <f>IFERROR(AVERAGEIFS('Picarro Output'!G:G, 'Picarro Output'!$B:$B, 'Uncalibrated Data'!$C521, 'Picarro Output'!$I:$I, 0, 'Picarro Output'!$J:$J, 1), "")</f>
        <v/>
      </c>
    </row>
    <row r="522" spans="2:5" x14ac:dyDescent="0.45">
      <c r="B522" s="1"/>
      <c r="E522" s="45" t="str">
        <f>IFERROR(AVERAGEIFS('Picarro Output'!G:G, 'Picarro Output'!$B:$B, 'Uncalibrated Data'!$C522, 'Picarro Output'!$I:$I, 0, 'Picarro Output'!$J:$J, 1), "")</f>
        <v/>
      </c>
    </row>
    <row r="523" spans="2:5" x14ac:dyDescent="0.45">
      <c r="B523" s="1"/>
      <c r="E523" s="45" t="str">
        <f>IFERROR(AVERAGEIFS('Picarro Output'!G:G, 'Picarro Output'!$B:$B, 'Uncalibrated Data'!$C523, 'Picarro Output'!$I:$I, 0, 'Picarro Output'!$J:$J, 1), "")</f>
        <v/>
      </c>
    </row>
    <row r="524" spans="2:5" x14ac:dyDescent="0.45">
      <c r="B524" s="1"/>
      <c r="E524" s="45" t="str">
        <f>IFERROR(AVERAGEIFS('Picarro Output'!G:G, 'Picarro Output'!$B:$B, 'Uncalibrated Data'!$C524, 'Picarro Output'!$I:$I, 0, 'Picarro Output'!$J:$J, 1), "")</f>
        <v/>
      </c>
    </row>
    <row r="525" spans="2:5" x14ac:dyDescent="0.45">
      <c r="B525" s="1"/>
      <c r="E525" s="45" t="str">
        <f>IFERROR(AVERAGEIFS('Picarro Output'!G:G, 'Picarro Output'!$B:$B, 'Uncalibrated Data'!$C525, 'Picarro Output'!$I:$I, 0, 'Picarro Output'!$J:$J, 1), "")</f>
        <v/>
      </c>
    </row>
    <row r="526" spans="2:5" x14ac:dyDescent="0.45">
      <c r="B526" s="1"/>
      <c r="E526" s="45" t="str">
        <f>IFERROR(AVERAGEIFS('Picarro Output'!G:G, 'Picarro Output'!$B:$B, 'Uncalibrated Data'!$C526, 'Picarro Output'!$I:$I, 0, 'Picarro Output'!$J:$J, 1), "")</f>
        <v/>
      </c>
    </row>
    <row r="527" spans="2:5" x14ac:dyDescent="0.45">
      <c r="B527" s="1"/>
      <c r="E527" s="45" t="str">
        <f>IFERROR(AVERAGEIFS('Picarro Output'!G:G, 'Picarro Output'!$B:$B, 'Uncalibrated Data'!$C527, 'Picarro Output'!$I:$I, 0, 'Picarro Output'!$J:$J, 1), "")</f>
        <v/>
      </c>
    </row>
    <row r="528" spans="2:5" x14ac:dyDescent="0.45">
      <c r="B528" s="1"/>
      <c r="E528" s="45" t="str">
        <f>IFERROR(AVERAGEIFS('Picarro Output'!G:G, 'Picarro Output'!$B:$B, 'Uncalibrated Data'!$C528, 'Picarro Output'!$I:$I, 0, 'Picarro Output'!$J:$J, 1), "")</f>
        <v/>
      </c>
    </row>
    <row r="529" spans="2:5" x14ac:dyDescent="0.45">
      <c r="B529" s="1"/>
      <c r="E529" s="45" t="str">
        <f>IFERROR(AVERAGEIFS('Picarro Output'!G:G, 'Picarro Output'!$B:$B, 'Uncalibrated Data'!$C529, 'Picarro Output'!$I:$I, 0, 'Picarro Output'!$J:$J, 1), "")</f>
        <v/>
      </c>
    </row>
    <row r="530" spans="2:5" x14ac:dyDescent="0.45">
      <c r="B530" s="1"/>
      <c r="E530" s="45" t="str">
        <f>IFERROR(AVERAGEIFS('Picarro Output'!G:G, 'Picarro Output'!$B:$B, 'Uncalibrated Data'!$C530, 'Picarro Output'!$I:$I, 0, 'Picarro Output'!$J:$J, 1), "")</f>
        <v/>
      </c>
    </row>
    <row r="531" spans="2:5" x14ac:dyDescent="0.45">
      <c r="B531" s="1"/>
      <c r="E531" s="45" t="str">
        <f>IFERROR(AVERAGEIFS('Picarro Output'!G:G, 'Picarro Output'!$B:$B, 'Uncalibrated Data'!$C531, 'Picarro Output'!$I:$I, 0, 'Picarro Output'!$J:$J, 1), "")</f>
        <v/>
      </c>
    </row>
    <row r="532" spans="2:5" x14ac:dyDescent="0.45">
      <c r="B532" s="1"/>
      <c r="E532" s="45" t="str">
        <f>IFERROR(AVERAGEIFS('Picarro Output'!G:G, 'Picarro Output'!$B:$B, 'Uncalibrated Data'!$C532, 'Picarro Output'!$I:$I, 0, 'Picarro Output'!$J:$J, 1), "")</f>
        <v/>
      </c>
    </row>
    <row r="533" spans="2:5" x14ac:dyDescent="0.45">
      <c r="B533" s="1"/>
      <c r="E533" s="45" t="str">
        <f>IFERROR(AVERAGEIFS('Picarro Output'!G:G, 'Picarro Output'!$B:$B, 'Uncalibrated Data'!$C533, 'Picarro Output'!$I:$I, 0, 'Picarro Output'!$J:$J, 1), "")</f>
        <v/>
      </c>
    </row>
    <row r="534" spans="2:5" x14ac:dyDescent="0.45">
      <c r="B534" s="1"/>
      <c r="E534" s="45" t="str">
        <f>IFERROR(AVERAGEIFS('Picarro Output'!G:G, 'Picarro Output'!$B:$B, 'Uncalibrated Data'!$C534, 'Picarro Output'!$I:$I, 0, 'Picarro Output'!$J:$J, 1), "")</f>
        <v/>
      </c>
    </row>
    <row r="535" spans="2:5" x14ac:dyDescent="0.45">
      <c r="B535" s="1"/>
      <c r="E535" s="45" t="str">
        <f>IFERROR(AVERAGEIFS('Picarro Output'!G:G, 'Picarro Output'!$B:$B, 'Uncalibrated Data'!$C535, 'Picarro Output'!$I:$I, 0, 'Picarro Output'!$J:$J, 1), "")</f>
        <v/>
      </c>
    </row>
    <row r="536" spans="2:5" x14ac:dyDescent="0.45">
      <c r="B536" s="1"/>
      <c r="E536" s="45" t="str">
        <f>IFERROR(AVERAGEIFS('Picarro Output'!G:G, 'Picarro Output'!$B:$B, 'Uncalibrated Data'!$C536, 'Picarro Output'!$I:$I, 0, 'Picarro Output'!$J:$J, 1), "")</f>
        <v/>
      </c>
    </row>
    <row r="537" spans="2:5" x14ac:dyDescent="0.45">
      <c r="B537" s="1"/>
      <c r="E537" s="45" t="str">
        <f>IFERROR(AVERAGEIFS('Picarro Output'!G:G, 'Picarro Output'!$B:$B, 'Uncalibrated Data'!$C537, 'Picarro Output'!$I:$I, 0, 'Picarro Output'!$J:$J, 1), "")</f>
        <v/>
      </c>
    </row>
    <row r="538" spans="2:5" x14ac:dyDescent="0.45">
      <c r="B538" s="1"/>
      <c r="E538" s="45" t="str">
        <f>IFERROR(AVERAGEIFS('Picarro Output'!G:G, 'Picarro Output'!$B:$B, 'Uncalibrated Data'!$C538, 'Picarro Output'!$I:$I, 0, 'Picarro Output'!$J:$J, 1), "")</f>
        <v/>
      </c>
    </row>
    <row r="539" spans="2:5" x14ac:dyDescent="0.45">
      <c r="B539" s="1"/>
      <c r="E539" s="45" t="str">
        <f>IFERROR(AVERAGEIFS('Picarro Output'!G:G, 'Picarro Output'!$B:$B, 'Uncalibrated Data'!$C539, 'Picarro Output'!$I:$I, 0, 'Picarro Output'!$J:$J, 1), "")</f>
        <v/>
      </c>
    </row>
    <row r="540" spans="2:5" x14ac:dyDescent="0.45">
      <c r="B540" s="1"/>
      <c r="E540" s="45" t="str">
        <f>IFERROR(AVERAGEIFS('Picarro Output'!G:G, 'Picarro Output'!$B:$B, 'Uncalibrated Data'!$C540, 'Picarro Output'!$I:$I, 0, 'Picarro Output'!$J:$J, 1), "")</f>
        <v/>
      </c>
    </row>
    <row r="541" spans="2:5" x14ac:dyDescent="0.45">
      <c r="B541" s="1"/>
      <c r="E541" s="45" t="str">
        <f>IFERROR(AVERAGEIFS('Picarro Output'!G:G, 'Picarro Output'!$B:$B, 'Uncalibrated Data'!$C541, 'Picarro Output'!$I:$I, 0, 'Picarro Output'!$J:$J, 1), "")</f>
        <v/>
      </c>
    </row>
    <row r="542" spans="2:5" x14ac:dyDescent="0.45">
      <c r="B542" s="1"/>
      <c r="E542" s="45" t="str">
        <f>IFERROR(AVERAGEIFS('Picarro Output'!G:G, 'Picarro Output'!$B:$B, 'Uncalibrated Data'!$C542, 'Picarro Output'!$I:$I, 0, 'Picarro Output'!$J:$J, 1), "")</f>
        <v/>
      </c>
    </row>
    <row r="543" spans="2:5" x14ac:dyDescent="0.45">
      <c r="B543" s="1"/>
      <c r="E543" s="45" t="str">
        <f>IFERROR(AVERAGEIFS('Picarro Output'!G:G, 'Picarro Output'!$B:$B, 'Uncalibrated Data'!$C543, 'Picarro Output'!$I:$I, 0, 'Picarro Output'!$J:$J, 1), "")</f>
        <v/>
      </c>
    </row>
    <row r="544" spans="2:5" x14ac:dyDescent="0.45">
      <c r="B544" s="1"/>
      <c r="E544" s="45" t="str">
        <f>IFERROR(AVERAGEIFS('Picarro Output'!G:G, 'Picarro Output'!$B:$B, 'Uncalibrated Data'!$C544, 'Picarro Output'!$I:$I, 0, 'Picarro Output'!$J:$J, 1), "")</f>
        <v/>
      </c>
    </row>
    <row r="545" spans="2:5" x14ac:dyDescent="0.45">
      <c r="B545" s="1"/>
      <c r="E545" s="45" t="str">
        <f>IFERROR(AVERAGEIFS('Picarro Output'!G:G, 'Picarro Output'!$B:$B, 'Uncalibrated Data'!$C545, 'Picarro Output'!$I:$I, 0, 'Picarro Output'!$J:$J, 1), "")</f>
        <v/>
      </c>
    </row>
    <row r="546" spans="2:5" x14ac:dyDescent="0.45">
      <c r="B546" s="1"/>
      <c r="E546" s="45" t="str">
        <f>IFERROR(AVERAGEIFS('Picarro Output'!G:G, 'Picarro Output'!$B:$B, 'Uncalibrated Data'!$C546, 'Picarro Output'!$I:$I, 0, 'Picarro Output'!$J:$J, 1), "")</f>
        <v/>
      </c>
    </row>
    <row r="547" spans="2:5" x14ac:dyDescent="0.45">
      <c r="B547" s="1"/>
      <c r="E547" s="45" t="str">
        <f>IFERROR(AVERAGEIFS('Picarro Output'!G:G, 'Picarro Output'!$B:$B, 'Uncalibrated Data'!$C547, 'Picarro Output'!$I:$I, 0, 'Picarro Output'!$J:$J, 1), "")</f>
        <v/>
      </c>
    </row>
    <row r="548" spans="2:5" x14ac:dyDescent="0.45">
      <c r="B548" s="1"/>
      <c r="E548" s="45" t="str">
        <f>IFERROR(AVERAGEIFS('Picarro Output'!G:G, 'Picarro Output'!$B:$B, 'Uncalibrated Data'!$C548, 'Picarro Output'!$I:$I, 0, 'Picarro Output'!$J:$J, 1), "")</f>
        <v/>
      </c>
    </row>
    <row r="549" spans="2:5" x14ac:dyDescent="0.45">
      <c r="B549" s="1"/>
      <c r="E549" s="45" t="str">
        <f>IFERROR(AVERAGEIFS('Picarro Output'!G:G, 'Picarro Output'!$B:$B, 'Uncalibrated Data'!$C549, 'Picarro Output'!$I:$I, 0, 'Picarro Output'!$J:$J, 1), "")</f>
        <v/>
      </c>
    </row>
    <row r="550" spans="2:5" x14ac:dyDescent="0.45">
      <c r="B550" s="1"/>
      <c r="E550" s="45" t="str">
        <f>IFERROR(AVERAGEIFS('Picarro Output'!G:G, 'Picarro Output'!$B:$B, 'Uncalibrated Data'!$C550, 'Picarro Output'!$I:$I, 0, 'Picarro Output'!$J:$J, 1), "")</f>
        <v/>
      </c>
    </row>
    <row r="551" spans="2:5" x14ac:dyDescent="0.45">
      <c r="B551" s="1"/>
      <c r="E551" s="45" t="str">
        <f>IFERROR(AVERAGEIFS('Picarro Output'!G:G, 'Picarro Output'!$B:$B, 'Uncalibrated Data'!$C551, 'Picarro Output'!$I:$I, 0, 'Picarro Output'!$J:$J, 1), "")</f>
        <v/>
      </c>
    </row>
    <row r="552" spans="2:5" x14ac:dyDescent="0.45">
      <c r="B552" s="1"/>
      <c r="E552" s="45" t="str">
        <f>IFERROR(AVERAGEIFS('Picarro Output'!G:G, 'Picarro Output'!$B:$B, 'Uncalibrated Data'!$C552, 'Picarro Output'!$I:$I, 0, 'Picarro Output'!$J:$J, 1), "")</f>
        <v/>
      </c>
    </row>
    <row r="553" spans="2:5" x14ac:dyDescent="0.45">
      <c r="B553" s="1"/>
      <c r="E553" s="45" t="str">
        <f>IFERROR(AVERAGEIFS('Picarro Output'!G:G, 'Picarro Output'!$B:$B, 'Uncalibrated Data'!$C553, 'Picarro Output'!$I:$I, 0, 'Picarro Output'!$J:$J, 1), "")</f>
        <v/>
      </c>
    </row>
    <row r="554" spans="2:5" x14ac:dyDescent="0.45">
      <c r="B554" s="1"/>
      <c r="E554" s="45" t="str">
        <f>IFERROR(AVERAGEIFS('Picarro Output'!G:G, 'Picarro Output'!$B:$B, 'Uncalibrated Data'!$C554, 'Picarro Output'!$I:$I, 0, 'Picarro Output'!$J:$J, 1), "")</f>
        <v/>
      </c>
    </row>
    <row r="555" spans="2:5" x14ac:dyDescent="0.45">
      <c r="B555" s="1"/>
      <c r="E555" s="45" t="str">
        <f>IFERROR(AVERAGEIFS('Picarro Output'!G:G, 'Picarro Output'!$B:$B, 'Uncalibrated Data'!$C555, 'Picarro Output'!$I:$I, 0, 'Picarro Output'!$J:$J, 1), "")</f>
        <v/>
      </c>
    </row>
    <row r="556" spans="2:5" x14ac:dyDescent="0.45">
      <c r="B556" s="1"/>
      <c r="E556" s="45" t="str">
        <f>IFERROR(AVERAGEIFS('Picarro Output'!G:G, 'Picarro Output'!$B:$B, 'Uncalibrated Data'!$C556, 'Picarro Output'!$I:$I, 0, 'Picarro Output'!$J:$J, 1), "")</f>
        <v/>
      </c>
    </row>
    <row r="557" spans="2:5" x14ac:dyDescent="0.45">
      <c r="B557" s="1"/>
      <c r="E557" s="45" t="str">
        <f>IFERROR(AVERAGEIFS('Picarro Output'!G:G, 'Picarro Output'!$B:$B, 'Uncalibrated Data'!$C557, 'Picarro Output'!$I:$I, 0, 'Picarro Output'!$J:$J, 1), "")</f>
        <v/>
      </c>
    </row>
    <row r="558" spans="2:5" x14ac:dyDescent="0.45">
      <c r="B558" s="1"/>
      <c r="E558" s="45" t="str">
        <f>IFERROR(AVERAGEIFS('Picarro Output'!G:G, 'Picarro Output'!$B:$B, 'Uncalibrated Data'!$C558, 'Picarro Output'!$I:$I, 0, 'Picarro Output'!$J:$J, 1), "")</f>
        <v/>
      </c>
    </row>
    <row r="559" spans="2:5" x14ac:dyDescent="0.45">
      <c r="B559" s="1"/>
      <c r="E559" s="45" t="str">
        <f>IFERROR(AVERAGEIFS('Picarro Output'!G:G, 'Picarro Output'!$B:$B, 'Uncalibrated Data'!$C559, 'Picarro Output'!$I:$I, 0, 'Picarro Output'!$J:$J, 1), "")</f>
        <v/>
      </c>
    </row>
    <row r="560" spans="2:5" x14ac:dyDescent="0.45">
      <c r="B560" s="1"/>
      <c r="E560" s="45" t="str">
        <f>IFERROR(AVERAGEIFS('Picarro Output'!G:G, 'Picarro Output'!$B:$B, 'Uncalibrated Data'!$C560, 'Picarro Output'!$I:$I, 0, 'Picarro Output'!$J:$J, 1), "")</f>
        <v/>
      </c>
    </row>
    <row r="561" spans="2:5" x14ac:dyDescent="0.45">
      <c r="B561" s="1"/>
      <c r="E561" s="45" t="str">
        <f>IFERROR(AVERAGEIFS('Picarro Output'!G:G, 'Picarro Output'!$B:$B, 'Uncalibrated Data'!$C561, 'Picarro Output'!$I:$I, 0, 'Picarro Output'!$J:$J, 1), "")</f>
        <v/>
      </c>
    </row>
    <row r="562" spans="2:5" x14ac:dyDescent="0.45">
      <c r="B562" s="1"/>
      <c r="E562" s="45" t="str">
        <f>IFERROR(AVERAGEIFS('Picarro Output'!G:G, 'Picarro Output'!$B:$B, 'Uncalibrated Data'!$C562, 'Picarro Output'!$I:$I, 0, 'Picarro Output'!$J:$J, 1), "")</f>
        <v/>
      </c>
    </row>
    <row r="563" spans="2:5" x14ac:dyDescent="0.45">
      <c r="B563" s="1"/>
      <c r="E563" s="45" t="str">
        <f>IFERROR(AVERAGEIFS('Picarro Output'!G:G, 'Picarro Output'!$B:$B, 'Uncalibrated Data'!$C563, 'Picarro Output'!$I:$I, 0, 'Picarro Output'!$J:$J, 1), "")</f>
        <v/>
      </c>
    </row>
    <row r="564" spans="2:5" x14ac:dyDescent="0.45">
      <c r="B564" s="1"/>
      <c r="E564" s="45" t="str">
        <f>IFERROR(AVERAGEIFS('Picarro Output'!G:G, 'Picarro Output'!$B:$B, 'Uncalibrated Data'!$C564, 'Picarro Output'!$I:$I, 0, 'Picarro Output'!$J:$J, 1), "")</f>
        <v/>
      </c>
    </row>
    <row r="565" spans="2:5" x14ac:dyDescent="0.45">
      <c r="B565" s="1"/>
      <c r="E565" s="45" t="str">
        <f>IFERROR(AVERAGEIFS('Picarro Output'!G:G, 'Picarro Output'!$B:$B, 'Uncalibrated Data'!$C565, 'Picarro Output'!$I:$I, 0, 'Picarro Output'!$J:$J, 1), "")</f>
        <v/>
      </c>
    </row>
    <row r="566" spans="2:5" x14ac:dyDescent="0.45">
      <c r="B566" s="1"/>
      <c r="E566" s="45" t="str">
        <f>IFERROR(AVERAGEIFS('Picarro Output'!G:G, 'Picarro Output'!$B:$B, 'Uncalibrated Data'!$C566, 'Picarro Output'!$I:$I, 0, 'Picarro Output'!$J:$J, 1), "")</f>
        <v/>
      </c>
    </row>
    <row r="567" spans="2:5" x14ac:dyDescent="0.45">
      <c r="B567" s="1"/>
      <c r="E567" s="45" t="str">
        <f>IFERROR(AVERAGEIFS('Picarro Output'!G:G, 'Picarro Output'!$B:$B, 'Uncalibrated Data'!$C567, 'Picarro Output'!$I:$I, 0, 'Picarro Output'!$J:$J, 1), "")</f>
        <v/>
      </c>
    </row>
    <row r="568" spans="2:5" x14ac:dyDescent="0.45">
      <c r="B568" s="1"/>
      <c r="E568" s="45" t="str">
        <f>IFERROR(AVERAGEIFS('Picarro Output'!G:G, 'Picarro Output'!$B:$B, 'Uncalibrated Data'!$C568, 'Picarro Output'!$I:$I, 0, 'Picarro Output'!$J:$J, 1), "")</f>
        <v/>
      </c>
    </row>
    <row r="569" spans="2:5" x14ac:dyDescent="0.45">
      <c r="B569" s="1"/>
      <c r="E569" s="45" t="str">
        <f>IFERROR(AVERAGEIFS('Picarro Output'!G:G, 'Picarro Output'!$B:$B, 'Uncalibrated Data'!$C569, 'Picarro Output'!$I:$I, 0, 'Picarro Output'!$J:$J, 1), "")</f>
        <v/>
      </c>
    </row>
    <row r="570" spans="2:5" x14ac:dyDescent="0.45">
      <c r="B570" s="1"/>
      <c r="E570" s="45" t="str">
        <f>IFERROR(AVERAGEIFS('Picarro Output'!G:G, 'Picarro Output'!$B:$B, 'Uncalibrated Data'!$C570, 'Picarro Output'!$I:$I, 0, 'Picarro Output'!$J:$J, 1), "")</f>
        <v/>
      </c>
    </row>
    <row r="571" spans="2:5" x14ac:dyDescent="0.45">
      <c r="B571" s="1"/>
      <c r="E571" s="45" t="str">
        <f>IFERROR(AVERAGEIFS('Picarro Output'!G:G, 'Picarro Output'!$B:$B, 'Uncalibrated Data'!$C571, 'Picarro Output'!$I:$I, 0, 'Picarro Output'!$J:$J, 1), "")</f>
        <v/>
      </c>
    </row>
    <row r="572" spans="2:5" x14ac:dyDescent="0.45">
      <c r="B572" s="1"/>
      <c r="E572" s="45" t="str">
        <f>IFERROR(AVERAGEIFS('Picarro Output'!G:G, 'Picarro Output'!$B:$B, 'Uncalibrated Data'!$C572, 'Picarro Output'!$I:$I, 0, 'Picarro Output'!$J:$J, 1), "")</f>
        <v/>
      </c>
    </row>
    <row r="573" spans="2:5" x14ac:dyDescent="0.45">
      <c r="B573" s="1"/>
      <c r="E573" s="45" t="str">
        <f>IFERROR(AVERAGEIFS('Picarro Output'!G:G, 'Picarro Output'!$B:$B, 'Uncalibrated Data'!$C573, 'Picarro Output'!$I:$I, 0, 'Picarro Output'!$J:$J, 1), "")</f>
        <v/>
      </c>
    </row>
    <row r="574" spans="2:5" x14ac:dyDescent="0.45">
      <c r="B574" s="1"/>
      <c r="E574" s="45" t="str">
        <f>IFERROR(AVERAGEIFS('Picarro Output'!G:G, 'Picarro Output'!$B:$B, 'Uncalibrated Data'!$C574, 'Picarro Output'!$I:$I, 0, 'Picarro Output'!$J:$J, 1), "")</f>
        <v/>
      </c>
    </row>
    <row r="575" spans="2:5" x14ac:dyDescent="0.45">
      <c r="B575" s="1"/>
      <c r="E575" s="45" t="str">
        <f>IFERROR(AVERAGEIFS('Picarro Output'!G:G, 'Picarro Output'!$B:$B, 'Uncalibrated Data'!$C575, 'Picarro Output'!$I:$I, 0, 'Picarro Output'!$J:$J, 1), "")</f>
        <v/>
      </c>
    </row>
    <row r="576" spans="2:5" x14ac:dyDescent="0.45">
      <c r="B576" s="1"/>
      <c r="E576" s="45" t="str">
        <f>IFERROR(AVERAGEIFS('Picarro Output'!G:G, 'Picarro Output'!$B:$B, 'Uncalibrated Data'!$C576, 'Picarro Output'!$I:$I, 0, 'Picarro Output'!$J:$J, 1), "")</f>
        <v/>
      </c>
    </row>
    <row r="577" spans="2:5" x14ac:dyDescent="0.45">
      <c r="B577" s="1"/>
      <c r="E577" s="45" t="str">
        <f>IFERROR(AVERAGEIFS('Picarro Output'!G:G, 'Picarro Output'!$B:$B, 'Uncalibrated Data'!$C577, 'Picarro Output'!$I:$I, 0, 'Picarro Output'!$J:$J, 1), "")</f>
        <v/>
      </c>
    </row>
    <row r="578" spans="2:5" x14ac:dyDescent="0.45">
      <c r="B578" s="1"/>
      <c r="E578" s="45" t="str">
        <f>IFERROR(AVERAGEIFS('Picarro Output'!G:G, 'Picarro Output'!$B:$B, 'Uncalibrated Data'!$C578, 'Picarro Output'!$I:$I, 0, 'Picarro Output'!$J:$J, 1), "")</f>
        <v/>
      </c>
    </row>
    <row r="579" spans="2:5" x14ac:dyDescent="0.45">
      <c r="B579" s="1"/>
      <c r="E579" s="45" t="str">
        <f>IFERROR(AVERAGEIFS('Picarro Output'!G:G, 'Picarro Output'!$B:$B, 'Uncalibrated Data'!$C579, 'Picarro Output'!$I:$I, 0, 'Picarro Output'!$J:$J, 1), "")</f>
        <v/>
      </c>
    </row>
    <row r="580" spans="2:5" x14ac:dyDescent="0.45">
      <c r="B580" s="1"/>
      <c r="E580" s="45" t="str">
        <f>IFERROR(AVERAGEIFS('Picarro Output'!G:G, 'Picarro Output'!$B:$B, 'Uncalibrated Data'!$C580, 'Picarro Output'!$I:$I, 0, 'Picarro Output'!$J:$J, 1), "")</f>
        <v/>
      </c>
    </row>
    <row r="581" spans="2:5" x14ac:dyDescent="0.45">
      <c r="B581" s="1"/>
      <c r="E581" s="45" t="str">
        <f>IFERROR(AVERAGEIFS('Picarro Output'!G:G, 'Picarro Output'!$B:$B, 'Uncalibrated Data'!$C581, 'Picarro Output'!$I:$I, 0, 'Picarro Output'!$J:$J, 1), "")</f>
        <v/>
      </c>
    </row>
    <row r="582" spans="2:5" x14ac:dyDescent="0.45">
      <c r="B582" s="1"/>
      <c r="E582" s="45" t="str">
        <f>IFERROR(AVERAGEIFS('Picarro Output'!G:G, 'Picarro Output'!$B:$B, 'Uncalibrated Data'!$C582, 'Picarro Output'!$I:$I, 0, 'Picarro Output'!$J:$J, 1), "")</f>
        <v/>
      </c>
    </row>
    <row r="583" spans="2:5" x14ac:dyDescent="0.45">
      <c r="B583" s="1"/>
      <c r="E583" s="45" t="str">
        <f>IFERROR(AVERAGEIFS('Picarro Output'!G:G, 'Picarro Output'!$B:$B, 'Uncalibrated Data'!$C583, 'Picarro Output'!$I:$I, 0, 'Picarro Output'!$J:$J, 1), "")</f>
        <v/>
      </c>
    </row>
    <row r="584" spans="2:5" x14ac:dyDescent="0.45">
      <c r="B584" s="1"/>
      <c r="E584" s="45" t="str">
        <f>IFERROR(AVERAGEIFS('Picarro Output'!G:G, 'Picarro Output'!$B:$B, 'Uncalibrated Data'!$C584, 'Picarro Output'!$I:$I, 0, 'Picarro Output'!$J:$J, 1), "")</f>
        <v/>
      </c>
    </row>
    <row r="585" spans="2:5" x14ac:dyDescent="0.45">
      <c r="B585" s="1"/>
      <c r="E585" s="45" t="str">
        <f>IFERROR(AVERAGEIFS('Picarro Output'!G:G, 'Picarro Output'!$B:$B, 'Uncalibrated Data'!$C585, 'Picarro Output'!$I:$I, 0, 'Picarro Output'!$J:$J, 1), "")</f>
        <v/>
      </c>
    </row>
    <row r="586" spans="2:5" x14ac:dyDescent="0.45">
      <c r="B586" s="1"/>
      <c r="E586" s="45" t="str">
        <f>IFERROR(AVERAGEIFS('Picarro Output'!G:G, 'Picarro Output'!$B:$B, 'Uncalibrated Data'!$C586, 'Picarro Output'!$I:$I, 0, 'Picarro Output'!$J:$J, 1), "")</f>
        <v/>
      </c>
    </row>
    <row r="587" spans="2:5" x14ac:dyDescent="0.45">
      <c r="B587" s="1"/>
      <c r="E587" s="45" t="str">
        <f>IFERROR(AVERAGEIFS('Picarro Output'!G:G, 'Picarro Output'!$B:$B, 'Uncalibrated Data'!$C587, 'Picarro Output'!$I:$I, 0, 'Picarro Output'!$J:$J, 1), "")</f>
        <v/>
      </c>
    </row>
    <row r="588" spans="2:5" x14ac:dyDescent="0.45">
      <c r="B588" s="1"/>
      <c r="E588" s="45" t="str">
        <f>IFERROR(AVERAGEIFS('Picarro Output'!G:G, 'Picarro Output'!$B:$B, 'Uncalibrated Data'!$C588, 'Picarro Output'!$I:$I, 0, 'Picarro Output'!$J:$J, 1), "")</f>
        <v/>
      </c>
    </row>
    <row r="589" spans="2:5" x14ac:dyDescent="0.45">
      <c r="B589" s="1"/>
      <c r="E589" s="45" t="str">
        <f>IFERROR(AVERAGEIFS('Picarro Output'!G:G, 'Picarro Output'!$B:$B, 'Uncalibrated Data'!$C589, 'Picarro Output'!$I:$I, 0, 'Picarro Output'!$J:$J, 1), "")</f>
        <v/>
      </c>
    </row>
    <row r="590" spans="2:5" x14ac:dyDescent="0.45">
      <c r="B590" s="1"/>
      <c r="E590" s="45" t="str">
        <f>IFERROR(AVERAGEIFS('Picarro Output'!G:G, 'Picarro Output'!$B:$B, 'Uncalibrated Data'!$C590, 'Picarro Output'!$I:$I, 0, 'Picarro Output'!$J:$J, 1), "")</f>
        <v/>
      </c>
    </row>
    <row r="591" spans="2:5" x14ac:dyDescent="0.45">
      <c r="B591" s="1"/>
      <c r="E591" s="45" t="str">
        <f>IFERROR(AVERAGEIFS('Picarro Output'!G:G, 'Picarro Output'!$B:$B, 'Uncalibrated Data'!$C591, 'Picarro Output'!$I:$I, 0, 'Picarro Output'!$J:$J, 1), "")</f>
        <v/>
      </c>
    </row>
    <row r="592" spans="2:5" x14ac:dyDescent="0.45">
      <c r="B592" s="1"/>
      <c r="E592" s="45" t="str">
        <f>IFERROR(AVERAGEIFS('Picarro Output'!G:G, 'Picarro Output'!$B:$B, 'Uncalibrated Data'!$C592, 'Picarro Output'!$I:$I, 0, 'Picarro Output'!$J:$J, 1), "")</f>
        <v/>
      </c>
    </row>
    <row r="593" spans="2:5" x14ac:dyDescent="0.45">
      <c r="B593" s="1"/>
      <c r="E593" s="45" t="str">
        <f>IFERROR(AVERAGEIFS('Picarro Output'!G:G, 'Picarro Output'!$B:$B, 'Uncalibrated Data'!$C593, 'Picarro Output'!$I:$I, 0, 'Picarro Output'!$J:$J, 1), "")</f>
        <v/>
      </c>
    </row>
    <row r="594" spans="2:5" x14ac:dyDescent="0.45">
      <c r="B594" s="1"/>
      <c r="E594" s="45" t="str">
        <f>IFERROR(AVERAGEIFS('Picarro Output'!G:G, 'Picarro Output'!$B:$B, 'Uncalibrated Data'!$C594, 'Picarro Output'!$I:$I, 0, 'Picarro Output'!$J:$J, 1), "")</f>
        <v/>
      </c>
    </row>
    <row r="595" spans="2:5" x14ac:dyDescent="0.45">
      <c r="B595" s="1"/>
      <c r="E595" s="45" t="str">
        <f>IFERROR(AVERAGEIFS('Picarro Output'!G:G, 'Picarro Output'!$B:$B, 'Uncalibrated Data'!$C595, 'Picarro Output'!$I:$I, 0, 'Picarro Output'!$J:$J, 1), "")</f>
        <v/>
      </c>
    </row>
    <row r="596" spans="2:5" x14ac:dyDescent="0.45">
      <c r="B596" s="1"/>
      <c r="E596" s="45" t="str">
        <f>IFERROR(AVERAGEIFS('Picarro Output'!G:G, 'Picarro Output'!$B:$B, 'Uncalibrated Data'!$C596, 'Picarro Output'!$I:$I, 0, 'Picarro Output'!$J:$J, 1), "")</f>
        <v/>
      </c>
    </row>
    <row r="597" spans="2:5" x14ac:dyDescent="0.45">
      <c r="B597" s="1"/>
      <c r="E597" s="45" t="str">
        <f>IFERROR(AVERAGEIFS('Picarro Output'!G:G, 'Picarro Output'!$B:$B, 'Uncalibrated Data'!$C597, 'Picarro Output'!$I:$I, 0, 'Picarro Output'!$J:$J, 1), "")</f>
        <v/>
      </c>
    </row>
    <row r="598" spans="2:5" x14ac:dyDescent="0.45">
      <c r="B598" s="1"/>
      <c r="E598" s="45" t="str">
        <f>IFERROR(AVERAGEIFS('Picarro Output'!G:G, 'Picarro Output'!$B:$B, 'Uncalibrated Data'!$C598, 'Picarro Output'!$I:$I, 0, 'Picarro Output'!$J:$J, 1), "")</f>
        <v/>
      </c>
    </row>
    <row r="599" spans="2:5" x14ac:dyDescent="0.45">
      <c r="B599" s="1"/>
      <c r="E599" s="45" t="str">
        <f>IFERROR(AVERAGEIFS('Picarro Output'!G:G, 'Picarro Output'!$B:$B, 'Uncalibrated Data'!$C599, 'Picarro Output'!$I:$I, 0, 'Picarro Output'!$J:$J, 1), "")</f>
        <v/>
      </c>
    </row>
    <row r="600" spans="2:5" x14ac:dyDescent="0.45">
      <c r="B600" s="1"/>
      <c r="E600" s="45" t="str">
        <f>IFERROR(AVERAGEIFS('Picarro Output'!G:G, 'Picarro Output'!$B:$B, 'Uncalibrated Data'!$C600, 'Picarro Output'!$I:$I, 0, 'Picarro Output'!$J:$J, 1), "")</f>
        <v/>
      </c>
    </row>
    <row r="601" spans="2:5" x14ac:dyDescent="0.45">
      <c r="B601" s="1"/>
      <c r="E601" s="45" t="str">
        <f>IFERROR(AVERAGEIFS('Picarro Output'!G:G, 'Picarro Output'!$B:$B, 'Uncalibrated Data'!$C601, 'Picarro Output'!$I:$I, 0, 'Picarro Output'!$J:$J, 1), "")</f>
        <v/>
      </c>
    </row>
    <row r="602" spans="2:5" x14ac:dyDescent="0.45">
      <c r="B602" s="1"/>
      <c r="E602" s="45" t="str">
        <f>IFERROR(AVERAGEIFS('Picarro Output'!G:G, 'Picarro Output'!$B:$B, 'Uncalibrated Data'!$C602, 'Picarro Output'!$I:$I, 0, 'Picarro Output'!$J:$J, 1), "")</f>
        <v/>
      </c>
    </row>
    <row r="603" spans="2:5" x14ac:dyDescent="0.45">
      <c r="B603" s="1"/>
      <c r="E603" s="45" t="str">
        <f>IFERROR(AVERAGEIFS('Picarro Output'!G:G, 'Picarro Output'!$B:$B, 'Uncalibrated Data'!$C603, 'Picarro Output'!$I:$I, 0, 'Picarro Output'!$J:$J, 1), "")</f>
        <v/>
      </c>
    </row>
    <row r="604" spans="2:5" x14ac:dyDescent="0.45">
      <c r="B604" s="1"/>
      <c r="E604" s="45" t="str">
        <f>IFERROR(AVERAGEIFS('Picarro Output'!G:G, 'Picarro Output'!$B:$B, 'Uncalibrated Data'!$C604, 'Picarro Output'!$I:$I, 0, 'Picarro Output'!$J:$J, 1), "")</f>
        <v/>
      </c>
    </row>
    <row r="605" spans="2:5" x14ac:dyDescent="0.45">
      <c r="B605" s="1"/>
      <c r="E605" s="45" t="str">
        <f>IFERROR(AVERAGEIFS('Picarro Output'!G:G, 'Picarro Output'!$B:$B, 'Uncalibrated Data'!$C605, 'Picarro Output'!$I:$I, 0, 'Picarro Output'!$J:$J, 1), "")</f>
        <v/>
      </c>
    </row>
    <row r="606" spans="2:5" x14ac:dyDescent="0.45">
      <c r="B606" s="1"/>
      <c r="E606" s="45" t="str">
        <f>IFERROR(AVERAGEIFS('Picarro Output'!G:G, 'Picarro Output'!$B:$B, 'Uncalibrated Data'!$C606, 'Picarro Output'!$I:$I, 0, 'Picarro Output'!$J:$J, 1), "")</f>
        <v/>
      </c>
    </row>
    <row r="607" spans="2:5" x14ac:dyDescent="0.45">
      <c r="B607" s="1"/>
      <c r="E607" s="45" t="str">
        <f>IFERROR(AVERAGEIFS('Picarro Output'!G:G, 'Picarro Output'!$B:$B, 'Uncalibrated Data'!$C607, 'Picarro Output'!$I:$I, 0, 'Picarro Output'!$J:$J, 1), "")</f>
        <v/>
      </c>
    </row>
    <row r="608" spans="2:5" x14ac:dyDescent="0.45">
      <c r="B608" s="1"/>
      <c r="E608" s="45" t="str">
        <f>IFERROR(AVERAGEIFS('Picarro Output'!G:G, 'Picarro Output'!$B:$B, 'Uncalibrated Data'!$C608, 'Picarro Output'!$I:$I, 0, 'Picarro Output'!$J:$J, 1), "")</f>
        <v/>
      </c>
    </row>
    <row r="609" spans="2:5" x14ac:dyDescent="0.45">
      <c r="B609" s="1"/>
      <c r="E609" s="45" t="str">
        <f>IFERROR(AVERAGEIFS('Picarro Output'!G:G, 'Picarro Output'!$B:$B, 'Uncalibrated Data'!$C609, 'Picarro Output'!$I:$I, 0, 'Picarro Output'!$J:$J, 1), "")</f>
        <v/>
      </c>
    </row>
    <row r="610" spans="2:5" x14ac:dyDescent="0.45">
      <c r="B610" s="1"/>
      <c r="E610" s="45" t="str">
        <f>IFERROR(AVERAGEIFS('Picarro Output'!G:G, 'Picarro Output'!$B:$B, 'Uncalibrated Data'!$C610, 'Picarro Output'!$I:$I, 0, 'Picarro Output'!$J:$J, 1), "")</f>
        <v/>
      </c>
    </row>
    <row r="611" spans="2:5" x14ac:dyDescent="0.45">
      <c r="B611" s="1"/>
      <c r="E611" s="45" t="str">
        <f>IFERROR(AVERAGEIFS('Picarro Output'!G:G, 'Picarro Output'!$B:$B, 'Uncalibrated Data'!$C611, 'Picarro Output'!$I:$I, 0, 'Picarro Output'!$J:$J, 1), "")</f>
        <v/>
      </c>
    </row>
    <row r="612" spans="2:5" x14ac:dyDescent="0.45">
      <c r="B612" s="1"/>
      <c r="E612" s="45" t="str">
        <f>IFERROR(AVERAGEIFS('Picarro Output'!G:G, 'Picarro Output'!$B:$B, 'Uncalibrated Data'!$C612, 'Picarro Output'!$I:$I, 0, 'Picarro Output'!$J:$J, 1), "")</f>
        <v/>
      </c>
    </row>
    <row r="613" spans="2:5" x14ac:dyDescent="0.45">
      <c r="B613" s="1"/>
      <c r="E613" s="45" t="str">
        <f>IFERROR(AVERAGEIFS('Picarro Output'!G:G, 'Picarro Output'!$B:$B, 'Uncalibrated Data'!$C613, 'Picarro Output'!$I:$I, 0, 'Picarro Output'!$J:$J, 1), "")</f>
        <v/>
      </c>
    </row>
    <row r="614" spans="2:5" x14ac:dyDescent="0.45">
      <c r="B614" s="1"/>
      <c r="E614" s="45" t="str">
        <f>IFERROR(AVERAGEIFS('Picarro Output'!G:G, 'Picarro Output'!$B:$B, 'Uncalibrated Data'!$C614, 'Picarro Output'!$I:$I, 0, 'Picarro Output'!$J:$J, 1), "")</f>
        <v/>
      </c>
    </row>
    <row r="615" spans="2:5" x14ac:dyDescent="0.45">
      <c r="B615" s="1"/>
      <c r="E615" s="45" t="str">
        <f>IFERROR(AVERAGEIFS('Picarro Output'!G:G, 'Picarro Output'!$B:$B, 'Uncalibrated Data'!$C615, 'Picarro Output'!$I:$I, 0, 'Picarro Output'!$J:$J, 1), "")</f>
        <v/>
      </c>
    </row>
    <row r="616" spans="2:5" x14ac:dyDescent="0.45">
      <c r="B616" s="1"/>
      <c r="E616" s="45" t="str">
        <f>IFERROR(AVERAGEIFS('Picarro Output'!G:G, 'Picarro Output'!$B:$B, 'Uncalibrated Data'!$C616, 'Picarro Output'!$I:$I, 0, 'Picarro Output'!$J:$J, 1), "")</f>
        <v/>
      </c>
    </row>
    <row r="617" spans="2:5" x14ac:dyDescent="0.45">
      <c r="B617" s="1"/>
      <c r="E617" s="45" t="str">
        <f>IFERROR(AVERAGEIFS('Picarro Output'!G:G, 'Picarro Output'!$B:$B, 'Uncalibrated Data'!$C617, 'Picarro Output'!$I:$I, 0, 'Picarro Output'!$J:$J, 1), "")</f>
        <v/>
      </c>
    </row>
    <row r="618" spans="2:5" x14ac:dyDescent="0.45">
      <c r="B618" s="1"/>
      <c r="E618" s="45" t="str">
        <f>IFERROR(AVERAGEIFS('Picarro Output'!G:G, 'Picarro Output'!$B:$B, 'Uncalibrated Data'!$C618, 'Picarro Output'!$I:$I, 0, 'Picarro Output'!$J:$J, 1), "")</f>
        <v/>
      </c>
    </row>
    <row r="619" spans="2:5" x14ac:dyDescent="0.45">
      <c r="B619" s="1"/>
      <c r="E619" s="45" t="str">
        <f>IFERROR(AVERAGEIFS('Picarro Output'!G:G, 'Picarro Output'!$B:$B, 'Uncalibrated Data'!$C619, 'Picarro Output'!$I:$I, 0, 'Picarro Output'!$J:$J, 1), "")</f>
        <v/>
      </c>
    </row>
    <row r="620" spans="2:5" x14ac:dyDescent="0.45">
      <c r="B620" s="1"/>
      <c r="E620" s="45" t="str">
        <f>IFERROR(AVERAGEIFS('Picarro Output'!G:G, 'Picarro Output'!$B:$B, 'Uncalibrated Data'!$C620, 'Picarro Output'!$I:$I, 0, 'Picarro Output'!$J:$J, 1), "")</f>
        <v/>
      </c>
    </row>
    <row r="621" spans="2:5" x14ac:dyDescent="0.45">
      <c r="B621" s="1"/>
      <c r="E621" s="45" t="str">
        <f>IFERROR(AVERAGEIFS('Picarro Output'!G:G, 'Picarro Output'!$B:$B, 'Uncalibrated Data'!$C621, 'Picarro Output'!$I:$I, 0, 'Picarro Output'!$J:$J, 1), "")</f>
        <v/>
      </c>
    </row>
    <row r="622" spans="2:5" x14ac:dyDescent="0.45">
      <c r="B622" s="1"/>
      <c r="E622" s="45" t="str">
        <f>IFERROR(AVERAGEIFS('Picarro Output'!G:G, 'Picarro Output'!$B:$B, 'Uncalibrated Data'!$C622, 'Picarro Output'!$I:$I, 0, 'Picarro Output'!$J:$J, 1), "")</f>
        <v/>
      </c>
    </row>
    <row r="623" spans="2:5" x14ac:dyDescent="0.45">
      <c r="B623" s="1"/>
      <c r="E623" s="45" t="str">
        <f>IFERROR(AVERAGEIFS('Picarro Output'!G:G, 'Picarro Output'!$B:$B, 'Uncalibrated Data'!$C623, 'Picarro Output'!$I:$I, 0, 'Picarro Output'!$J:$J, 1), "")</f>
        <v/>
      </c>
    </row>
    <row r="624" spans="2:5" x14ac:dyDescent="0.45">
      <c r="B624" s="1"/>
      <c r="E624" s="45" t="str">
        <f>IFERROR(AVERAGEIFS('Picarro Output'!G:G, 'Picarro Output'!$B:$B, 'Uncalibrated Data'!$C624, 'Picarro Output'!$I:$I, 0, 'Picarro Output'!$J:$J, 1), "")</f>
        <v/>
      </c>
    </row>
    <row r="625" spans="2:5" x14ac:dyDescent="0.45">
      <c r="B625" s="1"/>
      <c r="E625" s="45" t="str">
        <f>IFERROR(AVERAGEIFS('Picarro Output'!G:G, 'Picarro Output'!$B:$B, 'Uncalibrated Data'!$C625, 'Picarro Output'!$I:$I, 0, 'Picarro Output'!$J:$J, 1), "")</f>
        <v/>
      </c>
    </row>
    <row r="626" spans="2:5" x14ac:dyDescent="0.45">
      <c r="B626" s="1"/>
      <c r="E626" s="45" t="str">
        <f>IFERROR(AVERAGEIFS('Picarro Output'!G:G, 'Picarro Output'!$B:$B, 'Uncalibrated Data'!$C626, 'Picarro Output'!$I:$I, 0, 'Picarro Output'!$J:$J, 1), "")</f>
        <v/>
      </c>
    </row>
    <row r="627" spans="2:5" x14ac:dyDescent="0.45">
      <c r="B627" s="1"/>
      <c r="E627" s="45" t="str">
        <f>IFERROR(AVERAGEIFS('Picarro Output'!G:G, 'Picarro Output'!$B:$B, 'Uncalibrated Data'!$C627, 'Picarro Output'!$I:$I, 0, 'Picarro Output'!$J:$J, 1), "")</f>
        <v/>
      </c>
    </row>
    <row r="628" spans="2:5" x14ac:dyDescent="0.45">
      <c r="B628" s="1"/>
      <c r="E628" s="45" t="str">
        <f>IFERROR(AVERAGEIFS('Picarro Output'!G:G, 'Picarro Output'!$B:$B, 'Uncalibrated Data'!$C628, 'Picarro Output'!$I:$I, 0, 'Picarro Output'!$J:$J, 1), "")</f>
        <v/>
      </c>
    </row>
    <row r="629" spans="2:5" x14ac:dyDescent="0.45">
      <c r="B629" s="1"/>
      <c r="E629" s="45" t="str">
        <f>IFERROR(AVERAGEIFS('Picarro Output'!G:G, 'Picarro Output'!$B:$B, 'Uncalibrated Data'!$C629, 'Picarro Output'!$I:$I, 0, 'Picarro Output'!$J:$J, 1), "")</f>
        <v/>
      </c>
    </row>
    <row r="630" spans="2:5" x14ac:dyDescent="0.45">
      <c r="B630" s="1"/>
      <c r="E630" s="45" t="str">
        <f>IFERROR(AVERAGEIFS('Picarro Output'!G:G, 'Picarro Output'!$B:$B, 'Uncalibrated Data'!$C630, 'Picarro Output'!$I:$I, 0, 'Picarro Output'!$J:$J, 1), "")</f>
        <v/>
      </c>
    </row>
    <row r="631" spans="2:5" x14ac:dyDescent="0.45">
      <c r="B631" s="1"/>
      <c r="E631" s="45" t="str">
        <f>IFERROR(AVERAGEIFS('Picarro Output'!G:G, 'Picarro Output'!$B:$B, 'Uncalibrated Data'!$C631, 'Picarro Output'!$I:$I, 0, 'Picarro Output'!$J:$J, 1), "")</f>
        <v/>
      </c>
    </row>
    <row r="632" spans="2:5" x14ac:dyDescent="0.45">
      <c r="B632" s="1"/>
      <c r="E632" s="45" t="str">
        <f>IFERROR(AVERAGEIFS('Picarro Output'!G:G, 'Picarro Output'!$B:$B, 'Uncalibrated Data'!$C632, 'Picarro Output'!$I:$I, 0, 'Picarro Output'!$J:$J, 1), "")</f>
        <v/>
      </c>
    </row>
    <row r="633" spans="2:5" x14ac:dyDescent="0.45">
      <c r="B633" s="1"/>
      <c r="E633" s="45" t="str">
        <f>IFERROR(AVERAGEIFS('Picarro Output'!G:G, 'Picarro Output'!$B:$B, 'Uncalibrated Data'!$C633, 'Picarro Output'!$I:$I, 0, 'Picarro Output'!$J:$J, 1), "")</f>
        <v/>
      </c>
    </row>
    <row r="634" spans="2:5" x14ac:dyDescent="0.45">
      <c r="B634" s="1"/>
      <c r="E634" s="45" t="str">
        <f>IFERROR(AVERAGEIFS('Picarro Output'!G:G, 'Picarro Output'!$B:$B, 'Uncalibrated Data'!$C634, 'Picarro Output'!$I:$I, 0, 'Picarro Output'!$J:$J, 1), "")</f>
        <v/>
      </c>
    </row>
    <row r="635" spans="2:5" x14ac:dyDescent="0.45">
      <c r="B635" s="1"/>
      <c r="E635" s="45" t="str">
        <f>IFERROR(AVERAGEIFS('Picarro Output'!G:G, 'Picarro Output'!$B:$B, 'Uncalibrated Data'!$C635, 'Picarro Output'!$I:$I, 0, 'Picarro Output'!$J:$J, 1), "")</f>
        <v/>
      </c>
    </row>
    <row r="636" spans="2:5" x14ac:dyDescent="0.45">
      <c r="B636" s="1"/>
      <c r="E636" s="45" t="str">
        <f>IFERROR(AVERAGEIFS('Picarro Output'!G:G, 'Picarro Output'!$B:$B, 'Uncalibrated Data'!$C636, 'Picarro Output'!$I:$I, 0, 'Picarro Output'!$J:$J, 1), "")</f>
        <v/>
      </c>
    </row>
    <row r="637" spans="2:5" x14ac:dyDescent="0.45">
      <c r="B637" s="1"/>
      <c r="E637" s="45" t="str">
        <f>IFERROR(AVERAGEIFS('Picarro Output'!G:G, 'Picarro Output'!$B:$B, 'Uncalibrated Data'!$C637, 'Picarro Output'!$I:$I, 0, 'Picarro Output'!$J:$J, 1), "")</f>
        <v/>
      </c>
    </row>
    <row r="638" spans="2:5" x14ac:dyDescent="0.45">
      <c r="B638" s="1"/>
      <c r="E638" s="45" t="str">
        <f>IFERROR(AVERAGEIFS('Picarro Output'!G:G, 'Picarro Output'!$B:$B, 'Uncalibrated Data'!$C638, 'Picarro Output'!$I:$I, 0, 'Picarro Output'!$J:$J, 1), "")</f>
        <v/>
      </c>
    </row>
    <row r="639" spans="2:5" x14ac:dyDescent="0.45">
      <c r="B639" s="1"/>
      <c r="E639" s="45" t="str">
        <f>IFERROR(AVERAGEIFS('Picarro Output'!G:G, 'Picarro Output'!$B:$B, 'Uncalibrated Data'!$C639, 'Picarro Output'!$I:$I, 0, 'Picarro Output'!$J:$J, 1), "")</f>
        <v/>
      </c>
    </row>
    <row r="640" spans="2:5" x14ac:dyDescent="0.45">
      <c r="B640" s="1"/>
      <c r="E640" s="45" t="str">
        <f>IFERROR(AVERAGEIFS('Picarro Output'!G:G, 'Picarro Output'!$B:$B, 'Uncalibrated Data'!$C640, 'Picarro Output'!$I:$I, 0, 'Picarro Output'!$J:$J, 1), "")</f>
        <v/>
      </c>
    </row>
    <row r="641" spans="2:5" x14ac:dyDescent="0.45">
      <c r="B641" s="1"/>
      <c r="E641" s="45" t="str">
        <f>IFERROR(AVERAGEIFS('Picarro Output'!G:G, 'Picarro Output'!$B:$B, 'Uncalibrated Data'!$C641, 'Picarro Output'!$I:$I, 0, 'Picarro Output'!$J:$J, 1), "")</f>
        <v/>
      </c>
    </row>
    <row r="642" spans="2:5" x14ac:dyDescent="0.45">
      <c r="B642" s="1"/>
      <c r="E642" s="45" t="str">
        <f>IFERROR(AVERAGEIFS('Picarro Output'!G:G, 'Picarro Output'!$B:$B, 'Uncalibrated Data'!$C642, 'Picarro Output'!$I:$I, 0, 'Picarro Output'!$J:$J, 1), "")</f>
        <v/>
      </c>
    </row>
    <row r="643" spans="2:5" x14ac:dyDescent="0.45">
      <c r="B643" s="1"/>
      <c r="E643" s="45" t="str">
        <f>IFERROR(AVERAGEIFS('Picarro Output'!G:G, 'Picarro Output'!$B:$B, 'Uncalibrated Data'!$C643, 'Picarro Output'!$I:$I, 0, 'Picarro Output'!$J:$J, 1), "")</f>
        <v/>
      </c>
    </row>
    <row r="644" spans="2:5" x14ac:dyDescent="0.45">
      <c r="B644" s="1"/>
      <c r="E644" s="45" t="str">
        <f>IFERROR(AVERAGEIFS('Picarro Output'!G:G, 'Picarro Output'!$B:$B, 'Uncalibrated Data'!$C644, 'Picarro Output'!$I:$I, 0, 'Picarro Output'!$J:$J, 1), "")</f>
        <v/>
      </c>
    </row>
    <row r="645" spans="2:5" x14ac:dyDescent="0.45">
      <c r="B645" s="1"/>
      <c r="E645" s="45" t="str">
        <f>IFERROR(AVERAGEIFS('Picarro Output'!G:G, 'Picarro Output'!$B:$B, 'Uncalibrated Data'!$C645, 'Picarro Output'!$I:$I, 0, 'Picarro Output'!$J:$J, 1), "")</f>
        <v/>
      </c>
    </row>
    <row r="646" spans="2:5" x14ac:dyDescent="0.45">
      <c r="B646" s="1"/>
      <c r="E646" s="45" t="str">
        <f>IFERROR(AVERAGEIFS('Picarro Output'!G:G, 'Picarro Output'!$B:$B, 'Uncalibrated Data'!$C646, 'Picarro Output'!$I:$I, 0, 'Picarro Output'!$J:$J, 1), "")</f>
        <v/>
      </c>
    </row>
    <row r="647" spans="2:5" x14ac:dyDescent="0.45">
      <c r="B647" s="1"/>
      <c r="E647" s="45" t="str">
        <f>IFERROR(AVERAGEIFS('Picarro Output'!G:G, 'Picarro Output'!$B:$B, 'Uncalibrated Data'!$C647, 'Picarro Output'!$I:$I, 0, 'Picarro Output'!$J:$J, 1), "")</f>
        <v/>
      </c>
    </row>
    <row r="648" spans="2:5" x14ac:dyDescent="0.45">
      <c r="B648" s="1"/>
      <c r="E648" s="45" t="str">
        <f>IFERROR(AVERAGEIFS('Picarro Output'!G:G, 'Picarro Output'!$B:$B, 'Uncalibrated Data'!$C648, 'Picarro Output'!$I:$I, 0, 'Picarro Output'!$J:$J, 1), "")</f>
        <v/>
      </c>
    </row>
    <row r="649" spans="2:5" x14ac:dyDescent="0.45">
      <c r="B649" s="1"/>
      <c r="E649" s="45" t="str">
        <f>IFERROR(AVERAGEIFS('Picarro Output'!G:G, 'Picarro Output'!$B:$B, 'Uncalibrated Data'!$C649, 'Picarro Output'!$I:$I, 0, 'Picarro Output'!$J:$J, 1), "")</f>
        <v/>
      </c>
    </row>
    <row r="650" spans="2:5" x14ac:dyDescent="0.45">
      <c r="B650" s="1"/>
      <c r="E650" s="45" t="str">
        <f>IFERROR(AVERAGEIFS('Picarro Output'!G:G, 'Picarro Output'!$B:$B, 'Uncalibrated Data'!$C650, 'Picarro Output'!$I:$I, 0, 'Picarro Output'!$J:$J, 1), "")</f>
        <v/>
      </c>
    </row>
    <row r="651" spans="2:5" x14ac:dyDescent="0.45">
      <c r="B651" s="1"/>
      <c r="E651" s="45" t="str">
        <f>IFERROR(AVERAGEIFS('Picarro Output'!G:G, 'Picarro Output'!$B:$B, 'Uncalibrated Data'!$C651, 'Picarro Output'!$I:$I, 0, 'Picarro Output'!$J:$J, 1), "")</f>
        <v/>
      </c>
    </row>
    <row r="652" spans="2:5" x14ac:dyDescent="0.45">
      <c r="B652" s="1"/>
      <c r="E652" s="45" t="str">
        <f>IFERROR(AVERAGEIFS('Picarro Output'!G:G, 'Picarro Output'!$B:$B, 'Uncalibrated Data'!$C652, 'Picarro Output'!$I:$I, 0, 'Picarro Output'!$J:$J, 1), "")</f>
        <v/>
      </c>
    </row>
    <row r="653" spans="2:5" x14ac:dyDescent="0.45">
      <c r="B653" s="1"/>
      <c r="E653" s="45" t="str">
        <f>IFERROR(AVERAGEIFS('Picarro Output'!G:G, 'Picarro Output'!$B:$B, 'Uncalibrated Data'!$C653, 'Picarro Output'!$I:$I, 0, 'Picarro Output'!$J:$J, 1), "")</f>
        <v/>
      </c>
    </row>
    <row r="654" spans="2:5" x14ac:dyDescent="0.45">
      <c r="B654" s="1"/>
      <c r="E654" s="45" t="str">
        <f>IFERROR(AVERAGEIFS('Picarro Output'!G:G, 'Picarro Output'!$B:$B, 'Uncalibrated Data'!$C654, 'Picarro Output'!$I:$I, 0, 'Picarro Output'!$J:$J, 1), "")</f>
        <v/>
      </c>
    </row>
    <row r="655" spans="2:5" x14ac:dyDescent="0.45">
      <c r="B655" s="1"/>
      <c r="E655" s="45" t="str">
        <f>IFERROR(AVERAGEIFS('Picarro Output'!G:G, 'Picarro Output'!$B:$B, 'Uncalibrated Data'!$C655, 'Picarro Output'!$I:$I, 0, 'Picarro Output'!$J:$J, 1), "")</f>
        <v/>
      </c>
    </row>
    <row r="656" spans="2:5" x14ac:dyDescent="0.45">
      <c r="B656" s="1"/>
      <c r="E656" s="45" t="str">
        <f>IFERROR(AVERAGEIFS('Picarro Output'!G:G, 'Picarro Output'!$B:$B, 'Uncalibrated Data'!$C656, 'Picarro Output'!$I:$I, 0, 'Picarro Output'!$J:$J, 1), "")</f>
        <v/>
      </c>
    </row>
    <row r="657" spans="2:5" x14ac:dyDescent="0.45">
      <c r="B657" s="1"/>
      <c r="E657" s="45" t="str">
        <f>IFERROR(AVERAGEIFS('Picarro Output'!G:G, 'Picarro Output'!$B:$B, 'Uncalibrated Data'!$C657, 'Picarro Output'!$I:$I, 0, 'Picarro Output'!$J:$J, 1), "")</f>
        <v/>
      </c>
    </row>
    <row r="658" spans="2:5" x14ac:dyDescent="0.45">
      <c r="B658" s="1"/>
      <c r="E658" s="45" t="str">
        <f>IFERROR(AVERAGEIFS('Picarro Output'!G:G, 'Picarro Output'!$B:$B, 'Uncalibrated Data'!$C658, 'Picarro Output'!$I:$I, 0, 'Picarro Output'!$J:$J, 1), "")</f>
        <v/>
      </c>
    </row>
    <row r="659" spans="2:5" x14ac:dyDescent="0.45">
      <c r="B659" s="1"/>
      <c r="E659" s="45" t="str">
        <f>IFERROR(AVERAGEIFS('Picarro Output'!G:G, 'Picarro Output'!$B:$B, 'Uncalibrated Data'!$C659, 'Picarro Output'!$I:$I, 0, 'Picarro Output'!$J:$J, 1), "")</f>
        <v/>
      </c>
    </row>
    <row r="660" spans="2:5" x14ac:dyDescent="0.45">
      <c r="B660" s="1"/>
      <c r="E660" s="45" t="str">
        <f>IFERROR(AVERAGEIFS('Picarro Output'!G:G, 'Picarro Output'!$B:$B, 'Uncalibrated Data'!$C660, 'Picarro Output'!$I:$I, 0, 'Picarro Output'!$J:$J, 1), "")</f>
        <v/>
      </c>
    </row>
    <row r="661" spans="2:5" x14ac:dyDescent="0.45">
      <c r="B661" s="1"/>
      <c r="E661" s="45" t="str">
        <f>IFERROR(AVERAGEIFS('Picarro Output'!G:G, 'Picarro Output'!$B:$B, 'Uncalibrated Data'!$C661, 'Picarro Output'!$I:$I, 0, 'Picarro Output'!$J:$J, 1), "")</f>
        <v/>
      </c>
    </row>
    <row r="662" spans="2:5" x14ac:dyDescent="0.45">
      <c r="B662" s="1"/>
      <c r="E662" s="45" t="str">
        <f>IFERROR(AVERAGEIFS('Picarro Output'!G:G, 'Picarro Output'!$B:$B, 'Uncalibrated Data'!$C662, 'Picarro Output'!$I:$I, 0, 'Picarro Output'!$J:$J, 1), "")</f>
        <v/>
      </c>
    </row>
    <row r="663" spans="2:5" x14ac:dyDescent="0.45">
      <c r="B663" s="1"/>
      <c r="E663" s="45" t="str">
        <f>IFERROR(AVERAGEIFS('Picarro Output'!G:G, 'Picarro Output'!$B:$B, 'Uncalibrated Data'!$C663, 'Picarro Output'!$I:$I, 0, 'Picarro Output'!$J:$J, 1), "")</f>
        <v/>
      </c>
    </row>
    <row r="664" spans="2:5" x14ac:dyDescent="0.45">
      <c r="B664" s="1"/>
      <c r="E664" s="45" t="str">
        <f>IFERROR(AVERAGEIFS('Picarro Output'!G:G, 'Picarro Output'!$B:$B, 'Uncalibrated Data'!$C664, 'Picarro Output'!$I:$I, 0, 'Picarro Output'!$J:$J, 1), "")</f>
        <v/>
      </c>
    </row>
    <row r="665" spans="2:5" x14ac:dyDescent="0.45">
      <c r="B665" s="1"/>
      <c r="E665" s="45" t="str">
        <f>IFERROR(AVERAGEIFS('Picarro Output'!G:G, 'Picarro Output'!$B:$B, 'Uncalibrated Data'!$C665, 'Picarro Output'!$I:$I, 0, 'Picarro Output'!$J:$J, 1), "")</f>
        <v/>
      </c>
    </row>
    <row r="666" spans="2:5" x14ac:dyDescent="0.45">
      <c r="B666" s="1"/>
      <c r="E666" s="45" t="str">
        <f>IFERROR(AVERAGEIFS('Picarro Output'!G:G, 'Picarro Output'!$B:$B, 'Uncalibrated Data'!$C666, 'Picarro Output'!$I:$I, 0, 'Picarro Output'!$J:$J, 1), "")</f>
        <v/>
      </c>
    </row>
    <row r="667" spans="2:5" x14ac:dyDescent="0.45">
      <c r="B667" s="1"/>
      <c r="E667" s="45" t="str">
        <f>IFERROR(AVERAGEIFS('Picarro Output'!G:G, 'Picarro Output'!$B:$B, 'Uncalibrated Data'!$C667, 'Picarro Output'!$I:$I, 0, 'Picarro Output'!$J:$J, 1), "")</f>
        <v/>
      </c>
    </row>
    <row r="668" spans="2:5" x14ac:dyDescent="0.45">
      <c r="B668" s="1"/>
      <c r="E668" s="45" t="str">
        <f>IFERROR(AVERAGEIFS('Picarro Output'!G:G, 'Picarro Output'!$B:$B, 'Uncalibrated Data'!$C668, 'Picarro Output'!$I:$I, 0, 'Picarro Output'!$J:$J, 1), "")</f>
        <v/>
      </c>
    </row>
    <row r="669" spans="2:5" x14ac:dyDescent="0.45">
      <c r="B669" s="1"/>
      <c r="E669" s="45" t="str">
        <f>IFERROR(AVERAGEIFS('Picarro Output'!G:G, 'Picarro Output'!$B:$B, 'Uncalibrated Data'!$C669, 'Picarro Output'!$I:$I, 0, 'Picarro Output'!$J:$J, 1), "")</f>
        <v/>
      </c>
    </row>
    <row r="670" spans="2:5" x14ac:dyDescent="0.45">
      <c r="B670" s="1"/>
      <c r="E670" s="45" t="str">
        <f>IFERROR(AVERAGEIFS('Picarro Output'!G:G, 'Picarro Output'!$B:$B, 'Uncalibrated Data'!$C670, 'Picarro Output'!$I:$I, 0, 'Picarro Output'!$J:$J, 1), "")</f>
        <v/>
      </c>
    </row>
    <row r="671" spans="2:5" x14ac:dyDescent="0.45">
      <c r="B671" s="1"/>
      <c r="E671" s="45" t="str">
        <f>IFERROR(AVERAGEIFS('Picarro Output'!G:G, 'Picarro Output'!$B:$B, 'Uncalibrated Data'!$C671, 'Picarro Output'!$I:$I, 0, 'Picarro Output'!$J:$J, 1), "")</f>
        <v/>
      </c>
    </row>
    <row r="672" spans="2:5" x14ac:dyDescent="0.45">
      <c r="B672" s="1"/>
      <c r="E672" s="45" t="str">
        <f>IFERROR(AVERAGEIFS('Picarro Output'!G:G, 'Picarro Output'!$B:$B, 'Uncalibrated Data'!$C672, 'Picarro Output'!$I:$I, 0, 'Picarro Output'!$J:$J, 1), "")</f>
        <v/>
      </c>
    </row>
    <row r="673" spans="2:5" x14ac:dyDescent="0.45">
      <c r="B673" s="1"/>
      <c r="E673" s="45" t="str">
        <f>IFERROR(AVERAGEIFS('Picarro Output'!G:G, 'Picarro Output'!$B:$B, 'Uncalibrated Data'!$C673, 'Picarro Output'!$I:$I, 0, 'Picarro Output'!$J:$J, 1), "")</f>
        <v/>
      </c>
    </row>
    <row r="674" spans="2:5" x14ac:dyDescent="0.45">
      <c r="B674" s="1"/>
      <c r="E674" s="45" t="str">
        <f>IFERROR(AVERAGEIFS('Picarro Output'!G:G, 'Picarro Output'!$B:$B, 'Uncalibrated Data'!$C674, 'Picarro Output'!$I:$I, 0, 'Picarro Output'!$J:$J, 1), "")</f>
        <v/>
      </c>
    </row>
    <row r="675" spans="2:5" x14ac:dyDescent="0.45">
      <c r="B675" s="1"/>
      <c r="E675" s="45" t="str">
        <f>IFERROR(AVERAGEIFS('Picarro Output'!G:G, 'Picarro Output'!$B:$B, 'Uncalibrated Data'!$C675, 'Picarro Output'!$I:$I, 0, 'Picarro Output'!$J:$J, 1), "")</f>
        <v/>
      </c>
    </row>
    <row r="676" spans="2:5" x14ac:dyDescent="0.45">
      <c r="B676" s="1"/>
      <c r="E676" s="45" t="str">
        <f>IFERROR(AVERAGEIFS('Picarro Output'!G:G, 'Picarro Output'!$B:$B, 'Uncalibrated Data'!$C676, 'Picarro Output'!$I:$I, 0, 'Picarro Output'!$J:$J, 1), "")</f>
        <v/>
      </c>
    </row>
    <row r="677" spans="2:5" x14ac:dyDescent="0.45">
      <c r="B677" s="1"/>
      <c r="E677" s="45" t="str">
        <f>IFERROR(AVERAGEIFS('Picarro Output'!G:G, 'Picarro Output'!$B:$B, 'Uncalibrated Data'!$C677, 'Picarro Output'!$I:$I, 0, 'Picarro Output'!$J:$J, 1), "")</f>
        <v/>
      </c>
    </row>
    <row r="678" spans="2:5" x14ac:dyDescent="0.45">
      <c r="B678" s="1"/>
      <c r="E678" s="45" t="str">
        <f>IFERROR(AVERAGEIFS('Picarro Output'!G:G, 'Picarro Output'!$B:$B, 'Uncalibrated Data'!$C678, 'Picarro Output'!$I:$I, 0, 'Picarro Output'!$J:$J, 1), "")</f>
        <v/>
      </c>
    </row>
    <row r="679" spans="2:5" x14ac:dyDescent="0.45">
      <c r="B679" s="1"/>
      <c r="E679" s="45" t="str">
        <f>IFERROR(AVERAGEIFS('Picarro Output'!G:G, 'Picarro Output'!$B:$B, 'Uncalibrated Data'!$C679, 'Picarro Output'!$I:$I, 0, 'Picarro Output'!$J:$J, 1), "")</f>
        <v/>
      </c>
    </row>
    <row r="680" spans="2:5" x14ac:dyDescent="0.45">
      <c r="B680" s="1"/>
      <c r="E680" s="45" t="str">
        <f>IFERROR(AVERAGEIFS('Picarro Output'!G:G, 'Picarro Output'!$B:$B, 'Uncalibrated Data'!$C680, 'Picarro Output'!$I:$I, 0, 'Picarro Output'!$J:$J, 1), "")</f>
        <v/>
      </c>
    </row>
    <row r="681" spans="2:5" x14ac:dyDescent="0.45">
      <c r="B681" s="1"/>
      <c r="E681" s="45" t="str">
        <f>IFERROR(AVERAGEIFS('Picarro Output'!G:G, 'Picarro Output'!$B:$B, 'Uncalibrated Data'!$C681, 'Picarro Output'!$I:$I, 0, 'Picarro Output'!$J:$J, 1), "")</f>
        <v/>
      </c>
    </row>
    <row r="682" spans="2:5" x14ac:dyDescent="0.45">
      <c r="B682" s="1"/>
      <c r="E682" s="45" t="str">
        <f>IFERROR(AVERAGEIFS('Picarro Output'!G:G, 'Picarro Output'!$B:$B, 'Uncalibrated Data'!$C682, 'Picarro Output'!$I:$I, 0, 'Picarro Output'!$J:$J, 1), "")</f>
        <v/>
      </c>
    </row>
    <row r="683" spans="2:5" x14ac:dyDescent="0.45">
      <c r="B683" s="1"/>
      <c r="E683" s="45" t="str">
        <f>IFERROR(AVERAGEIFS('Picarro Output'!G:G, 'Picarro Output'!$B:$B, 'Uncalibrated Data'!$C683, 'Picarro Output'!$I:$I, 0, 'Picarro Output'!$J:$J, 1), "")</f>
        <v/>
      </c>
    </row>
    <row r="684" spans="2:5" x14ac:dyDescent="0.45">
      <c r="B684" s="1"/>
      <c r="E684" s="45" t="str">
        <f>IFERROR(AVERAGEIFS('Picarro Output'!G:G, 'Picarro Output'!$B:$B, 'Uncalibrated Data'!$C684, 'Picarro Output'!$I:$I, 0, 'Picarro Output'!$J:$J, 1), "")</f>
        <v/>
      </c>
    </row>
    <row r="685" spans="2:5" x14ac:dyDescent="0.45">
      <c r="B685" s="1"/>
      <c r="E685" s="45" t="str">
        <f>IFERROR(AVERAGEIFS('Picarro Output'!G:G, 'Picarro Output'!$B:$B, 'Uncalibrated Data'!$C685, 'Picarro Output'!$I:$I, 0, 'Picarro Output'!$J:$J, 1), "")</f>
        <v/>
      </c>
    </row>
    <row r="686" spans="2:5" x14ac:dyDescent="0.45">
      <c r="B686" s="1"/>
      <c r="E686" s="45" t="str">
        <f>IFERROR(AVERAGEIFS('Picarro Output'!G:G, 'Picarro Output'!$B:$B, 'Uncalibrated Data'!$C686, 'Picarro Output'!$I:$I, 0, 'Picarro Output'!$J:$J, 1), "")</f>
        <v/>
      </c>
    </row>
    <row r="687" spans="2:5" x14ac:dyDescent="0.45">
      <c r="B687" s="1"/>
      <c r="E687" s="45" t="str">
        <f>IFERROR(AVERAGEIFS('Picarro Output'!G:G, 'Picarro Output'!$B:$B, 'Uncalibrated Data'!$C687, 'Picarro Output'!$I:$I, 0, 'Picarro Output'!$J:$J, 1), "")</f>
        <v/>
      </c>
    </row>
    <row r="688" spans="2:5" x14ac:dyDescent="0.45">
      <c r="B688" s="1"/>
      <c r="E688" s="45" t="str">
        <f>IFERROR(AVERAGEIFS('Picarro Output'!G:G, 'Picarro Output'!$B:$B, 'Uncalibrated Data'!$C688, 'Picarro Output'!$I:$I, 0, 'Picarro Output'!$J:$J, 1), "")</f>
        <v/>
      </c>
    </row>
    <row r="689" spans="2:5" x14ac:dyDescent="0.45">
      <c r="B689" s="1"/>
      <c r="E689" s="45" t="str">
        <f>IFERROR(AVERAGEIFS('Picarro Output'!G:G, 'Picarro Output'!$B:$B, 'Uncalibrated Data'!$C689, 'Picarro Output'!$I:$I, 0, 'Picarro Output'!$J:$J, 1), "")</f>
        <v/>
      </c>
    </row>
    <row r="690" spans="2:5" x14ac:dyDescent="0.45">
      <c r="B690" s="1"/>
      <c r="E690" s="45" t="str">
        <f>IFERROR(AVERAGEIFS('Picarro Output'!G:G, 'Picarro Output'!$B:$B, 'Uncalibrated Data'!$C690, 'Picarro Output'!$I:$I, 0, 'Picarro Output'!$J:$J, 1), "")</f>
        <v/>
      </c>
    </row>
    <row r="691" spans="2:5" x14ac:dyDescent="0.45">
      <c r="B691" s="1"/>
      <c r="E691" s="45" t="str">
        <f>IFERROR(AVERAGEIFS('Picarro Output'!G:G, 'Picarro Output'!$B:$B, 'Uncalibrated Data'!$C691, 'Picarro Output'!$I:$I, 0, 'Picarro Output'!$J:$J, 1), "")</f>
        <v/>
      </c>
    </row>
    <row r="692" spans="2:5" x14ac:dyDescent="0.45">
      <c r="B692" s="1"/>
      <c r="E692" s="45" t="str">
        <f>IFERROR(AVERAGEIFS('Picarro Output'!G:G, 'Picarro Output'!$B:$B, 'Uncalibrated Data'!$C692, 'Picarro Output'!$I:$I, 0, 'Picarro Output'!$J:$J, 1), "")</f>
        <v/>
      </c>
    </row>
    <row r="693" spans="2:5" x14ac:dyDescent="0.45">
      <c r="B693" s="1"/>
      <c r="E693" s="45" t="str">
        <f>IFERROR(AVERAGEIFS('Picarro Output'!G:G, 'Picarro Output'!$B:$B, 'Uncalibrated Data'!$C693, 'Picarro Output'!$I:$I, 0, 'Picarro Output'!$J:$J, 1), "")</f>
        <v/>
      </c>
    </row>
    <row r="694" spans="2:5" x14ac:dyDescent="0.45">
      <c r="B694" s="1"/>
      <c r="E694" s="45" t="str">
        <f>IFERROR(AVERAGEIFS('Picarro Output'!G:G, 'Picarro Output'!$B:$B, 'Uncalibrated Data'!$C694, 'Picarro Output'!$I:$I, 0, 'Picarro Output'!$J:$J, 1), "")</f>
        <v/>
      </c>
    </row>
    <row r="695" spans="2:5" x14ac:dyDescent="0.45">
      <c r="B695" s="1"/>
      <c r="E695" s="45" t="str">
        <f>IFERROR(AVERAGEIFS('Picarro Output'!G:G, 'Picarro Output'!$B:$B, 'Uncalibrated Data'!$C695, 'Picarro Output'!$I:$I, 0, 'Picarro Output'!$J:$J, 1), "")</f>
        <v/>
      </c>
    </row>
    <row r="696" spans="2:5" x14ac:dyDescent="0.45">
      <c r="B696" s="1"/>
      <c r="E696" s="45" t="str">
        <f>IFERROR(AVERAGEIFS('Picarro Output'!G:G, 'Picarro Output'!$B:$B, 'Uncalibrated Data'!$C696, 'Picarro Output'!$I:$I, 0, 'Picarro Output'!$J:$J, 1), "")</f>
        <v/>
      </c>
    </row>
    <row r="697" spans="2:5" x14ac:dyDescent="0.45">
      <c r="B697" s="1"/>
      <c r="E697" s="45" t="str">
        <f>IFERROR(AVERAGEIFS('Picarro Output'!G:G, 'Picarro Output'!$B:$B, 'Uncalibrated Data'!$C697, 'Picarro Output'!$I:$I, 0, 'Picarro Output'!$J:$J, 1), "")</f>
        <v/>
      </c>
    </row>
    <row r="698" spans="2:5" x14ac:dyDescent="0.45">
      <c r="B698" s="1"/>
      <c r="E698" s="45" t="str">
        <f>IFERROR(AVERAGEIFS('Picarro Output'!G:G, 'Picarro Output'!$B:$B, 'Uncalibrated Data'!$C698, 'Picarro Output'!$I:$I, 0, 'Picarro Output'!$J:$J, 1), "")</f>
        <v/>
      </c>
    </row>
    <row r="699" spans="2:5" x14ac:dyDescent="0.45">
      <c r="B699" s="1"/>
      <c r="E699" s="45" t="str">
        <f>IFERROR(AVERAGEIFS('Picarro Output'!G:G, 'Picarro Output'!$B:$B, 'Uncalibrated Data'!$C699, 'Picarro Output'!$I:$I, 0, 'Picarro Output'!$J:$J, 1), "")</f>
        <v/>
      </c>
    </row>
    <row r="700" spans="2:5" x14ac:dyDescent="0.45">
      <c r="B700" s="1"/>
      <c r="E700" s="45" t="str">
        <f>IFERROR(AVERAGEIFS('Picarro Output'!G:G, 'Picarro Output'!$B:$B, 'Uncalibrated Data'!$C700, 'Picarro Output'!$I:$I, 0, 'Picarro Output'!$J:$J, 1), "")</f>
        <v/>
      </c>
    </row>
    <row r="701" spans="2:5" x14ac:dyDescent="0.45">
      <c r="B701" s="1"/>
      <c r="E701" s="45" t="str">
        <f>IFERROR(AVERAGEIFS('Picarro Output'!G:G, 'Picarro Output'!$B:$B, 'Uncalibrated Data'!$C701, 'Picarro Output'!$I:$I, 0, 'Picarro Output'!$J:$J, 1), "")</f>
        <v/>
      </c>
    </row>
    <row r="702" spans="2:5" x14ac:dyDescent="0.45">
      <c r="B702" s="1"/>
      <c r="E702" s="45" t="str">
        <f>IFERROR(AVERAGEIFS('Picarro Output'!G:G, 'Picarro Output'!$B:$B, 'Uncalibrated Data'!$C702, 'Picarro Output'!$I:$I, 0, 'Picarro Output'!$J:$J, 1), "")</f>
        <v/>
      </c>
    </row>
    <row r="703" spans="2:5" x14ac:dyDescent="0.45">
      <c r="B703" s="1"/>
      <c r="E703" s="45" t="str">
        <f>IFERROR(AVERAGEIFS('Picarro Output'!G:G, 'Picarro Output'!$B:$B, 'Uncalibrated Data'!$C703, 'Picarro Output'!$I:$I, 0, 'Picarro Output'!$J:$J, 1), "")</f>
        <v/>
      </c>
    </row>
    <row r="704" spans="2:5" x14ac:dyDescent="0.45">
      <c r="B704" s="1"/>
      <c r="E704" s="45" t="str">
        <f>IFERROR(AVERAGEIFS('Picarro Output'!G:G, 'Picarro Output'!$B:$B, 'Uncalibrated Data'!$C704, 'Picarro Output'!$I:$I, 0, 'Picarro Output'!$J:$J, 1), "")</f>
        <v/>
      </c>
    </row>
    <row r="705" spans="2:5" x14ac:dyDescent="0.45">
      <c r="B705" s="1"/>
      <c r="E705" s="45" t="str">
        <f>IFERROR(AVERAGEIFS('Picarro Output'!G:G, 'Picarro Output'!$B:$B, 'Uncalibrated Data'!$C705, 'Picarro Output'!$I:$I, 0, 'Picarro Output'!$J:$J, 1), "")</f>
        <v/>
      </c>
    </row>
    <row r="706" spans="2:5" x14ac:dyDescent="0.45">
      <c r="B706" s="1"/>
      <c r="E706" s="45" t="str">
        <f>IFERROR(AVERAGEIFS('Picarro Output'!G:G, 'Picarro Output'!$B:$B, 'Uncalibrated Data'!$C706, 'Picarro Output'!$I:$I, 0, 'Picarro Output'!$J:$J, 1), "")</f>
        <v/>
      </c>
    </row>
    <row r="707" spans="2:5" x14ac:dyDescent="0.45">
      <c r="B707" s="1"/>
      <c r="E707" s="45" t="str">
        <f>IFERROR(AVERAGEIFS('Picarro Output'!G:G, 'Picarro Output'!$B:$B, 'Uncalibrated Data'!$C707, 'Picarro Output'!$I:$I, 0, 'Picarro Output'!$J:$J, 1), "")</f>
        <v/>
      </c>
    </row>
    <row r="708" spans="2:5" x14ac:dyDescent="0.45">
      <c r="B708" s="1"/>
      <c r="E708" s="45" t="str">
        <f>IFERROR(AVERAGEIFS('Picarro Output'!G:G, 'Picarro Output'!$B:$B, 'Uncalibrated Data'!$C708, 'Picarro Output'!$I:$I, 0, 'Picarro Output'!$J:$J, 1), "")</f>
        <v/>
      </c>
    </row>
    <row r="709" spans="2:5" x14ac:dyDescent="0.45">
      <c r="B709" s="1"/>
      <c r="E709" s="45" t="str">
        <f>IFERROR(AVERAGEIFS('Picarro Output'!G:G, 'Picarro Output'!$B:$B, 'Uncalibrated Data'!$C709, 'Picarro Output'!$I:$I, 0, 'Picarro Output'!$J:$J, 1), "")</f>
        <v/>
      </c>
    </row>
    <row r="710" spans="2:5" x14ac:dyDescent="0.45">
      <c r="B710" s="1"/>
      <c r="E710" s="45" t="str">
        <f>IFERROR(AVERAGEIFS('Picarro Output'!G:G, 'Picarro Output'!$B:$B, 'Uncalibrated Data'!$C710, 'Picarro Output'!$I:$I, 0, 'Picarro Output'!$J:$J, 1), "")</f>
        <v/>
      </c>
    </row>
    <row r="711" spans="2:5" x14ac:dyDescent="0.45">
      <c r="B711" s="1"/>
      <c r="E711" s="45" t="str">
        <f>IFERROR(AVERAGEIFS('Picarro Output'!G:G, 'Picarro Output'!$B:$B, 'Uncalibrated Data'!$C711, 'Picarro Output'!$I:$I, 0, 'Picarro Output'!$J:$J, 1), "")</f>
        <v/>
      </c>
    </row>
    <row r="712" spans="2:5" x14ac:dyDescent="0.45">
      <c r="B712" s="1"/>
      <c r="E712" s="45" t="str">
        <f>IFERROR(AVERAGEIFS('Picarro Output'!G:G, 'Picarro Output'!$B:$B, 'Uncalibrated Data'!$C712, 'Picarro Output'!$I:$I, 0, 'Picarro Output'!$J:$J, 1), "")</f>
        <v/>
      </c>
    </row>
    <row r="713" spans="2:5" x14ac:dyDescent="0.45">
      <c r="B713" s="1"/>
      <c r="E713" s="45" t="str">
        <f>IFERROR(AVERAGEIFS('Picarro Output'!G:G, 'Picarro Output'!$B:$B, 'Uncalibrated Data'!$C713, 'Picarro Output'!$I:$I, 0, 'Picarro Output'!$J:$J, 1), "")</f>
        <v/>
      </c>
    </row>
    <row r="714" spans="2:5" x14ac:dyDescent="0.45">
      <c r="B714" s="1"/>
      <c r="E714" s="45" t="str">
        <f>IFERROR(AVERAGEIFS('Picarro Output'!G:G, 'Picarro Output'!$B:$B, 'Uncalibrated Data'!$C714, 'Picarro Output'!$I:$I, 0, 'Picarro Output'!$J:$J, 1), "")</f>
        <v/>
      </c>
    </row>
    <row r="715" spans="2:5" x14ac:dyDescent="0.45">
      <c r="B715" s="1"/>
      <c r="E715" s="45" t="str">
        <f>IFERROR(AVERAGEIFS('Picarro Output'!G:G, 'Picarro Output'!$B:$B, 'Uncalibrated Data'!$C715, 'Picarro Output'!$I:$I, 0, 'Picarro Output'!$J:$J, 1), "")</f>
        <v/>
      </c>
    </row>
    <row r="716" spans="2:5" x14ac:dyDescent="0.45">
      <c r="B716" s="1"/>
      <c r="E716" s="45" t="str">
        <f>IFERROR(AVERAGEIFS('Picarro Output'!G:G, 'Picarro Output'!$B:$B, 'Uncalibrated Data'!$C716, 'Picarro Output'!$I:$I, 0, 'Picarro Output'!$J:$J, 1), "")</f>
        <v/>
      </c>
    </row>
    <row r="717" spans="2:5" x14ac:dyDescent="0.45">
      <c r="B717" s="1"/>
      <c r="E717" s="45" t="str">
        <f>IFERROR(AVERAGEIFS('Picarro Output'!G:G, 'Picarro Output'!$B:$B, 'Uncalibrated Data'!$C717, 'Picarro Output'!$I:$I, 0, 'Picarro Output'!$J:$J, 1), "")</f>
        <v/>
      </c>
    </row>
    <row r="718" spans="2:5" x14ac:dyDescent="0.45">
      <c r="B718" s="1"/>
      <c r="E718" s="45" t="str">
        <f>IFERROR(AVERAGEIFS('Picarro Output'!G:G, 'Picarro Output'!$B:$B, 'Uncalibrated Data'!$C718, 'Picarro Output'!$I:$I, 0, 'Picarro Output'!$J:$J, 1), "")</f>
        <v/>
      </c>
    </row>
    <row r="719" spans="2:5" x14ac:dyDescent="0.45">
      <c r="B719" s="1"/>
      <c r="E719" s="45" t="str">
        <f>IFERROR(AVERAGEIFS('Picarro Output'!G:G, 'Picarro Output'!$B:$B, 'Uncalibrated Data'!$C719, 'Picarro Output'!$I:$I, 0, 'Picarro Output'!$J:$J, 1), "")</f>
        <v/>
      </c>
    </row>
    <row r="720" spans="2:5" x14ac:dyDescent="0.45">
      <c r="B720" s="1"/>
      <c r="E720" s="45" t="str">
        <f>IFERROR(AVERAGEIFS('Picarro Output'!G:G, 'Picarro Output'!$B:$B, 'Uncalibrated Data'!$C720, 'Picarro Output'!$I:$I, 0, 'Picarro Output'!$J:$J, 1), "")</f>
        <v/>
      </c>
    </row>
    <row r="721" spans="2:5" x14ac:dyDescent="0.45">
      <c r="B721" s="1"/>
      <c r="E721" s="45" t="str">
        <f>IFERROR(AVERAGEIFS('Picarro Output'!G:G, 'Picarro Output'!$B:$B, 'Uncalibrated Data'!$C721, 'Picarro Output'!$I:$I, 0, 'Picarro Output'!$J:$J, 1), "")</f>
        <v/>
      </c>
    </row>
    <row r="722" spans="2:5" x14ac:dyDescent="0.45">
      <c r="B722" s="1"/>
      <c r="E722" s="45" t="str">
        <f>IFERROR(AVERAGEIFS('Picarro Output'!G:G, 'Picarro Output'!$B:$B, 'Uncalibrated Data'!$C722, 'Picarro Output'!$I:$I, 0, 'Picarro Output'!$J:$J, 1), "")</f>
        <v/>
      </c>
    </row>
    <row r="723" spans="2:5" x14ac:dyDescent="0.45">
      <c r="B723" s="1"/>
      <c r="E723" s="45" t="str">
        <f>IFERROR(AVERAGEIFS('Picarro Output'!G:G, 'Picarro Output'!$B:$B, 'Uncalibrated Data'!$C723, 'Picarro Output'!$I:$I, 0, 'Picarro Output'!$J:$J, 1), "")</f>
        <v/>
      </c>
    </row>
    <row r="724" spans="2:5" x14ac:dyDescent="0.45">
      <c r="B724" s="1"/>
      <c r="E724" s="45" t="str">
        <f>IFERROR(AVERAGEIFS('Picarro Output'!G:G, 'Picarro Output'!$B:$B, 'Uncalibrated Data'!$C724, 'Picarro Output'!$I:$I, 0, 'Picarro Output'!$J:$J, 1), "")</f>
        <v/>
      </c>
    </row>
    <row r="725" spans="2:5" x14ac:dyDescent="0.45">
      <c r="B725" s="1"/>
      <c r="E725" s="45" t="str">
        <f>IFERROR(AVERAGEIFS('Picarro Output'!G:G, 'Picarro Output'!$B:$B, 'Uncalibrated Data'!$C725, 'Picarro Output'!$I:$I, 0, 'Picarro Output'!$J:$J, 1), "")</f>
        <v/>
      </c>
    </row>
    <row r="726" spans="2:5" x14ac:dyDescent="0.45">
      <c r="B726" s="1"/>
      <c r="E726" s="45" t="str">
        <f>IFERROR(AVERAGEIFS('Picarro Output'!G:G, 'Picarro Output'!$B:$B, 'Uncalibrated Data'!$C726, 'Picarro Output'!$I:$I, 0, 'Picarro Output'!$J:$J, 1), "")</f>
        <v/>
      </c>
    </row>
    <row r="727" spans="2:5" x14ac:dyDescent="0.45">
      <c r="B727" s="1"/>
      <c r="E727" s="45" t="str">
        <f>IFERROR(AVERAGEIFS('Picarro Output'!G:G, 'Picarro Output'!$B:$B, 'Uncalibrated Data'!$C727, 'Picarro Output'!$I:$I, 0, 'Picarro Output'!$J:$J, 1), "")</f>
        <v/>
      </c>
    </row>
    <row r="728" spans="2:5" x14ac:dyDescent="0.45">
      <c r="B728" s="1"/>
      <c r="E728" s="45" t="str">
        <f>IFERROR(AVERAGEIFS('Picarro Output'!G:G, 'Picarro Output'!$B:$B, 'Uncalibrated Data'!$C728, 'Picarro Output'!$I:$I, 0, 'Picarro Output'!$J:$J, 1), "")</f>
        <v/>
      </c>
    </row>
    <row r="729" spans="2:5" x14ac:dyDescent="0.45">
      <c r="B729" s="1"/>
      <c r="E729" s="45" t="str">
        <f>IFERROR(AVERAGEIFS('Picarro Output'!G:G, 'Picarro Output'!$B:$B, 'Uncalibrated Data'!$C729, 'Picarro Output'!$I:$I, 0, 'Picarro Output'!$J:$J, 1), "")</f>
        <v/>
      </c>
    </row>
    <row r="730" spans="2:5" x14ac:dyDescent="0.45">
      <c r="B730" s="1"/>
      <c r="E730" s="45" t="str">
        <f>IFERROR(AVERAGEIFS('Picarro Output'!G:G, 'Picarro Output'!$B:$B, 'Uncalibrated Data'!$C730, 'Picarro Output'!$I:$I, 0, 'Picarro Output'!$J:$J, 1), "")</f>
        <v/>
      </c>
    </row>
    <row r="731" spans="2:5" x14ac:dyDescent="0.45">
      <c r="B731" s="1"/>
      <c r="E731" s="45" t="str">
        <f>IFERROR(AVERAGEIFS('Picarro Output'!G:G, 'Picarro Output'!$B:$B, 'Uncalibrated Data'!$C731, 'Picarro Output'!$I:$I, 0, 'Picarro Output'!$J:$J, 1), "")</f>
        <v/>
      </c>
    </row>
    <row r="732" spans="2:5" x14ac:dyDescent="0.45">
      <c r="B732" s="1"/>
      <c r="E732" s="45" t="str">
        <f>IFERROR(AVERAGEIFS('Picarro Output'!G:G, 'Picarro Output'!$B:$B, 'Uncalibrated Data'!$C732, 'Picarro Output'!$I:$I, 0, 'Picarro Output'!$J:$J, 1), "")</f>
        <v/>
      </c>
    </row>
    <row r="733" spans="2:5" x14ac:dyDescent="0.45">
      <c r="B733" s="1"/>
      <c r="E733" s="45" t="str">
        <f>IFERROR(AVERAGEIFS('Picarro Output'!G:G, 'Picarro Output'!$B:$B, 'Uncalibrated Data'!$C733, 'Picarro Output'!$I:$I, 0, 'Picarro Output'!$J:$J, 1), "")</f>
        <v/>
      </c>
    </row>
    <row r="734" spans="2:5" x14ac:dyDescent="0.45">
      <c r="B734" s="1"/>
      <c r="E734" s="45" t="str">
        <f>IFERROR(AVERAGEIFS('Picarro Output'!G:G, 'Picarro Output'!$B:$B, 'Uncalibrated Data'!$C734, 'Picarro Output'!$I:$I, 0, 'Picarro Output'!$J:$J, 1), "")</f>
        <v/>
      </c>
    </row>
    <row r="735" spans="2:5" x14ac:dyDescent="0.45">
      <c r="B735" s="1"/>
      <c r="E735" s="45" t="str">
        <f>IFERROR(AVERAGEIFS('Picarro Output'!G:G, 'Picarro Output'!$B:$B, 'Uncalibrated Data'!$C735, 'Picarro Output'!$I:$I, 0, 'Picarro Output'!$J:$J, 1), "")</f>
        <v/>
      </c>
    </row>
    <row r="736" spans="2:5" x14ac:dyDescent="0.45">
      <c r="B736" s="1"/>
      <c r="E736" s="45" t="str">
        <f>IFERROR(AVERAGEIFS('Picarro Output'!G:G, 'Picarro Output'!$B:$B, 'Uncalibrated Data'!$C736, 'Picarro Output'!$I:$I, 0, 'Picarro Output'!$J:$J, 1), "")</f>
        <v/>
      </c>
    </row>
    <row r="737" spans="2:5" x14ac:dyDescent="0.45">
      <c r="B737" s="1"/>
      <c r="E737" s="45" t="str">
        <f>IFERROR(AVERAGEIFS('Picarro Output'!G:G, 'Picarro Output'!$B:$B, 'Uncalibrated Data'!$C737, 'Picarro Output'!$I:$I, 0, 'Picarro Output'!$J:$J, 1), "")</f>
        <v/>
      </c>
    </row>
    <row r="738" spans="2:5" x14ac:dyDescent="0.45">
      <c r="B738" s="1"/>
      <c r="E738" s="45" t="str">
        <f>IFERROR(AVERAGEIFS('Picarro Output'!G:G, 'Picarro Output'!$B:$B, 'Uncalibrated Data'!$C738, 'Picarro Output'!$I:$I, 0, 'Picarro Output'!$J:$J, 1), "")</f>
        <v/>
      </c>
    </row>
    <row r="739" spans="2:5" x14ac:dyDescent="0.45">
      <c r="B739" s="1"/>
      <c r="E739" s="45" t="str">
        <f>IFERROR(AVERAGEIFS('Picarro Output'!G:G, 'Picarro Output'!$B:$B, 'Uncalibrated Data'!$C739, 'Picarro Output'!$I:$I, 0, 'Picarro Output'!$J:$J, 1), "")</f>
        <v/>
      </c>
    </row>
    <row r="740" spans="2:5" x14ac:dyDescent="0.45">
      <c r="B740" s="1"/>
      <c r="E740" s="45" t="str">
        <f>IFERROR(AVERAGEIFS('Picarro Output'!G:G, 'Picarro Output'!$B:$B, 'Uncalibrated Data'!$C740, 'Picarro Output'!$I:$I, 0, 'Picarro Output'!$J:$J, 1), "")</f>
        <v/>
      </c>
    </row>
    <row r="741" spans="2:5" x14ac:dyDescent="0.45">
      <c r="B741" s="1"/>
      <c r="E741" s="45" t="str">
        <f>IFERROR(AVERAGEIFS('Picarro Output'!G:G, 'Picarro Output'!$B:$B, 'Uncalibrated Data'!$C741, 'Picarro Output'!$I:$I, 0, 'Picarro Output'!$J:$J, 1), "")</f>
        <v/>
      </c>
    </row>
    <row r="742" spans="2:5" x14ac:dyDescent="0.45">
      <c r="B742" s="1"/>
      <c r="E742" s="45" t="str">
        <f>IFERROR(AVERAGEIFS('Picarro Output'!G:G, 'Picarro Output'!$B:$B, 'Uncalibrated Data'!$C742, 'Picarro Output'!$I:$I, 0, 'Picarro Output'!$J:$J, 1), "")</f>
        <v/>
      </c>
    </row>
    <row r="743" spans="2:5" x14ac:dyDescent="0.45">
      <c r="B743" s="1"/>
      <c r="E743" s="45" t="str">
        <f>IFERROR(AVERAGEIFS('Picarro Output'!G:G, 'Picarro Output'!$B:$B, 'Uncalibrated Data'!$C743, 'Picarro Output'!$I:$I, 0, 'Picarro Output'!$J:$J, 1), "")</f>
        <v/>
      </c>
    </row>
    <row r="744" spans="2:5" x14ac:dyDescent="0.45">
      <c r="B744" s="1"/>
      <c r="E744" s="45" t="str">
        <f>IFERROR(AVERAGEIFS('Picarro Output'!G:G, 'Picarro Output'!$B:$B, 'Uncalibrated Data'!$C744, 'Picarro Output'!$I:$I, 0, 'Picarro Output'!$J:$J, 1), "")</f>
        <v/>
      </c>
    </row>
    <row r="745" spans="2:5" x14ac:dyDescent="0.45">
      <c r="B745" s="1"/>
      <c r="E745" s="45" t="str">
        <f>IFERROR(AVERAGEIFS('Picarro Output'!G:G, 'Picarro Output'!$B:$B, 'Uncalibrated Data'!$C745, 'Picarro Output'!$I:$I, 0, 'Picarro Output'!$J:$J, 1), "")</f>
        <v/>
      </c>
    </row>
    <row r="746" spans="2:5" x14ac:dyDescent="0.45">
      <c r="B746" s="1"/>
      <c r="E746" s="45" t="str">
        <f>IFERROR(AVERAGEIFS('Picarro Output'!G:G, 'Picarro Output'!$B:$B, 'Uncalibrated Data'!$C746, 'Picarro Output'!$I:$I, 0, 'Picarro Output'!$J:$J, 1), "")</f>
        <v/>
      </c>
    </row>
    <row r="747" spans="2:5" x14ac:dyDescent="0.45">
      <c r="B747" s="1"/>
      <c r="E747" s="45" t="str">
        <f>IFERROR(AVERAGEIFS('Picarro Output'!G:G, 'Picarro Output'!$B:$B, 'Uncalibrated Data'!$C747, 'Picarro Output'!$I:$I, 0, 'Picarro Output'!$J:$J, 1), "")</f>
        <v/>
      </c>
    </row>
    <row r="748" spans="2:5" x14ac:dyDescent="0.45">
      <c r="B748" s="1"/>
      <c r="E748" s="45" t="str">
        <f>IFERROR(AVERAGEIFS('Picarro Output'!G:G, 'Picarro Output'!$B:$B, 'Uncalibrated Data'!$C748, 'Picarro Output'!$I:$I, 0, 'Picarro Output'!$J:$J, 1), "")</f>
        <v/>
      </c>
    </row>
    <row r="749" spans="2:5" x14ac:dyDescent="0.45">
      <c r="B749" s="1"/>
      <c r="E749" s="45" t="str">
        <f>IFERROR(AVERAGEIFS('Picarro Output'!G:G, 'Picarro Output'!$B:$B, 'Uncalibrated Data'!$C749, 'Picarro Output'!$I:$I, 0, 'Picarro Output'!$J:$J, 1), "")</f>
        <v/>
      </c>
    </row>
    <row r="750" spans="2:5" x14ac:dyDescent="0.45">
      <c r="B750" s="1"/>
      <c r="E750" s="45" t="str">
        <f>IFERROR(AVERAGEIFS('Picarro Output'!G:G, 'Picarro Output'!$B:$B, 'Uncalibrated Data'!$C750, 'Picarro Output'!$I:$I, 0, 'Picarro Output'!$J:$J, 1), "")</f>
        <v/>
      </c>
    </row>
    <row r="751" spans="2:5" x14ac:dyDescent="0.45">
      <c r="B751" s="1"/>
      <c r="E751" s="45" t="str">
        <f>IFERROR(AVERAGEIFS('Picarro Output'!G:G, 'Picarro Output'!$B:$B, 'Uncalibrated Data'!$C751, 'Picarro Output'!$I:$I, 0, 'Picarro Output'!$J:$J, 1), "")</f>
        <v/>
      </c>
    </row>
    <row r="752" spans="2:5" x14ac:dyDescent="0.45">
      <c r="B752" s="1"/>
      <c r="E752" s="45" t="str">
        <f>IFERROR(AVERAGEIFS('Picarro Output'!G:G, 'Picarro Output'!$B:$B, 'Uncalibrated Data'!$C752, 'Picarro Output'!$I:$I, 0, 'Picarro Output'!$J:$J, 1), "")</f>
        <v/>
      </c>
    </row>
    <row r="753" spans="2:5" x14ac:dyDescent="0.45">
      <c r="B753" s="1"/>
      <c r="E753" s="45" t="str">
        <f>IFERROR(AVERAGEIFS('Picarro Output'!G:G, 'Picarro Output'!$B:$B, 'Uncalibrated Data'!$C753, 'Picarro Output'!$I:$I, 0, 'Picarro Output'!$J:$J, 1), "")</f>
        <v/>
      </c>
    </row>
    <row r="754" spans="2:5" x14ac:dyDescent="0.45">
      <c r="B754" s="1"/>
      <c r="E754" s="45" t="str">
        <f>IFERROR(AVERAGEIFS('Picarro Output'!G:G, 'Picarro Output'!$B:$B, 'Uncalibrated Data'!$C754, 'Picarro Output'!$I:$I, 0, 'Picarro Output'!$J:$J, 1), "")</f>
        <v/>
      </c>
    </row>
    <row r="755" spans="2:5" x14ac:dyDescent="0.45">
      <c r="B755" s="1"/>
      <c r="E755" s="45" t="str">
        <f>IFERROR(AVERAGEIFS('Picarro Output'!G:G, 'Picarro Output'!$B:$B, 'Uncalibrated Data'!$C755, 'Picarro Output'!$I:$I, 0, 'Picarro Output'!$J:$J, 1), "")</f>
        <v/>
      </c>
    </row>
    <row r="756" spans="2:5" x14ac:dyDescent="0.45">
      <c r="B756" s="1"/>
      <c r="E756" s="45" t="str">
        <f>IFERROR(AVERAGEIFS('Picarro Output'!G:G, 'Picarro Output'!$B:$B, 'Uncalibrated Data'!$C756, 'Picarro Output'!$I:$I, 0, 'Picarro Output'!$J:$J, 1), "")</f>
        <v/>
      </c>
    </row>
    <row r="757" spans="2:5" x14ac:dyDescent="0.45">
      <c r="B757" s="1"/>
      <c r="E757" s="45" t="str">
        <f>IFERROR(AVERAGEIFS('Picarro Output'!G:G, 'Picarro Output'!$B:$B, 'Uncalibrated Data'!$C757, 'Picarro Output'!$I:$I, 0, 'Picarro Output'!$J:$J, 1), "")</f>
        <v/>
      </c>
    </row>
    <row r="758" spans="2:5" x14ac:dyDescent="0.45">
      <c r="B758" s="1"/>
      <c r="E758" s="45" t="str">
        <f>IFERROR(AVERAGEIFS('Picarro Output'!G:G, 'Picarro Output'!$B:$B, 'Uncalibrated Data'!$C758, 'Picarro Output'!$I:$I, 0, 'Picarro Output'!$J:$J, 1), "")</f>
        <v/>
      </c>
    </row>
    <row r="759" spans="2:5" x14ac:dyDescent="0.45">
      <c r="B759" s="1"/>
      <c r="E759" s="45" t="str">
        <f>IFERROR(AVERAGEIFS('Picarro Output'!G:G, 'Picarro Output'!$B:$B, 'Uncalibrated Data'!$C759, 'Picarro Output'!$I:$I, 0, 'Picarro Output'!$J:$J, 1), "")</f>
        <v/>
      </c>
    </row>
    <row r="760" spans="2:5" x14ac:dyDescent="0.45">
      <c r="B760" s="1"/>
      <c r="E760" s="45" t="str">
        <f>IFERROR(AVERAGEIFS('Picarro Output'!G:G, 'Picarro Output'!$B:$B, 'Uncalibrated Data'!$C760, 'Picarro Output'!$I:$I, 0, 'Picarro Output'!$J:$J, 1), "")</f>
        <v/>
      </c>
    </row>
    <row r="761" spans="2:5" x14ac:dyDescent="0.45">
      <c r="B761" s="1"/>
      <c r="E761" s="45" t="str">
        <f>IFERROR(AVERAGEIFS('Picarro Output'!G:G, 'Picarro Output'!$B:$B, 'Uncalibrated Data'!$C761, 'Picarro Output'!$I:$I, 0, 'Picarro Output'!$J:$J, 1), "")</f>
        <v/>
      </c>
    </row>
    <row r="762" spans="2:5" x14ac:dyDescent="0.45">
      <c r="B762" s="1"/>
      <c r="E762" s="45" t="str">
        <f>IFERROR(AVERAGEIFS('Picarro Output'!G:G, 'Picarro Output'!$B:$B, 'Uncalibrated Data'!$C762, 'Picarro Output'!$I:$I, 0, 'Picarro Output'!$J:$J, 1), "")</f>
        <v/>
      </c>
    </row>
    <row r="763" spans="2:5" x14ac:dyDescent="0.45">
      <c r="B763" s="1"/>
      <c r="E763" s="45" t="str">
        <f>IFERROR(AVERAGEIFS('Picarro Output'!G:G, 'Picarro Output'!$B:$B, 'Uncalibrated Data'!$C763, 'Picarro Output'!$I:$I, 0, 'Picarro Output'!$J:$J, 1), "")</f>
        <v/>
      </c>
    </row>
    <row r="764" spans="2:5" x14ac:dyDescent="0.45">
      <c r="B764" s="1"/>
      <c r="E764" s="45" t="str">
        <f>IFERROR(AVERAGEIFS('Picarro Output'!G:G, 'Picarro Output'!$B:$B, 'Uncalibrated Data'!$C764, 'Picarro Output'!$I:$I, 0, 'Picarro Output'!$J:$J, 1), "")</f>
        <v/>
      </c>
    </row>
    <row r="765" spans="2:5" x14ac:dyDescent="0.45">
      <c r="B765" s="1"/>
      <c r="E765" s="45" t="str">
        <f>IFERROR(AVERAGEIFS('Picarro Output'!G:G, 'Picarro Output'!$B:$B, 'Uncalibrated Data'!$C765, 'Picarro Output'!$I:$I, 0, 'Picarro Output'!$J:$J, 1), "")</f>
        <v/>
      </c>
    </row>
    <row r="766" spans="2:5" x14ac:dyDescent="0.45">
      <c r="B766" s="1"/>
      <c r="E766" s="45" t="str">
        <f>IFERROR(AVERAGEIFS('Picarro Output'!G:G, 'Picarro Output'!$B:$B, 'Uncalibrated Data'!$C766, 'Picarro Output'!$I:$I, 0, 'Picarro Output'!$J:$J, 1), "")</f>
        <v/>
      </c>
    </row>
    <row r="767" spans="2:5" x14ac:dyDescent="0.45">
      <c r="B767" s="1"/>
      <c r="E767" s="45" t="str">
        <f>IFERROR(AVERAGEIFS('Picarro Output'!G:G, 'Picarro Output'!$B:$B, 'Uncalibrated Data'!$C767, 'Picarro Output'!$I:$I, 0, 'Picarro Output'!$J:$J, 1), "")</f>
        <v/>
      </c>
    </row>
    <row r="768" spans="2:5" x14ac:dyDescent="0.45">
      <c r="B768" s="1"/>
      <c r="E768" s="45" t="str">
        <f>IFERROR(AVERAGEIFS('Picarro Output'!G:G, 'Picarro Output'!$B:$B, 'Uncalibrated Data'!$C768, 'Picarro Output'!$I:$I, 0, 'Picarro Output'!$J:$J, 1), "")</f>
        <v/>
      </c>
    </row>
    <row r="769" spans="2:5" x14ac:dyDescent="0.45">
      <c r="B769" s="1"/>
      <c r="E769" s="45" t="str">
        <f>IFERROR(AVERAGEIFS('Picarro Output'!G:G, 'Picarro Output'!$B:$B, 'Uncalibrated Data'!$C769, 'Picarro Output'!$I:$I, 0, 'Picarro Output'!$J:$J, 1), "")</f>
        <v/>
      </c>
    </row>
    <row r="770" spans="2:5" x14ac:dyDescent="0.45">
      <c r="B770" s="1"/>
      <c r="E770" s="45" t="str">
        <f>IFERROR(AVERAGEIFS('Picarro Output'!G:G, 'Picarro Output'!$B:$B, 'Uncalibrated Data'!$C770, 'Picarro Output'!$I:$I, 0, 'Picarro Output'!$J:$J, 1), "")</f>
        <v/>
      </c>
    </row>
    <row r="771" spans="2:5" x14ac:dyDescent="0.45">
      <c r="B771" s="1"/>
      <c r="E771" s="45" t="str">
        <f>IFERROR(AVERAGEIFS('Picarro Output'!G:G, 'Picarro Output'!$B:$B, 'Uncalibrated Data'!$C771, 'Picarro Output'!$I:$I, 0, 'Picarro Output'!$J:$J, 1), "")</f>
        <v/>
      </c>
    </row>
    <row r="772" spans="2:5" x14ac:dyDescent="0.45">
      <c r="B772" s="1"/>
      <c r="E772" s="45" t="str">
        <f>IFERROR(AVERAGEIFS('Picarro Output'!G:G, 'Picarro Output'!$B:$B, 'Uncalibrated Data'!$C772, 'Picarro Output'!$I:$I, 0, 'Picarro Output'!$J:$J, 1), "")</f>
        <v/>
      </c>
    </row>
    <row r="773" spans="2:5" x14ac:dyDescent="0.45">
      <c r="B773" s="1"/>
      <c r="E773" s="45" t="str">
        <f>IFERROR(AVERAGEIFS('Picarro Output'!G:G, 'Picarro Output'!$B:$B, 'Uncalibrated Data'!$C773, 'Picarro Output'!$I:$I, 0, 'Picarro Output'!$J:$J, 1), "")</f>
        <v/>
      </c>
    </row>
    <row r="774" spans="2:5" x14ac:dyDescent="0.45">
      <c r="B774" s="1"/>
      <c r="E774" s="45" t="str">
        <f>IFERROR(AVERAGEIFS('Picarro Output'!G:G, 'Picarro Output'!$B:$B, 'Uncalibrated Data'!$C774, 'Picarro Output'!$I:$I, 0, 'Picarro Output'!$J:$J, 1), "")</f>
        <v/>
      </c>
    </row>
    <row r="775" spans="2:5" x14ac:dyDescent="0.45">
      <c r="B775" s="1"/>
      <c r="E775" s="45" t="str">
        <f>IFERROR(AVERAGEIFS('Picarro Output'!G:G, 'Picarro Output'!$B:$B, 'Uncalibrated Data'!$C775, 'Picarro Output'!$I:$I, 0, 'Picarro Output'!$J:$J, 1), "")</f>
        <v/>
      </c>
    </row>
    <row r="776" spans="2:5" x14ac:dyDescent="0.45">
      <c r="B776" s="1"/>
      <c r="E776" s="45" t="str">
        <f>IFERROR(AVERAGEIFS('Picarro Output'!G:G, 'Picarro Output'!$B:$B, 'Uncalibrated Data'!$C776, 'Picarro Output'!$I:$I, 0, 'Picarro Output'!$J:$J, 1), "")</f>
        <v/>
      </c>
    </row>
    <row r="777" spans="2:5" x14ac:dyDescent="0.45">
      <c r="B777" s="1"/>
      <c r="E777" s="45" t="str">
        <f>IFERROR(AVERAGEIFS('Picarro Output'!G:G, 'Picarro Output'!$B:$B, 'Uncalibrated Data'!$C777, 'Picarro Output'!$I:$I, 0, 'Picarro Output'!$J:$J, 1), "")</f>
        <v/>
      </c>
    </row>
    <row r="778" spans="2:5" x14ac:dyDescent="0.45">
      <c r="B778" s="1"/>
      <c r="E778" s="45" t="str">
        <f>IFERROR(AVERAGEIFS('Picarro Output'!G:G, 'Picarro Output'!$B:$B, 'Uncalibrated Data'!$C778, 'Picarro Output'!$I:$I, 0, 'Picarro Output'!$J:$J, 1), "")</f>
        <v/>
      </c>
    </row>
    <row r="779" spans="2:5" x14ac:dyDescent="0.45">
      <c r="B779" s="1"/>
      <c r="E779" s="45" t="str">
        <f>IFERROR(AVERAGEIFS('Picarro Output'!G:G, 'Picarro Output'!$B:$B, 'Uncalibrated Data'!$C779, 'Picarro Output'!$I:$I, 0, 'Picarro Output'!$J:$J, 1), "")</f>
        <v/>
      </c>
    </row>
    <row r="780" spans="2:5" x14ac:dyDescent="0.45">
      <c r="B780" s="1"/>
      <c r="E780" s="45" t="str">
        <f>IFERROR(AVERAGEIFS('Picarro Output'!G:G, 'Picarro Output'!$B:$B, 'Uncalibrated Data'!$C780, 'Picarro Output'!$I:$I, 0, 'Picarro Output'!$J:$J, 1), "")</f>
        <v/>
      </c>
    </row>
    <row r="781" spans="2:5" x14ac:dyDescent="0.45">
      <c r="B781" s="1"/>
      <c r="E781" s="45" t="str">
        <f>IFERROR(AVERAGEIFS('Picarro Output'!G:G, 'Picarro Output'!$B:$B, 'Uncalibrated Data'!$C781, 'Picarro Output'!$I:$I, 0, 'Picarro Output'!$J:$J, 1), "")</f>
        <v/>
      </c>
    </row>
    <row r="782" spans="2:5" x14ac:dyDescent="0.45">
      <c r="B782" s="1"/>
      <c r="E782" s="45" t="str">
        <f>IFERROR(AVERAGEIFS('Picarro Output'!G:G, 'Picarro Output'!$B:$B, 'Uncalibrated Data'!$C782, 'Picarro Output'!$I:$I, 0, 'Picarro Output'!$J:$J, 1), "")</f>
        <v/>
      </c>
    </row>
    <row r="783" spans="2:5" x14ac:dyDescent="0.45">
      <c r="B783" s="1"/>
      <c r="E783" s="45" t="str">
        <f>IFERROR(AVERAGEIFS('Picarro Output'!G:G, 'Picarro Output'!$B:$B, 'Uncalibrated Data'!$C783, 'Picarro Output'!$I:$I, 0, 'Picarro Output'!$J:$J, 1), "")</f>
        <v/>
      </c>
    </row>
    <row r="784" spans="2:5" x14ac:dyDescent="0.45">
      <c r="B784" s="1"/>
      <c r="E784" s="45" t="str">
        <f>IFERROR(AVERAGEIFS('Picarro Output'!G:G, 'Picarro Output'!$B:$B, 'Uncalibrated Data'!$C784, 'Picarro Output'!$I:$I, 0, 'Picarro Output'!$J:$J, 1), "")</f>
        <v/>
      </c>
    </row>
    <row r="785" spans="2:5" x14ac:dyDescent="0.45">
      <c r="B785" s="1"/>
      <c r="E785" s="45" t="str">
        <f>IFERROR(AVERAGEIFS('Picarro Output'!G:G, 'Picarro Output'!$B:$B, 'Uncalibrated Data'!$C785, 'Picarro Output'!$I:$I, 0, 'Picarro Output'!$J:$J, 1), "")</f>
        <v/>
      </c>
    </row>
    <row r="786" spans="2:5" x14ac:dyDescent="0.45">
      <c r="B786" s="1"/>
      <c r="E786" s="45" t="str">
        <f>IFERROR(AVERAGEIFS('Picarro Output'!G:G, 'Picarro Output'!$B:$B, 'Uncalibrated Data'!$C786, 'Picarro Output'!$I:$I, 0, 'Picarro Output'!$J:$J, 1), "")</f>
        <v/>
      </c>
    </row>
    <row r="787" spans="2:5" x14ac:dyDescent="0.45">
      <c r="B787" s="1"/>
      <c r="E787" s="45" t="str">
        <f>IFERROR(AVERAGEIFS('Picarro Output'!G:G, 'Picarro Output'!$B:$B, 'Uncalibrated Data'!$C787, 'Picarro Output'!$I:$I, 0, 'Picarro Output'!$J:$J, 1), "")</f>
        <v/>
      </c>
    </row>
    <row r="788" spans="2:5" x14ac:dyDescent="0.45">
      <c r="B788" s="1"/>
      <c r="E788" s="45" t="str">
        <f>IFERROR(AVERAGEIFS('Picarro Output'!G:G, 'Picarro Output'!$B:$B, 'Uncalibrated Data'!$C788, 'Picarro Output'!$I:$I, 0, 'Picarro Output'!$J:$J, 1), "")</f>
        <v/>
      </c>
    </row>
    <row r="789" spans="2:5" x14ac:dyDescent="0.45">
      <c r="B789" s="1"/>
      <c r="E789" s="45" t="str">
        <f>IFERROR(AVERAGEIFS('Picarro Output'!G:G, 'Picarro Output'!$B:$B, 'Uncalibrated Data'!$C789, 'Picarro Output'!$I:$I, 0, 'Picarro Output'!$J:$J, 1), "")</f>
        <v/>
      </c>
    </row>
    <row r="790" spans="2:5" x14ac:dyDescent="0.45">
      <c r="B790" s="1"/>
      <c r="E790" s="45" t="str">
        <f>IFERROR(AVERAGEIFS('Picarro Output'!G:G, 'Picarro Output'!$B:$B, 'Uncalibrated Data'!$C790, 'Picarro Output'!$I:$I, 0, 'Picarro Output'!$J:$J, 1), "")</f>
        <v/>
      </c>
    </row>
    <row r="791" spans="2:5" x14ac:dyDescent="0.45">
      <c r="B791" s="1"/>
      <c r="E791" s="45" t="str">
        <f>IFERROR(AVERAGEIFS('Picarro Output'!G:G, 'Picarro Output'!$B:$B, 'Uncalibrated Data'!$C791, 'Picarro Output'!$I:$I, 0, 'Picarro Output'!$J:$J, 1), "")</f>
        <v/>
      </c>
    </row>
    <row r="792" spans="2:5" x14ac:dyDescent="0.45">
      <c r="B792" s="1"/>
      <c r="E792" s="45" t="str">
        <f>IFERROR(AVERAGEIFS('Picarro Output'!G:G, 'Picarro Output'!$B:$B, 'Uncalibrated Data'!$C792, 'Picarro Output'!$I:$I, 0, 'Picarro Output'!$J:$J, 1), "")</f>
        <v/>
      </c>
    </row>
    <row r="793" spans="2:5" x14ac:dyDescent="0.45">
      <c r="B793" s="1"/>
      <c r="E793" s="45" t="str">
        <f>IFERROR(AVERAGEIFS('Picarro Output'!G:G, 'Picarro Output'!$B:$B, 'Uncalibrated Data'!$C793, 'Picarro Output'!$I:$I, 0, 'Picarro Output'!$J:$J, 1), "")</f>
        <v/>
      </c>
    </row>
    <row r="794" spans="2:5" x14ac:dyDescent="0.45">
      <c r="B794" s="1"/>
      <c r="E794" s="45" t="str">
        <f>IFERROR(AVERAGEIFS('Picarro Output'!G:G, 'Picarro Output'!$B:$B, 'Uncalibrated Data'!$C794, 'Picarro Output'!$I:$I, 0, 'Picarro Output'!$J:$J, 1), "")</f>
        <v/>
      </c>
    </row>
    <row r="795" spans="2:5" x14ac:dyDescent="0.45">
      <c r="B795" s="1"/>
      <c r="E795" s="45" t="str">
        <f>IFERROR(AVERAGEIFS('Picarro Output'!G:G, 'Picarro Output'!$B:$B, 'Uncalibrated Data'!$C795, 'Picarro Output'!$I:$I, 0, 'Picarro Output'!$J:$J, 1), "")</f>
        <v/>
      </c>
    </row>
    <row r="796" spans="2:5" x14ac:dyDescent="0.45">
      <c r="B796" s="1"/>
      <c r="E796" s="45" t="str">
        <f>IFERROR(AVERAGEIFS('Picarro Output'!G:G, 'Picarro Output'!$B:$B, 'Uncalibrated Data'!$C796, 'Picarro Output'!$I:$I, 0, 'Picarro Output'!$J:$J, 1), "")</f>
        <v/>
      </c>
    </row>
    <row r="797" spans="2:5" x14ac:dyDescent="0.45">
      <c r="B797" s="1"/>
      <c r="E797" s="45" t="str">
        <f>IFERROR(AVERAGEIFS('Picarro Output'!G:G, 'Picarro Output'!$B:$B, 'Uncalibrated Data'!$C797, 'Picarro Output'!$I:$I, 0, 'Picarro Output'!$J:$J, 1), "")</f>
        <v/>
      </c>
    </row>
    <row r="798" spans="2:5" x14ac:dyDescent="0.45">
      <c r="B798" s="1"/>
      <c r="E798" s="45" t="str">
        <f>IFERROR(AVERAGEIFS('Picarro Output'!G:G, 'Picarro Output'!$B:$B, 'Uncalibrated Data'!$C798, 'Picarro Output'!$I:$I, 0, 'Picarro Output'!$J:$J, 1), "")</f>
        <v/>
      </c>
    </row>
    <row r="799" spans="2:5" x14ac:dyDescent="0.45">
      <c r="B799" s="1"/>
      <c r="E799" s="45" t="str">
        <f>IFERROR(AVERAGEIFS('Picarro Output'!G:G, 'Picarro Output'!$B:$B, 'Uncalibrated Data'!$C799, 'Picarro Output'!$I:$I, 0, 'Picarro Output'!$J:$J, 1), "")</f>
        <v/>
      </c>
    </row>
    <row r="800" spans="2:5" x14ac:dyDescent="0.45">
      <c r="B800" s="1"/>
      <c r="E800" s="45" t="str">
        <f>IFERROR(AVERAGEIFS('Picarro Output'!G:G, 'Picarro Output'!$B:$B, 'Uncalibrated Data'!$C800, 'Picarro Output'!$I:$I, 0, 'Picarro Output'!$J:$J, 1), "")</f>
        <v/>
      </c>
    </row>
    <row r="801" spans="2:5" x14ac:dyDescent="0.45">
      <c r="B801" s="1"/>
      <c r="E801" s="45" t="str">
        <f>IFERROR(AVERAGEIFS('Picarro Output'!G:G, 'Picarro Output'!$B:$B, 'Uncalibrated Data'!$C801, 'Picarro Output'!$I:$I, 0, 'Picarro Output'!$J:$J, 1), "")</f>
        <v/>
      </c>
    </row>
    <row r="802" spans="2:5" x14ac:dyDescent="0.45">
      <c r="B802" s="1"/>
      <c r="E802" s="45" t="str">
        <f>IFERROR(AVERAGEIFS('Picarro Output'!G:G, 'Picarro Output'!$B:$B, 'Uncalibrated Data'!$C802, 'Picarro Output'!$I:$I, 0, 'Picarro Output'!$J:$J, 1), "")</f>
        <v/>
      </c>
    </row>
    <row r="803" spans="2:5" x14ac:dyDescent="0.45">
      <c r="B803" s="1"/>
      <c r="E803" s="45" t="str">
        <f>IFERROR(AVERAGEIFS('Picarro Output'!G:G, 'Picarro Output'!$B:$B, 'Uncalibrated Data'!$C803, 'Picarro Output'!$I:$I, 0, 'Picarro Output'!$J:$J, 1), "")</f>
        <v/>
      </c>
    </row>
    <row r="804" spans="2:5" x14ac:dyDescent="0.45">
      <c r="B804" s="1"/>
      <c r="E804" s="45" t="str">
        <f>IFERROR(AVERAGEIFS('Picarro Output'!G:G, 'Picarro Output'!$B:$B, 'Uncalibrated Data'!$C804, 'Picarro Output'!$I:$I, 0, 'Picarro Output'!$J:$J, 1), "")</f>
        <v/>
      </c>
    </row>
    <row r="805" spans="2:5" x14ac:dyDescent="0.45">
      <c r="B805" s="1"/>
      <c r="E805" s="45" t="str">
        <f>IFERROR(AVERAGEIFS('Picarro Output'!G:G, 'Picarro Output'!$B:$B, 'Uncalibrated Data'!$C805, 'Picarro Output'!$I:$I, 0, 'Picarro Output'!$J:$J, 1), "")</f>
        <v/>
      </c>
    </row>
    <row r="806" spans="2:5" x14ac:dyDescent="0.45">
      <c r="B806" s="1"/>
      <c r="E806" s="45" t="str">
        <f>IFERROR(AVERAGEIFS('Picarro Output'!G:G, 'Picarro Output'!$B:$B, 'Uncalibrated Data'!$C806, 'Picarro Output'!$I:$I, 0, 'Picarro Output'!$J:$J, 1), "")</f>
        <v/>
      </c>
    </row>
    <row r="807" spans="2:5" x14ac:dyDescent="0.45">
      <c r="B807" s="1"/>
      <c r="E807" s="45" t="str">
        <f>IFERROR(AVERAGEIFS('Picarro Output'!G:G, 'Picarro Output'!$B:$B, 'Uncalibrated Data'!$C807, 'Picarro Output'!$I:$I, 0, 'Picarro Output'!$J:$J, 1), "")</f>
        <v/>
      </c>
    </row>
    <row r="808" spans="2:5" x14ac:dyDescent="0.45">
      <c r="B808" s="1"/>
      <c r="E808" s="45" t="str">
        <f>IFERROR(AVERAGEIFS('Picarro Output'!G:G, 'Picarro Output'!$B:$B, 'Uncalibrated Data'!$C808, 'Picarro Output'!$I:$I, 0, 'Picarro Output'!$J:$J, 1), "")</f>
        <v/>
      </c>
    </row>
    <row r="809" spans="2:5" x14ac:dyDescent="0.45">
      <c r="B809" s="1"/>
      <c r="E809" s="45" t="str">
        <f>IFERROR(AVERAGEIFS('Picarro Output'!G:G, 'Picarro Output'!$B:$B, 'Uncalibrated Data'!$C809, 'Picarro Output'!$I:$I, 0, 'Picarro Output'!$J:$J, 1), "")</f>
        <v/>
      </c>
    </row>
    <row r="810" spans="2:5" x14ac:dyDescent="0.45">
      <c r="B810" s="1"/>
      <c r="E810" s="45" t="str">
        <f>IFERROR(AVERAGEIFS('Picarro Output'!G:G, 'Picarro Output'!$B:$B, 'Uncalibrated Data'!$C810, 'Picarro Output'!$I:$I, 0, 'Picarro Output'!$J:$J, 1), "")</f>
        <v/>
      </c>
    </row>
    <row r="811" spans="2:5" x14ac:dyDescent="0.45">
      <c r="B811" s="1"/>
      <c r="E811" s="45" t="str">
        <f>IFERROR(AVERAGEIFS('Picarro Output'!G:G, 'Picarro Output'!$B:$B, 'Uncalibrated Data'!$C811, 'Picarro Output'!$I:$I, 0, 'Picarro Output'!$J:$J, 1), "")</f>
        <v/>
      </c>
    </row>
    <row r="812" spans="2:5" x14ac:dyDescent="0.45">
      <c r="B812" s="1"/>
      <c r="E812" s="45" t="str">
        <f>IFERROR(AVERAGEIFS('Picarro Output'!G:G, 'Picarro Output'!$B:$B, 'Uncalibrated Data'!$C812, 'Picarro Output'!$I:$I, 0, 'Picarro Output'!$J:$J, 1), "")</f>
        <v/>
      </c>
    </row>
    <row r="813" spans="2:5" x14ac:dyDescent="0.45">
      <c r="B813" s="1"/>
      <c r="E813" s="45" t="str">
        <f>IFERROR(AVERAGEIFS('Picarro Output'!G:G, 'Picarro Output'!$B:$B, 'Uncalibrated Data'!$C813, 'Picarro Output'!$I:$I, 0, 'Picarro Output'!$J:$J, 1), "")</f>
        <v/>
      </c>
    </row>
    <row r="814" spans="2:5" x14ac:dyDescent="0.45">
      <c r="B814" s="1"/>
      <c r="E814" s="45" t="str">
        <f>IFERROR(AVERAGEIFS('Picarro Output'!G:G, 'Picarro Output'!$B:$B, 'Uncalibrated Data'!$C814, 'Picarro Output'!$I:$I, 0, 'Picarro Output'!$J:$J, 1), "")</f>
        <v/>
      </c>
    </row>
    <row r="815" spans="2:5" x14ac:dyDescent="0.45">
      <c r="B815" s="1"/>
      <c r="E815" s="45" t="str">
        <f>IFERROR(AVERAGEIFS('Picarro Output'!G:G, 'Picarro Output'!$B:$B, 'Uncalibrated Data'!$C815, 'Picarro Output'!$I:$I, 0, 'Picarro Output'!$J:$J, 1), "")</f>
        <v/>
      </c>
    </row>
    <row r="816" spans="2:5" x14ac:dyDescent="0.45">
      <c r="B816" s="1"/>
      <c r="E816" s="45" t="str">
        <f>IFERROR(AVERAGEIFS('Picarro Output'!G:G, 'Picarro Output'!$B:$B, 'Uncalibrated Data'!$C816, 'Picarro Output'!$I:$I, 0, 'Picarro Output'!$J:$J, 1), "")</f>
        <v/>
      </c>
    </row>
    <row r="817" spans="2:5" x14ac:dyDescent="0.45">
      <c r="B817" s="1"/>
      <c r="E817" s="45" t="str">
        <f>IFERROR(AVERAGEIFS('Picarro Output'!G:G, 'Picarro Output'!$B:$B, 'Uncalibrated Data'!$C817, 'Picarro Output'!$I:$I, 0, 'Picarro Output'!$J:$J, 1), "")</f>
        <v/>
      </c>
    </row>
    <row r="818" spans="2:5" x14ac:dyDescent="0.45">
      <c r="B818" s="1"/>
      <c r="E818" s="45" t="str">
        <f>IFERROR(AVERAGEIFS('Picarro Output'!G:G, 'Picarro Output'!$B:$B, 'Uncalibrated Data'!$C818, 'Picarro Output'!$I:$I, 0, 'Picarro Output'!$J:$J, 1), "")</f>
        <v/>
      </c>
    </row>
    <row r="819" spans="2:5" x14ac:dyDescent="0.45">
      <c r="B819" s="1"/>
      <c r="E819" s="45" t="str">
        <f>IFERROR(AVERAGEIFS('Picarro Output'!G:G, 'Picarro Output'!$B:$B, 'Uncalibrated Data'!$C819, 'Picarro Output'!$I:$I, 0, 'Picarro Output'!$J:$J, 1), "")</f>
        <v/>
      </c>
    </row>
    <row r="820" spans="2:5" x14ac:dyDescent="0.45">
      <c r="B820" s="1"/>
      <c r="E820" s="45" t="str">
        <f>IFERROR(AVERAGEIFS('Picarro Output'!G:G, 'Picarro Output'!$B:$B, 'Uncalibrated Data'!$C820, 'Picarro Output'!$I:$I, 0, 'Picarro Output'!$J:$J, 1), "")</f>
        <v/>
      </c>
    </row>
    <row r="821" spans="2:5" x14ac:dyDescent="0.45">
      <c r="B821" s="1"/>
      <c r="E821" s="45" t="str">
        <f>IFERROR(AVERAGEIFS('Picarro Output'!G:G, 'Picarro Output'!$B:$B, 'Uncalibrated Data'!$C821, 'Picarro Output'!$I:$I, 0, 'Picarro Output'!$J:$J, 1), "")</f>
        <v/>
      </c>
    </row>
    <row r="822" spans="2:5" x14ac:dyDescent="0.45">
      <c r="B822" s="1"/>
      <c r="E822" s="45" t="str">
        <f>IFERROR(AVERAGEIFS('Picarro Output'!G:G, 'Picarro Output'!$B:$B, 'Uncalibrated Data'!$C822, 'Picarro Output'!$I:$I, 0, 'Picarro Output'!$J:$J, 1), "")</f>
        <v/>
      </c>
    </row>
    <row r="823" spans="2:5" x14ac:dyDescent="0.45">
      <c r="B823" s="1"/>
      <c r="E823" s="45" t="str">
        <f>IFERROR(AVERAGEIFS('Picarro Output'!G:G, 'Picarro Output'!$B:$B, 'Uncalibrated Data'!$C823, 'Picarro Output'!$I:$I, 0, 'Picarro Output'!$J:$J, 1), "")</f>
        <v/>
      </c>
    </row>
    <row r="824" spans="2:5" x14ac:dyDescent="0.45">
      <c r="B824" s="1"/>
      <c r="E824" s="45" t="str">
        <f>IFERROR(AVERAGEIFS('Picarro Output'!G:G, 'Picarro Output'!$B:$B, 'Uncalibrated Data'!$C824, 'Picarro Output'!$I:$I, 0, 'Picarro Output'!$J:$J, 1), "")</f>
        <v/>
      </c>
    </row>
    <row r="825" spans="2:5" x14ac:dyDescent="0.45">
      <c r="B825" s="1"/>
      <c r="E825" s="45" t="str">
        <f>IFERROR(AVERAGEIFS('Picarro Output'!G:G, 'Picarro Output'!$B:$B, 'Uncalibrated Data'!$C825, 'Picarro Output'!$I:$I, 0, 'Picarro Output'!$J:$J, 1), "")</f>
        <v/>
      </c>
    </row>
    <row r="826" spans="2:5" x14ac:dyDescent="0.45">
      <c r="B826" s="1"/>
      <c r="E826" s="45" t="str">
        <f>IFERROR(AVERAGEIFS('Picarro Output'!G:G, 'Picarro Output'!$B:$B, 'Uncalibrated Data'!$C826, 'Picarro Output'!$I:$I, 0, 'Picarro Output'!$J:$J, 1), "")</f>
        <v/>
      </c>
    </row>
    <row r="827" spans="2:5" x14ac:dyDescent="0.45">
      <c r="B827" s="1"/>
      <c r="E827" s="45" t="str">
        <f>IFERROR(AVERAGEIFS('Picarro Output'!G:G, 'Picarro Output'!$B:$B, 'Uncalibrated Data'!$C827, 'Picarro Output'!$I:$I, 0, 'Picarro Output'!$J:$J, 1), "")</f>
        <v/>
      </c>
    </row>
    <row r="828" spans="2:5" x14ac:dyDescent="0.45">
      <c r="B828" s="1"/>
      <c r="E828" s="45" t="str">
        <f>IFERROR(AVERAGEIFS('Picarro Output'!G:G, 'Picarro Output'!$B:$B, 'Uncalibrated Data'!$C828, 'Picarro Output'!$I:$I, 0, 'Picarro Output'!$J:$J, 1), "")</f>
        <v/>
      </c>
    </row>
    <row r="829" spans="2:5" x14ac:dyDescent="0.45">
      <c r="B829" s="1"/>
      <c r="E829" s="45" t="str">
        <f>IFERROR(AVERAGEIFS('Picarro Output'!G:G, 'Picarro Output'!$B:$B, 'Uncalibrated Data'!$C829, 'Picarro Output'!$I:$I, 0, 'Picarro Output'!$J:$J, 1), "")</f>
        <v/>
      </c>
    </row>
    <row r="830" spans="2:5" x14ac:dyDescent="0.45">
      <c r="B830" s="1"/>
      <c r="E830" s="45" t="str">
        <f>IFERROR(AVERAGEIFS('Picarro Output'!G:G, 'Picarro Output'!$B:$B, 'Uncalibrated Data'!$C830, 'Picarro Output'!$I:$I, 0, 'Picarro Output'!$J:$J, 1), "")</f>
        <v/>
      </c>
    </row>
    <row r="831" spans="2:5" x14ac:dyDescent="0.45">
      <c r="B831" s="1"/>
      <c r="E831" s="45" t="str">
        <f>IFERROR(AVERAGEIFS('Picarro Output'!G:G, 'Picarro Output'!$B:$B, 'Uncalibrated Data'!$C831, 'Picarro Output'!$I:$I, 0, 'Picarro Output'!$J:$J, 1), "")</f>
        <v/>
      </c>
    </row>
    <row r="832" spans="2:5" x14ac:dyDescent="0.45">
      <c r="B832" s="1"/>
      <c r="E832" s="45" t="str">
        <f>IFERROR(AVERAGEIFS('Picarro Output'!G:G, 'Picarro Output'!$B:$B, 'Uncalibrated Data'!$C832, 'Picarro Output'!$I:$I, 0, 'Picarro Output'!$J:$J, 1), "")</f>
        <v/>
      </c>
    </row>
    <row r="833" spans="2:5" x14ac:dyDescent="0.45">
      <c r="B833" s="1"/>
      <c r="E833" s="45" t="str">
        <f>IFERROR(AVERAGEIFS('Picarro Output'!G:G, 'Picarro Output'!$B:$B, 'Uncalibrated Data'!$C833, 'Picarro Output'!$I:$I, 0, 'Picarro Output'!$J:$J, 1), "")</f>
        <v/>
      </c>
    </row>
    <row r="834" spans="2:5" x14ac:dyDescent="0.45">
      <c r="B834" s="1"/>
      <c r="E834" s="45" t="str">
        <f>IFERROR(AVERAGEIFS('Picarro Output'!G:G, 'Picarro Output'!$B:$B, 'Uncalibrated Data'!$C834, 'Picarro Output'!$I:$I, 0, 'Picarro Output'!$J:$J, 1), "")</f>
        <v/>
      </c>
    </row>
    <row r="835" spans="2:5" x14ac:dyDescent="0.45">
      <c r="B835" s="1"/>
      <c r="E835" s="45" t="str">
        <f>IFERROR(AVERAGEIFS('Picarro Output'!G:G, 'Picarro Output'!$B:$B, 'Uncalibrated Data'!$C835, 'Picarro Output'!$I:$I, 0, 'Picarro Output'!$J:$J, 1), "")</f>
        <v/>
      </c>
    </row>
    <row r="836" spans="2:5" x14ac:dyDescent="0.45">
      <c r="B836" s="1"/>
      <c r="E836" s="45" t="str">
        <f>IFERROR(AVERAGEIFS('Picarro Output'!G:G, 'Picarro Output'!$B:$B, 'Uncalibrated Data'!$C836, 'Picarro Output'!$I:$I, 0, 'Picarro Output'!$J:$J, 1), "")</f>
        <v/>
      </c>
    </row>
    <row r="837" spans="2:5" x14ac:dyDescent="0.45">
      <c r="B837" s="1"/>
      <c r="E837" s="45" t="str">
        <f>IFERROR(AVERAGEIFS('Picarro Output'!G:G, 'Picarro Output'!$B:$B, 'Uncalibrated Data'!$C837, 'Picarro Output'!$I:$I, 0, 'Picarro Output'!$J:$J, 1), "")</f>
        <v/>
      </c>
    </row>
    <row r="838" spans="2:5" x14ac:dyDescent="0.45">
      <c r="B838" s="1"/>
      <c r="E838" s="45" t="str">
        <f>IFERROR(AVERAGEIFS('Picarro Output'!G:G, 'Picarro Output'!$B:$B, 'Uncalibrated Data'!$C838, 'Picarro Output'!$I:$I, 0, 'Picarro Output'!$J:$J, 1), "")</f>
        <v/>
      </c>
    </row>
    <row r="839" spans="2:5" x14ac:dyDescent="0.45">
      <c r="B839" s="1"/>
      <c r="E839" s="45" t="str">
        <f>IFERROR(AVERAGEIFS('Picarro Output'!G:G, 'Picarro Output'!$B:$B, 'Uncalibrated Data'!$C839, 'Picarro Output'!$I:$I, 0, 'Picarro Output'!$J:$J, 1), "")</f>
        <v/>
      </c>
    </row>
    <row r="840" spans="2:5" x14ac:dyDescent="0.45">
      <c r="B840" s="1"/>
      <c r="E840" s="45" t="str">
        <f>IFERROR(AVERAGEIFS('Picarro Output'!G:G, 'Picarro Output'!$B:$B, 'Uncalibrated Data'!$C840, 'Picarro Output'!$I:$I, 0, 'Picarro Output'!$J:$J, 1), "")</f>
        <v/>
      </c>
    </row>
    <row r="841" spans="2:5" x14ac:dyDescent="0.45">
      <c r="B841" s="1"/>
      <c r="E841" s="45" t="str">
        <f>IFERROR(AVERAGEIFS('Picarro Output'!G:G, 'Picarro Output'!$B:$B, 'Uncalibrated Data'!$C841, 'Picarro Output'!$I:$I, 0, 'Picarro Output'!$J:$J, 1), "")</f>
        <v/>
      </c>
    </row>
    <row r="842" spans="2:5" x14ac:dyDescent="0.45">
      <c r="B842" s="1"/>
      <c r="E842" s="45" t="str">
        <f>IFERROR(AVERAGEIFS('Picarro Output'!G:G, 'Picarro Output'!$B:$B, 'Uncalibrated Data'!$C842, 'Picarro Output'!$I:$I, 0, 'Picarro Output'!$J:$J, 1), "")</f>
        <v/>
      </c>
    </row>
    <row r="843" spans="2:5" x14ac:dyDescent="0.45">
      <c r="B843" s="1"/>
      <c r="E843" s="45" t="str">
        <f>IFERROR(AVERAGEIFS('Picarro Output'!G:G, 'Picarro Output'!$B:$B, 'Uncalibrated Data'!$C843, 'Picarro Output'!$I:$I, 0, 'Picarro Output'!$J:$J, 1), "")</f>
        <v/>
      </c>
    </row>
    <row r="844" spans="2:5" x14ac:dyDescent="0.45">
      <c r="B844" s="1"/>
      <c r="E844" s="45" t="str">
        <f>IFERROR(AVERAGEIFS('Picarro Output'!G:G, 'Picarro Output'!$B:$B, 'Uncalibrated Data'!$C844, 'Picarro Output'!$I:$I, 0, 'Picarro Output'!$J:$J, 1), "")</f>
        <v/>
      </c>
    </row>
    <row r="845" spans="2:5" x14ac:dyDescent="0.45">
      <c r="B845" s="1"/>
      <c r="E845" s="45" t="str">
        <f>IFERROR(AVERAGEIFS('Picarro Output'!G:G, 'Picarro Output'!$B:$B, 'Uncalibrated Data'!$C845, 'Picarro Output'!$I:$I, 0, 'Picarro Output'!$J:$J, 1), "")</f>
        <v/>
      </c>
    </row>
    <row r="846" spans="2:5" x14ac:dyDescent="0.45">
      <c r="B846" s="1"/>
      <c r="E846" s="45" t="str">
        <f>IFERROR(AVERAGEIFS('Picarro Output'!G:G, 'Picarro Output'!$B:$B, 'Uncalibrated Data'!$C846, 'Picarro Output'!$I:$I, 0, 'Picarro Output'!$J:$J, 1), "")</f>
        <v/>
      </c>
    </row>
    <row r="847" spans="2:5" x14ac:dyDescent="0.45">
      <c r="B847" s="1"/>
      <c r="E847" s="45" t="str">
        <f>IFERROR(AVERAGEIFS('Picarro Output'!G:G, 'Picarro Output'!$B:$B, 'Uncalibrated Data'!$C847, 'Picarro Output'!$I:$I, 0, 'Picarro Output'!$J:$J, 1), "")</f>
        <v/>
      </c>
    </row>
    <row r="848" spans="2:5" x14ac:dyDescent="0.45">
      <c r="B848" s="1"/>
      <c r="E848" s="45" t="str">
        <f>IFERROR(AVERAGEIFS('Picarro Output'!G:G, 'Picarro Output'!$B:$B, 'Uncalibrated Data'!$C848, 'Picarro Output'!$I:$I, 0, 'Picarro Output'!$J:$J, 1), "")</f>
        <v/>
      </c>
    </row>
    <row r="849" spans="2:5" x14ac:dyDescent="0.45">
      <c r="B849" s="1"/>
      <c r="E849" s="45" t="str">
        <f>IFERROR(AVERAGEIFS('Picarro Output'!G:G, 'Picarro Output'!$B:$B, 'Uncalibrated Data'!$C849, 'Picarro Output'!$I:$I, 0, 'Picarro Output'!$J:$J, 1), "")</f>
        <v/>
      </c>
    </row>
    <row r="850" spans="2:5" x14ac:dyDescent="0.45">
      <c r="B850" s="1"/>
      <c r="E850" s="45" t="str">
        <f>IFERROR(AVERAGEIFS('Picarro Output'!G:G, 'Picarro Output'!$B:$B, 'Uncalibrated Data'!$C850, 'Picarro Output'!$I:$I, 0, 'Picarro Output'!$J:$J, 1), "")</f>
        <v/>
      </c>
    </row>
    <row r="851" spans="2:5" x14ac:dyDescent="0.45">
      <c r="B851" s="1"/>
      <c r="E851" s="45" t="str">
        <f>IFERROR(AVERAGEIFS('Picarro Output'!G:G, 'Picarro Output'!$B:$B, 'Uncalibrated Data'!$C851, 'Picarro Output'!$I:$I, 0, 'Picarro Output'!$J:$J, 1), "")</f>
        <v/>
      </c>
    </row>
    <row r="852" spans="2:5" x14ac:dyDescent="0.45">
      <c r="B852" s="1"/>
      <c r="E852" s="45" t="str">
        <f>IFERROR(AVERAGEIFS('Picarro Output'!G:G, 'Picarro Output'!$B:$B, 'Uncalibrated Data'!$C852, 'Picarro Output'!$I:$I, 0, 'Picarro Output'!$J:$J, 1), "")</f>
        <v/>
      </c>
    </row>
    <row r="853" spans="2:5" x14ac:dyDescent="0.45">
      <c r="B853" s="1"/>
      <c r="E853" s="45" t="str">
        <f>IFERROR(AVERAGEIFS('Picarro Output'!G:G, 'Picarro Output'!$B:$B, 'Uncalibrated Data'!$C853, 'Picarro Output'!$I:$I, 0, 'Picarro Output'!$J:$J, 1), "")</f>
        <v/>
      </c>
    </row>
    <row r="854" spans="2:5" x14ac:dyDescent="0.45">
      <c r="B854" s="1"/>
      <c r="E854" s="45" t="str">
        <f>IFERROR(AVERAGEIFS('Picarro Output'!G:G, 'Picarro Output'!$B:$B, 'Uncalibrated Data'!$C854, 'Picarro Output'!$I:$I, 0, 'Picarro Output'!$J:$J, 1), "")</f>
        <v/>
      </c>
    </row>
    <row r="855" spans="2:5" x14ac:dyDescent="0.45">
      <c r="B855" s="1"/>
      <c r="E855" s="45" t="str">
        <f>IFERROR(AVERAGEIFS('Picarro Output'!G:G, 'Picarro Output'!$B:$B, 'Uncalibrated Data'!$C855, 'Picarro Output'!$I:$I, 0, 'Picarro Output'!$J:$J, 1), "")</f>
        <v/>
      </c>
    </row>
    <row r="856" spans="2:5" x14ac:dyDescent="0.45">
      <c r="B856" s="1"/>
      <c r="E856" s="45" t="str">
        <f>IFERROR(AVERAGEIFS('Picarro Output'!G:G, 'Picarro Output'!$B:$B, 'Uncalibrated Data'!$C856, 'Picarro Output'!$I:$I, 0, 'Picarro Output'!$J:$J, 1), "")</f>
        <v/>
      </c>
    </row>
    <row r="857" spans="2:5" x14ac:dyDescent="0.45">
      <c r="B857" s="1"/>
      <c r="E857" s="45" t="str">
        <f>IFERROR(AVERAGEIFS('Picarro Output'!G:G, 'Picarro Output'!$B:$B, 'Uncalibrated Data'!$C857, 'Picarro Output'!$I:$I, 0, 'Picarro Output'!$J:$J, 1), "")</f>
        <v/>
      </c>
    </row>
    <row r="858" spans="2:5" x14ac:dyDescent="0.45">
      <c r="B858" s="1"/>
      <c r="E858" s="45" t="str">
        <f>IFERROR(AVERAGEIFS('Picarro Output'!G:G, 'Picarro Output'!$B:$B, 'Uncalibrated Data'!$C858, 'Picarro Output'!$I:$I, 0, 'Picarro Output'!$J:$J, 1), "")</f>
        <v/>
      </c>
    </row>
    <row r="859" spans="2:5" x14ac:dyDescent="0.45">
      <c r="B859" s="1"/>
      <c r="E859" s="45" t="str">
        <f>IFERROR(AVERAGEIFS('Picarro Output'!G:G, 'Picarro Output'!$B:$B, 'Uncalibrated Data'!$C859, 'Picarro Output'!$I:$I, 0, 'Picarro Output'!$J:$J, 1), "")</f>
        <v/>
      </c>
    </row>
    <row r="860" spans="2:5" x14ac:dyDescent="0.45">
      <c r="B860" s="1"/>
      <c r="E860" s="45" t="str">
        <f>IFERROR(AVERAGEIFS('Picarro Output'!G:G, 'Picarro Output'!$B:$B, 'Uncalibrated Data'!$C860, 'Picarro Output'!$I:$I, 0, 'Picarro Output'!$J:$J, 1), "")</f>
        <v/>
      </c>
    </row>
    <row r="861" spans="2:5" x14ac:dyDescent="0.45">
      <c r="B861" s="1"/>
      <c r="E861" s="45" t="str">
        <f>IFERROR(AVERAGEIFS('Picarro Output'!G:G, 'Picarro Output'!$B:$B, 'Uncalibrated Data'!$C861, 'Picarro Output'!$I:$I, 0, 'Picarro Output'!$J:$J, 1), "")</f>
        <v/>
      </c>
    </row>
    <row r="862" spans="2:5" x14ac:dyDescent="0.45">
      <c r="B862" s="1"/>
      <c r="E862" s="45" t="str">
        <f>IFERROR(AVERAGEIFS('Picarro Output'!G:G, 'Picarro Output'!$B:$B, 'Uncalibrated Data'!$C862, 'Picarro Output'!$I:$I, 0, 'Picarro Output'!$J:$J, 1), "")</f>
        <v/>
      </c>
    </row>
    <row r="863" spans="2:5" x14ac:dyDescent="0.45">
      <c r="B863" s="1"/>
      <c r="E863" s="45" t="str">
        <f>IFERROR(AVERAGEIFS('Picarro Output'!G:G, 'Picarro Output'!$B:$B, 'Uncalibrated Data'!$C863, 'Picarro Output'!$I:$I, 0, 'Picarro Output'!$J:$J, 1), "")</f>
        <v/>
      </c>
    </row>
    <row r="864" spans="2:5" x14ac:dyDescent="0.45">
      <c r="B864" s="1"/>
      <c r="E864" s="45" t="str">
        <f>IFERROR(AVERAGEIFS('Picarro Output'!G:G, 'Picarro Output'!$B:$B, 'Uncalibrated Data'!$C864, 'Picarro Output'!$I:$I, 0, 'Picarro Output'!$J:$J, 1), "")</f>
        <v/>
      </c>
    </row>
    <row r="865" spans="2:5" x14ac:dyDescent="0.45">
      <c r="B865" s="1"/>
      <c r="E865" s="45" t="str">
        <f>IFERROR(AVERAGEIFS('Picarro Output'!G:G, 'Picarro Output'!$B:$B, 'Uncalibrated Data'!$C865, 'Picarro Output'!$I:$I, 0, 'Picarro Output'!$J:$J, 1), "")</f>
        <v/>
      </c>
    </row>
    <row r="866" spans="2:5" x14ac:dyDescent="0.45">
      <c r="B866" s="1"/>
      <c r="E866" s="45" t="str">
        <f>IFERROR(AVERAGEIFS('Picarro Output'!G:G, 'Picarro Output'!$B:$B, 'Uncalibrated Data'!$C866, 'Picarro Output'!$I:$I, 0, 'Picarro Output'!$J:$J, 1), "")</f>
        <v/>
      </c>
    </row>
    <row r="867" spans="2:5" x14ac:dyDescent="0.45">
      <c r="B867" s="1"/>
      <c r="E867" s="45" t="str">
        <f>IFERROR(AVERAGEIFS('Picarro Output'!G:G, 'Picarro Output'!$B:$B, 'Uncalibrated Data'!$C867, 'Picarro Output'!$I:$I, 0, 'Picarro Output'!$J:$J, 1), "")</f>
        <v/>
      </c>
    </row>
    <row r="868" spans="2:5" x14ac:dyDescent="0.45">
      <c r="B868" s="1"/>
      <c r="E868" s="45" t="str">
        <f>IFERROR(AVERAGEIFS('Picarro Output'!G:G, 'Picarro Output'!$B:$B, 'Uncalibrated Data'!$C868, 'Picarro Output'!$I:$I, 0, 'Picarro Output'!$J:$J, 1), "")</f>
        <v/>
      </c>
    </row>
    <row r="869" spans="2:5" x14ac:dyDescent="0.45">
      <c r="B869" s="1"/>
      <c r="E869" s="45" t="str">
        <f>IFERROR(AVERAGEIFS('Picarro Output'!G:G, 'Picarro Output'!$B:$B, 'Uncalibrated Data'!$C869, 'Picarro Output'!$I:$I, 0, 'Picarro Output'!$J:$J, 1), "")</f>
        <v/>
      </c>
    </row>
    <row r="870" spans="2:5" x14ac:dyDescent="0.45">
      <c r="B870" s="1"/>
      <c r="E870" s="45" t="str">
        <f>IFERROR(AVERAGEIFS('Picarro Output'!G:G, 'Picarro Output'!$B:$B, 'Uncalibrated Data'!$C870, 'Picarro Output'!$I:$I, 0, 'Picarro Output'!$J:$J, 1), "")</f>
        <v/>
      </c>
    </row>
    <row r="871" spans="2:5" x14ac:dyDescent="0.45">
      <c r="B871" s="1"/>
      <c r="E871" s="45" t="str">
        <f>IFERROR(AVERAGEIFS('Picarro Output'!G:G, 'Picarro Output'!$B:$B, 'Uncalibrated Data'!$C871, 'Picarro Output'!$I:$I, 0, 'Picarro Output'!$J:$J, 1), "")</f>
        <v/>
      </c>
    </row>
    <row r="872" spans="2:5" x14ac:dyDescent="0.45">
      <c r="B872" s="1"/>
      <c r="E872" s="45" t="str">
        <f>IFERROR(AVERAGEIFS('Picarro Output'!G:G, 'Picarro Output'!$B:$B, 'Uncalibrated Data'!$C872, 'Picarro Output'!$I:$I, 0, 'Picarro Output'!$J:$J, 1), "")</f>
        <v/>
      </c>
    </row>
    <row r="873" spans="2:5" x14ac:dyDescent="0.45">
      <c r="B873" s="1"/>
      <c r="E873" s="45" t="str">
        <f>IFERROR(AVERAGEIFS('Picarro Output'!G:G, 'Picarro Output'!$B:$B, 'Uncalibrated Data'!$C873, 'Picarro Output'!$I:$I, 0, 'Picarro Output'!$J:$J, 1), "")</f>
        <v/>
      </c>
    </row>
    <row r="874" spans="2:5" x14ac:dyDescent="0.45">
      <c r="B874" s="1"/>
      <c r="E874" s="45" t="str">
        <f>IFERROR(AVERAGEIFS('Picarro Output'!G:G, 'Picarro Output'!$B:$B, 'Uncalibrated Data'!$C874, 'Picarro Output'!$I:$I, 0, 'Picarro Output'!$J:$J, 1), "")</f>
        <v/>
      </c>
    </row>
    <row r="875" spans="2:5" x14ac:dyDescent="0.45">
      <c r="B875" s="1"/>
      <c r="E875" s="45" t="str">
        <f>IFERROR(AVERAGEIFS('Picarro Output'!G:G, 'Picarro Output'!$B:$B, 'Uncalibrated Data'!$C875, 'Picarro Output'!$I:$I, 0, 'Picarro Output'!$J:$J, 1), "")</f>
        <v/>
      </c>
    </row>
    <row r="876" spans="2:5" x14ac:dyDescent="0.45">
      <c r="B876" s="1"/>
      <c r="E876" s="45" t="str">
        <f>IFERROR(AVERAGEIFS('Picarro Output'!G:G, 'Picarro Output'!$B:$B, 'Uncalibrated Data'!$C876, 'Picarro Output'!$I:$I, 0, 'Picarro Output'!$J:$J, 1), "")</f>
        <v/>
      </c>
    </row>
    <row r="877" spans="2:5" x14ac:dyDescent="0.45">
      <c r="B877" s="1"/>
      <c r="E877" s="45" t="str">
        <f>IFERROR(AVERAGEIFS('Picarro Output'!G:G, 'Picarro Output'!$B:$B, 'Uncalibrated Data'!$C877, 'Picarro Output'!$I:$I, 0, 'Picarro Output'!$J:$J, 1), "")</f>
        <v/>
      </c>
    </row>
    <row r="878" spans="2:5" x14ac:dyDescent="0.45">
      <c r="B878" s="1"/>
      <c r="E878" s="45" t="str">
        <f>IFERROR(AVERAGEIFS('Picarro Output'!G:G, 'Picarro Output'!$B:$B, 'Uncalibrated Data'!$C878, 'Picarro Output'!$I:$I, 0, 'Picarro Output'!$J:$J, 1), "")</f>
        <v/>
      </c>
    </row>
    <row r="879" spans="2:5" x14ac:dyDescent="0.45">
      <c r="B879" s="1"/>
      <c r="E879" s="45" t="str">
        <f>IFERROR(AVERAGEIFS('Picarro Output'!G:G, 'Picarro Output'!$B:$B, 'Uncalibrated Data'!$C879, 'Picarro Output'!$I:$I, 0, 'Picarro Output'!$J:$J, 1), "")</f>
        <v/>
      </c>
    </row>
    <row r="880" spans="2:5" x14ac:dyDescent="0.45">
      <c r="B880" s="1"/>
      <c r="E880" s="45" t="str">
        <f>IFERROR(AVERAGEIFS('Picarro Output'!G:G, 'Picarro Output'!$B:$B, 'Uncalibrated Data'!$C880, 'Picarro Output'!$I:$I, 0, 'Picarro Output'!$J:$J, 1), "")</f>
        <v/>
      </c>
    </row>
    <row r="881" spans="2:5" x14ac:dyDescent="0.45">
      <c r="B881" s="1"/>
      <c r="E881" s="45" t="str">
        <f>IFERROR(AVERAGEIFS('Picarro Output'!G:G, 'Picarro Output'!$B:$B, 'Uncalibrated Data'!$C881, 'Picarro Output'!$I:$I, 0, 'Picarro Output'!$J:$J, 1), "")</f>
        <v/>
      </c>
    </row>
    <row r="882" spans="2:5" x14ac:dyDescent="0.45">
      <c r="B882" s="1"/>
      <c r="E882" s="45" t="str">
        <f>IFERROR(AVERAGEIFS('Picarro Output'!G:G, 'Picarro Output'!$B:$B, 'Uncalibrated Data'!$C882, 'Picarro Output'!$I:$I, 0, 'Picarro Output'!$J:$J, 1), "")</f>
        <v/>
      </c>
    </row>
    <row r="883" spans="2:5" x14ac:dyDescent="0.45">
      <c r="B883" s="1"/>
      <c r="E883" s="45" t="str">
        <f>IFERROR(AVERAGEIFS('Picarro Output'!G:G, 'Picarro Output'!$B:$B, 'Uncalibrated Data'!$C883, 'Picarro Output'!$I:$I, 0, 'Picarro Output'!$J:$J, 1), "")</f>
        <v/>
      </c>
    </row>
    <row r="884" spans="2:5" x14ac:dyDescent="0.45">
      <c r="B884" s="1"/>
      <c r="E884" s="45" t="str">
        <f>IFERROR(AVERAGEIFS('Picarro Output'!G:G, 'Picarro Output'!$B:$B, 'Uncalibrated Data'!$C884, 'Picarro Output'!$I:$I, 0, 'Picarro Output'!$J:$J, 1), "")</f>
        <v/>
      </c>
    </row>
    <row r="885" spans="2:5" x14ac:dyDescent="0.45">
      <c r="B885" s="1"/>
      <c r="E885" s="45" t="str">
        <f>IFERROR(AVERAGEIFS('Picarro Output'!G:G, 'Picarro Output'!$B:$B, 'Uncalibrated Data'!$C885, 'Picarro Output'!$I:$I, 0, 'Picarro Output'!$J:$J, 1), "")</f>
        <v/>
      </c>
    </row>
    <row r="886" spans="2:5" x14ac:dyDescent="0.45">
      <c r="B886" s="1"/>
      <c r="E886" s="45" t="str">
        <f>IFERROR(AVERAGEIFS('Picarro Output'!G:G, 'Picarro Output'!$B:$B, 'Uncalibrated Data'!$C886, 'Picarro Output'!$I:$I, 0, 'Picarro Output'!$J:$J, 1), "")</f>
        <v/>
      </c>
    </row>
    <row r="887" spans="2:5" x14ac:dyDescent="0.45">
      <c r="B887" s="1"/>
      <c r="E887" s="45" t="str">
        <f>IFERROR(AVERAGEIFS('Picarro Output'!G:G, 'Picarro Output'!$B:$B, 'Uncalibrated Data'!$C887, 'Picarro Output'!$I:$I, 0, 'Picarro Output'!$J:$J, 1), "")</f>
        <v/>
      </c>
    </row>
    <row r="888" spans="2:5" x14ac:dyDescent="0.45">
      <c r="B888" s="1"/>
      <c r="E888" s="45" t="str">
        <f>IFERROR(AVERAGEIFS('Picarro Output'!G:G, 'Picarro Output'!$B:$B, 'Uncalibrated Data'!$C888, 'Picarro Output'!$I:$I, 0, 'Picarro Output'!$J:$J, 1), "")</f>
        <v/>
      </c>
    </row>
    <row r="889" spans="2:5" x14ac:dyDescent="0.45">
      <c r="B889" s="1"/>
      <c r="E889" s="45" t="str">
        <f>IFERROR(AVERAGEIFS('Picarro Output'!G:G, 'Picarro Output'!$B:$B, 'Uncalibrated Data'!$C889, 'Picarro Output'!$I:$I, 0, 'Picarro Output'!$J:$J, 1), "")</f>
        <v/>
      </c>
    </row>
    <row r="890" spans="2:5" x14ac:dyDescent="0.45">
      <c r="B890" s="1"/>
      <c r="E890" s="45" t="str">
        <f>IFERROR(AVERAGEIFS('Picarro Output'!G:G, 'Picarro Output'!$B:$B, 'Uncalibrated Data'!$C890, 'Picarro Output'!$I:$I, 0, 'Picarro Output'!$J:$J, 1), "")</f>
        <v/>
      </c>
    </row>
    <row r="891" spans="2:5" x14ac:dyDescent="0.45">
      <c r="B891" s="1"/>
      <c r="E891" s="45" t="str">
        <f>IFERROR(AVERAGEIFS('Picarro Output'!G:G, 'Picarro Output'!$B:$B, 'Uncalibrated Data'!$C891, 'Picarro Output'!$I:$I, 0, 'Picarro Output'!$J:$J, 1), "")</f>
        <v/>
      </c>
    </row>
    <row r="892" spans="2:5" x14ac:dyDescent="0.45">
      <c r="B892" s="1"/>
      <c r="E892" s="45" t="str">
        <f>IFERROR(AVERAGEIFS('Picarro Output'!G:G, 'Picarro Output'!$B:$B, 'Uncalibrated Data'!$C892, 'Picarro Output'!$I:$I, 0, 'Picarro Output'!$J:$J, 1), "")</f>
        <v/>
      </c>
    </row>
    <row r="893" spans="2:5" x14ac:dyDescent="0.45">
      <c r="B893" s="1"/>
      <c r="E893" s="45" t="str">
        <f>IFERROR(AVERAGEIFS('Picarro Output'!G:G, 'Picarro Output'!$B:$B, 'Uncalibrated Data'!$C893, 'Picarro Output'!$I:$I, 0, 'Picarro Output'!$J:$J, 1), "")</f>
        <v/>
      </c>
    </row>
    <row r="894" spans="2:5" x14ac:dyDescent="0.45">
      <c r="B894" s="1"/>
      <c r="E894" s="45" t="str">
        <f>IFERROR(AVERAGEIFS('Picarro Output'!G:G, 'Picarro Output'!$B:$B, 'Uncalibrated Data'!$C894, 'Picarro Output'!$I:$I, 0, 'Picarro Output'!$J:$J, 1), "")</f>
        <v/>
      </c>
    </row>
    <row r="895" spans="2:5" x14ac:dyDescent="0.45">
      <c r="B895" s="1"/>
      <c r="E895" s="45" t="str">
        <f>IFERROR(AVERAGEIFS('Picarro Output'!G:G, 'Picarro Output'!$B:$B, 'Uncalibrated Data'!$C895, 'Picarro Output'!$I:$I, 0, 'Picarro Output'!$J:$J, 1), "")</f>
        <v/>
      </c>
    </row>
    <row r="896" spans="2:5" x14ac:dyDescent="0.45">
      <c r="B896" s="1"/>
      <c r="E896" s="45" t="str">
        <f>IFERROR(AVERAGEIFS('Picarro Output'!G:G, 'Picarro Output'!$B:$B, 'Uncalibrated Data'!$C896, 'Picarro Output'!$I:$I, 0, 'Picarro Output'!$J:$J, 1), "")</f>
        <v/>
      </c>
    </row>
    <row r="897" spans="2:5" x14ac:dyDescent="0.45">
      <c r="B897" s="1"/>
      <c r="E897" s="45" t="str">
        <f>IFERROR(AVERAGEIFS('Picarro Output'!G:G, 'Picarro Output'!$B:$B, 'Uncalibrated Data'!$C897, 'Picarro Output'!$I:$I, 0, 'Picarro Output'!$J:$J, 1), "")</f>
        <v/>
      </c>
    </row>
    <row r="898" spans="2:5" x14ac:dyDescent="0.45">
      <c r="B898" s="1"/>
      <c r="E898" s="45" t="str">
        <f>IFERROR(AVERAGEIFS('Picarro Output'!G:G, 'Picarro Output'!$B:$B, 'Uncalibrated Data'!$C898, 'Picarro Output'!$I:$I, 0, 'Picarro Output'!$J:$J, 1), "")</f>
        <v/>
      </c>
    </row>
    <row r="899" spans="2:5" x14ac:dyDescent="0.45">
      <c r="B899" s="1"/>
      <c r="E899" s="45" t="str">
        <f>IFERROR(AVERAGEIFS('Picarro Output'!G:G, 'Picarro Output'!$B:$B, 'Uncalibrated Data'!$C899, 'Picarro Output'!$I:$I, 0, 'Picarro Output'!$J:$J, 1), "")</f>
        <v/>
      </c>
    </row>
    <row r="900" spans="2:5" x14ac:dyDescent="0.45">
      <c r="B900" s="1"/>
      <c r="E900" s="45" t="str">
        <f>IFERROR(AVERAGEIFS('Picarro Output'!G:G, 'Picarro Output'!$B:$B, 'Uncalibrated Data'!$C900, 'Picarro Output'!$I:$I, 0, 'Picarro Output'!$J:$J, 1), "")</f>
        <v/>
      </c>
    </row>
    <row r="901" spans="2:5" x14ac:dyDescent="0.45">
      <c r="B901" s="1"/>
      <c r="E901" s="45" t="str">
        <f>IFERROR(AVERAGEIFS('Picarro Output'!G:G, 'Picarro Output'!$B:$B, 'Uncalibrated Data'!$C901, 'Picarro Output'!$I:$I, 0, 'Picarro Output'!$J:$J, 1), "")</f>
        <v/>
      </c>
    </row>
    <row r="902" spans="2:5" x14ac:dyDescent="0.45">
      <c r="B902" s="1"/>
      <c r="E902" s="45" t="str">
        <f>IFERROR(AVERAGEIFS('Picarro Output'!G:G, 'Picarro Output'!$B:$B, 'Uncalibrated Data'!$C902, 'Picarro Output'!$I:$I, 0, 'Picarro Output'!$J:$J, 1), "")</f>
        <v/>
      </c>
    </row>
    <row r="903" spans="2:5" x14ac:dyDescent="0.45">
      <c r="B903" s="1"/>
      <c r="E903" s="45" t="str">
        <f>IFERROR(AVERAGEIFS('Picarro Output'!G:G, 'Picarro Output'!$B:$B, 'Uncalibrated Data'!$C903, 'Picarro Output'!$I:$I, 0, 'Picarro Output'!$J:$J, 1), "")</f>
        <v/>
      </c>
    </row>
    <row r="904" spans="2:5" x14ac:dyDescent="0.45">
      <c r="B904" s="1"/>
      <c r="E904" s="45" t="str">
        <f>IFERROR(AVERAGEIFS('Picarro Output'!G:G, 'Picarro Output'!$B:$B, 'Uncalibrated Data'!$C904, 'Picarro Output'!$I:$I, 0, 'Picarro Output'!$J:$J, 1), "")</f>
        <v/>
      </c>
    </row>
    <row r="905" spans="2:5" x14ac:dyDescent="0.45">
      <c r="B905" s="1"/>
      <c r="E905" s="45" t="str">
        <f>IFERROR(AVERAGEIFS('Picarro Output'!G:G, 'Picarro Output'!$B:$B, 'Uncalibrated Data'!$C905, 'Picarro Output'!$I:$I, 0, 'Picarro Output'!$J:$J, 1), "")</f>
        <v/>
      </c>
    </row>
    <row r="906" spans="2:5" x14ac:dyDescent="0.45">
      <c r="B906" s="1"/>
      <c r="E906" s="45" t="str">
        <f>IFERROR(AVERAGEIFS('Picarro Output'!G:G, 'Picarro Output'!$B:$B, 'Uncalibrated Data'!$C906, 'Picarro Output'!$I:$I, 0, 'Picarro Output'!$J:$J, 1), "")</f>
        <v/>
      </c>
    </row>
    <row r="907" spans="2:5" x14ac:dyDescent="0.45">
      <c r="B907" s="1"/>
      <c r="E907" s="45" t="str">
        <f>IFERROR(AVERAGEIFS('Picarro Output'!G:G, 'Picarro Output'!$B:$B, 'Uncalibrated Data'!$C907, 'Picarro Output'!$I:$I, 0, 'Picarro Output'!$J:$J, 1), "")</f>
        <v/>
      </c>
    </row>
    <row r="908" spans="2:5" x14ac:dyDescent="0.45">
      <c r="B908" s="1"/>
      <c r="E908" s="45" t="str">
        <f>IFERROR(AVERAGEIFS('Picarro Output'!G:G, 'Picarro Output'!$B:$B, 'Uncalibrated Data'!$C908, 'Picarro Output'!$I:$I, 0, 'Picarro Output'!$J:$J, 1), "")</f>
        <v/>
      </c>
    </row>
    <row r="909" spans="2:5" x14ac:dyDescent="0.45">
      <c r="B909" s="1"/>
      <c r="E909" s="45" t="str">
        <f>IFERROR(AVERAGEIFS('Picarro Output'!G:G, 'Picarro Output'!$B:$B, 'Uncalibrated Data'!$C909, 'Picarro Output'!$I:$I, 0, 'Picarro Output'!$J:$J, 1), "")</f>
        <v/>
      </c>
    </row>
    <row r="910" spans="2:5" x14ac:dyDescent="0.45">
      <c r="B910" s="1"/>
      <c r="E910" s="45" t="str">
        <f>IFERROR(AVERAGEIFS('Picarro Output'!G:G, 'Picarro Output'!$B:$B, 'Uncalibrated Data'!$C910, 'Picarro Output'!$I:$I, 0, 'Picarro Output'!$J:$J, 1), "")</f>
        <v/>
      </c>
    </row>
    <row r="911" spans="2:5" x14ac:dyDescent="0.45">
      <c r="B911" s="1"/>
      <c r="E911" s="45" t="str">
        <f>IFERROR(AVERAGEIFS('Picarro Output'!G:G, 'Picarro Output'!$B:$B, 'Uncalibrated Data'!$C911, 'Picarro Output'!$I:$I, 0, 'Picarro Output'!$J:$J, 1), "")</f>
        <v/>
      </c>
    </row>
    <row r="912" spans="2:5" x14ac:dyDescent="0.45">
      <c r="B912" s="1"/>
      <c r="E912" s="45" t="str">
        <f>IFERROR(AVERAGEIFS('Picarro Output'!G:G, 'Picarro Output'!$B:$B, 'Uncalibrated Data'!$C912, 'Picarro Output'!$I:$I, 0, 'Picarro Output'!$J:$J, 1), "")</f>
        <v/>
      </c>
    </row>
    <row r="913" spans="2:5" x14ac:dyDescent="0.45">
      <c r="B913" s="1"/>
      <c r="E913" s="45" t="str">
        <f>IFERROR(AVERAGEIFS('Picarro Output'!G:G, 'Picarro Output'!$B:$B, 'Uncalibrated Data'!$C913, 'Picarro Output'!$I:$I, 0, 'Picarro Output'!$J:$J, 1), "")</f>
        <v/>
      </c>
    </row>
    <row r="914" spans="2:5" x14ac:dyDescent="0.45">
      <c r="B914" s="1"/>
      <c r="E914" s="45" t="str">
        <f>IFERROR(AVERAGEIFS('Picarro Output'!G:G, 'Picarro Output'!$B:$B, 'Uncalibrated Data'!$C914, 'Picarro Output'!$I:$I, 0, 'Picarro Output'!$J:$J, 1), "")</f>
        <v/>
      </c>
    </row>
    <row r="915" spans="2:5" x14ac:dyDescent="0.45">
      <c r="B915" s="1"/>
      <c r="E915" s="45" t="str">
        <f>IFERROR(AVERAGEIFS('Picarro Output'!G:G, 'Picarro Output'!$B:$B, 'Uncalibrated Data'!$C915, 'Picarro Output'!$I:$I, 0, 'Picarro Output'!$J:$J, 1), "")</f>
        <v/>
      </c>
    </row>
    <row r="916" spans="2:5" x14ac:dyDescent="0.45">
      <c r="B916" s="1"/>
      <c r="E916" s="45" t="str">
        <f>IFERROR(AVERAGEIFS('Picarro Output'!G:G, 'Picarro Output'!$B:$B, 'Uncalibrated Data'!$C916, 'Picarro Output'!$I:$I, 0, 'Picarro Output'!$J:$J, 1), "")</f>
        <v/>
      </c>
    </row>
    <row r="917" spans="2:5" x14ac:dyDescent="0.45">
      <c r="B917" s="1"/>
      <c r="E917" s="45" t="str">
        <f>IFERROR(AVERAGEIFS('Picarro Output'!G:G, 'Picarro Output'!$B:$B, 'Uncalibrated Data'!$C917, 'Picarro Output'!$I:$I, 0, 'Picarro Output'!$J:$J, 1), "")</f>
        <v/>
      </c>
    </row>
    <row r="918" spans="2:5" x14ac:dyDescent="0.45">
      <c r="B918" s="1"/>
      <c r="E918" s="45" t="str">
        <f>IFERROR(AVERAGEIFS('Picarro Output'!G:G, 'Picarro Output'!$B:$B, 'Uncalibrated Data'!$C918, 'Picarro Output'!$I:$I, 0, 'Picarro Output'!$J:$J, 1), "")</f>
        <v/>
      </c>
    </row>
    <row r="919" spans="2:5" x14ac:dyDescent="0.45">
      <c r="B919" s="1"/>
      <c r="E919" s="45" t="str">
        <f>IFERROR(AVERAGEIFS('Picarro Output'!G:G, 'Picarro Output'!$B:$B, 'Uncalibrated Data'!$C919, 'Picarro Output'!$I:$I, 0, 'Picarro Output'!$J:$J, 1), "")</f>
        <v/>
      </c>
    </row>
    <row r="920" spans="2:5" x14ac:dyDescent="0.45">
      <c r="B920" s="1"/>
      <c r="E920" s="45" t="str">
        <f>IFERROR(AVERAGEIFS('Picarro Output'!G:G, 'Picarro Output'!$B:$B, 'Uncalibrated Data'!$C920, 'Picarro Output'!$I:$I, 0, 'Picarro Output'!$J:$J, 1), "")</f>
        <v/>
      </c>
    </row>
    <row r="921" spans="2:5" x14ac:dyDescent="0.45">
      <c r="B921" s="1"/>
      <c r="E921" s="45" t="str">
        <f>IFERROR(AVERAGEIFS('Picarro Output'!G:G, 'Picarro Output'!$B:$B, 'Uncalibrated Data'!$C921, 'Picarro Output'!$I:$I, 0, 'Picarro Output'!$J:$J, 1), "")</f>
        <v/>
      </c>
    </row>
    <row r="922" spans="2:5" x14ac:dyDescent="0.45">
      <c r="B922" s="1"/>
      <c r="E922" s="45" t="str">
        <f>IFERROR(AVERAGEIFS('Picarro Output'!G:G, 'Picarro Output'!$B:$B, 'Uncalibrated Data'!$C922, 'Picarro Output'!$I:$I, 0, 'Picarro Output'!$J:$J, 1), "")</f>
        <v/>
      </c>
    </row>
    <row r="923" spans="2:5" x14ac:dyDescent="0.45">
      <c r="B923" s="1"/>
      <c r="E923" s="45" t="str">
        <f>IFERROR(AVERAGEIFS('Picarro Output'!G:G, 'Picarro Output'!$B:$B, 'Uncalibrated Data'!$C923, 'Picarro Output'!$I:$I, 0, 'Picarro Output'!$J:$J, 1), "")</f>
        <v/>
      </c>
    </row>
    <row r="924" spans="2:5" x14ac:dyDescent="0.45">
      <c r="B924" s="1"/>
      <c r="E924" s="45" t="str">
        <f>IFERROR(AVERAGEIFS('Picarro Output'!G:G, 'Picarro Output'!$B:$B, 'Uncalibrated Data'!$C924, 'Picarro Output'!$I:$I, 0, 'Picarro Output'!$J:$J, 1), "")</f>
        <v/>
      </c>
    </row>
    <row r="925" spans="2:5" x14ac:dyDescent="0.45">
      <c r="B925" s="1"/>
      <c r="E925" s="45" t="str">
        <f>IFERROR(AVERAGEIFS('Picarro Output'!G:G, 'Picarro Output'!$B:$B, 'Uncalibrated Data'!$C925, 'Picarro Output'!$I:$I, 0, 'Picarro Output'!$J:$J, 1), "")</f>
        <v/>
      </c>
    </row>
    <row r="926" spans="2:5" x14ac:dyDescent="0.45">
      <c r="B926" s="1"/>
      <c r="E926" s="45" t="str">
        <f>IFERROR(AVERAGEIFS('Picarro Output'!G:G, 'Picarro Output'!$B:$B, 'Uncalibrated Data'!$C926, 'Picarro Output'!$I:$I, 0, 'Picarro Output'!$J:$J, 1), "")</f>
        <v/>
      </c>
    </row>
    <row r="927" spans="2:5" x14ac:dyDescent="0.45">
      <c r="B927" s="1"/>
      <c r="E927" s="45" t="str">
        <f>IFERROR(AVERAGEIFS('Picarro Output'!G:G, 'Picarro Output'!$B:$B, 'Uncalibrated Data'!$C927, 'Picarro Output'!$I:$I, 0, 'Picarro Output'!$J:$J, 1), "")</f>
        <v/>
      </c>
    </row>
    <row r="928" spans="2:5" x14ac:dyDescent="0.45">
      <c r="B928" s="1"/>
      <c r="E928" s="45" t="str">
        <f>IFERROR(AVERAGEIFS('Picarro Output'!G:G, 'Picarro Output'!$B:$B, 'Uncalibrated Data'!$C928, 'Picarro Output'!$I:$I, 0, 'Picarro Output'!$J:$J, 1), "")</f>
        <v/>
      </c>
    </row>
    <row r="929" spans="2:5" x14ac:dyDescent="0.45">
      <c r="B929" s="1"/>
      <c r="E929" s="45" t="str">
        <f>IFERROR(AVERAGEIFS('Picarro Output'!G:G, 'Picarro Output'!$B:$B, 'Uncalibrated Data'!$C929, 'Picarro Output'!$I:$I, 0, 'Picarro Output'!$J:$J, 1), "")</f>
        <v/>
      </c>
    </row>
    <row r="930" spans="2:5" x14ac:dyDescent="0.45">
      <c r="B930" s="1"/>
      <c r="E930" s="45" t="str">
        <f>IFERROR(AVERAGEIFS('Picarro Output'!G:G, 'Picarro Output'!$B:$B, 'Uncalibrated Data'!$C930, 'Picarro Output'!$I:$I, 0, 'Picarro Output'!$J:$J, 1), "")</f>
        <v/>
      </c>
    </row>
    <row r="931" spans="2:5" x14ac:dyDescent="0.45">
      <c r="B931" s="1"/>
      <c r="E931" s="45" t="str">
        <f>IFERROR(AVERAGEIFS('Picarro Output'!G:G, 'Picarro Output'!$B:$B, 'Uncalibrated Data'!$C931, 'Picarro Output'!$I:$I, 0, 'Picarro Output'!$J:$J, 1), "")</f>
        <v/>
      </c>
    </row>
    <row r="932" spans="2:5" x14ac:dyDescent="0.45">
      <c r="B932" s="1"/>
      <c r="E932" s="45" t="str">
        <f>IFERROR(AVERAGEIFS('Picarro Output'!G:G, 'Picarro Output'!$B:$B, 'Uncalibrated Data'!$C932, 'Picarro Output'!$I:$I, 0, 'Picarro Output'!$J:$J, 1), "")</f>
        <v/>
      </c>
    </row>
    <row r="933" spans="2:5" x14ac:dyDescent="0.45">
      <c r="B933" s="1"/>
      <c r="E933" s="45" t="str">
        <f>IFERROR(AVERAGEIFS('Picarro Output'!G:G, 'Picarro Output'!$B:$B, 'Uncalibrated Data'!$C933, 'Picarro Output'!$I:$I, 0, 'Picarro Output'!$J:$J, 1), "")</f>
        <v/>
      </c>
    </row>
    <row r="934" spans="2:5" x14ac:dyDescent="0.45">
      <c r="B934" s="1"/>
      <c r="E934" s="45" t="str">
        <f>IFERROR(AVERAGEIFS('Picarro Output'!G:G, 'Picarro Output'!$B:$B, 'Uncalibrated Data'!$C934, 'Picarro Output'!$I:$I, 0, 'Picarro Output'!$J:$J, 1), "")</f>
        <v/>
      </c>
    </row>
    <row r="935" spans="2:5" x14ac:dyDescent="0.45">
      <c r="B935" s="1"/>
      <c r="E935" s="45" t="str">
        <f>IFERROR(AVERAGEIFS('Picarro Output'!G:G, 'Picarro Output'!$B:$B, 'Uncalibrated Data'!$C935, 'Picarro Output'!$I:$I, 0, 'Picarro Output'!$J:$J, 1), "")</f>
        <v/>
      </c>
    </row>
    <row r="936" spans="2:5" x14ac:dyDescent="0.45">
      <c r="B936" s="1"/>
      <c r="E936" s="45" t="str">
        <f>IFERROR(AVERAGEIFS('Picarro Output'!G:G, 'Picarro Output'!$B:$B, 'Uncalibrated Data'!$C936, 'Picarro Output'!$I:$I, 0, 'Picarro Output'!$J:$J, 1), "")</f>
        <v/>
      </c>
    </row>
    <row r="937" spans="2:5" x14ac:dyDescent="0.45">
      <c r="B937" s="1"/>
      <c r="E937" s="45" t="str">
        <f>IFERROR(AVERAGEIFS('Picarro Output'!G:G, 'Picarro Output'!$B:$B, 'Uncalibrated Data'!$C937, 'Picarro Output'!$I:$I, 0, 'Picarro Output'!$J:$J, 1), "")</f>
        <v/>
      </c>
    </row>
    <row r="938" spans="2:5" x14ac:dyDescent="0.45">
      <c r="B938" s="1"/>
      <c r="E938" s="45" t="str">
        <f>IFERROR(AVERAGEIFS('Picarro Output'!G:G, 'Picarro Output'!$B:$B, 'Uncalibrated Data'!$C938, 'Picarro Output'!$I:$I, 0, 'Picarro Output'!$J:$J, 1), "")</f>
        <v/>
      </c>
    </row>
    <row r="939" spans="2:5" x14ac:dyDescent="0.45">
      <c r="B939" s="1"/>
      <c r="E939" s="45" t="str">
        <f>IFERROR(AVERAGEIFS('Picarro Output'!G:G, 'Picarro Output'!$B:$B, 'Uncalibrated Data'!$C939, 'Picarro Output'!$I:$I, 0, 'Picarro Output'!$J:$J, 1), "")</f>
        <v/>
      </c>
    </row>
    <row r="940" spans="2:5" x14ac:dyDescent="0.45">
      <c r="B940" s="1"/>
      <c r="E940" s="45" t="str">
        <f>IFERROR(AVERAGEIFS('Picarro Output'!G:G, 'Picarro Output'!$B:$B, 'Uncalibrated Data'!$C940, 'Picarro Output'!$I:$I, 0, 'Picarro Output'!$J:$J, 1), "")</f>
        <v/>
      </c>
    </row>
    <row r="941" spans="2:5" x14ac:dyDescent="0.45">
      <c r="B941" s="1"/>
      <c r="E941" s="45" t="str">
        <f>IFERROR(AVERAGEIFS('Picarro Output'!G:G, 'Picarro Output'!$B:$B, 'Uncalibrated Data'!$C941, 'Picarro Output'!$I:$I, 0, 'Picarro Output'!$J:$J, 1), "")</f>
        <v/>
      </c>
    </row>
    <row r="942" spans="2:5" x14ac:dyDescent="0.45">
      <c r="B942" s="1"/>
      <c r="E942" s="45" t="str">
        <f>IFERROR(AVERAGEIFS('Picarro Output'!G:G, 'Picarro Output'!$B:$B, 'Uncalibrated Data'!$C942, 'Picarro Output'!$I:$I, 0, 'Picarro Output'!$J:$J, 1), "")</f>
        <v/>
      </c>
    </row>
    <row r="943" spans="2:5" x14ac:dyDescent="0.45">
      <c r="B943" s="1"/>
      <c r="E943" s="45" t="str">
        <f>IFERROR(AVERAGEIFS('Picarro Output'!G:G, 'Picarro Output'!$B:$B, 'Uncalibrated Data'!$C943, 'Picarro Output'!$I:$I, 0, 'Picarro Output'!$J:$J, 1), "")</f>
        <v/>
      </c>
    </row>
    <row r="944" spans="2:5" x14ac:dyDescent="0.45">
      <c r="B944" s="1"/>
      <c r="E944" s="45" t="str">
        <f>IFERROR(AVERAGEIFS('Picarro Output'!G:G, 'Picarro Output'!$B:$B, 'Uncalibrated Data'!$C944, 'Picarro Output'!$I:$I, 0, 'Picarro Output'!$J:$J, 1), "")</f>
        <v/>
      </c>
    </row>
    <row r="945" spans="2:5" x14ac:dyDescent="0.45">
      <c r="B945" s="1"/>
      <c r="E945" s="45" t="str">
        <f>IFERROR(AVERAGEIFS('Picarro Output'!G:G, 'Picarro Output'!$B:$B, 'Uncalibrated Data'!$C945, 'Picarro Output'!$I:$I, 0, 'Picarro Output'!$J:$J, 1), "")</f>
        <v/>
      </c>
    </row>
    <row r="946" spans="2:5" x14ac:dyDescent="0.45">
      <c r="B946" s="1"/>
      <c r="E946" s="45" t="str">
        <f>IFERROR(AVERAGEIFS('Picarro Output'!G:G, 'Picarro Output'!$B:$B, 'Uncalibrated Data'!$C946, 'Picarro Output'!$I:$I, 0, 'Picarro Output'!$J:$J, 1), "")</f>
        <v/>
      </c>
    </row>
    <row r="947" spans="2:5" x14ac:dyDescent="0.45">
      <c r="B947" s="1"/>
      <c r="E947" s="45" t="str">
        <f>IFERROR(AVERAGEIFS('Picarro Output'!G:G, 'Picarro Output'!$B:$B, 'Uncalibrated Data'!$C947, 'Picarro Output'!$I:$I, 0, 'Picarro Output'!$J:$J, 1), "")</f>
        <v/>
      </c>
    </row>
    <row r="948" spans="2:5" x14ac:dyDescent="0.45">
      <c r="B948" s="1"/>
      <c r="E948" s="45" t="str">
        <f>IFERROR(AVERAGEIFS('Picarro Output'!G:G, 'Picarro Output'!$B:$B, 'Uncalibrated Data'!$C948, 'Picarro Output'!$I:$I, 0, 'Picarro Output'!$J:$J, 1), "")</f>
        <v/>
      </c>
    </row>
    <row r="949" spans="2:5" x14ac:dyDescent="0.45">
      <c r="B949" s="1"/>
      <c r="E949" s="45" t="str">
        <f>IFERROR(AVERAGEIFS('Picarro Output'!G:G, 'Picarro Output'!$B:$B, 'Uncalibrated Data'!$C949, 'Picarro Output'!$I:$I, 0, 'Picarro Output'!$J:$J, 1), "")</f>
        <v/>
      </c>
    </row>
    <row r="950" spans="2:5" x14ac:dyDescent="0.45">
      <c r="B950" s="1"/>
      <c r="E950" s="45" t="str">
        <f>IFERROR(AVERAGEIFS('Picarro Output'!G:G, 'Picarro Output'!$B:$B, 'Uncalibrated Data'!$C950, 'Picarro Output'!$I:$I, 0, 'Picarro Output'!$J:$J, 1), "")</f>
        <v/>
      </c>
    </row>
    <row r="951" spans="2:5" x14ac:dyDescent="0.45">
      <c r="B951" s="1"/>
      <c r="E951" s="45" t="str">
        <f>IFERROR(AVERAGEIFS('Picarro Output'!G:G, 'Picarro Output'!$B:$B, 'Uncalibrated Data'!$C951, 'Picarro Output'!$I:$I, 0, 'Picarro Output'!$J:$J, 1), "")</f>
        <v/>
      </c>
    </row>
    <row r="952" spans="2:5" x14ac:dyDescent="0.45">
      <c r="B952" s="1"/>
      <c r="E952" s="45" t="str">
        <f>IFERROR(AVERAGEIFS('Picarro Output'!G:G, 'Picarro Output'!$B:$B, 'Uncalibrated Data'!$C952, 'Picarro Output'!$I:$I, 0, 'Picarro Output'!$J:$J, 1), "")</f>
        <v/>
      </c>
    </row>
    <row r="953" spans="2:5" x14ac:dyDescent="0.45">
      <c r="B953" s="1"/>
      <c r="E953" s="45" t="str">
        <f>IFERROR(AVERAGEIFS('Picarro Output'!G:G, 'Picarro Output'!$B:$B, 'Uncalibrated Data'!$C953, 'Picarro Output'!$I:$I, 0, 'Picarro Output'!$J:$J, 1), "")</f>
        <v/>
      </c>
    </row>
    <row r="954" spans="2:5" x14ac:dyDescent="0.45">
      <c r="B954" s="1"/>
      <c r="E954" s="45" t="str">
        <f>IFERROR(AVERAGEIFS('Picarro Output'!G:G, 'Picarro Output'!$B:$B, 'Uncalibrated Data'!$C954, 'Picarro Output'!$I:$I, 0, 'Picarro Output'!$J:$J, 1), "")</f>
        <v/>
      </c>
    </row>
    <row r="955" spans="2:5" x14ac:dyDescent="0.45">
      <c r="B955" s="1"/>
      <c r="E955" s="45" t="str">
        <f>IFERROR(AVERAGEIFS('Picarro Output'!G:G, 'Picarro Output'!$B:$B, 'Uncalibrated Data'!$C955, 'Picarro Output'!$I:$I, 0, 'Picarro Output'!$J:$J, 1), "")</f>
        <v/>
      </c>
    </row>
    <row r="956" spans="2:5" x14ac:dyDescent="0.45">
      <c r="B956" s="1"/>
      <c r="E956" s="45" t="str">
        <f>IFERROR(AVERAGEIFS('Picarro Output'!G:G, 'Picarro Output'!$B:$B, 'Uncalibrated Data'!$C956, 'Picarro Output'!$I:$I, 0, 'Picarro Output'!$J:$J, 1), "")</f>
        <v/>
      </c>
    </row>
    <row r="957" spans="2:5" x14ac:dyDescent="0.45">
      <c r="B957" s="1"/>
      <c r="E957" s="45" t="str">
        <f>IFERROR(AVERAGEIFS('Picarro Output'!G:G, 'Picarro Output'!$B:$B, 'Uncalibrated Data'!$C957, 'Picarro Output'!$I:$I, 0, 'Picarro Output'!$J:$J, 1), "")</f>
        <v/>
      </c>
    </row>
    <row r="958" spans="2:5" x14ac:dyDescent="0.45">
      <c r="B958" s="1"/>
      <c r="E958" s="45" t="str">
        <f>IFERROR(AVERAGEIFS('Picarro Output'!G:G, 'Picarro Output'!$B:$B, 'Uncalibrated Data'!$C958, 'Picarro Output'!$I:$I, 0, 'Picarro Output'!$J:$J, 1), "")</f>
        <v/>
      </c>
    </row>
    <row r="959" spans="2:5" x14ac:dyDescent="0.45">
      <c r="B959" s="1"/>
      <c r="E959" s="45" t="str">
        <f>IFERROR(AVERAGEIFS('Picarro Output'!G:G, 'Picarro Output'!$B:$B, 'Uncalibrated Data'!$C959, 'Picarro Output'!$I:$I, 0, 'Picarro Output'!$J:$J, 1), "")</f>
        <v/>
      </c>
    </row>
    <row r="960" spans="2:5" x14ac:dyDescent="0.45">
      <c r="B960" s="1"/>
      <c r="E960" s="45" t="str">
        <f>IFERROR(AVERAGEIFS('Picarro Output'!G:G, 'Picarro Output'!$B:$B, 'Uncalibrated Data'!$C960, 'Picarro Output'!$I:$I, 0, 'Picarro Output'!$J:$J, 1), "")</f>
        <v/>
      </c>
    </row>
    <row r="961" spans="2:5" x14ac:dyDescent="0.45">
      <c r="B961" s="1"/>
      <c r="E961" s="45" t="str">
        <f>IFERROR(AVERAGEIFS('Picarro Output'!G:G, 'Picarro Output'!$B:$B, 'Uncalibrated Data'!$C961, 'Picarro Output'!$I:$I, 0, 'Picarro Output'!$J:$J, 1), "")</f>
        <v/>
      </c>
    </row>
    <row r="962" spans="2:5" x14ac:dyDescent="0.45">
      <c r="B962" s="1"/>
      <c r="E962" s="45" t="str">
        <f>IFERROR(AVERAGEIFS('Picarro Output'!G:G, 'Picarro Output'!$B:$B, 'Uncalibrated Data'!$C962, 'Picarro Output'!$I:$I, 0, 'Picarro Output'!$J:$J, 1), "")</f>
        <v/>
      </c>
    </row>
    <row r="963" spans="2:5" x14ac:dyDescent="0.45">
      <c r="B963" s="1"/>
      <c r="E963" s="45" t="str">
        <f>IFERROR(AVERAGEIFS('Picarro Output'!G:G, 'Picarro Output'!$B:$B, 'Uncalibrated Data'!$C963, 'Picarro Output'!$I:$I, 0, 'Picarro Output'!$J:$J, 1), "")</f>
        <v/>
      </c>
    </row>
    <row r="964" spans="2:5" x14ac:dyDescent="0.45">
      <c r="B964" s="1"/>
      <c r="E964" s="45" t="str">
        <f>IFERROR(AVERAGEIFS('Picarro Output'!G:G, 'Picarro Output'!$B:$B, 'Uncalibrated Data'!$C964, 'Picarro Output'!$I:$I, 0, 'Picarro Output'!$J:$J, 1), "")</f>
        <v/>
      </c>
    </row>
    <row r="965" spans="2:5" x14ac:dyDescent="0.45">
      <c r="B965" s="1"/>
      <c r="E965" s="45" t="str">
        <f>IFERROR(AVERAGEIFS('Picarro Output'!G:G, 'Picarro Output'!$B:$B, 'Uncalibrated Data'!$C965, 'Picarro Output'!$I:$I, 0, 'Picarro Output'!$J:$J, 1), "")</f>
        <v/>
      </c>
    </row>
    <row r="966" spans="2:5" x14ac:dyDescent="0.45">
      <c r="B966" s="1"/>
      <c r="E966" s="45" t="str">
        <f>IFERROR(AVERAGEIFS('Picarro Output'!G:G, 'Picarro Output'!$B:$B, 'Uncalibrated Data'!$C966, 'Picarro Output'!$I:$I, 0, 'Picarro Output'!$J:$J, 1), "")</f>
        <v/>
      </c>
    </row>
    <row r="967" spans="2:5" x14ac:dyDescent="0.45">
      <c r="B967" s="1"/>
      <c r="E967" s="45" t="str">
        <f>IFERROR(AVERAGEIFS('Picarro Output'!G:G, 'Picarro Output'!$B:$B, 'Uncalibrated Data'!$C967, 'Picarro Output'!$I:$I, 0, 'Picarro Output'!$J:$J, 1), "")</f>
        <v/>
      </c>
    </row>
    <row r="968" spans="2:5" x14ac:dyDescent="0.45">
      <c r="B968" s="1"/>
      <c r="E968" s="45" t="str">
        <f>IFERROR(AVERAGEIFS('Picarro Output'!G:G, 'Picarro Output'!$B:$B, 'Uncalibrated Data'!$C968, 'Picarro Output'!$I:$I, 0, 'Picarro Output'!$J:$J, 1), "")</f>
        <v/>
      </c>
    </row>
    <row r="969" spans="2:5" x14ac:dyDescent="0.45">
      <c r="B969" s="1"/>
      <c r="E969" s="45" t="str">
        <f>IFERROR(AVERAGEIFS('Picarro Output'!G:G, 'Picarro Output'!$B:$B, 'Uncalibrated Data'!$C969, 'Picarro Output'!$I:$I, 0, 'Picarro Output'!$J:$J, 1), "")</f>
        <v/>
      </c>
    </row>
    <row r="970" spans="2:5" x14ac:dyDescent="0.45">
      <c r="B970" s="1"/>
      <c r="E970" s="45" t="str">
        <f>IFERROR(AVERAGEIFS('Picarro Output'!G:G, 'Picarro Output'!$B:$B, 'Uncalibrated Data'!$C970, 'Picarro Output'!$I:$I, 0, 'Picarro Output'!$J:$J, 1), "")</f>
        <v/>
      </c>
    </row>
    <row r="971" spans="2:5" x14ac:dyDescent="0.45">
      <c r="B971" s="1"/>
      <c r="E971" s="45" t="str">
        <f>IFERROR(AVERAGEIFS('Picarro Output'!G:G, 'Picarro Output'!$B:$B, 'Uncalibrated Data'!$C971, 'Picarro Output'!$I:$I, 0, 'Picarro Output'!$J:$J, 1), "")</f>
        <v/>
      </c>
    </row>
    <row r="972" spans="2:5" x14ac:dyDescent="0.45">
      <c r="B972" s="1"/>
      <c r="E972" s="45" t="str">
        <f>IFERROR(AVERAGEIFS('Picarro Output'!G:G, 'Picarro Output'!$B:$B, 'Uncalibrated Data'!$C972, 'Picarro Output'!$I:$I, 0, 'Picarro Output'!$J:$J, 1), "")</f>
        <v/>
      </c>
    </row>
    <row r="973" spans="2:5" x14ac:dyDescent="0.45">
      <c r="B973" s="1"/>
      <c r="E973" s="45" t="str">
        <f>IFERROR(AVERAGEIFS('Picarro Output'!G:G, 'Picarro Output'!$B:$B, 'Uncalibrated Data'!$C973, 'Picarro Output'!$I:$I, 0, 'Picarro Output'!$J:$J, 1), "")</f>
        <v/>
      </c>
    </row>
    <row r="974" spans="2:5" x14ac:dyDescent="0.45">
      <c r="B974" s="1"/>
      <c r="E974" s="45" t="str">
        <f>IFERROR(AVERAGEIFS('Picarro Output'!G:G, 'Picarro Output'!$B:$B, 'Uncalibrated Data'!$C974, 'Picarro Output'!$I:$I, 0, 'Picarro Output'!$J:$J, 1), "")</f>
        <v/>
      </c>
    </row>
    <row r="975" spans="2:5" x14ac:dyDescent="0.45">
      <c r="B975" s="1"/>
      <c r="E975" s="45" t="str">
        <f>IFERROR(AVERAGEIFS('Picarro Output'!G:G, 'Picarro Output'!$B:$B, 'Uncalibrated Data'!$C975, 'Picarro Output'!$I:$I, 0, 'Picarro Output'!$J:$J, 1), "")</f>
        <v/>
      </c>
    </row>
    <row r="976" spans="2:5" x14ac:dyDescent="0.45">
      <c r="B976" s="1"/>
      <c r="E976" s="45" t="str">
        <f>IFERROR(AVERAGEIFS('Picarro Output'!G:G, 'Picarro Output'!$B:$B, 'Uncalibrated Data'!$C976, 'Picarro Output'!$I:$I, 0, 'Picarro Output'!$J:$J, 1), "")</f>
        <v/>
      </c>
    </row>
    <row r="977" spans="2:5" x14ac:dyDescent="0.45">
      <c r="B977" s="1"/>
      <c r="E977" s="45" t="str">
        <f>IFERROR(AVERAGEIFS('Picarro Output'!G:G, 'Picarro Output'!$B:$B, 'Uncalibrated Data'!$C977, 'Picarro Output'!$I:$I, 0, 'Picarro Output'!$J:$J, 1), "")</f>
        <v/>
      </c>
    </row>
    <row r="978" spans="2:5" x14ac:dyDescent="0.45">
      <c r="B978" s="1"/>
      <c r="E978" s="45" t="str">
        <f>IFERROR(AVERAGEIFS('Picarro Output'!G:G, 'Picarro Output'!$B:$B, 'Uncalibrated Data'!$C978, 'Picarro Output'!$I:$I, 0, 'Picarro Output'!$J:$J, 1), "")</f>
        <v/>
      </c>
    </row>
    <row r="979" spans="2:5" x14ac:dyDescent="0.45">
      <c r="B979" s="1"/>
      <c r="E979" s="45" t="str">
        <f>IFERROR(AVERAGEIFS('Picarro Output'!G:G, 'Picarro Output'!$B:$B, 'Uncalibrated Data'!$C979, 'Picarro Output'!$I:$I, 0, 'Picarro Output'!$J:$J, 1), "")</f>
        <v/>
      </c>
    </row>
    <row r="980" spans="2:5" x14ac:dyDescent="0.45">
      <c r="B980" s="1"/>
      <c r="E980" s="45" t="str">
        <f>IFERROR(AVERAGEIFS('Picarro Output'!G:G, 'Picarro Output'!$B:$B, 'Uncalibrated Data'!$C980, 'Picarro Output'!$I:$I, 0, 'Picarro Output'!$J:$J, 1), "")</f>
        <v/>
      </c>
    </row>
    <row r="981" spans="2:5" x14ac:dyDescent="0.45">
      <c r="B981" s="1"/>
      <c r="E981" s="45" t="str">
        <f>IFERROR(AVERAGEIFS('Picarro Output'!G:G, 'Picarro Output'!$B:$B, 'Uncalibrated Data'!$C981, 'Picarro Output'!$I:$I, 0, 'Picarro Output'!$J:$J, 1), "")</f>
        <v/>
      </c>
    </row>
    <row r="982" spans="2:5" x14ac:dyDescent="0.45">
      <c r="B982" s="1"/>
      <c r="E982" s="45" t="str">
        <f>IFERROR(AVERAGEIFS('Picarro Output'!G:G, 'Picarro Output'!$B:$B, 'Uncalibrated Data'!$C982, 'Picarro Output'!$I:$I, 0, 'Picarro Output'!$J:$J, 1), "")</f>
        <v/>
      </c>
    </row>
    <row r="983" spans="2:5" x14ac:dyDescent="0.45">
      <c r="B983" s="1"/>
      <c r="E983" s="45" t="str">
        <f>IFERROR(AVERAGEIFS('Picarro Output'!G:G, 'Picarro Output'!$B:$B, 'Uncalibrated Data'!$C983, 'Picarro Output'!$I:$I, 0, 'Picarro Output'!$J:$J, 1), "")</f>
        <v/>
      </c>
    </row>
    <row r="984" spans="2:5" x14ac:dyDescent="0.45">
      <c r="B984" s="1"/>
      <c r="E984" s="45" t="str">
        <f>IFERROR(AVERAGEIFS('Picarro Output'!G:G, 'Picarro Output'!$B:$B, 'Uncalibrated Data'!$C984, 'Picarro Output'!$I:$I, 0, 'Picarro Output'!$J:$J, 1), "")</f>
        <v/>
      </c>
    </row>
    <row r="985" spans="2:5" x14ac:dyDescent="0.45">
      <c r="B985" s="1"/>
      <c r="E985" s="45" t="str">
        <f>IFERROR(AVERAGEIFS('Picarro Output'!G:G, 'Picarro Output'!$B:$B, 'Uncalibrated Data'!$C985, 'Picarro Output'!$I:$I, 0, 'Picarro Output'!$J:$J, 1), "")</f>
        <v/>
      </c>
    </row>
    <row r="986" spans="2:5" x14ac:dyDescent="0.45">
      <c r="B986" s="1"/>
      <c r="E986" s="45" t="str">
        <f>IFERROR(AVERAGEIFS('Picarro Output'!G:G, 'Picarro Output'!$B:$B, 'Uncalibrated Data'!$C986, 'Picarro Output'!$I:$I, 0, 'Picarro Output'!$J:$J, 1), "")</f>
        <v/>
      </c>
    </row>
    <row r="987" spans="2:5" x14ac:dyDescent="0.45">
      <c r="B987" s="1"/>
      <c r="E987" s="45" t="str">
        <f>IFERROR(AVERAGEIFS('Picarro Output'!G:G, 'Picarro Output'!$B:$B, 'Uncalibrated Data'!$C987, 'Picarro Output'!$I:$I, 0, 'Picarro Output'!$J:$J, 1), "")</f>
        <v/>
      </c>
    </row>
    <row r="988" spans="2:5" x14ac:dyDescent="0.45">
      <c r="B988" s="1"/>
      <c r="E988" s="45" t="str">
        <f>IFERROR(AVERAGEIFS('Picarro Output'!G:G, 'Picarro Output'!$B:$B, 'Uncalibrated Data'!$C988, 'Picarro Output'!$I:$I, 0, 'Picarro Output'!$J:$J, 1), "")</f>
        <v/>
      </c>
    </row>
    <row r="989" spans="2:5" x14ac:dyDescent="0.45">
      <c r="B989" s="1"/>
      <c r="E989" s="45" t="str">
        <f>IFERROR(AVERAGEIFS('Picarro Output'!G:G, 'Picarro Output'!$B:$B, 'Uncalibrated Data'!$C989, 'Picarro Output'!$I:$I, 0, 'Picarro Output'!$J:$J, 1), "")</f>
        <v/>
      </c>
    </row>
    <row r="990" spans="2:5" x14ac:dyDescent="0.45">
      <c r="B990" s="1"/>
      <c r="E990" s="45" t="str">
        <f>IFERROR(AVERAGEIFS('Picarro Output'!G:G, 'Picarro Output'!$B:$B, 'Uncalibrated Data'!$C990, 'Picarro Output'!$I:$I, 0, 'Picarro Output'!$J:$J, 1), "")</f>
        <v/>
      </c>
    </row>
    <row r="991" spans="2:5" x14ac:dyDescent="0.45">
      <c r="B991" s="1"/>
      <c r="E991" s="45" t="str">
        <f>IFERROR(AVERAGEIFS('Picarro Output'!G:G, 'Picarro Output'!$B:$B, 'Uncalibrated Data'!$C991, 'Picarro Output'!$I:$I, 0, 'Picarro Output'!$J:$J, 1), "")</f>
        <v/>
      </c>
    </row>
    <row r="992" spans="2:5" x14ac:dyDescent="0.45">
      <c r="B992" s="1"/>
      <c r="E992" s="45" t="str">
        <f>IFERROR(AVERAGEIFS('Picarro Output'!G:G, 'Picarro Output'!$B:$B, 'Uncalibrated Data'!$C992, 'Picarro Output'!$I:$I, 0, 'Picarro Output'!$J:$J, 1), "")</f>
        <v/>
      </c>
    </row>
    <row r="993" spans="2:5" x14ac:dyDescent="0.45">
      <c r="B993" s="1"/>
      <c r="E993" s="45" t="str">
        <f>IFERROR(AVERAGEIFS('Picarro Output'!G:G, 'Picarro Output'!$B:$B, 'Uncalibrated Data'!$C993, 'Picarro Output'!$I:$I, 0, 'Picarro Output'!$J:$J, 1), "")</f>
        <v/>
      </c>
    </row>
    <row r="994" spans="2:5" x14ac:dyDescent="0.45">
      <c r="B994" s="1"/>
      <c r="E994" s="45" t="str">
        <f>IFERROR(AVERAGEIFS('Picarro Output'!G:G, 'Picarro Output'!$B:$B, 'Uncalibrated Data'!$C994, 'Picarro Output'!$I:$I, 0, 'Picarro Output'!$J:$J, 1), "")</f>
        <v/>
      </c>
    </row>
    <row r="995" spans="2:5" x14ac:dyDescent="0.45">
      <c r="B995" s="1"/>
      <c r="E995" s="45" t="str">
        <f>IFERROR(AVERAGEIFS('Picarro Output'!G:G, 'Picarro Output'!$B:$B, 'Uncalibrated Data'!$C995, 'Picarro Output'!$I:$I, 0, 'Picarro Output'!$J:$J, 1), "")</f>
        <v/>
      </c>
    </row>
    <row r="996" spans="2:5" x14ac:dyDescent="0.45">
      <c r="B996" s="1"/>
      <c r="E996" s="45" t="str">
        <f>IFERROR(AVERAGEIFS('Picarro Output'!G:G, 'Picarro Output'!$B:$B, 'Uncalibrated Data'!$C996, 'Picarro Output'!$I:$I, 0, 'Picarro Output'!$J:$J, 1), "")</f>
        <v/>
      </c>
    </row>
    <row r="997" spans="2:5" x14ac:dyDescent="0.45">
      <c r="B997" s="1"/>
      <c r="E997" s="45" t="str">
        <f>IFERROR(AVERAGEIFS('Picarro Output'!G:G, 'Picarro Output'!$B:$B, 'Uncalibrated Data'!$C997, 'Picarro Output'!$I:$I, 0, 'Picarro Output'!$J:$J, 1), "")</f>
        <v/>
      </c>
    </row>
    <row r="998" spans="2:5" x14ac:dyDescent="0.45">
      <c r="B998" s="1"/>
      <c r="E998" s="45" t="str">
        <f>IFERROR(AVERAGEIFS('Picarro Output'!G:G, 'Picarro Output'!$B:$B, 'Uncalibrated Data'!$C998, 'Picarro Output'!$I:$I, 0, 'Picarro Output'!$J:$J, 1), "")</f>
        <v/>
      </c>
    </row>
    <row r="999" spans="2:5" x14ac:dyDescent="0.45">
      <c r="B999" s="1"/>
      <c r="E999" s="45" t="str">
        <f>IFERROR(AVERAGEIFS('Picarro Output'!G:G, 'Picarro Output'!$B:$B, 'Uncalibrated Data'!$C999, 'Picarro Output'!$I:$I, 0, 'Picarro Output'!$J:$J, 1), "")</f>
        <v/>
      </c>
    </row>
    <row r="1000" spans="2:5" x14ac:dyDescent="0.45">
      <c r="B1000" s="1"/>
      <c r="E1000" s="45" t="str">
        <f>IFERROR(AVERAGEIFS('Picarro Output'!G:G, 'Picarro Output'!$B:$B, 'Uncalibrated Data'!$C1000, 'Picarro Output'!$I:$I, 0, 'Picarro Output'!$J:$J, 1), "")</f>
        <v/>
      </c>
    </row>
    <row r="1001" spans="2:5" x14ac:dyDescent="0.45">
      <c r="B1001" s="1"/>
      <c r="E1001" s="45" t="str">
        <f>IFERROR(AVERAGEIFS('Picarro Output'!G:G, 'Picarro Output'!$B:$B, 'Uncalibrated Data'!$C1001, 'Picarro Output'!$I:$I, 0, 'Picarro Output'!$J:$J, 1), "")</f>
        <v/>
      </c>
    </row>
    <row r="1002" spans="2:5" x14ac:dyDescent="0.45">
      <c r="B1002" s="1"/>
      <c r="E1002" s="45" t="str">
        <f>IFERROR(AVERAGEIFS('Picarro Output'!G:G, 'Picarro Output'!$B:$B, 'Uncalibrated Data'!$C1002, 'Picarro Output'!$I:$I, 0, 'Picarro Output'!$J:$J, 1), "")</f>
        <v/>
      </c>
    </row>
    <row r="1003" spans="2:5" x14ac:dyDescent="0.45">
      <c r="B1003" s="1"/>
      <c r="E1003" s="45" t="str">
        <f>IFERROR(AVERAGEIFS('Picarro Output'!G:G, 'Picarro Output'!$B:$B, 'Uncalibrated Data'!$C1003, 'Picarro Output'!$I:$I, 0, 'Picarro Output'!$J:$J, 1), "")</f>
        <v/>
      </c>
    </row>
    <row r="1004" spans="2:5" x14ac:dyDescent="0.45">
      <c r="B1004" s="1"/>
      <c r="E1004" s="45" t="str">
        <f>IFERROR(AVERAGEIFS('Picarro Output'!G:G, 'Picarro Output'!$B:$B, 'Uncalibrated Data'!$C1004, 'Picarro Output'!$I:$I, 0, 'Picarro Output'!$J:$J, 1), "")</f>
        <v/>
      </c>
    </row>
    <row r="1005" spans="2:5" x14ac:dyDescent="0.45">
      <c r="B1005" s="1"/>
      <c r="E1005" s="45" t="str">
        <f>IFERROR(AVERAGEIFS('Picarro Output'!G:G, 'Picarro Output'!$B:$B, 'Uncalibrated Data'!$C1005, 'Picarro Output'!$I:$I, 0, 'Picarro Output'!$J:$J, 1), "")</f>
        <v/>
      </c>
    </row>
    <row r="1006" spans="2:5" x14ac:dyDescent="0.45">
      <c r="B1006" s="1"/>
      <c r="E1006" s="45" t="str">
        <f>IFERROR(AVERAGEIFS('Picarro Output'!G:G, 'Picarro Output'!$B:$B, 'Uncalibrated Data'!$C1006, 'Picarro Output'!$I:$I, 0, 'Picarro Output'!$J:$J, 1), "")</f>
        <v/>
      </c>
    </row>
    <row r="1007" spans="2:5" x14ac:dyDescent="0.45">
      <c r="B1007" s="1"/>
      <c r="E1007" s="45" t="str">
        <f>IFERROR(AVERAGEIFS('Picarro Output'!G:G, 'Picarro Output'!$B:$B, 'Uncalibrated Data'!$C1007, 'Picarro Output'!$I:$I, 0, 'Picarro Output'!$J:$J, 1), "")</f>
        <v/>
      </c>
    </row>
    <row r="1008" spans="2:5" x14ac:dyDescent="0.45">
      <c r="B1008" s="1"/>
      <c r="E1008" s="45" t="str">
        <f>IFERROR(AVERAGEIFS('Picarro Output'!G:G, 'Picarro Output'!$B:$B, 'Uncalibrated Data'!$C1008, 'Picarro Output'!$I:$I, 0, 'Picarro Output'!$J:$J, 1), "")</f>
        <v/>
      </c>
    </row>
    <row r="1009" spans="2:5" x14ac:dyDescent="0.45">
      <c r="B1009" s="1"/>
      <c r="E1009" s="45" t="str">
        <f>IFERROR(AVERAGEIFS('Picarro Output'!G:G, 'Picarro Output'!$B:$B, 'Uncalibrated Data'!$C1009, 'Picarro Output'!$I:$I, 0, 'Picarro Output'!$J:$J, 1), "")</f>
        <v/>
      </c>
    </row>
    <row r="1010" spans="2:5" x14ac:dyDescent="0.45">
      <c r="B1010" s="1"/>
      <c r="E1010" s="45" t="str">
        <f>IFERROR(AVERAGEIFS('Picarro Output'!G:G, 'Picarro Output'!$B:$B, 'Uncalibrated Data'!$C1010, 'Picarro Output'!$I:$I, 0, 'Picarro Output'!$J:$J, 1), "")</f>
        <v/>
      </c>
    </row>
    <row r="1011" spans="2:5" x14ac:dyDescent="0.45">
      <c r="B1011" s="1"/>
      <c r="E1011" s="45" t="str">
        <f>IFERROR(AVERAGEIFS('Picarro Output'!G:G, 'Picarro Output'!$B:$B, 'Uncalibrated Data'!$C1011, 'Picarro Output'!$I:$I, 0, 'Picarro Output'!$J:$J, 1), "")</f>
        <v/>
      </c>
    </row>
    <row r="1012" spans="2:5" x14ac:dyDescent="0.45">
      <c r="B1012" s="1"/>
      <c r="E1012" s="45" t="str">
        <f>IFERROR(AVERAGEIFS('Picarro Output'!G:G, 'Picarro Output'!$B:$B, 'Uncalibrated Data'!$C1012, 'Picarro Output'!$I:$I, 0, 'Picarro Output'!$J:$J, 1), "")</f>
        <v/>
      </c>
    </row>
    <row r="1013" spans="2:5" x14ac:dyDescent="0.45">
      <c r="B1013" s="1"/>
      <c r="E1013" s="45" t="str">
        <f>IFERROR(AVERAGEIFS('Picarro Output'!G:G, 'Picarro Output'!$B:$B, 'Uncalibrated Data'!$C1013, 'Picarro Output'!$I:$I, 0, 'Picarro Output'!$J:$J, 1), "")</f>
        <v/>
      </c>
    </row>
    <row r="1014" spans="2:5" x14ac:dyDescent="0.45">
      <c r="B1014" s="1"/>
      <c r="E1014" s="45" t="str">
        <f>IFERROR(AVERAGEIFS('Picarro Output'!G:G, 'Picarro Output'!$B:$B, 'Uncalibrated Data'!$C1014, 'Picarro Output'!$I:$I, 0, 'Picarro Output'!$J:$J, 1), "")</f>
        <v/>
      </c>
    </row>
    <row r="1015" spans="2:5" x14ac:dyDescent="0.45">
      <c r="B1015" s="1"/>
      <c r="E1015" s="45" t="str">
        <f>IFERROR(AVERAGEIFS('Picarro Output'!G:G, 'Picarro Output'!$B:$B, 'Uncalibrated Data'!$C1015, 'Picarro Output'!$I:$I, 0, 'Picarro Output'!$J:$J, 1), "")</f>
        <v/>
      </c>
    </row>
    <row r="1016" spans="2:5" x14ac:dyDescent="0.45">
      <c r="B1016" s="1"/>
      <c r="E1016" s="45" t="str">
        <f>IFERROR(AVERAGEIFS('Picarro Output'!G:G, 'Picarro Output'!$B:$B, 'Uncalibrated Data'!$C1016, 'Picarro Output'!$I:$I, 0, 'Picarro Output'!$J:$J, 1), "")</f>
        <v/>
      </c>
    </row>
    <row r="1017" spans="2:5" x14ac:dyDescent="0.45">
      <c r="B1017" s="1"/>
      <c r="E1017" s="45" t="str">
        <f>IFERROR(AVERAGEIFS('Picarro Output'!G:G, 'Picarro Output'!$B:$B, 'Uncalibrated Data'!$C1017, 'Picarro Output'!$I:$I, 0, 'Picarro Output'!$J:$J, 1), "")</f>
        <v/>
      </c>
    </row>
    <row r="1018" spans="2:5" x14ac:dyDescent="0.45">
      <c r="B1018" s="1"/>
      <c r="E1018" s="45" t="str">
        <f>IFERROR(AVERAGEIFS('Picarro Output'!G:G, 'Picarro Output'!$B:$B, 'Uncalibrated Data'!$C1018, 'Picarro Output'!$I:$I, 0, 'Picarro Output'!$J:$J, 1), "")</f>
        <v/>
      </c>
    </row>
    <row r="1019" spans="2:5" x14ac:dyDescent="0.45">
      <c r="B1019" s="1"/>
      <c r="E1019" s="45" t="str">
        <f>IFERROR(AVERAGEIFS('Picarro Output'!G:G, 'Picarro Output'!$B:$B, 'Uncalibrated Data'!$C1019, 'Picarro Output'!$I:$I, 0, 'Picarro Output'!$J:$J, 1), "")</f>
        <v/>
      </c>
    </row>
    <row r="1020" spans="2:5" x14ac:dyDescent="0.45">
      <c r="B1020" s="1"/>
      <c r="E1020" s="45" t="str">
        <f>IFERROR(AVERAGEIFS('Picarro Output'!G:G, 'Picarro Output'!$B:$B, 'Uncalibrated Data'!$C1020, 'Picarro Output'!$I:$I, 0, 'Picarro Output'!$J:$J, 1), "")</f>
        <v/>
      </c>
    </row>
    <row r="1021" spans="2:5" x14ac:dyDescent="0.45">
      <c r="B1021" s="1"/>
      <c r="E1021" s="45" t="str">
        <f>IFERROR(AVERAGEIFS('Picarro Output'!G:G, 'Picarro Output'!$B:$B, 'Uncalibrated Data'!$C1021, 'Picarro Output'!$I:$I, 0, 'Picarro Output'!$J:$J, 1), "")</f>
        <v/>
      </c>
    </row>
    <row r="1022" spans="2:5" x14ac:dyDescent="0.45">
      <c r="B1022" s="1"/>
      <c r="E1022" s="45" t="str">
        <f>IFERROR(AVERAGEIFS('Picarro Output'!G:G, 'Picarro Output'!$B:$B, 'Uncalibrated Data'!$C1022, 'Picarro Output'!$I:$I, 0, 'Picarro Output'!$J:$J, 1), "")</f>
        <v/>
      </c>
    </row>
    <row r="1023" spans="2:5" x14ac:dyDescent="0.45">
      <c r="B1023" s="1"/>
      <c r="E1023" s="45" t="str">
        <f>IFERROR(AVERAGEIFS('Picarro Output'!G:G, 'Picarro Output'!$B:$B, 'Uncalibrated Data'!$C1023, 'Picarro Output'!$I:$I, 0, 'Picarro Output'!$J:$J, 1), "")</f>
        <v/>
      </c>
    </row>
    <row r="1024" spans="2:5" x14ac:dyDescent="0.45">
      <c r="B1024" s="1"/>
      <c r="E1024" s="45" t="str">
        <f>IFERROR(AVERAGEIFS('Picarro Output'!G:G, 'Picarro Output'!$B:$B, 'Uncalibrated Data'!$C1024, 'Picarro Output'!$I:$I, 0, 'Picarro Output'!$J:$J, 1), "")</f>
        <v/>
      </c>
    </row>
    <row r="1025" spans="2:5" x14ac:dyDescent="0.45">
      <c r="B1025" s="1"/>
      <c r="E1025" s="45" t="str">
        <f>IFERROR(AVERAGEIFS('Picarro Output'!G:G, 'Picarro Output'!$B:$B, 'Uncalibrated Data'!$C1025, 'Picarro Output'!$I:$I, 0, 'Picarro Output'!$J:$J, 1), "")</f>
        <v/>
      </c>
    </row>
    <row r="1026" spans="2:5" x14ac:dyDescent="0.45">
      <c r="B1026" s="1"/>
      <c r="E1026" s="45" t="str">
        <f>IFERROR(AVERAGEIFS('Picarro Output'!G:G, 'Picarro Output'!$B:$B, 'Uncalibrated Data'!$C1026, 'Picarro Output'!$I:$I, 0, 'Picarro Output'!$J:$J, 1), "")</f>
        <v/>
      </c>
    </row>
    <row r="1027" spans="2:5" x14ac:dyDescent="0.45">
      <c r="B1027" s="1"/>
      <c r="E1027" s="45" t="str">
        <f>IFERROR(AVERAGEIFS('Picarro Output'!G:G, 'Picarro Output'!$B:$B, 'Uncalibrated Data'!$C1027, 'Picarro Output'!$I:$I, 0, 'Picarro Output'!$J:$J, 1), "")</f>
        <v/>
      </c>
    </row>
    <row r="1028" spans="2:5" x14ac:dyDescent="0.45">
      <c r="B1028" s="1"/>
      <c r="E1028" s="45" t="str">
        <f>IFERROR(AVERAGEIFS('Picarro Output'!G:G, 'Picarro Output'!$B:$B, 'Uncalibrated Data'!$C1028, 'Picarro Output'!$I:$I, 0, 'Picarro Output'!$J:$J, 1), "")</f>
        <v/>
      </c>
    </row>
    <row r="1029" spans="2:5" x14ac:dyDescent="0.45">
      <c r="B1029" s="1"/>
      <c r="E1029" s="45" t="str">
        <f>IFERROR(AVERAGEIFS('Picarro Output'!G:G, 'Picarro Output'!$B:$B, 'Uncalibrated Data'!$C1029, 'Picarro Output'!$I:$I, 0, 'Picarro Output'!$J:$J, 1), "")</f>
        <v/>
      </c>
    </row>
    <row r="1030" spans="2:5" x14ac:dyDescent="0.45">
      <c r="B1030" s="1"/>
      <c r="E1030" s="45" t="str">
        <f>IFERROR(AVERAGEIFS('Picarro Output'!G:G, 'Picarro Output'!$B:$B, 'Uncalibrated Data'!$C1030, 'Picarro Output'!$I:$I, 0, 'Picarro Output'!$J:$J, 1), "")</f>
        <v/>
      </c>
    </row>
    <row r="1031" spans="2:5" x14ac:dyDescent="0.45">
      <c r="B1031" s="1"/>
      <c r="E1031" s="45" t="str">
        <f>IFERROR(AVERAGEIFS('Picarro Output'!G:G, 'Picarro Output'!$B:$B, 'Uncalibrated Data'!$C1031, 'Picarro Output'!$I:$I, 0, 'Picarro Output'!$J:$J, 1), "")</f>
        <v/>
      </c>
    </row>
    <row r="1032" spans="2:5" x14ac:dyDescent="0.45">
      <c r="B1032" s="1"/>
      <c r="E1032" s="45" t="str">
        <f>IFERROR(AVERAGEIFS('Picarro Output'!G:G, 'Picarro Output'!$B:$B, 'Uncalibrated Data'!$C1032, 'Picarro Output'!$I:$I, 0, 'Picarro Output'!$J:$J, 1), "")</f>
        <v/>
      </c>
    </row>
    <row r="1033" spans="2:5" x14ac:dyDescent="0.45">
      <c r="B1033" s="1"/>
      <c r="E1033" s="45" t="str">
        <f>IFERROR(AVERAGEIFS('Picarro Output'!G:G, 'Picarro Output'!$B:$B, 'Uncalibrated Data'!$C1033, 'Picarro Output'!$I:$I, 0, 'Picarro Output'!$J:$J, 1), "")</f>
        <v/>
      </c>
    </row>
    <row r="1034" spans="2:5" x14ac:dyDescent="0.45">
      <c r="B1034" s="1"/>
      <c r="E1034" s="45" t="str">
        <f>IFERROR(AVERAGEIFS('Picarro Output'!G:G, 'Picarro Output'!$B:$B, 'Uncalibrated Data'!$C1034, 'Picarro Output'!$I:$I, 0, 'Picarro Output'!$J:$J, 1), "")</f>
        <v/>
      </c>
    </row>
    <row r="1035" spans="2:5" x14ac:dyDescent="0.45">
      <c r="B1035" s="1"/>
      <c r="E1035" s="45" t="str">
        <f>IFERROR(AVERAGEIFS('Picarro Output'!G:G, 'Picarro Output'!$B:$B, 'Uncalibrated Data'!$C1035, 'Picarro Output'!$I:$I, 0, 'Picarro Output'!$J:$J, 1), "")</f>
        <v/>
      </c>
    </row>
    <row r="1036" spans="2:5" x14ac:dyDescent="0.45">
      <c r="B1036" s="1"/>
      <c r="E1036" s="45" t="str">
        <f>IFERROR(AVERAGEIFS('Picarro Output'!G:G, 'Picarro Output'!$B:$B, 'Uncalibrated Data'!$C1036, 'Picarro Output'!$I:$I, 0, 'Picarro Output'!$J:$J, 1), "")</f>
        <v/>
      </c>
    </row>
    <row r="1037" spans="2:5" x14ac:dyDescent="0.45">
      <c r="B1037" s="1"/>
      <c r="E1037" s="45" t="str">
        <f>IFERROR(AVERAGEIFS('Picarro Output'!G:G, 'Picarro Output'!$B:$B, 'Uncalibrated Data'!$C1037, 'Picarro Output'!$I:$I, 0, 'Picarro Output'!$J:$J, 1), "")</f>
        <v/>
      </c>
    </row>
    <row r="1038" spans="2:5" x14ac:dyDescent="0.45">
      <c r="B1038" s="1"/>
      <c r="E1038" s="45" t="str">
        <f>IFERROR(AVERAGEIFS('Picarro Output'!G:G, 'Picarro Output'!$B:$B, 'Uncalibrated Data'!$C1038, 'Picarro Output'!$I:$I, 0, 'Picarro Output'!$J:$J, 1), "")</f>
        <v/>
      </c>
    </row>
    <row r="1039" spans="2:5" x14ac:dyDescent="0.45">
      <c r="B1039" s="1"/>
      <c r="E1039" s="45" t="str">
        <f>IFERROR(AVERAGEIFS('Picarro Output'!G:G, 'Picarro Output'!$B:$B, 'Uncalibrated Data'!$C1039, 'Picarro Output'!$I:$I, 0, 'Picarro Output'!$J:$J, 1), "")</f>
        <v/>
      </c>
    </row>
    <row r="1040" spans="2:5" x14ac:dyDescent="0.45">
      <c r="B1040" s="1"/>
      <c r="E1040" s="45" t="str">
        <f>IFERROR(AVERAGEIFS('Picarro Output'!G:G, 'Picarro Output'!$B:$B, 'Uncalibrated Data'!$C1040, 'Picarro Output'!$I:$I, 0, 'Picarro Output'!$J:$J, 1), "")</f>
        <v/>
      </c>
    </row>
    <row r="1041" spans="2:5" x14ac:dyDescent="0.45">
      <c r="B1041" s="1"/>
      <c r="E1041" s="45" t="str">
        <f>IFERROR(AVERAGEIFS('Picarro Output'!G:G, 'Picarro Output'!$B:$B, 'Uncalibrated Data'!$C1041, 'Picarro Output'!$I:$I, 0, 'Picarro Output'!$J:$J, 1), "")</f>
        <v/>
      </c>
    </row>
    <row r="1042" spans="2:5" x14ac:dyDescent="0.45">
      <c r="B1042" s="1"/>
      <c r="E1042" s="45" t="str">
        <f>IFERROR(AVERAGEIFS('Picarro Output'!G:G, 'Picarro Output'!$B:$B, 'Uncalibrated Data'!$C1042, 'Picarro Output'!$I:$I, 0, 'Picarro Output'!$J:$J, 1), "")</f>
        <v/>
      </c>
    </row>
    <row r="1043" spans="2:5" x14ac:dyDescent="0.45">
      <c r="B1043" s="1"/>
      <c r="E1043" s="45" t="str">
        <f>IFERROR(AVERAGEIFS('Picarro Output'!G:G, 'Picarro Output'!$B:$B, 'Uncalibrated Data'!$C1043, 'Picarro Output'!$I:$I, 0, 'Picarro Output'!$J:$J, 1), "")</f>
        <v/>
      </c>
    </row>
    <row r="1044" spans="2:5" x14ac:dyDescent="0.45">
      <c r="B1044" s="1"/>
      <c r="E1044" s="45" t="str">
        <f>IFERROR(AVERAGEIFS('Picarro Output'!G:G, 'Picarro Output'!$B:$B, 'Uncalibrated Data'!$C1044, 'Picarro Output'!$I:$I, 0, 'Picarro Output'!$J:$J, 1), "")</f>
        <v/>
      </c>
    </row>
    <row r="1045" spans="2:5" x14ac:dyDescent="0.45">
      <c r="B1045" s="1"/>
      <c r="E1045" s="45" t="str">
        <f>IFERROR(AVERAGEIFS('Picarro Output'!G:G, 'Picarro Output'!$B:$B, 'Uncalibrated Data'!$C1045, 'Picarro Output'!$I:$I, 0, 'Picarro Output'!$J:$J, 1), "")</f>
        <v/>
      </c>
    </row>
    <row r="1046" spans="2:5" x14ac:dyDescent="0.45">
      <c r="B1046" s="1"/>
      <c r="E1046" s="45" t="str">
        <f>IFERROR(AVERAGEIFS('Picarro Output'!G:G, 'Picarro Output'!$B:$B, 'Uncalibrated Data'!$C1046, 'Picarro Output'!$I:$I, 0, 'Picarro Output'!$J:$J, 1), "")</f>
        <v/>
      </c>
    </row>
    <row r="1047" spans="2:5" x14ac:dyDescent="0.45">
      <c r="B1047" s="1"/>
      <c r="E1047" s="45" t="str">
        <f>IFERROR(AVERAGEIFS('Picarro Output'!G:G, 'Picarro Output'!$B:$B, 'Uncalibrated Data'!$C1047, 'Picarro Output'!$I:$I, 0, 'Picarro Output'!$J:$J, 1), "")</f>
        <v/>
      </c>
    </row>
    <row r="1048" spans="2:5" x14ac:dyDescent="0.45">
      <c r="B1048" s="1"/>
      <c r="E1048" s="45" t="str">
        <f>IFERROR(AVERAGEIFS('Picarro Output'!G:G, 'Picarro Output'!$B:$B, 'Uncalibrated Data'!$C1048, 'Picarro Output'!$I:$I, 0, 'Picarro Output'!$J:$J, 1), "")</f>
        <v/>
      </c>
    </row>
    <row r="1049" spans="2:5" x14ac:dyDescent="0.45">
      <c r="B1049" s="1"/>
      <c r="E1049" s="45" t="str">
        <f>IFERROR(AVERAGEIFS('Picarro Output'!G:G, 'Picarro Output'!$B:$B, 'Uncalibrated Data'!$C1049, 'Picarro Output'!$I:$I, 0, 'Picarro Output'!$J:$J, 1), "")</f>
        <v/>
      </c>
    </row>
    <row r="1050" spans="2:5" x14ac:dyDescent="0.45">
      <c r="B1050" s="1"/>
      <c r="E1050" s="45" t="str">
        <f>IFERROR(AVERAGEIFS('Picarro Output'!G:G, 'Picarro Output'!$B:$B, 'Uncalibrated Data'!$C1050, 'Picarro Output'!$I:$I, 0, 'Picarro Output'!$J:$J, 1), "")</f>
        <v/>
      </c>
    </row>
    <row r="1051" spans="2:5" x14ac:dyDescent="0.45">
      <c r="B1051" s="1"/>
      <c r="E1051" s="45" t="str">
        <f>IFERROR(AVERAGEIFS('Picarro Output'!G:G, 'Picarro Output'!$B:$B, 'Uncalibrated Data'!$C1051, 'Picarro Output'!$I:$I, 0, 'Picarro Output'!$J:$J, 1), "")</f>
        <v/>
      </c>
    </row>
    <row r="1052" spans="2:5" x14ac:dyDescent="0.45">
      <c r="B1052" s="1"/>
      <c r="E1052" s="45" t="str">
        <f>IFERROR(AVERAGEIFS('Picarro Output'!G:G, 'Picarro Output'!$B:$B, 'Uncalibrated Data'!$C1052, 'Picarro Output'!$I:$I, 0, 'Picarro Output'!$J:$J, 1), "")</f>
        <v/>
      </c>
    </row>
    <row r="1053" spans="2:5" x14ac:dyDescent="0.45">
      <c r="B1053" s="1"/>
      <c r="E1053" s="45" t="str">
        <f>IFERROR(AVERAGEIFS('Picarro Output'!G:G, 'Picarro Output'!$B:$B, 'Uncalibrated Data'!$C1053, 'Picarro Output'!$I:$I, 0, 'Picarro Output'!$J:$J, 1), "")</f>
        <v/>
      </c>
    </row>
    <row r="1054" spans="2:5" x14ac:dyDescent="0.45">
      <c r="B1054" s="1"/>
      <c r="E1054" s="45" t="str">
        <f>IFERROR(AVERAGEIFS('Picarro Output'!G:G, 'Picarro Output'!$B:$B, 'Uncalibrated Data'!$C1054, 'Picarro Output'!$I:$I, 0, 'Picarro Output'!$J:$J, 1), "")</f>
        <v/>
      </c>
    </row>
    <row r="1055" spans="2:5" x14ac:dyDescent="0.45">
      <c r="B1055" s="1"/>
      <c r="E1055" s="45" t="str">
        <f>IFERROR(AVERAGEIFS('Picarro Output'!G:G, 'Picarro Output'!$B:$B, 'Uncalibrated Data'!$C1055, 'Picarro Output'!$I:$I, 0, 'Picarro Output'!$J:$J, 1), "")</f>
        <v/>
      </c>
    </row>
    <row r="1056" spans="2:5" x14ac:dyDescent="0.45">
      <c r="B1056" s="1"/>
      <c r="E1056" s="45" t="str">
        <f>IFERROR(AVERAGEIFS('Picarro Output'!G:G, 'Picarro Output'!$B:$B, 'Uncalibrated Data'!$C1056, 'Picarro Output'!$I:$I, 0, 'Picarro Output'!$J:$J, 1), "")</f>
        <v/>
      </c>
    </row>
    <row r="1057" spans="2:5" x14ac:dyDescent="0.45">
      <c r="B1057" s="1"/>
      <c r="E1057" s="45" t="str">
        <f>IFERROR(AVERAGEIFS('Picarro Output'!G:G, 'Picarro Output'!$B:$B, 'Uncalibrated Data'!$C1057, 'Picarro Output'!$I:$I, 0, 'Picarro Output'!$J:$J, 1), "")</f>
        <v/>
      </c>
    </row>
    <row r="1058" spans="2:5" x14ac:dyDescent="0.45">
      <c r="B1058" s="1"/>
      <c r="E1058" s="45" t="str">
        <f>IFERROR(AVERAGEIFS('Picarro Output'!G:G, 'Picarro Output'!$B:$B, 'Uncalibrated Data'!$C1058, 'Picarro Output'!$I:$I, 0, 'Picarro Output'!$J:$J, 1), "")</f>
        <v/>
      </c>
    </row>
    <row r="1059" spans="2:5" x14ac:dyDescent="0.45">
      <c r="B1059" s="1"/>
      <c r="E1059" s="45" t="str">
        <f>IFERROR(AVERAGEIFS('Picarro Output'!G:G, 'Picarro Output'!$B:$B, 'Uncalibrated Data'!$C1059, 'Picarro Output'!$I:$I, 0, 'Picarro Output'!$J:$J, 1), "")</f>
        <v/>
      </c>
    </row>
    <row r="1060" spans="2:5" x14ac:dyDescent="0.45">
      <c r="B1060" s="1"/>
      <c r="E1060" s="45" t="str">
        <f>IFERROR(AVERAGEIFS('Picarro Output'!G:G, 'Picarro Output'!$B:$B, 'Uncalibrated Data'!$C1060, 'Picarro Output'!$I:$I, 0, 'Picarro Output'!$J:$J, 1), "")</f>
        <v/>
      </c>
    </row>
    <row r="1061" spans="2:5" x14ac:dyDescent="0.45">
      <c r="B1061" s="1"/>
      <c r="E1061" s="45" t="str">
        <f>IFERROR(AVERAGEIFS('Picarro Output'!G:G, 'Picarro Output'!$B:$B, 'Uncalibrated Data'!$C1061, 'Picarro Output'!$I:$I, 0, 'Picarro Output'!$J:$J, 1), "")</f>
        <v/>
      </c>
    </row>
    <row r="1062" spans="2:5" x14ac:dyDescent="0.45">
      <c r="B1062" s="1"/>
      <c r="E1062" s="45" t="str">
        <f>IFERROR(AVERAGEIFS('Picarro Output'!G:G, 'Picarro Output'!$B:$B, 'Uncalibrated Data'!$C1062, 'Picarro Output'!$I:$I, 0, 'Picarro Output'!$J:$J, 1), "")</f>
        <v/>
      </c>
    </row>
    <row r="1063" spans="2:5" x14ac:dyDescent="0.45">
      <c r="B1063" s="1"/>
      <c r="E1063" s="45" t="str">
        <f>IFERROR(AVERAGEIFS('Picarro Output'!G:G, 'Picarro Output'!$B:$B, 'Uncalibrated Data'!$C1063, 'Picarro Output'!$I:$I, 0, 'Picarro Output'!$J:$J, 1), "")</f>
        <v/>
      </c>
    </row>
    <row r="1064" spans="2:5" x14ac:dyDescent="0.45">
      <c r="B1064" s="1"/>
      <c r="E1064" s="45" t="str">
        <f>IFERROR(AVERAGEIFS('Picarro Output'!G:G, 'Picarro Output'!$B:$B, 'Uncalibrated Data'!$C1064, 'Picarro Output'!$I:$I, 0, 'Picarro Output'!$J:$J, 1), "")</f>
        <v/>
      </c>
    </row>
    <row r="1065" spans="2:5" x14ac:dyDescent="0.45">
      <c r="B1065" s="1"/>
      <c r="E1065" s="45" t="str">
        <f>IFERROR(AVERAGEIFS('Picarro Output'!G:G, 'Picarro Output'!$B:$B, 'Uncalibrated Data'!$C1065, 'Picarro Output'!$I:$I, 0, 'Picarro Output'!$J:$J, 1), "")</f>
        <v/>
      </c>
    </row>
    <row r="1066" spans="2:5" x14ac:dyDescent="0.45">
      <c r="B1066" s="1"/>
      <c r="E1066" s="45" t="str">
        <f>IFERROR(AVERAGEIFS('Picarro Output'!G:G, 'Picarro Output'!$B:$B, 'Uncalibrated Data'!$C1066, 'Picarro Output'!$I:$I, 0, 'Picarro Output'!$J:$J, 1), "")</f>
        <v/>
      </c>
    </row>
    <row r="1067" spans="2:5" x14ac:dyDescent="0.45">
      <c r="B1067" s="1"/>
      <c r="E1067" s="45" t="str">
        <f>IFERROR(AVERAGEIFS('Picarro Output'!G:G, 'Picarro Output'!$B:$B, 'Uncalibrated Data'!$C1067, 'Picarro Output'!$I:$I, 0, 'Picarro Output'!$J:$J, 1), "")</f>
        <v/>
      </c>
    </row>
    <row r="1068" spans="2:5" x14ac:dyDescent="0.45">
      <c r="B1068" s="1"/>
      <c r="E1068" s="45" t="str">
        <f>IFERROR(AVERAGEIFS('Picarro Output'!G:G, 'Picarro Output'!$B:$B, 'Uncalibrated Data'!$C1068, 'Picarro Output'!$I:$I, 0, 'Picarro Output'!$J:$J, 1), "")</f>
        <v/>
      </c>
    </row>
    <row r="1069" spans="2:5" x14ac:dyDescent="0.45">
      <c r="B1069" s="1"/>
      <c r="E1069" s="45" t="str">
        <f>IFERROR(AVERAGEIFS('Picarro Output'!G:G, 'Picarro Output'!$B:$B, 'Uncalibrated Data'!$C1069, 'Picarro Output'!$I:$I, 0, 'Picarro Output'!$J:$J, 1), "")</f>
        <v/>
      </c>
    </row>
    <row r="1070" spans="2:5" x14ac:dyDescent="0.45">
      <c r="B1070" s="1"/>
      <c r="E1070" s="45" t="str">
        <f>IFERROR(AVERAGEIFS('Picarro Output'!G:G, 'Picarro Output'!$B:$B, 'Uncalibrated Data'!$C1070, 'Picarro Output'!$I:$I, 0, 'Picarro Output'!$J:$J, 1), "")</f>
        <v/>
      </c>
    </row>
    <row r="1071" spans="2:5" x14ac:dyDescent="0.45">
      <c r="B1071" s="1"/>
      <c r="E1071" s="45" t="str">
        <f>IFERROR(AVERAGEIFS('Picarro Output'!G:G, 'Picarro Output'!$B:$B, 'Uncalibrated Data'!$C1071, 'Picarro Output'!$I:$I, 0, 'Picarro Output'!$J:$J, 1), "")</f>
        <v/>
      </c>
    </row>
    <row r="1072" spans="2:5" x14ac:dyDescent="0.45">
      <c r="B1072" s="1"/>
      <c r="E1072" s="45" t="str">
        <f>IFERROR(AVERAGEIFS('Picarro Output'!G:G, 'Picarro Output'!$B:$B, 'Uncalibrated Data'!$C1072, 'Picarro Output'!$I:$I, 0, 'Picarro Output'!$J:$J, 1), "")</f>
        <v/>
      </c>
    </row>
    <row r="1073" spans="2:5" x14ac:dyDescent="0.45">
      <c r="B1073" s="1"/>
      <c r="E1073" s="45" t="str">
        <f>IFERROR(AVERAGEIFS('Picarro Output'!G:G, 'Picarro Output'!$B:$B, 'Uncalibrated Data'!$C1073, 'Picarro Output'!$I:$I, 0, 'Picarro Output'!$J:$J, 1), "")</f>
        <v/>
      </c>
    </row>
    <row r="1074" spans="2:5" x14ac:dyDescent="0.45">
      <c r="B1074" s="1"/>
      <c r="E1074" s="45" t="str">
        <f>IFERROR(AVERAGEIFS('Picarro Output'!G:G, 'Picarro Output'!$B:$B, 'Uncalibrated Data'!$C1074, 'Picarro Output'!$I:$I, 0, 'Picarro Output'!$J:$J, 1), "")</f>
        <v/>
      </c>
    </row>
    <row r="1075" spans="2:5" x14ac:dyDescent="0.45">
      <c r="B1075" s="1"/>
      <c r="E1075" s="45" t="str">
        <f>IFERROR(AVERAGEIFS('Picarro Output'!G:G, 'Picarro Output'!$B:$B, 'Uncalibrated Data'!$C1075, 'Picarro Output'!$I:$I, 0, 'Picarro Output'!$J:$J, 1), "")</f>
        <v/>
      </c>
    </row>
    <row r="1076" spans="2:5" x14ac:dyDescent="0.45">
      <c r="B1076" s="1"/>
      <c r="E1076" s="45" t="str">
        <f>IFERROR(AVERAGEIFS('Picarro Output'!G:G, 'Picarro Output'!$B:$B, 'Uncalibrated Data'!$C1076, 'Picarro Output'!$I:$I, 0, 'Picarro Output'!$J:$J, 1), "")</f>
        <v/>
      </c>
    </row>
    <row r="1077" spans="2:5" x14ac:dyDescent="0.45">
      <c r="B1077" s="1"/>
      <c r="E1077" s="45" t="str">
        <f>IFERROR(AVERAGEIFS('Picarro Output'!G:G, 'Picarro Output'!$B:$B, 'Uncalibrated Data'!$C1077, 'Picarro Output'!$I:$I, 0, 'Picarro Output'!$J:$J, 1), "")</f>
        <v/>
      </c>
    </row>
    <row r="1078" spans="2:5" x14ac:dyDescent="0.45">
      <c r="B1078" s="1"/>
      <c r="E1078" s="45" t="str">
        <f>IFERROR(AVERAGEIFS('Picarro Output'!G:G, 'Picarro Output'!$B:$B, 'Uncalibrated Data'!$C1078, 'Picarro Output'!$I:$I, 0, 'Picarro Output'!$J:$J, 1), "")</f>
        <v/>
      </c>
    </row>
    <row r="1079" spans="2:5" x14ac:dyDescent="0.45">
      <c r="B1079" s="1"/>
      <c r="E1079" s="45" t="str">
        <f>IFERROR(AVERAGEIFS('Picarro Output'!G:G, 'Picarro Output'!$B:$B, 'Uncalibrated Data'!$C1079, 'Picarro Output'!$I:$I, 0, 'Picarro Output'!$J:$J, 1), "")</f>
        <v/>
      </c>
    </row>
    <row r="1080" spans="2:5" x14ac:dyDescent="0.45">
      <c r="B1080" s="1"/>
      <c r="E1080" s="45" t="str">
        <f>IFERROR(AVERAGEIFS('Picarro Output'!G:G, 'Picarro Output'!$B:$B, 'Uncalibrated Data'!$C1080, 'Picarro Output'!$I:$I, 0, 'Picarro Output'!$J:$J, 1), "")</f>
        <v/>
      </c>
    </row>
    <row r="1081" spans="2:5" x14ac:dyDescent="0.45">
      <c r="B1081" s="1"/>
      <c r="E1081" s="45" t="str">
        <f>IFERROR(AVERAGEIFS('Picarro Output'!G:G, 'Picarro Output'!$B:$B, 'Uncalibrated Data'!$C1081, 'Picarro Output'!$I:$I, 0, 'Picarro Output'!$J:$J, 1), "")</f>
        <v/>
      </c>
    </row>
    <row r="1082" spans="2:5" x14ac:dyDescent="0.45">
      <c r="B1082" s="1"/>
      <c r="E1082" s="45" t="str">
        <f>IFERROR(AVERAGEIFS('Picarro Output'!G:G, 'Picarro Output'!$B:$B, 'Uncalibrated Data'!$C1082, 'Picarro Output'!$I:$I, 0, 'Picarro Output'!$J:$J, 1), "")</f>
        <v/>
      </c>
    </row>
    <row r="1083" spans="2:5" x14ac:dyDescent="0.45">
      <c r="B1083" s="1"/>
      <c r="E1083" s="45" t="str">
        <f>IFERROR(AVERAGEIFS('Picarro Output'!G:G, 'Picarro Output'!$B:$B, 'Uncalibrated Data'!$C1083, 'Picarro Output'!$I:$I, 0, 'Picarro Output'!$J:$J, 1), "")</f>
        <v/>
      </c>
    </row>
    <row r="1084" spans="2:5" x14ac:dyDescent="0.45">
      <c r="B1084" s="1"/>
      <c r="E1084" s="45" t="str">
        <f>IFERROR(AVERAGEIFS('Picarro Output'!G:G, 'Picarro Output'!$B:$B, 'Uncalibrated Data'!$C1084, 'Picarro Output'!$I:$I, 0, 'Picarro Output'!$J:$J, 1), "")</f>
        <v/>
      </c>
    </row>
    <row r="1085" spans="2:5" x14ac:dyDescent="0.45">
      <c r="B1085" s="1"/>
      <c r="E1085" s="45" t="str">
        <f>IFERROR(AVERAGEIFS('Picarro Output'!G:G, 'Picarro Output'!$B:$B, 'Uncalibrated Data'!$C1085, 'Picarro Output'!$I:$I, 0, 'Picarro Output'!$J:$J, 1), "")</f>
        <v/>
      </c>
    </row>
    <row r="1086" spans="2:5" x14ac:dyDescent="0.45">
      <c r="B1086" s="1"/>
      <c r="E1086" s="45" t="str">
        <f>IFERROR(AVERAGEIFS('Picarro Output'!G:G, 'Picarro Output'!$B:$B, 'Uncalibrated Data'!$C1086, 'Picarro Output'!$I:$I, 0, 'Picarro Output'!$J:$J, 1), "")</f>
        <v/>
      </c>
    </row>
    <row r="1087" spans="2:5" x14ac:dyDescent="0.45">
      <c r="B1087" s="1"/>
      <c r="E1087" s="45" t="str">
        <f>IFERROR(AVERAGEIFS('Picarro Output'!G:G, 'Picarro Output'!$B:$B, 'Uncalibrated Data'!$C1087, 'Picarro Output'!$I:$I, 0, 'Picarro Output'!$J:$J, 1), "")</f>
        <v/>
      </c>
    </row>
    <row r="1088" spans="2:5" x14ac:dyDescent="0.45">
      <c r="B1088" s="1"/>
      <c r="E1088" s="45" t="str">
        <f>IFERROR(AVERAGEIFS('Picarro Output'!G:G, 'Picarro Output'!$B:$B, 'Uncalibrated Data'!$C1088, 'Picarro Output'!$I:$I, 0, 'Picarro Output'!$J:$J, 1), "")</f>
        <v/>
      </c>
    </row>
    <row r="1089" spans="2:5" x14ac:dyDescent="0.45">
      <c r="B1089" s="1"/>
      <c r="E1089" s="45" t="str">
        <f>IFERROR(AVERAGEIFS('Picarro Output'!G:G, 'Picarro Output'!$B:$B, 'Uncalibrated Data'!$C1089, 'Picarro Output'!$I:$I, 0, 'Picarro Output'!$J:$J, 1), "")</f>
        <v/>
      </c>
    </row>
    <row r="1090" spans="2:5" x14ac:dyDescent="0.45">
      <c r="B1090" s="1"/>
      <c r="E1090" s="45" t="str">
        <f>IFERROR(AVERAGEIFS('Picarro Output'!G:G, 'Picarro Output'!$B:$B, 'Uncalibrated Data'!$C1090, 'Picarro Output'!$I:$I, 0, 'Picarro Output'!$J:$J, 1), "")</f>
        <v/>
      </c>
    </row>
    <row r="1091" spans="2:5" x14ac:dyDescent="0.45">
      <c r="B1091" s="1"/>
      <c r="E1091" s="45" t="str">
        <f>IFERROR(AVERAGEIFS('Picarro Output'!G:G, 'Picarro Output'!$B:$B, 'Uncalibrated Data'!$C1091, 'Picarro Output'!$I:$I, 0, 'Picarro Output'!$J:$J, 1), "")</f>
        <v/>
      </c>
    </row>
    <row r="1092" spans="2:5" x14ac:dyDescent="0.45">
      <c r="B1092" s="1"/>
      <c r="E1092" s="45" t="str">
        <f>IFERROR(AVERAGEIFS('Picarro Output'!G:G, 'Picarro Output'!$B:$B, 'Uncalibrated Data'!$C1092, 'Picarro Output'!$I:$I, 0, 'Picarro Output'!$J:$J, 1), "")</f>
        <v/>
      </c>
    </row>
    <row r="1093" spans="2:5" x14ac:dyDescent="0.45">
      <c r="B1093" s="1"/>
      <c r="E1093" s="45" t="str">
        <f>IFERROR(AVERAGEIFS('Picarro Output'!G:G, 'Picarro Output'!$B:$B, 'Uncalibrated Data'!$C1093, 'Picarro Output'!$I:$I, 0, 'Picarro Output'!$J:$J, 1), "")</f>
        <v/>
      </c>
    </row>
    <row r="1094" spans="2:5" x14ac:dyDescent="0.45">
      <c r="B1094" s="1"/>
      <c r="E1094" s="45" t="str">
        <f>IFERROR(AVERAGEIFS('Picarro Output'!G:G, 'Picarro Output'!$B:$B, 'Uncalibrated Data'!$C1094, 'Picarro Output'!$I:$I, 0, 'Picarro Output'!$J:$J, 1), "")</f>
        <v/>
      </c>
    </row>
    <row r="1095" spans="2:5" x14ac:dyDescent="0.45">
      <c r="B1095" s="1"/>
      <c r="E1095" s="45" t="str">
        <f>IFERROR(AVERAGEIFS('Picarro Output'!G:G, 'Picarro Output'!$B:$B, 'Uncalibrated Data'!$C1095, 'Picarro Output'!$I:$I, 0, 'Picarro Output'!$J:$J, 1), "")</f>
        <v/>
      </c>
    </row>
    <row r="1096" spans="2:5" x14ac:dyDescent="0.45">
      <c r="B1096" s="1"/>
      <c r="E1096" s="45" t="str">
        <f>IFERROR(AVERAGEIFS('Picarro Output'!G:G, 'Picarro Output'!$B:$B, 'Uncalibrated Data'!$C1096, 'Picarro Output'!$I:$I, 0, 'Picarro Output'!$J:$J, 1), "")</f>
        <v/>
      </c>
    </row>
    <row r="1097" spans="2:5" x14ac:dyDescent="0.45">
      <c r="B1097" s="1"/>
      <c r="E1097" s="45" t="str">
        <f>IFERROR(AVERAGEIFS('Picarro Output'!G:G, 'Picarro Output'!$B:$B, 'Uncalibrated Data'!$C1097, 'Picarro Output'!$I:$I, 0, 'Picarro Output'!$J:$J, 1), "")</f>
        <v/>
      </c>
    </row>
    <row r="1098" spans="2:5" x14ac:dyDescent="0.45">
      <c r="B1098" s="1"/>
      <c r="E1098" s="45" t="str">
        <f>IFERROR(AVERAGEIFS('Picarro Output'!G:G, 'Picarro Output'!$B:$B, 'Uncalibrated Data'!$C1098, 'Picarro Output'!$I:$I, 0, 'Picarro Output'!$J:$J, 1), "")</f>
        <v/>
      </c>
    </row>
    <row r="1099" spans="2:5" x14ac:dyDescent="0.45">
      <c r="B1099" s="1"/>
      <c r="E1099" s="45" t="str">
        <f>IFERROR(AVERAGEIFS('Picarro Output'!G:G, 'Picarro Output'!$B:$B, 'Uncalibrated Data'!$C1099, 'Picarro Output'!$I:$I, 0, 'Picarro Output'!$J:$J, 1), "")</f>
        <v/>
      </c>
    </row>
    <row r="1100" spans="2:5" x14ac:dyDescent="0.45">
      <c r="B1100" s="1"/>
      <c r="E1100" s="45" t="str">
        <f>IFERROR(AVERAGEIFS('Picarro Output'!G:G, 'Picarro Output'!$B:$B, 'Uncalibrated Data'!$C1100, 'Picarro Output'!$I:$I, 0, 'Picarro Output'!$J:$J, 1), "")</f>
        <v/>
      </c>
    </row>
    <row r="1101" spans="2:5" x14ac:dyDescent="0.45">
      <c r="B1101" s="1"/>
      <c r="E1101" s="45" t="str">
        <f>IFERROR(AVERAGEIFS('Picarro Output'!G:G, 'Picarro Output'!$B:$B, 'Uncalibrated Data'!$C1101, 'Picarro Output'!$I:$I, 0, 'Picarro Output'!$J:$J, 1), "")</f>
        <v/>
      </c>
    </row>
    <row r="1102" spans="2:5" x14ac:dyDescent="0.45">
      <c r="B1102" s="1"/>
      <c r="E1102" s="45" t="str">
        <f>IFERROR(AVERAGEIFS('Picarro Output'!G:G, 'Picarro Output'!$B:$B, 'Uncalibrated Data'!$C1102, 'Picarro Output'!$I:$I, 0, 'Picarro Output'!$J:$J, 1), "")</f>
        <v/>
      </c>
    </row>
    <row r="1103" spans="2:5" x14ac:dyDescent="0.45">
      <c r="B1103" s="1"/>
      <c r="E1103" s="45" t="str">
        <f>IFERROR(AVERAGEIFS('Picarro Output'!G:G, 'Picarro Output'!$B:$B, 'Uncalibrated Data'!$C1103, 'Picarro Output'!$I:$I, 0, 'Picarro Output'!$J:$J, 1), "")</f>
        <v/>
      </c>
    </row>
    <row r="1104" spans="2:5" x14ac:dyDescent="0.45">
      <c r="B1104" s="1"/>
      <c r="E1104" s="45" t="str">
        <f>IFERROR(AVERAGEIFS('Picarro Output'!G:G, 'Picarro Output'!$B:$B, 'Uncalibrated Data'!$C1104, 'Picarro Output'!$I:$I, 0, 'Picarro Output'!$J:$J, 1), "")</f>
        <v/>
      </c>
    </row>
    <row r="1105" spans="2:5" x14ac:dyDescent="0.45">
      <c r="B1105" s="1"/>
      <c r="E1105" s="45" t="str">
        <f>IFERROR(AVERAGEIFS('Picarro Output'!G:G, 'Picarro Output'!$B:$B, 'Uncalibrated Data'!$C1105, 'Picarro Output'!$I:$I, 0, 'Picarro Output'!$J:$J, 1), "")</f>
        <v/>
      </c>
    </row>
    <row r="1106" spans="2:5" x14ac:dyDescent="0.45">
      <c r="B1106" s="1"/>
      <c r="E1106" s="45" t="str">
        <f>IFERROR(AVERAGEIFS('Picarro Output'!G:G, 'Picarro Output'!$B:$B, 'Uncalibrated Data'!$C1106, 'Picarro Output'!$I:$I, 0, 'Picarro Output'!$J:$J, 1), "")</f>
        <v/>
      </c>
    </row>
    <row r="1107" spans="2:5" x14ac:dyDescent="0.45">
      <c r="B1107" s="1"/>
      <c r="E1107" s="45" t="str">
        <f>IFERROR(AVERAGEIFS('Picarro Output'!G:G, 'Picarro Output'!$B:$B, 'Uncalibrated Data'!$C1107, 'Picarro Output'!$I:$I, 0, 'Picarro Output'!$J:$J, 1), "")</f>
        <v/>
      </c>
    </row>
    <row r="1108" spans="2:5" x14ac:dyDescent="0.45">
      <c r="B1108" s="1"/>
      <c r="E1108" s="45" t="str">
        <f>IFERROR(AVERAGEIFS('Picarro Output'!G:G, 'Picarro Output'!$B:$B, 'Uncalibrated Data'!$C1108, 'Picarro Output'!$I:$I, 0, 'Picarro Output'!$J:$J, 1), "")</f>
        <v/>
      </c>
    </row>
    <row r="1109" spans="2:5" x14ac:dyDescent="0.45">
      <c r="B1109" s="1"/>
      <c r="E1109" s="45" t="str">
        <f>IFERROR(AVERAGEIFS('Picarro Output'!G:G, 'Picarro Output'!$B:$B, 'Uncalibrated Data'!$C1109, 'Picarro Output'!$I:$I, 0, 'Picarro Output'!$J:$J, 1), "")</f>
        <v/>
      </c>
    </row>
    <row r="1110" spans="2:5" x14ac:dyDescent="0.45">
      <c r="B1110" s="1"/>
      <c r="E1110" s="45" t="str">
        <f>IFERROR(AVERAGEIFS('Picarro Output'!G:G, 'Picarro Output'!$B:$B, 'Uncalibrated Data'!$C1110, 'Picarro Output'!$I:$I, 0, 'Picarro Output'!$J:$J, 1), "")</f>
        <v/>
      </c>
    </row>
    <row r="1111" spans="2:5" x14ac:dyDescent="0.45">
      <c r="B1111" s="1"/>
      <c r="E1111" s="45" t="str">
        <f>IFERROR(AVERAGEIFS('Picarro Output'!G:G, 'Picarro Output'!$B:$B, 'Uncalibrated Data'!$C1111, 'Picarro Output'!$I:$I, 0, 'Picarro Output'!$J:$J, 1), "")</f>
        <v/>
      </c>
    </row>
    <row r="1112" spans="2:5" x14ac:dyDescent="0.45">
      <c r="B1112" s="1"/>
      <c r="E1112" s="45" t="str">
        <f>IFERROR(AVERAGEIFS('Picarro Output'!G:G, 'Picarro Output'!$B:$B, 'Uncalibrated Data'!$C1112, 'Picarro Output'!$I:$I, 0, 'Picarro Output'!$J:$J, 1), "")</f>
        <v/>
      </c>
    </row>
    <row r="1113" spans="2:5" x14ac:dyDescent="0.45">
      <c r="B1113" s="1"/>
      <c r="E1113" s="45" t="str">
        <f>IFERROR(AVERAGEIFS('Picarro Output'!G:G, 'Picarro Output'!$B:$B, 'Uncalibrated Data'!$C1113, 'Picarro Output'!$I:$I, 0, 'Picarro Output'!$J:$J, 1), "")</f>
        <v/>
      </c>
    </row>
    <row r="1114" spans="2:5" x14ac:dyDescent="0.45">
      <c r="B1114" s="1"/>
      <c r="E1114" s="45" t="str">
        <f>IFERROR(AVERAGEIFS('Picarro Output'!G:G, 'Picarro Output'!$B:$B, 'Uncalibrated Data'!$C1114, 'Picarro Output'!$I:$I, 0, 'Picarro Output'!$J:$J, 1), "")</f>
        <v/>
      </c>
    </row>
    <row r="1115" spans="2:5" x14ac:dyDescent="0.45">
      <c r="B1115" s="1"/>
      <c r="E1115" s="45" t="str">
        <f>IFERROR(AVERAGEIFS('Picarro Output'!G:G, 'Picarro Output'!$B:$B, 'Uncalibrated Data'!$C1115, 'Picarro Output'!$I:$I, 0, 'Picarro Output'!$J:$J, 1), "")</f>
        <v/>
      </c>
    </row>
    <row r="1116" spans="2:5" x14ac:dyDescent="0.45">
      <c r="B1116" s="1"/>
      <c r="E1116" s="45" t="str">
        <f>IFERROR(AVERAGEIFS('Picarro Output'!G:G, 'Picarro Output'!$B:$B, 'Uncalibrated Data'!$C1116, 'Picarro Output'!$I:$I, 0, 'Picarro Output'!$J:$J, 1), "")</f>
        <v/>
      </c>
    </row>
    <row r="1117" spans="2:5" x14ac:dyDescent="0.45">
      <c r="B1117" s="1"/>
      <c r="E1117" s="45" t="str">
        <f>IFERROR(AVERAGEIFS('Picarro Output'!G:G, 'Picarro Output'!$B:$B, 'Uncalibrated Data'!$C1117, 'Picarro Output'!$I:$I, 0, 'Picarro Output'!$J:$J, 1), "")</f>
        <v/>
      </c>
    </row>
    <row r="1118" spans="2:5" x14ac:dyDescent="0.45">
      <c r="B1118" s="1"/>
      <c r="E1118" s="45" t="str">
        <f>IFERROR(AVERAGEIFS('Picarro Output'!G:G, 'Picarro Output'!$B:$B, 'Uncalibrated Data'!$C1118, 'Picarro Output'!$I:$I, 0, 'Picarro Output'!$J:$J, 1), "")</f>
        <v/>
      </c>
    </row>
    <row r="1119" spans="2:5" x14ac:dyDescent="0.45">
      <c r="B1119" s="1"/>
      <c r="E1119" s="45" t="str">
        <f>IFERROR(AVERAGEIFS('Picarro Output'!G:G, 'Picarro Output'!$B:$B, 'Uncalibrated Data'!$C1119, 'Picarro Output'!$I:$I, 0, 'Picarro Output'!$J:$J, 1), "")</f>
        <v/>
      </c>
    </row>
    <row r="1120" spans="2:5" x14ac:dyDescent="0.45">
      <c r="B1120" s="1"/>
      <c r="E1120" s="45" t="str">
        <f>IFERROR(AVERAGEIFS('Picarro Output'!G:G, 'Picarro Output'!$B:$B, 'Uncalibrated Data'!$C1120, 'Picarro Output'!$I:$I, 0, 'Picarro Output'!$J:$J, 1), "")</f>
        <v/>
      </c>
    </row>
    <row r="1121" spans="2:5" x14ac:dyDescent="0.45">
      <c r="B1121" s="1"/>
      <c r="E1121" s="45" t="str">
        <f>IFERROR(AVERAGEIFS('Picarro Output'!G:G, 'Picarro Output'!$B:$B, 'Uncalibrated Data'!$C1121, 'Picarro Output'!$I:$I, 0, 'Picarro Output'!$J:$J, 1), "")</f>
        <v/>
      </c>
    </row>
    <row r="1122" spans="2:5" x14ac:dyDescent="0.45">
      <c r="B1122" s="1"/>
      <c r="E1122" s="45" t="str">
        <f>IFERROR(AVERAGEIFS('Picarro Output'!G:G, 'Picarro Output'!$B:$B, 'Uncalibrated Data'!$C1122, 'Picarro Output'!$I:$I, 0, 'Picarro Output'!$J:$J, 1), "")</f>
        <v/>
      </c>
    </row>
    <row r="1123" spans="2:5" x14ac:dyDescent="0.45">
      <c r="B1123" s="1"/>
      <c r="E1123" s="45" t="str">
        <f>IFERROR(AVERAGEIFS('Picarro Output'!G:G, 'Picarro Output'!$B:$B, 'Uncalibrated Data'!$C1123, 'Picarro Output'!$I:$I, 0, 'Picarro Output'!$J:$J, 1), "")</f>
        <v/>
      </c>
    </row>
    <row r="1124" spans="2:5" x14ac:dyDescent="0.45">
      <c r="B1124" s="1"/>
      <c r="E1124" s="45" t="str">
        <f>IFERROR(AVERAGEIFS('Picarro Output'!G:G, 'Picarro Output'!$B:$B, 'Uncalibrated Data'!$C1124, 'Picarro Output'!$I:$I, 0, 'Picarro Output'!$J:$J, 1), "")</f>
        <v/>
      </c>
    </row>
    <row r="1125" spans="2:5" x14ac:dyDescent="0.45">
      <c r="B1125" s="1"/>
      <c r="E1125" s="45" t="str">
        <f>IFERROR(AVERAGEIFS('Picarro Output'!G:G, 'Picarro Output'!$B:$B, 'Uncalibrated Data'!$C1125, 'Picarro Output'!$I:$I, 0, 'Picarro Output'!$J:$J, 1), "")</f>
        <v/>
      </c>
    </row>
    <row r="1126" spans="2:5" x14ac:dyDescent="0.45">
      <c r="B1126" s="1"/>
      <c r="E1126" s="45" t="str">
        <f>IFERROR(AVERAGEIFS('Picarro Output'!G:G, 'Picarro Output'!$B:$B, 'Uncalibrated Data'!$C1126, 'Picarro Output'!$I:$I, 0, 'Picarro Output'!$J:$J, 1), "")</f>
        <v/>
      </c>
    </row>
    <row r="1127" spans="2:5" x14ac:dyDescent="0.45">
      <c r="B1127" s="1"/>
      <c r="E1127" s="45" t="str">
        <f>IFERROR(AVERAGEIFS('Picarro Output'!G:G, 'Picarro Output'!$B:$B, 'Uncalibrated Data'!$C1127, 'Picarro Output'!$I:$I, 0, 'Picarro Output'!$J:$J, 1), "")</f>
        <v/>
      </c>
    </row>
    <row r="1128" spans="2:5" x14ac:dyDescent="0.45">
      <c r="B1128" s="1"/>
      <c r="E1128" s="45" t="str">
        <f>IFERROR(AVERAGEIFS('Picarro Output'!G:G, 'Picarro Output'!$B:$B, 'Uncalibrated Data'!$C1128, 'Picarro Output'!$I:$I, 0, 'Picarro Output'!$J:$J, 1), "")</f>
        <v/>
      </c>
    </row>
    <row r="1129" spans="2:5" x14ac:dyDescent="0.45">
      <c r="B1129" s="1"/>
      <c r="E1129" s="45" t="str">
        <f>IFERROR(AVERAGEIFS('Picarro Output'!G:G, 'Picarro Output'!$B:$B, 'Uncalibrated Data'!$C1129, 'Picarro Output'!$I:$I, 0, 'Picarro Output'!$J:$J, 1), "")</f>
        <v/>
      </c>
    </row>
    <row r="1130" spans="2:5" x14ac:dyDescent="0.45">
      <c r="B1130" s="1"/>
      <c r="E1130" s="45" t="str">
        <f>IFERROR(AVERAGEIFS('Picarro Output'!G:G, 'Picarro Output'!$B:$B, 'Uncalibrated Data'!$C1130, 'Picarro Output'!$I:$I, 0, 'Picarro Output'!$J:$J, 1), "")</f>
        <v/>
      </c>
    </row>
    <row r="1131" spans="2:5" x14ac:dyDescent="0.45">
      <c r="B1131" s="1"/>
      <c r="E1131" s="45" t="str">
        <f>IFERROR(AVERAGEIFS('Picarro Output'!G:G, 'Picarro Output'!$B:$B, 'Uncalibrated Data'!$C1131, 'Picarro Output'!$I:$I, 0, 'Picarro Output'!$J:$J, 1), "")</f>
        <v/>
      </c>
    </row>
    <row r="1132" spans="2:5" x14ac:dyDescent="0.45">
      <c r="B1132" s="1"/>
      <c r="E1132" s="45" t="str">
        <f>IFERROR(AVERAGEIFS('Picarro Output'!G:G, 'Picarro Output'!$B:$B, 'Uncalibrated Data'!$C1132, 'Picarro Output'!$I:$I, 0, 'Picarro Output'!$J:$J, 1), "")</f>
        <v/>
      </c>
    </row>
    <row r="1133" spans="2:5" x14ac:dyDescent="0.45">
      <c r="B1133" s="1"/>
      <c r="E1133" s="45" t="str">
        <f>IFERROR(AVERAGEIFS('Picarro Output'!G:G, 'Picarro Output'!$B:$B, 'Uncalibrated Data'!$C1133, 'Picarro Output'!$I:$I, 0, 'Picarro Output'!$J:$J, 1), "")</f>
        <v/>
      </c>
    </row>
    <row r="1134" spans="2:5" x14ac:dyDescent="0.45">
      <c r="B1134" s="1"/>
      <c r="E1134" s="45" t="str">
        <f>IFERROR(AVERAGEIFS('Picarro Output'!G:G, 'Picarro Output'!$B:$B, 'Uncalibrated Data'!$C1134, 'Picarro Output'!$I:$I, 0, 'Picarro Output'!$J:$J, 1), "")</f>
        <v/>
      </c>
    </row>
    <row r="1135" spans="2:5" x14ac:dyDescent="0.45">
      <c r="B1135" s="1"/>
      <c r="E1135" s="45" t="str">
        <f>IFERROR(AVERAGEIFS('Picarro Output'!G:G, 'Picarro Output'!$B:$B, 'Uncalibrated Data'!$C1135, 'Picarro Output'!$I:$I, 0, 'Picarro Output'!$J:$J, 1), "")</f>
        <v/>
      </c>
    </row>
    <row r="1136" spans="2:5" x14ac:dyDescent="0.45">
      <c r="B1136" s="1"/>
      <c r="E1136" s="45" t="str">
        <f>IFERROR(AVERAGEIFS('Picarro Output'!G:G, 'Picarro Output'!$B:$B, 'Uncalibrated Data'!$C1136, 'Picarro Output'!$I:$I, 0, 'Picarro Output'!$J:$J, 1), "")</f>
        <v/>
      </c>
    </row>
    <row r="1137" spans="2:5" x14ac:dyDescent="0.45">
      <c r="B1137" s="1"/>
      <c r="E1137" s="45" t="str">
        <f>IFERROR(AVERAGEIFS('Picarro Output'!G:G, 'Picarro Output'!$B:$B, 'Uncalibrated Data'!$C1137, 'Picarro Output'!$I:$I, 0, 'Picarro Output'!$J:$J, 1), "")</f>
        <v/>
      </c>
    </row>
    <row r="1138" spans="2:5" x14ac:dyDescent="0.45">
      <c r="B1138" s="1"/>
      <c r="E1138" s="45" t="str">
        <f>IFERROR(AVERAGEIFS('Picarro Output'!G:G, 'Picarro Output'!$B:$B, 'Uncalibrated Data'!$C1138, 'Picarro Output'!$I:$I, 0, 'Picarro Output'!$J:$J, 1), "")</f>
        <v/>
      </c>
    </row>
    <row r="1139" spans="2:5" x14ac:dyDescent="0.45">
      <c r="B1139" s="1"/>
      <c r="E1139" s="45" t="str">
        <f>IFERROR(AVERAGEIFS('Picarro Output'!G:G, 'Picarro Output'!$B:$B, 'Uncalibrated Data'!$C1139, 'Picarro Output'!$I:$I, 0, 'Picarro Output'!$J:$J, 1), "")</f>
        <v/>
      </c>
    </row>
    <row r="1140" spans="2:5" x14ac:dyDescent="0.45">
      <c r="B1140" s="1"/>
      <c r="E1140" s="45" t="str">
        <f>IFERROR(AVERAGEIFS('Picarro Output'!G:G, 'Picarro Output'!$B:$B, 'Uncalibrated Data'!$C1140, 'Picarro Output'!$I:$I, 0, 'Picarro Output'!$J:$J, 1), "")</f>
        <v/>
      </c>
    </row>
    <row r="1141" spans="2:5" x14ac:dyDescent="0.45">
      <c r="B1141" s="1"/>
      <c r="E1141" s="45" t="str">
        <f>IFERROR(AVERAGEIFS('Picarro Output'!G:G, 'Picarro Output'!$B:$B, 'Uncalibrated Data'!$C1141, 'Picarro Output'!$I:$I, 0, 'Picarro Output'!$J:$J, 1), "")</f>
        <v/>
      </c>
    </row>
    <row r="1142" spans="2:5" x14ac:dyDescent="0.45">
      <c r="B1142" s="1"/>
      <c r="E1142" s="45" t="str">
        <f>IFERROR(AVERAGEIFS('Picarro Output'!G:G, 'Picarro Output'!$B:$B, 'Uncalibrated Data'!$C1142, 'Picarro Output'!$I:$I, 0, 'Picarro Output'!$J:$J, 1), "")</f>
        <v/>
      </c>
    </row>
    <row r="1143" spans="2:5" x14ac:dyDescent="0.45">
      <c r="B1143" s="1"/>
      <c r="E1143" s="45" t="str">
        <f>IFERROR(AVERAGEIFS('Picarro Output'!G:G, 'Picarro Output'!$B:$B, 'Uncalibrated Data'!$C1143, 'Picarro Output'!$I:$I, 0, 'Picarro Output'!$J:$J, 1), "")</f>
        <v/>
      </c>
    </row>
    <row r="1144" spans="2:5" x14ac:dyDescent="0.45">
      <c r="B1144" s="1"/>
      <c r="E1144" s="45" t="str">
        <f>IFERROR(AVERAGEIFS('Picarro Output'!G:G, 'Picarro Output'!$B:$B, 'Uncalibrated Data'!$C1144, 'Picarro Output'!$I:$I, 0, 'Picarro Output'!$J:$J, 1), "")</f>
        <v/>
      </c>
    </row>
    <row r="1145" spans="2:5" x14ac:dyDescent="0.45">
      <c r="B1145" s="1"/>
      <c r="E1145" s="45" t="str">
        <f>IFERROR(AVERAGEIFS('Picarro Output'!G:G, 'Picarro Output'!$B:$B, 'Uncalibrated Data'!$C1145, 'Picarro Output'!$I:$I, 0, 'Picarro Output'!$J:$J, 1), "")</f>
        <v/>
      </c>
    </row>
    <row r="1146" spans="2:5" x14ac:dyDescent="0.45">
      <c r="B1146" s="1"/>
      <c r="E1146" s="45" t="str">
        <f>IFERROR(AVERAGEIFS('Picarro Output'!G:G, 'Picarro Output'!$B:$B, 'Uncalibrated Data'!$C1146, 'Picarro Output'!$I:$I, 0, 'Picarro Output'!$J:$J, 1), "")</f>
        <v/>
      </c>
    </row>
    <row r="1147" spans="2:5" x14ac:dyDescent="0.45">
      <c r="B1147" s="1"/>
      <c r="E1147" s="45" t="str">
        <f>IFERROR(AVERAGEIFS('Picarro Output'!G:G, 'Picarro Output'!$B:$B, 'Uncalibrated Data'!$C1147, 'Picarro Output'!$I:$I, 0, 'Picarro Output'!$J:$J, 1), "")</f>
        <v/>
      </c>
    </row>
    <row r="1148" spans="2:5" x14ac:dyDescent="0.45">
      <c r="B1148" s="1"/>
      <c r="E1148" s="45" t="str">
        <f>IFERROR(AVERAGEIFS('Picarro Output'!G:G, 'Picarro Output'!$B:$B, 'Uncalibrated Data'!$C1148, 'Picarro Output'!$I:$I, 0, 'Picarro Output'!$J:$J, 1), "")</f>
        <v/>
      </c>
    </row>
    <row r="1149" spans="2:5" x14ac:dyDescent="0.45">
      <c r="B1149" s="1"/>
      <c r="E1149" s="45" t="str">
        <f>IFERROR(AVERAGEIFS('Picarro Output'!G:G, 'Picarro Output'!$B:$B, 'Uncalibrated Data'!$C1149, 'Picarro Output'!$I:$I, 0, 'Picarro Output'!$J:$J, 1), "")</f>
        <v/>
      </c>
    </row>
    <row r="1150" spans="2:5" x14ac:dyDescent="0.45">
      <c r="B1150" s="1"/>
      <c r="E1150" s="45" t="str">
        <f>IFERROR(AVERAGEIFS('Picarro Output'!G:G, 'Picarro Output'!$B:$B, 'Uncalibrated Data'!$C1150, 'Picarro Output'!$I:$I, 0, 'Picarro Output'!$J:$J, 1), "")</f>
        <v/>
      </c>
    </row>
    <row r="1151" spans="2:5" x14ac:dyDescent="0.45">
      <c r="B1151" s="1"/>
      <c r="E1151" s="45" t="str">
        <f>IFERROR(AVERAGEIFS('Picarro Output'!G:G, 'Picarro Output'!$B:$B, 'Uncalibrated Data'!$C1151, 'Picarro Output'!$I:$I, 0, 'Picarro Output'!$J:$J, 1), "")</f>
        <v/>
      </c>
    </row>
    <row r="1152" spans="2:5" x14ac:dyDescent="0.45">
      <c r="B1152" s="1"/>
      <c r="E1152" s="45" t="str">
        <f>IFERROR(AVERAGEIFS('Picarro Output'!G:G, 'Picarro Output'!$B:$B, 'Uncalibrated Data'!$C1152, 'Picarro Output'!$I:$I, 0, 'Picarro Output'!$J:$J, 1), "")</f>
        <v/>
      </c>
    </row>
    <row r="1153" spans="2:5" x14ac:dyDescent="0.45">
      <c r="B1153" s="1"/>
      <c r="E1153" s="45" t="str">
        <f>IFERROR(AVERAGEIFS('Picarro Output'!G:G, 'Picarro Output'!$B:$B, 'Uncalibrated Data'!$C1153, 'Picarro Output'!$I:$I, 0, 'Picarro Output'!$J:$J, 1), "")</f>
        <v/>
      </c>
    </row>
    <row r="1154" spans="2:5" x14ac:dyDescent="0.45">
      <c r="B1154" s="1"/>
      <c r="E1154" s="45" t="str">
        <f>IFERROR(AVERAGEIFS('Picarro Output'!G:G, 'Picarro Output'!$B:$B, 'Uncalibrated Data'!$C1154, 'Picarro Output'!$I:$I, 0, 'Picarro Output'!$J:$J, 1), "")</f>
        <v/>
      </c>
    </row>
    <row r="1155" spans="2:5" x14ac:dyDescent="0.45">
      <c r="B1155" s="1"/>
      <c r="E1155" s="45" t="str">
        <f>IFERROR(AVERAGEIFS('Picarro Output'!G:G, 'Picarro Output'!$B:$B, 'Uncalibrated Data'!$C1155, 'Picarro Output'!$I:$I, 0, 'Picarro Output'!$J:$J, 1), "")</f>
        <v/>
      </c>
    </row>
    <row r="1156" spans="2:5" x14ac:dyDescent="0.45">
      <c r="B1156" s="1"/>
      <c r="E1156" s="45" t="str">
        <f>IFERROR(AVERAGEIFS('Picarro Output'!G:G, 'Picarro Output'!$B:$B, 'Uncalibrated Data'!$C1156, 'Picarro Output'!$I:$I, 0, 'Picarro Output'!$J:$J, 1), "")</f>
        <v/>
      </c>
    </row>
    <row r="1157" spans="2:5" x14ac:dyDescent="0.45">
      <c r="B1157" s="1"/>
      <c r="E1157" s="45" t="str">
        <f>IFERROR(AVERAGEIFS('Picarro Output'!G:G, 'Picarro Output'!$B:$B, 'Uncalibrated Data'!$C1157, 'Picarro Output'!$I:$I, 0, 'Picarro Output'!$J:$J, 1), "")</f>
        <v/>
      </c>
    </row>
    <row r="1158" spans="2:5" x14ac:dyDescent="0.45">
      <c r="B1158" s="1"/>
      <c r="E1158" s="45" t="str">
        <f>IFERROR(AVERAGEIFS('Picarro Output'!G:G, 'Picarro Output'!$B:$B, 'Uncalibrated Data'!$C1158, 'Picarro Output'!$I:$I, 0, 'Picarro Output'!$J:$J, 1), "")</f>
        <v/>
      </c>
    </row>
    <row r="1159" spans="2:5" x14ac:dyDescent="0.45">
      <c r="B1159" s="1"/>
      <c r="E1159" s="45" t="str">
        <f>IFERROR(AVERAGEIFS('Picarro Output'!G:G, 'Picarro Output'!$B:$B, 'Uncalibrated Data'!$C1159, 'Picarro Output'!$I:$I, 0, 'Picarro Output'!$J:$J, 1), "")</f>
        <v/>
      </c>
    </row>
    <row r="1160" spans="2:5" x14ac:dyDescent="0.45">
      <c r="B1160" s="1"/>
      <c r="E1160" s="45" t="str">
        <f>IFERROR(AVERAGEIFS('Picarro Output'!G:G, 'Picarro Output'!$B:$B, 'Uncalibrated Data'!$C1160, 'Picarro Output'!$I:$I, 0, 'Picarro Output'!$J:$J, 1), "")</f>
        <v/>
      </c>
    </row>
    <row r="1161" spans="2:5" x14ac:dyDescent="0.45">
      <c r="B1161" s="1"/>
      <c r="E1161" s="45" t="str">
        <f>IFERROR(AVERAGEIFS('Picarro Output'!G:G, 'Picarro Output'!$B:$B, 'Uncalibrated Data'!$C1161, 'Picarro Output'!$I:$I, 0, 'Picarro Output'!$J:$J, 1), "")</f>
        <v/>
      </c>
    </row>
    <row r="1162" spans="2:5" x14ac:dyDescent="0.45">
      <c r="B1162" s="1"/>
      <c r="E1162" s="45" t="str">
        <f>IFERROR(AVERAGEIFS('Picarro Output'!G:G, 'Picarro Output'!$B:$B, 'Uncalibrated Data'!$C1162, 'Picarro Output'!$I:$I, 0, 'Picarro Output'!$J:$J, 1), "")</f>
        <v/>
      </c>
    </row>
    <row r="1163" spans="2:5" x14ac:dyDescent="0.45">
      <c r="B1163" s="1"/>
      <c r="E1163" s="45" t="str">
        <f>IFERROR(AVERAGEIFS('Picarro Output'!G:G, 'Picarro Output'!$B:$B, 'Uncalibrated Data'!$C1163, 'Picarro Output'!$I:$I, 0, 'Picarro Output'!$J:$J, 1), "")</f>
        <v/>
      </c>
    </row>
    <row r="1164" spans="2:5" x14ac:dyDescent="0.45">
      <c r="B1164" s="1"/>
      <c r="E1164" s="45" t="str">
        <f>IFERROR(AVERAGEIFS('Picarro Output'!G:G, 'Picarro Output'!$B:$B, 'Uncalibrated Data'!$C1164, 'Picarro Output'!$I:$I, 0, 'Picarro Output'!$J:$J, 1), "")</f>
        <v/>
      </c>
    </row>
    <row r="1165" spans="2:5" x14ac:dyDescent="0.45">
      <c r="B1165" s="1"/>
      <c r="E1165" s="45" t="str">
        <f>IFERROR(AVERAGEIFS('Picarro Output'!G:G, 'Picarro Output'!$B:$B, 'Uncalibrated Data'!$C1165, 'Picarro Output'!$I:$I, 0, 'Picarro Output'!$J:$J, 1), "")</f>
        <v/>
      </c>
    </row>
    <row r="1166" spans="2:5" x14ac:dyDescent="0.45">
      <c r="B1166" s="1"/>
      <c r="E1166" s="45" t="str">
        <f>IFERROR(AVERAGEIFS('Picarro Output'!G:G, 'Picarro Output'!$B:$B, 'Uncalibrated Data'!$C1166, 'Picarro Output'!$I:$I, 0, 'Picarro Output'!$J:$J, 1), "")</f>
        <v/>
      </c>
    </row>
    <row r="1167" spans="2:5" x14ac:dyDescent="0.45">
      <c r="B1167" s="1"/>
      <c r="E1167" s="45" t="str">
        <f>IFERROR(AVERAGEIFS('Picarro Output'!G:G, 'Picarro Output'!$B:$B, 'Uncalibrated Data'!$C1167, 'Picarro Output'!$I:$I, 0, 'Picarro Output'!$J:$J, 1), "")</f>
        <v/>
      </c>
    </row>
    <row r="1168" spans="2:5" x14ac:dyDescent="0.45">
      <c r="B1168" s="1"/>
      <c r="E1168" s="45" t="str">
        <f>IFERROR(AVERAGEIFS('Picarro Output'!G:G, 'Picarro Output'!$B:$B, 'Uncalibrated Data'!$C1168, 'Picarro Output'!$I:$I, 0, 'Picarro Output'!$J:$J, 1), "")</f>
        <v/>
      </c>
    </row>
    <row r="1169" spans="2:5" x14ac:dyDescent="0.45">
      <c r="B1169" s="1"/>
      <c r="E1169" s="45" t="str">
        <f>IFERROR(AVERAGEIFS('Picarro Output'!G:G, 'Picarro Output'!$B:$B, 'Uncalibrated Data'!$C1169, 'Picarro Output'!$I:$I, 0, 'Picarro Output'!$J:$J, 1), "")</f>
        <v/>
      </c>
    </row>
    <row r="1170" spans="2:5" x14ac:dyDescent="0.45">
      <c r="B1170" s="1"/>
      <c r="E1170" s="45" t="str">
        <f>IFERROR(AVERAGEIFS('Picarro Output'!G:G, 'Picarro Output'!$B:$B, 'Uncalibrated Data'!$C1170, 'Picarro Output'!$I:$I, 0, 'Picarro Output'!$J:$J, 1), "")</f>
        <v/>
      </c>
    </row>
    <row r="1171" spans="2:5" x14ac:dyDescent="0.45">
      <c r="B1171" s="1"/>
      <c r="E1171" s="45" t="str">
        <f>IFERROR(AVERAGEIFS('Picarro Output'!G:G, 'Picarro Output'!$B:$B, 'Uncalibrated Data'!$C1171, 'Picarro Output'!$I:$I, 0, 'Picarro Output'!$J:$J, 1), "")</f>
        <v/>
      </c>
    </row>
    <row r="1172" spans="2:5" x14ac:dyDescent="0.45">
      <c r="B1172" s="1"/>
      <c r="E1172" s="45" t="str">
        <f>IFERROR(AVERAGEIFS('Picarro Output'!G:G, 'Picarro Output'!$B:$B, 'Uncalibrated Data'!$C1172, 'Picarro Output'!$I:$I, 0, 'Picarro Output'!$J:$J, 1), "")</f>
        <v/>
      </c>
    </row>
    <row r="1173" spans="2:5" x14ac:dyDescent="0.45">
      <c r="B1173" s="1"/>
      <c r="E1173" s="45" t="str">
        <f>IFERROR(AVERAGEIFS('Picarro Output'!G:G, 'Picarro Output'!$B:$B, 'Uncalibrated Data'!$C1173, 'Picarro Output'!$I:$I, 0, 'Picarro Output'!$J:$J, 1), "")</f>
        <v/>
      </c>
    </row>
    <row r="1174" spans="2:5" x14ac:dyDescent="0.45">
      <c r="B1174" s="1"/>
      <c r="E1174" s="45" t="str">
        <f>IFERROR(AVERAGEIFS('Picarro Output'!G:G, 'Picarro Output'!$B:$B, 'Uncalibrated Data'!$C1174, 'Picarro Output'!$I:$I, 0, 'Picarro Output'!$J:$J, 1), "")</f>
        <v/>
      </c>
    </row>
    <row r="1175" spans="2:5" x14ac:dyDescent="0.45">
      <c r="B1175" s="1"/>
      <c r="E1175" s="45" t="str">
        <f>IFERROR(AVERAGEIFS('Picarro Output'!G:G, 'Picarro Output'!$B:$B, 'Uncalibrated Data'!$C1175, 'Picarro Output'!$I:$I, 0, 'Picarro Output'!$J:$J, 1), "")</f>
        <v/>
      </c>
    </row>
    <row r="1176" spans="2:5" x14ac:dyDescent="0.45">
      <c r="B1176" s="1"/>
      <c r="E1176" s="45" t="str">
        <f>IFERROR(AVERAGEIFS('Picarro Output'!G:G, 'Picarro Output'!$B:$B, 'Uncalibrated Data'!$C1176, 'Picarro Output'!$I:$I, 0, 'Picarro Output'!$J:$J, 1), "")</f>
        <v/>
      </c>
    </row>
    <row r="1177" spans="2:5" x14ac:dyDescent="0.45">
      <c r="B1177" s="1"/>
      <c r="E1177" s="45" t="str">
        <f>IFERROR(AVERAGEIFS('Picarro Output'!G:G, 'Picarro Output'!$B:$B, 'Uncalibrated Data'!$C1177, 'Picarro Output'!$I:$I, 0, 'Picarro Output'!$J:$J, 1), "")</f>
        <v/>
      </c>
    </row>
    <row r="1178" spans="2:5" x14ac:dyDescent="0.45">
      <c r="B1178" s="1"/>
      <c r="E1178" s="45" t="str">
        <f>IFERROR(AVERAGEIFS('Picarro Output'!G:G, 'Picarro Output'!$B:$B, 'Uncalibrated Data'!$C1178, 'Picarro Output'!$I:$I, 0, 'Picarro Output'!$J:$J, 1), "")</f>
        <v/>
      </c>
    </row>
    <row r="1179" spans="2:5" x14ac:dyDescent="0.45">
      <c r="B1179" s="1"/>
      <c r="E1179" s="45" t="str">
        <f>IFERROR(AVERAGEIFS('Picarro Output'!G:G, 'Picarro Output'!$B:$B, 'Uncalibrated Data'!$C1179, 'Picarro Output'!$I:$I, 0, 'Picarro Output'!$J:$J, 1), "")</f>
        <v/>
      </c>
    </row>
    <row r="1180" spans="2:5" x14ac:dyDescent="0.45">
      <c r="B1180" s="1"/>
      <c r="E1180" s="45" t="str">
        <f>IFERROR(AVERAGEIFS('Picarro Output'!G:G, 'Picarro Output'!$B:$B, 'Uncalibrated Data'!$C1180, 'Picarro Output'!$I:$I, 0, 'Picarro Output'!$J:$J, 1), "")</f>
        <v/>
      </c>
    </row>
    <row r="1181" spans="2:5" x14ac:dyDescent="0.45">
      <c r="B1181" s="1"/>
      <c r="E1181" s="45" t="str">
        <f>IFERROR(AVERAGEIFS('Picarro Output'!G:G, 'Picarro Output'!$B:$B, 'Uncalibrated Data'!$C1181, 'Picarro Output'!$I:$I, 0, 'Picarro Output'!$J:$J, 1), "")</f>
        <v/>
      </c>
    </row>
    <row r="1182" spans="2:5" x14ac:dyDescent="0.45">
      <c r="B1182" s="1"/>
      <c r="E1182" s="45" t="str">
        <f>IFERROR(AVERAGEIFS('Picarro Output'!G:G, 'Picarro Output'!$B:$B, 'Uncalibrated Data'!$C1182, 'Picarro Output'!$I:$I, 0, 'Picarro Output'!$J:$J, 1), "")</f>
        <v/>
      </c>
    </row>
    <row r="1183" spans="2:5" x14ac:dyDescent="0.45">
      <c r="B1183" s="1"/>
      <c r="E1183" s="45" t="str">
        <f>IFERROR(AVERAGEIFS('Picarro Output'!G:G, 'Picarro Output'!$B:$B, 'Uncalibrated Data'!$C1183, 'Picarro Output'!$I:$I, 0, 'Picarro Output'!$J:$J, 1), "")</f>
        <v/>
      </c>
    </row>
    <row r="1184" spans="2:5" x14ac:dyDescent="0.45">
      <c r="B1184" s="1"/>
      <c r="E1184" s="45" t="str">
        <f>IFERROR(AVERAGEIFS('Picarro Output'!G:G, 'Picarro Output'!$B:$B, 'Uncalibrated Data'!$C1184, 'Picarro Output'!$I:$I, 0, 'Picarro Output'!$J:$J, 1), "")</f>
        <v/>
      </c>
    </row>
    <row r="1185" spans="2:5" x14ac:dyDescent="0.45">
      <c r="B1185" s="1"/>
      <c r="E1185" s="45" t="str">
        <f>IFERROR(AVERAGEIFS('Picarro Output'!G:G, 'Picarro Output'!$B:$B, 'Uncalibrated Data'!$C1185, 'Picarro Output'!$I:$I, 0, 'Picarro Output'!$J:$J, 1), "")</f>
        <v/>
      </c>
    </row>
    <row r="1186" spans="2:5" x14ac:dyDescent="0.45">
      <c r="B1186" s="1"/>
      <c r="E1186" s="45" t="str">
        <f>IFERROR(AVERAGEIFS('Picarro Output'!G:G, 'Picarro Output'!$B:$B, 'Uncalibrated Data'!$C1186, 'Picarro Output'!$I:$I, 0, 'Picarro Output'!$J:$J, 1), "")</f>
        <v/>
      </c>
    </row>
    <row r="1187" spans="2:5" x14ac:dyDescent="0.45">
      <c r="B1187" s="1"/>
      <c r="E1187" s="45" t="str">
        <f>IFERROR(AVERAGEIFS('Picarro Output'!G:G, 'Picarro Output'!$B:$B, 'Uncalibrated Data'!$C1187, 'Picarro Output'!$I:$I, 0, 'Picarro Output'!$J:$J, 1), "")</f>
        <v/>
      </c>
    </row>
    <row r="1188" spans="2:5" x14ac:dyDescent="0.45">
      <c r="B1188" s="1"/>
      <c r="E1188" s="45" t="str">
        <f>IFERROR(AVERAGEIFS('Picarro Output'!G:G, 'Picarro Output'!$B:$B, 'Uncalibrated Data'!$C1188, 'Picarro Output'!$I:$I, 0, 'Picarro Output'!$J:$J, 1), "")</f>
        <v/>
      </c>
    </row>
    <row r="1189" spans="2:5" x14ac:dyDescent="0.45">
      <c r="B1189" s="1"/>
      <c r="E1189" s="45" t="str">
        <f>IFERROR(AVERAGEIFS('Picarro Output'!G:G, 'Picarro Output'!$B:$B, 'Uncalibrated Data'!$C1189, 'Picarro Output'!$I:$I, 0, 'Picarro Output'!$J:$J, 1), "")</f>
        <v/>
      </c>
    </row>
    <row r="1190" spans="2:5" x14ac:dyDescent="0.45">
      <c r="B1190" s="1"/>
      <c r="E1190" s="45" t="str">
        <f>IFERROR(AVERAGEIFS('Picarro Output'!G:G, 'Picarro Output'!$B:$B, 'Uncalibrated Data'!$C1190, 'Picarro Output'!$I:$I, 0, 'Picarro Output'!$J:$J, 1), "")</f>
        <v/>
      </c>
    </row>
    <row r="1191" spans="2:5" x14ac:dyDescent="0.45">
      <c r="B1191" s="1"/>
      <c r="E1191" s="45" t="str">
        <f>IFERROR(AVERAGEIFS('Picarro Output'!G:G, 'Picarro Output'!$B:$B, 'Uncalibrated Data'!$C1191, 'Picarro Output'!$I:$I, 0, 'Picarro Output'!$J:$J, 1), "")</f>
        <v/>
      </c>
    </row>
    <row r="1192" spans="2:5" x14ac:dyDescent="0.45">
      <c r="B1192" s="1"/>
      <c r="E1192" s="45" t="str">
        <f>IFERROR(AVERAGEIFS('Picarro Output'!G:G, 'Picarro Output'!$B:$B, 'Uncalibrated Data'!$C1192, 'Picarro Output'!$I:$I, 0, 'Picarro Output'!$J:$J, 1), "")</f>
        <v/>
      </c>
    </row>
    <row r="1193" spans="2:5" x14ac:dyDescent="0.45">
      <c r="B1193" s="1"/>
      <c r="E1193" s="45" t="str">
        <f>IFERROR(AVERAGEIFS('Picarro Output'!G:G, 'Picarro Output'!$B:$B, 'Uncalibrated Data'!$C1193, 'Picarro Output'!$I:$I, 0, 'Picarro Output'!$J:$J, 1), "")</f>
        <v/>
      </c>
    </row>
    <row r="1194" spans="2:5" x14ac:dyDescent="0.45">
      <c r="B1194" s="1"/>
      <c r="E1194" s="45" t="str">
        <f>IFERROR(AVERAGEIFS('Picarro Output'!G:G, 'Picarro Output'!$B:$B, 'Uncalibrated Data'!$C1194, 'Picarro Output'!$I:$I, 0, 'Picarro Output'!$J:$J, 1), "")</f>
        <v/>
      </c>
    </row>
    <row r="1195" spans="2:5" x14ac:dyDescent="0.45">
      <c r="B1195" s="1"/>
      <c r="E1195" s="45" t="str">
        <f>IFERROR(AVERAGEIFS('Picarro Output'!G:G, 'Picarro Output'!$B:$B, 'Uncalibrated Data'!$C1195, 'Picarro Output'!$I:$I, 0, 'Picarro Output'!$J:$J, 1), "")</f>
        <v/>
      </c>
    </row>
    <row r="1196" spans="2:5" x14ac:dyDescent="0.45">
      <c r="B1196" s="1"/>
      <c r="E1196" s="45" t="str">
        <f>IFERROR(AVERAGEIFS('Picarro Output'!G:G, 'Picarro Output'!$B:$B, 'Uncalibrated Data'!$C1196, 'Picarro Output'!$I:$I, 0, 'Picarro Output'!$J:$J, 1), "")</f>
        <v/>
      </c>
    </row>
    <row r="1197" spans="2:5" x14ac:dyDescent="0.45">
      <c r="B1197" s="1"/>
      <c r="E1197" s="45" t="str">
        <f>IFERROR(AVERAGEIFS('Picarro Output'!G:G, 'Picarro Output'!$B:$B, 'Uncalibrated Data'!$C1197, 'Picarro Output'!$I:$I, 0, 'Picarro Output'!$J:$J, 1), "")</f>
        <v/>
      </c>
    </row>
    <row r="1198" spans="2:5" x14ac:dyDescent="0.45">
      <c r="B1198" s="1"/>
      <c r="E1198" s="45" t="str">
        <f>IFERROR(AVERAGEIFS('Picarro Output'!G:G, 'Picarro Output'!$B:$B, 'Uncalibrated Data'!$C1198, 'Picarro Output'!$I:$I, 0, 'Picarro Output'!$J:$J, 1), "")</f>
        <v/>
      </c>
    </row>
    <row r="1199" spans="2:5" x14ac:dyDescent="0.45">
      <c r="B1199" s="1"/>
      <c r="E1199" s="45" t="str">
        <f>IFERROR(AVERAGEIFS('Picarro Output'!G:G, 'Picarro Output'!$B:$B, 'Uncalibrated Data'!$C1199, 'Picarro Output'!$I:$I, 0, 'Picarro Output'!$J:$J, 1), "")</f>
        <v/>
      </c>
    </row>
    <row r="1200" spans="2:5" x14ac:dyDescent="0.45">
      <c r="B1200" s="1"/>
      <c r="E1200" s="45" t="str">
        <f>IFERROR(AVERAGEIFS('Picarro Output'!G:G, 'Picarro Output'!$B:$B, 'Uncalibrated Data'!$C1200, 'Picarro Output'!$I:$I, 0, 'Picarro Output'!$J:$J, 1), "")</f>
        <v/>
      </c>
    </row>
    <row r="1201" spans="2:5" x14ac:dyDescent="0.45">
      <c r="B1201" s="1"/>
      <c r="E1201" s="45" t="str">
        <f>IFERROR(AVERAGEIFS('Picarro Output'!G:G, 'Picarro Output'!$B:$B, 'Uncalibrated Data'!$C1201, 'Picarro Output'!$I:$I, 0, 'Picarro Output'!$J:$J, 1), "")</f>
        <v/>
      </c>
    </row>
    <row r="1202" spans="2:5" x14ac:dyDescent="0.45">
      <c r="B1202" s="1"/>
      <c r="E1202" s="45" t="str">
        <f>IFERROR(AVERAGEIFS('Picarro Output'!G:G, 'Picarro Output'!$B:$B, 'Uncalibrated Data'!$C1202, 'Picarro Output'!$I:$I, 0, 'Picarro Output'!$J:$J, 1), "")</f>
        <v/>
      </c>
    </row>
    <row r="1203" spans="2:5" x14ac:dyDescent="0.45">
      <c r="B1203" s="1"/>
      <c r="E1203" s="45" t="str">
        <f>IFERROR(AVERAGEIFS('Picarro Output'!G:G, 'Picarro Output'!$B:$B, 'Uncalibrated Data'!$C1203, 'Picarro Output'!$I:$I, 0, 'Picarro Output'!$J:$J, 1), "")</f>
        <v/>
      </c>
    </row>
    <row r="1204" spans="2:5" x14ac:dyDescent="0.45">
      <c r="B1204" s="1"/>
      <c r="E1204" s="45" t="str">
        <f>IFERROR(AVERAGEIFS('Picarro Output'!G:G, 'Picarro Output'!$B:$B, 'Uncalibrated Data'!$C1204, 'Picarro Output'!$I:$I, 0, 'Picarro Output'!$J:$J, 1), "")</f>
        <v/>
      </c>
    </row>
    <row r="1205" spans="2:5" x14ac:dyDescent="0.45">
      <c r="B1205" s="1"/>
      <c r="E1205" s="45" t="str">
        <f>IFERROR(AVERAGEIFS('Picarro Output'!G:G, 'Picarro Output'!$B:$B, 'Uncalibrated Data'!$C1205, 'Picarro Output'!$I:$I, 0, 'Picarro Output'!$J:$J, 1), "")</f>
        <v/>
      </c>
    </row>
    <row r="1206" spans="2:5" x14ac:dyDescent="0.45">
      <c r="B1206" s="1"/>
      <c r="E1206" s="45" t="str">
        <f>IFERROR(AVERAGEIFS('Picarro Output'!G:G, 'Picarro Output'!$B:$B, 'Uncalibrated Data'!$C1206, 'Picarro Output'!$I:$I, 0, 'Picarro Output'!$J:$J, 1), "")</f>
        <v/>
      </c>
    </row>
    <row r="1207" spans="2:5" x14ac:dyDescent="0.45">
      <c r="B1207" s="1"/>
      <c r="E1207" s="45" t="str">
        <f>IFERROR(AVERAGEIFS('Picarro Output'!G:G, 'Picarro Output'!$B:$B, 'Uncalibrated Data'!$C1207, 'Picarro Output'!$I:$I, 0, 'Picarro Output'!$J:$J, 1), "")</f>
        <v/>
      </c>
    </row>
    <row r="1208" spans="2:5" x14ac:dyDescent="0.45">
      <c r="B1208" s="1"/>
      <c r="E1208" s="45" t="str">
        <f>IFERROR(AVERAGEIFS('Picarro Output'!G:G, 'Picarro Output'!$B:$B, 'Uncalibrated Data'!$C1208, 'Picarro Output'!$I:$I, 0, 'Picarro Output'!$J:$J, 1), "")</f>
        <v/>
      </c>
    </row>
    <row r="1209" spans="2:5" x14ac:dyDescent="0.45">
      <c r="B1209" s="1"/>
      <c r="E1209" s="45" t="str">
        <f>IFERROR(AVERAGEIFS('Picarro Output'!G:G, 'Picarro Output'!$B:$B, 'Uncalibrated Data'!$C1209, 'Picarro Output'!$I:$I, 0, 'Picarro Output'!$J:$J, 1), "")</f>
        <v/>
      </c>
    </row>
    <row r="1210" spans="2:5" x14ac:dyDescent="0.45">
      <c r="B1210" s="1"/>
      <c r="E1210" s="45" t="str">
        <f>IFERROR(AVERAGEIFS('Picarro Output'!G:G, 'Picarro Output'!$B:$B, 'Uncalibrated Data'!$C1210, 'Picarro Output'!$I:$I, 0, 'Picarro Output'!$J:$J, 1), "")</f>
        <v/>
      </c>
    </row>
    <row r="1211" spans="2:5" x14ac:dyDescent="0.45">
      <c r="B1211" s="1"/>
      <c r="E1211" s="45" t="str">
        <f>IFERROR(AVERAGEIFS('Picarro Output'!G:G, 'Picarro Output'!$B:$B, 'Uncalibrated Data'!$C1211, 'Picarro Output'!$I:$I, 0, 'Picarro Output'!$J:$J, 1), "")</f>
        <v/>
      </c>
    </row>
    <row r="1212" spans="2:5" x14ac:dyDescent="0.45">
      <c r="B1212" s="1"/>
      <c r="E1212" s="45" t="str">
        <f>IFERROR(AVERAGEIFS('Picarro Output'!G:G, 'Picarro Output'!$B:$B, 'Uncalibrated Data'!$C1212, 'Picarro Output'!$I:$I, 0, 'Picarro Output'!$J:$J, 1), "")</f>
        <v/>
      </c>
    </row>
    <row r="1213" spans="2:5" x14ac:dyDescent="0.45">
      <c r="B1213" s="1"/>
      <c r="E1213" s="45" t="str">
        <f>IFERROR(AVERAGEIFS('Picarro Output'!G:G, 'Picarro Output'!$B:$B, 'Uncalibrated Data'!$C1213, 'Picarro Output'!$I:$I, 0, 'Picarro Output'!$J:$J, 1), "")</f>
        <v/>
      </c>
    </row>
    <row r="1214" spans="2:5" x14ac:dyDescent="0.45">
      <c r="B1214" s="1"/>
      <c r="E1214" s="45" t="str">
        <f>IFERROR(AVERAGEIFS('Picarro Output'!G:G, 'Picarro Output'!$B:$B, 'Uncalibrated Data'!$C1214, 'Picarro Output'!$I:$I, 0, 'Picarro Output'!$J:$J, 1), "")</f>
        <v/>
      </c>
    </row>
    <row r="1215" spans="2:5" x14ac:dyDescent="0.45">
      <c r="B1215" s="1"/>
      <c r="E1215" s="45" t="str">
        <f>IFERROR(AVERAGEIFS('Picarro Output'!G:G, 'Picarro Output'!$B:$B, 'Uncalibrated Data'!$C1215, 'Picarro Output'!$I:$I, 0, 'Picarro Output'!$J:$J, 1), "")</f>
        <v/>
      </c>
    </row>
    <row r="1216" spans="2:5" x14ac:dyDescent="0.45">
      <c r="B1216" s="1"/>
      <c r="E1216" s="45" t="str">
        <f>IFERROR(AVERAGEIFS('Picarro Output'!G:G, 'Picarro Output'!$B:$B, 'Uncalibrated Data'!$C1216, 'Picarro Output'!$I:$I, 0, 'Picarro Output'!$J:$J, 1), "")</f>
        <v/>
      </c>
    </row>
    <row r="1217" spans="2:5" x14ac:dyDescent="0.45">
      <c r="B1217" s="1"/>
      <c r="E1217" s="45" t="str">
        <f>IFERROR(AVERAGEIFS('Picarro Output'!G:G, 'Picarro Output'!$B:$B, 'Uncalibrated Data'!$C1217, 'Picarro Output'!$I:$I, 0, 'Picarro Output'!$J:$J, 1), "")</f>
        <v/>
      </c>
    </row>
    <row r="1218" spans="2:5" x14ac:dyDescent="0.45">
      <c r="B1218" s="1"/>
      <c r="E1218" s="45" t="str">
        <f>IFERROR(AVERAGEIFS('Picarro Output'!G:G, 'Picarro Output'!$B:$B, 'Uncalibrated Data'!$C1218, 'Picarro Output'!$I:$I, 0, 'Picarro Output'!$J:$J, 1), "")</f>
        <v/>
      </c>
    </row>
    <row r="1219" spans="2:5" x14ac:dyDescent="0.45">
      <c r="B1219" s="1"/>
      <c r="E1219" s="45" t="str">
        <f>IFERROR(AVERAGEIFS('Picarro Output'!G:G, 'Picarro Output'!$B:$B, 'Uncalibrated Data'!$C1219, 'Picarro Output'!$I:$I, 0, 'Picarro Output'!$J:$J, 1), "")</f>
        <v/>
      </c>
    </row>
    <row r="1220" spans="2:5" x14ac:dyDescent="0.45">
      <c r="B1220" s="1"/>
      <c r="E1220" s="45" t="str">
        <f>IFERROR(AVERAGEIFS('Picarro Output'!G:G, 'Picarro Output'!$B:$B, 'Uncalibrated Data'!$C1220, 'Picarro Output'!$I:$I, 0, 'Picarro Output'!$J:$J, 1), "")</f>
        <v/>
      </c>
    </row>
    <row r="1221" spans="2:5" x14ac:dyDescent="0.45">
      <c r="B1221" s="1"/>
      <c r="E1221" s="45" t="str">
        <f>IFERROR(AVERAGEIFS('Picarro Output'!G:G, 'Picarro Output'!$B:$B, 'Uncalibrated Data'!$C1221, 'Picarro Output'!$I:$I, 0, 'Picarro Output'!$J:$J, 1), "")</f>
        <v/>
      </c>
    </row>
    <row r="1222" spans="2:5" x14ac:dyDescent="0.45">
      <c r="B1222" s="1"/>
      <c r="E1222" s="45" t="str">
        <f>IFERROR(AVERAGEIFS('Picarro Output'!G:G, 'Picarro Output'!$B:$B, 'Uncalibrated Data'!$C1222, 'Picarro Output'!$I:$I, 0, 'Picarro Output'!$J:$J, 1), "")</f>
        <v/>
      </c>
    </row>
    <row r="1223" spans="2:5" x14ac:dyDescent="0.45">
      <c r="B1223" s="1"/>
      <c r="E1223" s="45" t="str">
        <f>IFERROR(AVERAGEIFS('Picarro Output'!G:G, 'Picarro Output'!$B:$B, 'Uncalibrated Data'!$C1223, 'Picarro Output'!$I:$I, 0, 'Picarro Output'!$J:$J, 1), "")</f>
        <v/>
      </c>
    </row>
    <row r="1224" spans="2:5" x14ac:dyDescent="0.45">
      <c r="B1224" s="1"/>
      <c r="E1224" s="45" t="str">
        <f>IFERROR(AVERAGEIFS('Picarro Output'!G:G, 'Picarro Output'!$B:$B, 'Uncalibrated Data'!$C1224, 'Picarro Output'!$I:$I, 0, 'Picarro Output'!$J:$J, 1), "")</f>
        <v/>
      </c>
    </row>
    <row r="1225" spans="2:5" x14ac:dyDescent="0.45">
      <c r="B1225" s="1"/>
      <c r="E1225" s="45" t="str">
        <f>IFERROR(AVERAGEIFS('Picarro Output'!G:G, 'Picarro Output'!$B:$B, 'Uncalibrated Data'!$C1225, 'Picarro Output'!$I:$I, 0, 'Picarro Output'!$J:$J, 1), "")</f>
        <v/>
      </c>
    </row>
    <row r="1226" spans="2:5" x14ac:dyDescent="0.45">
      <c r="B1226" s="1"/>
      <c r="E1226" s="45" t="str">
        <f>IFERROR(AVERAGEIFS('Picarro Output'!G:G, 'Picarro Output'!$B:$B, 'Uncalibrated Data'!$C1226, 'Picarro Output'!$I:$I, 0, 'Picarro Output'!$J:$J, 1), "")</f>
        <v/>
      </c>
    </row>
    <row r="1227" spans="2:5" x14ac:dyDescent="0.45">
      <c r="B1227" s="1"/>
      <c r="E1227" s="45" t="str">
        <f>IFERROR(AVERAGEIFS('Picarro Output'!G:G, 'Picarro Output'!$B:$B, 'Uncalibrated Data'!$C1227, 'Picarro Output'!$I:$I, 0, 'Picarro Output'!$J:$J, 1), "")</f>
        <v/>
      </c>
    </row>
    <row r="1228" spans="2:5" x14ac:dyDescent="0.45">
      <c r="B1228" s="1"/>
      <c r="E1228" s="45" t="str">
        <f>IFERROR(AVERAGEIFS('Picarro Output'!G:G, 'Picarro Output'!$B:$B, 'Uncalibrated Data'!$C1228, 'Picarro Output'!$I:$I, 0, 'Picarro Output'!$J:$J, 1), "")</f>
        <v/>
      </c>
    </row>
    <row r="1229" spans="2:5" x14ac:dyDescent="0.45">
      <c r="B1229" s="1"/>
      <c r="E1229" s="45" t="str">
        <f>IFERROR(AVERAGEIFS('Picarro Output'!G:G, 'Picarro Output'!$B:$B, 'Uncalibrated Data'!$C1229, 'Picarro Output'!$I:$I, 0, 'Picarro Output'!$J:$J, 1), "")</f>
        <v/>
      </c>
    </row>
    <row r="1230" spans="2:5" x14ac:dyDescent="0.45">
      <c r="B1230" s="1"/>
      <c r="E1230" s="45" t="str">
        <f>IFERROR(AVERAGEIFS('Picarro Output'!G:G, 'Picarro Output'!$B:$B, 'Uncalibrated Data'!$C1230, 'Picarro Output'!$I:$I, 0, 'Picarro Output'!$J:$J, 1), "")</f>
        <v/>
      </c>
    </row>
    <row r="1231" spans="2:5" x14ac:dyDescent="0.45">
      <c r="B1231" s="1"/>
      <c r="E1231" s="45" t="str">
        <f>IFERROR(AVERAGEIFS('Picarro Output'!G:G, 'Picarro Output'!$B:$B, 'Uncalibrated Data'!$C1231, 'Picarro Output'!$I:$I, 0, 'Picarro Output'!$J:$J, 1), "")</f>
        <v/>
      </c>
    </row>
    <row r="1232" spans="2:5" x14ac:dyDescent="0.45">
      <c r="B1232" s="1"/>
      <c r="E1232" s="45" t="str">
        <f>IFERROR(AVERAGEIFS('Picarro Output'!G:G, 'Picarro Output'!$B:$B, 'Uncalibrated Data'!$C1232, 'Picarro Output'!$I:$I, 0, 'Picarro Output'!$J:$J, 1), "")</f>
        <v/>
      </c>
    </row>
    <row r="1233" spans="2:5" x14ac:dyDescent="0.45">
      <c r="B1233" s="1"/>
      <c r="E1233" s="45" t="str">
        <f>IFERROR(AVERAGEIFS('Picarro Output'!G:G, 'Picarro Output'!$B:$B, 'Uncalibrated Data'!$C1233, 'Picarro Output'!$I:$I, 0, 'Picarro Output'!$J:$J, 1), "")</f>
        <v/>
      </c>
    </row>
    <row r="1234" spans="2:5" x14ac:dyDescent="0.45">
      <c r="B1234" s="1"/>
      <c r="E1234" s="45" t="str">
        <f>IFERROR(AVERAGEIFS('Picarro Output'!G:G, 'Picarro Output'!$B:$B, 'Uncalibrated Data'!$C1234, 'Picarro Output'!$I:$I, 0, 'Picarro Output'!$J:$J, 1), "")</f>
        <v/>
      </c>
    </row>
    <row r="1235" spans="2:5" x14ac:dyDescent="0.45">
      <c r="B1235" s="1"/>
      <c r="E1235" s="45" t="str">
        <f>IFERROR(AVERAGEIFS('Picarro Output'!G:G, 'Picarro Output'!$B:$B, 'Uncalibrated Data'!$C1235, 'Picarro Output'!$I:$I, 0, 'Picarro Output'!$J:$J, 1), "")</f>
        <v/>
      </c>
    </row>
    <row r="1236" spans="2:5" x14ac:dyDescent="0.45">
      <c r="B1236" s="1"/>
      <c r="E1236" s="45" t="str">
        <f>IFERROR(AVERAGEIFS('Picarro Output'!G:G, 'Picarro Output'!$B:$B, 'Uncalibrated Data'!$C1236, 'Picarro Output'!$I:$I, 0, 'Picarro Output'!$J:$J, 1), "")</f>
        <v/>
      </c>
    </row>
    <row r="1237" spans="2:5" x14ac:dyDescent="0.45">
      <c r="B1237" s="1"/>
      <c r="E1237" s="45" t="str">
        <f>IFERROR(AVERAGEIFS('Picarro Output'!G:G, 'Picarro Output'!$B:$B, 'Uncalibrated Data'!$C1237, 'Picarro Output'!$I:$I, 0, 'Picarro Output'!$J:$J, 1), "")</f>
        <v/>
      </c>
    </row>
    <row r="1238" spans="2:5" x14ac:dyDescent="0.45">
      <c r="B1238" s="1"/>
      <c r="E1238" s="45" t="str">
        <f>IFERROR(AVERAGEIFS('Picarro Output'!G:G, 'Picarro Output'!$B:$B, 'Uncalibrated Data'!$C1238, 'Picarro Output'!$I:$I, 0, 'Picarro Output'!$J:$J, 1), "")</f>
        <v/>
      </c>
    </row>
    <row r="1239" spans="2:5" x14ac:dyDescent="0.45">
      <c r="B1239" s="1"/>
      <c r="E1239" s="45" t="str">
        <f>IFERROR(AVERAGEIFS('Picarro Output'!G:G, 'Picarro Output'!$B:$B, 'Uncalibrated Data'!$C1239, 'Picarro Output'!$I:$I, 0, 'Picarro Output'!$J:$J, 1), "")</f>
        <v/>
      </c>
    </row>
    <row r="1240" spans="2:5" x14ac:dyDescent="0.45">
      <c r="B1240" s="1"/>
      <c r="E1240" s="45" t="str">
        <f>IFERROR(AVERAGEIFS('Picarro Output'!G:G, 'Picarro Output'!$B:$B, 'Uncalibrated Data'!$C1240, 'Picarro Output'!$I:$I, 0, 'Picarro Output'!$J:$J, 1), "")</f>
        <v/>
      </c>
    </row>
    <row r="1241" spans="2:5" x14ac:dyDescent="0.45">
      <c r="B1241" s="1"/>
      <c r="E1241" s="45" t="str">
        <f>IFERROR(AVERAGEIFS('Picarro Output'!G:G, 'Picarro Output'!$B:$B, 'Uncalibrated Data'!$C1241, 'Picarro Output'!$I:$I, 0, 'Picarro Output'!$J:$J, 1), "")</f>
        <v/>
      </c>
    </row>
    <row r="1242" spans="2:5" x14ac:dyDescent="0.45">
      <c r="B1242" s="1"/>
      <c r="E1242" s="45" t="str">
        <f>IFERROR(AVERAGEIFS('Picarro Output'!G:G, 'Picarro Output'!$B:$B, 'Uncalibrated Data'!$C1242, 'Picarro Output'!$I:$I, 0, 'Picarro Output'!$J:$J, 1), "")</f>
        <v/>
      </c>
    </row>
    <row r="1243" spans="2:5" x14ac:dyDescent="0.45">
      <c r="B1243" s="1"/>
      <c r="E1243" s="45" t="str">
        <f>IFERROR(AVERAGEIFS('Picarro Output'!G:G, 'Picarro Output'!$B:$B, 'Uncalibrated Data'!$C1243, 'Picarro Output'!$I:$I, 0, 'Picarro Output'!$J:$J, 1), "")</f>
        <v/>
      </c>
    </row>
    <row r="1244" spans="2:5" x14ac:dyDescent="0.45">
      <c r="B1244" s="1"/>
      <c r="E1244" s="45" t="str">
        <f>IFERROR(AVERAGEIFS('Picarro Output'!G:G, 'Picarro Output'!$B:$B, 'Uncalibrated Data'!$C1244, 'Picarro Output'!$I:$I, 0, 'Picarro Output'!$J:$J, 1), "")</f>
        <v/>
      </c>
    </row>
    <row r="1245" spans="2:5" x14ac:dyDescent="0.45">
      <c r="B1245" s="1"/>
      <c r="E1245" s="45" t="str">
        <f>IFERROR(AVERAGEIFS('Picarro Output'!G:G, 'Picarro Output'!$B:$B, 'Uncalibrated Data'!$C1245, 'Picarro Output'!$I:$I, 0, 'Picarro Output'!$J:$J, 1), "")</f>
        <v/>
      </c>
    </row>
    <row r="1246" spans="2:5" x14ac:dyDescent="0.45">
      <c r="B1246" s="1"/>
      <c r="E1246" s="45" t="str">
        <f>IFERROR(AVERAGEIFS('Picarro Output'!G:G, 'Picarro Output'!$B:$B, 'Uncalibrated Data'!$C1246, 'Picarro Output'!$I:$I, 0, 'Picarro Output'!$J:$J, 1), "")</f>
        <v/>
      </c>
    </row>
    <row r="1247" spans="2:5" x14ac:dyDescent="0.45">
      <c r="B1247" s="1"/>
      <c r="E1247" s="45" t="str">
        <f>IFERROR(AVERAGEIFS('Picarro Output'!G:G, 'Picarro Output'!$B:$B, 'Uncalibrated Data'!$C1247, 'Picarro Output'!$I:$I, 0, 'Picarro Output'!$J:$J, 1), "")</f>
        <v/>
      </c>
    </row>
    <row r="1248" spans="2:5" x14ac:dyDescent="0.45">
      <c r="B1248" s="1"/>
      <c r="E1248" s="45" t="str">
        <f>IFERROR(AVERAGEIFS('Picarro Output'!G:G, 'Picarro Output'!$B:$B, 'Uncalibrated Data'!$C1248, 'Picarro Output'!$I:$I, 0, 'Picarro Output'!$J:$J, 1), "")</f>
        <v/>
      </c>
    </row>
    <row r="1249" spans="2:5" x14ac:dyDescent="0.45">
      <c r="B1249" s="1"/>
      <c r="E1249" s="45" t="str">
        <f>IFERROR(AVERAGEIFS('Picarro Output'!G:G, 'Picarro Output'!$B:$B, 'Uncalibrated Data'!$C1249, 'Picarro Output'!$I:$I, 0, 'Picarro Output'!$J:$J, 1), "")</f>
        <v/>
      </c>
    </row>
    <row r="1250" spans="2:5" x14ac:dyDescent="0.45">
      <c r="B1250" s="1"/>
      <c r="E1250" s="45" t="str">
        <f>IFERROR(AVERAGEIFS('Picarro Output'!G:G, 'Picarro Output'!$B:$B, 'Uncalibrated Data'!$C1250, 'Picarro Output'!$I:$I, 0, 'Picarro Output'!$J:$J, 1), "")</f>
        <v/>
      </c>
    </row>
    <row r="1251" spans="2:5" x14ac:dyDescent="0.45">
      <c r="B1251" s="1"/>
      <c r="E1251" s="45" t="str">
        <f>IFERROR(AVERAGEIFS('Picarro Output'!G:G, 'Picarro Output'!$B:$B, 'Uncalibrated Data'!$C1251, 'Picarro Output'!$I:$I, 0, 'Picarro Output'!$J:$J, 1), "")</f>
        <v/>
      </c>
    </row>
    <row r="1252" spans="2:5" x14ac:dyDescent="0.45">
      <c r="B1252" s="1"/>
      <c r="E1252" s="45" t="str">
        <f>IFERROR(AVERAGEIFS('Picarro Output'!G:G, 'Picarro Output'!$B:$B, 'Uncalibrated Data'!$C1252, 'Picarro Output'!$I:$I, 0, 'Picarro Output'!$J:$J, 1), "")</f>
        <v/>
      </c>
    </row>
    <row r="1253" spans="2:5" x14ac:dyDescent="0.45">
      <c r="B1253" s="1"/>
      <c r="E1253" s="45" t="str">
        <f>IFERROR(AVERAGEIFS('Picarro Output'!G:G, 'Picarro Output'!$B:$B, 'Uncalibrated Data'!$C1253, 'Picarro Output'!$I:$I, 0, 'Picarro Output'!$J:$J, 1), "")</f>
        <v/>
      </c>
    </row>
    <row r="1254" spans="2:5" x14ac:dyDescent="0.45">
      <c r="B1254" s="1"/>
      <c r="E1254" s="45" t="str">
        <f>IFERROR(AVERAGEIFS('Picarro Output'!G:G, 'Picarro Output'!$B:$B, 'Uncalibrated Data'!$C1254, 'Picarro Output'!$I:$I, 0, 'Picarro Output'!$J:$J, 1), "")</f>
        <v/>
      </c>
    </row>
    <row r="1255" spans="2:5" x14ac:dyDescent="0.45">
      <c r="B1255" s="1"/>
      <c r="E1255" s="45" t="str">
        <f>IFERROR(AVERAGEIFS('Picarro Output'!G:G, 'Picarro Output'!$B:$B, 'Uncalibrated Data'!$C1255, 'Picarro Output'!$I:$I, 0, 'Picarro Output'!$J:$J, 1), "")</f>
        <v/>
      </c>
    </row>
    <row r="1256" spans="2:5" x14ac:dyDescent="0.45">
      <c r="B1256" s="1"/>
      <c r="E1256" s="45" t="str">
        <f>IFERROR(AVERAGEIFS('Picarro Output'!G:G, 'Picarro Output'!$B:$B, 'Uncalibrated Data'!$C1256, 'Picarro Output'!$I:$I, 0, 'Picarro Output'!$J:$J, 1), "")</f>
        <v/>
      </c>
    </row>
    <row r="1257" spans="2:5" x14ac:dyDescent="0.45">
      <c r="B1257" s="1"/>
      <c r="E1257" s="45" t="str">
        <f>IFERROR(AVERAGEIFS('Picarro Output'!G:G, 'Picarro Output'!$B:$B, 'Uncalibrated Data'!$C1257, 'Picarro Output'!$I:$I, 0, 'Picarro Output'!$J:$J, 1), "")</f>
        <v/>
      </c>
    </row>
    <row r="1258" spans="2:5" x14ac:dyDescent="0.45">
      <c r="B1258" s="1"/>
      <c r="E1258" s="45" t="str">
        <f>IFERROR(AVERAGEIFS('Picarro Output'!G:G, 'Picarro Output'!$B:$B, 'Uncalibrated Data'!$C1258, 'Picarro Output'!$I:$I, 0, 'Picarro Output'!$J:$J, 1), "")</f>
        <v/>
      </c>
    </row>
    <row r="1259" spans="2:5" x14ac:dyDescent="0.45">
      <c r="B1259" s="1"/>
      <c r="E1259" s="45" t="str">
        <f>IFERROR(AVERAGEIFS('Picarro Output'!G:G, 'Picarro Output'!$B:$B, 'Uncalibrated Data'!$C1259, 'Picarro Output'!$I:$I, 0, 'Picarro Output'!$J:$J, 1), "")</f>
        <v/>
      </c>
    </row>
    <row r="1260" spans="2:5" x14ac:dyDescent="0.45">
      <c r="B1260" s="1"/>
      <c r="E1260" s="45" t="str">
        <f>IFERROR(AVERAGEIFS('Picarro Output'!G:G, 'Picarro Output'!$B:$B, 'Uncalibrated Data'!$C1260, 'Picarro Output'!$I:$I, 0, 'Picarro Output'!$J:$J, 1), "")</f>
        <v/>
      </c>
    </row>
    <row r="1261" spans="2:5" x14ac:dyDescent="0.45">
      <c r="B1261" s="1"/>
      <c r="E1261" s="45" t="str">
        <f>IFERROR(AVERAGEIFS('Picarro Output'!G:G, 'Picarro Output'!$B:$B, 'Uncalibrated Data'!$C1261, 'Picarro Output'!$I:$I, 0, 'Picarro Output'!$J:$J, 1), "")</f>
        <v/>
      </c>
    </row>
    <row r="1262" spans="2:5" x14ac:dyDescent="0.45">
      <c r="B1262" s="1"/>
      <c r="E1262" s="45" t="str">
        <f>IFERROR(AVERAGEIFS('Picarro Output'!G:G, 'Picarro Output'!$B:$B, 'Uncalibrated Data'!$C1262, 'Picarro Output'!$I:$I, 0, 'Picarro Output'!$J:$J, 1), "")</f>
        <v/>
      </c>
    </row>
    <row r="1263" spans="2:5" x14ac:dyDescent="0.45">
      <c r="B1263" s="1"/>
      <c r="E1263" s="45" t="str">
        <f>IFERROR(AVERAGEIFS('Picarro Output'!G:G, 'Picarro Output'!$B:$B, 'Uncalibrated Data'!$C1263, 'Picarro Output'!$I:$I, 0, 'Picarro Output'!$J:$J, 1), "")</f>
        <v/>
      </c>
    </row>
    <row r="1264" spans="2:5" x14ac:dyDescent="0.45">
      <c r="B1264" s="1"/>
      <c r="E1264" s="45" t="str">
        <f>IFERROR(AVERAGEIFS('Picarro Output'!G:G, 'Picarro Output'!$B:$B, 'Uncalibrated Data'!$C1264, 'Picarro Output'!$I:$I, 0, 'Picarro Output'!$J:$J, 1), "")</f>
        <v/>
      </c>
    </row>
    <row r="1265" spans="2:5" x14ac:dyDescent="0.45">
      <c r="B1265" s="1"/>
      <c r="E1265" s="45" t="str">
        <f>IFERROR(AVERAGEIFS('Picarro Output'!G:G, 'Picarro Output'!$B:$B, 'Uncalibrated Data'!$C1265, 'Picarro Output'!$I:$I, 0, 'Picarro Output'!$J:$J, 1), "")</f>
        <v/>
      </c>
    </row>
    <row r="1266" spans="2:5" x14ac:dyDescent="0.45">
      <c r="B1266" s="1"/>
      <c r="E1266" s="45" t="str">
        <f>IFERROR(AVERAGEIFS('Picarro Output'!G:G, 'Picarro Output'!$B:$B, 'Uncalibrated Data'!$C1266, 'Picarro Output'!$I:$I, 0, 'Picarro Output'!$J:$J, 1), "")</f>
        <v/>
      </c>
    </row>
    <row r="1267" spans="2:5" x14ac:dyDescent="0.45">
      <c r="B1267" s="1"/>
      <c r="E1267" s="45" t="str">
        <f>IFERROR(AVERAGEIFS('Picarro Output'!G:G, 'Picarro Output'!$B:$B, 'Uncalibrated Data'!$C1267, 'Picarro Output'!$I:$I, 0, 'Picarro Output'!$J:$J, 1), "")</f>
        <v/>
      </c>
    </row>
    <row r="1268" spans="2:5" x14ac:dyDescent="0.45">
      <c r="B1268" s="1"/>
      <c r="E1268" s="45" t="str">
        <f>IFERROR(AVERAGEIFS('Picarro Output'!G:G, 'Picarro Output'!$B:$B, 'Uncalibrated Data'!$C1268, 'Picarro Output'!$I:$I, 0, 'Picarro Output'!$J:$J, 1), "")</f>
        <v/>
      </c>
    </row>
    <row r="1269" spans="2:5" x14ac:dyDescent="0.45">
      <c r="B1269" s="1"/>
      <c r="E1269" s="45" t="str">
        <f>IFERROR(AVERAGEIFS('Picarro Output'!G:G, 'Picarro Output'!$B:$B, 'Uncalibrated Data'!$C1269, 'Picarro Output'!$I:$I, 0, 'Picarro Output'!$J:$J, 1), "")</f>
        <v/>
      </c>
    </row>
    <row r="1270" spans="2:5" x14ac:dyDescent="0.45">
      <c r="B1270" s="1"/>
      <c r="E1270" s="45" t="str">
        <f>IFERROR(AVERAGEIFS('Picarro Output'!G:G, 'Picarro Output'!$B:$B, 'Uncalibrated Data'!$C1270, 'Picarro Output'!$I:$I, 0, 'Picarro Output'!$J:$J, 1), "")</f>
        <v/>
      </c>
    </row>
    <row r="1271" spans="2:5" x14ac:dyDescent="0.45">
      <c r="B1271" s="1"/>
      <c r="E1271" s="45" t="str">
        <f>IFERROR(AVERAGEIFS('Picarro Output'!G:G, 'Picarro Output'!$B:$B, 'Uncalibrated Data'!$C1271, 'Picarro Output'!$I:$I, 0, 'Picarro Output'!$J:$J, 1), "")</f>
        <v/>
      </c>
    </row>
    <row r="1272" spans="2:5" x14ac:dyDescent="0.45">
      <c r="B1272" s="1"/>
      <c r="E1272" s="45" t="str">
        <f>IFERROR(AVERAGEIFS('Picarro Output'!G:G, 'Picarro Output'!$B:$B, 'Uncalibrated Data'!$C1272, 'Picarro Output'!$I:$I, 0, 'Picarro Output'!$J:$J, 1), "")</f>
        <v/>
      </c>
    </row>
    <row r="1273" spans="2:5" x14ac:dyDescent="0.45">
      <c r="B1273" s="1"/>
      <c r="E1273" s="45" t="str">
        <f>IFERROR(AVERAGEIFS('Picarro Output'!G:G, 'Picarro Output'!$B:$B, 'Uncalibrated Data'!$C1273, 'Picarro Output'!$I:$I, 0, 'Picarro Output'!$J:$J, 1), "")</f>
        <v/>
      </c>
    </row>
    <row r="1274" spans="2:5" x14ac:dyDescent="0.45">
      <c r="B1274" s="1"/>
      <c r="E1274" s="45" t="str">
        <f>IFERROR(AVERAGEIFS('Picarro Output'!G:G, 'Picarro Output'!$B:$B, 'Uncalibrated Data'!$C1274, 'Picarro Output'!$I:$I, 0, 'Picarro Output'!$J:$J, 1), "")</f>
        <v/>
      </c>
    </row>
    <row r="1275" spans="2:5" x14ac:dyDescent="0.45">
      <c r="B1275" s="1"/>
      <c r="E1275" s="45" t="str">
        <f>IFERROR(AVERAGEIFS('Picarro Output'!G:G, 'Picarro Output'!$B:$B, 'Uncalibrated Data'!$C1275, 'Picarro Output'!$I:$I, 0, 'Picarro Output'!$J:$J, 1), "")</f>
        <v/>
      </c>
    </row>
    <row r="1276" spans="2:5" x14ac:dyDescent="0.45">
      <c r="B1276" s="1"/>
      <c r="E1276" s="45" t="str">
        <f>IFERROR(AVERAGEIFS('Picarro Output'!G:G, 'Picarro Output'!$B:$B, 'Uncalibrated Data'!$C1276, 'Picarro Output'!$I:$I, 0, 'Picarro Output'!$J:$J, 1), "")</f>
        <v/>
      </c>
    </row>
    <row r="1277" spans="2:5" x14ac:dyDescent="0.45">
      <c r="B1277" s="1"/>
      <c r="E1277" s="45" t="str">
        <f>IFERROR(AVERAGEIFS('Picarro Output'!G:G, 'Picarro Output'!$B:$B, 'Uncalibrated Data'!$C1277, 'Picarro Output'!$I:$I, 0, 'Picarro Output'!$J:$J, 1), "")</f>
        <v/>
      </c>
    </row>
    <row r="1278" spans="2:5" x14ac:dyDescent="0.45">
      <c r="B1278" s="1"/>
      <c r="E1278" s="45" t="str">
        <f>IFERROR(AVERAGEIFS('Picarro Output'!G:G, 'Picarro Output'!$B:$B, 'Uncalibrated Data'!$C1278, 'Picarro Output'!$I:$I, 0, 'Picarro Output'!$J:$J, 1), "")</f>
        <v/>
      </c>
    </row>
    <row r="1279" spans="2:5" x14ac:dyDescent="0.45">
      <c r="B1279" s="1"/>
      <c r="E1279" s="45" t="str">
        <f>IFERROR(AVERAGEIFS('Picarro Output'!G:G, 'Picarro Output'!$B:$B, 'Uncalibrated Data'!$C1279, 'Picarro Output'!$I:$I, 0, 'Picarro Output'!$J:$J, 1), "")</f>
        <v/>
      </c>
    </row>
    <row r="1280" spans="2:5" x14ac:dyDescent="0.45">
      <c r="B1280" s="1"/>
      <c r="E1280" s="45" t="str">
        <f>IFERROR(AVERAGEIFS('Picarro Output'!G:G, 'Picarro Output'!$B:$B, 'Uncalibrated Data'!$C1280, 'Picarro Output'!$I:$I, 0, 'Picarro Output'!$J:$J, 1), "")</f>
        <v/>
      </c>
    </row>
    <row r="1281" spans="2:5" x14ac:dyDescent="0.45">
      <c r="B1281" s="1"/>
      <c r="E1281" s="45" t="str">
        <f>IFERROR(AVERAGEIFS('Picarro Output'!G:G, 'Picarro Output'!$B:$B, 'Uncalibrated Data'!$C1281, 'Picarro Output'!$I:$I, 0, 'Picarro Output'!$J:$J, 1), "")</f>
        <v/>
      </c>
    </row>
    <row r="1282" spans="2:5" x14ac:dyDescent="0.45">
      <c r="B1282" s="1"/>
      <c r="E1282" s="45" t="str">
        <f>IFERROR(AVERAGEIFS('Picarro Output'!G:G, 'Picarro Output'!$B:$B, 'Uncalibrated Data'!$C1282, 'Picarro Output'!$I:$I, 0, 'Picarro Output'!$J:$J, 1), "")</f>
        <v/>
      </c>
    </row>
    <row r="1283" spans="2:5" x14ac:dyDescent="0.45">
      <c r="B1283" s="1"/>
      <c r="E1283" s="45" t="str">
        <f>IFERROR(AVERAGEIFS('Picarro Output'!G:G, 'Picarro Output'!$B:$B, 'Uncalibrated Data'!$C1283, 'Picarro Output'!$I:$I, 0, 'Picarro Output'!$J:$J, 1), "")</f>
        <v/>
      </c>
    </row>
    <row r="1284" spans="2:5" x14ac:dyDescent="0.45">
      <c r="B1284" s="1"/>
      <c r="E1284" s="45" t="str">
        <f>IFERROR(AVERAGEIFS('Picarro Output'!G:G, 'Picarro Output'!$B:$B, 'Uncalibrated Data'!$C1284, 'Picarro Output'!$I:$I, 0, 'Picarro Output'!$J:$J, 1), "")</f>
        <v/>
      </c>
    </row>
    <row r="1285" spans="2:5" x14ac:dyDescent="0.45">
      <c r="B1285" s="1"/>
      <c r="E1285" s="45" t="str">
        <f>IFERROR(AVERAGEIFS('Picarro Output'!G:G, 'Picarro Output'!$B:$B, 'Uncalibrated Data'!$C1285, 'Picarro Output'!$I:$I, 0, 'Picarro Output'!$J:$J, 1), "")</f>
        <v/>
      </c>
    </row>
    <row r="1286" spans="2:5" x14ac:dyDescent="0.45">
      <c r="B1286" s="1"/>
      <c r="E1286" s="45" t="str">
        <f>IFERROR(AVERAGEIFS('Picarro Output'!G:G, 'Picarro Output'!$B:$B, 'Uncalibrated Data'!$C1286, 'Picarro Output'!$I:$I, 0, 'Picarro Output'!$J:$J, 1), "")</f>
        <v/>
      </c>
    </row>
    <row r="1287" spans="2:5" x14ac:dyDescent="0.45">
      <c r="B1287" s="1"/>
      <c r="E1287" s="45" t="str">
        <f>IFERROR(AVERAGEIFS('Picarro Output'!G:G, 'Picarro Output'!$B:$B, 'Uncalibrated Data'!$C1287, 'Picarro Output'!$I:$I, 0, 'Picarro Output'!$J:$J, 1), "")</f>
        <v/>
      </c>
    </row>
    <row r="1288" spans="2:5" x14ac:dyDescent="0.45">
      <c r="B1288" s="1"/>
      <c r="E1288" s="45" t="str">
        <f>IFERROR(AVERAGEIFS('Picarro Output'!G:G, 'Picarro Output'!$B:$B, 'Uncalibrated Data'!$C1288, 'Picarro Output'!$I:$I, 0, 'Picarro Output'!$J:$J, 1), "")</f>
        <v/>
      </c>
    </row>
    <row r="1289" spans="2:5" x14ac:dyDescent="0.45">
      <c r="B1289" s="1"/>
      <c r="E1289" s="45" t="str">
        <f>IFERROR(AVERAGEIFS('Picarro Output'!G:G, 'Picarro Output'!$B:$B, 'Uncalibrated Data'!$C1289, 'Picarro Output'!$I:$I, 0, 'Picarro Output'!$J:$J, 1), "")</f>
        <v/>
      </c>
    </row>
    <row r="1290" spans="2:5" x14ac:dyDescent="0.45">
      <c r="B1290" s="1"/>
      <c r="E1290" s="45" t="str">
        <f>IFERROR(AVERAGEIFS('Picarro Output'!G:G, 'Picarro Output'!$B:$B, 'Uncalibrated Data'!$C1290, 'Picarro Output'!$I:$I, 0, 'Picarro Output'!$J:$J, 1), "")</f>
        <v/>
      </c>
    </row>
    <row r="1291" spans="2:5" x14ac:dyDescent="0.45">
      <c r="B1291" s="1"/>
      <c r="E1291" s="45" t="str">
        <f>IFERROR(AVERAGEIFS('Picarro Output'!G:G, 'Picarro Output'!$B:$B, 'Uncalibrated Data'!$C1291, 'Picarro Output'!$I:$I, 0, 'Picarro Output'!$J:$J, 1), "")</f>
        <v/>
      </c>
    </row>
    <row r="1292" spans="2:5" x14ac:dyDescent="0.45">
      <c r="B1292" s="1"/>
      <c r="E1292" s="45" t="str">
        <f>IFERROR(AVERAGEIFS('Picarro Output'!G:G, 'Picarro Output'!$B:$B, 'Uncalibrated Data'!$C1292, 'Picarro Output'!$I:$I, 0, 'Picarro Output'!$J:$J, 1), "")</f>
        <v/>
      </c>
    </row>
    <row r="1293" spans="2:5" x14ac:dyDescent="0.45">
      <c r="B1293" s="1"/>
      <c r="E1293" s="45" t="str">
        <f>IFERROR(AVERAGEIFS('Picarro Output'!G:G, 'Picarro Output'!$B:$B, 'Uncalibrated Data'!$C1293, 'Picarro Output'!$I:$I, 0, 'Picarro Output'!$J:$J, 1), "")</f>
        <v/>
      </c>
    </row>
    <row r="1294" spans="2:5" x14ac:dyDescent="0.45">
      <c r="B1294" s="1"/>
      <c r="E1294" s="45" t="str">
        <f>IFERROR(AVERAGEIFS('Picarro Output'!G:G, 'Picarro Output'!$B:$B, 'Uncalibrated Data'!$C1294, 'Picarro Output'!$I:$I, 0, 'Picarro Output'!$J:$J, 1), "")</f>
        <v/>
      </c>
    </row>
    <row r="1295" spans="2:5" x14ac:dyDescent="0.45">
      <c r="B1295" s="1"/>
      <c r="E1295" s="45" t="str">
        <f>IFERROR(AVERAGEIFS('Picarro Output'!G:G, 'Picarro Output'!$B:$B, 'Uncalibrated Data'!$C1295, 'Picarro Output'!$I:$I, 0, 'Picarro Output'!$J:$J, 1), "")</f>
        <v/>
      </c>
    </row>
    <row r="1296" spans="2:5" x14ac:dyDescent="0.45">
      <c r="B1296" s="1"/>
      <c r="E1296" s="45" t="str">
        <f>IFERROR(AVERAGEIFS('Picarro Output'!G:G, 'Picarro Output'!$B:$B, 'Uncalibrated Data'!$C1296, 'Picarro Output'!$I:$I, 0, 'Picarro Output'!$J:$J, 1), "")</f>
        <v/>
      </c>
    </row>
    <row r="1297" spans="2:5" x14ac:dyDescent="0.45">
      <c r="B1297" s="1"/>
      <c r="E1297" s="45" t="str">
        <f>IFERROR(AVERAGEIFS('Picarro Output'!G:G, 'Picarro Output'!$B:$B, 'Uncalibrated Data'!$C1297, 'Picarro Output'!$I:$I, 0, 'Picarro Output'!$J:$J, 1), "")</f>
        <v/>
      </c>
    </row>
    <row r="1298" spans="2:5" x14ac:dyDescent="0.45">
      <c r="B1298" s="1"/>
      <c r="E1298" s="45" t="str">
        <f>IFERROR(AVERAGEIFS('Picarro Output'!G:G, 'Picarro Output'!$B:$B, 'Uncalibrated Data'!$C1298, 'Picarro Output'!$I:$I, 0, 'Picarro Output'!$J:$J, 1), "")</f>
        <v/>
      </c>
    </row>
    <row r="1299" spans="2:5" x14ac:dyDescent="0.45">
      <c r="B1299" s="1"/>
      <c r="E1299" s="45" t="str">
        <f>IFERROR(AVERAGEIFS('Picarro Output'!G:G, 'Picarro Output'!$B:$B, 'Uncalibrated Data'!$C1299, 'Picarro Output'!$I:$I, 0, 'Picarro Output'!$J:$J, 1), "")</f>
        <v/>
      </c>
    </row>
    <row r="1300" spans="2:5" x14ac:dyDescent="0.45">
      <c r="B1300" s="1"/>
      <c r="E1300" s="45" t="str">
        <f>IFERROR(AVERAGEIFS('Picarro Output'!G:G, 'Picarro Output'!$B:$B, 'Uncalibrated Data'!$C1300, 'Picarro Output'!$I:$I, 0, 'Picarro Output'!$J:$J, 1), "")</f>
        <v/>
      </c>
    </row>
    <row r="1301" spans="2:5" x14ac:dyDescent="0.45">
      <c r="B1301" s="1"/>
      <c r="E1301" s="45" t="str">
        <f>IFERROR(AVERAGEIFS('Picarro Output'!G:G, 'Picarro Output'!$B:$B, 'Uncalibrated Data'!$C1301, 'Picarro Output'!$I:$I, 0, 'Picarro Output'!$J:$J, 1), "")</f>
        <v/>
      </c>
    </row>
    <row r="1302" spans="2:5" x14ac:dyDescent="0.45">
      <c r="B1302" s="1"/>
      <c r="E1302" s="45" t="str">
        <f>IFERROR(AVERAGEIFS('Picarro Output'!G:G, 'Picarro Output'!$B:$B, 'Uncalibrated Data'!$C1302, 'Picarro Output'!$I:$I, 0, 'Picarro Output'!$J:$J, 1), "")</f>
        <v/>
      </c>
    </row>
    <row r="1303" spans="2:5" x14ac:dyDescent="0.45">
      <c r="B1303" s="1"/>
      <c r="E1303" s="45" t="str">
        <f>IFERROR(AVERAGEIFS('Picarro Output'!G:G, 'Picarro Output'!$B:$B, 'Uncalibrated Data'!$C1303, 'Picarro Output'!$I:$I, 0, 'Picarro Output'!$J:$J, 1), "")</f>
        <v/>
      </c>
    </row>
    <row r="1304" spans="2:5" x14ac:dyDescent="0.45">
      <c r="B1304" s="1"/>
      <c r="E1304" s="45" t="str">
        <f>IFERROR(AVERAGEIFS('Picarro Output'!G:G, 'Picarro Output'!$B:$B, 'Uncalibrated Data'!$C1304, 'Picarro Output'!$I:$I, 0, 'Picarro Output'!$J:$J, 1), "")</f>
        <v/>
      </c>
    </row>
    <row r="1305" spans="2:5" x14ac:dyDescent="0.45">
      <c r="B1305" s="1"/>
      <c r="E1305" s="45" t="str">
        <f>IFERROR(AVERAGEIFS('Picarro Output'!G:G, 'Picarro Output'!$B:$B, 'Uncalibrated Data'!$C1305, 'Picarro Output'!$I:$I, 0, 'Picarro Output'!$J:$J, 1), "")</f>
        <v/>
      </c>
    </row>
    <row r="1306" spans="2:5" x14ac:dyDescent="0.45">
      <c r="B1306" s="1"/>
      <c r="E1306" s="45" t="str">
        <f>IFERROR(AVERAGEIFS('Picarro Output'!G:G, 'Picarro Output'!$B:$B, 'Uncalibrated Data'!$C1306, 'Picarro Output'!$I:$I, 0, 'Picarro Output'!$J:$J, 1), "")</f>
        <v/>
      </c>
    </row>
    <row r="1307" spans="2:5" x14ac:dyDescent="0.45">
      <c r="B1307" s="1"/>
      <c r="E1307" s="45" t="str">
        <f>IFERROR(AVERAGEIFS('Picarro Output'!G:G, 'Picarro Output'!$B:$B, 'Uncalibrated Data'!$C1307, 'Picarro Output'!$I:$I, 0, 'Picarro Output'!$J:$J, 1), "")</f>
        <v/>
      </c>
    </row>
    <row r="1308" spans="2:5" x14ac:dyDescent="0.45">
      <c r="B1308" s="1"/>
      <c r="E1308" s="45" t="str">
        <f>IFERROR(AVERAGEIFS('Picarro Output'!G:G, 'Picarro Output'!$B:$B, 'Uncalibrated Data'!$C1308, 'Picarro Output'!$I:$I, 0, 'Picarro Output'!$J:$J, 1), "")</f>
        <v/>
      </c>
    </row>
    <row r="1309" spans="2:5" x14ac:dyDescent="0.45">
      <c r="B1309" s="1"/>
      <c r="E1309" s="45" t="str">
        <f>IFERROR(AVERAGEIFS('Picarro Output'!G:G, 'Picarro Output'!$B:$B, 'Uncalibrated Data'!$C1309, 'Picarro Output'!$I:$I, 0, 'Picarro Output'!$J:$J, 1), "")</f>
        <v/>
      </c>
    </row>
    <row r="1310" spans="2:5" x14ac:dyDescent="0.45">
      <c r="B1310" s="1"/>
      <c r="E1310" s="45" t="str">
        <f>IFERROR(AVERAGEIFS('Picarro Output'!G:G, 'Picarro Output'!$B:$B, 'Uncalibrated Data'!$C1310, 'Picarro Output'!$I:$I, 0, 'Picarro Output'!$J:$J, 1), "")</f>
        <v/>
      </c>
    </row>
    <row r="1311" spans="2:5" x14ac:dyDescent="0.45">
      <c r="B1311" s="1"/>
      <c r="E1311" s="45" t="str">
        <f>IFERROR(AVERAGEIFS('Picarro Output'!G:G, 'Picarro Output'!$B:$B, 'Uncalibrated Data'!$C1311, 'Picarro Output'!$I:$I, 0, 'Picarro Output'!$J:$J, 1), "")</f>
        <v/>
      </c>
    </row>
    <row r="1312" spans="2:5" x14ac:dyDescent="0.45">
      <c r="B1312" s="1"/>
      <c r="E1312" s="45" t="str">
        <f>IFERROR(AVERAGEIFS('Picarro Output'!G:G, 'Picarro Output'!$B:$B, 'Uncalibrated Data'!$C1312, 'Picarro Output'!$I:$I, 0, 'Picarro Output'!$J:$J, 1), "")</f>
        <v/>
      </c>
    </row>
    <row r="1313" spans="2:5" x14ac:dyDescent="0.45">
      <c r="B1313" s="1"/>
      <c r="E1313" s="45" t="str">
        <f>IFERROR(AVERAGEIFS('Picarro Output'!G:G, 'Picarro Output'!$B:$B, 'Uncalibrated Data'!$C1313, 'Picarro Output'!$I:$I, 0, 'Picarro Output'!$J:$J, 1), "")</f>
        <v/>
      </c>
    </row>
    <row r="1314" spans="2:5" x14ac:dyDescent="0.45">
      <c r="B1314" s="1"/>
      <c r="E1314" s="45" t="str">
        <f>IFERROR(AVERAGEIFS('Picarro Output'!G:G, 'Picarro Output'!$B:$B, 'Uncalibrated Data'!$C1314, 'Picarro Output'!$I:$I, 0, 'Picarro Output'!$J:$J, 1), "")</f>
        <v/>
      </c>
    </row>
    <row r="1315" spans="2:5" x14ac:dyDescent="0.45">
      <c r="B1315" s="1"/>
      <c r="E1315" s="45" t="str">
        <f>IFERROR(AVERAGEIFS('Picarro Output'!G:G, 'Picarro Output'!$B:$B, 'Uncalibrated Data'!$C1315, 'Picarro Output'!$I:$I, 0, 'Picarro Output'!$J:$J, 1), "")</f>
        <v/>
      </c>
    </row>
    <row r="1316" spans="2:5" x14ac:dyDescent="0.45">
      <c r="B1316" s="1"/>
      <c r="E1316" s="45" t="str">
        <f>IFERROR(AVERAGEIFS('Picarro Output'!G:G, 'Picarro Output'!$B:$B, 'Uncalibrated Data'!$C1316, 'Picarro Output'!$I:$I, 0, 'Picarro Output'!$J:$J, 1), "")</f>
        <v/>
      </c>
    </row>
    <row r="1317" spans="2:5" x14ac:dyDescent="0.45">
      <c r="B1317" s="1"/>
      <c r="E1317" s="45" t="str">
        <f>IFERROR(AVERAGEIFS('Picarro Output'!G:G, 'Picarro Output'!$B:$B, 'Uncalibrated Data'!$C1317, 'Picarro Output'!$I:$I, 0, 'Picarro Output'!$J:$J, 1), "")</f>
        <v/>
      </c>
    </row>
    <row r="1318" spans="2:5" x14ac:dyDescent="0.45">
      <c r="B1318" s="1"/>
      <c r="E1318" s="45" t="str">
        <f>IFERROR(AVERAGEIFS('Picarro Output'!G:G, 'Picarro Output'!$B:$B, 'Uncalibrated Data'!$C1318, 'Picarro Output'!$I:$I, 0, 'Picarro Output'!$J:$J, 1), "")</f>
        <v/>
      </c>
    </row>
    <row r="1319" spans="2:5" x14ac:dyDescent="0.45">
      <c r="B1319" s="1"/>
      <c r="E1319" s="45" t="str">
        <f>IFERROR(AVERAGEIFS('Picarro Output'!G:G, 'Picarro Output'!$B:$B, 'Uncalibrated Data'!$C1319, 'Picarro Output'!$I:$I, 0, 'Picarro Output'!$J:$J, 1), "")</f>
        <v/>
      </c>
    </row>
    <row r="1320" spans="2:5" x14ac:dyDescent="0.45">
      <c r="B1320" s="1"/>
      <c r="E1320" s="45" t="str">
        <f>IFERROR(AVERAGEIFS('Picarro Output'!G:G, 'Picarro Output'!$B:$B, 'Uncalibrated Data'!$C1320, 'Picarro Output'!$I:$I, 0, 'Picarro Output'!$J:$J, 1), "")</f>
        <v/>
      </c>
    </row>
    <row r="1321" spans="2:5" x14ac:dyDescent="0.45">
      <c r="B1321" s="1"/>
      <c r="E1321" s="45" t="str">
        <f>IFERROR(AVERAGEIFS('Picarro Output'!G:G, 'Picarro Output'!$B:$B, 'Uncalibrated Data'!$C1321, 'Picarro Output'!$I:$I, 0, 'Picarro Output'!$J:$J, 1), "")</f>
        <v/>
      </c>
    </row>
    <row r="1322" spans="2:5" x14ac:dyDescent="0.45">
      <c r="B1322" s="1"/>
      <c r="E1322" s="45" t="str">
        <f>IFERROR(AVERAGEIFS('Picarro Output'!G:G, 'Picarro Output'!$B:$B, 'Uncalibrated Data'!$C1322, 'Picarro Output'!$I:$I, 0, 'Picarro Output'!$J:$J, 1), "")</f>
        <v/>
      </c>
    </row>
    <row r="1323" spans="2:5" x14ac:dyDescent="0.45">
      <c r="B1323" s="1"/>
      <c r="E1323" s="45" t="str">
        <f>IFERROR(AVERAGEIFS('Picarro Output'!G:G, 'Picarro Output'!$B:$B, 'Uncalibrated Data'!$C1323, 'Picarro Output'!$I:$I, 0, 'Picarro Output'!$J:$J, 1), "")</f>
        <v/>
      </c>
    </row>
    <row r="1324" spans="2:5" x14ac:dyDescent="0.45">
      <c r="B1324" s="1"/>
      <c r="E1324" s="45" t="str">
        <f>IFERROR(AVERAGEIFS('Picarro Output'!G:G, 'Picarro Output'!$B:$B, 'Uncalibrated Data'!$C1324, 'Picarro Output'!$I:$I, 0, 'Picarro Output'!$J:$J, 1), "")</f>
        <v/>
      </c>
    </row>
    <row r="1325" spans="2:5" x14ac:dyDescent="0.45">
      <c r="B1325" s="1"/>
      <c r="E1325" s="45" t="str">
        <f>IFERROR(AVERAGEIFS('Picarro Output'!G:G, 'Picarro Output'!$B:$B, 'Uncalibrated Data'!$C1325, 'Picarro Output'!$I:$I, 0, 'Picarro Output'!$J:$J, 1), "")</f>
        <v/>
      </c>
    </row>
    <row r="1326" spans="2:5" x14ac:dyDescent="0.45">
      <c r="B1326" s="1"/>
      <c r="E1326" s="45" t="str">
        <f>IFERROR(AVERAGEIFS('Picarro Output'!G:G, 'Picarro Output'!$B:$B, 'Uncalibrated Data'!$C1326, 'Picarro Output'!$I:$I, 0, 'Picarro Output'!$J:$J, 1), "")</f>
        <v/>
      </c>
    </row>
    <row r="1327" spans="2:5" x14ac:dyDescent="0.45">
      <c r="B1327" s="1"/>
      <c r="E1327" s="45" t="str">
        <f>IFERROR(AVERAGEIFS('Picarro Output'!G:G, 'Picarro Output'!$B:$B, 'Uncalibrated Data'!$C1327, 'Picarro Output'!$I:$I, 0, 'Picarro Output'!$J:$J, 1), "")</f>
        <v/>
      </c>
    </row>
    <row r="1328" spans="2:5" x14ac:dyDescent="0.45">
      <c r="B1328" s="1"/>
      <c r="E1328" s="45" t="str">
        <f>IFERROR(AVERAGEIFS('Picarro Output'!G:G, 'Picarro Output'!$B:$B, 'Uncalibrated Data'!$C1328, 'Picarro Output'!$I:$I, 0, 'Picarro Output'!$J:$J, 1), "")</f>
        <v/>
      </c>
    </row>
    <row r="1329" spans="2:5" x14ac:dyDescent="0.45">
      <c r="B1329" s="1"/>
      <c r="E1329" s="45" t="str">
        <f>IFERROR(AVERAGEIFS('Picarro Output'!G:G, 'Picarro Output'!$B:$B, 'Uncalibrated Data'!$C1329, 'Picarro Output'!$I:$I, 0, 'Picarro Output'!$J:$J, 1), "")</f>
        <v/>
      </c>
    </row>
    <row r="1330" spans="2:5" x14ac:dyDescent="0.45">
      <c r="B1330" s="1"/>
      <c r="E1330" s="45" t="str">
        <f>IFERROR(AVERAGEIFS('Picarro Output'!G:G, 'Picarro Output'!$B:$B, 'Uncalibrated Data'!$C1330, 'Picarro Output'!$I:$I, 0, 'Picarro Output'!$J:$J, 1), "")</f>
        <v/>
      </c>
    </row>
    <row r="1331" spans="2:5" x14ac:dyDescent="0.45">
      <c r="B1331" s="1"/>
      <c r="E1331" s="45" t="str">
        <f>IFERROR(AVERAGEIFS('Picarro Output'!G:G, 'Picarro Output'!$B:$B, 'Uncalibrated Data'!$C1331, 'Picarro Output'!$I:$I, 0, 'Picarro Output'!$J:$J, 1), "")</f>
        <v/>
      </c>
    </row>
    <row r="1332" spans="2:5" x14ac:dyDescent="0.45">
      <c r="B1332" s="1"/>
      <c r="E1332" s="45" t="str">
        <f>IFERROR(AVERAGEIFS('Picarro Output'!G:G, 'Picarro Output'!$B:$B, 'Uncalibrated Data'!$C1332, 'Picarro Output'!$I:$I, 0, 'Picarro Output'!$J:$J, 1), "")</f>
        <v/>
      </c>
    </row>
    <row r="1333" spans="2:5" x14ac:dyDescent="0.45">
      <c r="B1333" s="1"/>
      <c r="E1333" s="45" t="str">
        <f>IFERROR(AVERAGEIFS('Picarro Output'!G:G, 'Picarro Output'!$B:$B, 'Uncalibrated Data'!$C1333, 'Picarro Output'!$I:$I, 0, 'Picarro Output'!$J:$J, 1), "")</f>
        <v/>
      </c>
    </row>
    <row r="1334" spans="2:5" x14ac:dyDescent="0.45">
      <c r="B1334" s="1"/>
      <c r="E1334" s="45" t="str">
        <f>IFERROR(AVERAGEIFS('Picarro Output'!G:G, 'Picarro Output'!$B:$B, 'Uncalibrated Data'!$C1334, 'Picarro Output'!$I:$I, 0, 'Picarro Output'!$J:$J, 1), "")</f>
        <v/>
      </c>
    </row>
    <row r="1335" spans="2:5" x14ac:dyDescent="0.45">
      <c r="B1335" s="1"/>
      <c r="E1335" s="45" t="str">
        <f>IFERROR(AVERAGEIFS('Picarro Output'!G:G, 'Picarro Output'!$B:$B, 'Uncalibrated Data'!$C1335, 'Picarro Output'!$I:$I, 0, 'Picarro Output'!$J:$J, 1), "")</f>
        <v/>
      </c>
    </row>
    <row r="1336" spans="2:5" x14ac:dyDescent="0.45">
      <c r="B1336" s="1"/>
      <c r="E1336" s="45" t="str">
        <f>IFERROR(AVERAGEIFS('Picarro Output'!G:G, 'Picarro Output'!$B:$B, 'Uncalibrated Data'!$C1336, 'Picarro Output'!$I:$I, 0, 'Picarro Output'!$J:$J, 1), "")</f>
        <v/>
      </c>
    </row>
    <row r="1337" spans="2:5" x14ac:dyDescent="0.45">
      <c r="B1337" s="1"/>
      <c r="E1337" s="45" t="str">
        <f>IFERROR(AVERAGEIFS('Picarro Output'!G:G, 'Picarro Output'!$B:$B, 'Uncalibrated Data'!$C1337, 'Picarro Output'!$I:$I, 0, 'Picarro Output'!$J:$J, 1), "")</f>
        <v/>
      </c>
    </row>
    <row r="1338" spans="2:5" x14ac:dyDescent="0.45">
      <c r="B1338" s="1"/>
      <c r="E1338" s="45" t="str">
        <f>IFERROR(AVERAGEIFS('Picarro Output'!G:G, 'Picarro Output'!$B:$B, 'Uncalibrated Data'!$C1338, 'Picarro Output'!$I:$I, 0, 'Picarro Output'!$J:$J, 1), "")</f>
        <v/>
      </c>
    </row>
    <row r="1339" spans="2:5" x14ac:dyDescent="0.45">
      <c r="B1339" s="1"/>
      <c r="E1339" s="45" t="str">
        <f>IFERROR(AVERAGEIFS('Picarro Output'!G:G, 'Picarro Output'!$B:$B, 'Uncalibrated Data'!$C1339, 'Picarro Output'!$I:$I, 0, 'Picarro Output'!$J:$J, 1), "")</f>
        <v/>
      </c>
    </row>
    <row r="1340" spans="2:5" x14ac:dyDescent="0.45">
      <c r="B1340" s="1"/>
      <c r="E1340" s="45" t="str">
        <f>IFERROR(AVERAGEIFS('Picarro Output'!G:G, 'Picarro Output'!$B:$B, 'Uncalibrated Data'!$C1340, 'Picarro Output'!$I:$I, 0, 'Picarro Output'!$J:$J, 1), "")</f>
        <v/>
      </c>
    </row>
    <row r="1341" spans="2:5" x14ac:dyDescent="0.45">
      <c r="B1341" s="1"/>
      <c r="E1341" s="45" t="str">
        <f>IFERROR(AVERAGEIFS('Picarro Output'!G:G, 'Picarro Output'!$B:$B, 'Uncalibrated Data'!$C1341, 'Picarro Output'!$I:$I, 0, 'Picarro Output'!$J:$J, 1), "")</f>
        <v/>
      </c>
    </row>
    <row r="1342" spans="2:5" x14ac:dyDescent="0.45">
      <c r="B1342" s="1"/>
      <c r="E1342" s="45" t="str">
        <f>IFERROR(AVERAGEIFS('Picarro Output'!G:G, 'Picarro Output'!$B:$B, 'Uncalibrated Data'!$C1342, 'Picarro Output'!$I:$I, 0, 'Picarro Output'!$J:$J, 1), "")</f>
        <v/>
      </c>
    </row>
    <row r="1343" spans="2:5" x14ac:dyDescent="0.45">
      <c r="B1343" s="1"/>
      <c r="E1343" s="45" t="str">
        <f>IFERROR(AVERAGEIFS('Picarro Output'!G:G, 'Picarro Output'!$B:$B, 'Uncalibrated Data'!$C1343, 'Picarro Output'!$I:$I, 0, 'Picarro Output'!$J:$J, 1), "")</f>
        <v/>
      </c>
    </row>
    <row r="1344" spans="2:5" x14ac:dyDescent="0.45">
      <c r="B1344" s="1"/>
      <c r="E1344" s="45" t="str">
        <f>IFERROR(AVERAGEIFS('Picarro Output'!G:G, 'Picarro Output'!$B:$B, 'Uncalibrated Data'!$C1344, 'Picarro Output'!$I:$I, 0, 'Picarro Output'!$J:$J, 1), "")</f>
        <v/>
      </c>
    </row>
    <row r="1345" spans="2:5" x14ac:dyDescent="0.45">
      <c r="B1345" s="1"/>
      <c r="E1345" s="45" t="str">
        <f>IFERROR(AVERAGEIFS('Picarro Output'!G:G, 'Picarro Output'!$B:$B, 'Uncalibrated Data'!$C1345, 'Picarro Output'!$I:$I, 0, 'Picarro Output'!$J:$J, 1), "")</f>
        <v/>
      </c>
    </row>
    <row r="1346" spans="2:5" x14ac:dyDescent="0.45">
      <c r="B1346" s="1"/>
      <c r="E1346" s="45" t="str">
        <f>IFERROR(AVERAGEIFS('Picarro Output'!G:G, 'Picarro Output'!$B:$B, 'Uncalibrated Data'!$C1346, 'Picarro Output'!$I:$I, 0, 'Picarro Output'!$J:$J, 1), "")</f>
        <v/>
      </c>
    </row>
    <row r="1347" spans="2:5" x14ac:dyDescent="0.45">
      <c r="B1347" s="1"/>
      <c r="E1347" s="45" t="str">
        <f>IFERROR(AVERAGEIFS('Picarro Output'!G:G, 'Picarro Output'!$B:$B, 'Uncalibrated Data'!$C1347, 'Picarro Output'!$I:$I, 0, 'Picarro Output'!$J:$J, 1), "")</f>
        <v/>
      </c>
    </row>
    <row r="1348" spans="2:5" x14ac:dyDescent="0.45">
      <c r="B1348" s="1"/>
      <c r="E1348" s="45" t="str">
        <f>IFERROR(AVERAGEIFS('Picarro Output'!G:G, 'Picarro Output'!$B:$B, 'Uncalibrated Data'!$C1348, 'Picarro Output'!$I:$I, 0, 'Picarro Output'!$J:$J, 1), "")</f>
        <v/>
      </c>
    </row>
    <row r="1349" spans="2:5" x14ac:dyDescent="0.45">
      <c r="B1349" s="1"/>
      <c r="E1349" s="45" t="str">
        <f>IFERROR(AVERAGEIFS('Picarro Output'!G:G, 'Picarro Output'!$B:$B, 'Uncalibrated Data'!$C1349, 'Picarro Output'!$I:$I, 0, 'Picarro Output'!$J:$J, 1), "")</f>
        <v/>
      </c>
    </row>
    <row r="1350" spans="2:5" x14ac:dyDescent="0.45">
      <c r="B1350" s="1"/>
      <c r="E1350" s="45" t="str">
        <f>IFERROR(AVERAGEIFS('Picarro Output'!G:G, 'Picarro Output'!$B:$B, 'Uncalibrated Data'!$C1350, 'Picarro Output'!$I:$I, 0, 'Picarro Output'!$J:$J, 1), "")</f>
        <v/>
      </c>
    </row>
    <row r="1351" spans="2:5" x14ac:dyDescent="0.45">
      <c r="B1351" s="1"/>
      <c r="E1351" s="45" t="str">
        <f>IFERROR(AVERAGEIFS('Picarro Output'!G:G, 'Picarro Output'!$B:$B, 'Uncalibrated Data'!$C1351, 'Picarro Output'!$I:$I, 0, 'Picarro Output'!$J:$J, 1), "")</f>
        <v/>
      </c>
    </row>
    <row r="1352" spans="2:5" x14ac:dyDescent="0.45">
      <c r="B1352" s="1"/>
      <c r="E1352" s="45" t="str">
        <f>IFERROR(AVERAGEIFS('Picarro Output'!G:G, 'Picarro Output'!$B:$B, 'Uncalibrated Data'!$C1352, 'Picarro Output'!$I:$I, 0, 'Picarro Output'!$J:$J, 1), "")</f>
        <v/>
      </c>
    </row>
    <row r="1353" spans="2:5" x14ac:dyDescent="0.45">
      <c r="B1353" s="1"/>
      <c r="E1353" s="45" t="str">
        <f>IFERROR(AVERAGEIFS('Picarro Output'!G:G, 'Picarro Output'!$B:$B, 'Uncalibrated Data'!$C1353, 'Picarro Output'!$I:$I, 0, 'Picarro Output'!$J:$J, 1), "")</f>
        <v/>
      </c>
    </row>
    <row r="1354" spans="2:5" x14ac:dyDescent="0.45">
      <c r="B1354" s="1"/>
      <c r="E1354" s="45" t="str">
        <f>IFERROR(AVERAGEIFS('Picarro Output'!G:G, 'Picarro Output'!$B:$B, 'Uncalibrated Data'!$C1354, 'Picarro Output'!$I:$I, 0, 'Picarro Output'!$J:$J, 1), "")</f>
        <v/>
      </c>
    </row>
    <row r="1355" spans="2:5" x14ac:dyDescent="0.45">
      <c r="B1355" s="1"/>
      <c r="E1355" s="45" t="str">
        <f>IFERROR(AVERAGEIFS('Picarro Output'!G:G, 'Picarro Output'!$B:$B, 'Uncalibrated Data'!$C1355, 'Picarro Output'!$I:$I, 0, 'Picarro Output'!$J:$J, 1), "")</f>
        <v/>
      </c>
    </row>
    <row r="1356" spans="2:5" x14ac:dyDescent="0.45">
      <c r="B1356" s="1"/>
      <c r="E1356" s="45" t="str">
        <f>IFERROR(AVERAGEIFS('Picarro Output'!G:G, 'Picarro Output'!$B:$B, 'Uncalibrated Data'!$C1356, 'Picarro Output'!$I:$I, 0, 'Picarro Output'!$J:$J, 1), "")</f>
        <v/>
      </c>
    </row>
    <row r="1357" spans="2:5" x14ac:dyDescent="0.45">
      <c r="B1357" s="1"/>
      <c r="E1357" s="45" t="str">
        <f>IFERROR(AVERAGEIFS('Picarro Output'!G:G, 'Picarro Output'!$B:$B, 'Uncalibrated Data'!$C1357, 'Picarro Output'!$I:$I, 0, 'Picarro Output'!$J:$J, 1), "")</f>
        <v/>
      </c>
    </row>
    <row r="1358" spans="2:5" x14ac:dyDescent="0.45">
      <c r="B1358" s="1"/>
      <c r="E1358" s="45" t="str">
        <f>IFERROR(AVERAGEIFS('Picarro Output'!G:G, 'Picarro Output'!$B:$B, 'Uncalibrated Data'!$C1358, 'Picarro Output'!$I:$I, 0, 'Picarro Output'!$J:$J, 1), "")</f>
        <v/>
      </c>
    </row>
    <row r="1359" spans="2:5" x14ac:dyDescent="0.45">
      <c r="B1359" s="1"/>
      <c r="E1359" s="45" t="str">
        <f>IFERROR(AVERAGEIFS('Picarro Output'!G:G, 'Picarro Output'!$B:$B, 'Uncalibrated Data'!$C1359, 'Picarro Output'!$I:$I, 0, 'Picarro Output'!$J:$J, 1), "")</f>
        <v/>
      </c>
    </row>
    <row r="1360" spans="2:5" x14ac:dyDescent="0.45">
      <c r="B1360" s="1"/>
      <c r="E1360" s="45" t="str">
        <f>IFERROR(AVERAGEIFS('Picarro Output'!G:G, 'Picarro Output'!$B:$B, 'Uncalibrated Data'!$C1360, 'Picarro Output'!$I:$I, 0, 'Picarro Output'!$J:$J, 1), "")</f>
        <v/>
      </c>
    </row>
    <row r="1361" spans="2:5" x14ac:dyDescent="0.45">
      <c r="B1361" s="1"/>
      <c r="E1361" s="45" t="str">
        <f>IFERROR(AVERAGEIFS('Picarro Output'!G:G, 'Picarro Output'!$B:$B, 'Uncalibrated Data'!$C1361, 'Picarro Output'!$I:$I, 0, 'Picarro Output'!$J:$J, 1), "")</f>
        <v/>
      </c>
    </row>
    <row r="1362" spans="2:5" x14ac:dyDescent="0.45">
      <c r="B1362" s="1"/>
      <c r="E1362" s="45" t="str">
        <f>IFERROR(AVERAGEIFS('Picarro Output'!G:G, 'Picarro Output'!$B:$B, 'Uncalibrated Data'!$C1362, 'Picarro Output'!$I:$I, 0, 'Picarro Output'!$J:$J, 1), "")</f>
        <v/>
      </c>
    </row>
    <row r="1363" spans="2:5" x14ac:dyDescent="0.45">
      <c r="B1363" s="1"/>
      <c r="E1363" s="45" t="str">
        <f>IFERROR(AVERAGEIFS('Picarro Output'!G:G, 'Picarro Output'!$B:$B, 'Uncalibrated Data'!$C1363, 'Picarro Output'!$I:$I, 0, 'Picarro Output'!$J:$J, 1), "")</f>
        <v/>
      </c>
    </row>
    <row r="1364" spans="2:5" x14ac:dyDescent="0.45">
      <c r="B1364" s="1"/>
      <c r="E1364" s="45" t="str">
        <f>IFERROR(AVERAGEIFS('Picarro Output'!G:G, 'Picarro Output'!$B:$B, 'Uncalibrated Data'!$C1364, 'Picarro Output'!$I:$I, 0, 'Picarro Output'!$J:$J, 1), "")</f>
        <v/>
      </c>
    </row>
    <row r="1365" spans="2:5" x14ac:dyDescent="0.45">
      <c r="B1365" s="1"/>
      <c r="E1365" s="45" t="str">
        <f>IFERROR(AVERAGEIFS('Picarro Output'!G:G, 'Picarro Output'!$B:$B, 'Uncalibrated Data'!$C1365, 'Picarro Output'!$I:$I, 0, 'Picarro Output'!$J:$J, 1), "")</f>
        <v/>
      </c>
    </row>
    <row r="1366" spans="2:5" x14ac:dyDescent="0.45">
      <c r="B1366" s="1"/>
      <c r="E1366" s="45" t="str">
        <f>IFERROR(AVERAGEIFS('Picarro Output'!G:G, 'Picarro Output'!$B:$B, 'Uncalibrated Data'!$C1366, 'Picarro Output'!$I:$I, 0, 'Picarro Output'!$J:$J, 1), "")</f>
        <v/>
      </c>
    </row>
    <row r="1367" spans="2:5" x14ac:dyDescent="0.45">
      <c r="B1367" s="1"/>
      <c r="E1367" s="45" t="str">
        <f>IFERROR(AVERAGEIFS('Picarro Output'!G:G, 'Picarro Output'!$B:$B, 'Uncalibrated Data'!$C1367, 'Picarro Output'!$I:$I, 0, 'Picarro Output'!$J:$J, 1), "")</f>
        <v/>
      </c>
    </row>
    <row r="1368" spans="2:5" x14ac:dyDescent="0.45">
      <c r="B1368" s="1"/>
      <c r="E1368" s="45" t="str">
        <f>IFERROR(AVERAGEIFS('Picarro Output'!G:G, 'Picarro Output'!$B:$B, 'Uncalibrated Data'!$C1368, 'Picarro Output'!$I:$I, 0, 'Picarro Output'!$J:$J, 1), "")</f>
        <v/>
      </c>
    </row>
    <row r="1369" spans="2:5" x14ac:dyDescent="0.45">
      <c r="B1369" s="1"/>
      <c r="E1369" s="45" t="str">
        <f>IFERROR(AVERAGEIFS('Picarro Output'!G:G, 'Picarro Output'!$B:$B, 'Uncalibrated Data'!$C1369, 'Picarro Output'!$I:$I, 0, 'Picarro Output'!$J:$J, 1), "")</f>
        <v/>
      </c>
    </row>
    <row r="1370" spans="2:5" x14ac:dyDescent="0.45">
      <c r="B1370" s="1"/>
      <c r="E1370" s="45" t="str">
        <f>IFERROR(AVERAGEIFS('Picarro Output'!G:G, 'Picarro Output'!$B:$B, 'Uncalibrated Data'!$C1370, 'Picarro Output'!$I:$I, 0, 'Picarro Output'!$J:$J, 1), "")</f>
        <v/>
      </c>
    </row>
    <row r="1371" spans="2:5" x14ac:dyDescent="0.45">
      <c r="B1371" s="1"/>
      <c r="E1371" s="45" t="str">
        <f>IFERROR(AVERAGEIFS('Picarro Output'!G:G, 'Picarro Output'!$B:$B, 'Uncalibrated Data'!$C1371, 'Picarro Output'!$I:$I, 0, 'Picarro Output'!$J:$J, 1), "")</f>
        <v/>
      </c>
    </row>
    <row r="1372" spans="2:5" x14ac:dyDescent="0.45">
      <c r="B1372" s="1"/>
      <c r="E1372" s="45" t="str">
        <f>IFERROR(AVERAGEIFS('Picarro Output'!G:G, 'Picarro Output'!$B:$B, 'Uncalibrated Data'!$C1372, 'Picarro Output'!$I:$I, 0, 'Picarro Output'!$J:$J, 1), "")</f>
        <v/>
      </c>
    </row>
    <row r="1373" spans="2:5" x14ac:dyDescent="0.45">
      <c r="B1373" s="1"/>
      <c r="E1373" s="45" t="str">
        <f>IFERROR(AVERAGEIFS('Picarro Output'!G:G, 'Picarro Output'!$B:$B, 'Uncalibrated Data'!$C1373, 'Picarro Output'!$I:$I, 0, 'Picarro Output'!$J:$J, 1), "")</f>
        <v/>
      </c>
    </row>
    <row r="1374" spans="2:5" x14ac:dyDescent="0.45">
      <c r="B1374" s="1"/>
      <c r="E1374" s="45" t="str">
        <f>IFERROR(AVERAGEIFS('Picarro Output'!G:G, 'Picarro Output'!$B:$B, 'Uncalibrated Data'!$C1374, 'Picarro Output'!$I:$I, 0, 'Picarro Output'!$J:$J, 1), "")</f>
        <v/>
      </c>
    </row>
    <row r="1375" spans="2:5" x14ac:dyDescent="0.45">
      <c r="B1375" s="1"/>
      <c r="E1375" s="45" t="str">
        <f>IFERROR(AVERAGEIFS('Picarro Output'!G:G, 'Picarro Output'!$B:$B, 'Uncalibrated Data'!$C1375, 'Picarro Output'!$I:$I, 0, 'Picarro Output'!$J:$J, 1), "")</f>
        <v/>
      </c>
    </row>
    <row r="1376" spans="2:5" x14ac:dyDescent="0.45">
      <c r="B1376" s="1"/>
      <c r="E1376" s="45" t="str">
        <f>IFERROR(AVERAGEIFS('Picarro Output'!G:G, 'Picarro Output'!$B:$B, 'Uncalibrated Data'!$C1376, 'Picarro Output'!$I:$I, 0, 'Picarro Output'!$J:$J, 1), "")</f>
        <v/>
      </c>
    </row>
    <row r="1377" spans="2:5" x14ac:dyDescent="0.45">
      <c r="B1377" s="1"/>
      <c r="E1377" s="45" t="str">
        <f>IFERROR(AVERAGEIFS('Picarro Output'!G:G, 'Picarro Output'!$B:$B, 'Uncalibrated Data'!$C1377, 'Picarro Output'!$I:$I, 0, 'Picarro Output'!$J:$J, 1), "")</f>
        <v/>
      </c>
    </row>
    <row r="1378" spans="2:5" x14ac:dyDescent="0.45">
      <c r="B1378" s="1"/>
      <c r="E1378" s="45" t="str">
        <f>IFERROR(AVERAGEIFS('Picarro Output'!G:G, 'Picarro Output'!$B:$B, 'Uncalibrated Data'!$C1378, 'Picarro Output'!$I:$I, 0, 'Picarro Output'!$J:$J, 1), "")</f>
        <v/>
      </c>
    </row>
    <row r="1379" spans="2:5" x14ac:dyDescent="0.45">
      <c r="B1379" s="1"/>
      <c r="E1379" s="45" t="str">
        <f>IFERROR(AVERAGEIFS('Picarro Output'!G:G, 'Picarro Output'!$B:$B, 'Uncalibrated Data'!$C1379, 'Picarro Output'!$I:$I, 0, 'Picarro Output'!$J:$J, 1), "")</f>
        <v/>
      </c>
    </row>
    <row r="1380" spans="2:5" x14ac:dyDescent="0.45">
      <c r="B1380" s="1"/>
      <c r="E1380" s="45" t="str">
        <f>IFERROR(AVERAGEIFS('Picarro Output'!G:G, 'Picarro Output'!$B:$B, 'Uncalibrated Data'!$C1380, 'Picarro Output'!$I:$I, 0, 'Picarro Output'!$J:$J, 1), "")</f>
        <v/>
      </c>
    </row>
    <row r="1381" spans="2:5" x14ac:dyDescent="0.45">
      <c r="B1381" s="1"/>
      <c r="E1381" s="45" t="str">
        <f>IFERROR(AVERAGEIFS('Picarro Output'!G:G, 'Picarro Output'!$B:$B, 'Uncalibrated Data'!$C1381, 'Picarro Output'!$I:$I, 0, 'Picarro Output'!$J:$J, 1), "")</f>
        <v/>
      </c>
    </row>
    <row r="1382" spans="2:5" x14ac:dyDescent="0.45">
      <c r="B1382" s="1"/>
      <c r="E1382" s="45" t="str">
        <f>IFERROR(AVERAGEIFS('Picarro Output'!G:G, 'Picarro Output'!$B:$B, 'Uncalibrated Data'!$C1382, 'Picarro Output'!$I:$I, 0, 'Picarro Output'!$J:$J, 1), "")</f>
        <v/>
      </c>
    </row>
    <row r="1383" spans="2:5" x14ac:dyDescent="0.45">
      <c r="B1383" s="1"/>
      <c r="E1383" s="45" t="str">
        <f>IFERROR(AVERAGEIFS('Picarro Output'!G:G, 'Picarro Output'!$B:$B, 'Uncalibrated Data'!$C1383, 'Picarro Output'!$I:$I, 0, 'Picarro Output'!$J:$J, 1), "")</f>
        <v/>
      </c>
    </row>
    <row r="1384" spans="2:5" x14ac:dyDescent="0.45">
      <c r="B1384" s="1"/>
      <c r="E1384" s="45" t="str">
        <f>IFERROR(AVERAGEIFS('Picarro Output'!G:G, 'Picarro Output'!$B:$B, 'Uncalibrated Data'!$C1384, 'Picarro Output'!$I:$I, 0, 'Picarro Output'!$J:$J, 1), "")</f>
        <v/>
      </c>
    </row>
    <row r="1385" spans="2:5" x14ac:dyDescent="0.45">
      <c r="B1385" s="1"/>
      <c r="E1385" s="45" t="str">
        <f>IFERROR(AVERAGEIFS('Picarro Output'!G:G, 'Picarro Output'!$B:$B, 'Uncalibrated Data'!$C1385, 'Picarro Output'!$I:$I, 0, 'Picarro Output'!$J:$J, 1), "")</f>
        <v/>
      </c>
    </row>
    <row r="1386" spans="2:5" x14ac:dyDescent="0.45">
      <c r="B1386" s="1"/>
      <c r="E1386" s="45" t="str">
        <f>IFERROR(AVERAGEIFS('Picarro Output'!G:G, 'Picarro Output'!$B:$B, 'Uncalibrated Data'!$C1386, 'Picarro Output'!$I:$I, 0, 'Picarro Output'!$J:$J, 1), "")</f>
        <v/>
      </c>
    </row>
    <row r="1387" spans="2:5" x14ac:dyDescent="0.45">
      <c r="B1387" s="1"/>
      <c r="E1387" s="45" t="str">
        <f>IFERROR(AVERAGEIFS('Picarro Output'!G:G, 'Picarro Output'!$B:$B, 'Uncalibrated Data'!$C1387, 'Picarro Output'!$I:$I, 0, 'Picarro Output'!$J:$J, 1), "")</f>
        <v/>
      </c>
    </row>
    <row r="1388" spans="2:5" x14ac:dyDescent="0.45">
      <c r="B1388" s="1"/>
      <c r="E1388" s="45" t="str">
        <f>IFERROR(AVERAGEIFS('Picarro Output'!G:G, 'Picarro Output'!$B:$B, 'Uncalibrated Data'!$C1388, 'Picarro Output'!$I:$I, 0, 'Picarro Output'!$J:$J, 1), "")</f>
        <v/>
      </c>
    </row>
    <row r="1389" spans="2:5" x14ac:dyDescent="0.45">
      <c r="B1389" s="1"/>
      <c r="E1389" s="45" t="str">
        <f>IFERROR(AVERAGEIFS('Picarro Output'!G:G, 'Picarro Output'!$B:$B, 'Uncalibrated Data'!$C1389, 'Picarro Output'!$I:$I, 0, 'Picarro Output'!$J:$J, 1), "")</f>
        <v/>
      </c>
    </row>
    <row r="1390" spans="2:5" x14ac:dyDescent="0.45">
      <c r="B1390" s="1"/>
      <c r="E1390" s="45" t="str">
        <f>IFERROR(AVERAGEIFS('Picarro Output'!G:G, 'Picarro Output'!$B:$B, 'Uncalibrated Data'!$C1390, 'Picarro Output'!$I:$I, 0, 'Picarro Output'!$J:$J, 1), "")</f>
        <v/>
      </c>
    </row>
    <row r="1391" spans="2:5" x14ac:dyDescent="0.45">
      <c r="B1391" s="1"/>
      <c r="E1391" s="45" t="str">
        <f>IFERROR(AVERAGEIFS('Picarro Output'!G:G, 'Picarro Output'!$B:$B, 'Uncalibrated Data'!$C1391, 'Picarro Output'!$I:$I, 0, 'Picarro Output'!$J:$J, 1), "")</f>
        <v/>
      </c>
    </row>
    <row r="1392" spans="2:5" x14ac:dyDescent="0.45">
      <c r="B1392" s="1"/>
      <c r="E1392" s="45" t="str">
        <f>IFERROR(AVERAGEIFS('Picarro Output'!G:G, 'Picarro Output'!$B:$B, 'Uncalibrated Data'!$C1392, 'Picarro Output'!$I:$I, 0, 'Picarro Output'!$J:$J, 1), "")</f>
        <v/>
      </c>
    </row>
    <row r="1393" spans="2:5" x14ac:dyDescent="0.45">
      <c r="B1393" s="1"/>
      <c r="E1393" s="45" t="str">
        <f>IFERROR(AVERAGEIFS('Picarro Output'!G:G, 'Picarro Output'!$B:$B, 'Uncalibrated Data'!$C1393, 'Picarro Output'!$I:$I, 0, 'Picarro Output'!$J:$J, 1), "")</f>
        <v/>
      </c>
    </row>
    <row r="1394" spans="2:5" x14ac:dyDescent="0.45">
      <c r="B1394" s="1"/>
      <c r="E1394" s="45" t="str">
        <f>IFERROR(AVERAGEIFS('Picarro Output'!G:G, 'Picarro Output'!$B:$B, 'Uncalibrated Data'!$C1394, 'Picarro Output'!$I:$I, 0, 'Picarro Output'!$J:$J, 1), "")</f>
        <v/>
      </c>
    </row>
    <row r="1395" spans="2:5" x14ac:dyDescent="0.45">
      <c r="B1395" s="1"/>
      <c r="E1395" s="45" t="str">
        <f>IFERROR(AVERAGEIFS('Picarro Output'!G:G, 'Picarro Output'!$B:$B, 'Uncalibrated Data'!$C1395, 'Picarro Output'!$I:$I, 0, 'Picarro Output'!$J:$J, 1), "")</f>
        <v/>
      </c>
    </row>
    <row r="1396" spans="2:5" x14ac:dyDescent="0.45">
      <c r="B1396" s="1"/>
      <c r="E1396" s="45" t="str">
        <f>IFERROR(AVERAGEIFS('Picarro Output'!G:G, 'Picarro Output'!$B:$B, 'Uncalibrated Data'!$C1396, 'Picarro Output'!$I:$I, 0, 'Picarro Output'!$J:$J, 1), "")</f>
        <v/>
      </c>
    </row>
    <row r="1397" spans="2:5" x14ac:dyDescent="0.45">
      <c r="B1397" s="1"/>
      <c r="E1397" s="45" t="str">
        <f>IFERROR(AVERAGEIFS('Picarro Output'!G:G, 'Picarro Output'!$B:$B, 'Uncalibrated Data'!$C1397, 'Picarro Output'!$I:$I, 0, 'Picarro Output'!$J:$J, 1), "")</f>
        <v/>
      </c>
    </row>
    <row r="1398" spans="2:5" x14ac:dyDescent="0.45">
      <c r="B1398" s="1"/>
      <c r="E1398" s="45" t="str">
        <f>IFERROR(AVERAGEIFS('Picarro Output'!G:G, 'Picarro Output'!$B:$B, 'Uncalibrated Data'!$C1398, 'Picarro Output'!$I:$I, 0, 'Picarro Output'!$J:$J, 1), "")</f>
        <v/>
      </c>
    </row>
    <row r="1399" spans="2:5" x14ac:dyDescent="0.45">
      <c r="B1399" s="1"/>
      <c r="E1399" s="45" t="str">
        <f>IFERROR(AVERAGEIFS('Picarro Output'!G:G, 'Picarro Output'!$B:$B, 'Uncalibrated Data'!$C1399, 'Picarro Output'!$I:$I, 0, 'Picarro Output'!$J:$J, 1), "")</f>
        <v/>
      </c>
    </row>
    <row r="1400" spans="2:5" x14ac:dyDescent="0.45">
      <c r="B1400" s="1"/>
      <c r="E1400" s="45" t="str">
        <f>IFERROR(AVERAGEIFS('Picarro Output'!G:G, 'Picarro Output'!$B:$B, 'Uncalibrated Data'!$C1400, 'Picarro Output'!$I:$I, 0, 'Picarro Output'!$J:$J, 1), "")</f>
        <v/>
      </c>
    </row>
    <row r="1401" spans="2:5" x14ac:dyDescent="0.45">
      <c r="B1401" s="1"/>
      <c r="E1401" s="45" t="str">
        <f>IFERROR(AVERAGEIFS('Picarro Output'!G:G, 'Picarro Output'!$B:$B, 'Uncalibrated Data'!$C1401, 'Picarro Output'!$I:$I, 0, 'Picarro Output'!$J:$J, 1), "")</f>
        <v/>
      </c>
    </row>
    <row r="1402" spans="2:5" x14ac:dyDescent="0.45">
      <c r="B1402" s="1"/>
      <c r="E1402" s="45" t="str">
        <f>IFERROR(AVERAGEIFS('Picarro Output'!G:G, 'Picarro Output'!$B:$B, 'Uncalibrated Data'!$C1402, 'Picarro Output'!$I:$I, 0, 'Picarro Output'!$J:$J, 1), "")</f>
        <v/>
      </c>
    </row>
    <row r="1403" spans="2:5" x14ac:dyDescent="0.45">
      <c r="B1403" s="1"/>
      <c r="E1403" s="45" t="str">
        <f>IFERROR(AVERAGEIFS('Picarro Output'!G:G, 'Picarro Output'!$B:$B, 'Uncalibrated Data'!$C1403, 'Picarro Output'!$I:$I, 0, 'Picarro Output'!$J:$J, 1), "")</f>
        <v/>
      </c>
    </row>
    <row r="1404" spans="2:5" x14ac:dyDescent="0.45">
      <c r="B1404" s="1"/>
      <c r="E1404" s="45" t="str">
        <f>IFERROR(AVERAGEIFS('Picarro Output'!G:G, 'Picarro Output'!$B:$B, 'Uncalibrated Data'!$C1404, 'Picarro Output'!$I:$I, 0, 'Picarro Output'!$J:$J, 1), "")</f>
        <v/>
      </c>
    </row>
    <row r="1405" spans="2:5" x14ac:dyDescent="0.45">
      <c r="B1405" s="1"/>
      <c r="E1405" s="45" t="str">
        <f>IFERROR(AVERAGEIFS('Picarro Output'!G:G, 'Picarro Output'!$B:$B, 'Uncalibrated Data'!$C1405, 'Picarro Output'!$I:$I, 0, 'Picarro Output'!$J:$J, 1), "")</f>
        <v/>
      </c>
    </row>
    <row r="1406" spans="2:5" x14ac:dyDescent="0.45">
      <c r="B1406" s="1"/>
      <c r="E1406" s="45" t="str">
        <f>IFERROR(AVERAGEIFS('Picarro Output'!G:G, 'Picarro Output'!$B:$B, 'Uncalibrated Data'!$C1406, 'Picarro Output'!$I:$I, 0, 'Picarro Output'!$J:$J, 1), "")</f>
        <v/>
      </c>
    </row>
    <row r="1407" spans="2:5" x14ac:dyDescent="0.45">
      <c r="B1407" s="1"/>
      <c r="E1407" s="45" t="str">
        <f>IFERROR(AVERAGEIFS('Picarro Output'!G:G, 'Picarro Output'!$B:$B, 'Uncalibrated Data'!$C1407, 'Picarro Output'!$I:$I, 0, 'Picarro Output'!$J:$J, 1), "")</f>
        <v/>
      </c>
    </row>
    <row r="1408" spans="2:5" x14ac:dyDescent="0.45">
      <c r="B1408" s="1"/>
      <c r="E1408" s="45" t="str">
        <f>IFERROR(AVERAGEIFS('Picarro Output'!G:G, 'Picarro Output'!$B:$B, 'Uncalibrated Data'!$C1408, 'Picarro Output'!$I:$I, 0, 'Picarro Output'!$J:$J, 1), "")</f>
        <v/>
      </c>
    </row>
    <row r="1409" spans="2:5" x14ac:dyDescent="0.45">
      <c r="B1409" s="1"/>
      <c r="E1409" s="45" t="str">
        <f>IFERROR(AVERAGEIFS('Picarro Output'!G:G, 'Picarro Output'!$B:$B, 'Uncalibrated Data'!$C1409, 'Picarro Output'!$I:$I, 0, 'Picarro Output'!$J:$J, 1), "")</f>
        <v/>
      </c>
    </row>
    <row r="1410" spans="2:5" x14ac:dyDescent="0.45">
      <c r="B1410" s="1"/>
      <c r="E1410" s="45" t="str">
        <f>IFERROR(AVERAGEIFS('Picarro Output'!G:G, 'Picarro Output'!$B:$B, 'Uncalibrated Data'!$C1410, 'Picarro Output'!$I:$I, 0, 'Picarro Output'!$J:$J, 1), "")</f>
        <v/>
      </c>
    </row>
    <row r="1411" spans="2:5" x14ac:dyDescent="0.45">
      <c r="B1411" s="1"/>
      <c r="E1411" s="45" t="str">
        <f>IFERROR(AVERAGEIFS('Picarro Output'!G:G, 'Picarro Output'!$B:$B, 'Uncalibrated Data'!$C1411, 'Picarro Output'!$I:$I, 0, 'Picarro Output'!$J:$J, 1), "")</f>
        <v/>
      </c>
    </row>
    <row r="1412" spans="2:5" x14ac:dyDescent="0.45">
      <c r="B1412" s="1"/>
      <c r="E1412" s="45" t="str">
        <f>IFERROR(AVERAGEIFS('Picarro Output'!G:G, 'Picarro Output'!$B:$B, 'Uncalibrated Data'!$C1412, 'Picarro Output'!$I:$I, 0, 'Picarro Output'!$J:$J, 1), "")</f>
        <v/>
      </c>
    </row>
    <row r="1413" spans="2:5" x14ac:dyDescent="0.45">
      <c r="B1413" s="1"/>
      <c r="E1413" s="45" t="str">
        <f>IFERROR(AVERAGEIFS('Picarro Output'!G:G, 'Picarro Output'!$B:$B, 'Uncalibrated Data'!$C1413, 'Picarro Output'!$I:$I, 0, 'Picarro Output'!$J:$J, 1), "")</f>
        <v/>
      </c>
    </row>
    <row r="1414" spans="2:5" x14ac:dyDescent="0.45">
      <c r="B1414" s="1"/>
      <c r="E1414" s="45" t="str">
        <f>IFERROR(AVERAGEIFS('Picarro Output'!G:G, 'Picarro Output'!$B:$B, 'Uncalibrated Data'!$C1414, 'Picarro Output'!$I:$I, 0, 'Picarro Output'!$J:$J, 1), "")</f>
        <v/>
      </c>
    </row>
    <row r="1415" spans="2:5" x14ac:dyDescent="0.45">
      <c r="B1415" s="1"/>
      <c r="E1415" s="45" t="str">
        <f>IFERROR(AVERAGEIFS('Picarro Output'!G:G, 'Picarro Output'!$B:$B, 'Uncalibrated Data'!$C1415, 'Picarro Output'!$I:$I, 0, 'Picarro Output'!$J:$J, 1), "")</f>
        <v/>
      </c>
    </row>
    <row r="1416" spans="2:5" x14ac:dyDescent="0.45">
      <c r="B1416" s="1"/>
      <c r="E1416" s="45" t="str">
        <f>IFERROR(AVERAGEIFS('Picarro Output'!G:G, 'Picarro Output'!$B:$B, 'Uncalibrated Data'!$C1416, 'Picarro Output'!$I:$I, 0, 'Picarro Output'!$J:$J, 1), "")</f>
        <v/>
      </c>
    </row>
    <row r="1417" spans="2:5" x14ac:dyDescent="0.45">
      <c r="B1417" s="1"/>
      <c r="E1417" s="45" t="str">
        <f>IFERROR(AVERAGEIFS('Picarro Output'!G:G, 'Picarro Output'!$B:$B, 'Uncalibrated Data'!$C1417, 'Picarro Output'!$I:$I, 0, 'Picarro Output'!$J:$J, 1), "")</f>
        <v/>
      </c>
    </row>
    <row r="1418" spans="2:5" x14ac:dyDescent="0.45">
      <c r="B1418" s="1"/>
      <c r="E1418" s="45" t="str">
        <f>IFERROR(AVERAGEIFS('Picarro Output'!G:G, 'Picarro Output'!$B:$B, 'Uncalibrated Data'!$C1418, 'Picarro Output'!$I:$I, 0, 'Picarro Output'!$J:$J, 1), "")</f>
        <v/>
      </c>
    </row>
    <row r="1419" spans="2:5" x14ac:dyDescent="0.45">
      <c r="B1419" s="1"/>
      <c r="E1419" s="45" t="str">
        <f>IFERROR(AVERAGEIFS('Picarro Output'!G:G, 'Picarro Output'!$B:$B, 'Uncalibrated Data'!$C1419, 'Picarro Output'!$I:$I, 0, 'Picarro Output'!$J:$J, 1), "")</f>
        <v/>
      </c>
    </row>
    <row r="1420" spans="2:5" x14ac:dyDescent="0.45">
      <c r="B1420" s="1"/>
      <c r="E1420" s="45" t="str">
        <f>IFERROR(AVERAGEIFS('Picarro Output'!G:G, 'Picarro Output'!$B:$B, 'Uncalibrated Data'!$C1420, 'Picarro Output'!$I:$I, 0, 'Picarro Output'!$J:$J, 1), "")</f>
        <v/>
      </c>
    </row>
    <row r="1421" spans="2:5" x14ac:dyDescent="0.45">
      <c r="B1421" s="1"/>
      <c r="E1421" s="45" t="str">
        <f>IFERROR(AVERAGEIFS('Picarro Output'!G:G, 'Picarro Output'!$B:$B, 'Uncalibrated Data'!$C1421, 'Picarro Output'!$I:$I, 0, 'Picarro Output'!$J:$J, 1), "")</f>
        <v/>
      </c>
    </row>
    <row r="1422" spans="2:5" x14ac:dyDescent="0.45">
      <c r="B1422" s="1"/>
      <c r="E1422" s="45" t="str">
        <f>IFERROR(AVERAGEIFS('Picarro Output'!G:G, 'Picarro Output'!$B:$B, 'Uncalibrated Data'!$C1422, 'Picarro Output'!$I:$I, 0, 'Picarro Output'!$J:$J, 1), "")</f>
        <v/>
      </c>
    </row>
    <row r="1423" spans="2:5" x14ac:dyDescent="0.45">
      <c r="B1423" s="1"/>
      <c r="E1423" s="45" t="str">
        <f>IFERROR(AVERAGEIFS('Picarro Output'!G:G, 'Picarro Output'!$B:$B, 'Uncalibrated Data'!$C1423, 'Picarro Output'!$I:$I, 0, 'Picarro Output'!$J:$J, 1), "")</f>
        <v/>
      </c>
    </row>
    <row r="1424" spans="2:5" x14ac:dyDescent="0.45">
      <c r="B1424" s="1"/>
      <c r="E1424" s="45" t="str">
        <f>IFERROR(AVERAGEIFS('Picarro Output'!G:G, 'Picarro Output'!$B:$B, 'Uncalibrated Data'!$C1424, 'Picarro Output'!$I:$I, 0, 'Picarro Output'!$J:$J, 1), "")</f>
        <v/>
      </c>
    </row>
    <row r="1425" spans="2:5" x14ac:dyDescent="0.45">
      <c r="B1425" s="1"/>
      <c r="E1425" s="45" t="str">
        <f>IFERROR(AVERAGEIFS('Picarro Output'!G:G, 'Picarro Output'!$B:$B, 'Uncalibrated Data'!$C1425, 'Picarro Output'!$I:$I, 0, 'Picarro Output'!$J:$J, 1), "")</f>
        <v/>
      </c>
    </row>
    <row r="1426" spans="2:5" x14ac:dyDescent="0.45">
      <c r="B1426" s="1"/>
      <c r="E1426" s="45" t="str">
        <f>IFERROR(AVERAGEIFS('Picarro Output'!G:G, 'Picarro Output'!$B:$B, 'Uncalibrated Data'!$C1426, 'Picarro Output'!$I:$I, 0, 'Picarro Output'!$J:$J, 1), "")</f>
        <v/>
      </c>
    </row>
    <row r="1427" spans="2:5" x14ac:dyDescent="0.45">
      <c r="B1427" s="1"/>
      <c r="E1427" s="45" t="str">
        <f>IFERROR(AVERAGEIFS('Picarro Output'!G:G, 'Picarro Output'!$B:$B, 'Uncalibrated Data'!$C1427, 'Picarro Output'!$I:$I, 0, 'Picarro Output'!$J:$J, 1), "")</f>
        <v/>
      </c>
    </row>
    <row r="1428" spans="2:5" x14ac:dyDescent="0.45">
      <c r="B1428" s="1"/>
      <c r="E1428" s="45" t="str">
        <f>IFERROR(AVERAGEIFS('Picarro Output'!G:G, 'Picarro Output'!$B:$B, 'Uncalibrated Data'!$C1428, 'Picarro Output'!$I:$I, 0, 'Picarro Output'!$J:$J, 1), "")</f>
        <v/>
      </c>
    </row>
    <row r="1429" spans="2:5" x14ac:dyDescent="0.45">
      <c r="B1429" s="1"/>
      <c r="E1429" s="45" t="str">
        <f>IFERROR(AVERAGEIFS('Picarro Output'!G:G, 'Picarro Output'!$B:$B, 'Uncalibrated Data'!$C1429, 'Picarro Output'!$I:$I, 0, 'Picarro Output'!$J:$J, 1), "")</f>
        <v/>
      </c>
    </row>
    <row r="1430" spans="2:5" x14ac:dyDescent="0.45">
      <c r="B1430" s="1"/>
      <c r="E1430" s="45" t="str">
        <f>IFERROR(AVERAGEIFS('Picarro Output'!G:G, 'Picarro Output'!$B:$B, 'Uncalibrated Data'!$C1430, 'Picarro Output'!$I:$I, 0, 'Picarro Output'!$J:$J, 1), "")</f>
        <v/>
      </c>
    </row>
    <row r="1431" spans="2:5" x14ac:dyDescent="0.45">
      <c r="B1431" s="1"/>
      <c r="E1431" s="45" t="str">
        <f>IFERROR(AVERAGEIFS('Picarro Output'!G:G, 'Picarro Output'!$B:$B, 'Uncalibrated Data'!$C1431, 'Picarro Output'!$I:$I, 0, 'Picarro Output'!$J:$J, 1), "")</f>
        <v/>
      </c>
    </row>
    <row r="1432" spans="2:5" x14ac:dyDescent="0.45">
      <c r="B1432" s="1"/>
      <c r="E1432" s="45" t="str">
        <f>IFERROR(AVERAGEIFS('Picarro Output'!G:G, 'Picarro Output'!$B:$B, 'Uncalibrated Data'!$C1432, 'Picarro Output'!$I:$I, 0, 'Picarro Output'!$J:$J, 1), "")</f>
        <v/>
      </c>
    </row>
    <row r="1433" spans="2:5" x14ac:dyDescent="0.45">
      <c r="B1433" s="1"/>
      <c r="E1433" s="45" t="str">
        <f>IFERROR(AVERAGEIFS('Picarro Output'!G:G, 'Picarro Output'!$B:$B, 'Uncalibrated Data'!$C1433, 'Picarro Output'!$I:$I, 0, 'Picarro Output'!$J:$J, 1), "")</f>
        <v/>
      </c>
    </row>
    <row r="1434" spans="2:5" x14ac:dyDescent="0.45">
      <c r="B1434" s="1"/>
      <c r="E1434" s="45" t="str">
        <f>IFERROR(AVERAGEIFS('Picarro Output'!G:G, 'Picarro Output'!$B:$B, 'Uncalibrated Data'!$C1434, 'Picarro Output'!$I:$I, 0, 'Picarro Output'!$J:$J, 1), "")</f>
        <v/>
      </c>
    </row>
    <row r="1435" spans="2:5" x14ac:dyDescent="0.45">
      <c r="B1435" s="1"/>
      <c r="E1435" s="45" t="str">
        <f>IFERROR(AVERAGEIFS('Picarro Output'!G:G, 'Picarro Output'!$B:$B, 'Uncalibrated Data'!$C1435, 'Picarro Output'!$I:$I, 0, 'Picarro Output'!$J:$J, 1), "")</f>
        <v/>
      </c>
    </row>
    <row r="1436" spans="2:5" x14ac:dyDescent="0.45">
      <c r="B1436" s="1"/>
      <c r="E1436" s="45" t="str">
        <f>IFERROR(AVERAGEIFS('Picarro Output'!G:G, 'Picarro Output'!$B:$B, 'Uncalibrated Data'!$C1436, 'Picarro Output'!$I:$I, 0, 'Picarro Output'!$J:$J, 1), "")</f>
        <v/>
      </c>
    </row>
    <row r="1437" spans="2:5" x14ac:dyDescent="0.45">
      <c r="B1437" s="1"/>
      <c r="E1437" s="45" t="str">
        <f>IFERROR(AVERAGEIFS('Picarro Output'!G:G, 'Picarro Output'!$B:$B, 'Uncalibrated Data'!$C1437, 'Picarro Output'!$I:$I, 0, 'Picarro Output'!$J:$J, 1), "")</f>
        <v/>
      </c>
    </row>
    <row r="1438" spans="2:5" x14ac:dyDescent="0.45">
      <c r="B1438" s="1"/>
      <c r="E1438" s="45" t="str">
        <f>IFERROR(AVERAGEIFS('Picarro Output'!G:G, 'Picarro Output'!$B:$B, 'Uncalibrated Data'!$C1438, 'Picarro Output'!$I:$I, 0, 'Picarro Output'!$J:$J, 1), "")</f>
        <v/>
      </c>
    </row>
    <row r="1439" spans="2:5" x14ac:dyDescent="0.45">
      <c r="B1439" s="1"/>
      <c r="E1439" s="45" t="str">
        <f>IFERROR(AVERAGEIFS('Picarro Output'!G:G, 'Picarro Output'!$B:$B, 'Uncalibrated Data'!$C1439, 'Picarro Output'!$I:$I, 0, 'Picarro Output'!$J:$J, 1), "")</f>
        <v/>
      </c>
    </row>
    <row r="1440" spans="2:5" x14ac:dyDescent="0.45">
      <c r="B1440" s="1"/>
      <c r="E1440" s="45" t="str">
        <f>IFERROR(AVERAGEIFS('Picarro Output'!G:G, 'Picarro Output'!$B:$B, 'Uncalibrated Data'!$C1440, 'Picarro Output'!$I:$I, 0, 'Picarro Output'!$J:$J, 1), "")</f>
        <v/>
      </c>
    </row>
    <row r="1441" spans="2:5" x14ac:dyDescent="0.45">
      <c r="B1441" s="1"/>
      <c r="E1441" s="45" t="str">
        <f>IFERROR(AVERAGEIFS('Picarro Output'!G:G, 'Picarro Output'!$B:$B, 'Uncalibrated Data'!$C1441, 'Picarro Output'!$I:$I, 0, 'Picarro Output'!$J:$J, 1), "")</f>
        <v/>
      </c>
    </row>
    <row r="1442" spans="2:5" x14ac:dyDescent="0.45">
      <c r="B1442" s="1"/>
      <c r="E1442" s="45" t="str">
        <f>IFERROR(AVERAGEIFS('Picarro Output'!G:G, 'Picarro Output'!$B:$B, 'Uncalibrated Data'!$C1442, 'Picarro Output'!$I:$I, 0, 'Picarro Output'!$J:$J, 1), "")</f>
        <v/>
      </c>
    </row>
    <row r="1443" spans="2:5" x14ac:dyDescent="0.45">
      <c r="B1443" s="1"/>
      <c r="E1443" s="45" t="str">
        <f>IFERROR(AVERAGEIFS('Picarro Output'!G:G, 'Picarro Output'!$B:$B, 'Uncalibrated Data'!$C1443, 'Picarro Output'!$I:$I, 0, 'Picarro Output'!$J:$J, 1), "")</f>
        <v/>
      </c>
    </row>
    <row r="1444" spans="2:5" x14ac:dyDescent="0.45">
      <c r="B1444" s="1"/>
      <c r="E1444" s="45" t="str">
        <f>IFERROR(AVERAGEIFS('Picarro Output'!G:G, 'Picarro Output'!$B:$B, 'Uncalibrated Data'!$C1444, 'Picarro Output'!$I:$I, 0, 'Picarro Output'!$J:$J, 1), "")</f>
        <v/>
      </c>
    </row>
    <row r="1445" spans="2:5" x14ac:dyDescent="0.45">
      <c r="B1445" s="1"/>
      <c r="E1445" s="45" t="str">
        <f>IFERROR(AVERAGEIFS('Picarro Output'!G:G, 'Picarro Output'!$B:$B, 'Uncalibrated Data'!$C1445, 'Picarro Output'!$I:$I, 0, 'Picarro Output'!$J:$J, 1), "")</f>
        <v/>
      </c>
    </row>
    <row r="1446" spans="2:5" x14ac:dyDescent="0.45">
      <c r="B1446" s="1"/>
      <c r="E1446" s="45" t="str">
        <f>IFERROR(AVERAGEIFS('Picarro Output'!G:G, 'Picarro Output'!$B:$B, 'Uncalibrated Data'!$C1446, 'Picarro Output'!$I:$I, 0, 'Picarro Output'!$J:$J, 1), "")</f>
        <v/>
      </c>
    </row>
    <row r="1447" spans="2:5" x14ac:dyDescent="0.45">
      <c r="B1447" s="1"/>
      <c r="E1447" s="45" t="str">
        <f>IFERROR(AVERAGEIFS('Picarro Output'!G:G, 'Picarro Output'!$B:$B, 'Uncalibrated Data'!$C1447, 'Picarro Output'!$I:$I, 0, 'Picarro Output'!$J:$J, 1), "")</f>
        <v/>
      </c>
    </row>
    <row r="1448" spans="2:5" x14ac:dyDescent="0.45">
      <c r="B1448" s="1"/>
      <c r="E1448" s="45" t="str">
        <f>IFERROR(AVERAGEIFS('Picarro Output'!G:G, 'Picarro Output'!$B:$B, 'Uncalibrated Data'!$C1448, 'Picarro Output'!$I:$I, 0, 'Picarro Output'!$J:$J, 1), "")</f>
        <v/>
      </c>
    </row>
    <row r="1449" spans="2:5" x14ac:dyDescent="0.45">
      <c r="B1449" s="1"/>
      <c r="E1449" s="45" t="str">
        <f>IFERROR(AVERAGEIFS('Picarro Output'!G:G, 'Picarro Output'!$B:$B, 'Uncalibrated Data'!$C1449, 'Picarro Output'!$I:$I, 0, 'Picarro Output'!$J:$J, 1), "")</f>
        <v/>
      </c>
    </row>
    <row r="1450" spans="2:5" x14ac:dyDescent="0.45">
      <c r="B1450" s="1"/>
      <c r="E1450" s="45" t="str">
        <f>IFERROR(AVERAGEIFS('Picarro Output'!G:G, 'Picarro Output'!$B:$B, 'Uncalibrated Data'!$C1450, 'Picarro Output'!$I:$I, 0, 'Picarro Output'!$J:$J, 1), "")</f>
        <v/>
      </c>
    </row>
    <row r="1451" spans="2:5" x14ac:dyDescent="0.45">
      <c r="B1451" s="1"/>
      <c r="E1451" s="45" t="str">
        <f>IFERROR(AVERAGEIFS('Picarro Output'!G:G, 'Picarro Output'!$B:$B, 'Uncalibrated Data'!$C1451, 'Picarro Output'!$I:$I, 0, 'Picarro Output'!$J:$J, 1), "")</f>
        <v/>
      </c>
    </row>
    <row r="1452" spans="2:5" x14ac:dyDescent="0.45">
      <c r="B1452" s="1"/>
      <c r="E1452" s="45" t="str">
        <f>IFERROR(AVERAGEIFS('Picarro Output'!G:G, 'Picarro Output'!$B:$B, 'Uncalibrated Data'!$C1452, 'Picarro Output'!$I:$I, 0, 'Picarro Output'!$J:$J, 1), "")</f>
        <v/>
      </c>
    </row>
    <row r="1453" spans="2:5" x14ac:dyDescent="0.45">
      <c r="B1453" s="1"/>
      <c r="E1453" s="45" t="str">
        <f>IFERROR(AVERAGEIFS('Picarro Output'!G:G, 'Picarro Output'!$B:$B, 'Uncalibrated Data'!$C1453, 'Picarro Output'!$I:$I, 0, 'Picarro Output'!$J:$J, 1), "")</f>
        <v/>
      </c>
    </row>
    <row r="1454" spans="2:5" x14ac:dyDescent="0.45">
      <c r="B1454" s="1"/>
      <c r="E1454" s="45" t="str">
        <f>IFERROR(AVERAGEIFS('Picarro Output'!G:G, 'Picarro Output'!$B:$B, 'Uncalibrated Data'!$C1454, 'Picarro Output'!$I:$I, 0, 'Picarro Output'!$J:$J, 1), "")</f>
        <v/>
      </c>
    </row>
    <row r="1455" spans="2:5" x14ac:dyDescent="0.45">
      <c r="B1455" s="1"/>
      <c r="E1455" s="45" t="str">
        <f>IFERROR(AVERAGEIFS('Picarro Output'!G:G, 'Picarro Output'!$B:$B, 'Uncalibrated Data'!$C1455, 'Picarro Output'!$I:$I, 0, 'Picarro Output'!$J:$J, 1), "")</f>
        <v/>
      </c>
    </row>
    <row r="1456" spans="2:5" x14ac:dyDescent="0.45">
      <c r="B1456" s="1"/>
      <c r="E1456" s="45" t="str">
        <f>IFERROR(AVERAGEIFS('Picarro Output'!G:G, 'Picarro Output'!$B:$B, 'Uncalibrated Data'!$C1456, 'Picarro Output'!$I:$I, 0, 'Picarro Output'!$J:$J, 1), "")</f>
        <v/>
      </c>
    </row>
    <row r="1457" spans="2:5" x14ac:dyDescent="0.45">
      <c r="B1457" s="1"/>
      <c r="E1457" s="45" t="str">
        <f>IFERROR(AVERAGEIFS('Picarro Output'!G:G, 'Picarro Output'!$B:$B, 'Uncalibrated Data'!$C1457, 'Picarro Output'!$I:$I, 0, 'Picarro Output'!$J:$J, 1), "")</f>
        <v/>
      </c>
    </row>
    <row r="1458" spans="2:5" x14ac:dyDescent="0.45">
      <c r="B1458" s="1"/>
      <c r="E1458" s="45" t="str">
        <f>IFERROR(AVERAGEIFS('Picarro Output'!G:G, 'Picarro Output'!$B:$B, 'Uncalibrated Data'!$C1458, 'Picarro Output'!$I:$I, 0, 'Picarro Output'!$J:$J, 1), "")</f>
        <v/>
      </c>
    </row>
    <row r="1459" spans="2:5" x14ac:dyDescent="0.45">
      <c r="B1459" s="1"/>
      <c r="E1459" s="45" t="str">
        <f>IFERROR(AVERAGEIFS('Picarro Output'!G:G, 'Picarro Output'!$B:$B, 'Uncalibrated Data'!$C1459, 'Picarro Output'!$I:$I, 0, 'Picarro Output'!$J:$J, 1), "")</f>
        <v/>
      </c>
    </row>
    <row r="1460" spans="2:5" x14ac:dyDescent="0.45">
      <c r="B1460" s="1"/>
      <c r="E1460" s="45" t="str">
        <f>IFERROR(AVERAGEIFS('Picarro Output'!G:G, 'Picarro Output'!$B:$B, 'Uncalibrated Data'!$C1460, 'Picarro Output'!$I:$I, 0, 'Picarro Output'!$J:$J, 1), "")</f>
        <v/>
      </c>
    </row>
    <row r="1461" spans="2:5" x14ac:dyDescent="0.45">
      <c r="B1461" s="1"/>
      <c r="E1461" s="45" t="str">
        <f>IFERROR(AVERAGEIFS('Picarro Output'!G:G, 'Picarro Output'!$B:$B, 'Uncalibrated Data'!$C1461, 'Picarro Output'!$I:$I, 0, 'Picarro Output'!$J:$J, 1), "")</f>
        <v/>
      </c>
    </row>
    <row r="1462" spans="2:5" x14ac:dyDescent="0.45">
      <c r="B1462" s="1"/>
      <c r="E1462" s="45" t="str">
        <f>IFERROR(AVERAGEIFS('Picarro Output'!G:G, 'Picarro Output'!$B:$B, 'Uncalibrated Data'!$C1462, 'Picarro Output'!$I:$I, 0, 'Picarro Output'!$J:$J, 1), "")</f>
        <v/>
      </c>
    </row>
    <row r="1463" spans="2:5" x14ac:dyDescent="0.45">
      <c r="B1463" s="1"/>
      <c r="E1463" s="45" t="str">
        <f>IFERROR(AVERAGEIFS('Picarro Output'!G:G, 'Picarro Output'!$B:$B, 'Uncalibrated Data'!$C1463, 'Picarro Output'!$I:$I, 0, 'Picarro Output'!$J:$J, 1), "")</f>
        <v/>
      </c>
    </row>
    <row r="1464" spans="2:5" x14ac:dyDescent="0.45">
      <c r="B1464" s="1"/>
      <c r="E1464" s="45" t="str">
        <f>IFERROR(AVERAGEIFS('Picarro Output'!G:G, 'Picarro Output'!$B:$B, 'Uncalibrated Data'!$C1464, 'Picarro Output'!$I:$I, 0, 'Picarro Output'!$J:$J, 1), "")</f>
        <v/>
      </c>
    </row>
    <row r="1465" spans="2:5" x14ac:dyDescent="0.45">
      <c r="B1465" s="1"/>
      <c r="E1465" s="45" t="str">
        <f>IFERROR(AVERAGEIFS('Picarro Output'!G:G, 'Picarro Output'!$B:$B, 'Uncalibrated Data'!$C1465, 'Picarro Output'!$I:$I, 0, 'Picarro Output'!$J:$J, 1), "")</f>
        <v/>
      </c>
    </row>
    <row r="1466" spans="2:5" x14ac:dyDescent="0.45">
      <c r="B1466" s="1"/>
      <c r="E1466" s="45" t="str">
        <f>IFERROR(AVERAGEIFS('Picarro Output'!G:G, 'Picarro Output'!$B:$B, 'Uncalibrated Data'!$C1466, 'Picarro Output'!$I:$I, 0, 'Picarro Output'!$J:$J, 1), "")</f>
        <v/>
      </c>
    </row>
    <row r="1467" spans="2:5" x14ac:dyDescent="0.45">
      <c r="B1467" s="1"/>
      <c r="E1467" s="45" t="str">
        <f>IFERROR(AVERAGEIFS('Picarro Output'!G:G, 'Picarro Output'!$B:$B, 'Uncalibrated Data'!$C1467, 'Picarro Output'!$I:$I, 0, 'Picarro Output'!$J:$J, 1), "")</f>
        <v/>
      </c>
    </row>
    <row r="1468" spans="2:5" x14ac:dyDescent="0.45">
      <c r="B1468" s="1"/>
      <c r="E1468" s="45" t="str">
        <f>IFERROR(AVERAGEIFS('Picarro Output'!G:G, 'Picarro Output'!$B:$B, 'Uncalibrated Data'!$C1468, 'Picarro Output'!$I:$I, 0, 'Picarro Output'!$J:$J, 1), "")</f>
        <v/>
      </c>
    </row>
    <row r="1469" spans="2:5" x14ac:dyDescent="0.45">
      <c r="B1469" s="1"/>
      <c r="E1469" s="45" t="str">
        <f>IFERROR(AVERAGEIFS('Picarro Output'!G:G, 'Picarro Output'!$B:$B, 'Uncalibrated Data'!$C1469, 'Picarro Output'!$I:$I, 0, 'Picarro Output'!$J:$J, 1), "")</f>
        <v/>
      </c>
    </row>
    <row r="1470" spans="2:5" x14ac:dyDescent="0.45">
      <c r="B1470" s="1"/>
      <c r="E1470" s="45" t="str">
        <f>IFERROR(AVERAGEIFS('Picarro Output'!G:G, 'Picarro Output'!$B:$B, 'Uncalibrated Data'!$C1470, 'Picarro Output'!$I:$I, 0, 'Picarro Output'!$J:$J, 1), "")</f>
        <v/>
      </c>
    </row>
    <row r="1471" spans="2:5" x14ac:dyDescent="0.45">
      <c r="B1471" s="1"/>
      <c r="E1471" s="45" t="str">
        <f>IFERROR(AVERAGEIFS('Picarro Output'!G:G, 'Picarro Output'!$B:$B, 'Uncalibrated Data'!$C1471, 'Picarro Output'!$I:$I, 0, 'Picarro Output'!$J:$J, 1), "")</f>
        <v/>
      </c>
    </row>
    <row r="1472" spans="2:5" x14ac:dyDescent="0.45">
      <c r="B1472" s="1"/>
      <c r="E1472" s="45" t="str">
        <f>IFERROR(AVERAGEIFS('Picarro Output'!G:G, 'Picarro Output'!$B:$B, 'Uncalibrated Data'!$C1472, 'Picarro Output'!$I:$I, 0, 'Picarro Output'!$J:$J, 1), "")</f>
        <v/>
      </c>
    </row>
    <row r="1473" spans="2:5" x14ac:dyDescent="0.45">
      <c r="B1473" s="1"/>
      <c r="E1473" s="45" t="str">
        <f>IFERROR(AVERAGEIFS('Picarro Output'!G:G, 'Picarro Output'!$B:$B, 'Uncalibrated Data'!$C1473, 'Picarro Output'!$I:$I, 0, 'Picarro Output'!$J:$J, 1), "")</f>
        <v/>
      </c>
    </row>
    <row r="1474" spans="2:5" x14ac:dyDescent="0.45">
      <c r="B1474" s="1"/>
      <c r="E1474" s="45" t="str">
        <f>IFERROR(AVERAGEIFS('Picarro Output'!G:G, 'Picarro Output'!$B:$B, 'Uncalibrated Data'!$C1474, 'Picarro Output'!$I:$I, 0, 'Picarro Output'!$J:$J, 1), "")</f>
        <v/>
      </c>
    </row>
    <row r="1475" spans="2:5" x14ac:dyDescent="0.45">
      <c r="B1475" s="1"/>
      <c r="E1475" s="45" t="str">
        <f>IFERROR(AVERAGEIFS('Picarro Output'!G:G, 'Picarro Output'!$B:$B, 'Uncalibrated Data'!$C1475, 'Picarro Output'!$I:$I, 0, 'Picarro Output'!$J:$J, 1), "")</f>
        <v/>
      </c>
    </row>
    <row r="1476" spans="2:5" x14ac:dyDescent="0.45">
      <c r="B1476" s="1"/>
      <c r="E1476" s="45" t="str">
        <f>IFERROR(AVERAGEIFS('Picarro Output'!G:G, 'Picarro Output'!$B:$B, 'Uncalibrated Data'!$C1476, 'Picarro Output'!$I:$I, 0, 'Picarro Output'!$J:$J, 1), "")</f>
        <v/>
      </c>
    </row>
    <row r="1477" spans="2:5" x14ac:dyDescent="0.45">
      <c r="B1477" s="1"/>
      <c r="E1477" s="45" t="str">
        <f>IFERROR(AVERAGEIFS('Picarro Output'!G:G, 'Picarro Output'!$B:$B, 'Uncalibrated Data'!$C1477, 'Picarro Output'!$I:$I, 0, 'Picarro Output'!$J:$J, 1), "")</f>
        <v/>
      </c>
    </row>
    <row r="1478" spans="2:5" x14ac:dyDescent="0.45">
      <c r="B1478" s="1"/>
      <c r="E1478" s="45" t="str">
        <f>IFERROR(AVERAGEIFS('Picarro Output'!G:G, 'Picarro Output'!$B:$B, 'Uncalibrated Data'!$C1478, 'Picarro Output'!$I:$I, 0, 'Picarro Output'!$J:$J, 1), "")</f>
        <v/>
      </c>
    </row>
    <row r="1479" spans="2:5" x14ac:dyDescent="0.45">
      <c r="B1479" s="1"/>
      <c r="E1479" s="45" t="str">
        <f>IFERROR(AVERAGEIFS('Picarro Output'!G:G, 'Picarro Output'!$B:$B, 'Uncalibrated Data'!$C1479, 'Picarro Output'!$I:$I, 0, 'Picarro Output'!$J:$J, 1), "")</f>
        <v/>
      </c>
    </row>
    <row r="1480" spans="2:5" x14ac:dyDescent="0.45">
      <c r="B1480" s="1"/>
      <c r="E1480" s="45" t="str">
        <f>IFERROR(AVERAGEIFS('Picarro Output'!G:G, 'Picarro Output'!$B:$B, 'Uncalibrated Data'!$C1480, 'Picarro Output'!$I:$I, 0, 'Picarro Output'!$J:$J, 1), "")</f>
        <v/>
      </c>
    </row>
    <row r="1481" spans="2:5" x14ac:dyDescent="0.45">
      <c r="B1481" s="1"/>
      <c r="E1481" s="45" t="str">
        <f>IFERROR(AVERAGEIFS('Picarro Output'!G:G, 'Picarro Output'!$B:$B, 'Uncalibrated Data'!$C1481, 'Picarro Output'!$I:$I, 0, 'Picarro Output'!$J:$J, 1), "")</f>
        <v/>
      </c>
    </row>
    <row r="1482" spans="2:5" x14ac:dyDescent="0.45">
      <c r="B1482" s="1"/>
      <c r="E1482" s="45" t="str">
        <f>IFERROR(AVERAGEIFS('Picarro Output'!G:G, 'Picarro Output'!$B:$B, 'Uncalibrated Data'!$C1482, 'Picarro Output'!$I:$I, 0, 'Picarro Output'!$J:$J, 1), "")</f>
        <v/>
      </c>
    </row>
    <row r="1483" spans="2:5" x14ac:dyDescent="0.45">
      <c r="B1483" s="1"/>
      <c r="E1483" s="45" t="str">
        <f>IFERROR(AVERAGEIFS('Picarro Output'!G:G, 'Picarro Output'!$B:$B, 'Uncalibrated Data'!$C1483, 'Picarro Output'!$I:$I, 0, 'Picarro Output'!$J:$J, 1), "")</f>
        <v/>
      </c>
    </row>
    <row r="1484" spans="2:5" x14ac:dyDescent="0.45">
      <c r="B1484" s="1"/>
      <c r="E1484" s="45" t="str">
        <f>IFERROR(AVERAGEIFS('Picarro Output'!G:G, 'Picarro Output'!$B:$B, 'Uncalibrated Data'!$C1484, 'Picarro Output'!$I:$I, 0, 'Picarro Output'!$J:$J, 1), "")</f>
        <v/>
      </c>
    </row>
    <row r="1485" spans="2:5" x14ac:dyDescent="0.45">
      <c r="B1485" s="1"/>
      <c r="E1485" s="45" t="str">
        <f>IFERROR(AVERAGEIFS('Picarro Output'!G:G, 'Picarro Output'!$B:$B, 'Uncalibrated Data'!$C1485, 'Picarro Output'!$I:$I, 0, 'Picarro Output'!$J:$J, 1), "")</f>
        <v/>
      </c>
    </row>
    <row r="1486" spans="2:5" x14ac:dyDescent="0.45">
      <c r="B1486" s="1"/>
      <c r="E1486" s="45" t="str">
        <f>IFERROR(AVERAGEIFS('Picarro Output'!G:G, 'Picarro Output'!$B:$B, 'Uncalibrated Data'!$C1486, 'Picarro Output'!$I:$I, 0, 'Picarro Output'!$J:$J, 1), "")</f>
        <v/>
      </c>
    </row>
    <row r="1487" spans="2:5" x14ac:dyDescent="0.45">
      <c r="B1487" s="1"/>
      <c r="E1487" s="45" t="str">
        <f>IFERROR(AVERAGEIFS('Picarro Output'!G:G, 'Picarro Output'!$B:$B, 'Uncalibrated Data'!$C1487, 'Picarro Output'!$I:$I, 0, 'Picarro Output'!$J:$J, 1), "")</f>
        <v/>
      </c>
    </row>
    <row r="1488" spans="2:5" x14ac:dyDescent="0.45">
      <c r="B1488" s="1"/>
      <c r="E1488" s="45" t="str">
        <f>IFERROR(AVERAGEIFS('Picarro Output'!G:G, 'Picarro Output'!$B:$B, 'Uncalibrated Data'!$C1488, 'Picarro Output'!$I:$I, 0, 'Picarro Output'!$J:$J, 1), "")</f>
        <v/>
      </c>
    </row>
    <row r="1489" spans="2:5" x14ac:dyDescent="0.45">
      <c r="B1489" s="1"/>
      <c r="E1489" s="45" t="str">
        <f>IFERROR(AVERAGEIFS('Picarro Output'!G:G, 'Picarro Output'!$B:$B, 'Uncalibrated Data'!$C1489, 'Picarro Output'!$I:$I, 0, 'Picarro Output'!$J:$J, 1), "")</f>
        <v/>
      </c>
    </row>
    <row r="1490" spans="2:5" x14ac:dyDescent="0.45">
      <c r="B1490" s="1"/>
      <c r="E1490" s="45" t="str">
        <f>IFERROR(AVERAGEIFS('Picarro Output'!G:G, 'Picarro Output'!$B:$B, 'Uncalibrated Data'!$C1490, 'Picarro Output'!$I:$I, 0, 'Picarro Output'!$J:$J, 1), "")</f>
        <v/>
      </c>
    </row>
    <row r="1491" spans="2:5" x14ac:dyDescent="0.45">
      <c r="B1491" s="1"/>
      <c r="E1491" s="45" t="str">
        <f>IFERROR(AVERAGEIFS('Picarro Output'!G:G, 'Picarro Output'!$B:$B, 'Uncalibrated Data'!$C1491, 'Picarro Output'!$I:$I, 0, 'Picarro Output'!$J:$J, 1), "")</f>
        <v/>
      </c>
    </row>
    <row r="1492" spans="2:5" x14ac:dyDescent="0.45">
      <c r="B1492" s="1"/>
      <c r="E1492" s="45" t="str">
        <f>IFERROR(AVERAGEIFS('Picarro Output'!G:G, 'Picarro Output'!$B:$B, 'Uncalibrated Data'!$C1492, 'Picarro Output'!$I:$I, 0, 'Picarro Output'!$J:$J, 1), "")</f>
        <v/>
      </c>
    </row>
    <row r="1493" spans="2:5" x14ac:dyDescent="0.45">
      <c r="B1493" s="1"/>
      <c r="E1493" s="45" t="str">
        <f>IFERROR(AVERAGEIFS('Picarro Output'!G:G, 'Picarro Output'!$B:$B, 'Uncalibrated Data'!$C1493, 'Picarro Output'!$I:$I, 0, 'Picarro Output'!$J:$J, 1), "")</f>
        <v/>
      </c>
    </row>
    <row r="1494" spans="2:5" x14ac:dyDescent="0.45">
      <c r="B1494" s="1"/>
      <c r="E1494" s="45" t="str">
        <f>IFERROR(AVERAGEIFS('Picarro Output'!G:G, 'Picarro Output'!$B:$B, 'Uncalibrated Data'!$C1494, 'Picarro Output'!$I:$I, 0, 'Picarro Output'!$J:$J, 1), "")</f>
        <v/>
      </c>
    </row>
    <row r="1495" spans="2:5" x14ac:dyDescent="0.45">
      <c r="B1495" s="1"/>
      <c r="E1495" s="45" t="str">
        <f>IFERROR(AVERAGEIFS('Picarro Output'!G:G, 'Picarro Output'!$B:$B, 'Uncalibrated Data'!$C1495, 'Picarro Output'!$I:$I, 0, 'Picarro Output'!$J:$J, 1), "")</f>
        <v/>
      </c>
    </row>
    <row r="1496" spans="2:5" x14ac:dyDescent="0.45">
      <c r="B1496" s="1"/>
      <c r="E1496" s="45" t="str">
        <f>IFERROR(AVERAGEIFS('Picarro Output'!G:G, 'Picarro Output'!$B:$B, 'Uncalibrated Data'!$C1496, 'Picarro Output'!$I:$I, 0, 'Picarro Output'!$J:$J, 1), "")</f>
        <v/>
      </c>
    </row>
    <row r="1497" spans="2:5" x14ac:dyDescent="0.45">
      <c r="B1497" s="1"/>
      <c r="E1497" s="45" t="str">
        <f>IFERROR(AVERAGEIFS('Picarro Output'!G:G, 'Picarro Output'!$B:$B, 'Uncalibrated Data'!$C1497, 'Picarro Output'!$I:$I, 0, 'Picarro Output'!$J:$J, 1), "")</f>
        <v/>
      </c>
    </row>
    <row r="1498" spans="2:5" x14ac:dyDescent="0.45">
      <c r="B1498" s="1"/>
      <c r="E1498" s="45" t="str">
        <f>IFERROR(AVERAGEIFS('Picarro Output'!G:G, 'Picarro Output'!$B:$B, 'Uncalibrated Data'!$C1498, 'Picarro Output'!$I:$I, 0, 'Picarro Output'!$J:$J, 1), "")</f>
        <v/>
      </c>
    </row>
    <row r="1499" spans="2:5" x14ac:dyDescent="0.45">
      <c r="B1499" s="1"/>
      <c r="E1499" s="45" t="str">
        <f>IFERROR(AVERAGEIFS('Picarro Output'!G:G, 'Picarro Output'!$B:$B, 'Uncalibrated Data'!$C1499, 'Picarro Output'!$I:$I, 0, 'Picarro Output'!$J:$J, 1), "")</f>
        <v/>
      </c>
    </row>
    <row r="1500" spans="2:5" x14ac:dyDescent="0.45">
      <c r="B1500" s="1"/>
      <c r="E1500" s="45" t="str">
        <f>IFERROR(AVERAGEIFS('Picarro Output'!G:G, 'Picarro Output'!$B:$B, 'Uncalibrated Data'!$C1500, 'Picarro Output'!$I:$I, 0, 'Picarro Output'!$J:$J, 1), "")</f>
        <v/>
      </c>
    </row>
    <row r="1501" spans="2:5" x14ac:dyDescent="0.45">
      <c r="B1501" s="1"/>
      <c r="E1501" s="45" t="str">
        <f>IFERROR(AVERAGEIFS('Picarro Output'!G:G, 'Picarro Output'!$B:$B, 'Uncalibrated Data'!$C1501, 'Picarro Output'!$I:$I, 0, 'Picarro Output'!$J:$J, 1), "")</f>
        <v/>
      </c>
    </row>
    <row r="1502" spans="2:5" x14ac:dyDescent="0.45">
      <c r="B1502" s="1"/>
      <c r="E1502" s="45" t="str">
        <f>IFERROR(AVERAGEIFS('Picarro Output'!G:G, 'Picarro Output'!$B:$B, 'Uncalibrated Data'!$C1502, 'Picarro Output'!$I:$I, 0, 'Picarro Output'!$J:$J, 1), "")</f>
        <v/>
      </c>
    </row>
    <row r="1503" spans="2:5" x14ac:dyDescent="0.45">
      <c r="B1503" s="1"/>
      <c r="E1503" s="45" t="str">
        <f>IFERROR(AVERAGEIFS('Picarro Output'!G:G, 'Picarro Output'!$B:$B, 'Uncalibrated Data'!$C1503, 'Picarro Output'!$I:$I, 0, 'Picarro Output'!$J:$J, 1), "")</f>
        <v/>
      </c>
    </row>
    <row r="1504" spans="2:5" x14ac:dyDescent="0.45">
      <c r="B1504" s="1"/>
      <c r="E1504" s="45" t="str">
        <f>IFERROR(AVERAGEIFS('Picarro Output'!G:G, 'Picarro Output'!$B:$B, 'Uncalibrated Data'!$C1504, 'Picarro Output'!$I:$I, 0, 'Picarro Output'!$J:$J, 1), "")</f>
        <v/>
      </c>
    </row>
    <row r="1505" spans="2:5" x14ac:dyDescent="0.45">
      <c r="B1505" s="1"/>
      <c r="E1505" s="45" t="str">
        <f>IFERROR(AVERAGEIFS('Picarro Output'!G:G, 'Picarro Output'!$B:$B, 'Uncalibrated Data'!$C1505, 'Picarro Output'!$I:$I, 0, 'Picarro Output'!$J:$J, 1), "")</f>
        <v/>
      </c>
    </row>
    <row r="1506" spans="2:5" x14ac:dyDescent="0.45">
      <c r="B1506" s="1"/>
      <c r="E1506" s="45" t="str">
        <f>IFERROR(AVERAGEIFS('Picarro Output'!G:G, 'Picarro Output'!$B:$B, 'Uncalibrated Data'!$C1506, 'Picarro Output'!$I:$I, 0, 'Picarro Output'!$J:$J, 1), "")</f>
        <v/>
      </c>
    </row>
    <row r="1507" spans="2:5" x14ac:dyDescent="0.45">
      <c r="B1507" s="1"/>
      <c r="E1507" s="45" t="str">
        <f>IFERROR(AVERAGEIFS('Picarro Output'!G:G, 'Picarro Output'!$B:$B, 'Uncalibrated Data'!$C1507, 'Picarro Output'!$I:$I, 0, 'Picarro Output'!$J:$J, 1), "")</f>
        <v/>
      </c>
    </row>
    <row r="1508" spans="2:5" x14ac:dyDescent="0.45">
      <c r="B1508" s="1"/>
      <c r="E1508" s="45" t="str">
        <f>IFERROR(AVERAGEIFS('Picarro Output'!G:G, 'Picarro Output'!$B:$B, 'Uncalibrated Data'!$C1508, 'Picarro Output'!$I:$I, 0, 'Picarro Output'!$J:$J, 1), "")</f>
        <v/>
      </c>
    </row>
    <row r="1509" spans="2:5" x14ac:dyDescent="0.45">
      <c r="B1509" s="1"/>
      <c r="E1509" s="45" t="str">
        <f>IFERROR(AVERAGEIFS('Picarro Output'!G:G, 'Picarro Output'!$B:$B, 'Uncalibrated Data'!$C1509, 'Picarro Output'!$I:$I, 0, 'Picarro Output'!$J:$J, 1), "")</f>
        <v/>
      </c>
    </row>
    <row r="1510" spans="2:5" x14ac:dyDescent="0.45">
      <c r="B1510" s="1"/>
      <c r="E1510" s="45" t="str">
        <f>IFERROR(AVERAGEIFS('Picarro Output'!G:G, 'Picarro Output'!$B:$B, 'Uncalibrated Data'!$C1510, 'Picarro Output'!$I:$I, 0, 'Picarro Output'!$J:$J, 1), "")</f>
        <v/>
      </c>
    </row>
    <row r="1511" spans="2:5" x14ac:dyDescent="0.45">
      <c r="B1511" s="1"/>
      <c r="E1511" s="45" t="str">
        <f>IFERROR(AVERAGEIFS('Picarro Output'!G:G, 'Picarro Output'!$B:$B, 'Uncalibrated Data'!$C1511, 'Picarro Output'!$I:$I, 0, 'Picarro Output'!$J:$J, 1), "")</f>
        <v/>
      </c>
    </row>
    <row r="1512" spans="2:5" x14ac:dyDescent="0.45">
      <c r="B1512" s="1"/>
      <c r="E1512" s="45" t="str">
        <f>IFERROR(AVERAGEIFS('Picarro Output'!G:G, 'Picarro Output'!$B:$B, 'Uncalibrated Data'!$C1512, 'Picarro Output'!$I:$I, 0, 'Picarro Output'!$J:$J, 1), "")</f>
        <v/>
      </c>
    </row>
    <row r="1513" spans="2:5" x14ac:dyDescent="0.45">
      <c r="B1513" s="1"/>
      <c r="E1513" s="45" t="str">
        <f>IFERROR(AVERAGEIFS('Picarro Output'!G:G, 'Picarro Output'!$B:$B, 'Uncalibrated Data'!$C1513, 'Picarro Output'!$I:$I, 0, 'Picarro Output'!$J:$J, 1), "")</f>
        <v/>
      </c>
    </row>
    <row r="1514" spans="2:5" x14ac:dyDescent="0.45">
      <c r="B1514" s="1"/>
      <c r="E1514" s="45" t="str">
        <f>IFERROR(AVERAGEIFS('Picarro Output'!G:G, 'Picarro Output'!$B:$B, 'Uncalibrated Data'!$C1514, 'Picarro Output'!$I:$I, 0, 'Picarro Output'!$J:$J, 1), "")</f>
        <v/>
      </c>
    </row>
    <row r="1515" spans="2:5" x14ac:dyDescent="0.45">
      <c r="B1515" s="1"/>
      <c r="E1515" s="45" t="str">
        <f>IFERROR(AVERAGEIFS('Picarro Output'!G:G, 'Picarro Output'!$B:$B, 'Uncalibrated Data'!$C1515, 'Picarro Output'!$I:$I, 0, 'Picarro Output'!$J:$J, 1), "")</f>
        <v/>
      </c>
    </row>
    <row r="1516" spans="2:5" x14ac:dyDescent="0.45">
      <c r="B1516" s="1"/>
      <c r="E1516" s="45" t="str">
        <f>IFERROR(AVERAGEIFS('Picarro Output'!G:G, 'Picarro Output'!$B:$B, 'Uncalibrated Data'!$C1516, 'Picarro Output'!$I:$I, 0, 'Picarro Output'!$J:$J, 1), "")</f>
        <v/>
      </c>
    </row>
    <row r="1517" spans="2:5" x14ac:dyDescent="0.45">
      <c r="B1517" s="1"/>
      <c r="E1517" s="45" t="str">
        <f>IFERROR(AVERAGEIFS('Picarro Output'!G:G, 'Picarro Output'!$B:$B, 'Uncalibrated Data'!$C1517, 'Picarro Output'!$I:$I, 0, 'Picarro Output'!$J:$J, 1), "")</f>
        <v/>
      </c>
    </row>
    <row r="1518" spans="2:5" x14ac:dyDescent="0.45">
      <c r="B1518" s="1"/>
      <c r="E1518" s="45" t="str">
        <f>IFERROR(AVERAGEIFS('Picarro Output'!G:G, 'Picarro Output'!$B:$B, 'Uncalibrated Data'!$C1518, 'Picarro Output'!$I:$I, 0, 'Picarro Output'!$J:$J, 1), "")</f>
        <v/>
      </c>
    </row>
    <row r="1519" spans="2:5" x14ac:dyDescent="0.45">
      <c r="B1519" s="1"/>
      <c r="E1519" s="45" t="str">
        <f>IFERROR(AVERAGEIFS('Picarro Output'!G:G, 'Picarro Output'!$B:$B, 'Uncalibrated Data'!$C1519, 'Picarro Output'!$I:$I, 0, 'Picarro Output'!$J:$J, 1), "")</f>
        <v/>
      </c>
    </row>
    <row r="1520" spans="2:5" x14ac:dyDescent="0.45">
      <c r="B1520" s="1"/>
      <c r="E1520" s="45" t="str">
        <f>IFERROR(AVERAGEIFS('Picarro Output'!G:G, 'Picarro Output'!$B:$B, 'Uncalibrated Data'!$C1520, 'Picarro Output'!$I:$I, 0, 'Picarro Output'!$J:$J, 1), "")</f>
        <v/>
      </c>
    </row>
    <row r="1521" spans="2:5" x14ac:dyDescent="0.45">
      <c r="B1521" s="1"/>
      <c r="E1521" s="45" t="str">
        <f>IFERROR(AVERAGEIFS('Picarro Output'!G:G, 'Picarro Output'!$B:$B, 'Uncalibrated Data'!$C1521, 'Picarro Output'!$I:$I, 0, 'Picarro Output'!$J:$J, 1), "")</f>
        <v/>
      </c>
    </row>
    <row r="1522" spans="2:5" x14ac:dyDescent="0.45">
      <c r="B1522" s="1"/>
      <c r="E1522" s="45" t="str">
        <f>IFERROR(AVERAGEIFS('Picarro Output'!G:G, 'Picarro Output'!$B:$B, 'Uncalibrated Data'!$C1522, 'Picarro Output'!$I:$I, 0, 'Picarro Output'!$J:$J, 1), "")</f>
        <v/>
      </c>
    </row>
    <row r="1523" spans="2:5" x14ac:dyDescent="0.45">
      <c r="B1523" s="1"/>
      <c r="E1523" s="45" t="str">
        <f>IFERROR(AVERAGEIFS('Picarro Output'!G:G, 'Picarro Output'!$B:$B, 'Uncalibrated Data'!$C1523, 'Picarro Output'!$I:$I, 0, 'Picarro Output'!$J:$J, 1), "")</f>
        <v/>
      </c>
    </row>
    <row r="1524" spans="2:5" x14ac:dyDescent="0.45">
      <c r="B1524" s="1"/>
      <c r="E1524" s="45" t="str">
        <f>IFERROR(AVERAGEIFS('Picarro Output'!G:G, 'Picarro Output'!$B:$B, 'Uncalibrated Data'!$C1524, 'Picarro Output'!$I:$I, 0, 'Picarro Output'!$J:$J, 1), "")</f>
        <v/>
      </c>
    </row>
    <row r="1525" spans="2:5" x14ac:dyDescent="0.45">
      <c r="B1525" s="1"/>
      <c r="E1525" s="45" t="str">
        <f>IFERROR(AVERAGEIFS('Picarro Output'!G:G, 'Picarro Output'!$B:$B, 'Uncalibrated Data'!$C1525, 'Picarro Output'!$I:$I, 0, 'Picarro Output'!$J:$J, 1), "")</f>
        <v/>
      </c>
    </row>
    <row r="1526" spans="2:5" x14ac:dyDescent="0.45">
      <c r="B1526" s="1"/>
      <c r="E1526" s="45" t="str">
        <f>IFERROR(AVERAGEIFS('Picarro Output'!G:G, 'Picarro Output'!$B:$B, 'Uncalibrated Data'!$C1526, 'Picarro Output'!$I:$I, 0, 'Picarro Output'!$J:$J, 1), "")</f>
        <v/>
      </c>
    </row>
    <row r="1527" spans="2:5" x14ac:dyDescent="0.45">
      <c r="B1527" s="1"/>
      <c r="E1527" s="45" t="str">
        <f>IFERROR(AVERAGEIFS('Picarro Output'!G:G, 'Picarro Output'!$B:$B, 'Uncalibrated Data'!$C1527, 'Picarro Output'!$I:$I, 0, 'Picarro Output'!$J:$J, 1), "")</f>
        <v/>
      </c>
    </row>
    <row r="1528" spans="2:5" x14ac:dyDescent="0.45">
      <c r="B1528" s="1"/>
      <c r="E1528" s="45" t="str">
        <f>IFERROR(AVERAGEIFS('Picarro Output'!G:G, 'Picarro Output'!$B:$B, 'Uncalibrated Data'!$C1528, 'Picarro Output'!$I:$I, 0, 'Picarro Output'!$J:$J, 1), "")</f>
        <v/>
      </c>
    </row>
    <row r="1529" spans="2:5" x14ac:dyDescent="0.45">
      <c r="B1529" s="1"/>
      <c r="E1529" s="45" t="str">
        <f>IFERROR(AVERAGEIFS('Picarro Output'!G:G, 'Picarro Output'!$B:$B, 'Uncalibrated Data'!$C1529, 'Picarro Output'!$I:$I, 0, 'Picarro Output'!$J:$J, 1), "")</f>
        <v/>
      </c>
    </row>
    <row r="1530" spans="2:5" x14ac:dyDescent="0.45">
      <c r="B1530" s="1"/>
      <c r="E1530" s="45" t="str">
        <f>IFERROR(AVERAGEIFS('Picarro Output'!G:G, 'Picarro Output'!$B:$B, 'Uncalibrated Data'!$C1530, 'Picarro Output'!$I:$I, 0, 'Picarro Output'!$J:$J, 1), "")</f>
        <v/>
      </c>
    </row>
    <row r="1531" spans="2:5" x14ac:dyDescent="0.45">
      <c r="B1531" s="1"/>
      <c r="E1531" s="45" t="str">
        <f>IFERROR(AVERAGEIFS('Picarro Output'!G:G, 'Picarro Output'!$B:$B, 'Uncalibrated Data'!$C1531, 'Picarro Output'!$I:$I, 0, 'Picarro Output'!$J:$J, 1), "")</f>
        <v/>
      </c>
    </row>
    <row r="1532" spans="2:5" x14ac:dyDescent="0.45">
      <c r="B1532" s="1"/>
      <c r="E1532" s="45" t="str">
        <f>IFERROR(AVERAGEIFS('Picarro Output'!G:G, 'Picarro Output'!$B:$B, 'Uncalibrated Data'!$C1532, 'Picarro Output'!$I:$I, 0, 'Picarro Output'!$J:$J, 1), "")</f>
        <v/>
      </c>
    </row>
    <row r="1533" spans="2:5" x14ac:dyDescent="0.45">
      <c r="B1533" s="1"/>
      <c r="E1533" s="45" t="str">
        <f>IFERROR(AVERAGEIFS('Picarro Output'!G:G, 'Picarro Output'!$B:$B, 'Uncalibrated Data'!$C1533, 'Picarro Output'!$I:$I, 0, 'Picarro Output'!$J:$J, 1), "")</f>
        <v/>
      </c>
    </row>
    <row r="1534" spans="2:5" x14ac:dyDescent="0.45">
      <c r="B1534" s="1"/>
      <c r="E1534" s="45" t="str">
        <f>IFERROR(AVERAGEIFS('Picarro Output'!G:G, 'Picarro Output'!$B:$B, 'Uncalibrated Data'!$C1534, 'Picarro Output'!$I:$I, 0, 'Picarro Output'!$J:$J, 1), "")</f>
        <v/>
      </c>
    </row>
    <row r="1535" spans="2:5" x14ac:dyDescent="0.45">
      <c r="B1535" s="1"/>
      <c r="E1535" s="45" t="str">
        <f>IFERROR(AVERAGEIFS('Picarro Output'!G:G, 'Picarro Output'!$B:$B, 'Uncalibrated Data'!$C1535, 'Picarro Output'!$I:$I, 0, 'Picarro Output'!$J:$J, 1), "")</f>
        <v/>
      </c>
    </row>
    <row r="1536" spans="2:5" x14ac:dyDescent="0.45">
      <c r="B1536" s="1"/>
      <c r="E1536" s="45" t="str">
        <f>IFERROR(AVERAGEIFS('Picarro Output'!G:G, 'Picarro Output'!$B:$B, 'Uncalibrated Data'!$C1536, 'Picarro Output'!$I:$I, 0, 'Picarro Output'!$J:$J, 1), "")</f>
        <v/>
      </c>
    </row>
    <row r="1537" spans="2:5" x14ac:dyDescent="0.45">
      <c r="B1537" s="1"/>
      <c r="E1537" s="45" t="str">
        <f>IFERROR(AVERAGEIFS('Picarro Output'!G:G, 'Picarro Output'!$B:$B, 'Uncalibrated Data'!$C1537, 'Picarro Output'!$I:$I, 0, 'Picarro Output'!$J:$J, 1), "")</f>
        <v/>
      </c>
    </row>
    <row r="1538" spans="2:5" x14ac:dyDescent="0.45">
      <c r="B1538" s="1"/>
      <c r="E1538" s="45" t="str">
        <f>IFERROR(AVERAGEIFS('Picarro Output'!G:G, 'Picarro Output'!$B:$B, 'Uncalibrated Data'!$C1538, 'Picarro Output'!$I:$I, 0, 'Picarro Output'!$J:$J, 1), "")</f>
        <v/>
      </c>
    </row>
    <row r="1539" spans="2:5" x14ac:dyDescent="0.45">
      <c r="B1539" s="1"/>
      <c r="E1539" s="45" t="str">
        <f>IFERROR(AVERAGEIFS('Picarro Output'!G:G, 'Picarro Output'!$B:$B, 'Uncalibrated Data'!$C1539, 'Picarro Output'!$I:$I, 0, 'Picarro Output'!$J:$J, 1), "")</f>
        <v/>
      </c>
    </row>
    <row r="1540" spans="2:5" x14ac:dyDescent="0.45">
      <c r="B1540" s="1"/>
      <c r="E1540" s="45" t="str">
        <f>IFERROR(AVERAGEIFS('Picarro Output'!G:G, 'Picarro Output'!$B:$B, 'Uncalibrated Data'!$C1540, 'Picarro Output'!$I:$I, 0, 'Picarro Output'!$J:$J, 1), "")</f>
        <v/>
      </c>
    </row>
    <row r="1541" spans="2:5" x14ac:dyDescent="0.45">
      <c r="B1541" s="1"/>
      <c r="E1541" s="45" t="str">
        <f>IFERROR(AVERAGEIFS('Picarro Output'!G:G, 'Picarro Output'!$B:$B, 'Uncalibrated Data'!$C1541, 'Picarro Output'!$I:$I, 0, 'Picarro Output'!$J:$J, 1), "")</f>
        <v/>
      </c>
    </row>
    <row r="1542" spans="2:5" x14ac:dyDescent="0.45">
      <c r="B1542" s="1"/>
      <c r="E1542" s="45" t="str">
        <f>IFERROR(AVERAGEIFS('Picarro Output'!G:G, 'Picarro Output'!$B:$B, 'Uncalibrated Data'!$C1542, 'Picarro Output'!$I:$I, 0, 'Picarro Output'!$J:$J, 1), "")</f>
        <v/>
      </c>
    </row>
    <row r="1543" spans="2:5" x14ac:dyDescent="0.45">
      <c r="B1543" s="1"/>
      <c r="E1543" s="45" t="str">
        <f>IFERROR(AVERAGEIFS('Picarro Output'!G:G, 'Picarro Output'!$B:$B, 'Uncalibrated Data'!$C1543, 'Picarro Output'!$I:$I, 0, 'Picarro Output'!$J:$J, 1), "")</f>
        <v/>
      </c>
    </row>
    <row r="1544" spans="2:5" x14ac:dyDescent="0.45">
      <c r="B1544" s="1"/>
      <c r="E1544" s="45" t="str">
        <f>IFERROR(AVERAGEIFS('Picarro Output'!G:G, 'Picarro Output'!$B:$B, 'Uncalibrated Data'!$C1544, 'Picarro Output'!$I:$I, 0, 'Picarro Output'!$J:$J, 1), "")</f>
        <v/>
      </c>
    </row>
    <row r="1545" spans="2:5" x14ac:dyDescent="0.45">
      <c r="B1545" s="1"/>
      <c r="E1545" s="45" t="str">
        <f>IFERROR(AVERAGEIFS('Picarro Output'!G:G, 'Picarro Output'!$B:$B, 'Uncalibrated Data'!$C1545, 'Picarro Output'!$I:$I, 0, 'Picarro Output'!$J:$J, 1), "")</f>
        <v/>
      </c>
    </row>
    <row r="1546" spans="2:5" x14ac:dyDescent="0.45">
      <c r="B1546" s="1"/>
      <c r="E1546" s="45" t="str">
        <f>IFERROR(AVERAGEIFS('Picarro Output'!G:G, 'Picarro Output'!$B:$B, 'Uncalibrated Data'!$C1546, 'Picarro Output'!$I:$I, 0, 'Picarro Output'!$J:$J, 1), "")</f>
        <v/>
      </c>
    </row>
    <row r="1547" spans="2:5" x14ac:dyDescent="0.45">
      <c r="B1547" s="1"/>
      <c r="E1547" s="45" t="str">
        <f>IFERROR(AVERAGEIFS('Picarro Output'!G:G, 'Picarro Output'!$B:$B, 'Uncalibrated Data'!$C1547, 'Picarro Output'!$I:$I, 0, 'Picarro Output'!$J:$J, 1), "")</f>
        <v/>
      </c>
    </row>
    <row r="1548" spans="2:5" x14ac:dyDescent="0.45">
      <c r="B1548" s="1"/>
      <c r="E1548" s="45" t="str">
        <f>IFERROR(AVERAGEIFS('Picarro Output'!G:G, 'Picarro Output'!$B:$B, 'Uncalibrated Data'!$C1548, 'Picarro Output'!$I:$I, 0, 'Picarro Output'!$J:$J, 1), "")</f>
        <v/>
      </c>
    </row>
    <row r="1549" spans="2:5" x14ac:dyDescent="0.45">
      <c r="B1549" s="1"/>
      <c r="E1549" s="45" t="str">
        <f>IFERROR(AVERAGEIFS('Picarro Output'!G:G, 'Picarro Output'!$B:$B, 'Uncalibrated Data'!$C1549, 'Picarro Output'!$I:$I, 0, 'Picarro Output'!$J:$J, 1), "")</f>
        <v/>
      </c>
    </row>
    <row r="1550" spans="2:5" x14ac:dyDescent="0.45">
      <c r="B1550" s="1"/>
      <c r="E1550" s="45" t="str">
        <f>IFERROR(AVERAGEIFS('Picarro Output'!G:G, 'Picarro Output'!$B:$B, 'Uncalibrated Data'!$C1550, 'Picarro Output'!$I:$I, 0, 'Picarro Output'!$J:$J, 1), "")</f>
        <v/>
      </c>
    </row>
    <row r="1551" spans="2:5" x14ac:dyDescent="0.45">
      <c r="B1551" s="1"/>
      <c r="E1551" s="45" t="str">
        <f>IFERROR(AVERAGEIFS('Picarro Output'!G:G, 'Picarro Output'!$B:$B, 'Uncalibrated Data'!$C1551, 'Picarro Output'!$I:$I, 0, 'Picarro Output'!$J:$J, 1), "")</f>
        <v/>
      </c>
    </row>
    <row r="1552" spans="2:5" x14ac:dyDescent="0.45">
      <c r="B1552" s="1"/>
      <c r="E1552" s="45" t="str">
        <f>IFERROR(AVERAGEIFS('Picarro Output'!G:G, 'Picarro Output'!$B:$B, 'Uncalibrated Data'!$C1552, 'Picarro Output'!$I:$I, 0, 'Picarro Output'!$J:$J, 1), "")</f>
        <v/>
      </c>
    </row>
    <row r="1553" spans="2:5" x14ac:dyDescent="0.45">
      <c r="B1553" s="1"/>
      <c r="E1553" s="45" t="str">
        <f>IFERROR(AVERAGEIFS('Picarro Output'!G:G, 'Picarro Output'!$B:$B, 'Uncalibrated Data'!$C1553, 'Picarro Output'!$I:$I, 0, 'Picarro Output'!$J:$J, 1), "")</f>
        <v/>
      </c>
    </row>
    <row r="1554" spans="2:5" x14ac:dyDescent="0.45">
      <c r="B1554" s="1"/>
      <c r="E1554" s="45" t="str">
        <f>IFERROR(AVERAGEIFS('Picarro Output'!G:G, 'Picarro Output'!$B:$B, 'Uncalibrated Data'!$C1554, 'Picarro Output'!$I:$I, 0, 'Picarro Output'!$J:$J, 1), "")</f>
        <v/>
      </c>
    </row>
    <row r="1555" spans="2:5" x14ac:dyDescent="0.45">
      <c r="B1555" s="1"/>
      <c r="E1555" s="45" t="str">
        <f>IFERROR(AVERAGEIFS('Picarro Output'!G:G, 'Picarro Output'!$B:$B, 'Uncalibrated Data'!$C1555, 'Picarro Output'!$I:$I, 0, 'Picarro Output'!$J:$J, 1), "")</f>
        <v/>
      </c>
    </row>
    <row r="1556" spans="2:5" x14ac:dyDescent="0.45">
      <c r="B1556" s="1"/>
      <c r="E1556" s="45" t="str">
        <f>IFERROR(AVERAGEIFS('Picarro Output'!G:G, 'Picarro Output'!$B:$B, 'Uncalibrated Data'!$C1556, 'Picarro Output'!$I:$I, 0, 'Picarro Output'!$J:$J, 1), "")</f>
        <v/>
      </c>
    </row>
    <row r="1557" spans="2:5" x14ac:dyDescent="0.45">
      <c r="B1557" s="1"/>
      <c r="E1557" s="45" t="str">
        <f>IFERROR(AVERAGEIFS('Picarro Output'!G:G, 'Picarro Output'!$B:$B, 'Uncalibrated Data'!$C1557, 'Picarro Output'!$I:$I, 0, 'Picarro Output'!$J:$J, 1), "")</f>
        <v/>
      </c>
    </row>
    <row r="1558" spans="2:5" x14ac:dyDescent="0.45">
      <c r="B1558" s="1"/>
      <c r="E1558" s="45" t="str">
        <f>IFERROR(AVERAGEIFS('Picarro Output'!G:G, 'Picarro Output'!$B:$B, 'Uncalibrated Data'!$C1558, 'Picarro Output'!$I:$I, 0, 'Picarro Output'!$J:$J, 1), "")</f>
        <v/>
      </c>
    </row>
    <row r="1559" spans="2:5" x14ac:dyDescent="0.45">
      <c r="B1559" s="1"/>
      <c r="E1559" s="45" t="str">
        <f>IFERROR(AVERAGEIFS('Picarro Output'!G:G, 'Picarro Output'!$B:$B, 'Uncalibrated Data'!$C1559, 'Picarro Output'!$I:$I, 0, 'Picarro Output'!$J:$J, 1), "")</f>
        <v/>
      </c>
    </row>
    <row r="1560" spans="2:5" x14ac:dyDescent="0.45">
      <c r="B1560" s="1"/>
      <c r="E1560" s="45" t="str">
        <f>IFERROR(AVERAGEIFS('Picarro Output'!G:G, 'Picarro Output'!$B:$B, 'Uncalibrated Data'!$C1560, 'Picarro Output'!$I:$I, 0, 'Picarro Output'!$J:$J, 1), "")</f>
        <v/>
      </c>
    </row>
    <row r="1561" spans="2:5" x14ac:dyDescent="0.45">
      <c r="B1561" s="1"/>
      <c r="E1561" s="45" t="str">
        <f>IFERROR(AVERAGEIFS('Picarro Output'!G:G, 'Picarro Output'!$B:$B, 'Uncalibrated Data'!$C1561, 'Picarro Output'!$I:$I, 0, 'Picarro Output'!$J:$J, 1), "")</f>
        <v/>
      </c>
    </row>
    <row r="1562" spans="2:5" x14ac:dyDescent="0.45">
      <c r="B1562" s="1"/>
      <c r="E1562" s="45" t="str">
        <f>IFERROR(AVERAGEIFS('Picarro Output'!G:G, 'Picarro Output'!$B:$B, 'Uncalibrated Data'!$C1562, 'Picarro Output'!$I:$I, 0, 'Picarro Output'!$J:$J, 1), "")</f>
        <v/>
      </c>
    </row>
    <row r="1563" spans="2:5" x14ac:dyDescent="0.45">
      <c r="B1563" s="1"/>
      <c r="E1563" s="45" t="str">
        <f>IFERROR(AVERAGEIFS('Picarro Output'!G:G, 'Picarro Output'!$B:$B, 'Uncalibrated Data'!$C1563, 'Picarro Output'!$I:$I, 0, 'Picarro Output'!$J:$J, 1), "")</f>
        <v/>
      </c>
    </row>
    <row r="1564" spans="2:5" x14ac:dyDescent="0.45">
      <c r="B1564" s="1"/>
      <c r="E1564" s="45" t="str">
        <f>IFERROR(AVERAGEIFS('Picarro Output'!G:G, 'Picarro Output'!$B:$B, 'Uncalibrated Data'!$C1564, 'Picarro Output'!$I:$I, 0, 'Picarro Output'!$J:$J, 1), "")</f>
        <v/>
      </c>
    </row>
    <row r="1565" spans="2:5" x14ac:dyDescent="0.45">
      <c r="B1565" s="1"/>
      <c r="E1565" s="45" t="str">
        <f>IFERROR(AVERAGEIFS('Picarro Output'!G:G, 'Picarro Output'!$B:$B, 'Uncalibrated Data'!$C1565, 'Picarro Output'!$I:$I, 0, 'Picarro Output'!$J:$J, 1), "")</f>
        <v/>
      </c>
    </row>
    <row r="1566" spans="2:5" x14ac:dyDescent="0.45">
      <c r="B1566" s="1"/>
      <c r="E1566" s="45" t="str">
        <f>IFERROR(AVERAGEIFS('Picarro Output'!G:G, 'Picarro Output'!$B:$B, 'Uncalibrated Data'!$C1566, 'Picarro Output'!$I:$I, 0, 'Picarro Output'!$J:$J, 1), "")</f>
        <v/>
      </c>
    </row>
    <row r="1567" spans="2:5" x14ac:dyDescent="0.45">
      <c r="B1567" s="1"/>
      <c r="E1567" s="45" t="str">
        <f>IFERROR(AVERAGEIFS('Picarro Output'!G:G, 'Picarro Output'!$B:$B, 'Uncalibrated Data'!$C1567, 'Picarro Output'!$I:$I, 0, 'Picarro Output'!$J:$J, 1), "")</f>
        <v/>
      </c>
    </row>
    <row r="1568" spans="2:5" x14ac:dyDescent="0.45">
      <c r="B1568" s="1"/>
      <c r="E1568" s="45" t="str">
        <f>IFERROR(AVERAGEIFS('Picarro Output'!G:G, 'Picarro Output'!$B:$B, 'Uncalibrated Data'!$C1568, 'Picarro Output'!$I:$I, 0, 'Picarro Output'!$J:$J, 1), "")</f>
        <v/>
      </c>
    </row>
    <row r="1569" spans="2:5" x14ac:dyDescent="0.45">
      <c r="B1569" s="1"/>
      <c r="E1569" s="45" t="str">
        <f>IFERROR(AVERAGEIFS('Picarro Output'!G:G, 'Picarro Output'!$B:$B, 'Uncalibrated Data'!$C1569, 'Picarro Output'!$I:$I, 0, 'Picarro Output'!$J:$J, 1), "")</f>
        <v/>
      </c>
    </row>
    <row r="1570" spans="2:5" x14ac:dyDescent="0.45">
      <c r="B1570" s="1"/>
      <c r="E1570" s="45" t="str">
        <f>IFERROR(AVERAGEIFS('Picarro Output'!G:G, 'Picarro Output'!$B:$B, 'Uncalibrated Data'!$C1570, 'Picarro Output'!$I:$I, 0, 'Picarro Output'!$J:$J, 1), "")</f>
        <v/>
      </c>
    </row>
    <row r="1571" spans="2:5" x14ac:dyDescent="0.45">
      <c r="B1571" s="1"/>
      <c r="E1571" s="45" t="str">
        <f>IFERROR(AVERAGEIFS('Picarro Output'!G:G, 'Picarro Output'!$B:$B, 'Uncalibrated Data'!$C1571, 'Picarro Output'!$I:$I, 0, 'Picarro Output'!$J:$J, 1), "")</f>
        <v/>
      </c>
    </row>
    <row r="1572" spans="2:5" x14ac:dyDescent="0.45">
      <c r="B1572" s="1"/>
      <c r="E1572" s="45" t="str">
        <f>IFERROR(AVERAGEIFS('Picarro Output'!G:G, 'Picarro Output'!$B:$B, 'Uncalibrated Data'!$C1572, 'Picarro Output'!$I:$I, 0, 'Picarro Output'!$J:$J, 1), "")</f>
        <v/>
      </c>
    </row>
    <row r="1573" spans="2:5" x14ac:dyDescent="0.45">
      <c r="B1573" s="1"/>
      <c r="E1573" s="45" t="str">
        <f>IFERROR(AVERAGEIFS('Picarro Output'!G:G, 'Picarro Output'!$B:$B, 'Uncalibrated Data'!$C1573, 'Picarro Output'!$I:$I, 0, 'Picarro Output'!$J:$J, 1), "")</f>
        <v/>
      </c>
    </row>
    <row r="1574" spans="2:5" x14ac:dyDescent="0.45">
      <c r="B1574" s="1"/>
      <c r="E1574" s="45" t="str">
        <f>IFERROR(AVERAGEIFS('Picarro Output'!G:G, 'Picarro Output'!$B:$B, 'Uncalibrated Data'!$C1574, 'Picarro Output'!$I:$I, 0, 'Picarro Output'!$J:$J, 1), "")</f>
        <v/>
      </c>
    </row>
    <row r="1575" spans="2:5" x14ac:dyDescent="0.45">
      <c r="B1575" s="1"/>
      <c r="E1575" s="45" t="str">
        <f>IFERROR(AVERAGEIFS('Picarro Output'!G:G, 'Picarro Output'!$B:$B, 'Uncalibrated Data'!$C1575, 'Picarro Output'!$I:$I, 0, 'Picarro Output'!$J:$J, 1), "")</f>
        <v/>
      </c>
    </row>
    <row r="1576" spans="2:5" x14ac:dyDescent="0.45">
      <c r="B1576" s="1"/>
      <c r="E1576" s="45" t="str">
        <f>IFERROR(AVERAGEIFS('Picarro Output'!G:G, 'Picarro Output'!$B:$B, 'Uncalibrated Data'!$C1576, 'Picarro Output'!$I:$I, 0, 'Picarro Output'!$J:$J, 1), "")</f>
        <v/>
      </c>
    </row>
    <row r="1577" spans="2:5" x14ac:dyDescent="0.45">
      <c r="B1577" s="1"/>
      <c r="E1577" s="45" t="str">
        <f>IFERROR(AVERAGEIFS('Picarro Output'!G:G, 'Picarro Output'!$B:$B, 'Uncalibrated Data'!$C1577, 'Picarro Output'!$I:$I, 0, 'Picarro Output'!$J:$J, 1), "")</f>
        <v/>
      </c>
    </row>
    <row r="1578" spans="2:5" x14ac:dyDescent="0.45">
      <c r="B1578" s="1"/>
      <c r="E1578" s="45" t="str">
        <f>IFERROR(AVERAGEIFS('Picarro Output'!G:G, 'Picarro Output'!$B:$B, 'Uncalibrated Data'!$C1578, 'Picarro Output'!$I:$I, 0, 'Picarro Output'!$J:$J, 1), "")</f>
        <v/>
      </c>
    </row>
    <row r="1579" spans="2:5" x14ac:dyDescent="0.45">
      <c r="B1579" s="1"/>
      <c r="E1579" s="45" t="str">
        <f>IFERROR(AVERAGEIFS('Picarro Output'!G:G, 'Picarro Output'!$B:$B, 'Uncalibrated Data'!$C1579, 'Picarro Output'!$I:$I, 0, 'Picarro Output'!$J:$J, 1), "")</f>
        <v/>
      </c>
    </row>
    <row r="1580" spans="2:5" x14ac:dyDescent="0.45">
      <c r="B1580" s="1"/>
      <c r="E1580" s="45" t="str">
        <f>IFERROR(AVERAGEIFS('Picarro Output'!G:G, 'Picarro Output'!$B:$B, 'Uncalibrated Data'!$C1580, 'Picarro Output'!$I:$I, 0, 'Picarro Output'!$J:$J, 1), "")</f>
        <v/>
      </c>
    </row>
    <row r="1581" spans="2:5" x14ac:dyDescent="0.45">
      <c r="B1581" s="1"/>
      <c r="E1581" s="45" t="str">
        <f>IFERROR(AVERAGEIFS('Picarro Output'!G:G, 'Picarro Output'!$B:$B, 'Uncalibrated Data'!$C1581, 'Picarro Output'!$I:$I, 0, 'Picarro Output'!$J:$J, 1), "")</f>
        <v/>
      </c>
    </row>
    <row r="1582" spans="2:5" x14ac:dyDescent="0.45">
      <c r="B1582" s="1"/>
      <c r="E1582" s="45" t="str">
        <f>IFERROR(AVERAGEIFS('Picarro Output'!G:G, 'Picarro Output'!$B:$B, 'Uncalibrated Data'!$C1582, 'Picarro Output'!$I:$I, 0, 'Picarro Output'!$J:$J, 1), "")</f>
        <v/>
      </c>
    </row>
    <row r="1583" spans="2:5" x14ac:dyDescent="0.45">
      <c r="B1583" s="1"/>
      <c r="E1583" s="45" t="str">
        <f>IFERROR(AVERAGEIFS('Picarro Output'!G:G, 'Picarro Output'!$B:$B, 'Uncalibrated Data'!$C1583, 'Picarro Output'!$I:$I, 0, 'Picarro Output'!$J:$J, 1), "")</f>
        <v/>
      </c>
    </row>
    <row r="1584" spans="2:5" x14ac:dyDescent="0.45">
      <c r="B1584" s="1"/>
      <c r="E1584" s="45" t="str">
        <f>IFERROR(AVERAGEIFS('Picarro Output'!G:G, 'Picarro Output'!$B:$B, 'Uncalibrated Data'!$C1584, 'Picarro Output'!$I:$I, 0, 'Picarro Output'!$J:$J, 1), "")</f>
        <v/>
      </c>
    </row>
    <row r="1585" spans="2:5" x14ac:dyDescent="0.45">
      <c r="B1585" s="1"/>
      <c r="E1585" s="45" t="str">
        <f>IFERROR(AVERAGEIFS('Picarro Output'!G:G, 'Picarro Output'!$B:$B, 'Uncalibrated Data'!$C1585, 'Picarro Output'!$I:$I, 0, 'Picarro Output'!$J:$J, 1), "")</f>
        <v/>
      </c>
    </row>
    <row r="1586" spans="2:5" x14ac:dyDescent="0.45">
      <c r="B1586" s="1"/>
      <c r="E1586" s="45" t="str">
        <f>IFERROR(AVERAGEIFS('Picarro Output'!G:G, 'Picarro Output'!$B:$B, 'Uncalibrated Data'!$C1586, 'Picarro Output'!$I:$I, 0, 'Picarro Output'!$J:$J, 1), "")</f>
        <v/>
      </c>
    </row>
    <row r="1587" spans="2:5" x14ac:dyDescent="0.45">
      <c r="B1587" s="1"/>
      <c r="E1587" s="45" t="str">
        <f>IFERROR(AVERAGEIFS('Picarro Output'!G:G, 'Picarro Output'!$B:$B, 'Uncalibrated Data'!$C1587, 'Picarro Output'!$I:$I, 0, 'Picarro Output'!$J:$J, 1), "")</f>
        <v/>
      </c>
    </row>
    <row r="1588" spans="2:5" x14ac:dyDescent="0.45">
      <c r="B1588" s="1"/>
      <c r="E1588" s="45" t="str">
        <f>IFERROR(AVERAGEIFS('Picarro Output'!G:G, 'Picarro Output'!$B:$B, 'Uncalibrated Data'!$C1588, 'Picarro Output'!$I:$I, 0, 'Picarro Output'!$J:$J, 1), "")</f>
        <v/>
      </c>
    </row>
    <row r="1589" spans="2:5" x14ac:dyDescent="0.45">
      <c r="B1589" s="1"/>
      <c r="E1589" s="45" t="str">
        <f>IFERROR(AVERAGEIFS('Picarro Output'!G:G, 'Picarro Output'!$B:$B, 'Uncalibrated Data'!$C1589, 'Picarro Output'!$I:$I, 0, 'Picarro Output'!$J:$J, 1), "")</f>
        <v/>
      </c>
    </row>
    <row r="1590" spans="2:5" x14ac:dyDescent="0.45">
      <c r="B1590" s="1"/>
      <c r="E1590" s="45" t="str">
        <f>IFERROR(AVERAGEIFS('Picarro Output'!G:G, 'Picarro Output'!$B:$B, 'Uncalibrated Data'!$C1590, 'Picarro Output'!$I:$I, 0, 'Picarro Output'!$J:$J, 1), "")</f>
        <v/>
      </c>
    </row>
    <row r="1591" spans="2:5" x14ac:dyDescent="0.45">
      <c r="B1591" s="1"/>
      <c r="E1591" s="45" t="str">
        <f>IFERROR(AVERAGEIFS('Picarro Output'!G:G, 'Picarro Output'!$B:$B, 'Uncalibrated Data'!$C1591, 'Picarro Output'!$I:$I, 0, 'Picarro Output'!$J:$J, 1), "")</f>
        <v/>
      </c>
    </row>
    <row r="1592" spans="2:5" x14ac:dyDescent="0.45">
      <c r="B1592" s="1"/>
      <c r="E1592" s="45" t="str">
        <f>IFERROR(AVERAGEIFS('Picarro Output'!G:G, 'Picarro Output'!$B:$B, 'Uncalibrated Data'!$C1592, 'Picarro Output'!$I:$I, 0, 'Picarro Output'!$J:$J, 1), "")</f>
        <v/>
      </c>
    </row>
    <row r="1593" spans="2:5" x14ac:dyDescent="0.45">
      <c r="B1593" s="1"/>
      <c r="E1593" s="45" t="str">
        <f>IFERROR(AVERAGEIFS('Picarro Output'!G:G, 'Picarro Output'!$B:$B, 'Uncalibrated Data'!$C1593, 'Picarro Output'!$I:$I, 0, 'Picarro Output'!$J:$J, 1), "")</f>
        <v/>
      </c>
    </row>
    <row r="1594" spans="2:5" x14ac:dyDescent="0.45">
      <c r="B1594" s="1"/>
      <c r="E1594" s="45" t="str">
        <f>IFERROR(AVERAGEIFS('Picarro Output'!G:G, 'Picarro Output'!$B:$B, 'Uncalibrated Data'!$C1594, 'Picarro Output'!$I:$I, 0, 'Picarro Output'!$J:$J, 1), "")</f>
        <v/>
      </c>
    </row>
    <row r="1595" spans="2:5" x14ac:dyDescent="0.45">
      <c r="B1595" s="1"/>
      <c r="E1595" s="45" t="str">
        <f>IFERROR(AVERAGEIFS('Picarro Output'!G:G, 'Picarro Output'!$B:$B, 'Uncalibrated Data'!$C1595, 'Picarro Output'!$I:$I, 0, 'Picarro Output'!$J:$J, 1), "")</f>
        <v/>
      </c>
    </row>
    <row r="1596" spans="2:5" x14ac:dyDescent="0.45">
      <c r="B1596" s="1"/>
      <c r="E1596" s="45" t="str">
        <f>IFERROR(AVERAGEIFS('Picarro Output'!G:G, 'Picarro Output'!$B:$B, 'Uncalibrated Data'!$C1596, 'Picarro Output'!$I:$I, 0, 'Picarro Output'!$J:$J, 1), "")</f>
        <v/>
      </c>
    </row>
    <row r="1597" spans="2:5" x14ac:dyDescent="0.45">
      <c r="B1597" s="1"/>
      <c r="E1597" s="45" t="str">
        <f>IFERROR(AVERAGEIFS('Picarro Output'!G:G, 'Picarro Output'!$B:$B, 'Uncalibrated Data'!$C1597, 'Picarro Output'!$I:$I, 0, 'Picarro Output'!$J:$J, 1), "")</f>
        <v/>
      </c>
    </row>
    <row r="1598" spans="2:5" x14ac:dyDescent="0.45">
      <c r="B1598" s="1"/>
      <c r="E1598" s="45" t="str">
        <f>IFERROR(AVERAGEIFS('Picarro Output'!G:G, 'Picarro Output'!$B:$B, 'Uncalibrated Data'!$C1598, 'Picarro Output'!$I:$I, 0, 'Picarro Output'!$J:$J, 1), "")</f>
        <v/>
      </c>
    </row>
    <row r="1599" spans="2:5" x14ac:dyDescent="0.45">
      <c r="B1599" s="1"/>
      <c r="E1599" s="45" t="str">
        <f>IFERROR(AVERAGEIFS('Picarro Output'!G:G, 'Picarro Output'!$B:$B, 'Uncalibrated Data'!$C1599, 'Picarro Output'!$I:$I, 0, 'Picarro Output'!$J:$J, 1), "")</f>
        <v/>
      </c>
    </row>
    <row r="1600" spans="2:5" x14ac:dyDescent="0.45">
      <c r="B1600" s="1"/>
      <c r="E1600" s="45" t="str">
        <f>IFERROR(AVERAGEIFS('Picarro Output'!G:G, 'Picarro Output'!$B:$B, 'Uncalibrated Data'!$C1600, 'Picarro Output'!$I:$I, 0, 'Picarro Output'!$J:$J, 1), "")</f>
        <v/>
      </c>
    </row>
    <row r="1601" spans="2:5" x14ac:dyDescent="0.45">
      <c r="B1601" s="1"/>
      <c r="E1601" s="45" t="str">
        <f>IFERROR(AVERAGEIFS('Picarro Output'!G:G, 'Picarro Output'!$B:$B, 'Uncalibrated Data'!$C1601, 'Picarro Output'!$I:$I, 0, 'Picarro Output'!$J:$J, 1), "")</f>
        <v/>
      </c>
    </row>
    <row r="1602" spans="2:5" x14ac:dyDescent="0.45">
      <c r="B1602" s="1"/>
      <c r="E1602" s="45" t="str">
        <f>IFERROR(AVERAGEIFS('Picarro Output'!G:G, 'Picarro Output'!$B:$B, 'Uncalibrated Data'!$C1602, 'Picarro Output'!$I:$I, 0, 'Picarro Output'!$J:$J, 1), "")</f>
        <v/>
      </c>
    </row>
    <row r="1603" spans="2:5" x14ac:dyDescent="0.45">
      <c r="B1603" s="1"/>
      <c r="E1603" s="45" t="str">
        <f>IFERROR(AVERAGEIFS('Picarro Output'!G:G, 'Picarro Output'!$B:$B, 'Uncalibrated Data'!$C1603, 'Picarro Output'!$I:$I, 0, 'Picarro Output'!$J:$J, 1), "")</f>
        <v/>
      </c>
    </row>
    <row r="1604" spans="2:5" x14ac:dyDescent="0.45">
      <c r="B1604" s="1"/>
      <c r="E1604" s="45" t="str">
        <f>IFERROR(AVERAGEIFS('Picarro Output'!G:G, 'Picarro Output'!$B:$B, 'Uncalibrated Data'!$C1604, 'Picarro Output'!$I:$I, 0, 'Picarro Output'!$J:$J, 1), "")</f>
        <v/>
      </c>
    </row>
    <row r="1605" spans="2:5" x14ac:dyDescent="0.45">
      <c r="B1605" s="1"/>
      <c r="E1605" s="45" t="str">
        <f>IFERROR(AVERAGEIFS('Picarro Output'!G:G, 'Picarro Output'!$B:$B, 'Uncalibrated Data'!$C1605, 'Picarro Output'!$I:$I, 0, 'Picarro Output'!$J:$J, 1), "")</f>
        <v/>
      </c>
    </row>
    <row r="1606" spans="2:5" x14ac:dyDescent="0.45">
      <c r="B1606" s="1"/>
      <c r="E1606" s="45" t="str">
        <f>IFERROR(AVERAGEIFS('Picarro Output'!G:G, 'Picarro Output'!$B:$B, 'Uncalibrated Data'!$C1606, 'Picarro Output'!$I:$I, 0, 'Picarro Output'!$J:$J, 1), "")</f>
        <v/>
      </c>
    </row>
    <row r="1607" spans="2:5" x14ac:dyDescent="0.45">
      <c r="B1607" s="1"/>
      <c r="E1607" s="45" t="str">
        <f>IFERROR(AVERAGEIFS('Picarro Output'!G:G, 'Picarro Output'!$B:$B, 'Uncalibrated Data'!$C1607, 'Picarro Output'!$I:$I, 0, 'Picarro Output'!$J:$J, 1), "")</f>
        <v/>
      </c>
    </row>
    <row r="1608" spans="2:5" x14ac:dyDescent="0.45">
      <c r="B1608" s="1"/>
      <c r="E1608" s="45" t="str">
        <f>IFERROR(AVERAGEIFS('Picarro Output'!G:G, 'Picarro Output'!$B:$B, 'Uncalibrated Data'!$C1608, 'Picarro Output'!$I:$I, 0, 'Picarro Output'!$J:$J, 1), "")</f>
        <v/>
      </c>
    </row>
    <row r="1609" spans="2:5" x14ac:dyDescent="0.45">
      <c r="B1609" s="1"/>
      <c r="E1609" s="45" t="str">
        <f>IFERROR(AVERAGEIFS('Picarro Output'!G:G, 'Picarro Output'!$B:$B, 'Uncalibrated Data'!$C1609, 'Picarro Output'!$I:$I, 0, 'Picarro Output'!$J:$J, 1), "")</f>
        <v/>
      </c>
    </row>
    <row r="1610" spans="2:5" x14ac:dyDescent="0.45">
      <c r="B1610" s="1"/>
      <c r="E1610" s="45" t="str">
        <f>IFERROR(AVERAGEIFS('Picarro Output'!G:G, 'Picarro Output'!$B:$B, 'Uncalibrated Data'!$C1610, 'Picarro Output'!$I:$I, 0, 'Picarro Output'!$J:$J, 1), "")</f>
        <v/>
      </c>
    </row>
    <row r="1611" spans="2:5" x14ac:dyDescent="0.45">
      <c r="B1611" s="1"/>
      <c r="E1611" s="45" t="str">
        <f>IFERROR(AVERAGEIFS('Picarro Output'!G:G, 'Picarro Output'!$B:$B, 'Uncalibrated Data'!$C1611, 'Picarro Output'!$I:$I, 0, 'Picarro Output'!$J:$J, 1), "")</f>
        <v/>
      </c>
    </row>
    <row r="1612" spans="2:5" x14ac:dyDescent="0.45">
      <c r="B1612" s="1"/>
      <c r="E1612" s="45" t="str">
        <f>IFERROR(AVERAGEIFS('Picarro Output'!G:G, 'Picarro Output'!$B:$B, 'Uncalibrated Data'!$C1612, 'Picarro Output'!$I:$I, 0, 'Picarro Output'!$J:$J, 1), "")</f>
        <v/>
      </c>
    </row>
    <row r="1613" spans="2:5" x14ac:dyDescent="0.45">
      <c r="B1613" s="1"/>
      <c r="E1613" s="45" t="str">
        <f>IFERROR(AVERAGEIFS('Picarro Output'!G:G, 'Picarro Output'!$B:$B, 'Uncalibrated Data'!$C1613, 'Picarro Output'!$I:$I, 0, 'Picarro Output'!$J:$J, 1), "")</f>
        <v/>
      </c>
    </row>
    <row r="1614" spans="2:5" x14ac:dyDescent="0.45">
      <c r="B1614" s="1"/>
      <c r="E1614" s="45" t="str">
        <f>IFERROR(AVERAGEIFS('Picarro Output'!G:G, 'Picarro Output'!$B:$B, 'Uncalibrated Data'!$C1614, 'Picarro Output'!$I:$I, 0, 'Picarro Output'!$J:$J, 1), "")</f>
        <v/>
      </c>
    </row>
    <row r="1615" spans="2:5" x14ac:dyDescent="0.45">
      <c r="B1615" s="1"/>
      <c r="E1615" s="45" t="str">
        <f>IFERROR(AVERAGEIFS('Picarro Output'!G:G, 'Picarro Output'!$B:$B, 'Uncalibrated Data'!$C1615, 'Picarro Output'!$I:$I, 0, 'Picarro Output'!$J:$J, 1), "")</f>
        <v/>
      </c>
    </row>
    <row r="1616" spans="2:5" x14ac:dyDescent="0.45">
      <c r="B1616" s="1"/>
      <c r="E1616" s="45" t="str">
        <f>IFERROR(AVERAGEIFS('Picarro Output'!G:G, 'Picarro Output'!$B:$B, 'Uncalibrated Data'!$C1616, 'Picarro Output'!$I:$I, 0, 'Picarro Output'!$J:$J, 1), "")</f>
        <v/>
      </c>
    </row>
    <row r="1617" spans="2:5" x14ac:dyDescent="0.45">
      <c r="B1617" s="1"/>
      <c r="E1617" s="45" t="str">
        <f>IFERROR(AVERAGEIFS('Picarro Output'!G:G, 'Picarro Output'!$B:$B, 'Uncalibrated Data'!$C1617, 'Picarro Output'!$I:$I, 0, 'Picarro Output'!$J:$J, 1), "")</f>
        <v/>
      </c>
    </row>
    <row r="1618" spans="2:5" x14ac:dyDescent="0.45">
      <c r="B1618" s="1"/>
      <c r="E1618" s="45" t="str">
        <f>IFERROR(AVERAGEIFS('Picarro Output'!G:G, 'Picarro Output'!$B:$B, 'Uncalibrated Data'!$C1618, 'Picarro Output'!$I:$I, 0, 'Picarro Output'!$J:$J, 1), "")</f>
        <v/>
      </c>
    </row>
    <row r="1619" spans="2:5" x14ac:dyDescent="0.45">
      <c r="B1619" s="1"/>
      <c r="E1619" s="45" t="str">
        <f>IFERROR(AVERAGEIFS('Picarro Output'!G:G, 'Picarro Output'!$B:$B, 'Uncalibrated Data'!$C1619, 'Picarro Output'!$I:$I, 0, 'Picarro Output'!$J:$J, 1), "")</f>
        <v/>
      </c>
    </row>
    <row r="1620" spans="2:5" x14ac:dyDescent="0.45">
      <c r="B1620" s="1"/>
      <c r="E1620" s="45" t="str">
        <f>IFERROR(AVERAGEIFS('Picarro Output'!G:G, 'Picarro Output'!$B:$B, 'Uncalibrated Data'!$C1620, 'Picarro Output'!$I:$I, 0, 'Picarro Output'!$J:$J, 1), "")</f>
        <v/>
      </c>
    </row>
    <row r="1621" spans="2:5" x14ac:dyDescent="0.45">
      <c r="B1621" s="1"/>
      <c r="E1621" s="45" t="str">
        <f>IFERROR(AVERAGEIFS('Picarro Output'!G:G, 'Picarro Output'!$B:$B, 'Uncalibrated Data'!$C1621, 'Picarro Output'!$I:$I, 0, 'Picarro Output'!$J:$J, 1), "")</f>
        <v/>
      </c>
    </row>
    <row r="1622" spans="2:5" x14ac:dyDescent="0.45">
      <c r="B1622" s="1"/>
      <c r="E1622" s="45" t="str">
        <f>IFERROR(AVERAGEIFS('Picarro Output'!G:G, 'Picarro Output'!$B:$B, 'Uncalibrated Data'!$C1622, 'Picarro Output'!$I:$I, 0, 'Picarro Output'!$J:$J, 1), "")</f>
        <v/>
      </c>
    </row>
    <row r="1623" spans="2:5" x14ac:dyDescent="0.45">
      <c r="B1623" s="1"/>
      <c r="E1623" s="45" t="str">
        <f>IFERROR(AVERAGEIFS('Picarro Output'!G:G, 'Picarro Output'!$B:$B, 'Uncalibrated Data'!$C1623, 'Picarro Output'!$I:$I, 0, 'Picarro Output'!$J:$J, 1), "")</f>
        <v/>
      </c>
    </row>
    <row r="1624" spans="2:5" x14ac:dyDescent="0.45">
      <c r="B1624" s="1"/>
      <c r="E1624" s="45" t="str">
        <f>IFERROR(AVERAGEIFS('Picarro Output'!G:G, 'Picarro Output'!$B:$B, 'Uncalibrated Data'!$C1624, 'Picarro Output'!$I:$I, 0, 'Picarro Output'!$J:$J, 1), "")</f>
        <v/>
      </c>
    </row>
    <row r="1625" spans="2:5" x14ac:dyDescent="0.45">
      <c r="B1625" s="1"/>
      <c r="E1625" s="45" t="str">
        <f>IFERROR(AVERAGEIFS('Picarro Output'!G:G, 'Picarro Output'!$B:$B, 'Uncalibrated Data'!$C1625, 'Picarro Output'!$I:$I, 0, 'Picarro Output'!$J:$J, 1), "")</f>
        <v/>
      </c>
    </row>
    <row r="1626" spans="2:5" x14ac:dyDescent="0.45">
      <c r="B1626" s="1"/>
      <c r="E1626" s="45" t="str">
        <f>IFERROR(AVERAGEIFS('Picarro Output'!G:G, 'Picarro Output'!$B:$B, 'Uncalibrated Data'!$C1626, 'Picarro Output'!$I:$I, 0, 'Picarro Output'!$J:$J, 1), "")</f>
        <v/>
      </c>
    </row>
    <row r="1627" spans="2:5" x14ac:dyDescent="0.45">
      <c r="B1627" s="1"/>
      <c r="E1627" s="45" t="str">
        <f>IFERROR(AVERAGEIFS('Picarro Output'!G:G, 'Picarro Output'!$B:$B, 'Uncalibrated Data'!$C1627, 'Picarro Output'!$I:$I, 0, 'Picarro Output'!$J:$J, 1), "")</f>
        <v/>
      </c>
    </row>
    <row r="1628" spans="2:5" x14ac:dyDescent="0.45">
      <c r="B1628" s="1"/>
      <c r="E1628" s="45" t="str">
        <f>IFERROR(AVERAGEIFS('Picarro Output'!G:G, 'Picarro Output'!$B:$B, 'Uncalibrated Data'!$C1628, 'Picarro Output'!$I:$I, 0, 'Picarro Output'!$J:$J, 1), "")</f>
        <v/>
      </c>
    </row>
    <row r="1629" spans="2:5" x14ac:dyDescent="0.45">
      <c r="B1629" s="1"/>
      <c r="E1629" s="45" t="str">
        <f>IFERROR(AVERAGEIFS('Picarro Output'!G:G, 'Picarro Output'!$B:$B, 'Uncalibrated Data'!$C1629, 'Picarro Output'!$I:$I, 0, 'Picarro Output'!$J:$J, 1), "")</f>
        <v/>
      </c>
    </row>
    <row r="1630" spans="2:5" x14ac:dyDescent="0.45">
      <c r="B1630" s="1"/>
      <c r="E1630" s="45" t="str">
        <f>IFERROR(AVERAGEIFS('Picarro Output'!G:G, 'Picarro Output'!$B:$B, 'Uncalibrated Data'!$C1630, 'Picarro Output'!$I:$I, 0, 'Picarro Output'!$J:$J, 1), "")</f>
        <v/>
      </c>
    </row>
    <row r="1631" spans="2:5" x14ac:dyDescent="0.45">
      <c r="B1631" s="1"/>
      <c r="E1631" s="45" t="str">
        <f>IFERROR(AVERAGEIFS('Picarro Output'!G:G, 'Picarro Output'!$B:$B, 'Uncalibrated Data'!$C1631, 'Picarro Output'!$I:$I, 0, 'Picarro Output'!$J:$J, 1), "")</f>
        <v/>
      </c>
    </row>
    <row r="1632" spans="2:5" x14ac:dyDescent="0.45">
      <c r="B1632" s="1"/>
      <c r="E1632" s="45" t="str">
        <f>IFERROR(AVERAGEIFS('Picarro Output'!G:G, 'Picarro Output'!$B:$B, 'Uncalibrated Data'!$C1632, 'Picarro Output'!$I:$I, 0, 'Picarro Output'!$J:$J, 1), "")</f>
        <v/>
      </c>
    </row>
    <row r="1633" spans="2:5" x14ac:dyDescent="0.45">
      <c r="B1633" s="1"/>
      <c r="E1633" s="45" t="str">
        <f>IFERROR(AVERAGEIFS('Picarro Output'!G:G, 'Picarro Output'!$B:$B, 'Uncalibrated Data'!$C1633, 'Picarro Output'!$I:$I, 0, 'Picarro Output'!$J:$J, 1), "")</f>
        <v/>
      </c>
    </row>
    <row r="1634" spans="2:5" x14ac:dyDescent="0.45">
      <c r="B1634" s="1"/>
      <c r="E1634" s="45" t="str">
        <f>IFERROR(AVERAGEIFS('Picarro Output'!G:G, 'Picarro Output'!$B:$B, 'Uncalibrated Data'!$C1634, 'Picarro Output'!$I:$I, 0, 'Picarro Output'!$J:$J, 1), "")</f>
        <v/>
      </c>
    </row>
    <row r="1635" spans="2:5" x14ac:dyDescent="0.45">
      <c r="B1635" s="1"/>
      <c r="E1635" s="45" t="str">
        <f>IFERROR(AVERAGEIFS('Picarro Output'!G:G, 'Picarro Output'!$B:$B, 'Uncalibrated Data'!$C1635, 'Picarro Output'!$I:$I, 0, 'Picarro Output'!$J:$J, 1), "")</f>
        <v/>
      </c>
    </row>
    <row r="1636" spans="2:5" x14ac:dyDescent="0.45">
      <c r="B1636" s="1"/>
      <c r="E1636" s="45" t="str">
        <f>IFERROR(AVERAGEIFS('Picarro Output'!G:G, 'Picarro Output'!$B:$B, 'Uncalibrated Data'!$C1636, 'Picarro Output'!$I:$I, 0, 'Picarro Output'!$J:$J, 1), "")</f>
        <v/>
      </c>
    </row>
    <row r="1637" spans="2:5" x14ac:dyDescent="0.45">
      <c r="B1637" s="1"/>
      <c r="E1637" s="45" t="str">
        <f>IFERROR(AVERAGEIFS('Picarro Output'!G:G, 'Picarro Output'!$B:$B, 'Uncalibrated Data'!$C1637, 'Picarro Output'!$I:$I, 0, 'Picarro Output'!$J:$J, 1), "")</f>
        <v/>
      </c>
    </row>
    <row r="1638" spans="2:5" x14ac:dyDescent="0.45">
      <c r="B1638" s="1"/>
      <c r="E1638" s="45" t="str">
        <f>IFERROR(AVERAGEIFS('Picarro Output'!G:G, 'Picarro Output'!$B:$B, 'Uncalibrated Data'!$C1638, 'Picarro Output'!$I:$I, 0, 'Picarro Output'!$J:$J, 1), "")</f>
        <v/>
      </c>
    </row>
    <row r="1639" spans="2:5" x14ac:dyDescent="0.45">
      <c r="B1639" s="1"/>
      <c r="E1639" s="45" t="str">
        <f>IFERROR(AVERAGEIFS('Picarro Output'!G:G, 'Picarro Output'!$B:$B, 'Uncalibrated Data'!$C1639, 'Picarro Output'!$I:$I, 0, 'Picarro Output'!$J:$J, 1), "")</f>
        <v/>
      </c>
    </row>
    <row r="1640" spans="2:5" x14ac:dyDescent="0.45">
      <c r="B1640" s="1"/>
      <c r="E1640" s="45" t="str">
        <f>IFERROR(AVERAGEIFS('Picarro Output'!G:G, 'Picarro Output'!$B:$B, 'Uncalibrated Data'!$C1640, 'Picarro Output'!$I:$I, 0, 'Picarro Output'!$J:$J, 1), "")</f>
        <v/>
      </c>
    </row>
    <row r="1641" spans="2:5" x14ac:dyDescent="0.45">
      <c r="B1641" s="1"/>
      <c r="E1641" s="45" t="str">
        <f>IFERROR(AVERAGEIFS('Picarro Output'!G:G, 'Picarro Output'!$B:$B, 'Uncalibrated Data'!$C1641, 'Picarro Output'!$I:$I, 0, 'Picarro Output'!$J:$J, 1), "")</f>
        <v/>
      </c>
    </row>
    <row r="1642" spans="2:5" x14ac:dyDescent="0.45">
      <c r="B1642" s="1"/>
      <c r="E1642" s="45" t="str">
        <f>IFERROR(AVERAGEIFS('Picarro Output'!G:G, 'Picarro Output'!$B:$B, 'Uncalibrated Data'!$C1642, 'Picarro Output'!$I:$I, 0, 'Picarro Output'!$J:$J, 1), "")</f>
        <v/>
      </c>
    </row>
    <row r="1643" spans="2:5" x14ac:dyDescent="0.45">
      <c r="B1643" s="1"/>
      <c r="E1643" s="45" t="str">
        <f>IFERROR(AVERAGEIFS('Picarro Output'!G:G, 'Picarro Output'!$B:$B, 'Uncalibrated Data'!$C1643, 'Picarro Output'!$I:$I, 0, 'Picarro Output'!$J:$J, 1), "")</f>
        <v/>
      </c>
    </row>
    <row r="1644" spans="2:5" x14ac:dyDescent="0.45">
      <c r="B1644" s="1"/>
      <c r="E1644" s="45" t="str">
        <f>IFERROR(AVERAGEIFS('Picarro Output'!G:G, 'Picarro Output'!$B:$B, 'Uncalibrated Data'!$C1644, 'Picarro Output'!$I:$I, 0, 'Picarro Output'!$J:$J, 1), "")</f>
        <v/>
      </c>
    </row>
    <row r="1645" spans="2:5" x14ac:dyDescent="0.45">
      <c r="B1645" s="1"/>
      <c r="E1645" s="45" t="str">
        <f>IFERROR(AVERAGEIFS('Picarro Output'!G:G, 'Picarro Output'!$B:$B, 'Uncalibrated Data'!$C1645, 'Picarro Output'!$I:$I, 0, 'Picarro Output'!$J:$J, 1), "")</f>
        <v/>
      </c>
    </row>
    <row r="1646" spans="2:5" x14ac:dyDescent="0.45">
      <c r="B1646" s="1"/>
      <c r="E1646" s="45" t="str">
        <f>IFERROR(AVERAGEIFS('Picarro Output'!G:G, 'Picarro Output'!$B:$B, 'Uncalibrated Data'!$C1646, 'Picarro Output'!$I:$I, 0, 'Picarro Output'!$J:$J, 1), "")</f>
        <v/>
      </c>
    </row>
    <row r="1647" spans="2:5" x14ac:dyDescent="0.45">
      <c r="B1647" s="1"/>
      <c r="E1647" s="45" t="str">
        <f>IFERROR(AVERAGEIFS('Picarro Output'!G:G, 'Picarro Output'!$B:$B, 'Uncalibrated Data'!$C1647, 'Picarro Output'!$I:$I, 0, 'Picarro Output'!$J:$J, 1), "")</f>
        <v/>
      </c>
    </row>
    <row r="1648" spans="2:5" x14ac:dyDescent="0.45">
      <c r="B1648" s="1"/>
      <c r="E1648" s="45" t="str">
        <f>IFERROR(AVERAGEIFS('Picarro Output'!G:G, 'Picarro Output'!$B:$B, 'Uncalibrated Data'!$C1648, 'Picarro Output'!$I:$I, 0, 'Picarro Output'!$J:$J, 1), "")</f>
        <v/>
      </c>
    </row>
    <row r="1649" spans="2:5" x14ac:dyDescent="0.45">
      <c r="B1649" s="1"/>
      <c r="E1649" s="45" t="str">
        <f>IFERROR(AVERAGEIFS('Picarro Output'!G:G, 'Picarro Output'!$B:$B, 'Uncalibrated Data'!$C1649, 'Picarro Output'!$I:$I, 0, 'Picarro Output'!$J:$J, 1), "")</f>
        <v/>
      </c>
    </row>
    <row r="1650" spans="2:5" x14ac:dyDescent="0.45">
      <c r="B1650" s="1"/>
      <c r="E1650" s="45" t="str">
        <f>IFERROR(AVERAGEIFS('Picarro Output'!G:G, 'Picarro Output'!$B:$B, 'Uncalibrated Data'!$C1650, 'Picarro Output'!$I:$I, 0, 'Picarro Output'!$J:$J, 1), "")</f>
        <v/>
      </c>
    </row>
    <row r="1651" spans="2:5" x14ac:dyDescent="0.45">
      <c r="B1651" s="1"/>
      <c r="E1651" s="45" t="str">
        <f>IFERROR(AVERAGEIFS('Picarro Output'!G:G, 'Picarro Output'!$B:$B, 'Uncalibrated Data'!$C1651, 'Picarro Output'!$I:$I, 0, 'Picarro Output'!$J:$J, 1), "")</f>
        <v/>
      </c>
    </row>
    <row r="1652" spans="2:5" x14ac:dyDescent="0.45">
      <c r="B1652" s="1"/>
      <c r="E1652" s="45" t="str">
        <f>IFERROR(AVERAGEIFS('Picarro Output'!G:G, 'Picarro Output'!$B:$B, 'Uncalibrated Data'!$C1652, 'Picarro Output'!$I:$I, 0, 'Picarro Output'!$J:$J, 1), "")</f>
        <v/>
      </c>
    </row>
    <row r="1653" spans="2:5" x14ac:dyDescent="0.45">
      <c r="B1653" s="1"/>
      <c r="E1653" s="45" t="str">
        <f>IFERROR(AVERAGEIFS('Picarro Output'!G:G, 'Picarro Output'!$B:$B, 'Uncalibrated Data'!$C1653, 'Picarro Output'!$I:$I, 0, 'Picarro Output'!$J:$J, 1), "")</f>
        <v/>
      </c>
    </row>
    <row r="1654" spans="2:5" x14ac:dyDescent="0.45">
      <c r="B1654" s="1"/>
      <c r="E1654" s="45" t="str">
        <f>IFERROR(AVERAGEIFS('Picarro Output'!G:G, 'Picarro Output'!$B:$B, 'Uncalibrated Data'!$C1654, 'Picarro Output'!$I:$I, 0, 'Picarro Output'!$J:$J, 1), "")</f>
        <v/>
      </c>
    </row>
    <row r="1655" spans="2:5" x14ac:dyDescent="0.45">
      <c r="B1655" s="1"/>
      <c r="E1655" s="45" t="str">
        <f>IFERROR(AVERAGEIFS('Picarro Output'!G:G, 'Picarro Output'!$B:$B, 'Uncalibrated Data'!$C1655, 'Picarro Output'!$I:$I, 0, 'Picarro Output'!$J:$J, 1), "")</f>
        <v/>
      </c>
    </row>
    <row r="1656" spans="2:5" x14ac:dyDescent="0.45">
      <c r="B1656" s="1"/>
      <c r="E1656" s="45" t="str">
        <f>IFERROR(AVERAGEIFS('Picarro Output'!G:G, 'Picarro Output'!$B:$B, 'Uncalibrated Data'!$C1656, 'Picarro Output'!$I:$I, 0, 'Picarro Output'!$J:$J, 1), "")</f>
        <v/>
      </c>
    </row>
    <row r="1657" spans="2:5" x14ac:dyDescent="0.45">
      <c r="B1657" s="1"/>
      <c r="E1657" s="45" t="str">
        <f>IFERROR(AVERAGEIFS('Picarro Output'!G:G, 'Picarro Output'!$B:$B, 'Uncalibrated Data'!$C1657, 'Picarro Output'!$I:$I, 0, 'Picarro Output'!$J:$J, 1), "")</f>
        <v/>
      </c>
    </row>
    <row r="1658" spans="2:5" x14ac:dyDescent="0.45">
      <c r="B1658" s="1"/>
      <c r="E1658" s="45" t="str">
        <f>IFERROR(AVERAGEIFS('Picarro Output'!G:G, 'Picarro Output'!$B:$B, 'Uncalibrated Data'!$C1658, 'Picarro Output'!$I:$I, 0, 'Picarro Output'!$J:$J, 1), "")</f>
        <v/>
      </c>
    </row>
    <row r="1659" spans="2:5" x14ac:dyDescent="0.45">
      <c r="B1659" s="1"/>
      <c r="E1659" s="45" t="str">
        <f>IFERROR(AVERAGEIFS('Picarro Output'!G:G, 'Picarro Output'!$B:$B, 'Uncalibrated Data'!$C1659, 'Picarro Output'!$I:$I, 0, 'Picarro Output'!$J:$J, 1), "")</f>
        <v/>
      </c>
    </row>
    <row r="1660" spans="2:5" x14ac:dyDescent="0.45">
      <c r="B1660" s="1"/>
      <c r="E1660" s="45" t="str">
        <f>IFERROR(AVERAGEIFS('Picarro Output'!G:G, 'Picarro Output'!$B:$B, 'Uncalibrated Data'!$C1660, 'Picarro Output'!$I:$I, 0, 'Picarro Output'!$J:$J, 1), "")</f>
        <v/>
      </c>
    </row>
    <row r="1661" spans="2:5" x14ac:dyDescent="0.45">
      <c r="B1661" s="1"/>
      <c r="E1661" s="45" t="str">
        <f>IFERROR(AVERAGEIFS('Picarro Output'!G:G, 'Picarro Output'!$B:$B, 'Uncalibrated Data'!$C1661, 'Picarro Output'!$I:$I, 0, 'Picarro Output'!$J:$J, 1), "")</f>
        <v/>
      </c>
    </row>
    <row r="1662" spans="2:5" x14ac:dyDescent="0.45">
      <c r="B1662" s="1"/>
      <c r="E1662" s="45" t="str">
        <f>IFERROR(AVERAGEIFS('Picarro Output'!G:G, 'Picarro Output'!$B:$B, 'Uncalibrated Data'!$C1662, 'Picarro Output'!$I:$I, 0, 'Picarro Output'!$J:$J, 1), "")</f>
        <v/>
      </c>
    </row>
    <row r="1663" spans="2:5" x14ac:dyDescent="0.45">
      <c r="B1663" s="1"/>
      <c r="E1663" s="45" t="str">
        <f>IFERROR(AVERAGEIFS('Picarro Output'!G:G, 'Picarro Output'!$B:$B, 'Uncalibrated Data'!$C1663, 'Picarro Output'!$I:$I, 0, 'Picarro Output'!$J:$J, 1), "")</f>
        <v/>
      </c>
    </row>
    <row r="1664" spans="2:5" x14ac:dyDescent="0.45">
      <c r="B1664" s="1"/>
      <c r="E1664" s="45" t="str">
        <f>IFERROR(AVERAGEIFS('Picarro Output'!G:G, 'Picarro Output'!$B:$B, 'Uncalibrated Data'!$C1664, 'Picarro Output'!$I:$I, 0, 'Picarro Output'!$J:$J, 1), "")</f>
        <v/>
      </c>
    </row>
    <row r="1665" spans="2:5" x14ac:dyDescent="0.45">
      <c r="B1665" s="1"/>
      <c r="E1665" s="45" t="str">
        <f>IFERROR(AVERAGEIFS('Picarro Output'!G:G, 'Picarro Output'!$B:$B, 'Uncalibrated Data'!$C1665, 'Picarro Output'!$I:$I, 0, 'Picarro Output'!$J:$J, 1), "")</f>
        <v/>
      </c>
    </row>
    <row r="1666" spans="2:5" x14ac:dyDescent="0.45">
      <c r="B1666" s="1"/>
      <c r="E1666" s="45" t="str">
        <f>IFERROR(AVERAGEIFS('Picarro Output'!G:G, 'Picarro Output'!$B:$B, 'Uncalibrated Data'!$C1666, 'Picarro Output'!$I:$I, 0, 'Picarro Output'!$J:$J, 1), "")</f>
        <v/>
      </c>
    </row>
    <row r="1667" spans="2:5" x14ac:dyDescent="0.45">
      <c r="B1667" s="1"/>
      <c r="E1667" s="45" t="str">
        <f>IFERROR(AVERAGEIFS('Picarro Output'!G:G, 'Picarro Output'!$B:$B, 'Uncalibrated Data'!$C1667, 'Picarro Output'!$I:$I, 0, 'Picarro Output'!$J:$J, 1), "")</f>
        <v/>
      </c>
    </row>
    <row r="1668" spans="2:5" x14ac:dyDescent="0.45">
      <c r="B1668" s="1"/>
      <c r="E1668" s="45" t="str">
        <f>IFERROR(AVERAGEIFS('Picarro Output'!G:G, 'Picarro Output'!$B:$B, 'Uncalibrated Data'!$C1668, 'Picarro Output'!$I:$I, 0, 'Picarro Output'!$J:$J, 1), "")</f>
        <v/>
      </c>
    </row>
    <row r="1669" spans="2:5" x14ac:dyDescent="0.45">
      <c r="B1669" s="1"/>
      <c r="E1669" s="45" t="str">
        <f>IFERROR(AVERAGEIFS('Picarro Output'!G:G, 'Picarro Output'!$B:$B, 'Uncalibrated Data'!$C1669, 'Picarro Output'!$I:$I, 0, 'Picarro Output'!$J:$J, 1), "")</f>
        <v/>
      </c>
    </row>
    <row r="1670" spans="2:5" x14ac:dyDescent="0.45">
      <c r="B1670" s="1"/>
      <c r="E1670" s="45" t="str">
        <f>IFERROR(AVERAGEIFS('Picarro Output'!G:G, 'Picarro Output'!$B:$B, 'Uncalibrated Data'!$C1670, 'Picarro Output'!$I:$I, 0, 'Picarro Output'!$J:$J, 1), "")</f>
        <v/>
      </c>
    </row>
    <row r="1671" spans="2:5" x14ac:dyDescent="0.45">
      <c r="B1671" s="1"/>
      <c r="E1671" s="45" t="str">
        <f>IFERROR(AVERAGEIFS('Picarro Output'!G:G, 'Picarro Output'!$B:$B, 'Uncalibrated Data'!$C1671, 'Picarro Output'!$I:$I, 0, 'Picarro Output'!$J:$J, 1), "")</f>
        <v/>
      </c>
    </row>
    <row r="1672" spans="2:5" x14ac:dyDescent="0.45">
      <c r="B1672" s="1"/>
      <c r="E1672" s="45" t="str">
        <f>IFERROR(AVERAGEIFS('Picarro Output'!G:G, 'Picarro Output'!$B:$B, 'Uncalibrated Data'!$C1672, 'Picarro Output'!$I:$I, 0, 'Picarro Output'!$J:$J, 1), "")</f>
        <v/>
      </c>
    </row>
    <row r="1673" spans="2:5" x14ac:dyDescent="0.45">
      <c r="B1673" s="1"/>
      <c r="E1673" s="45" t="str">
        <f>IFERROR(AVERAGEIFS('Picarro Output'!G:G, 'Picarro Output'!$B:$B, 'Uncalibrated Data'!$C1673, 'Picarro Output'!$I:$I, 0, 'Picarro Output'!$J:$J, 1), "")</f>
        <v/>
      </c>
    </row>
    <row r="1674" spans="2:5" x14ac:dyDescent="0.45">
      <c r="B1674" s="1"/>
      <c r="E1674" s="45" t="str">
        <f>IFERROR(AVERAGEIFS('Picarro Output'!G:G, 'Picarro Output'!$B:$B, 'Uncalibrated Data'!$C1674, 'Picarro Output'!$I:$I, 0, 'Picarro Output'!$J:$J, 1), "")</f>
        <v/>
      </c>
    </row>
    <row r="1675" spans="2:5" x14ac:dyDescent="0.45">
      <c r="B1675" s="1"/>
      <c r="E1675" s="45" t="str">
        <f>IFERROR(AVERAGEIFS('Picarro Output'!G:G, 'Picarro Output'!$B:$B, 'Uncalibrated Data'!$C1675, 'Picarro Output'!$I:$I, 0, 'Picarro Output'!$J:$J, 1), "")</f>
        <v/>
      </c>
    </row>
    <row r="1676" spans="2:5" x14ac:dyDescent="0.45">
      <c r="B1676" s="1"/>
      <c r="E1676" s="45" t="str">
        <f>IFERROR(AVERAGEIFS('Picarro Output'!G:G, 'Picarro Output'!$B:$B, 'Uncalibrated Data'!$C1676, 'Picarro Output'!$I:$I, 0, 'Picarro Output'!$J:$J, 1), "")</f>
        <v/>
      </c>
    </row>
    <row r="1677" spans="2:5" x14ac:dyDescent="0.45">
      <c r="B1677" s="1"/>
      <c r="E1677" s="45" t="str">
        <f>IFERROR(AVERAGEIFS('Picarro Output'!G:G, 'Picarro Output'!$B:$B, 'Uncalibrated Data'!$C1677, 'Picarro Output'!$I:$I, 0, 'Picarro Output'!$J:$J, 1), "")</f>
        <v/>
      </c>
    </row>
    <row r="1678" spans="2:5" x14ac:dyDescent="0.45">
      <c r="B1678" s="1"/>
      <c r="E1678" s="45" t="str">
        <f>IFERROR(AVERAGEIFS('Picarro Output'!G:G, 'Picarro Output'!$B:$B, 'Uncalibrated Data'!$C1678, 'Picarro Output'!$I:$I, 0, 'Picarro Output'!$J:$J, 1), "")</f>
        <v/>
      </c>
    </row>
    <row r="1679" spans="2:5" x14ac:dyDescent="0.45">
      <c r="B1679" s="1"/>
      <c r="E1679" s="45" t="str">
        <f>IFERROR(AVERAGEIFS('Picarro Output'!G:G, 'Picarro Output'!$B:$B, 'Uncalibrated Data'!$C1679, 'Picarro Output'!$I:$I, 0, 'Picarro Output'!$J:$J, 1), "")</f>
        <v/>
      </c>
    </row>
    <row r="1680" spans="2:5" x14ac:dyDescent="0.45">
      <c r="B1680" s="1"/>
      <c r="E1680" s="45" t="str">
        <f>IFERROR(AVERAGEIFS('Picarro Output'!G:G, 'Picarro Output'!$B:$B, 'Uncalibrated Data'!$C1680, 'Picarro Output'!$I:$I, 0, 'Picarro Output'!$J:$J, 1), "")</f>
        <v/>
      </c>
    </row>
    <row r="1681" spans="2:5" x14ac:dyDescent="0.45">
      <c r="B1681" s="1"/>
      <c r="E1681" s="45" t="str">
        <f>IFERROR(AVERAGEIFS('Picarro Output'!G:G, 'Picarro Output'!$B:$B, 'Uncalibrated Data'!$C1681, 'Picarro Output'!$I:$I, 0, 'Picarro Output'!$J:$J, 1), "")</f>
        <v/>
      </c>
    </row>
    <row r="1682" spans="2:5" x14ac:dyDescent="0.45">
      <c r="B1682" s="1"/>
      <c r="E1682" s="45" t="str">
        <f>IFERROR(AVERAGEIFS('Picarro Output'!G:G, 'Picarro Output'!$B:$B, 'Uncalibrated Data'!$C1682, 'Picarro Output'!$I:$I, 0, 'Picarro Output'!$J:$J, 1), "")</f>
        <v/>
      </c>
    </row>
    <row r="1683" spans="2:5" x14ac:dyDescent="0.45">
      <c r="B1683" s="1"/>
      <c r="E1683" s="45" t="str">
        <f>IFERROR(AVERAGEIFS('Picarro Output'!G:G, 'Picarro Output'!$B:$B, 'Uncalibrated Data'!$C1683, 'Picarro Output'!$I:$I, 0, 'Picarro Output'!$J:$J, 1), "")</f>
        <v/>
      </c>
    </row>
    <row r="1684" spans="2:5" x14ac:dyDescent="0.45">
      <c r="B1684" s="1"/>
      <c r="E1684" s="45" t="str">
        <f>IFERROR(AVERAGEIFS('Picarro Output'!G:G, 'Picarro Output'!$B:$B, 'Uncalibrated Data'!$C1684, 'Picarro Output'!$I:$I, 0, 'Picarro Output'!$J:$J, 1), "")</f>
        <v/>
      </c>
    </row>
    <row r="1685" spans="2:5" x14ac:dyDescent="0.45">
      <c r="B1685" s="1"/>
      <c r="E1685" s="45" t="str">
        <f>IFERROR(AVERAGEIFS('Picarro Output'!G:G, 'Picarro Output'!$B:$B, 'Uncalibrated Data'!$C1685, 'Picarro Output'!$I:$I, 0, 'Picarro Output'!$J:$J, 1), "")</f>
        <v/>
      </c>
    </row>
    <row r="1686" spans="2:5" x14ac:dyDescent="0.45">
      <c r="B1686" s="1"/>
      <c r="E1686" s="45" t="str">
        <f>IFERROR(AVERAGEIFS('Picarro Output'!G:G, 'Picarro Output'!$B:$B, 'Uncalibrated Data'!$C1686, 'Picarro Output'!$I:$I, 0, 'Picarro Output'!$J:$J, 1), "")</f>
        <v/>
      </c>
    </row>
    <row r="1687" spans="2:5" x14ac:dyDescent="0.45">
      <c r="B1687" s="1"/>
      <c r="E1687" s="45" t="str">
        <f>IFERROR(AVERAGEIFS('Picarro Output'!G:G, 'Picarro Output'!$B:$B, 'Uncalibrated Data'!$C1687, 'Picarro Output'!$I:$I, 0, 'Picarro Output'!$J:$J, 1), "")</f>
        <v/>
      </c>
    </row>
    <row r="1688" spans="2:5" x14ac:dyDescent="0.45">
      <c r="B1688" s="1"/>
      <c r="E1688" s="45" t="str">
        <f>IFERROR(AVERAGEIFS('Picarro Output'!G:G, 'Picarro Output'!$B:$B, 'Uncalibrated Data'!$C1688, 'Picarro Output'!$I:$I, 0, 'Picarro Output'!$J:$J, 1), "")</f>
        <v/>
      </c>
    </row>
    <row r="1689" spans="2:5" x14ac:dyDescent="0.45">
      <c r="B1689" s="1"/>
      <c r="E1689" s="45" t="str">
        <f>IFERROR(AVERAGEIFS('Picarro Output'!G:G, 'Picarro Output'!$B:$B, 'Uncalibrated Data'!$C1689, 'Picarro Output'!$I:$I, 0, 'Picarro Output'!$J:$J, 1), "")</f>
        <v/>
      </c>
    </row>
    <row r="1690" spans="2:5" x14ac:dyDescent="0.45">
      <c r="B1690" s="1"/>
      <c r="E1690" s="45" t="str">
        <f>IFERROR(AVERAGEIFS('Picarro Output'!G:G, 'Picarro Output'!$B:$B, 'Uncalibrated Data'!$C1690, 'Picarro Output'!$I:$I, 0, 'Picarro Output'!$J:$J, 1), "")</f>
        <v/>
      </c>
    </row>
    <row r="1691" spans="2:5" x14ac:dyDescent="0.45">
      <c r="B1691" s="1"/>
      <c r="E1691" s="45" t="str">
        <f>IFERROR(AVERAGEIFS('Picarro Output'!G:G, 'Picarro Output'!$B:$B, 'Uncalibrated Data'!$C1691, 'Picarro Output'!$I:$I, 0, 'Picarro Output'!$J:$J, 1), "")</f>
        <v/>
      </c>
    </row>
    <row r="1692" spans="2:5" x14ac:dyDescent="0.45">
      <c r="B1692" s="1"/>
      <c r="E1692" s="45" t="str">
        <f>IFERROR(AVERAGEIFS('Picarro Output'!G:G, 'Picarro Output'!$B:$B, 'Uncalibrated Data'!$C1692, 'Picarro Output'!$I:$I, 0, 'Picarro Output'!$J:$J, 1), "")</f>
        <v/>
      </c>
    </row>
    <row r="1693" spans="2:5" x14ac:dyDescent="0.45">
      <c r="B1693" s="1"/>
      <c r="E1693" s="45" t="str">
        <f>IFERROR(AVERAGEIFS('Picarro Output'!G:G, 'Picarro Output'!$B:$B, 'Uncalibrated Data'!$C1693, 'Picarro Output'!$I:$I, 0, 'Picarro Output'!$J:$J, 1), "")</f>
        <v/>
      </c>
    </row>
    <row r="1694" spans="2:5" x14ac:dyDescent="0.45">
      <c r="B1694" s="1"/>
      <c r="E1694" s="45" t="str">
        <f>IFERROR(AVERAGEIFS('Picarro Output'!G:G, 'Picarro Output'!$B:$B, 'Uncalibrated Data'!$C1694, 'Picarro Output'!$I:$I, 0, 'Picarro Output'!$J:$J, 1), "")</f>
        <v/>
      </c>
    </row>
    <row r="1695" spans="2:5" x14ac:dyDescent="0.45">
      <c r="B1695" s="1"/>
      <c r="E1695" s="45" t="str">
        <f>IFERROR(AVERAGEIFS('Picarro Output'!G:G, 'Picarro Output'!$B:$B, 'Uncalibrated Data'!$C1695, 'Picarro Output'!$I:$I, 0, 'Picarro Output'!$J:$J, 1), "")</f>
        <v/>
      </c>
    </row>
    <row r="1696" spans="2:5" x14ac:dyDescent="0.45">
      <c r="B1696" s="1"/>
      <c r="E1696" s="45" t="str">
        <f>IFERROR(AVERAGEIFS('Picarro Output'!G:G, 'Picarro Output'!$B:$B, 'Uncalibrated Data'!$C1696, 'Picarro Output'!$I:$I, 0, 'Picarro Output'!$J:$J, 1), "")</f>
        <v/>
      </c>
    </row>
    <row r="1697" spans="2:5" x14ac:dyDescent="0.45">
      <c r="B1697" s="1"/>
      <c r="E1697" s="45" t="str">
        <f>IFERROR(AVERAGEIFS('Picarro Output'!G:G, 'Picarro Output'!$B:$B, 'Uncalibrated Data'!$C1697, 'Picarro Output'!$I:$I, 0, 'Picarro Output'!$J:$J, 1), "")</f>
        <v/>
      </c>
    </row>
    <row r="1698" spans="2:5" x14ac:dyDescent="0.45">
      <c r="B1698" s="1"/>
      <c r="E1698" s="45" t="str">
        <f>IFERROR(AVERAGEIFS('Picarro Output'!G:G, 'Picarro Output'!$B:$B, 'Uncalibrated Data'!$C1698, 'Picarro Output'!$I:$I, 0, 'Picarro Output'!$J:$J, 1), "")</f>
        <v/>
      </c>
    </row>
    <row r="1699" spans="2:5" x14ac:dyDescent="0.45">
      <c r="B1699" s="1"/>
      <c r="E1699" s="45" t="str">
        <f>IFERROR(AVERAGEIFS('Picarro Output'!G:G, 'Picarro Output'!$B:$B, 'Uncalibrated Data'!$C1699, 'Picarro Output'!$I:$I, 0, 'Picarro Output'!$J:$J, 1), "")</f>
        <v/>
      </c>
    </row>
    <row r="1700" spans="2:5" x14ac:dyDescent="0.45">
      <c r="B1700" s="1"/>
      <c r="E1700" s="45" t="str">
        <f>IFERROR(AVERAGEIFS('Picarro Output'!G:G, 'Picarro Output'!$B:$B, 'Uncalibrated Data'!$C1700, 'Picarro Output'!$I:$I, 0, 'Picarro Output'!$J:$J, 1), "")</f>
        <v/>
      </c>
    </row>
    <row r="1701" spans="2:5" x14ac:dyDescent="0.45">
      <c r="B1701" s="1"/>
      <c r="E1701" s="45" t="str">
        <f>IFERROR(AVERAGEIFS('Picarro Output'!G:G, 'Picarro Output'!$B:$B, 'Uncalibrated Data'!$C1701, 'Picarro Output'!$I:$I, 0, 'Picarro Output'!$J:$J, 1), "")</f>
        <v/>
      </c>
    </row>
    <row r="1702" spans="2:5" x14ac:dyDescent="0.45">
      <c r="B1702" s="1"/>
      <c r="E1702" s="45" t="str">
        <f>IFERROR(AVERAGEIFS('Picarro Output'!G:G, 'Picarro Output'!$B:$B, 'Uncalibrated Data'!$C1702, 'Picarro Output'!$I:$I, 0, 'Picarro Output'!$J:$J, 1), "")</f>
        <v/>
      </c>
    </row>
    <row r="1703" spans="2:5" x14ac:dyDescent="0.45">
      <c r="B1703" s="1"/>
      <c r="E1703" s="45" t="str">
        <f>IFERROR(AVERAGEIFS('Picarro Output'!G:G, 'Picarro Output'!$B:$B, 'Uncalibrated Data'!$C1703, 'Picarro Output'!$I:$I, 0, 'Picarro Output'!$J:$J, 1), "")</f>
        <v/>
      </c>
    </row>
    <row r="1704" spans="2:5" x14ac:dyDescent="0.45">
      <c r="B1704" s="1"/>
      <c r="E1704" s="45" t="str">
        <f>IFERROR(AVERAGEIFS('Picarro Output'!G:G, 'Picarro Output'!$B:$B, 'Uncalibrated Data'!$C1704, 'Picarro Output'!$I:$I, 0, 'Picarro Output'!$J:$J, 1), "")</f>
        <v/>
      </c>
    </row>
    <row r="1705" spans="2:5" x14ac:dyDescent="0.45">
      <c r="B1705" s="1"/>
      <c r="E1705" s="45" t="str">
        <f>IFERROR(AVERAGEIFS('Picarro Output'!G:G, 'Picarro Output'!$B:$B, 'Uncalibrated Data'!$C1705, 'Picarro Output'!$I:$I, 0, 'Picarro Output'!$J:$J, 1), "")</f>
        <v/>
      </c>
    </row>
    <row r="1706" spans="2:5" x14ac:dyDescent="0.45">
      <c r="B1706" s="1"/>
      <c r="E1706" s="45" t="str">
        <f>IFERROR(AVERAGEIFS('Picarro Output'!G:G, 'Picarro Output'!$B:$B, 'Uncalibrated Data'!$C1706, 'Picarro Output'!$I:$I, 0, 'Picarro Output'!$J:$J, 1), "")</f>
        <v/>
      </c>
    </row>
    <row r="1707" spans="2:5" x14ac:dyDescent="0.45">
      <c r="B1707" s="1"/>
      <c r="E1707" s="45" t="str">
        <f>IFERROR(AVERAGEIFS('Picarro Output'!G:G, 'Picarro Output'!$B:$B, 'Uncalibrated Data'!$C1707, 'Picarro Output'!$I:$I, 0, 'Picarro Output'!$J:$J, 1), "")</f>
        <v/>
      </c>
    </row>
    <row r="1708" spans="2:5" x14ac:dyDescent="0.45">
      <c r="B1708" s="1"/>
      <c r="E1708" s="45" t="str">
        <f>IFERROR(AVERAGEIFS('Picarro Output'!G:G, 'Picarro Output'!$B:$B, 'Uncalibrated Data'!$C1708, 'Picarro Output'!$I:$I, 0, 'Picarro Output'!$J:$J, 1), "")</f>
        <v/>
      </c>
    </row>
    <row r="1709" spans="2:5" x14ac:dyDescent="0.45">
      <c r="B1709" s="1"/>
      <c r="E1709" s="45" t="str">
        <f>IFERROR(AVERAGEIFS('Picarro Output'!G:G, 'Picarro Output'!$B:$B, 'Uncalibrated Data'!$C1709, 'Picarro Output'!$I:$I, 0, 'Picarro Output'!$J:$J, 1), "")</f>
        <v/>
      </c>
    </row>
    <row r="1710" spans="2:5" x14ac:dyDescent="0.45">
      <c r="B1710" s="1"/>
      <c r="E1710" s="45" t="str">
        <f>IFERROR(AVERAGEIFS('Picarro Output'!G:G, 'Picarro Output'!$B:$B, 'Uncalibrated Data'!$C1710, 'Picarro Output'!$I:$I, 0, 'Picarro Output'!$J:$J, 1), "")</f>
        <v/>
      </c>
    </row>
    <row r="1711" spans="2:5" x14ac:dyDescent="0.45">
      <c r="B1711" s="1"/>
      <c r="E1711" s="45" t="str">
        <f>IFERROR(AVERAGEIFS('Picarro Output'!G:G, 'Picarro Output'!$B:$B, 'Uncalibrated Data'!$C1711, 'Picarro Output'!$I:$I, 0, 'Picarro Output'!$J:$J, 1), "")</f>
        <v/>
      </c>
    </row>
    <row r="1712" spans="2:5" x14ac:dyDescent="0.45">
      <c r="B1712" s="1"/>
      <c r="E1712" s="45" t="str">
        <f>IFERROR(AVERAGEIFS('Picarro Output'!G:G, 'Picarro Output'!$B:$B, 'Uncalibrated Data'!$C1712, 'Picarro Output'!$I:$I, 0, 'Picarro Output'!$J:$J, 1), "")</f>
        <v/>
      </c>
    </row>
    <row r="1713" spans="2:5" x14ac:dyDescent="0.45">
      <c r="B1713" s="1"/>
      <c r="E1713" s="45" t="str">
        <f>IFERROR(AVERAGEIFS('Picarro Output'!G:G, 'Picarro Output'!$B:$B, 'Uncalibrated Data'!$C1713, 'Picarro Output'!$I:$I, 0, 'Picarro Output'!$J:$J, 1), "")</f>
        <v/>
      </c>
    </row>
    <row r="1714" spans="2:5" x14ac:dyDescent="0.45">
      <c r="B1714" s="1"/>
      <c r="E1714" s="45" t="str">
        <f>IFERROR(AVERAGEIFS('Picarro Output'!G:G, 'Picarro Output'!$B:$B, 'Uncalibrated Data'!$C1714, 'Picarro Output'!$I:$I, 0, 'Picarro Output'!$J:$J, 1), "")</f>
        <v/>
      </c>
    </row>
    <row r="1715" spans="2:5" x14ac:dyDescent="0.45">
      <c r="B1715" s="1"/>
      <c r="E1715" s="45" t="str">
        <f>IFERROR(AVERAGEIFS('Picarro Output'!G:G, 'Picarro Output'!$B:$B, 'Uncalibrated Data'!$C1715, 'Picarro Output'!$I:$I, 0, 'Picarro Output'!$J:$J, 1), "")</f>
        <v/>
      </c>
    </row>
    <row r="1716" spans="2:5" x14ac:dyDescent="0.45">
      <c r="B1716" s="1"/>
      <c r="E1716" s="45" t="str">
        <f>IFERROR(AVERAGEIFS('Picarro Output'!G:G, 'Picarro Output'!$B:$B, 'Uncalibrated Data'!$C1716, 'Picarro Output'!$I:$I, 0, 'Picarro Output'!$J:$J, 1), "")</f>
        <v/>
      </c>
    </row>
    <row r="1717" spans="2:5" x14ac:dyDescent="0.45">
      <c r="B1717" s="1"/>
      <c r="E1717" s="45" t="str">
        <f>IFERROR(AVERAGEIFS('Picarro Output'!G:G, 'Picarro Output'!$B:$B, 'Uncalibrated Data'!$C1717, 'Picarro Output'!$I:$I, 0, 'Picarro Output'!$J:$J, 1), "")</f>
        <v/>
      </c>
    </row>
    <row r="1718" spans="2:5" x14ac:dyDescent="0.45">
      <c r="B1718" s="1"/>
      <c r="E1718" s="45" t="str">
        <f>IFERROR(AVERAGEIFS('Picarro Output'!G:G, 'Picarro Output'!$B:$B, 'Uncalibrated Data'!$C1718, 'Picarro Output'!$I:$I, 0, 'Picarro Output'!$J:$J, 1), "")</f>
        <v/>
      </c>
    </row>
    <row r="1719" spans="2:5" x14ac:dyDescent="0.45">
      <c r="B1719" s="1"/>
      <c r="E1719" s="45" t="str">
        <f>IFERROR(AVERAGEIFS('Picarro Output'!G:G, 'Picarro Output'!$B:$B, 'Uncalibrated Data'!$C1719, 'Picarro Output'!$I:$I, 0, 'Picarro Output'!$J:$J, 1), "")</f>
        <v/>
      </c>
    </row>
    <row r="1720" spans="2:5" x14ac:dyDescent="0.45">
      <c r="B1720" s="1"/>
      <c r="E1720" s="45" t="str">
        <f>IFERROR(AVERAGEIFS('Picarro Output'!G:G, 'Picarro Output'!$B:$B, 'Uncalibrated Data'!$C1720, 'Picarro Output'!$I:$I, 0, 'Picarro Output'!$J:$J, 1), "")</f>
        <v/>
      </c>
    </row>
    <row r="1721" spans="2:5" x14ac:dyDescent="0.45">
      <c r="B1721" s="1"/>
      <c r="E1721" s="45" t="str">
        <f>IFERROR(AVERAGEIFS('Picarro Output'!G:G, 'Picarro Output'!$B:$B, 'Uncalibrated Data'!$C1721, 'Picarro Output'!$I:$I, 0, 'Picarro Output'!$J:$J, 1), "")</f>
        <v/>
      </c>
    </row>
    <row r="1722" spans="2:5" x14ac:dyDescent="0.45">
      <c r="B1722" s="1"/>
      <c r="E1722" s="45" t="str">
        <f>IFERROR(AVERAGEIFS('Picarro Output'!G:G, 'Picarro Output'!$B:$B, 'Uncalibrated Data'!$C1722, 'Picarro Output'!$I:$I, 0, 'Picarro Output'!$J:$J, 1), "")</f>
        <v/>
      </c>
    </row>
    <row r="1723" spans="2:5" x14ac:dyDescent="0.45">
      <c r="B1723" s="1"/>
      <c r="E1723" s="45" t="str">
        <f>IFERROR(AVERAGEIFS('Picarro Output'!G:G, 'Picarro Output'!$B:$B, 'Uncalibrated Data'!$C1723, 'Picarro Output'!$I:$I, 0, 'Picarro Output'!$J:$J, 1), "")</f>
        <v/>
      </c>
    </row>
    <row r="1724" spans="2:5" x14ac:dyDescent="0.45">
      <c r="B1724" s="1"/>
      <c r="E1724" s="45" t="str">
        <f>IFERROR(AVERAGEIFS('Picarro Output'!G:G, 'Picarro Output'!$B:$B, 'Uncalibrated Data'!$C1724, 'Picarro Output'!$I:$I, 0, 'Picarro Output'!$J:$J, 1), "")</f>
        <v/>
      </c>
    </row>
    <row r="1725" spans="2:5" x14ac:dyDescent="0.45">
      <c r="B1725" s="1"/>
      <c r="E1725" s="45" t="str">
        <f>IFERROR(AVERAGEIFS('Picarro Output'!G:G, 'Picarro Output'!$B:$B, 'Uncalibrated Data'!$C1725, 'Picarro Output'!$I:$I, 0, 'Picarro Output'!$J:$J, 1), "")</f>
        <v/>
      </c>
    </row>
    <row r="1726" spans="2:5" x14ac:dyDescent="0.45">
      <c r="B1726" s="1"/>
      <c r="E1726" s="45" t="str">
        <f>IFERROR(AVERAGEIFS('Picarro Output'!G:G, 'Picarro Output'!$B:$B, 'Uncalibrated Data'!$C1726, 'Picarro Output'!$I:$I, 0, 'Picarro Output'!$J:$J, 1), "")</f>
        <v/>
      </c>
    </row>
    <row r="1727" spans="2:5" x14ac:dyDescent="0.45">
      <c r="B1727" s="1"/>
      <c r="E1727" s="45" t="str">
        <f>IFERROR(AVERAGEIFS('Picarro Output'!G:G, 'Picarro Output'!$B:$B, 'Uncalibrated Data'!$C1727, 'Picarro Output'!$I:$I, 0, 'Picarro Output'!$J:$J, 1), "")</f>
        <v/>
      </c>
    </row>
    <row r="1728" spans="2:5" x14ac:dyDescent="0.45">
      <c r="B1728" s="1"/>
      <c r="E1728" s="45" t="str">
        <f>IFERROR(AVERAGEIFS('Picarro Output'!G:G, 'Picarro Output'!$B:$B, 'Uncalibrated Data'!$C1728, 'Picarro Output'!$I:$I, 0, 'Picarro Output'!$J:$J, 1), "")</f>
        <v/>
      </c>
    </row>
    <row r="1729" spans="2:5" x14ac:dyDescent="0.45">
      <c r="B1729" s="1"/>
      <c r="E1729" s="45" t="str">
        <f>IFERROR(AVERAGEIFS('Picarro Output'!G:G, 'Picarro Output'!$B:$B, 'Uncalibrated Data'!$C1729, 'Picarro Output'!$I:$I, 0, 'Picarro Output'!$J:$J, 1), "")</f>
        <v/>
      </c>
    </row>
    <row r="1730" spans="2:5" x14ac:dyDescent="0.45">
      <c r="B1730" s="1"/>
      <c r="E1730" s="45" t="str">
        <f>IFERROR(AVERAGEIFS('Picarro Output'!G:G, 'Picarro Output'!$B:$B, 'Uncalibrated Data'!$C1730, 'Picarro Output'!$I:$I, 0, 'Picarro Output'!$J:$J, 1), "")</f>
        <v/>
      </c>
    </row>
    <row r="1731" spans="2:5" x14ac:dyDescent="0.45">
      <c r="B1731" s="1"/>
      <c r="E1731" s="45" t="str">
        <f>IFERROR(AVERAGEIFS('Picarro Output'!G:G, 'Picarro Output'!$B:$B, 'Uncalibrated Data'!$C1731, 'Picarro Output'!$I:$I, 0, 'Picarro Output'!$J:$J, 1), "")</f>
        <v/>
      </c>
    </row>
    <row r="1732" spans="2:5" x14ac:dyDescent="0.45">
      <c r="B1732" s="1"/>
      <c r="E1732" s="45" t="str">
        <f>IFERROR(AVERAGEIFS('Picarro Output'!G:G, 'Picarro Output'!$B:$B, 'Uncalibrated Data'!$C1732, 'Picarro Output'!$I:$I, 0, 'Picarro Output'!$J:$J, 1), "")</f>
        <v/>
      </c>
    </row>
    <row r="1733" spans="2:5" x14ac:dyDescent="0.45">
      <c r="B1733" s="1"/>
      <c r="E1733" s="45" t="str">
        <f>IFERROR(AVERAGEIFS('Picarro Output'!G:G, 'Picarro Output'!$B:$B, 'Uncalibrated Data'!$C1733, 'Picarro Output'!$I:$I, 0, 'Picarro Output'!$J:$J, 1), "")</f>
        <v/>
      </c>
    </row>
    <row r="1734" spans="2:5" x14ac:dyDescent="0.45">
      <c r="B1734" s="1"/>
      <c r="E1734" s="45" t="str">
        <f>IFERROR(AVERAGEIFS('Picarro Output'!G:G, 'Picarro Output'!$B:$B, 'Uncalibrated Data'!$C1734, 'Picarro Output'!$I:$I, 0, 'Picarro Output'!$J:$J, 1), "")</f>
        <v/>
      </c>
    </row>
    <row r="1735" spans="2:5" x14ac:dyDescent="0.45">
      <c r="B1735" s="1"/>
      <c r="E1735" s="45" t="str">
        <f>IFERROR(AVERAGEIFS('Picarro Output'!G:G, 'Picarro Output'!$B:$B, 'Uncalibrated Data'!$C1735, 'Picarro Output'!$I:$I, 0, 'Picarro Output'!$J:$J, 1), "")</f>
        <v/>
      </c>
    </row>
    <row r="1736" spans="2:5" x14ac:dyDescent="0.45">
      <c r="B1736" s="1"/>
      <c r="E1736" s="45" t="str">
        <f>IFERROR(AVERAGEIFS('Picarro Output'!G:G, 'Picarro Output'!$B:$B, 'Uncalibrated Data'!$C1736, 'Picarro Output'!$I:$I, 0, 'Picarro Output'!$J:$J, 1), "")</f>
        <v/>
      </c>
    </row>
    <row r="1737" spans="2:5" x14ac:dyDescent="0.45">
      <c r="B1737" s="1"/>
      <c r="E1737" s="45" t="str">
        <f>IFERROR(AVERAGEIFS('Picarro Output'!G:G, 'Picarro Output'!$B:$B, 'Uncalibrated Data'!$C1737, 'Picarro Output'!$I:$I, 0, 'Picarro Output'!$J:$J, 1), "")</f>
        <v/>
      </c>
    </row>
    <row r="1738" spans="2:5" x14ac:dyDescent="0.45">
      <c r="B1738" s="1"/>
      <c r="E1738" s="45" t="str">
        <f>IFERROR(AVERAGEIFS('Picarro Output'!G:G, 'Picarro Output'!$B:$B, 'Uncalibrated Data'!$C1738, 'Picarro Output'!$I:$I, 0, 'Picarro Output'!$J:$J, 1), "")</f>
        <v/>
      </c>
    </row>
    <row r="1739" spans="2:5" x14ac:dyDescent="0.45">
      <c r="B1739" s="1"/>
      <c r="E1739" s="45" t="str">
        <f>IFERROR(AVERAGEIFS('Picarro Output'!G:G, 'Picarro Output'!$B:$B, 'Uncalibrated Data'!$C1739, 'Picarro Output'!$I:$I, 0, 'Picarro Output'!$J:$J, 1), "")</f>
        <v/>
      </c>
    </row>
    <row r="1740" spans="2:5" x14ac:dyDescent="0.45">
      <c r="B1740" s="1"/>
      <c r="E1740" s="45" t="str">
        <f>IFERROR(AVERAGEIFS('Picarro Output'!G:G, 'Picarro Output'!$B:$B, 'Uncalibrated Data'!$C1740, 'Picarro Output'!$I:$I, 0, 'Picarro Output'!$J:$J, 1), "")</f>
        <v/>
      </c>
    </row>
    <row r="1741" spans="2:5" x14ac:dyDescent="0.45">
      <c r="B1741" s="1"/>
      <c r="E1741" s="45" t="str">
        <f>IFERROR(AVERAGEIFS('Picarro Output'!G:G, 'Picarro Output'!$B:$B, 'Uncalibrated Data'!$C1741, 'Picarro Output'!$I:$I, 0, 'Picarro Output'!$J:$J, 1), "")</f>
        <v/>
      </c>
    </row>
    <row r="1742" spans="2:5" x14ac:dyDescent="0.45">
      <c r="B1742" s="1"/>
      <c r="E1742" s="45" t="str">
        <f>IFERROR(AVERAGEIFS('Picarro Output'!G:G, 'Picarro Output'!$B:$B, 'Uncalibrated Data'!$C1742, 'Picarro Output'!$I:$I, 0, 'Picarro Output'!$J:$J, 1), "")</f>
        <v/>
      </c>
    </row>
    <row r="1743" spans="2:5" x14ac:dyDescent="0.45">
      <c r="B1743" s="1"/>
      <c r="E1743" s="45" t="str">
        <f>IFERROR(AVERAGEIFS('Picarro Output'!G:G, 'Picarro Output'!$B:$B, 'Uncalibrated Data'!$C1743, 'Picarro Output'!$I:$I, 0, 'Picarro Output'!$J:$J, 1), "")</f>
        <v/>
      </c>
    </row>
    <row r="1744" spans="2:5" x14ac:dyDescent="0.45">
      <c r="B1744" s="1"/>
      <c r="E1744" s="45" t="str">
        <f>IFERROR(AVERAGEIFS('Picarro Output'!G:G, 'Picarro Output'!$B:$B, 'Uncalibrated Data'!$C1744, 'Picarro Output'!$I:$I, 0, 'Picarro Output'!$J:$J, 1), "")</f>
        <v/>
      </c>
    </row>
    <row r="1745" spans="2:5" x14ac:dyDescent="0.45">
      <c r="B1745" s="1"/>
      <c r="E1745" s="45" t="str">
        <f>IFERROR(AVERAGEIFS('Picarro Output'!G:G, 'Picarro Output'!$B:$B, 'Uncalibrated Data'!$C1745, 'Picarro Output'!$I:$I, 0, 'Picarro Output'!$J:$J, 1), "")</f>
        <v/>
      </c>
    </row>
    <row r="1746" spans="2:5" x14ac:dyDescent="0.45">
      <c r="B1746" s="1"/>
      <c r="E1746" s="45" t="str">
        <f>IFERROR(AVERAGEIFS('Picarro Output'!G:G, 'Picarro Output'!$B:$B, 'Uncalibrated Data'!$C1746, 'Picarro Output'!$I:$I, 0, 'Picarro Output'!$J:$J, 1), "")</f>
        <v/>
      </c>
    </row>
    <row r="1747" spans="2:5" x14ac:dyDescent="0.45">
      <c r="B1747" s="1"/>
      <c r="E1747" s="45" t="str">
        <f>IFERROR(AVERAGEIFS('Picarro Output'!G:G, 'Picarro Output'!$B:$B, 'Uncalibrated Data'!$C1747, 'Picarro Output'!$I:$I, 0, 'Picarro Output'!$J:$J, 1), "")</f>
        <v/>
      </c>
    </row>
    <row r="1748" spans="2:5" x14ac:dyDescent="0.45">
      <c r="B1748" s="1"/>
      <c r="E1748" s="45" t="str">
        <f>IFERROR(AVERAGEIFS('Picarro Output'!G:G, 'Picarro Output'!$B:$B, 'Uncalibrated Data'!$C1748, 'Picarro Output'!$I:$I, 0, 'Picarro Output'!$J:$J, 1), "")</f>
        <v/>
      </c>
    </row>
    <row r="1749" spans="2:5" x14ac:dyDescent="0.45">
      <c r="B1749" s="1"/>
      <c r="E1749" s="45" t="str">
        <f>IFERROR(AVERAGEIFS('Picarro Output'!G:G, 'Picarro Output'!$B:$B, 'Uncalibrated Data'!$C1749, 'Picarro Output'!$I:$I, 0, 'Picarro Output'!$J:$J, 1), "")</f>
        <v/>
      </c>
    </row>
    <row r="1750" spans="2:5" x14ac:dyDescent="0.45">
      <c r="B1750" s="1"/>
      <c r="E1750" s="45" t="str">
        <f>IFERROR(AVERAGEIFS('Picarro Output'!G:G, 'Picarro Output'!$B:$B, 'Uncalibrated Data'!$C1750, 'Picarro Output'!$I:$I, 0, 'Picarro Output'!$J:$J, 1), "")</f>
        <v/>
      </c>
    </row>
    <row r="1751" spans="2:5" x14ac:dyDescent="0.45">
      <c r="B1751" s="1"/>
      <c r="E1751" s="45" t="str">
        <f>IFERROR(AVERAGEIFS('Picarro Output'!G:G, 'Picarro Output'!$B:$B, 'Uncalibrated Data'!$C1751, 'Picarro Output'!$I:$I, 0, 'Picarro Output'!$J:$J, 1), "")</f>
        <v/>
      </c>
    </row>
    <row r="1752" spans="2:5" x14ac:dyDescent="0.45">
      <c r="B1752" s="1"/>
      <c r="E1752" s="45" t="str">
        <f>IFERROR(AVERAGEIFS('Picarro Output'!G:G, 'Picarro Output'!$B:$B, 'Uncalibrated Data'!$C1752, 'Picarro Output'!$I:$I, 0, 'Picarro Output'!$J:$J, 1), "")</f>
        <v/>
      </c>
    </row>
    <row r="1753" spans="2:5" x14ac:dyDescent="0.45">
      <c r="B1753" s="1"/>
      <c r="E1753" s="45" t="str">
        <f>IFERROR(AVERAGEIFS('Picarro Output'!G:G, 'Picarro Output'!$B:$B, 'Uncalibrated Data'!$C1753, 'Picarro Output'!$I:$I, 0, 'Picarro Output'!$J:$J, 1), "")</f>
        <v/>
      </c>
    </row>
    <row r="1754" spans="2:5" x14ac:dyDescent="0.45">
      <c r="B1754" s="1"/>
      <c r="E1754" s="45" t="str">
        <f>IFERROR(AVERAGEIFS('Picarro Output'!G:G, 'Picarro Output'!$B:$B, 'Uncalibrated Data'!$C1754, 'Picarro Output'!$I:$I, 0, 'Picarro Output'!$J:$J, 1), "")</f>
        <v/>
      </c>
    </row>
    <row r="1755" spans="2:5" x14ac:dyDescent="0.45">
      <c r="B1755" s="1"/>
      <c r="E1755" s="45" t="str">
        <f>IFERROR(AVERAGEIFS('Picarro Output'!G:G, 'Picarro Output'!$B:$B, 'Uncalibrated Data'!$C1755, 'Picarro Output'!$I:$I, 0, 'Picarro Output'!$J:$J, 1), "")</f>
        <v/>
      </c>
    </row>
    <row r="1756" spans="2:5" x14ac:dyDescent="0.45">
      <c r="B1756" s="1"/>
      <c r="E1756" s="45" t="str">
        <f>IFERROR(AVERAGEIFS('Picarro Output'!G:G, 'Picarro Output'!$B:$B, 'Uncalibrated Data'!$C1756, 'Picarro Output'!$I:$I, 0, 'Picarro Output'!$J:$J, 1), "")</f>
        <v/>
      </c>
    </row>
    <row r="1757" spans="2:5" x14ac:dyDescent="0.45">
      <c r="B1757" s="1"/>
      <c r="E1757" s="45" t="str">
        <f>IFERROR(AVERAGEIFS('Picarro Output'!G:G, 'Picarro Output'!$B:$B, 'Uncalibrated Data'!$C1757, 'Picarro Output'!$I:$I, 0, 'Picarro Output'!$J:$J, 1), "")</f>
        <v/>
      </c>
    </row>
    <row r="1758" spans="2:5" x14ac:dyDescent="0.45">
      <c r="B1758" s="1"/>
      <c r="E1758" s="45" t="str">
        <f>IFERROR(AVERAGEIFS('Picarro Output'!G:G, 'Picarro Output'!$B:$B, 'Uncalibrated Data'!$C1758, 'Picarro Output'!$I:$I, 0, 'Picarro Output'!$J:$J, 1), "")</f>
        <v/>
      </c>
    </row>
    <row r="1759" spans="2:5" x14ac:dyDescent="0.45">
      <c r="B1759" s="1"/>
      <c r="E1759" s="45" t="str">
        <f>IFERROR(AVERAGEIFS('Picarro Output'!G:G, 'Picarro Output'!$B:$B, 'Uncalibrated Data'!$C1759, 'Picarro Output'!$I:$I, 0, 'Picarro Output'!$J:$J, 1), "")</f>
        <v/>
      </c>
    </row>
    <row r="1760" spans="2:5" x14ac:dyDescent="0.45">
      <c r="B1760" s="1"/>
      <c r="E1760" s="45" t="str">
        <f>IFERROR(AVERAGEIFS('Picarro Output'!G:G, 'Picarro Output'!$B:$B, 'Uncalibrated Data'!$C1760, 'Picarro Output'!$I:$I, 0, 'Picarro Output'!$J:$J, 1), "")</f>
        <v/>
      </c>
    </row>
    <row r="1761" spans="2:5" x14ac:dyDescent="0.45">
      <c r="B1761" s="1"/>
      <c r="E1761" s="45" t="str">
        <f>IFERROR(AVERAGEIFS('Picarro Output'!G:G, 'Picarro Output'!$B:$B, 'Uncalibrated Data'!$C1761, 'Picarro Output'!$I:$I, 0, 'Picarro Output'!$J:$J, 1), "")</f>
        <v/>
      </c>
    </row>
    <row r="1762" spans="2:5" x14ac:dyDescent="0.45">
      <c r="B1762" s="1"/>
      <c r="E1762" s="45" t="str">
        <f>IFERROR(AVERAGEIFS('Picarro Output'!G:G, 'Picarro Output'!$B:$B, 'Uncalibrated Data'!$C1762, 'Picarro Output'!$I:$I, 0, 'Picarro Output'!$J:$J, 1), "")</f>
        <v/>
      </c>
    </row>
    <row r="1763" spans="2:5" x14ac:dyDescent="0.45">
      <c r="B1763" s="1"/>
      <c r="E1763" s="45" t="str">
        <f>IFERROR(AVERAGEIFS('Picarro Output'!G:G, 'Picarro Output'!$B:$B, 'Uncalibrated Data'!$C1763, 'Picarro Output'!$I:$I, 0, 'Picarro Output'!$J:$J, 1), "")</f>
        <v/>
      </c>
    </row>
    <row r="1764" spans="2:5" x14ac:dyDescent="0.45">
      <c r="B1764" s="1"/>
      <c r="E1764" s="45" t="str">
        <f>IFERROR(AVERAGEIFS('Picarro Output'!G:G, 'Picarro Output'!$B:$B, 'Uncalibrated Data'!$C1764, 'Picarro Output'!$I:$I, 0, 'Picarro Output'!$J:$J, 1), "")</f>
        <v/>
      </c>
    </row>
    <row r="1765" spans="2:5" x14ac:dyDescent="0.45">
      <c r="B1765" s="1"/>
      <c r="E1765" s="45" t="str">
        <f>IFERROR(AVERAGEIFS('Picarro Output'!G:G, 'Picarro Output'!$B:$B, 'Uncalibrated Data'!$C1765, 'Picarro Output'!$I:$I, 0, 'Picarro Output'!$J:$J, 1), "")</f>
        <v/>
      </c>
    </row>
    <row r="1766" spans="2:5" x14ac:dyDescent="0.45">
      <c r="B1766" s="1"/>
      <c r="E1766" s="45" t="str">
        <f>IFERROR(AVERAGEIFS('Picarro Output'!G:G, 'Picarro Output'!$B:$B, 'Uncalibrated Data'!$C1766, 'Picarro Output'!$I:$I, 0, 'Picarro Output'!$J:$J, 1), "")</f>
        <v/>
      </c>
    </row>
    <row r="1767" spans="2:5" x14ac:dyDescent="0.45">
      <c r="B1767" s="1"/>
      <c r="E1767" s="45" t="str">
        <f>IFERROR(AVERAGEIFS('Picarro Output'!G:G, 'Picarro Output'!$B:$B, 'Uncalibrated Data'!$C1767, 'Picarro Output'!$I:$I, 0, 'Picarro Output'!$J:$J, 1), "")</f>
        <v/>
      </c>
    </row>
    <row r="1768" spans="2:5" x14ac:dyDescent="0.45">
      <c r="B1768" s="1"/>
      <c r="E1768" s="45" t="str">
        <f>IFERROR(AVERAGEIFS('Picarro Output'!G:G, 'Picarro Output'!$B:$B, 'Uncalibrated Data'!$C1768, 'Picarro Output'!$I:$I, 0, 'Picarro Output'!$J:$J, 1), "")</f>
        <v/>
      </c>
    </row>
    <row r="1769" spans="2:5" x14ac:dyDescent="0.45">
      <c r="B1769" s="1"/>
      <c r="E1769" s="45" t="str">
        <f>IFERROR(AVERAGEIFS('Picarro Output'!G:G, 'Picarro Output'!$B:$B, 'Uncalibrated Data'!$C1769, 'Picarro Output'!$I:$I, 0, 'Picarro Output'!$J:$J, 1), "")</f>
        <v/>
      </c>
    </row>
    <row r="1770" spans="2:5" x14ac:dyDescent="0.45">
      <c r="B1770" s="1"/>
      <c r="E1770" s="45" t="str">
        <f>IFERROR(AVERAGEIFS('Picarro Output'!G:G, 'Picarro Output'!$B:$B, 'Uncalibrated Data'!$C1770, 'Picarro Output'!$I:$I, 0, 'Picarro Output'!$J:$J, 1), "")</f>
        <v/>
      </c>
    </row>
    <row r="1771" spans="2:5" x14ac:dyDescent="0.45">
      <c r="B1771" s="1"/>
      <c r="E1771" s="45" t="str">
        <f>IFERROR(AVERAGEIFS('Picarro Output'!G:G, 'Picarro Output'!$B:$B, 'Uncalibrated Data'!$C1771, 'Picarro Output'!$I:$I, 0, 'Picarro Output'!$J:$J, 1), "")</f>
        <v/>
      </c>
    </row>
    <row r="1772" spans="2:5" x14ac:dyDescent="0.45">
      <c r="B1772" s="1"/>
      <c r="E1772" s="45" t="str">
        <f>IFERROR(AVERAGEIFS('Picarro Output'!G:G, 'Picarro Output'!$B:$B, 'Uncalibrated Data'!$C1772, 'Picarro Output'!$I:$I, 0, 'Picarro Output'!$J:$J, 1), "")</f>
        <v/>
      </c>
    </row>
    <row r="1773" spans="2:5" x14ac:dyDescent="0.45">
      <c r="B1773" s="1"/>
      <c r="E1773" s="45" t="str">
        <f>IFERROR(AVERAGEIFS('Picarro Output'!G:G, 'Picarro Output'!$B:$B, 'Uncalibrated Data'!$C1773, 'Picarro Output'!$I:$I, 0, 'Picarro Output'!$J:$J, 1), "")</f>
        <v/>
      </c>
    </row>
    <row r="1774" spans="2:5" x14ac:dyDescent="0.45">
      <c r="B1774" s="1"/>
      <c r="E1774" s="45" t="str">
        <f>IFERROR(AVERAGEIFS('Picarro Output'!G:G, 'Picarro Output'!$B:$B, 'Uncalibrated Data'!$C1774, 'Picarro Output'!$I:$I, 0, 'Picarro Output'!$J:$J, 1), "")</f>
        <v/>
      </c>
    </row>
    <row r="1775" spans="2:5" x14ac:dyDescent="0.45">
      <c r="B1775" s="1"/>
      <c r="E1775" s="45" t="str">
        <f>IFERROR(AVERAGEIFS('Picarro Output'!G:G, 'Picarro Output'!$B:$B, 'Uncalibrated Data'!$C1775, 'Picarro Output'!$I:$I, 0, 'Picarro Output'!$J:$J, 1), "")</f>
        <v/>
      </c>
    </row>
    <row r="1776" spans="2:5" x14ac:dyDescent="0.45">
      <c r="B1776" s="1"/>
      <c r="E1776" s="45" t="str">
        <f>IFERROR(AVERAGEIFS('Picarro Output'!G:G, 'Picarro Output'!$B:$B, 'Uncalibrated Data'!$C1776, 'Picarro Output'!$I:$I, 0, 'Picarro Output'!$J:$J, 1), "")</f>
        <v/>
      </c>
    </row>
    <row r="1777" spans="2:5" x14ac:dyDescent="0.45">
      <c r="B1777" s="1"/>
      <c r="E1777" s="45" t="str">
        <f>IFERROR(AVERAGEIFS('Picarro Output'!G:G, 'Picarro Output'!$B:$B, 'Uncalibrated Data'!$C1777, 'Picarro Output'!$I:$I, 0, 'Picarro Output'!$J:$J, 1), "")</f>
        <v/>
      </c>
    </row>
    <row r="1778" spans="2:5" x14ac:dyDescent="0.45">
      <c r="B1778" s="1"/>
      <c r="E1778" s="45" t="str">
        <f>IFERROR(AVERAGEIFS('Picarro Output'!G:G, 'Picarro Output'!$B:$B, 'Uncalibrated Data'!$C1778, 'Picarro Output'!$I:$I, 0, 'Picarro Output'!$J:$J, 1), "")</f>
        <v/>
      </c>
    </row>
    <row r="1779" spans="2:5" x14ac:dyDescent="0.45">
      <c r="B1779" s="1"/>
      <c r="E1779" s="45" t="str">
        <f>IFERROR(AVERAGEIFS('Picarro Output'!G:G, 'Picarro Output'!$B:$B, 'Uncalibrated Data'!$C1779, 'Picarro Output'!$I:$I, 0, 'Picarro Output'!$J:$J, 1), "")</f>
        <v/>
      </c>
    </row>
    <row r="1780" spans="2:5" x14ac:dyDescent="0.45">
      <c r="B1780" s="1"/>
      <c r="E1780" s="45" t="str">
        <f>IFERROR(AVERAGEIFS('Picarro Output'!G:G, 'Picarro Output'!$B:$B, 'Uncalibrated Data'!$C1780, 'Picarro Output'!$I:$I, 0, 'Picarro Output'!$J:$J, 1), "")</f>
        <v/>
      </c>
    </row>
    <row r="1781" spans="2:5" x14ac:dyDescent="0.45">
      <c r="B1781" s="1"/>
      <c r="E1781" s="45" t="str">
        <f>IFERROR(AVERAGEIFS('Picarro Output'!G:G, 'Picarro Output'!$B:$B, 'Uncalibrated Data'!$C1781, 'Picarro Output'!$I:$I, 0, 'Picarro Output'!$J:$J, 1), "")</f>
        <v/>
      </c>
    </row>
    <row r="1782" spans="2:5" x14ac:dyDescent="0.45">
      <c r="B1782" s="1"/>
      <c r="E1782" s="45" t="str">
        <f>IFERROR(AVERAGEIFS('Picarro Output'!G:G, 'Picarro Output'!$B:$B, 'Uncalibrated Data'!$C1782, 'Picarro Output'!$I:$I, 0, 'Picarro Output'!$J:$J, 1), "")</f>
        <v/>
      </c>
    </row>
    <row r="1783" spans="2:5" x14ac:dyDescent="0.45">
      <c r="B1783" s="1"/>
      <c r="E1783" s="45" t="str">
        <f>IFERROR(AVERAGEIFS('Picarro Output'!G:G, 'Picarro Output'!$B:$B, 'Uncalibrated Data'!$C1783, 'Picarro Output'!$I:$I, 0, 'Picarro Output'!$J:$J, 1), "")</f>
        <v/>
      </c>
    </row>
    <row r="1784" spans="2:5" x14ac:dyDescent="0.45">
      <c r="B1784" s="1"/>
      <c r="E1784" s="45" t="str">
        <f>IFERROR(AVERAGEIFS('Picarro Output'!G:G, 'Picarro Output'!$B:$B, 'Uncalibrated Data'!$C1784, 'Picarro Output'!$I:$I, 0, 'Picarro Output'!$J:$J, 1), "")</f>
        <v/>
      </c>
    </row>
    <row r="1785" spans="2:5" x14ac:dyDescent="0.45">
      <c r="B1785" s="1"/>
      <c r="E1785" s="45" t="str">
        <f>IFERROR(AVERAGEIFS('Picarro Output'!G:G, 'Picarro Output'!$B:$B, 'Uncalibrated Data'!$C1785, 'Picarro Output'!$I:$I, 0, 'Picarro Output'!$J:$J, 1), "")</f>
        <v/>
      </c>
    </row>
    <row r="1786" spans="2:5" x14ac:dyDescent="0.45">
      <c r="B1786" s="1"/>
      <c r="E1786" s="45" t="str">
        <f>IFERROR(AVERAGEIFS('Picarro Output'!G:G, 'Picarro Output'!$B:$B, 'Uncalibrated Data'!$C1786, 'Picarro Output'!$I:$I, 0, 'Picarro Output'!$J:$J, 1), "")</f>
        <v/>
      </c>
    </row>
    <row r="1787" spans="2:5" x14ac:dyDescent="0.45">
      <c r="B1787" s="1"/>
      <c r="E1787" s="45" t="str">
        <f>IFERROR(AVERAGEIFS('Picarro Output'!G:G, 'Picarro Output'!$B:$B, 'Uncalibrated Data'!$C1787, 'Picarro Output'!$I:$I, 0, 'Picarro Output'!$J:$J, 1), "")</f>
        <v/>
      </c>
    </row>
    <row r="1788" spans="2:5" x14ac:dyDescent="0.45">
      <c r="B1788" s="1"/>
      <c r="E1788" s="45" t="str">
        <f>IFERROR(AVERAGEIFS('Picarro Output'!G:G, 'Picarro Output'!$B:$B, 'Uncalibrated Data'!$C1788, 'Picarro Output'!$I:$I, 0, 'Picarro Output'!$J:$J, 1), "")</f>
        <v/>
      </c>
    </row>
    <row r="1789" spans="2:5" x14ac:dyDescent="0.45">
      <c r="B1789" s="1"/>
      <c r="E1789" s="45" t="str">
        <f>IFERROR(AVERAGEIFS('Picarro Output'!G:G, 'Picarro Output'!$B:$B, 'Uncalibrated Data'!$C1789, 'Picarro Output'!$I:$I, 0, 'Picarro Output'!$J:$J, 1), "")</f>
        <v/>
      </c>
    </row>
    <row r="1790" spans="2:5" x14ac:dyDescent="0.45">
      <c r="B1790" s="1"/>
      <c r="E1790" s="45" t="str">
        <f>IFERROR(AVERAGEIFS('Picarro Output'!G:G, 'Picarro Output'!$B:$B, 'Uncalibrated Data'!$C1790, 'Picarro Output'!$I:$I, 0, 'Picarro Output'!$J:$J, 1), "")</f>
        <v/>
      </c>
    </row>
    <row r="1791" spans="2:5" x14ac:dyDescent="0.45">
      <c r="B1791" s="1"/>
      <c r="E1791" s="45" t="str">
        <f>IFERROR(AVERAGEIFS('Picarro Output'!G:G, 'Picarro Output'!$B:$B, 'Uncalibrated Data'!$C1791, 'Picarro Output'!$I:$I, 0, 'Picarro Output'!$J:$J, 1), "")</f>
        <v/>
      </c>
    </row>
    <row r="1792" spans="2:5" x14ac:dyDescent="0.45">
      <c r="B1792" s="1"/>
      <c r="E1792" s="45" t="str">
        <f>IFERROR(AVERAGEIFS('Picarro Output'!G:G, 'Picarro Output'!$B:$B, 'Uncalibrated Data'!$C1792, 'Picarro Output'!$I:$I, 0, 'Picarro Output'!$J:$J, 1), "")</f>
        <v/>
      </c>
    </row>
    <row r="1793" spans="2:5" x14ac:dyDescent="0.45">
      <c r="B1793" s="1"/>
      <c r="E1793" s="45" t="str">
        <f>IFERROR(AVERAGEIFS('Picarro Output'!G:G, 'Picarro Output'!$B:$B, 'Uncalibrated Data'!$C1793, 'Picarro Output'!$I:$I, 0, 'Picarro Output'!$J:$J, 1), "")</f>
        <v/>
      </c>
    </row>
    <row r="1794" spans="2:5" x14ac:dyDescent="0.45">
      <c r="B1794" s="1"/>
      <c r="E1794" s="45" t="str">
        <f>IFERROR(AVERAGEIFS('Picarro Output'!G:G, 'Picarro Output'!$B:$B, 'Uncalibrated Data'!$C1794, 'Picarro Output'!$I:$I, 0, 'Picarro Output'!$J:$J, 1), "")</f>
        <v/>
      </c>
    </row>
    <row r="1795" spans="2:5" x14ac:dyDescent="0.45">
      <c r="B1795" s="1"/>
      <c r="E1795" s="45" t="str">
        <f>IFERROR(AVERAGEIFS('Picarro Output'!G:G, 'Picarro Output'!$B:$B, 'Uncalibrated Data'!$C1795, 'Picarro Output'!$I:$I, 0, 'Picarro Output'!$J:$J, 1), "")</f>
        <v/>
      </c>
    </row>
    <row r="1796" spans="2:5" x14ac:dyDescent="0.45">
      <c r="B1796" s="1"/>
      <c r="E1796" s="45" t="str">
        <f>IFERROR(AVERAGEIFS('Picarro Output'!G:G, 'Picarro Output'!$B:$B, 'Uncalibrated Data'!$C1796, 'Picarro Output'!$I:$I, 0, 'Picarro Output'!$J:$J, 1), "")</f>
        <v/>
      </c>
    </row>
    <row r="1797" spans="2:5" x14ac:dyDescent="0.45">
      <c r="B1797" s="1"/>
      <c r="E1797" s="45" t="str">
        <f>IFERROR(AVERAGEIFS('Picarro Output'!G:G, 'Picarro Output'!$B:$B, 'Uncalibrated Data'!$C1797, 'Picarro Output'!$I:$I, 0, 'Picarro Output'!$J:$J, 1), "")</f>
        <v/>
      </c>
    </row>
    <row r="1798" spans="2:5" x14ac:dyDescent="0.45">
      <c r="B1798" s="1"/>
      <c r="E1798" s="45" t="str">
        <f>IFERROR(AVERAGEIFS('Picarro Output'!G:G, 'Picarro Output'!$B:$B, 'Uncalibrated Data'!$C1798, 'Picarro Output'!$I:$I, 0, 'Picarro Output'!$J:$J, 1), "")</f>
        <v/>
      </c>
    </row>
    <row r="1799" spans="2:5" x14ac:dyDescent="0.45">
      <c r="B1799" s="1"/>
      <c r="E1799" s="45" t="str">
        <f>IFERROR(AVERAGEIFS('Picarro Output'!G:G, 'Picarro Output'!$B:$B, 'Uncalibrated Data'!$C1799, 'Picarro Output'!$I:$I, 0, 'Picarro Output'!$J:$J, 1), "")</f>
        <v/>
      </c>
    </row>
    <row r="1800" spans="2:5" x14ac:dyDescent="0.45">
      <c r="B1800" s="1"/>
      <c r="E1800" s="45" t="str">
        <f>IFERROR(AVERAGEIFS('Picarro Output'!G:G, 'Picarro Output'!$B:$B, 'Uncalibrated Data'!$C1800, 'Picarro Output'!$I:$I, 0, 'Picarro Output'!$J:$J, 1), "")</f>
        <v/>
      </c>
    </row>
    <row r="1801" spans="2:5" x14ac:dyDescent="0.45">
      <c r="B1801" s="1"/>
      <c r="E1801" s="45" t="str">
        <f>IFERROR(AVERAGEIFS('Picarro Output'!G:G, 'Picarro Output'!$B:$B, 'Uncalibrated Data'!$C1801, 'Picarro Output'!$I:$I, 0, 'Picarro Output'!$J:$J, 1), "")</f>
        <v/>
      </c>
    </row>
    <row r="1802" spans="2:5" x14ac:dyDescent="0.45">
      <c r="B1802" s="1"/>
      <c r="E1802" s="45" t="str">
        <f>IFERROR(AVERAGEIFS('Picarro Output'!G:G, 'Picarro Output'!$B:$B, 'Uncalibrated Data'!$C1802, 'Picarro Output'!$I:$I, 0, 'Picarro Output'!$J:$J, 1), "")</f>
        <v/>
      </c>
    </row>
    <row r="1803" spans="2:5" x14ac:dyDescent="0.45">
      <c r="B1803" s="1"/>
      <c r="E1803" s="45" t="str">
        <f>IFERROR(AVERAGEIFS('Picarro Output'!G:G, 'Picarro Output'!$B:$B, 'Uncalibrated Data'!$C1803, 'Picarro Output'!$I:$I, 0, 'Picarro Output'!$J:$J, 1), "")</f>
        <v/>
      </c>
    </row>
    <row r="1804" spans="2:5" x14ac:dyDescent="0.45">
      <c r="B1804" s="1"/>
      <c r="E1804" s="45" t="str">
        <f>IFERROR(AVERAGEIFS('Picarro Output'!G:G, 'Picarro Output'!$B:$B, 'Uncalibrated Data'!$C1804, 'Picarro Output'!$I:$I, 0, 'Picarro Output'!$J:$J, 1), "")</f>
        <v/>
      </c>
    </row>
    <row r="1805" spans="2:5" x14ac:dyDescent="0.45">
      <c r="B1805" s="1"/>
      <c r="E1805" s="45" t="str">
        <f>IFERROR(AVERAGEIFS('Picarro Output'!G:G, 'Picarro Output'!$B:$B, 'Uncalibrated Data'!$C1805, 'Picarro Output'!$I:$I, 0, 'Picarro Output'!$J:$J, 1), "")</f>
        <v/>
      </c>
    </row>
    <row r="1806" spans="2:5" x14ac:dyDescent="0.45">
      <c r="B1806" s="1"/>
      <c r="E1806" s="45" t="str">
        <f>IFERROR(AVERAGEIFS('Picarro Output'!G:G, 'Picarro Output'!$B:$B, 'Uncalibrated Data'!$C1806, 'Picarro Output'!$I:$I, 0, 'Picarro Output'!$J:$J, 1), "")</f>
        <v/>
      </c>
    </row>
    <row r="1807" spans="2:5" x14ac:dyDescent="0.45">
      <c r="B1807" s="1"/>
      <c r="E1807" s="45" t="str">
        <f>IFERROR(AVERAGEIFS('Picarro Output'!G:G, 'Picarro Output'!$B:$B, 'Uncalibrated Data'!$C1807, 'Picarro Output'!$I:$I, 0, 'Picarro Output'!$J:$J, 1), "")</f>
        <v/>
      </c>
    </row>
    <row r="1808" spans="2:5" x14ac:dyDescent="0.45">
      <c r="B1808" s="1"/>
      <c r="E1808" s="45" t="str">
        <f>IFERROR(AVERAGEIFS('Picarro Output'!G:G, 'Picarro Output'!$B:$B, 'Uncalibrated Data'!$C1808, 'Picarro Output'!$I:$I, 0, 'Picarro Output'!$J:$J, 1), "")</f>
        <v/>
      </c>
    </row>
    <row r="1809" spans="2:5" x14ac:dyDescent="0.45">
      <c r="B1809" s="1"/>
      <c r="E1809" s="45" t="str">
        <f>IFERROR(AVERAGEIFS('Picarro Output'!G:G, 'Picarro Output'!$B:$B, 'Uncalibrated Data'!$C1809, 'Picarro Output'!$I:$I, 0, 'Picarro Output'!$J:$J, 1), "")</f>
        <v/>
      </c>
    </row>
    <row r="1810" spans="2:5" x14ac:dyDescent="0.45">
      <c r="B1810" s="1"/>
      <c r="E1810" s="45" t="str">
        <f>IFERROR(AVERAGEIFS('Picarro Output'!G:G, 'Picarro Output'!$B:$B, 'Uncalibrated Data'!$C1810, 'Picarro Output'!$I:$I, 0, 'Picarro Output'!$J:$J, 1), "")</f>
        <v/>
      </c>
    </row>
    <row r="1811" spans="2:5" x14ac:dyDescent="0.45">
      <c r="B1811" s="1"/>
      <c r="E1811" s="45" t="str">
        <f>IFERROR(AVERAGEIFS('Picarro Output'!G:G, 'Picarro Output'!$B:$B, 'Uncalibrated Data'!$C1811, 'Picarro Output'!$I:$I, 0, 'Picarro Output'!$J:$J, 1), "")</f>
        <v/>
      </c>
    </row>
    <row r="1812" spans="2:5" x14ac:dyDescent="0.45">
      <c r="B1812" s="1"/>
      <c r="E1812" s="45" t="str">
        <f>IFERROR(AVERAGEIFS('Picarro Output'!G:G, 'Picarro Output'!$B:$B, 'Uncalibrated Data'!$C1812, 'Picarro Output'!$I:$I, 0, 'Picarro Output'!$J:$J, 1), "")</f>
        <v/>
      </c>
    </row>
    <row r="1813" spans="2:5" x14ac:dyDescent="0.45">
      <c r="B1813" s="1"/>
      <c r="E1813" s="45" t="str">
        <f>IFERROR(AVERAGEIFS('Picarro Output'!G:G, 'Picarro Output'!$B:$B, 'Uncalibrated Data'!$C1813, 'Picarro Output'!$I:$I, 0, 'Picarro Output'!$J:$J, 1), "")</f>
        <v/>
      </c>
    </row>
    <row r="1814" spans="2:5" x14ac:dyDescent="0.45">
      <c r="B1814" s="1"/>
      <c r="E1814" s="45" t="str">
        <f>IFERROR(AVERAGEIFS('Picarro Output'!G:G, 'Picarro Output'!$B:$B, 'Uncalibrated Data'!$C1814, 'Picarro Output'!$I:$I, 0, 'Picarro Output'!$J:$J, 1), "")</f>
        <v/>
      </c>
    </row>
    <row r="1815" spans="2:5" x14ac:dyDescent="0.45">
      <c r="B1815" s="1"/>
      <c r="E1815" s="45" t="str">
        <f>IFERROR(AVERAGEIFS('Picarro Output'!G:G, 'Picarro Output'!$B:$B, 'Uncalibrated Data'!$C1815, 'Picarro Output'!$I:$I, 0, 'Picarro Output'!$J:$J, 1), "")</f>
        <v/>
      </c>
    </row>
    <row r="1816" spans="2:5" x14ac:dyDescent="0.45">
      <c r="B1816" s="1"/>
      <c r="E1816" s="45" t="str">
        <f>IFERROR(AVERAGEIFS('Picarro Output'!G:G, 'Picarro Output'!$B:$B, 'Uncalibrated Data'!$C1816, 'Picarro Output'!$I:$I, 0, 'Picarro Output'!$J:$J, 1), "")</f>
        <v/>
      </c>
    </row>
    <row r="1817" spans="2:5" x14ac:dyDescent="0.45">
      <c r="B1817" s="1"/>
      <c r="E1817" s="45" t="str">
        <f>IFERROR(AVERAGEIFS('Picarro Output'!G:G, 'Picarro Output'!$B:$B, 'Uncalibrated Data'!$C1817, 'Picarro Output'!$I:$I, 0, 'Picarro Output'!$J:$J, 1), "")</f>
        <v/>
      </c>
    </row>
    <row r="1818" spans="2:5" x14ac:dyDescent="0.45">
      <c r="B1818" s="1"/>
      <c r="E1818" s="45" t="str">
        <f>IFERROR(AVERAGEIFS('Picarro Output'!G:G, 'Picarro Output'!$B:$B, 'Uncalibrated Data'!$C1818, 'Picarro Output'!$I:$I, 0, 'Picarro Output'!$J:$J, 1), "")</f>
        <v/>
      </c>
    </row>
    <row r="1819" spans="2:5" x14ac:dyDescent="0.45">
      <c r="B1819" s="1"/>
      <c r="E1819" s="45" t="str">
        <f>IFERROR(AVERAGEIFS('Picarro Output'!G:G, 'Picarro Output'!$B:$B, 'Uncalibrated Data'!$C1819, 'Picarro Output'!$I:$I, 0, 'Picarro Output'!$J:$J, 1), "")</f>
        <v/>
      </c>
    </row>
    <row r="1820" spans="2:5" x14ac:dyDescent="0.45">
      <c r="B1820" s="1"/>
      <c r="E1820" s="45" t="str">
        <f>IFERROR(AVERAGEIFS('Picarro Output'!G:G, 'Picarro Output'!$B:$B, 'Uncalibrated Data'!$C1820, 'Picarro Output'!$I:$I, 0, 'Picarro Output'!$J:$J, 1), "")</f>
        <v/>
      </c>
    </row>
    <row r="1821" spans="2:5" x14ac:dyDescent="0.45">
      <c r="B1821" s="1"/>
      <c r="E1821" s="45" t="str">
        <f>IFERROR(AVERAGEIFS('Picarro Output'!G:G, 'Picarro Output'!$B:$B, 'Uncalibrated Data'!$C1821, 'Picarro Output'!$I:$I, 0, 'Picarro Output'!$J:$J, 1), "")</f>
        <v/>
      </c>
    </row>
    <row r="1822" spans="2:5" x14ac:dyDescent="0.45">
      <c r="B1822" s="1"/>
      <c r="E1822" s="45" t="str">
        <f>IFERROR(AVERAGEIFS('Picarro Output'!G:G, 'Picarro Output'!$B:$B, 'Uncalibrated Data'!$C1822, 'Picarro Output'!$I:$I, 0, 'Picarro Output'!$J:$J, 1), "")</f>
        <v/>
      </c>
    </row>
    <row r="1823" spans="2:5" x14ac:dyDescent="0.45">
      <c r="B1823" s="1"/>
      <c r="E1823" s="45" t="str">
        <f>IFERROR(AVERAGEIFS('Picarro Output'!G:G, 'Picarro Output'!$B:$B, 'Uncalibrated Data'!$C1823, 'Picarro Output'!$I:$I, 0, 'Picarro Output'!$J:$J, 1), "")</f>
        <v/>
      </c>
    </row>
    <row r="1824" spans="2:5" x14ac:dyDescent="0.45">
      <c r="B1824" s="1"/>
      <c r="E1824" s="45" t="str">
        <f>IFERROR(AVERAGEIFS('Picarro Output'!G:G, 'Picarro Output'!$B:$B, 'Uncalibrated Data'!$C1824, 'Picarro Output'!$I:$I, 0, 'Picarro Output'!$J:$J, 1), "")</f>
        <v/>
      </c>
    </row>
    <row r="1825" spans="2:5" x14ac:dyDescent="0.45">
      <c r="B1825" s="1"/>
      <c r="E1825" s="45" t="str">
        <f>IFERROR(AVERAGEIFS('Picarro Output'!G:G, 'Picarro Output'!$B:$B, 'Uncalibrated Data'!$C1825, 'Picarro Output'!$I:$I, 0, 'Picarro Output'!$J:$J, 1), "")</f>
        <v/>
      </c>
    </row>
    <row r="1826" spans="2:5" x14ac:dyDescent="0.45">
      <c r="B1826" s="1"/>
      <c r="E1826" s="45" t="str">
        <f>IFERROR(AVERAGEIFS('Picarro Output'!G:G, 'Picarro Output'!$B:$B, 'Uncalibrated Data'!$C1826, 'Picarro Output'!$I:$I, 0, 'Picarro Output'!$J:$J, 1), "")</f>
        <v/>
      </c>
    </row>
    <row r="1827" spans="2:5" x14ac:dyDescent="0.45">
      <c r="B1827" s="1"/>
      <c r="E1827" s="45" t="str">
        <f>IFERROR(AVERAGEIFS('Picarro Output'!G:G, 'Picarro Output'!$B:$B, 'Uncalibrated Data'!$C1827, 'Picarro Output'!$I:$I, 0, 'Picarro Output'!$J:$J, 1), "")</f>
        <v/>
      </c>
    </row>
    <row r="1828" spans="2:5" x14ac:dyDescent="0.45">
      <c r="B1828" s="1"/>
      <c r="E1828" s="45" t="str">
        <f>IFERROR(AVERAGEIFS('Picarro Output'!G:G, 'Picarro Output'!$B:$B, 'Uncalibrated Data'!$C1828, 'Picarro Output'!$I:$I, 0, 'Picarro Output'!$J:$J, 1), "")</f>
        <v/>
      </c>
    </row>
    <row r="1829" spans="2:5" x14ac:dyDescent="0.45">
      <c r="B1829" s="1"/>
      <c r="E1829" s="45" t="str">
        <f>IFERROR(AVERAGEIFS('Picarro Output'!G:G, 'Picarro Output'!$B:$B, 'Uncalibrated Data'!$C1829, 'Picarro Output'!$I:$I, 0, 'Picarro Output'!$J:$J, 1), "")</f>
        <v/>
      </c>
    </row>
    <row r="1830" spans="2:5" x14ac:dyDescent="0.45">
      <c r="B1830" s="1"/>
      <c r="E1830" s="45" t="str">
        <f>IFERROR(AVERAGEIFS('Picarro Output'!G:G, 'Picarro Output'!$B:$B, 'Uncalibrated Data'!$C1830, 'Picarro Output'!$I:$I, 0, 'Picarro Output'!$J:$J, 1), "")</f>
        <v/>
      </c>
    </row>
    <row r="1831" spans="2:5" x14ac:dyDescent="0.45">
      <c r="B1831" s="1"/>
      <c r="E1831" s="45" t="str">
        <f>IFERROR(AVERAGEIFS('Picarro Output'!G:G, 'Picarro Output'!$B:$B, 'Uncalibrated Data'!$C1831, 'Picarro Output'!$I:$I, 0, 'Picarro Output'!$J:$J, 1), "")</f>
        <v/>
      </c>
    </row>
    <row r="1832" spans="2:5" x14ac:dyDescent="0.45">
      <c r="B1832" s="1"/>
      <c r="E1832" s="45" t="str">
        <f>IFERROR(AVERAGEIFS('Picarro Output'!G:G, 'Picarro Output'!$B:$B, 'Uncalibrated Data'!$C1832, 'Picarro Output'!$I:$I, 0, 'Picarro Output'!$J:$J, 1), "")</f>
        <v/>
      </c>
    </row>
    <row r="1833" spans="2:5" x14ac:dyDescent="0.45">
      <c r="B1833" s="1"/>
      <c r="E1833" s="45" t="str">
        <f>IFERROR(AVERAGEIFS('Picarro Output'!G:G, 'Picarro Output'!$B:$B, 'Uncalibrated Data'!$C1833, 'Picarro Output'!$I:$I, 0, 'Picarro Output'!$J:$J, 1), "")</f>
        <v/>
      </c>
    </row>
    <row r="1834" spans="2:5" x14ac:dyDescent="0.45">
      <c r="B1834" s="1"/>
      <c r="E1834" s="45" t="str">
        <f>IFERROR(AVERAGEIFS('Picarro Output'!G:G, 'Picarro Output'!$B:$B, 'Uncalibrated Data'!$C1834, 'Picarro Output'!$I:$I, 0, 'Picarro Output'!$J:$J, 1), "")</f>
        <v/>
      </c>
    </row>
    <row r="1835" spans="2:5" x14ac:dyDescent="0.45">
      <c r="B1835" s="1"/>
      <c r="E1835" s="45" t="str">
        <f>IFERROR(AVERAGEIFS('Picarro Output'!G:G, 'Picarro Output'!$B:$B, 'Uncalibrated Data'!$C1835, 'Picarro Output'!$I:$I, 0, 'Picarro Output'!$J:$J, 1), "")</f>
        <v/>
      </c>
    </row>
    <row r="1836" spans="2:5" x14ac:dyDescent="0.45">
      <c r="B1836" s="1"/>
      <c r="E1836" s="45" t="str">
        <f>IFERROR(AVERAGEIFS('Picarro Output'!G:G, 'Picarro Output'!$B:$B, 'Uncalibrated Data'!$C1836, 'Picarro Output'!$I:$I, 0, 'Picarro Output'!$J:$J, 1), "")</f>
        <v/>
      </c>
    </row>
    <row r="1837" spans="2:5" x14ac:dyDescent="0.45">
      <c r="B1837" s="1"/>
      <c r="E1837" s="45" t="str">
        <f>IFERROR(AVERAGEIFS('Picarro Output'!G:G, 'Picarro Output'!$B:$B, 'Uncalibrated Data'!$C1837, 'Picarro Output'!$I:$I, 0, 'Picarro Output'!$J:$J, 1), "")</f>
        <v/>
      </c>
    </row>
    <row r="1838" spans="2:5" x14ac:dyDescent="0.45">
      <c r="B1838" s="1"/>
      <c r="E1838" s="45" t="str">
        <f>IFERROR(AVERAGEIFS('Picarro Output'!G:G, 'Picarro Output'!$B:$B, 'Uncalibrated Data'!$C1838, 'Picarro Output'!$I:$I, 0, 'Picarro Output'!$J:$J, 1), "")</f>
        <v/>
      </c>
    </row>
    <row r="1839" spans="2:5" x14ac:dyDescent="0.45">
      <c r="B1839" s="1"/>
      <c r="E1839" s="45" t="str">
        <f>IFERROR(AVERAGEIFS('Picarro Output'!G:G, 'Picarro Output'!$B:$B, 'Uncalibrated Data'!$C1839, 'Picarro Output'!$I:$I, 0, 'Picarro Output'!$J:$J, 1), "")</f>
        <v/>
      </c>
    </row>
    <row r="1840" spans="2:5" x14ac:dyDescent="0.45">
      <c r="B1840" s="1"/>
      <c r="E1840" s="45" t="str">
        <f>IFERROR(AVERAGEIFS('Picarro Output'!G:G, 'Picarro Output'!$B:$B, 'Uncalibrated Data'!$C1840, 'Picarro Output'!$I:$I, 0, 'Picarro Output'!$J:$J, 1), "")</f>
        <v/>
      </c>
    </row>
    <row r="1841" spans="2:5" x14ac:dyDescent="0.45">
      <c r="B1841" s="1"/>
      <c r="E1841" s="45" t="str">
        <f>IFERROR(AVERAGEIFS('Picarro Output'!G:G, 'Picarro Output'!$B:$B, 'Uncalibrated Data'!$C1841, 'Picarro Output'!$I:$I, 0, 'Picarro Output'!$J:$J, 1), "")</f>
        <v/>
      </c>
    </row>
    <row r="1842" spans="2:5" x14ac:dyDescent="0.45">
      <c r="B1842" s="1"/>
      <c r="E1842" s="45" t="str">
        <f>IFERROR(AVERAGEIFS('Picarro Output'!G:G, 'Picarro Output'!$B:$B, 'Uncalibrated Data'!$C1842, 'Picarro Output'!$I:$I, 0, 'Picarro Output'!$J:$J, 1), "")</f>
        <v/>
      </c>
    </row>
    <row r="1843" spans="2:5" x14ac:dyDescent="0.45">
      <c r="B1843" s="1"/>
      <c r="E1843" s="45" t="str">
        <f>IFERROR(AVERAGEIFS('Picarro Output'!G:G, 'Picarro Output'!$B:$B, 'Uncalibrated Data'!$C1843, 'Picarro Output'!$I:$I, 0, 'Picarro Output'!$J:$J, 1), "")</f>
        <v/>
      </c>
    </row>
    <row r="1844" spans="2:5" x14ac:dyDescent="0.45">
      <c r="B1844" s="1"/>
      <c r="E1844" s="45" t="str">
        <f>IFERROR(AVERAGEIFS('Picarro Output'!G:G, 'Picarro Output'!$B:$B, 'Uncalibrated Data'!$C1844, 'Picarro Output'!$I:$I, 0, 'Picarro Output'!$J:$J, 1), "")</f>
        <v/>
      </c>
    </row>
    <row r="1845" spans="2:5" x14ac:dyDescent="0.45">
      <c r="B1845" s="1"/>
      <c r="E1845" s="45" t="str">
        <f>IFERROR(AVERAGEIFS('Picarro Output'!G:G, 'Picarro Output'!$B:$B, 'Uncalibrated Data'!$C1845, 'Picarro Output'!$I:$I, 0, 'Picarro Output'!$J:$J, 1), "")</f>
        <v/>
      </c>
    </row>
    <row r="1846" spans="2:5" x14ac:dyDescent="0.45">
      <c r="B1846" s="1"/>
      <c r="E1846" s="45" t="str">
        <f>IFERROR(AVERAGEIFS('Picarro Output'!G:G, 'Picarro Output'!$B:$B, 'Uncalibrated Data'!$C1846, 'Picarro Output'!$I:$I, 0, 'Picarro Output'!$J:$J, 1), "")</f>
        <v/>
      </c>
    </row>
    <row r="1847" spans="2:5" x14ac:dyDescent="0.45">
      <c r="B1847" s="1"/>
      <c r="E1847" s="45" t="str">
        <f>IFERROR(AVERAGEIFS('Picarro Output'!G:G, 'Picarro Output'!$B:$B, 'Uncalibrated Data'!$C1847, 'Picarro Output'!$I:$I, 0, 'Picarro Output'!$J:$J, 1), "")</f>
        <v/>
      </c>
    </row>
    <row r="1848" spans="2:5" x14ac:dyDescent="0.45">
      <c r="B1848" s="1"/>
      <c r="E1848" s="45" t="str">
        <f>IFERROR(AVERAGEIFS('Picarro Output'!G:G, 'Picarro Output'!$B:$B, 'Uncalibrated Data'!$C1848, 'Picarro Output'!$I:$I, 0, 'Picarro Output'!$J:$J, 1), "")</f>
        <v/>
      </c>
    </row>
    <row r="1849" spans="2:5" x14ac:dyDescent="0.45">
      <c r="B1849" s="1"/>
      <c r="E1849" s="45" t="str">
        <f>IFERROR(AVERAGEIFS('Picarro Output'!G:G, 'Picarro Output'!$B:$B, 'Uncalibrated Data'!$C1849, 'Picarro Output'!$I:$I, 0, 'Picarro Output'!$J:$J, 1), "")</f>
        <v/>
      </c>
    </row>
    <row r="1850" spans="2:5" x14ac:dyDescent="0.45">
      <c r="B1850" s="1"/>
      <c r="E1850" s="45" t="str">
        <f>IFERROR(AVERAGEIFS('Picarro Output'!G:G, 'Picarro Output'!$B:$B, 'Uncalibrated Data'!$C1850, 'Picarro Output'!$I:$I, 0, 'Picarro Output'!$J:$J, 1), "")</f>
        <v/>
      </c>
    </row>
    <row r="1851" spans="2:5" x14ac:dyDescent="0.45">
      <c r="B1851" s="1"/>
      <c r="E1851" s="45" t="str">
        <f>IFERROR(AVERAGEIFS('Picarro Output'!G:G, 'Picarro Output'!$B:$B, 'Uncalibrated Data'!$C1851, 'Picarro Output'!$I:$I, 0, 'Picarro Output'!$J:$J, 1), "")</f>
        <v/>
      </c>
    </row>
    <row r="1852" spans="2:5" x14ac:dyDescent="0.45">
      <c r="B1852" s="1"/>
      <c r="E1852" s="45" t="str">
        <f>IFERROR(AVERAGEIFS('Picarro Output'!G:G, 'Picarro Output'!$B:$B, 'Uncalibrated Data'!$C1852, 'Picarro Output'!$I:$I, 0, 'Picarro Output'!$J:$J, 1), "")</f>
        <v/>
      </c>
    </row>
    <row r="1853" spans="2:5" x14ac:dyDescent="0.45">
      <c r="B1853" s="1"/>
      <c r="E1853" s="45" t="str">
        <f>IFERROR(AVERAGEIFS('Picarro Output'!G:G, 'Picarro Output'!$B:$B, 'Uncalibrated Data'!$C1853, 'Picarro Output'!$I:$I, 0, 'Picarro Output'!$J:$J, 1), "")</f>
        <v/>
      </c>
    </row>
    <row r="1854" spans="2:5" x14ac:dyDescent="0.45">
      <c r="B1854" s="1"/>
      <c r="E1854" s="45" t="str">
        <f>IFERROR(AVERAGEIFS('Picarro Output'!G:G, 'Picarro Output'!$B:$B, 'Uncalibrated Data'!$C1854, 'Picarro Output'!$I:$I, 0, 'Picarro Output'!$J:$J, 1), "")</f>
        <v/>
      </c>
    </row>
    <row r="1855" spans="2:5" x14ac:dyDescent="0.45">
      <c r="B1855" s="1"/>
      <c r="E1855" s="45" t="str">
        <f>IFERROR(AVERAGEIFS('Picarro Output'!G:G, 'Picarro Output'!$B:$B, 'Uncalibrated Data'!$C1855, 'Picarro Output'!$I:$I, 0, 'Picarro Output'!$J:$J, 1), "")</f>
        <v/>
      </c>
    </row>
    <row r="1856" spans="2:5" x14ac:dyDescent="0.45">
      <c r="B1856" s="1"/>
      <c r="E1856" s="45" t="str">
        <f>IFERROR(AVERAGEIFS('Picarro Output'!G:G, 'Picarro Output'!$B:$B, 'Uncalibrated Data'!$C1856, 'Picarro Output'!$I:$I, 0, 'Picarro Output'!$J:$J, 1), "")</f>
        <v/>
      </c>
    </row>
    <row r="1857" spans="2:5" x14ac:dyDescent="0.45">
      <c r="B1857" s="1"/>
      <c r="E1857" s="45" t="str">
        <f>IFERROR(AVERAGEIFS('Picarro Output'!G:G, 'Picarro Output'!$B:$B, 'Uncalibrated Data'!$C1857, 'Picarro Output'!$I:$I, 0, 'Picarro Output'!$J:$J, 1), "")</f>
        <v/>
      </c>
    </row>
    <row r="1858" spans="2:5" x14ac:dyDescent="0.45">
      <c r="B1858" s="1"/>
      <c r="E1858" s="45" t="str">
        <f>IFERROR(AVERAGEIFS('Picarro Output'!G:G, 'Picarro Output'!$B:$B, 'Uncalibrated Data'!$C1858, 'Picarro Output'!$I:$I, 0, 'Picarro Output'!$J:$J, 1), "")</f>
        <v/>
      </c>
    </row>
    <row r="1859" spans="2:5" x14ac:dyDescent="0.45">
      <c r="B1859" s="1"/>
      <c r="E1859" s="45" t="str">
        <f>IFERROR(AVERAGEIFS('Picarro Output'!G:G, 'Picarro Output'!$B:$B, 'Uncalibrated Data'!$C1859, 'Picarro Output'!$I:$I, 0, 'Picarro Output'!$J:$J, 1), "")</f>
        <v/>
      </c>
    </row>
    <row r="1860" spans="2:5" x14ac:dyDescent="0.45">
      <c r="B1860" s="1"/>
      <c r="E1860" s="45" t="str">
        <f>IFERROR(AVERAGEIFS('Picarro Output'!G:G, 'Picarro Output'!$B:$B, 'Uncalibrated Data'!$C1860, 'Picarro Output'!$I:$I, 0, 'Picarro Output'!$J:$J, 1), "")</f>
        <v/>
      </c>
    </row>
    <row r="1861" spans="2:5" x14ac:dyDescent="0.45">
      <c r="B1861" s="1"/>
      <c r="E1861" s="45" t="str">
        <f>IFERROR(AVERAGEIFS('Picarro Output'!G:G, 'Picarro Output'!$B:$B, 'Uncalibrated Data'!$C1861, 'Picarro Output'!$I:$I, 0, 'Picarro Output'!$J:$J, 1), "")</f>
        <v/>
      </c>
    </row>
    <row r="1862" spans="2:5" x14ac:dyDescent="0.45">
      <c r="B1862" s="1"/>
      <c r="E1862" s="45" t="str">
        <f>IFERROR(AVERAGEIFS('Picarro Output'!G:G, 'Picarro Output'!$B:$B, 'Uncalibrated Data'!$C1862, 'Picarro Output'!$I:$I, 0, 'Picarro Output'!$J:$J, 1), "")</f>
        <v/>
      </c>
    </row>
    <row r="1863" spans="2:5" x14ac:dyDescent="0.45">
      <c r="B1863" s="1"/>
      <c r="E1863" s="45" t="str">
        <f>IFERROR(AVERAGEIFS('Picarro Output'!G:G, 'Picarro Output'!$B:$B, 'Uncalibrated Data'!$C1863, 'Picarro Output'!$I:$I, 0, 'Picarro Output'!$J:$J, 1), "")</f>
        <v/>
      </c>
    </row>
    <row r="1864" spans="2:5" x14ac:dyDescent="0.45">
      <c r="B1864" s="1"/>
      <c r="E1864" s="45" t="str">
        <f>IFERROR(AVERAGEIFS('Picarro Output'!G:G, 'Picarro Output'!$B:$B, 'Uncalibrated Data'!$C1864, 'Picarro Output'!$I:$I, 0, 'Picarro Output'!$J:$J, 1), "")</f>
        <v/>
      </c>
    </row>
    <row r="1865" spans="2:5" x14ac:dyDescent="0.45">
      <c r="B1865" s="1"/>
      <c r="E1865" s="45" t="str">
        <f>IFERROR(AVERAGEIFS('Picarro Output'!G:G, 'Picarro Output'!$B:$B, 'Uncalibrated Data'!$C1865, 'Picarro Output'!$I:$I, 0, 'Picarro Output'!$J:$J, 1), "")</f>
        <v/>
      </c>
    </row>
    <row r="1866" spans="2:5" x14ac:dyDescent="0.45">
      <c r="B1866" s="1"/>
      <c r="E1866" s="45" t="str">
        <f>IFERROR(AVERAGEIFS('Picarro Output'!G:G, 'Picarro Output'!$B:$B, 'Uncalibrated Data'!$C1866, 'Picarro Output'!$I:$I, 0, 'Picarro Output'!$J:$J, 1), "")</f>
        <v/>
      </c>
    </row>
    <row r="1867" spans="2:5" x14ac:dyDescent="0.45">
      <c r="B1867" s="1"/>
      <c r="E1867" s="45" t="str">
        <f>IFERROR(AVERAGEIFS('Picarro Output'!G:G, 'Picarro Output'!$B:$B, 'Uncalibrated Data'!$C1867, 'Picarro Output'!$I:$I, 0, 'Picarro Output'!$J:$J, 1), "")</f>
        <v/>
      </c>
    </row>
    <row r="1868" spans="2:5" x14ac:dyDescent="0.45">
      <c r="B1868" s="1"/>
      <c r="E1868" s="45" t="str">
        <f>IFERROR(AVERAGEIFS('Picarro Output'!G:G, 'Picarro Output'!$B:$B, 'Uncalibrated Data'!$C1868, 'Picarro Output'!$I:$I, 0, 'Picarro Output'!$J:$J, 1), "")</f>
        <v/>
      </c>
    </row>
    <row r="1869" spans="2:5" x14ac:dyDescent="0.45">
      <c r="B1869" s="1"/>
      <c r="E1869" s="45" t="str">
        <f>IFERROR(AVERAGEIFS('Picarro Output'!G:G, 'Picarro Output'!$B:$B, 'Uncalibrated Data'!$C1869, 'Picarro Output'!$I:$I, 0, 'Picarro Output'!$J:$J, 1), "")</f>
        <v/>
      </c>
    </row>
    <row r="1870" spans="2:5" x14ac:dyDescent="0.45">
      <c r="B1870" s="1"/>
      <c r="E1870" s="45" t="str">
        <f>IFERROR(AVERAGEIFS('Picarro Output'!G:G, 'Picarro Output'!$B:$B, 'Uncalibrated Data'!$C1870, 'Picarro Output'!$I:$I, 0, 'Picarro Output'!$J:$J, 1), "")</f>
        <v/>
      </c>
    </row>
    <row r="1871" spans="2:5" x14ac:dyDescent="0.45">
      <c r="B1871" s="1"/>
      <c r="E1871" s="45" t="str">
        <f>IFERROR(AVERAGEIFS('Picarro Output'!G:G, 'Picarro Output'!$B:$B, 'Uncalibrated Data'!$C1871, 'Picarro Output'!$I:$I, 0, 'Picarro Output'!$J:$J, 1), "")</f>
        <v/>
      </c>
    </row>
    <row r="1872" spans="2:5" x14ac:dyDescent="0.45">
      <c r="B1872" s="1"/>
      <c r="E1872" s="45" t="str">
        <f>IFERROR(AVERAGEIFS('Picarro Output'!G:G, 'Picarro Output'!$B:$B, 'Uncalibrated Data'!$C1872, 'Picarro Output'!$I:$I, 0, 'Picarro Output'!$J:$J, 1), "")</f>
        <v/>
      </c>
    </row>
    <row r="1873" spans="2:5" x14ac:dyDescent="0.45">
      <c r="B1873" s="1"/>
      <c r="E1873" s="45" t="str">
        <f>IFERROR(AVERAGEIFS('Picarro Output'!G:G, 'Picarro Output'!$B:$B, 'Uncalibrated Data'!$C1873, 'Picarro Output'!$I:$I, 0, 'Picarro Output'!$J:$J, 1), "")</f>
        <v/>
      </c>
    </row>
    <row r="1874" spans="2:5" x14ac:dyDescent="0.45">
      <c r="B1874" s="1"/>
      <c r="E1874" s="45" t="str">
        <f>IFERROR(AVERAGEIFS('Picarro Output'!G:G, 'Picarro Output'!$B:$B, 'Uncalibrated Data'!$C1874, 'Picarro Output'!$I:$I, 0, 'Picarro Output'!$J:$J, 1), "")</f>
        <v/>
      </c>
    </row>
    <row r="1875" spans="2:5" x14ac:dyDescent="0.45">
      <c r="B1875" s="1"/>
      <c r="E1875" s="45" t="str">
        <f>IFERROR(AVERAGEIFS('Picarro Output'!G:G, 'Picarro Output'!$B:$B, 'Uncalibrated Data'!$C1875, 'Picarro Output'!$I:$I, 0, 'Picarro Output'!$J:$J, 1), "")</f>
        <v/>
      </c>
    </row>
    <row r="1876" spans="2:5" x14ac:dyDescent="0.45">
      <c r="B1876" s="1"/>
      <c r="E1876" s="45" t="str">
        <f>IFERROR(AVERAGEIFS('Picarro Output'!G:G, 'Picarro Output'!$B:$B, 'Uncalibrated Data'!$C1876, 'Picarro Output'!$I:$I, 0, 'Picarro Output'!$J:$J, 1), "")</f>
        <v/>
      </c>
    </row>
    <row r="1877" spans="2:5" x14ac:dyDescent="0.45">
      <c r="B1877" s="1"/>
      <c r="E1877" s="45" t="str">
        <f>IFERROR(AVERAGEIFS('Picarro Output'!G:G, 'Picarro Output'!$B:$B, 'Uncalibrated Data'!$C1877, 'Picarro Output'!$I:$I, 0, 'Picarro Output'!$J:$J, 1), "")</f>
        <v/>
      </c>
    </row>
    <row r="1878" spans="2:5" x14ac:dyDescent="0.45">
      <c r="B1878" s="1"/>
      <c r="E1878" s="45" t="str">
        <f>IFERROR(AVERAGEIFS('Picarro Output'!G:G, 'Picarro Output'!$B:$B, 'Uncalibrated Data'!$C1878, 'Picarro Output'!$I:$I, 0, 'Picarro Output'!$J:$J, 1), "")</f>
        <v/>
      </c>
    </row>
    <row r="1879" spans="2:5" x14ac:dyDescent="0.45">
      <c r="B1879" s="1"/>
      <c r="E1879" s="45" t="str">
        <f>IFERROR(AVERAGEIFS('Picarro Output'!G:G, 'Picarro Output'!$B:$B, 'Uncalibrated Data'!$C1879, 'Picarro Output'!$I:$I, 0, 'Picarro Output'!$J:$J, 1), "")</f>
        <v/>
      </c>
    </row>
    <row r="1880" spans="2:5" x14ac:dyDescent="0.45">
      <c r="B1880" s="1"/>
      <c r="E1880" s="45" t="str">
        <f>IFERROR(AVERAGEIFS('Picarro Output'!G:G, 'Picarro Output'!$B:$B, 'Uncalibrated Data'!$C1880, 'Picarro Output'!$I:$I, 0, 'Picarro Output'!$J:$J, 1), "")</f>
        <v/>
      </c>
    </row>
    <row r="1881" spans="2:5" x14ac:dyDescent="0.45">
      <c r="B1881" s="1"/>
      <c r="E1881" s="45" t="str">
        <f>IFERROR(AVERAGEIFS('Picarro Output'!G:G, 'Picarro Output'!$B:$B, 'Uncalibrated Data'!$C1881, 'Picarro Output'!$I:$I, 0, 'Picarro Output'!$J:$J, 1), "")</f>
        <v/>
      </c>
    </row>
    <row r="1882" spans="2:5" x14ac:dyDescent="0.45">
      <c r="B1882" s="1"/>
      <c r="E1882" s="45" t="str">
        <f>IFERROR(AVERAGEIFS('Picarro Output'!G:G, 'Picarro Output'!$B:$B, 'Uncalibrated Data'!$C1882, 'Picarro Output'!$I:$I, 0, 'Picarro Output'!$J:$J, 1), "")</f>
        <v/>
      </c>
    </row>
    <row r="1883" spans="2:5" x14ac:dyDescent="0.45">
      <c r="B1883" s="1"/>
      <c r="E1883" s="45" t="str">
        <f>IFERROR(AVERAGEIFS('Picarro Output'!G:G, 'Picarro Output'!$B:$B, 'Uncalibrated Data'!$C1883, 'Picarro Output'!$I:$I, 0, 'Picarro Output'!$J:$J, 1), "")</f>
        <v/>
      </c>
    </row>
    <row r="1884" spans="2:5" x14ac:dyDescent="0.45">
      <c r="B1884" s="1"/>
      <c r="E1884" s="45" t="str">
        <f>IFERROR(AVERAGEIFS('Picarro Output'!G:G, 'Picarro Output'!$B:$B, 'Uncalibrated Data'!$C1884, 'Picarro Output'!$I:$I, 0, 'Picarro Output'!$J:$J, 1), "")</f>
        <v/>
      </c>
    </row>
    <row r="1885" spans="2:5" x14ac:dyDescent="0.45">
      <c r="B1885" s="1"/>
      <c r="E1885" s="45" t="str">
        <f>IFERROR(AVERAGEIFS('Picarro Output'!G:G, 'Picarro Output'!$B:$B, 'Uncalibrated Data'!$C1885, 'Picarro Output'!$I:$I, 0, 'Picarro Output'!$J:$J, 1), "")</f>
        <v/>
      </c>
    </row>
    <row r="1886" spans="2:5" x14ac:dyDescent="0.45">
      <c r="B1886" s="1"/>
      <c r="E1886" s="45" t="str">
        <f>IFERROR(AVERAGEIFS('Picarro Output'!G:G, 'Picarro Output'!$B:$B, 'Uncalibrated Data'!$C1886, 'Picarro Output'!$I:$I, 0, 'Picarro Output'!$J:$J, 1), "")</f>
        <v/>
      </c>
    </row>
    <row r="1887" spans="2:5" x14ac:dyDescent="0.45">
      <c r="B1887" s="1"/>
      <c r="E1887" s="45" t="str">
        <f>IFERROR(AVERAGEIFS('Picarro Output'!G:G, 'Picarro Output'!$B:$B, 'Uncalibrated Data'!$C1887, 'Picarro Output'!$I:$I, 0, 'Picarro Output'!$J:$J, 1), "")</f>
        <v/>
      </c>
    </row>
    <row r="1888" spans="2:5" x14ac:dyDescent="0.45">
      <c r="B1888" s="1"/>
      <c r="E1888" s="45" t="str">
        <f>IFERROR(AVERAGEIFS('Picarro Output'!G:G, 'Picarro Output'!$B:$B, 'Uncalibrated Data'!$C1888, 'Picarro Output'!$I:$I, 0, 'Picarro Output'!$J:$J, 1), "")</f>
        <v/>
      </c>
    </row>
    <row r="1889" spans="2:5" x14ac:dyDescent="0.45">
      <c r="B1889" s="1"/>
      <c r="E1889" s="45" t="str">
        <f>IFERROR(AVERAGEIFS('Picarro Output'!G:G, 'Picarro Output'!$B:$B, 'Uncalibrated Data'!$C1889, 'Picarro Output'!$I:$I, 0, 'Picarro Output'!$J:$J, 1), "")</f>
        <v/>
      </c>
    </row>
    <row r="1890" spans="2:5" x14ac:dyDescent="0.45">
      <c r="B1890" s="1"/>
      <c r="E1890" s="45" t="str">
        <f>IFERROR(AVERAGEIFS('Picarro Output'!G:G, 'Picarro Output'!$B:$B, 'Uncalibrated Data'!$C1890, 'Picarro Output'!$I:$I, 0, 'Picarro Output'!$J:$J, 1), "")</f>
        <v/>
      </c>
    </row>
    <row r="1891" spans="2:5" x14ac:dyDescent="0.45">
      <c r="B1891" s="1"/>
      <c r="E1891" s="45" t="str">
        <f>IFERROR(AVERAGEIFS('Picarro Output'!G:G, 'Picarro Output'!$B:$B, 'Uncalibrated Data'!$C1891, 'Picarro Output'!$I:$I, 0, 'Picarro Output'!$J:$J, 1), "")</f>
        <v/>
      </c>
    </row>
    <row r="1892" spans="2:5" x14ac:dyDescent="0.45">
      <c r="B1892" s="1"/>
      <c r="E1892" s="45" t="str">
        <f>IFERROR(AVERAGEIFS('Picarro Output'!G:G, 'Picarro Output'!$B:$B, 'Uncalibrated Data'!$C1892, 'Picarro Output'!$I:$I, 0, 'Picarro Output'!$J:$J, 1), "")</f>
        <v/>
      </c>
    </row>
    <row r="1893" spans="2:5" x14ac:dyDescent="0.45">
      <c r="B1893" s="1"/>
      <c r="E1893" s="45" t="str">
        <f>IFERROR(AVERAGEIFS('Picarro Output'!G:G, 'Picarro Output'!$B:$B, 'Uncalibrated Data'!$C1893, 'Picarro Output'!$I:$I, 0, 'Picarro Output'!$J:$J, 1), "")</f>
        <v/>
      </c>
    </row>
    <row r="1894" spans="2:5" x14ac:dyDescent="0.45">
      <c r="B1894" s="1"/>
      <c r="E1894" s="45" t="str">
        <f>IFERROR(AVERAGEIFS('Picarro Output'!G:G, 'Picarro Output'!$B:$B, 'Uncalibrated Data'!$C1894, 'Picarro Output'!$I:$I, 0, 'Picarro Output'!$J:$J, 1), "")</f>
        <v/>
      </c>
    </row>
    <row r="1895" spans="2:5" x14ac:dyDescent="0.45">
      <c r="B1895" s="1"/>
      <c r="E1895" s="45" t="str">
        <f>IFERROR(AVERAGEIFS('Picarro Output'!G:G, 'Picarro Output'!$B:$B, 'Uncalibrated Data'!$C1895, 'Picarro Output'!$I:$I, 0, 'Picarro Output'!$J:$J, 1), "")</f>
        <v/>
      </c>
    </row>
    <row r="1896" spans="2:5" x14ac:dyDescent="0.45">
      <c r="B1896" s="1"/>
      <c r="E1896" s="45" t="str">
        <f>IFERROR(AVERAGEIFS('Picarro Output'!G:G, 'Picarro Output'!$B:$B, 'Uncalibrated Data'!$C1896, 'Picarro Output'!$I:$I, 0, 'Picarro Output'!$J:$J, 1), "")</f>
        <v/>
      </c>
    </row>
    <row r="1897" spans="2:5" x14ac:dyDescent="0.45">
      <c r="B1897" s="1"/>
      <c r="E1897" s="45" t="str">
        <f>IFERROR(AVERAGEIFS('Picarro Output'!G:G, 'Picarro Output'!$B:$B, 'Uncalibrated Data'!$C1897, 'Picarro Output'!$I:$I, 0, 'Picarro Output'!$J:$J, 1), "")</f>
        <v/>
      </c>
    </row>
    <row r="1898" spans="2:5" x14ac:dyDescent="0.45">
      <c r="B1898" s="1"/>
      <c r="E1898" s="45" t="str">
        <f>IFERROR(AVERAGEIFS('Picarro Output'!G:G, 'Picarro Output'!$B:$B, 'Uncalibrated Data'!$C1898, 'Picarro Output'!$I:$I, 0, 'Picarro Output'!$J:$J, 1), "")</f>
        <v/>
      </c>
    </row>
    <row r="1899" spans="2:5" x14ac:dyDescent="0.45">
      <c r="B1899" s="1"/>
      <c r="E1899" s="45" t="str">
        <f>IFERROR(AVERAGEIFS('Picarro Output'!G:G, 'Picarro Output'!$B:$B, 'Uncalibrated Data'!$C1899, 'Picarro Output'!$I:$I, 0, 'Picarro Output'!$J:$J, 1), "")</f>
        <v/>
      </c>
    </row>
    <row r="1900" spans="2:5" x14ac:dyDescent="0.45">
      <c r="B1900" s="1"/>
      <c r="E1900" s="45" t="str">
        <f>IFERROR(AVERAGEIFS('Picarro Output'!G:G, 'Picarro Output'!$B:$B, 'Uncalibrated Data'!$C1900, 'Picarro Output'!$I:$I, 0, 'Picarro Output'!$J:$J, 1), "")</f>
        <v/>
      </c>
    </row>
    <row r="1901" spans="2:5" x14ac:dyDescent="0.45">
      <c r="B1901" s="1"/>
      <c r="E1901" s="45" t="str">
        <f>IFERROR(AVERAGEIFS('Picarro Output'!G:G, 'Picarro Output'!$B:$B, 'Uncalibrated Data'!$C1901, 'Picarro Output'!$I:$I, 0, 'Picarro Output'!$J:$J, 1), "")</f>
        <v/>
      </c>
    </row>
    <row r="1902" spans="2:5" x14ac:dyDescent="0.45">
      <c r="B1902" s="1"/>
      <c r="E1902" s="45" t="str">
        <f>IFERROR(AVERAGEIFS('Picarro Output'!G:G, 'Picarro Output'!$B:$B, 'Uncalibrated Data'!$C1902, 'Picarro Output'!$I:$I, 0, 'Picarro Output'!$J:$J, 1), "")</f>
        <v/>
      </c>
    </row>
    <row r="1903" spans="2:5" x14ac:dyDescent="0.45">
      <c r="B1903" s="1"/>
      <c r="E1903" s="45" t="str">
        <f>IFERROR(AVERAGEIFS('Picarro Output'!G:G, 'Picarro Output'!$B:$B, 'Uncalibrated Data'!$C1903, 'Picarro Output'!$I:$I, 0, 'Picarro Output'!$J:$J, 1), "")</f>
        <v/>
      </c>
    </row>
    <row r="1904" spans="2:5" x14ac:dyDescent="0.45">
      <c r="B1904" s="1"/>
      <c r="E1904" s="45" t="str">
        <f>IFERROR(AVERAGEIFS('Picarro Output'!G:G, 'Picarro Output'!$B:$B, 'Uncalibrated Data'!$C1904, 'Picarro Output'!$I:$I, 0, 'Picarro Output'!$J:$J, 1), "")</f>
        <v/>
      </c>
    </row>
    <row r="1905" spans="2:5" x14ac:dyDescent="0.45">
      <c r="B1905" s="1"/>
      <c r="E1905" s="45" t="str">
        <f>IFERROR(AVERAGEIFS('Picarro Output'!G:G, 'Picarro Output'!$B:$B, 'Uncalibrated Data'!$C1905, 'Picarro Output'!$I:$I, 0, 'Picarro Output'!$J:$J, 1), "")</f>
        <v/>
      </c>
    </row>
    <row r="1906" spans="2:5" x14ac:dyDescent="0.45">
      <c r="B1906" s="1"/>
      <c r="E1906" s="45" t="str">
        <f>IFERROR(AVERAGEIFS('Picarro Output'!G:G, 'Picarro Output'!$B:$B, 'Uncalibrated Data'!$C1906, 'Picarro Output'!$I:$I, 0, 'Picarro Output'!$J:$J, 1), "")</f>
        <v/>
      </c>
    </row>
    <row r="1907" spans="2:5" x14ac:dyDescent="0.45">
      <c r="B1907" s="1"/>
      <c r="E1907" s="45" t="str">
        <f>IFERROR(AVERAGEIFS('Picarro Output'!G:G, 'Picarro Output'!$B:$B, 'Uncalibrated Data'!$C1907, 'Picarro Output'!$I:$I, 0, 'Picarro Output'!$J:$J, 1), "")</f>
        <v/>
      </c>
    </row>
    <row r="1908" spans="2:5" x14ac:dyDescent="0.45">
      <c r="B1908" s="1"/>
      <c r="E1908" s="45" t="str">
        <f>IFERROR(AVERAGEIFS('Picarro Output'!G:G, 'Picarro Output'!$B:$B, 'Uncalibrated Data'!$C1908, 'Picarro Output'!$I:$I, 0, 'Picarro Output'!$J:$J, 1), "")</f>
        <v/>
      </c>
    </row>
    <row r="1909" spans="2:5" x14ac:dyDescent="0.45">
      <c r="B1909" s="1"/>
      <c r="E1909" s="45" t="str">
        <f>IFERROR(AVERAGEIFS('Picarro Output'!G:G, 'Picarro Output'!$B:$B, 'Uncalibrated Data'!$C1909, 'Picarro Output'!$I:$I, 0, 'Picarro Output'!$J:$J, 1), "")</f>
        <v/>
      </c>
    </row>
    <row r="1910" spans="2:5" x14ac:dyDescent="0.45">
      <c r="B1910" s="1"/>
      <c r="E1910" s="45" t="str">
        <f>IFERROR(AVERAGEIFS('Picarro Output'!G:G, 'Picarro Output'!$B:$B, 'Uncalibrated Data'!$C1910, 'Picarro Output'!$I:$I, 0, 'Picarro Output'!$J:$J, 1), "")</f>
        <v/>
      </c>
    </row>
    <row r="1911" spans="2:5" x14ac:dyDescent="0.45">
      <c r="B1911" s="1"/>
      <c r="E1911" s="45" t="str">
        <f>IFERROR(AVERAGEIFS('Picarro Output'!G:G, 'Picarro Output'!$B:$B, 'Uncalibrated Data'!$C1911, 'Picarro Output'!$I:$I, 0, 'Picarro Output'!$J:$J, 1), "")</f>
        <v/>
      </c>
    </row>
    <row r="1912" spans="2:5" x14ac:dyDescent="0.45">
      <c r="B1912" s="1"/>
      <c r="E1912" s="45" t="str">
        <f>IFERROR(AVERAGEIFS('Picarro Output'!G:G, 'Picarro Output'!$B:$B, 'Uncalibrated Data'!$C1912, 'Picarro Output'!$I:$I, 0, 'Picarro Output'!$J:$J, 1), "")</f>
        <v/>
      </c>
    </row>
    <row r="1913" spans="2:5" x14ac:dyDescent="0.45">
      <c r="B1913" s="1"/>
      <c r="E1913" s="45" t="str">
        <f>IFERROR(AVERAGEIFS('Picarro Output'!G:G, 'Picarro Output'!$B:$B, 'Uncalibrated Data'!$C1913, 'Picarro Output'!$I:$I, 0, 'Picarro Output'!$J:$J, 1), "")</f>
        <v/>
      </c>
    </row>
    <row r="1914" spans="2:5" x14ac:dyDescent="0.45">
      <c r="B1914" s="1"/>
      <c r="E1914" s="45" t="str">
        <f>IFERROR(AVERAGEIFS('Picarro Output'!G:G, 'Picarro Output'!$B:$B, 'Uncalibrated Data'!$C1914, 'Picarro Output'!$I:$I, 0, 'Picarro Output'!$J:$J, 1), "")</f>
        <v/>
      </c>
    </row>
    <row r="1915" spans="2:5" x14ac:dyDescent="0.45">
      <c r="B1915" s="1"/>
      <c r="E1915" s="45" t="str">
        <f>IFERROR(AVERAGEIFS('Picarro Output'!G:G, 'Picarro Output'!$B:$B, 'Uncalibrated Data'!$C1915, 'Picarro Output'!$I:$I, 0, 'Picarro Output'!$J:$J, 1), "")</f>
        <v/>
      </c>
    </row>
    <row r="1916" spans="2:5" x14ac:dyDescent="0.45">
      <c r="B1916" s="1"/>
      <c r="E1916" s="45" t="str">
        <f>IFERROR(AVERAGEIFS('Picarro Output'!G:G, 'Picarro Output'!$B:$B, 'Uncalibrated Data'!$C1916, 'Picarro Output'!$I:$I, 0, 'Picarro Output'!$J:$J, 1), "")</f>
        <v/>
      </c>
    </row>
    <row r="1917" spans="2:5" x14ac:dyDescent="0.45">
      <c r="B1917" s="1"/>
      <c r="E1917" s="45" t="str">
        <f>IFERROR(AVERAGEIFS('Picarro Output'!G:G, 'Picarro Output'!$B:$B, 'Uncalibrated Data'!$C1917, 'Picarro Output'!$I:$I, 0, 'Picarro Output'!$J:$J, 1), "")</f>
        <v/>
      </c>
    </row>
    <row r="1918" spans="2:5" x14ac:dyDescent="0.45">
      <c r="B1918" s="1"/>
      <c r="E1918" s="45" t="str">
        <f>IFERROR(AVERAGEIFS('Picarro Output'!G:G, 'Picarro Output'!$B:$B, 'Uncalibrated Data'!$C1918, 'Picarro Output'!$I:$I, 0, 'Picarro Output'!$J:$J, 1), "")</f>
        <v/>
      </c>
    </row>
    <row r="1919" spans="2:5" x14ac:dyDescent="0.45">
      <c r="B1919" s="1"/>
      <c r="E1919" s="45" t="str">
        <f>IFERROR(AVERAGEIFS('Picarro Output'!G:G, 'Picarro Output'!$B:$B, 'Uncalibrated Data'!$C1919, 'Picarro Output'!$I:$I, 0, 'Picarro Output'!$J:$J, 1), "")</f>
        <v/>
      </c>
    </row>
    <row r="1920" spans="2:5" x14ac:dyDescent="0.45">
      <c r="B1920" s="1"/>
      <c r="E1920" s="45" t="str">
        <f>IFERROR(AVERAGEIFS('Picarro Output'!G:G, 'Picarro Output'!$B:$B, 'Uncalibrated Data'!$C1920, 'Picarro Output'!$I:$I, 0, 'Picarro Output'!$J:$J, 1), "")</f>
        <v/>
      </c>
    </row>
    <row r="1921" spans="2:5" x14ac:dyDescent="0.45">
      <c r="B1921" s="1"/>
      <c r="E1921" s="45" t="str">
        <f>IFERROR(AVERAGEIFS('Picarro Output'!G:G, 'Picarro Output'!$B:$B, 'Uncalibrated Data'!$C1921, 'Picarro Output'!$I:$I, 0, 'Picarro Output'!$J:$J, 1), "")</f>
        <v/>
      </c>
    </row>
    <row r="1922" spans="2:5" x14ac:dyDescent="0.45">
      <c r="B1922" s="1"/>
      <c r="E1922" s="45" t="str">
        <f>IFERROR(AVERAGEIFS('Picarro Output'!G:G, 'Picarro Output'!$B:$B, 'Uncalibrated Data'!$C1922, 'Picarro Output'!$I:$I, 0, 'Picarro Output'!$J:$J, 1), "")</f>
        <v/>
      </c>
    </row>
    <row r="1923" spans="2:5" x14ac:dyDescent="0.45">
      <c r="B1923" s="1"/>
      <c r="E1923" s="45" t="str">
        <f>IFERROR(AVERAGEIFS('Picarro Output'!G:G, 'Picarro Output'!$B:$B, 'Uncalibrated Data'!$C1923, 'Picarro Output'!$I:$I, 0, 'Picarro Output'!$J:$J, 1), "")</f>
        <v/>
      </c>
    </row>
    <row r="1924" spans="2:5" x14ac:dyDescent="0.45">
      <c r="B1924" s="1"/>
      <c r="E1924" s="45" t="str">
        <f>IFERROR(AVERAGEIFS('Picarro Output'!G:G, 'Picarro Output'!$B:$B, 'Uncalibrated Data'!$C1924, 'Picarro Output'!$I:$I, 0, 'Picarro Output'!$J:$J, 1), "")</f>
        <v/>
      </c>
    </row>
    <row r="1925" spans="2:5" x14ac:dyDescent="0.45">
      <c r="B1925" s="1"/>
      <c r="E1925" s="45" t="str">
        <f>IFERROR(AVERAGEIFS('Picarro Output'!G:G, 'Picarro Output'!$B:$B, 'Uncalibrated Data'!$C1925, 'Picarro Output'!$I:$I, 0, 'Picarro Output'!$J:$J, 1), "")</f>
        <v/>
      </c>
    </row>
    <row r="1926" spans="2:5" x14ac:dyDescent="0.45">
      <c r="B1926" s="1"/>
      <c r="E1926" s="45" t="str">
        <f>IFERROR(AVERAGEIFS('Picarro Output'!G:G, 'Picarro Output'!$B:$B, 'Uncalibrated Data'!$C1926, 'Picarro Output'!$I:$I, 0, 'Picarro Output'!$J:$J, 1), "")</f>
        <v/>
      </c>
    </row>
    <row r="1927" spans="2:5" x14ac:dyDescent="0.45">
      <c r="B1927" s="1"/>
      <c r="E1927" s="45" t="str">
        <f>IFERROR(AVERAGEIFS('Picarro Output'!G:G, 'Picarro Output'!$B:$B, 'Uncalibrated Data'!$C1927, 'Picarro Output'!$I:$I, 0, 'Picarro Output'!$J:$J, 1), "")</f>
        <v/>
      </c>
    </row>
    <row r="1928" spans="2:5" x14ac:dyDescent="0.45">
      <c r="B1928" s="1"/>
      <c r="E1928" s="45" t="str">
        <f>IFERROR(AVERAGEIFS('Picarro Output'!G:G, 'Picarro Output'!$B:$B, 'Uncalibrated Data'!$C1928, 'Picarro Output'!$I:$I, 0, 'Picarro Output'!$J:$J, 1), "")</f>
        <v/>
      </c>
    </row>
    <row r="1929" spans="2:5" x14ac:dyDescent="0.45">
      <c r="B1929" s="1"/>
      <c r="E1929" s="45" t="str">
        <f>IFERROR(AVERAGEIFS('Picarro Output'!G:G, 'Picarro Output'!$B:$B, 'Uncalibrated Data'!$C1929, 'Picarro Output'!$I:$I, 0, 'Picarro Output'!$J:$J, 1), "")</f>
        <v/>
      </c>
    </row>
    <row r="1930" spans="2:5" x14ac:dyDescent="0.45">
      <c r="B1930" s="1"/>
      <c r="E1930" s="45" t="str">
        <f>IFERROR(AVERAGEIFS('Picarro Output'!G:G, 'Picarro Output'!$B:$B, 'Uncalibrated Data'!$C1930, 'Picarro Output'!$I:$I, 0, 'Picarro Output'!$J:$J, 1), "")</f>
        <v/>
      </c>
    </row>
    <row r="1931" spans="2:5" x14ac:dyDescent="0.45">
      <c r="B1931" s="1"/>
      <c r="E1931" s="45" t="str">
        <f>IFERROR(AVERAGEIFS('Picarro Output'!G:G, 'Picarro Output'!$B:$B, 'Uncalibrated Data'!$C1931, 'Picarro Output'!$I:$I, 0, 'Picarro Output'!$J:$J, 1), "")</f>
        <v/>
      </c>
    </row>
    <row r="1932" spans="2:5" x14ac:dyDescent="0.45">
      <c r="B1932" s="1"/>
      <c r="E1932" s="45" t="str">
        <f>IFERROR(AVERAGEIFS('Picarro Output'!G:G, 'Picarro Output'!$B:$B, 'Uncalibrated Data'!$C1932, 'Picarro Output'!$I:$I, 0, 'Picarro Output'!$J:$J, 1), "")</f>
        <v/>
      </c>
    </row>
    <row r="1933" spans="2:5" x14ac:dyDescent="0.45">
      <c r="B1933" s="1"/>
      <c r="E1933" s="45" t="str">
        <f>IFERROR(AVERAGEIFS('Picarro Output'!G:G, 'Picarro Output'!$B:$B, 'Uncalibrated Data'!$C1933, 'Picarro Output'!$I:$I, 0, 'Picarro Output'!$J:$J, 1), "")</f>
        <v/>
      </c>
    </row>
    <row r="1934" spans="2:5" x14ac:dyDescent="0.45">
      <c r="B1934" s="1"/>
      <c r="E1934" s="45" t="str">
        <f>IFERROR(AVERAGEIFS('Picarro Output'!G:G, 'Picarro Output'!$B:$B, 'Uncalibrated Data'!$C1934, 'Picarro Output'!$I:$I, 0, 'Picarro Output'!$J:$J, 1), "")</f>
        <v/>
      </c>
    </row>
    <row r="1935" spans="2:5" x14ac:dyDescent="0.45">
      <c r="B1935" s="1"/>
      <c r="E1935" s="45" t="str">
        <f>IFERROR(AVERAGEIFS('Picarro Output'!G:G, 'Picarro Output'!$B:$B, 'Uncalibrated Data'!$C1935, 'Picarro Output'!$I:$I, 0, 'Picarro Output'!$J:$J, 1), "")</f>
        <v/>
      </c>
    </row>
    <row r="1936" spans="2:5" x14ac:dyDescent="0.45">
      <c r="B1936" s="1"/>
      <c r="E1936" s="45" t="str">
        <f>IFERROR(AVERAGEIFS('Picarro Output'!G:G, 'Picarro Output'!$B:$B, 'Uncalibrated Data'!$C1936, 'Picarro Output'!$I:$I, 0, 'Picarro Output'!$J:$J, 1), "")</f>
        <v/>
      </c>
    </row>
    <row r="1937" spans="2:5" x14ac:dyDescent="0.45">
      <c r="B1937" s="1"/>
      <c r="E1937" s="45" t="str">
        <f>IFERROR(AVERAGEIFS('Picarro Output'!G:G, 'Picarro Output'!$B:$B, 'Uncalibrated Data'!$C1937, 'Picarro Output'!$I:$I, 0, 'Picarro Output'!$J:$J, 1), "")</f>
        <v/>
      </c>
    </row>
    <row r="1938" spans="2:5" x14ac:dyDescent="0.45">
      <c r="B1938" s="1"/>
      <c r="E1938" s="45" t="str">
        <f>IFERROR(AVERAGEIFS('Picarro Output'!G:G, 'Picarro Output'!$B:$B, 'Uncalibrated Data'!$C1938, 'Picarro Output'!$I:$I, 0, 'Picarro Output'!$J:$J, 1), "")</f>
        <v/>
      </c>
    </row>
    <row r="1939" spans="2:5" x14ac:dyDescent="0.45">
      <c r="B1939" s="1"/>
      <c r="E1939" s="45" t="str">
        <f>IFERROR(AVERAGEIFS('Picarro Output'!G:G, 'Picarro Output'!$B:$B, 'Uncalibrated Data'!$C1939, 'Picarro Output'!$I:$I, 0, 'Picarro Output'!$J:$J, 1), "")</f>
        <v/>
      </c>
    </row>
    <row r="1940" spans="2:5" x14ac:dyDescent="0.45">
      <c r="B1940" s="1"/>
      <c r="E1940" s="45" t="str">
        <f>IFERROR(AVERAGEIFS('Picarro Output'!G:G, 'Picarro Output'!$B:$B, 'Uncalibrated Data'!$C1940, 'Picarro Output'!$I:$I, 0, 'Picarro Output'!$J:$J, 1), "")</f>
        <v/>
      </c>
    </row>
    <row r="1941" spans="2:5" x14ac:dyDescent="0.45">
      <c r="B1941" s="1"/>
      <c r="E1941" s="45" t="str">
        <f>IFERROR(AVERAGEIFS('Picarro Output'!G:G, 'Picarro Output'!$B:$B, 'Uncalibrated Data'!$C1941, 'Picarro Output'!$I:$I, 0, 'Picarro Output'!$J:$J, 1), "")</f>
        <v/>
      </c>
    </row>
    <row r="1942" spans="2:5" x14ac:dyDescent="0.45">
      <c r="B1942" s="1"/>
      <c r="E1942" s="45" t="str">
        <f>IFERROR(AVERAGEIFS('Picarro Output'!G:G, 'Picarro Output'!$B:$B, 'Uncalibrated Data'!$C1942, 'Picarro Output'!$I:$I, 0, 'Picarro Output'!$J:$J, 1), "")</f>
        <v/>
      </c>
    </row>
    <row r="1943" spans="2:5" x14ac:dyDescent="0.45">
      <c r="B1943" s="1"/>
      <c r="E1943" s="45" t="str">
        <f>IFERROR(AVERAGEIFS('Picarro Output'!G:G, 'Picarro Output'!$B:$B, 'Uncalibrated Data'!$C1943, 'Picarro Output'!$I:$I, 0, 'Picarro Output'!$J:$J, 1), "")</f>
        <v/>
      </c>
    </row>
    <row r="1944" spans="2:5" x14ac:dyDescent="0.45">
      <c r="B1944" s="1"/>
      <c r="E1944" s="45" t="str">
        <f>IFERROR(AVERAGEIFS('Picarro Output'!G:G, 'Picarro Output'!$B:$B, 'Uncalibrated Data'!$C1944, 'Picarro Output'!$I:$I, 0, 'Picarro Output'!$J:$J, 1), "")</f>
        <v/>
      </c>
    </row>
    <row r="1945" spans="2:5" x14ac:dyDescent="0.45">
      <c r="B1945" s="1"/>
      <c r="E1945" s="45" t="str">
        <f>IFERROR(AVERAGEIFS('Picarro Output'!G:G, 'Picarro Output'!$B:$B, 'Uncalibrated Data'!$C1945, 'Picarro Output'!$I:$I, 0, 'Picarro Output'!$J:$J, 1), "")</f>
        <v/>
      </c>
    </row>
    <row r="1946" spans="2:5" x14ac:dyDescent="0.45">
      <c r="B1946" s="1"/>
      <c r="E1946" s="45" t="str">
        <f>IFERROR(AVERAGEIFS('Picarro Output'!G:G, 'Picarro Output'!$B:$B, 'Uncalibrated Data'!$C1946, 'Picarro Output'!$I:$I, 0, 'Picarro Output'!$J:$J, 1), "")</f>
        <v/>
      </c>
    </row>
    <row r="1947" spans="2:5" x14ac:dyDescent="0.45">
      <c r="B1947" s="1"/>
      <c r="E1947" s="45" t="str">
        <f>IFERROR(AVERAGEIFS('Picarro Output'!G:G, 'Picarro Output'!$B:$B, 'Uncalibrated Data'!$C1947, 'Picarro Output'!$I:$I, 0, 'Picarro Output'!$J:$J, 1), "")</f>
        <v/>
      </c>
    </row>
    <row r="1948" spans="2:5" x14ac:dyDescent="0.45">
      <c r="B1948" s="1"/>
      <c r="E1948" s="45" t="str">
        <f>IFERROR(AVERAGEIFS('Picarro Output'!G:G, 'Picarro Output'!$B:$B, 'Uncalibrated Data'!$C1948, 'Picarro Output'!$I:$I, 0, 'Picarro Output'!$J:$J, 1), "")</f>
        <v/>
      </c>
    </row>
    <row r="1949" spans="2:5" x14ac:dyDescent="0.45">
      <c r="B1949" s="1"/>
      <c r="E1949" s="45" t="str">
        <f>IFERROR(AVERAGEIFS('Picarro Output'!G:G, 'Picarro Output'!$B:$B, 'Uncalibrated Data'!$C1949, 'Picarro Output'!$I:$I, 0, 'Picarro Output'!$J:$J, 1), "")</f>
        <v/>
      </c>
    </row>
    <row r="1950" spans="2:5" x14ac:dyDescent="0.45">
      <c r="B1950" s="1"/>
      <c r="E1950" s="45" t="str">
        <f>IFERROR(AVERAGEIFS('Picarro Output'!G:G, 'Picarro Output'!$B:$B, 'Uncalibrated Data'!$C1950, 'Picarro Output'!$I:$I, 0, 'Picarro Output'!$J:$J, 1), "")</f>
        <v/>
      </c>
    </row>
    <row r="1951" spans="2:5" x14ac:dyDescent="0.45">
      <c r="B1951" s="1"/>
      <c r="E1951" s="45" t="str">
        <f>IFERROR(AVERAGEIFS('Picarro Output'!G:G, 'Picarro Output'!$B:$B, 'Uncalibrated Data'!$C1951, 'Picarro Output'!$I:$I, 0, 'Picarro Output'!$J:$J, 1), "")</f>
        <v/>
      </c>
    </row>
    <row r="1952" spans="2:5" x14ac:dyDescent="0.45">
      <c r="B1952" s="1"/>
      <c r="E1952" s="45" t="str">
        <f>IFERROR(AVERAGEIFS('Picarro Output'!G:G, 'Picarro Output'!$B:$B, 'Uncalibrated Data'!$C1952, 'Picarro Output'!$I:$I, 0, 'Picarro Output'!$J:$J, 1), "")</f>
        <v/>
      </c>
    </row>
    <row r="1953" spans="2:5" x14ac:dyDescent="0.45">
      <c r="B1953" s="1"/>
      <c r="E1953" s="45" t="str">
        <f>IFERROR(AVERAGEIFS('Picarro Output'!G:G, 'Picarro Output'!$B:$B, 'Uncalibrated Data'!$C1953, 'Picarro Output'!$I:$I, 0, 'Picarro Output'!$J:$J, 1), "")</f>
        <v/>
      </c>
    </row>
    <row r="1954" spans="2:5" x14ac:dyDescent="0.45">
      <c r="B1954" s="1"/>
      <c r="E1954" s="45" t="str">
        <f>IFERROR(AVERAGEIFS('Picarro Output'!G:G, 'Picarro Output'!$B:$B, 'Uncalibrated Data'!$C1954, 'Picarro Output'!$I:$I, 0, 'Picarro Output'!$J:$J, 1), "")</f>
        <v/>
      </c>
    </row>
    <row r="1955" spans="2:5" x14ac:dyDescent="0.45">
      <c r="B1955" s="1"/>
      <c r="E1955" s="45" t="str">
        <f>IFERROR(AVERAGEIFS('Picarro Output'!G:G, 'Picarro Output'!$B:$B, 'Uncalibrated Data'!$C1955, 'Picarro Output'!$I:$I, 0, 'Picarro Output'!$J:$J, 1), "")</f>
        <v/>
      </c>
    </row>
    <row r="1956" spans="2:5" x14ac:dyDescent="0.45">
      <c r="B1956" s="1"/>
      <c r="E1956" s="45" t="str">
        <f>IFERROR(AVERAGEIFS('Picarro Output'!G:G, 'Picarro Output'!$B:$B, 'Uncalibrated Data'!$C1956, 'Picarro Output'!$I:$I, 0, 'Picarro Output'!$J:$J, 1), "")</f>
        <v/>
      </c>
    </row>
    <row r="1957" spans="2:5" x14ac:dyDescent="0.45">
      <c r="B1957" s="1"/>
      <c r="E1957" s="45" t="str">
        <f>IFERROR(AVERAGEIFS('Picarro Output'!G:G, 'Picarro Output'!$B:$B, 'Uncalibrated Data'!$C1957, 'Picarro Output'!$I:$I, 0, 'Picarro Output'!$J:$J, 1), "")</f>
        <v/>
      </c>
    </row>
    <row r="1958" spans="2:5" x14ac:dyDescent="0.45">
      <c r="B1958" s="1"/>
      <c r="E1958" s="45" t="str">
        <f>IFERROR(AVERAGEIFS('Picarro Output'!G:G, 'Picarro Output'!$B:$B, 'Uncalibrated Data'!$C1958, 'Picarro Output'!$I:$I, 0, 'Picarro Output'!$J:$J, 1), "")</f>
        <v/>
      </c>
    </row>
    <row r="1959" spans="2:5" x14ac:dyDescent="0.45">
      <c r="B1959" s="1"/>
      <c r="E1959" s="45" t="str">
        <f>IFERROR(AVERAGEIFS('Picarro Output'!G:G, 'Picarro Output'!$B:$B, 'Uncalibrated Data'!$C1959, 'Picarro Output'!$I:$I, 0, 'Picarro Output'!$J:$J, 1), "")</f>
        <v/>
      </c>
    </row>
    <row r="1960" spans="2:5" x14ac:dyDescent="0.45">
      <c r="B1960" s="1"/>
      <c r="E1960" s="45" t="str">
        <f>IFERROR(AVERAGEIFS('Picarro Output'!G:G, 'Picarro Output'!$B:$B, 'Uncalibrated Data'!$C1960, 'Picarro Output'!$I:$I, 0, 'Picarro Output'!$J:$J, 1), "")</f>
        <v/>
      </c>
    </row>
    <row r="1961" spans="2:5" x14ac:dyDescent="0.45">
      <c r="B1961" s="1"/>
      <c r="E1961" s="45" t="str">
        <f>IFERROR(AVERAGEIFS('Picarro Output'!G:G, 'Picarro Output'!$B:$B, 'Uncalibrated Data'!$C1961, 'Picarro Output'!$I:$I, 0, 'Picarro Output'!$J:$J, 1), "")</f>
        <v/>
      </c>
    </row>
    <row r="1962" spans="2:5" x14ac:dyDescent="0.45">
      <c r="B1962" s="1"/>
      <c r="E1962" s="45" t="str">
        <f>IFERROR(AVERAGEIFS('Picarro Output'!G:G, 'Picarro Output'!$B:$B, 'Uncalibrated Data'!$C1962, 'Picarro Output'!$I:$I, 0, 'Picarro Output'!$J:$J, 1), "")</f>
        <v/>
      </c>
    </row>
    <row r="1963" spans="2:5" x14ac:dyDescent="0.45">
      <c r="B1963" s="1"/>
      <c r="E1963" s="45" t="str">
        <f>IFERROR(AVERAGEIFS('Picarro Output'!G:G, 'Picarro Output'!$B:$B, 'Uncalibrated Data'!$C1963, 'Picarro Output'!$I:$I, 0, 'Picarro Output'!$J:$J, 1), "")</f>
        <v/>
      </c>
    </row>
    <row r="1964" spans="2:5" x14ac:dyDescent="0.45">
      <c r="B1964" s="1"/>
      <c r="E1964" s="45" t="str">
        <f>IFERROR(AVERAGEIFS('Picarro Output'!G:G, 'Picarro Output'!$B:$B, 'Uncalibrated Data'!$C1964, 'Picarro Output'!$I:$I, 0, 'Picarro Output'!$J:$J, 1), "")</f>
        <v/>
      </c>
    </row>
    <row r="1965" spans="2:5" x14ac:dyDescent="0.45">
      <c r="B1965" s="1"/>
      <c r="E1965" s="45" t="str">
        <f>IFERROR(AVERAGEIFS('Picarro Output'!G:G, 'Picarro Output'!$B:$B, 'Uncalibrated Data'!$C1965, 'Picarro Output'!$I:$I, 0, 'Picarro Output'!$J:$J, 1), "")</f>
        <v/>
      </c>
    </row>
    <row r="1966" spans="2:5" x14ac:dyDescent="0.45">
      <c r="B1966" s="1"/>
      <c r="E1966" s="45" t="str">
        <f>IFERROR(AVERAGEIFS('Picarro Output'!G:G, 'Picarro Output'!$B:$B, 'Uncalibrated Data'!$C1966, 'Picarro Output'!$I:$I, 0, 'Picarro Output'!$J:$J, 1), "")</f>
        <v/>
      </c>
    </row>
    <row r="1967" spans="2:5" x14ac:dyDescent="0.45">
      <c r="B1967" s="1"/>
      <c r="E1967" s="45" t="str">
        <f>IFERROR(AVERAGEIFS('Picarro Output'!G:G, 'Picarro Output'!$B:$B, 'Uncalibrated Data'!$C1967, 'Picarro Output'!$I:$I, 0, 'Picarro Output'!$J:$J, 1), "")</f>
        <v/>
      </c>
    </row>
    <row r="1968" spans="2:5" x14ac:dyDescent="0.45">
      <c r="B1968" s="1"/>
      <c r="E1968" s="45" t="str">
        <f>IFERROR(AVERAGEIFS('Picarro Output'!G:G, 'Picarro Output'!$B:$B, 'Uncalibrated Data'!$C1968, 'Picarro Output'!$I:$I, 0, 'Picarro Output'!$J:$J, 1), "")</f>
        <v/>
      </c>
    </row>
    <row r="1969" spans="2:5" x14ac:dyDescent="0.45">
      <c r="B1969" s="1"/>
      <c r="E1969" s="45" t="str">
        <f>IFERROR(AVERAGEIFS('Picarro Output'!G:G, 'Picarro Output'!$B:$B, 'Uncalibrated Data'!$C1969, 'Picarro Output'!$I:$I, 0, 'Picarro Output'!$J:$J, 1), "")</f>
        <v/>
      </c>
    </row>
    <row r="1970" spans="2:5" x14ac:dyDescent="0.45">
      <c r="B1970" s="1"/>
      <c r="E1970" s="45" t="str">
        <f>IFERROR(AVERAGEIFS('Picarro Output'!G:G, 'Picarro Output'!$B:$B, 'Uncalibrated Data'!$C1970, 'Picarro Output'!$I:$I, 0, 'Picarro Output'!$J:$J, 1), "")</f>
        <v/>
      </c>
    </row>
    <row r="1971" spans="2:5" x14ac:dyDescent="0.45">
      <c r="B1971" s="1"/>
      <c r="E1971" s="45" t="str">
        <f>IFERROR(AVERAGEIFS('Picarro Output'!G:G, 'Picarro Output'!$B:$B, 'Uncalibrated Data'!$C1971, 'Picarro Output'!$I:$I, 0, 'Picarro Output'!$J:$J, 1), "")</f>
        <v/>
      </c>
    </row>
    <row r="1972" spans="2:5" x14ac:dyDescent="0.45">
      <c r="B1972" s="1"/>
      <c r="E1972" s="45" t="str">
        <f>IFERROR(AVERAGEIFS('Picarro Output'!G:G, 'Picarro Output'!$B:$B, 'Uncalibrated Data'!$C1972, 'Picarro Output'!$I:$I, 0, 'Picarro Output'!$J:$J, 1), "")</f>
        <v/>
      </c>
    </row>
    <row r="1973" spans="2:5" x14ac:dyDescent="0.45">
      <c r="B1973" s="1"/>
      <c r="E1973" s="45" t="str">
        <f>IFERROR(AVERAGEIFS('Picarro Output'!G:G, 'Picarro Output'!$B:$B, 'Uncalibrated Data'!$C1973, 'Picarro Output'!$I:$I, 0, 'Picarro Output'!$J:$J, 1), "")</f>
        <v/>
      </c>
    </row>
    <row r="1974" spans="2:5" x14ac:dyDescent="0.45">
      <c r="B1974" s="1"/>
      <c r="E1974" s="45" t="str">
        <f>IFERROR(AVERAGEIFS('Picarro Output'!G:G, 'Picarro Output'!$B:$B, 'Uncalibrated Data'!$C1974, 'Picarro Output'!$I:$I, 0, 'Picarro Output'!$J:$J, 1), "")</f>
        <v/>
      </c>
    </row>
    <row r="1975" spans="2:5" x14ac:dyDescent="0.45">
      <c r="B1975" s="1"/>
      <c r="E1975" s="45" t="str">
        <f>IFERROR(AVERAGEIFS('Picarro Output'!G:G, 'Picarro Output'!$B:$B, 'Uncalibrated Data'!$C1975, 'Picarro Output'!$I:$I, 0, 'Picarro Output'!$J:$J, 1), "")</f>
        <v/>
      </c>
    </row>
    <row r="1976" spans="2:5" x14ac:dyDescent="0.45">
      <c r="B1976" s="1"/>
      <c r="E1976" s="45" t="str">
        <f>IFERROR(AVERAGEIFS('Picarro Output'!G:G, 'Picarro Output'!$B:$B, 'Uncalibrated Data'!$C1976, 'Picarro Output'!$I:$I, 0, 'Picarro Output'!$J:$J, 1), "")</f>
        <v/>
      </c>
    </row>
    <row r="1977" spans="2:5" x14ac:dyDescent="0.45">
      <c r="B1977" s="1"/>
      <c r="E1977" s="45" t="str">
        <f>IFERROR(AVERAGEIFS('Picarro Output'!G:G, 'Picarro Output'!$B:$B, 'Uncalibrated Data'!$C1977, 'Picarro Output'!$I:$I, 0, 'Picarro Output'!$J:$J, 1), "")</f>
        <v/>
      </c>
    </row>
    <row r="1978" spans="2:5" x14ac:dyDescent="0.45">
      <c r="B1978" s="1"/>
      <c r="E1978" s="45" t="str">
        <f>IFERROR(AVERAGEIFS('Picarro Output'!G:G, 'Picarro Output'!$B:$B, 'Uncalibrated Data'!$C1978, 'Picarro Output'!$I:$I, 0, 'Picarro Output'!$J:$J, 1), "")</f>
        <v/>
      </c>
    </row>
    <row r="1979" spans="2:5" x14ac:dyDescent="0.45">
      <c r="B1979" s="1"/>
      <c r="E1979" s="45" t="str">
        <f>IFERROR(AVERAGEIFS('Picarro Output'!G:G, 'Picarro Output'!$B:$B, 'Uncalibrated Data'!$C1979, 'Picarro Output'!$I:$I, 0, 'Picarro Output'!$J:$J, 1), "")</f>
        <v/>
      </c>
    </row>
    <row r="1980" spans="2:5" x14ac:dyDescent="0.45">
      <c r="B1980" s="1"/>
      <c r="E1980" s="45" t="str">
        <f>IFERROR(AVERAGEIFS('Picarro Output'!G:G, 'Picarro Output'!$B:$B, 'Uncalibrated Data'!$C1980, 'Picarro Output'!$I:$I, 0, 'Picarro Output'!$J:$J, 1), "")</f>
        <v/>
      </c>
    </row>
    <row r="1981" spans="2:5" x14ac:dyDescent="0.45">
      <c r="B1981" s="1"/>
      <c r="E1981" s="45" t="str">
        <f>IFERROR(AVERAGEIFS('Picarro Output'!G:G, 'Picarro Output'!$B:$B, 'Uncalibrated Data'!$C1981, 'Picarro Output'!$I:$I, 0, 'Picarro Output'!$J:$J, 1), "")</f>
        <v/>
      </c>
    </row>
    <row r="1982" spans="2:5" x14ac:dyDescent="0.45">
      <c r="B1982" s="1"/>
      <c r="E1982" s="45" t="str">
        <f>IFERROR(AVERAGEIFS('Picarro Output'!G:G, 'Picarro Output'!$B:$B, 'Uncalibrated Data'!$C1982, 'Picarro Output'!$I:$I, 0, 'Picarro Output'!$J:$J, 1), "")</f>
        <v/>
      </c>
    </row>
    <row r="1983" spans="2:5" x14ac:dyDescent="0.45">
      <c r="B1983" s="1"/>
      <c r="E1983" s="45" t="str">
        <f>IFERROR(AVERAGEIFS('Picarro Output'!G:G, 'Picarro Output'!$B:$B, 'Uncalibrated Data'!$C1983, 'Picarro Output'!$I:$I, 0, 'Picarro Output'!$J:$J, 1), "")</f>
        <v/>
      </c>
    </row>
    <row r="1984" spans="2:5" x14ac:dyDescent="0.45">
      <c r="B1984" s="1"/>
      <c r="E1984" s="45" t="str">
        <f>IFERROR(AVERAGEIFS('Picarro Output'!G:G, 'Picarro Output'!$B:$B, 'Uncalibrated Data'!$C1984, 'Picarro Output'!$I:$I, 0, 'Picarro Output'!$J:$J, 1), "")</f>
        <v/>
      </c>
    </row>
    <row r="1985" spans="2:5" x14ac:dyDescent="0.45">
      <c r="B1985" s="1"/>
      <c r="E1985" s="45" t="str">
        <f>IFERROR(AVERAGEIFS('Picarro Output'!G:G, 'Picarro Output'!$B:$B, 'Uncalibrated Data'!$C1985, 'Picarro Output'!$I:$I, 0, 'Picarro Output'!$J:$J, 1), "")</f>
        <v/>
      </c>
    </row>
    <row r="1986" spans="2:5" x14ac:dyDescent="0.45">
      <c r="B1986" s="1"/>
      <c r="E1986" s="45" t="str">
        <f>IFERROR(AVERAGEIFS('Picarro Output'!G:G, 'Picarro Output'!$B:$B, 'Uncalibrated Data'!$C1986, 'Picarro Output'!$I:$I, 0, 'Picarro Output'!$J:$J, 1), "")</f>
        <v/>
      </c>
    </row>
    <row r="1987" spans="2:5" x14ac:dyDescent="0.45">
      <c r="B1987" s="1"/>
      <c r="E1987" s="45" t="str">
        <f>IFERROR(AVERAGEIFS('Picarro Output'!G:G, 'Picarro Output'!$B:$B, 'Uncalibrated Data'!$C1987, 'Picarro Output'!$I:$I, 0, 'Picarro Output'!$J:$J, 1), "")</f>
        <v/>
      </c>
    </row>
    <row r="1988" spans="2:5" x14ac:dyDescent="0.45">
      <c r="B1988" s="1"/>
      <c r="E1988" s="45" t="str">
        <f>IFERROR(AVERAGEIFS('Picarro Output'!G:G, 'Picarro Output'!$B:$B, 'Uncalibrated Data'!$C1988, 'Picarro Output'!$I:$I, 0, 'Picarro Output'!$J:$J, 1), "")</f>
        <v/>
      </c>
    </row>
    <row r="1989" spans="2:5" x14ac:dyDescent="0.45">
      <c r="B1989" s="1"/>
      <c r="E1989" s="45" t="str">
        <f>IFERROR(AVERAGEIFS('Picarro Output'!G:G, 'Picarro Output'!$B:$B, 'Uncalibrated Data'!$C1989, 'Picarro Output'!$I:$I, 0, 'Picarro Output'!$J:$J, 1), "")</f>
        <v/>
      </c>
    </row>
    <row r="1990" spans="2:5" x14ac:dyDescent="0.45">
      <c r="B1990" s="1"/>
      <c r="E1990" s="45" t="str">
        <f>IFERROR(AVERAGEIFS('Picarro Output'!G:G, 'Picarro Output'!$B:$B, 'Uncalibrated Data'!$C1990, 'Picarro Output'!$I:$I, 0, 'Picarro Output'!$J:$J, 1), "")</f>
        <v/>
      </c>
    </row>
    <row r="1991" spans="2:5" x14ac:dyDescent="0.45">
      <c r="B1991" s="1"/>
      <c r="E1991" s="45" t="str">
        <f>IFERROR(AVERAGEIFS('Picarro Output'!G:G, 'Picarro Output'!$B:$B, 'Uncalibrated Data'!$C1991, 'Picarro Output'!$I:$I, 0, 'Picarro Output'!$J:$J, 1), "")</f>
        <v/>
      </c>
    </row>
    <row r="1992" spans="2:5" x14ac:dyDescent="0.45">
      <c r="B1992" s="1"/>
      <c r="E1992" s="45" t="str">
        <f>IFERROR(AVERAGEIFS('Picarro Output'!G:G, 'Picarro Output'!$B:$B, 'Uncalibrated Data'!$C1992, 'Picarro Output'!$I:$I, 0, 'Picarro Output'!$J:$J, 1), "")</f>
        <v/>
      </c>
    </row>
    <row r="1993" spans="2:5" x14ac:dyDescent="0.45">
      <c r="B1993" s="1"/>
      <c r="E1993" s="45" t="str">
        <f>IFERROR(AVERAGEIFS('Picarro Output'!G:G, 'Picarro Output'!$B:$B, 'Uncalibrated Data'!$C1993, 'Picarro Output'!$I:$I, 0, 'Picarro Output'!$J:$J, 1), "")</f>
        <v/>
      </c>
    </row>
    <row r="1994" spans="2:5" x14ac:dyDescent="0.45">
      <c r="B1994" s="1"/>
      <c r="E1994" s="45" t="str">
        <f>IFERROR(AVERAGEIFS('Picarro Output'!G:G, 'Picarro Output'!$B:$B, 'Uncalibrated Data'!$C1994, 'Picarro Output'!$I:$I, 0, 'Picarro Output'!$J:$J, 1), "")</f>
        <v/>
      </c>
    </row>
    <row r="1995" spans="2:5" x14ac:dyDescent="0.45">
      <c r="B1995" s="1"/>
      <c r="E1995" s="45" t="str">
        <f>IFERROR(AVERAGEIFS('Picarro Output'!G:G, 'Picarro Output'!$B:$B, 'Uncalibrated Data'!$C1995, 'Picarro Output'!$I:$I, 0, 'Picarro Output'!$J:$J, 1), "")</f>
        <v/>
      </c>
    </row>
    <row r="1996" spans="2:5" x14ac:dyDescent="0.45">
      <c r="B1996" s="1"/>
      <c r="E1996" s="45" t="str">
        <f>IFERROR(AVERAGEIFS('Picarro Output'!G:G, 'Picarro Output'!$B:$B, 'Uncalibrated Data'!$C1996, 'Picarro Output'!$I:$I, 0, 'Picarro Output'!$J:$J, 1), "")</f>
        <v/>
      </c>
    </row>
    <row r="1997" spans="2:5" x14ac:dyDescent="0.45">
      <c r="B1997" s="1"/>
      <c r="E1997" s="45" t="str">
        <f>IFERROR(AVERAGEIFS('Picarro Output'!G:G, 'Picarro Output'!$B:$B, 'Uncalibrated Data'!$C1997, 'Picarro Output'!$I:$I, 0, 'Picarro Output'!$J:$J, 1), "")</f>
        <v/>
      </c>
    </row>
    <row r="1998" spans="2:5" x14ac:dyDescent="0.45">
      <c r="B1998" s="1"/>
      <c r="E1998" s="45" t="str">
        <f>IFERROR(AVERAGEIFS('Picarro Output'!G:G, 'Picarro Output'!$B:$B, 'Uncalibrated Data'!$C1998, 'Picarro Output'!$I:$I, 0, 'Picarro Output'!$J:$J, 1), "")</f>
        <v/>
      </c>
    </row>
    <row r="1999" spans="2:5" x14ac:dyDescent="0.45">
      <c r="B1999" s="1"/>
      <c r="E1999" s="45" t="str">
        <f>IFERROR(AVERAGEIFS('Picarro Output'!G:G, 'Picarro Output'!$B:$B, 'Uncalibrated Data'!$C1999, 'Picarro Output'!$I:$I, 0, 'Picarro Output'!$J:$J, 1), "")</f>
        <v/>
      </c>
    </row>
    <row r="2000" spans="2:5" x14ac:dyDescent="0.45">
      <c r="B2000" s="1"/>
      <c r="E2000" s="45" t="str">
        <f>IFERROR(AVERAGEIFS('Picarro Output'!G:G, 'Picarro Output'!$B:$B, 'Uncalibrated Data'!$C2000, 'Picarro Output'!$I:$I, 0, 'Picarro Output'!$J:$J, 1), "")</f>
        <v/>
      </c>
    </row>
    <row r="2001" spans="2:5" x14ac:dyDescent="0.45">
      <c r="B2001" s="1"/>
      <c r="E2001" s="45" t="str">
        <f>IFERROR(AVERAGEIFS('Picarro Output'!G:G, 'Picarro Output'!$B:$B, 'Uncalibrated Data'!$C2001, 'Picarro Output'!$I:$I, 0, 'Picarro Output'!$J:$J, 1), "")</f>
        <v/>
      </c>
    </row>
    <row r="2002" spans="2:5" x14ac:dyDescent="0.45">
      <c r="B2002" s="1"/>
      <c r="E2002" s="45" t="str">
        <f>IFERROR(AVERAGEIFS('Picarro Output'!G:G, 'Picarro Output'!$B:$B, 'Uncalibrated Data'!$C2002, 'Picarro Output'!$I:$I, 0, 'Picarro Output'!$J:$J, 1), "")</f>
        <v/>
      </c>
    </row>
    <row r="2003" spans="2:5" x14ac:dyDescent="0.45">
      <c r="B2003" s="1"/>
      <c r="E2003" s="45" t="str">
        <f>IFERROR(AVERAGEIFS('Picarro Output'!G:G, 'Picarro Output'!$B:$B, 'Uncalibrated Data'!$C2003, 'Picarro Output'!$I:$I, 0, 'Picarro Output'!$J:$J, 1), "")</f>
        <v/>
      </c>
    </row>
    <row r="2004" spans="2:5" x14ac:dyDescent="0.45">
      <c r="B2004" s="1"/>
      <c r="E2004" s="45" t="str">
        <f>IFERROR(AVERAGEIFS('Picarro Output'!G:G, 'Picarro Output'!$B:$B, 'Uncalibrated Data'!$C2004, 'Picarro Output'!$I:$I, 0, 'Picarro Output'!$J:$J, 1), "")</f>
        <v/>
      </c>
    </row>
    <row r="2005" spans="2:5" x14ac:dyDescent="0.45">
      <c r="B2005" s="1"/>
      <c r="E2005" s="45" t="str">
        <f>IFERROR(AVERAGEIFS('Picarro Output'!G:G, 'Picarro Output'!$B:$B, 'Uncalibrated Data'!$C2005, 'Picarro Output'!$I:$I, 0, 'Picarro Output'!$J:$J, 1), "")</f>
        <v/>
      </c>
    </row>
    <row r="2006" spans="2:5" x14ac:dyDescent="0.45">
      <c r="B2006" s="1"/>
      <c r="E2006" s="45" t="str">
        <f>IFERROR(AVERAGEIFS('Picarro Output'!G:G, 'Picarro Output'!$B:$B, 'Uncalibrated Data'!$C2006, 'Picarro Output'!$I:$I, 0, 'Picarro Output'!$J:$J, 1), "")</f>
        <v/>
      </c>
    </row>
    <row r="2007" spans="2:5" x14ac:dyDescent="0.45">
      <c r="B2007" s="1"/>
      <c r="E2007" s="45" t="str">
        <f>IFERROR(AVERAGEIFS('Picarro Output'!G:G, 'Picarro Output'!$B:$B, 'Uncalibrated Data'!$C2007, 'Picarro Output'!$I:$I, 0, 'Picarro Output'!$J:$J, 1), "")</f>
        <v/>
      </c>
    </row>
    <row r="2008" spans="2:5" x14ac:dyDescent="0.45">
      <c r="B2008" s="1"/>
      <c r="E2008" s="45" t="str">
        <f>IFERROR(AVERAGEIFS('Picarro Output'!G:G, 'Picarro Output'!$B:$B, 'Uncalibrated Data'!$C2008, 'Picarro Output'!$I:$I, 0, 'Picarro Output'!$J:$J, 1), "")</f>
        <v/>
      </c>
    </row>
    <row r="2009" spans="2:5" x14ac:dyDescent="0.45">
      <c r="B2009" s="1"/>
      <c r="E2009" s="45" t="str">
        <f>IFERROR(AVERAGEIFS('Picarro Output'!G:G, 'Picarro Output'!$B:$B, 'Uncalibrated Data'!$C2009, 'Picarro Output'!$I:$I, 0, 'Picarro Output'!$J:$J, 1), "")</f>
        <v/>
      </c>
    </row>
    <row r="2010" spans="2:5" x14ac:dyDescent="0.45">
      <c r="B2010" s="1"/>
      <c r="E2010" s="45" t="str">
        <f>IFERROR(AVERAGEIFS('Picarro Output'!G:G, 'Picarro Output'!$B:$B, 'Uncalibrated Data'!$C2010, 'Picarro Output'!$I:$I, 0, 'Picarro Output'!$J:$J, 1), "")</f>
        <v/>
      </c>
    </row>
    <row r="2011" spans="2:5" x14ac:dyDescent="0.45">
      <c r="B2011" s="1"/>
      <c r="E2011" s="45" t="str">
        <f>IFERROR(AVERAGEIFS('Picarro Output'!G:G, 'Picarro Output'!$B:$B, 'Uncalibrated Data'!$C2011, 'Picarro Output'!$I:$I, 0, 'Picarro Output'!$J:$J, 1), "")</f>
        <v/>
      </c>
    </row>
    <row r="2012" spans="2:5" x14ac:dyDescent="0.45">
      <c r="B2012" s="1"/>
      <c r="E2012" s="45" t="str">
        <f>IFERROR(AVERAGEIFS('Picarro Output'!G:G, 'Picarro Output'!$B:$B, 'Uncalibrated Data'!$C2012, 'Picarro Output'!$I:$I, 0, 'Picarro Output'!$J:$J, 1), "")</f>
        <v/>
      </c>
    </row>
    <row r="2013" spans="2:5" x14ac:dyDescent="0.45">
      <c r="B2013" s="1"/>
      <c r="E2013" s="45" t="str">
        <f>IFERROR(AVERAGEIFS('Picarro Output'!G:G, 'Picarro Output'!$B:$B, 'Uncalibrated Data'!$C2013, 'Picarro Output'!$I:$I, 0, 'Picarro Output'!$J:$J, 1), "")</f>
        <v/>
      </c>
    </row>
    <row r="2014" spans="2:5" x14ac:dyDescent="0.45">
      <c r="B2014" s="1"/>
      <c r="E2014" s="45" t="str">
        <f>IFERROR(AVERAGEIFS('Picarro Output'!G:G, 'Picarro Output'!$B:$B, 'Uncalibrated Data'!$C2014, 'Picarro Output'!$I:$I, 0, 'Picarro Output'!$J:$J, 1), "")</f>
        <v/>
      </c>
    </row>
    <row r="2015" spans="2:5" x14ac:dyDescent="0.45">
      <c r="B2015" s="1"/>
      <c r="E2015" s="45" t="str">
        <f>IFERROR(AVERAGEIFS('Picarro Output'!G:G, 'Picarro Output'!$B:$B, 'Uncalibrated Data'!$C2015, 'Picarro Output'!$I:$I, 0, 'Picarro Output'!$J:$J, 1), "")</f>
        <v/>
      </c>
    </row>
    <row r="2016" spans="2:5" x14ac:dyDescent="0.45">
      <c r="B2016" s="1"/>
      <c r="E2016" s="45" t="str">
        <f>IFERROR(AVERAGEIFS('Picarro Output'!G:G, 'Picarro Output'!$B:$B, 'Uncalibrated Data'!$C2016, 'Picarro Output'!$I:$I, 0, 'Picarro Output'!$J:$J, 1), "")</f>
        <v/>
      </c>
    </row>
    <row r="2017" spans="2:5" x14ac:dyDescent="0.45">
      <c r="B2017" s="1"/>
      <c r="E2017" s="45" t="str">
        <f>IFERROR(AVERAGEIFS('Picarro Output'!G:G, 'Picarro Output'!$B:$B, 'Uncalibrated Data'!$C2017, 'Picarro Output'!$I:$I, 0, 'Picarro Output'!$J:$J, 1), "")</f>
        <v/>
      </c>
    </row>
    <row r="2018" spans="2:5" x14ac:dyDescent="0.45">
      <c r="B2018" s="1"/>
      <c r="E2018" s="45" t="str">
        <f>IFERROR(AVERAGEIFS('Picarro Output'!G:G, 'Picarro Output'!$B:$B, 'Uncalibrated Data'!$C2018, 'Picarro Output'!$I:$I, 0, 'Picarro Output'!$J:$J, 1), "")</f>
        <v/>
      </c>
    </row>
    <row r="2019" spans="2:5" x14ac:dyDescent="0.45">
      <c r="B2019" s="1"/>
      <c r="E2019" s="45" t="str">
        <f>IFERROR(AVERAGEIFS('Picarro Output'!G:G, 'Picarro Output'!$B:$B, 'Uncalibrated Data'!$C2019, 'Picarro Output'!$I:$I, 0, 'Picarro Output'!$J:$J, 1), "")</f>
        <v/>
      </c>
    </row>
    <row r="2020" spans="2:5" x14ac:dyDescent="0.45">
      <c r="B2020" s="1"/>
      <c r="E2020" s="45" t="str">
        <f>IFERROR(AVERAGEIFS('Picarro Output'!G:G, 'Picarro Output'!$B:$B, 'Uncalibrated Data'!$C2020, 'Picarro Output'!$I:$I, 0, 'Picarro Output'!$J:$J, 1), "")</f>
        <v/>
      </c>
    </row>
    <row r="2021" spans="2:5" x14ac:dyDescent="0.45">
      <c r="B2021" s="1"/>
      <c r="E2021" s="45" t="str">
        <f>IFERROR(AVERAGEIFS('Picarro Output'!G:G, 'Picarro Output'!$B:$B, 'Uncalibrated Data'!$C2021, 'Picarro Output'!$I:$I, 0, 'Picarro Output'!$J:$J, 1), "")</f>
        <v/>
      </c>
    </row>
    <row r="2022" spans="2:5" x14ac:dyDescent="0.45">
      <c r="B2022" s="1"/>
      <c r="E2022" s="45" t="str">
        <f>IFERROR(AVERAGEIFS('Picarro Output'!G:G, 'Picarro Output'!$B:$B, 'Uncalibrated Data'!$C2022, 'Picarro Output'!$I:$I, 0, 'Picarro Output'!$J:$J, 1), "")</f>
        <v/>
      </c>
    </row>
    <row r="2023" spans="2:5" x14ac:dyDescent="0.45">
      <c r="B2023" s="1"/>
      <c r="E2023" s="45" t="str">
        <f>IFERROR(AVERAGEIFS('Picarro Output'!G:G, 'Picarro Output'!$B:$B, 'Uncalibrated Data'!$C2023, 'Picarro Output'!$I:$I, 0, 'Picarro Output'!$J:$J, 1), "")</f>
        <v/>
      </c>
    </row>
    <row r="2024" spans="2:5" x14ac:dyDescent="0.45">
      <c r="B2024" s="1"/>
      <c r="E2024" s="45" t="str">
        <f>IFERROR(AVERAGEIFS('Picarro Output'!G:G, 'Picarro Output'!$B:$B, 'Uncalibrated Data'!$C2024, 'Picarro Output'!$I:$I, 0, 'Picarro Output'!$J:$J, 1), "")</f>
        <v/>
      </c>
    </row>
    <row r="2025" spans="2:5" x14ac:dyDescent="0.45">
      <c r="B2025" s="1"/>
      <c r="E2025" s="45" t="str">
        <f>IFERROR(AVERAGEIFS('Picarro Output'!G:G, 'Picarro Output'!$B:$B, 'Uncalibrated Data'!$C2025, 'Picarro Output'!$I:$I, 0, 'Picarro Output'!$J:$J, 1), "")</f>
        <v/>
      </c>
    </row>
    <row r="2026" spans="2:5" x14ac:dyDescent="0.45">
      <c r="B2026" s="1"/>
      <c r="E2026" s="45" t="str">
        <f>IFERROR(AVERAGEIFS('Picarro Output'!G:G, 'Picarro Output'!$B:$B, 'Uncalibrated Data'!$C2026, 'Picarro Output'!$I:$I, 0, 'Picarro Output'!$J:$J, 1), "")</f>
        <v/>
      </c>
    </row>
    <row r="2027" spans="2:5" x14ac:dyDescent="0.45">
      <c r="B2027" s="1"/>
      <c r="E2027" s="45" t="str">
        <f>IFERROR(AVERAGEIFS('Picarro Output'!G:G, 'Picarro Output'!$B:$B, 'Uncalibrated Data'!$C2027, 'Picarro Output'!$I:$I, 0, 'Picarro Output'!$J:$J, 1), "")</f>
        <v/>
      </c>
    </row>
    <row r="2028" spans="2:5" x14ac:dyDescent="0.45">
      <c r="B2028" s="1"/>
      <c r="E2028" s="45" t="str">
        <f>IFERROR(AVERAGEIFS('Picarro Output'!G:G, 'Picarro Output'!$B:$B, 'Uncalibrated Data'!$C2028, 'Picarro Output'!$I:$I, 0, 'Picarro Output'!$J:$J, 1), "")</f>
        <v/>
      </c>
    </row>
    <row r="2029" spans="2:5" x14ac:dyDescent="0.45">
      <c r="B2029" s="1"/>
      <c r="E2029" s="45" t="str">
        <f>IFERROR(AVERAGEIFS('Picarro Output'!G:G, 'Picarro Output'!$B:$B, 'Uncalibrated Data'!$C2029, 'Picarro Output'!$I:$I, 0, 'Picarro Output'!$J:$J, 1), "")</f>
        <v/>
      </c>
    </row>
    <row r="2030" spans="2:5" x14ac:dyDescent="0.45">
      <c r="B2030" s="1"/>
      <c r="E2030" s="45" t="str">
        <f>IFERROR(AVERAGEIFS('Picarro Output'!G:G, 'Picarro Output'!$B:$B, 'Uncalibrated Data'!$C2030, 'Picarro Output'!$I:$I, 0, 'Picarro Output'!$J:$J, 1), "")</f>
        <v/>
      </c>
    </row>
    <row r="2031" spans="2:5" x14ac:dyDescent="0.45">
      <c r="B2031" s="1"/>
      <c r="E2031" s="45" t="str">
        <f>IFERROR(AVERAGEIFS('Picarro Output'!G:G, 'Picarro Output'!$B:$B, 'Uncalibrated Data'!$C2031, 'Picarro Output'!$I:$I, 0, 'Picarro Output'!$J:$J, 1), "")</f>
        <v/>
      </c>
    </row>
    <row r="2032" spans="2:5" x14ac:dyDescent="0.45">
      <c r="B2032" s="1"/>
      <c r="E2032" s="45" t="str">
        <f>IFERROR(AVERAGEIFS('Picarro Output'!G:G, 'Picarro Output'!$B:$B, 'Uncalibrated Data'!$C2032, 'Picarro Output'!$I:$I, 0, 'Picarro Output'!$J:$J, 1), "")</f>
        <v/>
      </c>
    </row>
    <row r="2033" spans="2:5" x14ac:dyDescent="0.45">
      <c r="B2033" s="1"/>
      <c r="E2033" s="45" t="str">
        <f>IFERROR(AVERAGEIFS('Picarro Output'!G:G, 'Picarro Output'!$B:$B, 'Uncalibrated Data'!$C2033, 'Picarro Output'!$I:$I, 0, 'Picarro Output'!$J:$J, 1), "")</f>
        <v/>
      </c>
    </row>
    <row r="2034" spans="2:5" x14ac:dyDescent="0.45">
      <c r="B2034" s="1"/>
      <c r="E2034" s="45" t="str">
        <f>IFERROR(AVERAGEIFS('Picarro Output'!G:G, 'Picarro Output'!$B:$B, 'Uncalibrated Data'!$C2034, 'Picarro Output'!$I:$I, 0, 'Picarro Output'!$J:$J, 1), "")</f>
        <v/>
      </c>
    </row>
    <row r="2035" spans="2:5" x14ac:dyDescent="0.45">
      <c r="B2035" s="1"/>
      <c r="E2035" s="45" t="str">
        <f>IFERROR(AVERAGEIFS('Picarro Output'!G:G, 'Picarro Output'!$B:$B, 'Uncalibrated Data'!$C2035, 'Picarro Output'!$I:$I, 0, 'Picarro Output'!$J:$J, 1), "")</f>
        <v/>
      </c>
    </row>
    <row r="2036" spans="2:5" x14ac:dyDescent="0.45">
      <c r="B2036" s="1"/>
      <c r="E2036" s="45" t="str">
        <f>IFERROR(AVERAGEIFS('Picarro Output'!G:G, 'Picarro Output'!$B:$B, 'Uncalibrated Data'!$C2036, 'Picarro Output'!$I:$I, 0, 'Picarro Output'!$J:$J, 1), "")</f>
        <v/>
      </c>
    </row>
    <row r="2037" spans="2:5" x14ac:dyDescent="0.45">
      <c r="B2037" s="1"/>
      <c r="E2037" s="45" t="str">
        <f>IFERROR(AVERAGEIFS('Picarro Output'!G:G, 'Picarro Output'!$B:$B, 'Uncalibrated Data'!$C2037, 'Picarro Output'!$I:$I, 0, 'Picarro Output'!$J:$J, 1), "")</f>
        <v/>
      </c>
    </row>
    <row r="2038" spans="2:5" x14ac:dyDescent="0.45">
      <c r="B2038" s="1"/>
      <c r="E2038" s="45" t="str">
        <f>IFERROR(AVERAGEIFS('Picarro Output'!G:G, 'Picarro Output'!$B:$B, 'Uncalibrated Data'!$C2038, 'Picarro Output'!$I:$I, 0, 'Picarro Output'!$J:$J, 1), "")</f>
        <v/>
      </c>
    </row>
    <row r="2039" spans="2:5" x14ac:dyDescent="0.45">
      <c r="B2039" s="1"/>
      <c r="E2039" s="45" t="str">
        <f>IFERROR(AVERAGEIFS('Picarro Output'!G:G, 'Picarro Output'!$B:$B, 'Uncalibrated Data'!$C2039, 'Picarro Output'!$I:$I, 0, 'Picarro Output'!$J:$J, 1), "")</f>
        <v/>
      </c>
    </row>
    <row r="2040" spans="2:5" x14ac:dyDescent="0.45">
      <c r="B2040" s="1"/>
      <c r="E2040" s="45" t="str">
        <f>IFERROR(AVERAGEIFS('Picarro Output'!G:G, 'Picarro Output'!$B:$B, 'Uncalibrated Data'!$C2040, 'Picarro Output'!$I:$I, 0, 'Picarro Output'!$J:$J, 1), "")</f>
        <v/>
      </c>
    </row>
    <row r="2041" spans="2:5" x14ac:dyDescent="0.45">
      <c r="B2041" s="1"/>
      <c r="E2041" s="45" t="str">
        <f>IFERROR(AVERAGEIFS('Picarro Output'!G:G, 'Picarro Output'!$B:$B, 'Uncalibrated Data'!$C2041, 'Picarro Output'!$I:$I, 0, 'Picarro Output'!$J:$J, 1), "")</f>
        <v/>
      </c>
    </row>
    <row r="2042" spans="2:5" x14ac:dyDescent="0.45">
      <c r="B2042" s="1"/>
      <c r="E2042" s="45" t="str">
        <f>IFERROR(AVERAGEIFS('Picarro Output'!G:G, 'Picarro Output'!$B:$B, 'Uncalibrated Data'!$C2042, 'Picarro Output'!$I:$I, 0, 'Picarro Output'!$J:$J, 1), "")</f>
        <v/>
      </c>
    </row>
    <row r="2043" spans="2:5" x14ac:dyDescent="0.45">
      <c r="B2043" s="1"/>
      <c r="E2043" s="45" t="str">
        <f>IFERROR(AVERAGEIFS('Picarro Output'!G:G, 'Picarro Output'!$B:$B, 'Uncalibrated Data'!$C2043, 'Picarro Output'!$I:$I, 0, 'Picarro Output'!$J:$J, 1), "")</f>
        <v/>
      </c>
    </row>
    <row r="2044" spans="2:5" x14ac:dyDescent="0.45">
      <c r="B2044" s="1"/>
      <c r="E2044" s="45" t="str">
        <f>IFERROR(AVERAGEIFS('Picarro Output'!G:G, 'Picarro Output'!$B:$B, 'Uncalibrated Data'!$C2044, 'Picarro Output'!$I:$I, 0, 'Picarro Output'!$J:$J, 1), "")</f>
        <v/>
      </c>
    </row>
    <row r="2045" spans="2:5" x14ac:dyDescent="0.45">
      <c r="B2045" s="1"/>
      <c r="E2045" s="45" t="str">
        <f>IFERROR(AVERAGEIFS('Picarro Output'!G:G, 'Picarro Output'!$B:$B, 'Uncalibrated Data'!$C2045, 'Picarro Output'!$I:$I, 0, 'Picarro Output'!$J:$J, 1), "")</f>
        <v/>
      </c>
    </row>
    <row r="2046" spans="2:5" x14ac:dyDescent="0.45">
      <c r="B2046" s="1"/>
      <c r="E2046" s="45" t="str">
        <f>IFERROR(AVERAGEIFS('Picarro Output'!G:G, 'Picarro Output'!$B:$B, 'Uncalibrated Data'!$C2046, 'Picarro Output'!$I:$I, 0, 'Picarro Output'!$J:$J, 1), "")</f>
        <v/>
      </c>
    </row>
    <row r="2047" spans="2:5" x14ac:dyDescent="0.45">
      <c r="B2047" s="1"/>
      <c r="E2047" s="45" t="str">
        <f>IFERROR(AVERAGEIFS('Picarro Output'!G:G, 'Picarro Output'!$B:$B, 'Uncalibrated Data'!$C2047, 'Picarro Output'!$I:$I, 0, 'Picarro Output'!$J:$J, 1), "")</f>
        <v/>
      </c>
    </row>
    <row r="2048" spans="2:5" x14ac:dyDescent="0.45">
      <c r="B2048" s="1"/>
      <c r="E2048" s="45" t="str">
        <f>IFERROR(AVERAGEIFS('Picarro Output'!G:G, 'Picarro Output'!$B:$B, 'Uncalibrated Data'!$C2048, 'Picarro Output'!$I:$I, 0, 'Picarro Output'!$J:$J, 1), "")</f>
        <v/>
      </c>
    </row>
    <row r="2049" spans="2:5" x14ac:dyDescent="0.45">
      <c r="B2049" s="1"/>
      <c r="E2049" s="45" t="str">
        <f>IFERROR(AVERAGEIFS('Picarro Output'!G:G, 'Picarro Output'!$B:$B, 'Uncalibrated Data'!$C2049, 'Picarro Output'!$I:$I, 0, 'Picarro Output'!$J:$J, 1), "")</f>
        <v/>
      </c>
    </row>
    <row r="2050" spans="2:5" x14ac:dyDescent="0.45">
      <c r="B2050" s="1"/>
      <c r="E2050" s="45" t="str">
        <f>IFERROR(AVERAGEIFS('Picarro Output'!G:G, 'Picarro Output'!$B:$B, 'Uncalibrated Data'!$C2050, 'Picarro Output'!$I:$I, 0, 'Picarro Output'!$J:$J, 1), "")</f>
        <v/>
      </c>
    </row>
    <row r="2051" spans="2:5" x14ac:dyDescent="0.45">
      <c r="B2051" s="1"/>
      <c r="E2051" s="45" t="str">
        <f>IFERROR(AVERAGEIFS('Picarro Output'!G:G, 'Picarro Output'!$B:$B, 'Uncalibrated Data'!$C2051, 'Picarro Output'!$I:$I, 0, 'Picarro Output'!$J:$J, 1), "")</f>
        <v/>
      </c>
    </row>
    <row r="2052" spans="2:5" x14ac:dyDescent="0.45">
      <c r="B2052" s="1"/>
      <c r="E2052" s="45" t="str">
        <f>IFERROR(AVERAGEIFS('Picarro Output'!G:G, 'Picarro Output'!$B:$B, 'Uncalibrated Data'!$C2052, 'Picarro Output'!$I:$I, 0, 'Picarro Output'!$J:$J, 1), "")</f>
        <v/>
      </c>
    </row>
    <row r="2053" spans="2:5" x14ac:dyDescent="0.45">
      <c r="B2053" s="1"/>
      <c r="E2053" s="45" t="str">
        <f>IFERROR(AVERAGEIFS('Picarro Output'!G:G, 'Picarro Output'!$B:$B, 'Uncalibrated Data'!$C2053, 'Picarro Output'!$I:$I, 0, 'Picarro Output'!$J:$J, 1), "")</f>
        <v/>
      </c>
    </row>
    <row r="2054" spans="2:5" x14ac:dyDescent="0.45">
      <c r="B2054" s="1"/>
      <c r="E2054" s="45" t="str">
        <f>IFERROR(AVERAGEIFS('Picarro Output'!G:G, 'Picarro Output'!$B:$B, 'Uncalibrated Data'!$C2054, 'Picarro Output'!$I:$I, 0, 'Picarro Output'!$J:$J, 1), "")</f>
        <v/>
      </c>
    </row>
    <row r="2055" spans="2:5" x14ac:dyDescent="0.45">
      <c r="B2055" s="1"/>
      <c r="E2055" s="45" t="str">
        <f>IFERROR(AVERAGEIFS('Picarro Output'!G:G, 'Picarro Output'!$B:$B, 'Uncalibrated Data'!$C2055, 'Picarro Output'!$I:$I, 0, 'Picarro Output'!$J:$J, 1), "")</f>
        <v/>
      </c>
    </row>
    <row r="2056" spans="2:5" x14ac:dyDescent="0.45">
      <c r="B2056" s="1"/>
      <c r="E2056" s="45" t="str">
        <f>IFERROR(AVERAGEIFS('Picarro Output'!G:G, 'Picarro Output'!$B:$B, 'Uncalibrated Data'!$C2056, 'Picarro Output'!$I:$I, 0, 'Picarro Output'!$J:$J, 1), "")</f>
        <v/>
      </c>
    </row>
    <row r="2057" spans="2:5" x14ac:dyDescent="0.45">
      <c r="B2057" s="1"/>
      <c r="E2057" s="45" t="str">
        <f>IFERROR(AVERAGEIFS('Picarro Output'!G:G, 'Picarro Output'!$B:$B, 'Uncalibrated Data'!$C2057, 'Picarro Output'!$I:$I, 0, 'Picarro Output'!$J:$J, 1), "")</f>
        <v/>
      </c>
    </row>
    <row r="2058" spans="2:5" x14ac:dyDescent="0.45">
      <c r="B2058" s="1"/>
      <c r="E2058" s="45" t="str">
        <f>IFERROR(AVERAGEIFS('Picarro Output'!G:G, 'Picarro Output'!$B:$B, 'Uncalibrated Data'!$C2058, 'Picarro Output'!$I:$I, 0, 'Picarro Output'!$J:$J, 1), "")</f>
        <v/>
      </c>
    </row>
    <row r="2059" spans="2:5" x14ac:dyDescent="0.45">
      <c r="B2059" s="1"/>
      <c r="E2059" s="45" t="str">
        <f>IFERROR(AVERAGEIFS('Picarro Output'!G:G, 'Picarro Output'!$B:$B, 'Uncalibrated Data'!$C2059, 'Picarro Output'!$I:$I, 0, 'Picarro Output'!$J:$J, 1), "")</f>
        <v/>
      </c>
    </row>
    <row r="2060" spans="2:5" x14ac:dyDescent="0.45">
      <c r="B2060" s="1"/>
      <c r="E2060" s="45" t="str">
        <f>IFERROR(AVERAGEIFS('Picarro Output'!G:G, 'Picarro Output'!$B:$B, 'Uncalibrated Data'!$C2060, 'Picarro Output'!$I:$I, 0, 'Picarro Output'!$J:$J, 1), "")</f>
        <v/>
      </c>
    </row>
    <row r="2061" spans="2:5" x14ac:dyDescent="0.45">
      <c r="B2061" s="1"/>
      <c r="E2061" s="45" t="str">
        <f>IFERROR(AVERAGEIFS('Picarro Output'!G:G, 'Picarro Output'!$B:$B, 'Uncalibrated Data'!$C2061, 'Picarro Output'!$I:$I, 0, 'Picarro Output'!$J:$J, 1), "")</f>
        <v/>
      </c>
    </row>
    <row r="2062" spans="2:5" x14ac:dyDescent="0.45">
      <c r="B2062" s="1"/>
      <c r="E2062" s="45" t="str">
        <f>IFERROR(AVERAGEIFS('Picarro Output'!G:G, 'Picarro Output'!$B:$B, 'Uncalibrated Data'!$C2062, 'Picarro Output'!$I:$I, 0, 'Picarro Output'!$J:$J, 1), "")</f>
        <v/>
      </c>
    </row>
    <row r="2063" spans="2:5" x14ac:dyDescent="0.45">
      <c r="B2063" s="1"/>
      <c r="E2063" s="45" t="str">
        <f>IFERROR(AVERAGEIFS('Picarro Output'!G:G, 'Picarro Output'!$B:$B, 'Uncalibrated Data'!$C2063, 'Picarro Output'!$I:$I, 0, 'Picarro Output'!$J:$J, 1), "")</f>
        <v/>
      </c>
    </row>
    <row r="2064" spans="2:5" x14ac:dyDescent="0.45">
      <c r="B2064" s="1"/>
      <c r="E2064" s="45" t="str">
        <f>IFERROR(AVERAGEIFS('Picarro Output'!G:G, 'Picarro Output'!$B:$B, 'Uncalibrated Data'!$C2064, 'Picarro Output'!$I:$I, 0, 'Picarro Output'!$J:$J, 1), "")</f>
        <v/>
      </c>
    </row>
    <row r="2065" spans="2:5" x14ac:dyDescent="0.45">
      <c r="B2065" s="1"/>
      <c r="E2065" s="45" t="str">
        <f>IFERROR(AVERAGEIFS('Picarro Output'!G:G, 'Picarro Output'!$B:$B, 'Uncalibrated Data'!$C2065, 'Picarro Output'!$I:$I, 0, 'Picarro Output'!$J:$J, 1), "")</f>
        <v/>
      </c>
    </row>
    <row r="2066" spans="2:5" x14ac:dyDescent="0.45">
      <c r="B2066" s="1"/>
      <c r="E2066" s="45" t="str">
        <f>IFERROR(AVERAGEIFS('Picarro Output'!G:G, 'Picarro Output'!$B:$B, 'Uncalibrated Data'!$C2066, 'Picarro Output'!$I:$I, 0, 'Picarro Output'!$J:$J, 1), "")</f>
        <v/>
      </c>
    </row>
    <row r="2067" spans="2:5" x14ac:dyDescent="0.45">
      <c r="B2067" s="1"/>
      <c r="E2067" s="45" t="str">
        <f>IFERROR(AVERAGEIFS('Picarro Output'!G:G, 'Picarro Output'!$B:$B, 'Uncalibrated Data'!$C2067, 'Picarro Output'!$I:$I, 0, 'Picarro Output'!$J:$J, 1), "")</f>
        <v/>
      </c>
    </row>
    <row r="2068" spans="2:5" x14ac:dyDescent="0.45">
      <c r="B2068" s="1"/>
      <c r="E2068" s="45" t="str">
        <f>IFERROR(AVERAGEIFS('Picarro Output'!G:G, 'Picarro Output'!$B:$B, 'Uncalibrated Data'!$C2068, 'Picarro Output'!$I:$I, 0, 'Picarro Output'!$J:$J, 1), "")</f>
        <v/>
      </c>
    </row>
    <row r="2069" spans="2:5" x14ac:dyDescent="0.45">
      <c r="B2069" s="1"/>
      <c r="E2069" s="45" t="str">
        <f>IFERROR(AVERAGEIFS('Picarro Output'!G:G, 'Picarro Output'!$B:$B, 'Uncalibrated Data'!$C2069, 'Picarro Output'!$I:$I, 0, 'Picarro Output'!$J:$J, 1), "")</f>
        <v/>
      </c>
    </row>
    <row r="2070" spans="2:5" x14ac:dyDescent="0.45">
      <c r="B2070" s="1"/>
      <c r="E2070" s="45" t="str">
        <f>IFERROR(AVERAGEIFS('Picarro Output'!G:G, 'Picarro Output'!$B:$B, 'Uncalibrated Data'!$C2070, 'Picarro Output'!$I:$I, 0, 'Picarro Output'!$J:$J, 1), "")</f>
        <v/>
      </c>
    </row>
    <row r="2071" spans="2:5" x14ac:dyDescent="0.45">
      <c r="B2071" s="1"/>
      <c r="E2071" s="45" t="str">
        <f>IFERROR(AVERAGEIFS('Picarro Output'!G:G, 'Picarro Output'!$B:$B, 'Uncalibrated Data'!$C2071, 'Picarro Output'!$I:$I, 0, 'Picarro Output'!$J:$J, 1), "")</f>
        <v/>
      </c>
    </row>
    <row r="2072" spans="2:5" x14ac:dyDescent="0.45">
      <c r="B2072" s="1"/>
      <c r="E2072" s="45" t="str">
        <f>IFERROR(AVERAGEIFS('Picarro Output'!G:G, 'Picarro Output'!$B:$B, 'Uncalibrated Data'!$C2072, 'Picarro Output'!$I:$I, 0, 'Picarro Output'!$J:$J, 1), "")</f>
        <v/>
      </c>
    </row>
    <row r="2073" spans="2:5" x14ac:dyDescent="0.45">
      <c r="B2073" s="1"/>
      <c r="E2073" s="45" t="str">
        <f>IFERROR(AVERAGEIFS('Picarro Output'!G:G, 'Picarro Output'!$B:$B, 'Uncalibrated Data'!$C2073, 'Picarro Output'!$I:$I, 0, 'Picarro Output'!$J:$J, 1), "")</f>
        <v/>
      </c>
    </row>
    <row r="2074" spans="2:5" x14ac:dyDescent="0.45">
      <c r="B2074" s="1"/>
      <c r="E2074" s="45" t="str">
        <f>IFERROR(AVERAGEIFS('Picarro Output'!G:G, 'Picarro Output'!$B:$B, 'Uncalibrated Data'!$C2074, 'Picarro Output'!$I:$I, 0, 'Picarro Output'!$J:$J, 1), "")</f>
        <v/>
      </c>
    </row>
    <row r="2075" spans="2:5" x14ac:dyDescent="0.45">
      <c r="B2075" s="1"/>
      <c r="E2075" s="45" t="str">
        <f>IFERROR(AVERAGEIFS('Picarro Output'!G:G, 'Picarro Output'!$B:$B, 'Uncalibrated Data'!$C2075, 'Picarro Output'!$I:$I, 0, 'Picarro Output'!$J:$J, 1), "")</f>
        <v/>
      </c>
    </row>
    <row r="2076" spans="2:5" x14ac:dyDescent="0.45">
      <c r="B2076" s="1"/>
      <c r="E2076" s="45" t="str">
        <f>IFERROR(AVERAGEIFS('Picarro Output'!G:G, 'Picarro Output'!$B:$B, 'Uncalibrated Data'!$C2076, 'Picarro Output'!$I:$I, 0, 'Picarro Output'!$J:$J, 1), "")</f>
        <v/>
      </c>
    </row>
    <row r="2077" spans="2:5" x14ac:dyDescent="0.45">
      <c r="B2077" s="1"/>
      <c r="E2077" s="45" t="str">
        <f>IFERROR(AVERAGEIFS('Picarro Output'!G:G, 'Picarro Output'!$B:$B, 'Uncalibrated Data'!$C2077, 'Picarro Output'!$I:$I, 0, 'Picarro Output'!$J:$J, 1), "")</f>
        <v/>
      </c>
    </row>
    <row r="2078" spans="2:5" x14ac:dyDescent="0.45">
      <c r="B2078" s="1"/>
      <c r="E2078" s="45" t="str">
        <f>IFERROR(AVERAGEIFS('Picarro Output'!G:G, 'Picarro Output'!$B:$B, 'Uncalibrated Data'!$C2078, 'Picarro Output'!$I:$I, 0, 'Picarro Output'!$J:$J, 1), "")</f>
        <v/>
      </c>
    </row>
    <row r="2079" spans="2:5" x14ac:dyDescent="0.45">
      <c r="B2079" s="1"/>
      <c r="E2079" s="45" t="str">
        <f>IFERROR(AVERAGEIFS('Picarro Output'!G:G, 'Picarro Output'!$B:$B, 'Uncalibrated Data'!$C2079, 'Picarro Output'!$I:$I, 0, 'Picarro Output'!$J:$J, 1), "")</f>
        <v/>
      </c>
    </row>
    <row r="2080" spans="2:5" x14ac:dyDescent="0.45">
      <c r="B2080" s="1"/>
      <c r="E2080" s="45" t="str">
        <f>IFERROR(AVERAGEIFS('Picarro Output'!G:G, 'Picarro Output'!$B:$B, 'Uncalibrated Data'!$C2080, 'Picarro Output'!$I:$I, 0, 'Picarro Output'!$J:$J, 1), "")</f>
        <v/>
      </c>
    </row>
    <row r="2081" spans="2:5" x14ac:dyDescent="0.45">
      <c r="B2081" s="1"/>
      <c r="E2081" s="45" t="str">
        <f>IFERROR(AVERAGEIFS('Picarro Output'!G:G, 'Picarro Output'!$B:$B, 'Uncalibrated Data'!$C2081, 'Picarro Output'!$I:$I, 0, 'Picarro Output'!$J:$J, 1), "")</f>
        <v/>
      </c>
    </row>
    <row r="2082" spans="2:5" x14ac:dyDescent="0.45">
      <c r="B2082" s="1"/>
      <c r="E2082" s="45" t="str">
        <f>IFERROR(AVERAGEIFS('Picarro Output'!G:G, 'Picarro Output'!$B:$B, 'Uncalibrated Data'!$C2082, 'Picarro Output'!$I:$I, 0, 'Picarro Output'!$J:$J, 1), "")</f>
        <v/>
      </c>
    </row>
    <row r="2083" spans="2:5" x14ac:dyDescent="0.45">
      <c r="B2083" s="1"/>
      <c r="E2083" s="45" t="str">
        <f>IFERROR(AVERAGEIFS('Picarro Output'!G:G, 'Picarro Output'!$B:$B, 'Uncalibrated Data'!$C2083, 'Picarro Output'!$I:$I, 0, 'Picarro Output'!$J:$J, 1), "")</f>
        <v/>
      </c>
    </row>
    <row r="2084" spans="2:5" x14ac:dyDescent="0.45">
      <c r="B2084" s="1"/>
      <c r="E2084" s="45" t="str">
        <f>IFERROR(AVERAGEIFS('Picarro Output'!G:G, 'Picarro Output'!$B:$B, 'Uncalibrated Data'!$C2084, 'Picarro Output'!$I:$I, 0, 'Picarro Output'!$J:$J, 1), "")</f>
        <v/>
      </c>
    </row>
    <row r="2085" spans="2:5" x14ac:dyDescent="0.45">
      <c r="B2085" s="1"/>
      <c r="E2085" s="45" t="str">
        <f>IFERROR(AVERAGEIFS('Picarro Output'!G:G, 'Picarro Output'!$B:$B, 'Uncalibrated Data'!$C2085, 'Picarro Output'!$I:$I, 0, 'Picarro Output'!$J:$J, 1), "")</f>
        <v/>
      </c>
    </row>
    <row r="2086" spans="2:5" x14ac:dyDescent="0.45">
      <c r="B2086" s="1"/>
      <c r="E2086" s="45" t="str">
        <f>IFERROR(AVERAGEIFS('Picarro Output'!G:G, 'Picarro Output'!$B:$B, 'Uncalibrated Data'!$C2086, 'Picarro Output'!$I:$I, 0, 'Picarro Output'!$J:$J, 1), "")</f>
        <v/>
      </c>
    </row>
    <row r="2087" spans="2:5" x14ac:dyDescent="0.45">
      <c r="B2087" s="1"/>
      <c r="E2087" s="45" t="str">
        <f>IFERROR(AVERAGEIFS('Picarro Output'!G:G, 'Picarro Output'!$B:$B, 'Uncalibrated Data'!$C2087, 'Picarro Output'!$I:$I, 0, 'Picarro Output'!$J:$J, 1), "")</f>
        <v/>
      </c>
    </row>
    <row r="2088" spans="2:5" x14ac:dyDescent="0.45">
      <c r="B2088" s="1"/>
      <c r="E2088" s="45" t="str">
        <f>IFERROR(AVERAGEIFS('Picarro Output'!G:G, 'Picarro Output'!$B:$B, 'Uncalibrated Data'!$C2088, 'Picarro Output'!$I:$I, 0, 'Picarro Output'!$J:$J, 1), "")</f>
        <v/>
      </c>
    </row>
    <row r="2089" spans="2:5" x14ac:dyDescent="0.45">
      <c r="B2089" s="1"/>
      <c r="E2089" s="45" t="str">
        <f>IFERROR(AVERAGEIFS('Picarro Output'!G:G, 'Picarro Output'!$B:$B, 'Uncalibrated Data'!$C2089, 'Picarro Output'!$I:$I, 0, 'Picarro Output'!$J:$J, 1), "")</f>
        <v/>
      </c>
    </row>
    <row r="2090" spans="2:5" x14ac:dyDescent="0.45">
      <c r="B2090" s="1"/>
      <c r="E2090" s="45" t="str">
        <f>IFERROR(AVERAGEIFS('Picarro Output'!G:G, 'Picarro Output'!$B:$B, 'Uncalibrated Data'!$C2090, 'Picarro Output'!$I:$I, 0, 'Picarro Output'!$J:$J, 1), "")</f>
        <v/>
      </c>
    </row>
    <row r="2091" spans="2:5" x14ac:dyDescent="0.45">
      <c r="B2091" s="1"/>
      <c r="E2091" s="45" t="str">
        <f>IFERROR(AVERAGEIFS('Picarro Output'!G:G, 'Picarro Output'!$B:$B, 'Uncalibrated Data'!$C2091, 'Picarro Output'!$I:$I, 0, 'Picarro Output'!$J:$J, 1), "")</f>
        <v/>
      </c>
    </row>
    <row r="2092" spans="2:5" x14ac:dyDescent="0.45">
      <c r="B2092" s="1"/>
      <c r="E2092" s="45" t="str">
        <f>IFERROR(AVERAGEIFS('Picarro Output'!G:G, 'Picarro Output'!$B:$B, 'Uncalibrated Data'!$C2092, 'Picarro Output'!$I:$I, 0, 'Picarro Output'!$J:$J, 1), "")</f>
        <v/>
      </c>
    </row>
    <row r="2093" spans="2:5" x14ac:dyDescent="0.45">
      <c r="B2093" s="1"/>
      <c r="E2093" s="45" t="str">
        <f>IFERROR(AVERAGEIFS('Picarro Output'!G:G, 'Picarro Output'!$B:$B, 'Uncalibrated Data'!$C2093, 'Picarro Output'!$I:$I, 0, 'Picarro Output'!$J:$J, 1), "")</f>
        <v/>
      </c>
    </row>
    <row r="2094" spans="2:5" x14ac:dyDescent="0.45">
      <c r="B2094" s="1"/>
      <c r="E2094" s="45" t="str">
        <f>IFERROR(AVERAGEIFS('Picarro Output'!G:G, 'Picarro Output'!$B:$B, 'Uncalibrated Data'!$C2094, 'Picarro Output'!$I:$I, 0, 'Picarro Output'!$J:$J, 1), "")</f>
        <v/>
      </c>
    </row>
    <row r="2095" spans="2:5" x14ac:dyDescent="0.45">
      <c r="B2095" s="1"/>
      <c r="E2095" s="45" t="str">
        <f>IFERROR(AVERAGEIFS('Picarro Output'!G:G, 'Picarro Output'!$B:$B, 'Uncalibrated Data'!$C2095, 'Picarro Output'!$I:$I, 0, 'Picarro Output'!$J:$J, 1), "")</f>
        <v/>
      </c>
    </row>
    <row r="2096" spans="2:5" x14ac:dyDescent="0.45">
      <c r="B2096" s="1"/>
      <c r="E2096" s="45" t="str">
        <f>IFERROR(AVERAGEIFS('Picarro Output'!G:G, 'Picarro Output'!$B:$B, 'Uncalibrated Data'!$C2096, 'Picarro Output'!$I:$I, 0, 'Picarro Output'!$J:$J, 1), "")</f>
        <v/>
      </c>
    </row>
    <row r="2097" spans="2:5" x14ac:dyDescent="0.45">
      <c r="B2097" s="1"/>
      <c r="E2097" s="45" t="str">
        <f>IFERROR(AVERAGEIFS('Picarro Output'!G:G, 'Picarro Output'!$B:$B, 'Uncalibrated Data'!$C2097, 'Picarro Output'!$I:$I, 0, 'Picarro Output'!$J:$J, 1), "")</f>
        <v/>
      </c>
    </row>
    <row r="2098" spans="2:5" x14ac:dyDescent="0.45">
      <c r="B2098" s="1"/>
      <c r="E2098" s="45" t="str">
        <f>IFERROR(AVERAGEIFS('Picarro Output'!G:G, 'Picarro Output'!$B:$B, 'Uncalibrated Data'!$C2098, 'Picarro Output'!$I:$I, 0, 'Picarro Output'!$J:$J, 1), "")</f>
        <v/>
      </c>
    </row>
    <row r="2099" spans="2:5" x14ac:dyDescent="0.45">
      <c r="B2099" s="1"/>
      <c r="E2099" s="45" t="str">
        <f>IFERROR(AVERAGEIFS('Picarro Output'!G:G, 'Picarro Output'!$B:$B, 'Uncalibrated Data'!$C2099, 'Picarro Output'!$I:$I, 0, 'Picarro Output'!$J:$J, 1), "")</f>
        <v/>
      </c>
    </row>
    <row r="2100" spans="2:5" x14ac:dyDescent="0.45">
      <c r="B2100" s="1"/>
      <c r="E2100" s="45" t="str">
        <f>IFERROR(AVERAGEIFS('Picarro Output'!G:G, 'Picarro Output'!$B:$B, 'Uncalibrated Data'!$C2100, 'Picarro Output'!$I:$I, 0, 'Picarro Output'!$J:$J, 1), "")</f>
        <v/>
      </c>
    </row>
    <row r="2101" spans="2:5" x14ac:dyDescent="0.45">
      <c r="B2101" s="1"/>
      <c r="E2101" s="45" t="str">
        <f>IFERROR(AVERAGEIFS('Picarro Output'!G:G, 'Picarro Output'!$B:$B, 'Uncalibrated Data'!$C2101, 'Picarro Output'!$I:$I, 0, 'Picarro Output'!$J:$J, 1), "")</f>
        <v/>
      </c>
    </row>
    <row r="2102" spans="2:5" x14ac:dyDescent="0.45">
      <c r="B2102" s="1"/>
      <c r="E2102" s="45" t="str">
        <f>IFERROR(AVERAGEIFS('Picarro Output'!G:G, 'Picarro Output'!$B:$B, 'Uncalibrated Data'!$C2102, 'Picarro Output'!$I:$I, 0, 'Picarro Output'!$J:$J, 1), "")</f>
        <v/>
      </c>
    </row>
    <row r="2103" spans="2:5" x14ac:dyDescent="0.45">
      <c r="B2103" s="1"/>
      <c r="E2103" s="45" t="str">
        <f>IFERROR(AVERAGEIFS('Picarro Output'!G:G, 'Picarro Output'!$B:$B, 'Uncalibrated Data'!$C2103, 'Picarro Output'!$I:$I, 0, 'Picarro Output'!$J:$J, 1), "")</f>
        <v/>
      </c>
    </row>
    <row r="2104" spans="2:5" x14ac:dyDescent="0.45">
      <c r="B2104" s="1"/>
      <c r="E2104" s="45" t="str">
        <f>IFERROR(AVERAGEIFS('Picarro Output'!G:G, 'Picarro Output'!$B:$B, 'Uncalibrated Data'!$C2104, 'Picarro Output'!$I:$I, 0, 'Picarro Output'!$J:$J, 1), "")</f>
        <v/>
      </c>
    </row>
    <row r="2105" spans="2:5" x14ac:dyDescent="0.45">
      <c r="B2105" s="1"/>
      <c r="E2105" s="45" t="str">
        <f>IFERROR(AVERAGEIFS('Picarro Output'!G:G, 'Picarro Output'!$B:$B, 'Uncalibrated Data'!$C2105, 'Picarro Output'!$I:$I, 0, 'Picarro Output'!$J:$J, 1), "")</f>
        <v/>
      </c>
    </row>
    <row r="2106" spans="2:5" x14ac:dyDescent="0.45">
      <c r="B2106" s="1"/>
      <c r="E2106" s="45" t="str">
        <f>IFERROR(AVERAGEIFS('Picarro Output'!G:G, 'Picarro Output'!$B:$B, 'Uncalibrated Data'!$C2106, 'Picarro Output'!$I:$I, 0, 'Picarro Output'!$J:$J, 1), "")</f>
        <v/>
      </c>
    </row>
    <row r="2107" spans="2:5" x14ac:dyDescent="0.45">
      <c r="B2107" s="1"/>
      <c r="E2107" s="45" t="str">
        <f>IFERROR(AVERAGEIFS('Picarro Output'!G:G, 'Picarro Output'!$B:$B, 'Uncalibrated Data'!$C2107, 'Picarro Output'!$I:$I, 0, 'Picarro Output'!$J:$J, 1), "")</f>
        <v/>
      </c>
    </row>
    <row r="2108" spans="2:5" x14ac:dyDescent="0.45">
      <c r="B2108" s="1"/>
      <c r="E2108" s="45" t="str">
        <f>IFERROR(AVERAGEIFS('Picarro Output'!G:G, 'Picarro Output'!$B:$B, 'Uncalibrated Data'!$C2108, 'Picarro Output'!$I:$I, 0, 'Picarro Output'!$J:$J, 1), "")</f>
        <v/>
      </c>
    </row>
    <row r="2109" spans="2:5" x14ac:dyDescent="0.45">
      <c r="B2109" s="1"/>
      <c r="E2109" s="45" t="str">
        <f>IFERROR(AVERAGEIFS('Picarro Output'!G:G, 'Picarro Output'!$B:$B, 'Uncalibrated Data'!$C2109, 'Picarro Output'!$I:$I, 0, 'Picarro Output'!$J:$J, 1), "")</f>
        <v/>
      </c>
    </row>
    <row r="2110" spans="2:5" x14ac:dyDescent="0.45">
      <c r="B2110" s="1"/>
      <c r="E2110" s="45" t="str">
        <f>IFERROR(AVERAGEIFS('Picarro Output'!G:G, 'Picarro Output'!$B:$B, 'Uncalibrated Data'!$C2110, 'Picarro Output'!$I:$I, 0, 'Picarro Output'!$J:$J, 1), "")</f>
        <v/>
      </c>
    </row>
    <row r="2111" spans="2:5" x14ac:dyDescent="0.45">
      <c r="B2111" s="1"/>
      <c r="E2111" s="45" t="str">
        <f>IFERROR(AVERAGEIFS('Picarro Output'!G:G, 'Picarro Output'!$B:$B, 'Uncalibrated Data'!$C2111, 'Picarro Output'!$I:$I, 0, 'Picarro Output'!$J:$J, 1), "")</f>
        <v/>
      </c>
    </row>
    <row r="2112" spans="2:5" x14ac:dyDescent="0.45">
      <c r="B2112" s="1"/>
      <c r="E2112" s="45" t="str">
        <f>IFERROR(AVERAGEIFS('Picarro Output'!G:G, 'Picarro Output'!$B:$B, 'Uncalibrated Data'!$C2112, 'Picarro Output'!$I:$I, 0, 'Picarro Output'!$J:$J, 1), "")</f>
        <v/>
      </c>
    </row>
    <row r="2113" spans="2:5" x14ac:dyDescent="0.45">
      <c r="B2113" s="1"/>
      <c r="E2113" s="45" t="str">
        <f>IFERROR(AVERAGEIFS('Picarro Output'!G:G, 'Picarro Output'!$B:$B, 'Uncalibrated Data'!$C2113, 'Picarro Output'!$I:$I, 0, 'Picarro Output'!$J:$J, 1), "")</f>
        <v/>
      </c>
    </row>
    <row r="2114" spans="2:5" x14ac:dyDescent="0.45">
      <c r="B2114" s="1"/>
      <c r="E2114" s="45" t="str">
        <f>IFERROR(AVERAGEIFS('Picarro Output'!G:G, 'Picarro Output'!$B:$B, 'Uncalibrated Data'!$C2114, 'Picarro Output'!$I:$I, 0, 'Picarro Output'!$J:$J, 1), "")</f>
        <v/>
      </c>
    </row>
    <row r="2115" spans="2:5" x14ac:dyDescent="0.45">
      <c r="B2115" s="1"/>
      <c r="E2115" s="45" t="str">
        <f>IFERROR(AVERAGEIFS('Picarro Output'!G:G, 'Picarro Output'!$B:$B, 'Uncalibrated Data'!$C2115, 'Picarro Output'!$I:$I, 0, 'Picarro Output'!$J:$J, 1), "")</f>
        <v/>
      </c>
    </row>
    <row r="2116" spans="2:5" x14ac:dyDescent="0.45">
      <c r="B2116" s="1"/>
      <c r="E2116" s="45" t="str">
        <f>IFERROR(AVERAGEIFS('Picarro Output'!G:G, 'Picarro Output'!$B:$B, 'Uncalibrated Data'!$C2116, 'Picarro Output'!$I:$I, 0, 'Picarro Output'!$J:$J, 1), "")</f>
        <v/>
      </c>
    </row>
    <row r="2117" spans="2:5" x14ac:dyDescent="0.45">
      <c r="B2117" s="1"/>
      <c r="E2117" s="45" t="str">
        <f>IFERROR(AVERAGEIFS('Picarro Output'!G:G, 'Picarro Output'!$B:$B, 'Uncalibrated Data'!$C2117, 'Picarro Output'!$I:$I, 0, 'Picarro Output'!$J:$J, 1), "")</f>
        <v/>
      </c>
    </row>
    <row r="2118" spans="2:5" x14ac:dyDescent="0.45">
      <c r="B2118" s="1"/>
      <c r="E2118" s="45" t="str">
        <f>IFERROR(AVERAGEIFS('Picarro Output'!G:G, 'Picarro Output'!$B:$B, 'Uncalibrated Data'!$C2118, 'Picarro Output'!$I:$I, 0, 'Picarro Output'!$J:$J, 1), "")</f>
        <v/>
      </c>
    </row>
    <row r="2119" spans="2:5" x14ac:dyDescent="0.45">
      <c r="B2119" s="1"/>
      <c r="E2119" s="45" t="str">
        <f>IFERROR(AVERAGEIFS('Picarro Output'!G:G, 'Picarro Output'!$B:$B, 'Uncalibrated Data'!$C2119, 'Picarro Output'!$I:$I, 0, 'Picarro Output'!$J:$J, 1), "")</f>
        <v/>
      </c>
    </row>
    <row r="2120" spans="2:5" x14ac:dyDescent="0.45">
      <c r="B2120" s="1"/>
      <c r="E2120" s="45" t="str">
        <f>IFERROR(AVERAGEIFS('Picarro Output'!G:G, 'Picarro Output'!$B:$B, 'Uncalibrated Data'!$C2120, 'Picarro Output'!$I:$I, 0, 'Picarro Output'!$J:$J, 1), "")</f>
        <v/>
      </c>
    </row>
    <row r="2121" spans="2:5" x14ac:dyDescent="0.45">
      <c r="B2121" s="1"/>
      <c r="E2121" s="45" t="str">
        <f>IFERROR(AVERAGEIFS('Picarro Output'!G:G, 'Picarro Output'!$B:$B, 'Uncalibrated Data'!$C2121, 'Picarro Output'!$I:$I, 0, 'Picarro Output'!$J:$J, 1), "")</f>
        <v/>
      </c>
    </row>
    <row r="2122" spans="2:5" x14ac:dyDescent="0.45">
      <c r="B2122" s="1"/>
      <c r="E2122" s="45" t="str">
        <f>IFERROR(AVERAGEIFS('Picarro Output'!G:G, 'Picarro Output'!$B:$B, 'Uncalibrated Data'!$C2122, 'Picarro Output'!$I:$I, 0, 'Picarro Output'!$J:$J, 1), "")</f>
        <v/>
      </c>
    </row>
    <row r="2123" spans="2:5" x14ac:dyDescent="0.45">
      <c r="B2123" s="1"/>
      <c r="E2123" s="45" t="str">
        <f>IFERROR(AVERAGEIFS('Picarro Output'!G:G, 'Picarro Output'!$B:$B, 'Uncalibrated Data'!$C2123, 'Picarro Output'!$I:$I, 0, 'Picarro Output'!$J:$J, 1), "")</f>
        <v/>
      </c>
    </row>
    <row r="2124" spans="2:5" x14ac:dyDescent="0.45">
      <c r="B2124" s="1"/>
      <c r="E2124" s="45" t="str">
        <f>IFERROR(AVERAGEIFS('Picarro Output'!G:G, 'Picarro Output'!$B:$B, 'Uncalibrated Data'!$C2124, 'Picarro Output'!$I:$I, 0, 'Picarro Output'!$J:$J, 1), "")</f>
        <v/>
      </c>
    </row>
    <row r="2125" spans="2:5" x14ac:dyDescent="0.45">
      <c r="B2125" s="1"/>
      <c r="E2125" s="45" t="str">
        <f>IFERROR(AVERAGEIFS('Picarro Output'!G:G, 'Picarro Output'!$B:$B, 'Uncalibrated Data'!$C2125, 'Picarro Output'!$I:$I, 0, 'Picarro Output'!$J:$J, 1), "")</f>
        <v/>
      </c>
    </row>
    <row r="2126" spans="2:5" x14ac:dyDescent="0.45">
      <c r="B2126" s="1"/>
      <c r="E2126" s="45" t="str">
        <f>IFERROR(AVERAGEIFS('Picarro Output'!G:G, 'Picarro Output'!$B:$B, 'Uncalibrated Data'!$C2126, 'Picarro Output'!$I:$I, 0, 'Picarro Output'!$J:$J, 1), "")</f>
        <v/>
      </c>
    </row>
    <row r="2127" spans="2:5" x14ac:dyDescent="0.45">
      <c r="B2127" s="1"/>
      <c r="E2127" s="45" t="str">
        <f>IFERROR(AVERAGEIFS('Picarro Output'!G:G, 'Picarro Output'!$B:$B, 'Uncalibrated Data'!$C2127, 'Picarro Output'!$I:$I, 0, 'Picarro Output'!$J:$J, 1), "")</f>
        <v/>
      </c>
    </row>
    <row r="2128" spans="2:5" x14ac:dyDescent="0.45">
      <c r="B2128" s="1"/>
      <c r="E2128" s="45" t="str">
        <f>IFERROR(AVERAGEIFS('Picarro Output'!G:G, 'Picarro Output'!$B:$B, 'Uncalibrated Data'!$C2128, 'Picarro Output'!$I:$I, 0, 'Picarro Output'!$J:$J, 1), "")</f>
        <v/>
      </c>
    </row>
    <row r="2129" spans="2:5" x14ac:dyDescent="0.45">
      <c r="B2129" s="1"/>
      <c r="E2129" s="45" t="str">
        <f>IFERROR(AVERAGEIFS('Picarro Output'!G:G, 'Picarro Output'!$B:$B, 'Uncalibrated Data'!$C2129, 'Picarro Output'!$I:$I, 0, 'Picarro Output'!$J:$J, 1), "")</f>
        <v/>
      </c>
    </row>
    <row r="2130" spans="2:5" x14ac:dyDescent="0.45">
      <c r="B2130" s="1"/>
      <c r="E2130" s="45" t="str">
        <f>IFERROR(AVERAGEIFS('Picarro Output'!G:G, 'Picarro Output'!$B:$B, 'Uncalibrated Data'!$C2130, 'Picarro Output'!$I:$I, 0, 'Picarro Output'!$J:$J, 1), "")</f>
        <v/>
      </c>
    </row>
    <row r="2131" spans="2:5" x14ac:dyDescent="0.45">
      <c r="B2131" s="1"/>
      <c r="E2131" s="45" t="str">
        <f>IFERROR(AVERAGEIFS('Picarro Output'!G:G, 'Picarro Output'!$B:$B, 'Uncalibrated Data'!$C2131, 'Picarro Output'!$I:$I, 0, 'Picarro Output'!$J:$J, 1), "")</f>
        <v/>
      </c>
    </row>
    <row r="2132" spans="2:5" x14ac:dyDescent="0.45">
      <c r="B2132" s="1"/>
      <c r="E2132" s="45" t="str">
        <f>IFERROR(AVERAGEIFS('Picarro Output'!G:G, 'Picarro Output'!$B:$B, 'Uncalibrated Data'!$C2132, 'Picarro Output'!$I:$I, 0, 'Picarro Output'!$J:$J, 1), "")</f>
        <v/>
      </c>
    </row>
    <row r="2133" spans="2:5" x14ac:dyDescent="0.45">
      <c r="B2133" s="1"/>
      <c r="E2133" s="45" t="str">
        <f>IFERROR(AVERAGEIFS('Picarro Output'!G:G, 'Picarro Output'!$B:$B, 'Uncalibrated Data'!$C2133, 'Picarro Output'!$I:$I, 0, 'Picarro Output'!$J:$J, 1), "")</f>
        <v/>
      </c>
    </row>
    <row r="2134" spans="2:5" x14ac:dyDescent="0.45">
      <c r="B2134" s="1"/>
      <c r="E2134" s="45" t="str">
        <f>IFERROR(AVERAGEIFS('Picarro Output'!G:G, 'Picarro Output'!$B:$B, 'Uncalibrated Data'!$C2134, 'Picarro Output'!$I:$I, 0, 'Picarro Output'!$J:$J, 1), "")</f>
        <v/>
      </c>
    </row>
    <row r="2135" spans="2:5" x14ac:dyDescent="0.45">
      <c r="B2135" s="1"/>
      <c r="E2135" s="45" t="str">
        <f>IFERROR(AVERAGEIFS('Picarro Output'!G:G, 'Picarro Output'!$B:$B, 'Uncalibrated Data'!$C2135, 'Picarro Output'!$I:$I, 0, 'Picarro Output'!$J:$J, 1), "")</f>
        <v/>
      </c>
    </row>
    <row r="2136" spans="2:5" x14ac:dyDescent="0.45">
      <c r="B2136" s="1"/>
      <c r="E2136" s="45" t="str">
        <f>IFERROR(AVERAGEIFS('Picarro Output'!G:G, 'Picarro Output'!$B:$B, 'Uncalibrated Data'!$C2136, 'Picarro Output'!$I:$I, 0, 'Picarro Output'!$J:$J, 1), "")</f>
        <v/>
      </c>
    </row>
    <row r="2137" spans="2:5" x14ac:dyDescent="0.45">
      <c r="B2137" s="1"/>
      <c r="E2137" s="45" t="str">
        <f>IFERROR(AVERAGEIFS('Picarro Output'!G:G, 'Picarro Output'!$B:$B, 'Uncalibrated Data'!$C2137, 'Picarro Output'!$I:$I, 0, 'Picarro Output'!$J:$J, 1), "")</f>
        <v/>
      </c>
    </row>
    <row r="2138" spans="2:5" x14ac:dyDescent="0.45">
      <c r="B2138" s="1"/>
      <c r="E2138" s="45" t="str">
        <f>IFERROR(AVERAGEIFS('Picarro Output'!G:G, 'Picarro Output'!$B:$B, 'Uncalibrated Data'!$C2138, 'Picarro Output'!$I:$I, 0, 'Picarro Output'!$J:$J, 1), "")</f>
        <v/>
      </c>
    </row>
    <row r="2139" spans="2:5" x14ac:dyDescent="0.45">
      <c r="B2139" s="1"/>
      <c r="E2139" s="45" t="str">
        <f>IFERROR(AVERAGEIFS('Picarro Output'!G:G, 'Picarro Output'!$B:$B, 'Uncalibrated Data'!$C2139, 'Picarro Output'!$I:$I, 0, 'Picarro Output'!$J:$J, 1), "")</f>
        <v/>
      </c>
    </row>
    <row r="2140" spans="2:5" x14ac:dyDescent="0.45">
      <c r="B2140" s="1"/>
      <c r="E2140" s="45" t="str">
        <f>IFERROR(AVERAGEIFS('Picarro Output'!G:G, 'Picarro Output'!$B:$B, 'Uncalibrated Data'!$C2140, 'Picarro Output'!$I:$I, 0, 'Picarro Output'!$J:$J, 1), "")</f>
        <v/>
      </c>
    </row>
    <row r="2141" spans="2:5" x14ac:dyDescent="0.45">
      <c r="B2141" s="1"/>
      <c r="E2141" s="45" t="str">
        <f>IFERROR(AVERAGEIFS('Picarro Output'!G:G, 'Picarro Output'!$B:$B, 'Uncalibrated Data'!$C2141, 'Picarro Output'!$I:$I, 0, 'Picarro Output'!$J:$J, 1), "")</f>
        <v/>
      </c>
    </row>
    <row r="2142" spans="2:5" x14ac:dyDescent="0.45">
      <c r="B2142" s="1"/>
      <c r="E2142" s="45" t="str">
        <f>IFERROR(AVERAGEIFS('Picarro Output'!G:G, 'Picarro Output'!$B:$B, 'Uncalibrated Data'!$C2142, 'Picarro Output'!$I:$I, 0, 'Picarro Output'!$J:$J, 1), "")</f>
        <v/>
      </c>
    </row>
    <row r="2143" spans="2:5" x14ac:dyDescent="0.45">
      <c r="B2143" s="1"/>
      <c r="E2143" s="45" t="str">
        <f>IFERROR(AVERAGEIFS('Picarro Output'!G:G, 'Picarro Output'!$B:$B, 'Uncalibrated Data'!$C2143, 'Picarro Output'!$I:$I, 0, 'Picarro Output'!$J:$J, 1), "")</f>
        <v/>
      </c>
    </row>
    <row r="2144" spans="2:5" x14ac:dyDescent="0.45">
      <c r="B2144" s="1"/>
      <c r="E2144" s="45" t="str">
        <f>IFERROR(AVERAGEIFS('Picarro Output'!G:G, 'Picarro Output'!$B:$B, 'Uncalibrated Data'!$C2144, 'Picarro Output'!$I:$I, 0, 'Picarro Output'!$J:$J, 1), "")</f>
        <v/>
      </c>
    </row>
    <row r="2145" spans="2:5" x14ac:dyDescent="0.45">
      <c r="B2145" s="1"/>
      <c r="E2145" s="45" t="str">
        <f>IFERROR(AVERAGEIFS('Picarro Output'!G:G, 'Picarro Output'!$B:$B, 'Uncalibrated Data'!$C2145, 'Picarro Output'!$I:$I, 0, 'Picarro Output'!$J:$J, 1), "")</f>
        <v/>
      </c>
    </row>
    <row r="2146" spans="2:5" x14ac:dyDescent="0.45">
      <c r="B2146" s="1"/>
      <c r="E2146" s="45" t="str">
        <f>IFERROR(AVERAGEIFS('Picarro Output'!G:G, 'Picarro Output'!$B:$B, 'Uncalibrated Data'!$C2146, 'Picarro Output'!$I:$I, 0, 'Picarro Output'!$J:$J, 1), "")</f>
        <v/>
      </c>
    </row>
    <row r="2147" spans="2:5" x14ac:dyDescent="0.45">
      <c r="B2147" s="1"/>
      <c r="E2147" s="45" t="str">
        <f>IFERROR(AVERAGEIFS('Picarro Output'!G:G, 'Picarro Output'!$B:$B, 'Uncalibrated Data'!$C2147, 'Picarro Output'!$I:$I, 0, 'Picarro Output'!$J:$J, 1), "")</f>
        <v/>
      </c>
    </row>
    <row r="2148" spans="2:5" x14ac:dyDescent="0.45">
      <c r="B2148" s="1"/>
      <c r="E2148" s="45" t="str">
        <f>IFERROR(AVERAGEIFS('Picarro Output'!G:G, 'Picarro Output'!$B:$B, 'Uncalibrated Data'!$C2148, 'Picarro Output'!$I:$I, 0, 'Picarro Output'!$J:$J, 1), "")</f>
        <v/>
      </c>
    </row>
    <row r="2149" spans="2:5" x14ac:dyDescent="0.45">
      <c r="B2149" s="1"/>
      <c r="E2149" s="45" t="str">
        <f>IFERROR(AVERAGEIFS('Picarro Output'!G:G, 'Picarro Output'!$B:$B, 'Uncalibrated Data'!$C2149, 'Picarro Output'!$I:$I, 0, 'Picarro Output'!$J:$J, 1), "")</f>
        <v/>
      </c>
    </row>
    <row r="2150" spans="2:5" x14ac:dyDescent="0.45">
      <c r="B2150" s="1"/>
      <c r="E2150" s="45" t="str">
        <f>IFERROR(AVERAGEIFS('Picarro Output'!G:G, 'Picarro Output'!$B:$B, 'Uncalibrated Data'!$C2150, 'Picarro Output'!$I:$I, 0, 'Picarro Output'!$J:$J, 1), "")</f>
        <v/>
      </c>
    </row>
    <row r="2151" spans="2:5" x14ac:dyDescent="0.45">
      <c r="B2151" s="1"/>
      <c r="E2151" s="45" t="str">
        <f>IFERROR(AVERAGEIFS('Picarro Output'!G:G, 'Picarro Output'!$B:$B, 'Uncalibrated Data'!$C2151, 'Picarro Output'!$I:$I, 0, 'Picarro Output'!$J:$J, 1), "")</f>
        <v/>
      </c>
    </row>
    <row r="2152" spans="2:5" x14ac:dyDescent="0.45">
      <c r="B2152" s="1"/>
      <c r="E2152" s="45" t="str">
        <f>IFERROR(AVERAGEIFS('Picarro Output'!G:G, 'Picarro Output'!$B:$B, 'Uncalibrated Data'!$C2152, 'Picarro Output'!$I:$I, 0, 'Picarro Output'!$J:$J, 1), "")</f>
        <v/>
      </c>
    </row>
    <row r="2153" spans="2:5" x14ac:dyDescent="0.45">
      <c r="B2153" s="1"/>
      <c r="E2153" s="45" t="str">
        <f>IFERROR(AVERAGEIFS('Picarro Output'!G:G, 'Picarro Output'!$B:$B, 'Uncalibrated Data'!$C2153, 'Picarro Output'!$I:$I, 0, 'Picarro Output'!$J:$J, 1), "")</f>
        <v/>
      </c>
    </row>
    <row r="2154" spans="2:5" x14ac:dyDescent="0.45">
      <c r="B2154" s="1"/>
      <c r="E2154" s="45" t="str">
        <f>IFERROR(AVERAGEIFS('Picarro Output'!G:G, 'Picarro Output'!$B:$B, 'Uncalibrated Data'!$C2154, 'Picarro Output'!$I:$I, 0, 'Picarro Output'!$J:$J, 1), "")</f>
        <v/>
      </c>
    </row>
    <row r="2155" spans="2:5" x14ac:dyDescent="0.45">
      <c r="B2155" s="1"/>
      <c r="E2155" s="45" t="str">
        <f>IFERROR(AVERAGEIFS('Picarro Output'!G:G, 'Picarro Output'!$B:$B, 'Uncalibrated Data'!$C2155, 'Picarro Output'!$I:$I, 0, 'Picarro Output'!$J:$J, 1), "")</f>
        <v/>
      </c>
    </row>
    <row r="2156" spans="2:5" x14ac:dyDescent="0.45">
      <c r="B2156" s="1"/>
      <c r="E2156" s="45" t="str">
        <f>IFERROR(AVERAGEIFS('Picarro Output'!G:G, 'Picarro Output'!$B:$B, 'Uncalibrated Data'!$C2156, 'Picarro Output'!$I:$I, 0, 'Picarro Output'!$J:$J, 1), "")</f>
        <v/>
      </c>
    </row>
    <row r="2157" spans="2:5" x14ac:dyDescent="0.45">
      <c r="B2157" s="1"/>
      <c r="E2157" s="45" t="str">
        <f>IFERROR(AVERAGEIFS('Picarro Output'!G:G, 'Picarro Output'!$B:$B, 'Uncalibrated Data'!$C2157, 'Picarro Output'!$I:$I, 0, 'Picarro Output'!$J:$J, 1), "")</f>
        <v/>
      </c>
    </row>
    <row r="2158" spans="2:5" x14ac:dyDescent="0.45">
      <c r="B2158" s="1"/>
      <c r="E2158" s="45" t="str">
        <f>IFERROR(AVERAGEIFS('Picarro Output'!G:G, 'Picarro Output'!$B:$B, 'Uncalibrated Data'!$C2158, 'Picarro Output'!$I:$I, 0, 'Picarro Output'!$J:$J, 1), "")</f>
        <v/>
      </c>
    </row>
    <row r="2159" spans="2:5" x14ac:dyDescent="0.45">
      <c r="B2159" s="1"/>
      <c r="E2159" s="45" t="str">
        <f>IFERROR(AVERAGEIFS('Picarro Output'!G:G, 'Picarro Output'!$B:$B, 'Uncalibrated Data'!$C2159, 'Picarro Output'!$I:$I, 0, 'Picarro Output'!$J:$J, 1), "")</f>
        <v/>
      </c>
    </row>
    <row r="2160" spans="2:5" x14ac:dyDescent="0.45">
      <c r="B2160" s="1"/>
      <c r="E2160" s="45" t="str">
        <f>IFERROR(AVERAGEIFS('Picarro Output'!G:G, 'Picarro Output'!$B:$B, 'Uncalibrated Data'!$C2160, 'Picarro Output'!$I:$I, 0, 'Picarro Output'!$J:$J, 1), "")</f>
        <v/>
      </c>
    </row>
    <row r="2161" spans="2:5" x14ac:dyDescent="0.45">
      <c r="B2161" s="1"/>
      <c r="E2161" s="45" t="str">
        <f>IFERROR(AVERAGEIFS('Picarro Output'!G:G, 'Picarro Output'!$B:$B, 'Uncalibrated Data'!$C2161, 'Picarro Output'!$I:$I, 0, 'Picarro Output'!$J:$J, 1), "")</f>
        <v/>
      </c>
    </row>
    <row r="2162" spans="2:5" x14ac:dyDescent="0.45">
      <c r="B2162" s="1"/>
      <c r="E2162" s="45" t="str">
        <f>IFERROR(AVERAGEIFS('Picarro Output'!G:G, 'Picarro Output'!$B:$B, 'Uncalibrated Data'!$C2162, 'Picarro Output'!$I:$I, 0, 'Picarro Output'!$J:$J, 1), "")</f>
        <v/>
      </c>
    </row>
    <row r="2163" spans="2:5" x14ac:dyDescent="0.45">
      <c r="B2163" s="1"/>
      <c r="E2163" s="45" t="str">
        <f>IFERROR(AVERAGEIFS('Picarro Output'!G:G, 'Picarro Output'!$B:$B, 'Uncalibrated Data'!$C2163, 'Picarro Output'!$I:$I, 0, 'Picarro Output'!$J:$J, 1), "")</f>
        <v/>
      </c>
    </row>
    <row r="2164" spans="2:5" x14ac:dyDescent="0.45">
      <c r="B2164" s="1"/>
      <c r="E2164" s="45" t="str">
        <f>IFERROR(AVERAGEIFS('Picarro Output'!G:G, 'Picarro Output'!$B:$B, 'Uncalibrated Data'!$C2164, 'Picarro Output'!$I:$I, 0, 'Picarro Output'!$J:$J, 1), "")</f>
        <v/>
      </c>
    </row>
    <row r="2165" spans="2:5" x14ac:dyDescent="0.45">
      <c r="B2165" s="1"/>
      <c r="E2165" s="45" t="str">
        <f>IFERROR(AVERAGEIFS('Picarro Output'!G:G, 'Picarro Output'!$B:$B, 'Uncalibrated Data'!$C2165, 'Picarro Output'!$I:$I, 0, 'Picarro Output'!$J:$J, 1), "")</f>
        <v/>
      </c>
    </row>
    <row r="2166" spans="2:5" x14ac:dyDescent="0.45">
      <c r="B2166" s="1"/>
      <c r="E2166" s="45" t="str">
        <f>IFERROR(AVERAGEIFS('Picarro Output'!G:G, 'Picarro Output'!$B:$B, 'Uncalibrated Data'!$C2166, 'Picarro Output'!$I:$I, 0, 'Picarro Output'!$J:$J, 1), "")</f>
        <v/>
      </c>
    </row>
    <row r="2167" spans="2:5" x14ac:dyDescent="0.45">
      <c r="B2167" s="1"/>
      <c r="E2167" s="45" t="str">
        <f>IFERROR(AVERAGEIFS('Picarro Output'!G:G, 'Picarro Output'!$B:$B, 'Uncalibrated Data'!$C2167, 'Picarro Output'!$I:$I, 0, 'Picarro Output'!$J:$J, 1), "")</f>
        <v/>
      </c>
    </row>
    <row r="2168" spans="2:5" x14ac:dyDescent="0.45">
      <c r="B2168" s="1"/>
      <c r="E2168" s="45" t="str">
        <f>IFERROR(AVERAGEIFS('Picarro Output'!G:G, 'Picarro Output'!$B:$B, 'Uncalibrated Data'!$C2168, 'Picarro Output'!$I:$I, 0, 'Picarro Output'!$J:$J, 1), "")</f>
        <v/>
      </c>
    </row>
    <row r="2169" spans="2:5" x14ac:dyDescent="0.45">
      <c r="B2169" s="1"/>
      <c r="E2169" s="45" t="str">
        <f>IFERROR(AVERAGEIFS('Picarro Output'!G:G, 'Picarro Output'!$B:$B, 'Uncalibrated Data'!$C2169, 'Picarro Output'!$I:$I, 0, 'Picarro Output'!$J:$J, 1), "")</f>
        <v/>
      </c>
    </row>
    <row r="2170" spans="2:5" x14ac:dyDescent="0.45">
      <c r="B2170" s="1"/>
      <c r="E2170" s="45" t="str">
        <f>IFERROR(AVERAGEIFS('Picarro Output'!G:G, 'Picarro Output'!$B:$B, 'Uncalibrated Data'!$C2170, 'Picarro Output'!$I:$I, 0, 'Picarro Output'!$J:$J, 1), "")</f>
        <v/>
      </c>
    </row>
    <row r="2171" spans="2:5" x14ac:dyDescent="0.45">
      <c r="B2171" s="1"/>
      <c r="E2171" s="45" t="str">
        <f>IFERROR(AVERAGEIFS('Picarro Output'!G:G, 'Picarro Output'!$B:$B, 'Uncalibrated Data'!$C2171, 'Picarro Output'!$I:$I, 0, 'Picarro Output'!$J:$J, 1), "")</f>
        <v/>
      </c>
    </row>
    <row r="2172" spans="2:5" x14ac:dyDescent="0.45">
      <c r="B2172" s="1"/>
      <c r="E2172" s="45" t="str">
        <f>IFERROR(AVERAGEIFS('Picarro Output'!G:G, 'Picarro Output'!$B:$B, 'Uncalibrated Data'!$C2172, 'Picarro Output'!$I:$I, 0, 'Picarro Output'!$J:$J, 1), "")</f>
        <v/>
      </c>
    </row>
    <row r="2173" spans="2:5" x14ac:dyDescent="0.45">
      <c r="B2173" s="1"/>
      <c r="E2173" s="45" t="str">
        <f>IFERROR(AVERAGEIFS('Picarro Output'!G:G, 'Picarro Output'!$B:$B, 'Uncalibrated Data'!$C2173, 'Picarro Output'!$I:$I, 0, 'Picarro Output'!$J:$J, 1), "")</f>
        <v/>
      </c>
    </row>
    <row r="2174" spans="2:5" x14ac:dyDescent="0.45">
      <c r="B2174" s="1"/>
      <c r="E2174" s="45" t="str">
        <f>IFERROR(AVERAGEIFS('Picarro Output'!G:G, 'Picarro Output'!$B:$B, 'Uncalibrated Data'!$C2174, 'Picarro Output'!$I:$I, 0, 'Picarro Output'!$J:$J, 1), "")</f>
        <v/>
      </c>
    </row>
    <row r="2175" spans="2:5" x14ac:dyDescent="0.45">
      <c r="B2175" s="1"/>
      <c r="E2175" s="45" t="str">
        <f>IFERROR(AVERAGEIFS('Picarro Output'!G:G, 'Picarro Output'!$B:$B, 'Uncalibrated Data'!$C2175, 'Picarro Output'!$I:$I, 0, 'Picarro Output'!$J:$J, 1), "")</f>
        <v/>
      </c>
    </row>
    <row r="2176" spans="2:5" x14ac:dyDescent="0.45">
      <c r="B2176" s="1"/>
      <c r="E2176" s="45" t="str">
        <f>IFERROR(AVERAGEIFS('Picarro Output'!G:G, 'Picarro Output'!$B:$B, 'Uncalibrated Data'!$C2176, 'Picarro Output'!$I:$I, 0, 'Picarro Output'!$J:$J, 1), "")</f>
        <v/>
      </c>
    </row>
    <row r="2177" spans="2:5" x14ac:dyDescent="0.45">
      <c r="B2177" s="1"/>
      <c r="E2177" s="45" t="str">
        <f>IFERROR(AVERAGEIFS('Picarro Output'!G:G, 'Picarro Output'!$B:$B, 'Uncalibrated Data'!$C2177, 'Picarro Output'!$I:$I, 0, 'Picarro Output'!$J:$J, 1), "")</f>
        <v/>
      </c>
    </row>
    <row r="2178" spans="2:5" x14ac:dyDescent="0.45">
      <c r="B2178" s="1"/>
      <c r="E2178" s="45" t="str">
        <f>IFERROR(AVERAGEIFS('Picarro Output'!G:G, 'Picarro Output'!$B:$B, 'Uncalibrated Data'!$C2178, 'Picarro Output'!$I:$I, 0, 'Picarro Output'!$J:$J, 1), "")</f>
        <v/>
      </c>
    </row>
    <row r="2179" spans="2:5" x14ac:dyDescent="0.45">
      <c r="B2179" s="1"/>
      <c r="E2179" s="45" t="str">
        <f>IFERROR(AVERAGEIFS('Picarro Output'!G:G, 'Picarro Output'!$B:$B, 'Uncalibrated Data'!$C2179, 'Picarro Output'!$I:$I, 0, 'Picarro Output'!$J:$J, 1), "")</f>
        <v/>
      </c>
    </row>
    <row r="2180" spans="2:5" x14ac:dyDescent="0.45">
      <c r="B2180" s="1"/>
      <c r="E2180" s="45" t="str">
        <f>IFERROR(AVERAGEIFS('Picarro Output'!G:G, 'Picarro Output'!$B:$B, 'Uncalibrated Data'!$C2180, 'Picarro Output'!$I:$I, 0, 'Picarro Output'!$J:$J, 1), "")</f>
        <v/>
      </c>
    </row>
    <row r="2181" spans="2:5" x14ac:dyDescent="0.45">
      <c r="B2181" s="1"/>
      <c r="E2181" s="45" t="str">
        <f>IFERROR(AVERAGEIFS('Picarro Output'!G:G, 'Picarro Output'!$B:$B, 'Uncalibrated Data'!$C2181, 'Picarro Output'!$I:$I, 0, 'Picarro Output'!$J:$J, 1), "")</f>
        <v/>
      </c>
    </row>
    <row r="2182" spans="2:5" x14ac:dyDescent="0.45">
      <c r="B2182" s="1"/>
      <c r="E2182" s="45" t="str">
        <f>IFERROR(AVERAGEIFS('Picarro Output'!G:G, 'Picarro Output'!$B:$B, 'Uncalibrated Data'!$C2182, 'Picarro Output'!$I:$I, 0, 'Picarro Output'!$J:$J, 1), "")</f>
        <v/>
      </c>
    </row>
    <row r="2183" spans="2:5" x14ac:dyDescent="0.45">
      <c r="B2183" s="1"/>
      <c r="E2183" s="45" t="str">
        <f>IFERROR(AVERAGEIFS('Picarro Output'!G:G, 'Picarro Output'!$B:$B, 'Uncalibrated Data'!$C2183, 'Picarro Output'!$I:$I, 0, 'Picarro Output'!$J:$J, 1), "")</f>
        <v/>
      </c>
    </row>
    <row r="2184" spans="2:5" x14ac:dyDescent="0.45">
      <c r="B2184" s="1"/>
      <c r="E2184" s="45" t="str">
        <f>IFERROR(AVERAGEIFS('Picarro Output'!G:G, 'Picarro Output'!$B:$B, 'Uncalibrated Data'!$C2184, 'Picarro Output'!$I:$I, 0, 'Picarro Output'!$J:$J, 1), "")</f>
        <v/>
      </c>
    </row>
    <row r="2185" spans="2:5" x14ac:dyDescent="0.45">
      <c r="B2185" s="1"/>
      <c r="E2185" s="45" t="str">
        <f>IFERROR(AVERAGEIFS('Picarro Output'!G:G, 'Picarro Output'!$B:$B, 'Uncalibrated Data'!$C2185, 'Picarro Output'!$I:$I, 0, 'Picarro Output'!$J:$J, 1), "")</f>
        <v/>
      </c>
    </row>
    <row r="2186" spans="2:5" x14ac:dyDescent="0.45">
      <c r="B2186" s="1"/>
      <c r="E2186" s="45" t="str">
        <f>IFERROR(AVERAGEIFS('Picarro Output'!G:G, 'Picarro Output'!$B:$B, 'Uncalibrated Data'!$C2186, 'Picarro Output'!$I:$I, 0, 'Picarro Output'!$J:$J, 1), "")</f>
        <v/>
      </c>
    </row>
    <row r="2187" spans="2:5" x14ac:dyDescent="0.45">
      <c r="B2187" s="1"/>
      <c r="E2187" s="45" t="str">
        <f>IFERROR(AVERAGEIFS('Picarro Output'!G:G, 'Picarro Output'!$B:$B, 'Uncalibrated Data'!$C2187, 'Picarro Output'!$I:$I, 0, 'Picarro Output'!$J:$J, 1), "")</f>
        <v/>
      </c>
    </row>
    <row r="2188" spans="2:5" x14ac:dyDescent="0.45">
      <c r="B2188" s="1"/>
      <c r="E2188" s="45" t="str">
        <f>IFERROR(AVERAGEIFS('Picarro Output'!G:G, 'Picarro Output'!$B:$B, 'Uncalibrated Data'!$C2188, 'Picarro Output'!$I:$I, 0, 'Picarro Output'!$J:$J, 1), "")</f>
        <v/>
      </c>
    </row>
    <row r="2189" spans="2:5" x14ac:dyDescent="0.45">
      <c r="B2189" s="1"/>
      <c r="E2189" s="45" t="str">
        <f>IFERROR(AVERAGEIFS('Picarro Output'!G:G, 'Picarro Output'!$B:$B, 'Uncalibrated Data'!$C2189, 'Picarro Output'!$I:$I, 0, 'Picarro Output'!$J:$J, 1), "")</f>
        <v/>
      </c>
    </row>
    <row r="2190" spans="2:5" x14ac:dyDescent="0.45">
      <c r="B2190" s="1"/>
      <c r="E2190" s="45" t="str">
        <f>IFERROR(AVERAGEIFS('Picarro Output'!G:G, 'Picarro Output'!$B:$B, 'Uncalibrated Data'!$C2190, 'Picarro Output'!$I:$I, 0, 'Picarro Output'!$J:$J, 1), "")</f>
        <v/>
      </c>
    </row>
    <row r="2191" spans="2:5" x14ac:dyDescent="0.45">
      <c r="B2191" s="1"/>
      <c r="E2191" s="45" t="str">
        <f>IFERROR(AVERAGEIFS('Picarro Output'!G:G, 'Picarro Output'!$B:$B, 'Uncalibrated Data'!$C2191, 'Picarro Output'!$I:$I, 0, 'Picarro Output'!$J:$J, 1), "")</f>
        <v/>
      </c>
    </row>
    <row r="2192" spans="2:5" x14ac:dyDescent="0.45">
      <c r="B2192" s="1"/>
      <c r="E2192" s="45" t="str">
        <f>IFERROR(AVERAGEIFS('Picarro Output'!G:G, 'Picarro Output'!$B:$B, 'Uncalibrated Data'!$C2192, 'Picarro Output'!$I:$I, 0, 'Picarro Output'!$J:$J, 1), "")</f>
        <v/>
      </c>
    </row>
    <row r="2193" spans="2:5" x14ac:dyDescent="0.45">
      <c r="B2193" s="1"/>
      <c r="E2193" s="45" t="str">
        <f>IFERROR(AVERAGEIFS('Picarro Output'!G:G, 'Picarro Output'!$B:$B, 'Uncalibrated Data'!$C2193, 'Picarro Output'!$I:$I, 0, 'Picarro Output'!$J:$J, 1), "")</f>
        <v/>
      </c>
    </row>
    <row r="2194" spans="2:5" x14ac:dyDescent="0.45">
      <c r="B2194" s="1"/>
      <c r="E2194" s="45" t="str">
        <f>IFERROR(AVERAGEIFS('Picarro Output'!G:G, 'Picarro Output'!$B:$B, 'Uncalibrated Data'!$C2194, 'Picarro Output'!$I:$I, 0, 'Picarro Output'!$J:$J, 1), "")</f>
        <v/>
      </c>
    </row>
    <row r="2195" spans="2:5" x14ac:dyDescent="0.45">
      <c r="B2195" s="1"/>
      <c r="E2195" s="45" t="str">
        <f>IFERROR(AVERAGEIFS('Picarro Output'!G:G, 'Picarro Output'!$B:$B, 'Uncalibrated Data'!$C2195, 'Picarro Output'!$I:$I, 0, 'Picarro Output'!$J:$J, 1), "")</f>
        <v/>
      </c>
    </row>
    <row r="2196" spans="2:5" x14ac:dyDescent="0.45">
      <c r="B2196" s="1"/>
      <c r="E2196" s="45" t="str">
        <f>IFERROR(AVERAGEIFS('Picarro Output'!G:G, 'Picarro Output'!$B:$B, 'Uncalibrated Data'!$C2196, 'Picarro Output'!$I:$I, 0, 'Picarro Output'!$J:$J, 1), "")</f>
        <v/>
      </c>
    </row>
    <row r="2197" spans="2:5" x14ac:dyDescent="0.45">
      <c r="B2197" s="1"/>
      <c r="E2197" s="45" t="str">
        <f>IFERROR(AVERAGEIFS('Picarro Output'!G:G, 'Picarro Output'!$B:$B, 'Uncalibrated Data'!$C2197, 'Picarro Output'!$I:$I, 0, 'Picarro Output'!$J:$J, 1), "")</f>
        <v/>
      </c>
    </row>
    <row r="2198" spans="2:5" x14ac:dyDescent="0.45">
      <c r="B2198" s="1"/>
      <c r="E2198" s="45" t="str">
        <f>IFERROR(AVERAGEIFS('Picarro Output'!G:G, 'Picarro Output'!$B:$B, 'Uncalibrated Data'!$C2198, 'Picarro Output'!$I:$I, 0, 'Picarro Output'!$J:$J, 1), "")</f>
        <v/>
      </c>
    </row>
    <row r="2199" spans="2:5" x14ac:dyDescent="0.45">
      <c r="B2199" s="1"/>
      <c r="E2199" s="45" t="str">
        <f>IFERROR(AVERAGEIFS('Picarro Output'!G:G, 'Picarro Output'!$B:$B, 'Uncalibrated Data'!$C2199, 'Picarro Output'!$I:$I, 0, 'Picarro Output'!$J:$J, 1), "")</f>
        <v/>
      </c>
    </row>
    <row r="2200" spans="2:5" x14ac:dyDescent="0.45">
      <c r="B2200" s="1"/>
      <c r="E2200" s="45" t="str">
        <f>IFERROR(AVERAGEIFS('Picarro Output'!G:G, 'Picarro Output'!$B:$B, 'Uncalibrated Data'!$C2200, 'Picarro Output'!$I:$I, 0, 'Picarro Output'!$J:$J, 1), "")</f>
        <v/>
      </c>
    </row>
    <row r="2201" spans="2:5" x14ac:dyDescent="0.45">
      <c r="B2201" s="1"/>
      <c r="E2201" s="45" t="str">
        <f>IFERROR(AVERAGEIFS('Picarro Output'!G:G, 'Picarro Output'!$B:$B, 'Uncalibrated Data'!$C2201, 'Picarro Output'!$I:$I, 0, 'Picarro Output'!$J:$J, 1), "")</f>
        <v/>
      </c>
    </row>
    <row r="2202" spans="2:5" x14ac:dyDescent="0.45">
      <c r="B2202" s="1"/>
      <c r="E2202" s="45" t="str">
        <f>IFERROR(AVERAGEIFS('Picarro Output'!G:G, 'Picarro Output'!$B:$B, 'Uncalibrated Data'!$C2202, 'Picarro Output'!$I:$I, 0, 'Picarro Output'!$J:$J, 1), "")</f>
        <v/>
      </c>
    </row>
    <row r="2203" spans="2:5" x14ac:dyDescent="0.45">
      <c r="B2203" s="1"/>
      <c r="E2203" s="45" t="str">
        <f>IFERROR(AVERAGEIFS('Picarro Output'!G:G, 'Picarro Output'!$B:$B, 'Uncalibrated Data'!$C2203, 'Picarro Output'!$I:$I, 0, 'Picarro Output'!$J:$J, 1), "")</f>
        <v/>
      </c>
    </row>
    <row r="2204" spans="2:5" x14ac:dyDescent="0.45">
      <c r="B2204" s="1"/>
      <c r="E2204" s="45" t="str">
        <f>IFERROR(AVERAGEIFS('Picarro Output'!G:G, 'Picarro Output'!$B:$B, 'Uncalibrated Data'!$C2204, 'Picarro Output'!$I:$I, 0, 'Picarro Output'!$J:$J, 1), "")</f>
        <v/>
      </c>
    </row>
    <row r="2205" spans="2:5" x14ac:dyDescent="0.45">
      <c r="B2205" s="1"/>
      <c r="E2205" s="45" t="str">
        <f>IFERROR(AVERAGEIFS('Picarro Output'!G:G, 'Picarro Output'!$B:$B, 'Uncalibrated Data'!$C2205, 'Picarro Output'!$I:$I, 0, 'Picarro Output'!$J:$J, 1), "")</f>
        <v/>
      </c>
    </row>
    <row r="2206" spans="2:5" x14ac:dyDescent="0.45">
      <c r="B2206" s="1"/>
      <c r="E2206" s="45" t="str">
        <f>IFERROR(AVERAGEIFS('Picarro Output'!G:G, 'Picarro Output'!$B:$B, 'Uncalibrated Data'!$C2206, 'Picarro Output'!$I:$I, 0, 'Picarro Output'!$J:$J, 1), "")</f>
        <v/>
      </c>
    </row>
    <row r="2207" spans="2:5" x14ac:dyDescent="0.45">
      <c r="B2207" s="1"/>
      <c r="E2207" s="45" t="str">
        <f>IFERROR(AVERAGEIFS('Picarro Output'!G:G, 'Picarro Output'!$B:$B, 'Uncalibrated Data'!$C2207, 'Picarro Output'!$I:$I, 0, 'Picarro Output'!$J:$J, 1), "")</f>
        <v/>
      </c>
    </row>
    <row r="2208" spans="2:5" x14ac:dyDescent="0.45">
      <c r="B2208" s="1"/>
      <c r="E2208" s="45" t="str">
        <f>IFERROR(AVERAGEIFS('Picarro Output'!G:G, 'Picarro Output'!$B:$B, 'Uncalibrated Data'!$C2208, 'Picarro Output'!$I:$I, 0, 'Picarro Output'!$J:$J, 1), "")</f>
        <v/>
      </c>
    </row>
    <row r="2209" spans="2:5" x14ac:dyDescent="0.45">
      <c r="B2209" s="1"/>
      <c r="E2209" s="45" t="str">
        <f>IFERROR(AVERAGEIFS('Picarro Output'!G:G, 'Picarro Output'!$B:$B, 'Uncalibrated Data'!$C2209, 'Picarro Output'!$I:$I, 0, 'Picarro Output'!$J:$J, 1), "")</f>
        <v/>
      </c>
    </row>
    <row r="2210" spans="2:5" x14ac:dyDescent="0.45">
      <c r="B2210" s="1"/>
      <c r="E2210" s="45" t="str">
        <f>IFERROR(AVERAGEIFS('Picarro Output'!G:G, 'Picarro Output'!$B:$B, 'Uncalibrated Data'!$C2210, 'Picarro Output'!$I:$I, 0, 'Picarro Output'!$J:$J, 1), "")</f>
        <v/>
      </c>
    </row>
    <row r="2211" spans="2:5" x14ac:dyDescent="0.45">
      <c r="B2211" s="1"/>
      <c r="E2211" s="45" t="str">
        <f>IFERROR(AVERAGEIFS('Picarro Output'!G:G, 'Picarro Output'!$B:$B, 'Uncalibrated Data'!$C2211, 'Picarro Output'!$I:$I, 0, 'Picarro Output'!$J:$J, 1), "")</f>
        <v/>
      </c>
    </row>
    <row r="2212" spans="2:5" x14ac:dyDescent="0.45">
      <c r="B2212" s="1"/>
      <c r="E2212" s="45" t="str">
        <f>IFERROR(AVERAGEIFS('Picarro Output'!G:G, 'Picarro Output'!$B:$B, 'Uncalibrated Data'!$C2212, 'Picarro Output'!$I:$I, 0, 'Picarro Output'!$J:$J, 1), "")</f>
        <v/>
      </c>
    </row>
    <row r="2213" spans="2:5" x14ac:dyDescent="0.45">
      <c r="B2213" s="1"/>
      <c r="E2213" s="45" t="str">
        <f>IFERROR(AVERAGEIFS('Picarro Output'!G:G, 'Picarro Output'!$B:$B, 'Uncalibrated Data'!$C2213, 'Picarro Output'!$I:$I, 0, 'Picarro Output'!$J:$J, 1), "")</f>
        <v/>
      </c>
    </row>
    <row r="2214" spans="2:5" x14ac:dyDescent="0.45">
      <c r="B2214" s="1"/>
      <c r="E2214" s="45" t="str">
        <f>IFERROR(AVERAGEIFS('Picarro Output'!G:G, 'Picarro Output'!$B:$B, 'Uncalibrated Data'!$C2214, 'Picarro Output'!$I:$I, 0, 'Picarro Output'!$J:$J, 1), "")</f>
        <v/>
      </c>
    </row>
    <row r="2215" spans="2:5" x14ac:dyDescent="0.45">
      <c r="B2215" s="1"/>
      <c r="E2215" s="45" t="str">
        <f>IFERROR(AVERAGEIFS('Picarro Output'!G:G, 'Picarro Output'!$B:$B, 'Uncalibrated Data'!$C2215, 'Picarro Output'!$I:$I, 0, 'Picarro Output'!$J:$J, 1), "")</f>
        <v/>
      </c>
    </row>
    <row r="2216" spans="2:5" x14ac:dyDescent="0.45">
      <c r="B2216" s="1"/>
      <c r="E2216" s="45" t="str">
        <f>IFERROR(AVERAGEIFS('Picarro Output'!G:G, 'Picarro Output'!$B:$B, 'Uncalibrated Data'!$C2216, 'Picarro Output'!$I:$I, 0, 'Picarro Output'!$J:$J, 1), "")</f>
        <v/>
      </c>
    </row>
    <row r="2217" spans="2:5" x14ac:dyDescent="0.45">
      <c r="B2217" s="1"/>
      <c r="E2217" s="45" t="str">
        <f>IFERROR(AVERAGEIFS('Picarro Output'!G:G, 'Picarro Output'!$B:$B, 'Uncalibrated Data'!$C2217, 'Picarro Output'!$I:$I, 0, 'Picarro Output'!$J:$J, 1), "")</f>
        <v/>
      </c>
    </row>
    <row r="2218" spans="2:5" x14ac:dyDescent="0.45">
      <c r="B2218" s="1"/>
      <c r="E2218" s="45" t="str">
        <f>IFERROR(AVERAGEIFS('Picarro Output'!G:G, 'Picarro Output'!$B:$B, 'Uncalibrated Data'!$C2218, 'Picarro Output'!$I:$I, 0, 'Picarro Output'!$J:$J, 1), "")</f>
        <v/>
      </c>
    </row>
    <row r="2219" spans="2:5" x14ac:dyDescent="0.45">
      <c r="B2219" s="1"/>
      <c r="E2219" s="45" t="str">
        <f>IFERROR(AVERAGEIFS('Picarro Output'!G:G, 'Picarro Output'!$B:$B, 'Uncalibrated Data'!$C2219, 'Picarro Output'!$I:$I, 0, 'Picarro Output'!$J:$J, 1), "")</f>
        <v/>
      </c>
    </row>
    <row r="2220" spans="2:5" x14ac:dyDescent="0.45">
      <c r="B2220" s="1"/>
      <c r="E2220" s="45" t="str">
        <f>IFERROR(AVERAGEIFS('Picarro Output'!G:G, 'Picarro Output'!$B:$B, 'Uncalibrated Data'!$C2220, 'Picarro Output'!$I:$I, 0, 'Picarro Output'!$J:$J, 1), "")</f>
        <v/>
      </c>
    </row>
    <row r="2221" spans="2:5" x14ac:dyDescent="0.45">
      <c r="B2221" s="1"/>
      <c r="E2221" s="45" t="str">
        <f>IFERROR(AVERAGEIFS('Picarro Output'!G:G, 'Picarro Output'!$B:$B, 'Uncalibrated Data'!$C2221, 'Picarro Output'!$I:$I, 0, 'Picarro Output'!$J:$J, 1), "")</f>
        <v/>
      </c>
    </row>
    <row r="2222" spans="2:5" x14ac:dyDescent="0.45">
      <c r="B2222" s="1"/>
      <c r="E2222" s="45" t="str">
        <f>IFERROR(AVERAGEIFS('Picarro Output'!G:G, 'Picarro Output'!$B:$B, 'Uncalibrated Data'!$C2222, 'Picarro Output'!$I:$I, 0, 'Picarro Output'!$J:$J, 1), "")</f>
        <v/>
      </c>
    </row>
    <row r="2223" spans="2:5" x14ac:dyDescent="0.45">
      <c r="B2223" s="1"/>
      <c r="E2223" s="45" t="str">
        <f>IFERROR(AVERAGEIFS('Picarro Output'!G:G, 'Picarro Output'!$B:$B, 'Uncalibrated Data'!$C2223, 'Picarro Output'!$I:$I, 0, 'Picarro Output'!$J:$J, 1), "")</f>
        <v/>
      </c>
    </row>
    <row r="2224" spans="2:5" x14ac:dyDescent="0.45">
      <c r="B2224" s="1"/>
      <c r="E2224" s="45" t="str">
        <f>IFERROR(AVERAGEIFS('Picarro Output'!G:G, 'Picarro Output'!$B:$B, 'Uncalibrated Data'!$C2224, 'Picarro Output'!$I:$I, 0, 'Picarro Output'!$J:$J, 1), "")</f>
        <v/>
      </c>
    </row>
    <row r="2225" spans="2:5" x14ac:dyDescent="0.45">
      <c r="B2225" s="1"/>
      <c r="E2225" s="45" t="str">
        <f>IFERROR(AVERAGEIFS('Picarro Output'!G:G, 'Picarro Output'!$B:$B, 'Uncalibrated Data'!$C2225, 'Picarro Output'!$I:$I, 0, 'Picarro Output'!$J:$J, 1), "")</f>
        <v/>
      </c>
    </row>
    <row r="2226" spans="2:5" x14ac:dyDescent="0.45">
      <c r="B2226" s="1"/>
      <c r="E2226" s="45" t="str">
        <f>IFERROR(AVERAGEIFS('Picarro Output'!G:G, 'Picarro Output'!$B:$B, 'Uncalibrated Data'!$C2226, 'Picarro Output'!$I:$I, 0, 'Picarro Output'!$J:$J, 1), "")</f>
        <v/>
      </c>
    </row>
    <row r="2227" spans="2:5" x14ac:dyDescent="0.45">
      <c r="B2227" s="1"/>
      <c r="E2227" s="45" t="str">
        <f>IFERROR(AVERAGEIFS('Picarro Output'!G:G, 'Picarro Output'!$B:$B, 'Uncalibrated Data'!$C2227, 'Picarro Output'!$I:$I, 0, 'Picarro Output'!$J:$J, 1), "")</f>
        <v/>
      </c>
    </row>
    <row r="2228" spans="2:5" x14ac:dyDescent="0.45">
      <c r="B2228" s="1"/>
      <c r="E2228" s="45" t="str">
        <f>IFERROR(AVERAGEIFS('Picarro Output'!G:G, 'Picarro Output'!$B:$B, 'Uncalibrated Data'!$C2228, 'Picarro Output'!$I:$I, 0, 'Picarro Output'!$J:$J, 1), "")</f>
        <v/>
      </c>
    </row>
    <row r="2229" spans="2:5" x14ac:dyDescent="0.45">
      <c r="B2229" s="1"/>
      <c r="E2229" s="45" t="str">
        <f>IFERROR(AVERAGEIFS('Picarro Output'!G:G, 'Picarro Output'!$B:$B, 'Uncalibrated Data'!$C2229, 'Picarro Output'!$I:$I, 0, 'Picarro Output'!$J:$J, 1), "")</f>
        <v/>
      </c>
    </row>
    <row r="2230" spans="2:5" x14ac:dyDescent="0.45">
      <c r="B2230" s="1"/>
      <c r="E2230" s="45" t="str">
        <f>IFERROR(AVERAGEIFS('Picarro Output'!G:G, 'Picarro Output'!$B:$B, 'Uncalibrated Data'!$C2230, 'Picarro Output'!$I:$I, 0, 'Picarro Output'!$J:$J, 1), "")</f>
        <v/>
      </c>
    </row>
    <row r="2231" spans="2:5" x14ac:dyDescent="0.45">
      <c r="B2231" s="1"/>
      <c r="E2231" s="45" t="str">
        <f>IFERROR(AVERAGEIFS('Picarro Output'!G:G, 'Picarro Output'!$B:$B, 'Uncalibrated Data'!$C2231, 'Picarro Output'!$I:$I, 0, 'Picarro Output'!$J:$J, 1), "")</f>
        <v/>
      </c>
    </row>
    <row r="2232" spans="2:5" x14ac:dyDescent="0.45">
      <c r="B2232" s="1"/>
      <c r="E2232" s="45" t="str">
        <f>IFERROR(AVERAGEIFS('Picarro Output'!G:G, 'Picarro Output'!$B:$B, 'Uncalibrated Data'!$C2232, 'Picarro Output'!$I:$I, 0, 'Picarro Output'!$J:$J, 1), "")</f>
        <v/>
      </c>
    </row>
    <row r="2233" spans="2:5" x14ac:dyDescent="0.45">
      <c r="B2233" s="1"/>
      <c r="E2233" s="45" t="str">
        <f>IFERROR(AVERAGEIFS('Picarro Output'!G:G, 'Picarro Output'!$B:$B, 'Uncalibrated Data'!$C2233, 'Picarro Output'!$I:$I, 0, 'Picarro Output'!$J:$J, 1), "")</f>
        <v/>
      </c>
    </row>
    <row r="2234" spans="2:5" x14ac:dyDescent="0.45">
      <c r="B2234" s="1"/>
      <c r="E2234" s="45" t="str">
        <f>IFERROR(AVERAGEIFS('Picarro Output'!G:G, 'Picarro Output'!$B:$B, 'Uncalibrated Data'!$C2234, 'Picarro Output'!$I:$I, 0, 'Picarro Output'!$J:$J, 1), "")</f>
        <v/>
      </c>
    </row>
    <row r="2235" spans="2:5" x14ac:dyDescent="0.45">
      <c r="B2235" s="1"/>
      <c r="E2235" s="45" t="str">
        <f>IFERROR(AVERAGEIFS('Picarro Output'!G:G, 'Picarro Output'!$B:$B, 'Uncalibrated Data'!$C2235, 'Picarro Output'!$I:$I, 0, 'Picarro Output'!$J:$J, 1), "")</f>
        <v/>
      </c>
    </row>
    <row r="2236" spans="2:5" x14ac:dyDescent="0.45">
      <c r="B2236" s="1"/>
      <c r="E2236" s="45" t="str">
        <f>IFERROR(AVERAGEIFS('Picarro Output'!G:G, 'Picarro Output'!$B:$B, 'Uncalibrated Data'!$C2236, 'Picarro Output'!$I:$I, 0, 'Picarro Output'!$J:$J, 1), "")</f>
        <v/>
      </c>
    </row>
    <row r="2237" spans="2:5" x14ac:dyDescent="0.45">
      <c r="B2237" s="1"/>
      <c r="E2237" s="45" t="str">
        <f>IFERROR(AVERAGEIFS('Picarro Output'!G:G, 'Picarro Output'!$B:$B, 'Uncalibrated Data'!$C2237, 'Picarro Output'!$I:$I, 0, 'Picarro Output'!$J:$J, 1), "")</f>
        <v/>
      </c>
    </row>
    <row r="2238" spans="2:5" x14ac:dyDescent="0.45">
      <c r="B2238" s="1"/>
      <c r="E2238" s="45" t="str">
        <f>IFERROR(AVERAGEIFS('Picarro Output'!G:G, 'Picarro Output'!$B:$B, 'Uncalibrated Data'!$C2238, 'Picarro Output'!$I:$I, 0, 'Picarro Output'!$J:$J, 1), "")</f>
        <v/>
      </c>
    </row>
    <row r="2239" spans="2:5" x14ac:dyDescent="0.45">
      <c r="B2239" s="1"/>
      <c r="E2239" s="45" t="str">
        <f>IFERROR(AVERAGEIFS('Picarro Output'!G:G, 'Picarro Output'!$B:$B, 'Uncalibrated Data'!$C2239, 'Picarro Output'!$I:$I, 0, 'Picarro Output'!$J:$J, 1), "")</f>
        <v/>
      </c>
    </row>
    <row r="2240" spans="2:5" x14ac:dyDescent="0.45">
      <c r="B2240" s="1"/>
      <c r="E2240" s="45" t="str">
        <f>IFERROR(AVERAGEIFS('Picarro Output'!G:G, 'Picarro Output'!$B:$B, 'Uncalibrated Data'!$C2240, 'Picarro Output'!$I:$I, 0, 'Picarro Output'!$J:$J, 1), "")</f>
        <v/>
      </c>
    </row>
    <row r="2241" spans="2:5" x14ac:dyDescent="0.45">
      <c r="B2241" s="1"/>
      <c r="E2241" s="45" t="str">
        <f>IFERROR(AVERAGEIFS('Picarro Output'!G:G, 'Picarro Output'!$B:$B, 'Uncalibrated Data'!$C2241, 'Picarro Output'!$I:$I, 0, 'Picarro Output'!$J:$J, 1), "")</f>
        <v/>
      </c>
    </row>
    <row r="2242" spans="2:5" x14ac:dyDescent="0.45">
      <c r="B2242" s="1"/>
      <c r="E2242" s="45" t="str">
        <f>IFERROR(AVERAGEIFS('Picarro Output'!G:G, 'Picarro Output'!$B:$B, 'Uncalibrated Data'!$C2242, 'Picarro Output'!$I:$I, 0, 'Picarro Output'!$J:$J, 1), "")</f>
        <v/>
      </c>
    </row>
    <row r="2243" spans="2:5" x14ac:dyDescent="0.45">
      <c r="B2243" s="1"/>
      <c r="E2243" s="45" t="str">
        <f>IFERROR(AVERAGEIFS('Picarro Output'!G:G, 'Picarro Output'!$B:$B, 'Uncalibrated Data'!$C2243, 'Picarro Output'!$I:$I, 0, 'Picarro Output'!$J:$J, 1), "")</f>
        <v/>
      </c>
    </row>
    <row r="2244" spans="2:5" x14ac:dyDescent="0.45">
      <c r="B2244" s="1"/>
      <c r="E2244" s="45" t="str">
        <f>IFERROR(AVERAGEIFS('Picarro Output'!G:G, 'Picarro Output'!$B:$B, 'Uncalibrated Data'!$C2244, 'Picarro Output'!$I:$I, 0, 'Picarro Output'!$J:$J, 1), "")</f>
        <v/>
      </c>
    </row>
    <row r="2245" spans="2:5" x14ac:dyDescent="0.45">
      <c r="B2245" s="1"/>
      <c r="E2245" s="45" t="str">
        <f>IFERROR(AVERAGEIFS('Picarro Output'!G:G, 'Picarro Output'!$B:$B, 'Uncalibrated Data'!$C2245, 'Picarro Output'!$I:$I, 0, 'Picarro Output'!$J:$J, 1), "")</f>
        <v/>
      </c>
    </row>
    <row r="2246" spans="2:5" x14ac:dyDescent="0.45">
      <c r="B2246" s="1"/>
      <c r="E2246" s="45" t="str">
        <f>IFERROR(AVERAGEIFS('Picarro Output'!G:G, 'Picarro Output'!$B:$B, 'Uncalibrated Data'!$C2246, 'Picarro Output'!$I:$I, 0, 'Picarro Output'!$J:$J, 1), "")</f>
        <v/>
      </c>
    </row>
    <row r="2247" spans="2:5" x14ac:dyDescent="0.45">
      <c r="B2247" s="1"/>
      <c r="E2247" s="45" t="str">
        <f>IFERROR(AVERAGEIFS('Picarro Output'!G:G, 'Picarro Output'!$B:$B, 'Uncalibrated Data'!$C2247, 'Picarro Output'!$I:$I, 0, 'Picarro Output'!$J:$J, 1), "")</f>
        <v/>
      </c>
    </row>
    <row r="2248" spans="2:5" x14ac:dyDescent="0.45">
      <c r="B2248" s="1"/>
      <c r="E2248" s="45" t="str">
        <f>IFERROR(AVERAGEIFS('Picarro Output'!G:G, 'Picarro Output'!$B:$B, 'Uncalibrated Data'!$C2248, 'Picarro Output'!$I:$I, 0, 'Picarro Output'!$J:$J, 1), "")</f>
        <v/>
      </c>
    </row>
    <row r="2249" spans="2:5" x14ac:dyDescent="0.45">
      <c r="B2249" s="1"/>
      <c r="E2249" s="45" t="str">
        <f>IFERROR(AVERAGEIFS('Picarro Output'!G:G, 'Picarro Output'!$B:$B, 'Uncalibrated Data'!$C2249, 'Picarro Output'!$I:$I, 0, 'Picarro Output'!$J:$J, 1), "")</f>
        <v/>
      </c>
    </row>
    <row r="2250" spans="2:5" x14ac:dyDescent="0.45">
      <c r="B2250" s="1"/>
      <c r="E2250" s="45" t="str">
        <f>IFERROR(AVERAGEIFS('Picarro Output'!G:G, 'Picarro Output'!$B:$B, 'Uncalibrated Data'!$C2250, 'Picarro Output'!$I:$I, 0, 'Picarro Output'!$J:$J, 1), "")</f>
        <v/>
      </c>
    </row>
    <row r="2251" spans="2:5" x14ac:dyDescent="0.45">
      <c r="B2251" s="1"/>
      <c r="E2251" s="45" t="str">
        <f>IFERROR(AVERAGEIFS('Picarro Output'!G:G, 'Picarro Output'!$B:$B, 'Uncalibrated Data'!$C2251, 'Picarro Output'!$I:$I, 0, 'Picarro Output'!$J:$J, 1), "")</f>
        <v/>
      </c>
    </row>
    <row r="2252" spans="2:5" x14ac:dyDescent="0.45">
      <c r="B2252" s="1"/>
      <c r="E2252" s="45" t="str">
        <f>IFERROR(AVERAGEIFS('Picarro Output'!G:G, 'Picarro Output'!$B:$B, 'Uncalibrated Data'!$C2252, 'Picarro Output'!$I:$I, 0, 'Picarro Output'!$J:$J, 1), "")</f>
        <v/>
      </c>
    </row>
    <row r="2253" spans="2:5" x14ac:dyDescent="0.45">
      <c r="B2253" s="1"/>
      <c r="E2253" s="45" t="str">
        <f>IFERROR(AVERAGEIFS('Picarro Output'!G:G, 'Picarro Output'!$B:$B, 'Uncalibrated Data'!$C2253, 'Picarro Output'!$I:$I, 0, 'Picarro Output'!$J:$J, 1), "")</f>
        <v/>
      </c>
    </row>
    <row r="2254" spans="2:5" x14ac:dyDescent="0.45">
      <c r="B2254" s="1"/>
      <c r="E2254" s="45" t="str">
        <f>IFERROR(AVERAGEIFS('Picarro Output'!G:G, 'Picarro Output'!$B:$B, 'Uncalibrated Data'!$C2254, 'Picarro Output'!$I:$I, 0, 'Picarro Output'!$J:$J, 1), "")</f>
        <v/>
      </c>
    </row>
    <row r="2255" spans="2:5" x14ac:dyDescent="0.45">
      <c r="B2255" s="1"/>
      <c r="E2255" s="45" t="str">
        <f>IFERROR(AVERAGEIFS('Picarro Output'!G:G, 'Picarro Output'!$B:$B, 'Uncalibrated Data'!$C2255, 'Picarro Output'!$I:$I, 0, 'Picarro Output'!$J:$J, 1), "")</f>
        <v/>
      </c>
    </row>
    <row r="2256" spans="2:5" x14ac:dyDescent="0.45">
      <c r="B2256" s="1"/>
      <c r="E2256" s="45" t="str">
        <f>IFERROR(AVERAGEIFS('Picarro Output'!G:G, 'Picarro Output'!$B:$B, 'Uncalibrated Data'!$C2256, 'Picarro Output'!$I:$I, 0, 'Picarro Output'!$J:$J, 1), "")</f>
        <v/>
      </c>
    </row>
    <row r="2257" spans="2:5" x14ac:dyDescent="0.45">
      <c r="B2257" s="1"/>
      <c r="E2257" s="45" t="str">
        <f>IFERROR(AVERAGEIFS('Picarro Output'!G:G, 'Picarro Output'!$B:$B, 'Uncalibrated Data'!$C2257, 'Picarro Output'!$I:$I, 0, 'Picarro Output'!$J:$J, 1), "")</f>
        <v/>
      </c>
    </row>
    <row r="2258" spans="2:5" x14ac:dyDescent="0.45">
      <c r="B2258" s="1"/>
      <c r="E2258" s="45" t="str">
        <f>IFERROR(AVERAGEIFS('Picarro Output'!G:G, 'Picarro Output'!$B:$B, 'Uncalibrated Data'!$C2258, 'Picarro Output'!$I:$I, 0, 'Picarro Output'!$J:$J, 1), "")</f>
        <v/>
      </c>
    </row>
    <row r="2259" spans="2:5" x14ac:dyDescent="0.45">
      <c r="B2259" s="1"/>
      <c r="E2259" s="45" t="str">
        <f>IFERROR(AVERAGEIFS('Picarro Output'!G:G, 'Picarro Output'!$B:$B, 'Uncalibrated Data'!$C2259, 'Picarro Output'!$I:$I, 0, 'Picarro Output'!$J:$J, 1), "")</f>
        <v/>
      </c>
    </row>
    <row r="2260" spans="2:5" x14ac:dyDescent="0.45">
      <c r="B2260" s="1"/>
      <c r="E2260" s="45" t="str">
        <f>IFERROR(AVERAGEIFS('Picarro Output'!G:G, 'Picarro Output'!$B:$B, 'Uncalibrated Data'!$C2260, 'Picarro Output'!$I:$I, 0, 'Picarro Output'!$J:$J, 1), "")</f>
        <v/>
      </c>
    </row>
    <row r="2261" spans="2:5" x14ac:dyDescent="0.45">
      <c r="B2261" s="1"/>
      <c r="E2261" s="45" t="str">
        <f>IFERROR(AVERAGEIFS('Picarro Output'!G:G, 'Picarro Output'!$B:$B, 'Uncalibrated Data'!$C2261, 'Picarro Output'!$I:$I, 0, 'Picarro Output'!$J:$J, 1), "")</f>
        <v/>
      </c>
    </row>
    <row r="2262" spans="2:5" x14ac:dyDescent="0.45">
      <c r="B2262" s="1"/>
      <c r="E2262" s="45" t="str">
        <f>IFERROR(AVERAGEIFS('Picarro Output'!G:G, 'Picarro Output'!$B:$B, 'Uncalibrated Data'!$C2262, 'Picarro Output'!$I:$I, 0, 'Picarro Output'!$J:$J, 1), "")</f>
        <v/>
      </c>
    </row>
    <row r="2263" spans="2:5" x14ac:dyDescent="0.45">
      <c r="B2263" s="1"/>
      <c r="E2263" s="45" t="str">
        <f>IFERROR(AVERAGEIFS('Picarro Output'!G:G, 'Picarro Output'!$B:$B, 'Uncalibrated Data'!$C2263, 'Picarro Output'!$I:$I, 0, 'Picarro Output'!$J:$J, 1), "")</f>
        <v/>
      </c>
    </row>
    <row r="2264" spans="2:5" x14ac:dyDescent="0.45">
      <c r="B2264" s="1"/>
      <c r="E2264" s="45" t="str">
        <f>IFERROR(AVERAGEIFS('Picarro Output'!G:G, 'Picarro Output'!$B:$B, 'Uncalibrated Data'!$C2264, 'Picarro Output'!$I:$I, 0, 'Picarro Output'!$J:$J, 1), "")</f>
        <v/>
      </c>
    </row>
    <row r="2265" spans="2:5" x14ac:dyDescent="0.45">
      <c r="B2265" s="1"/>
      <c r="E2265" s="45" t="str">
        <f>IFERROR(AVERAGEIFS('Picarro Output'!G:G, 'Picarro Output'!$B:$B, 'Uncalibrated Data'!$C2265, 'Picarro Output'!$I:$I, 0, 'Picarro Output'!$J:$J, 1), "")</f>
        <v/>
      </c>
    </row>
    <row r="2266" spans="2:5" x14ac:dyDescent="0.45">
      <c r="B2266" s="1"/>
      <c r="E2266" s="45" t="str">
        <f>IFERROR(AVERAGEIFS('Picarro Output'!G:G, 'Picarro Output'!$B:$B, 'Uncalibrated Data'!$C2266, 'Picarro Output'!$I:$I, 0, 'Picarro Output'!$J:$J, 1), "")</f>
        <v/>
      </c>
    </row>
    <row r="2267" spans="2:5" x14ac:dyDescent="0.45">
      <c r="B2267" s="1"/>
      <c r="E2267" s="45" t="str">
        <f>IFERROR(AVERAGEIFS('Picarro Output'!G:G, 'Picarro Output'!$B:$B, 'Uncalibrated Data'!$C2267, 'Picarro Output'!$I:$I, 0, 'Picarro Output'!$J:$J, 1), "")</f>
        <v/>
      </c>
    </row>
    <row r="2268" spans="2:5" x14ac:dyDescent="0.45">
      <c r="B2268" s="1"/>
      <c r="E2268" s="45" t="str">
        <f>IFERROR(AVERAGEIFS('Picarro Output'!G:G, 'Picarro Output'!$B:$B, 'Uncalibrated Data'!$C2268, 'Picarro Output'!$I:$I, 0, 'Picarro Output'!$J:$J, 1), "")</f>
        <v/>
      </c>
    </row>
    <row r="2269" spans="2:5" x14ac:dyDescent="0.45">
      <c r="B2269" s="1"/>
      <c r="E2269" s="45" t="str">
        <f>IFERROR(AVERAGEIFS('Picarro Output'!G:G, 'Picarro Output'!$B:$B, 'Uncalibrated Data'!$C2269, 'Picarro Output'!$I:$I, 0, 'Picarro Output'!$J:$J, 1), "")</f>
        <v/>
      </c>
    </row>
    <row r="2270" spans="2:5" x14ac:dyDescent="0.45">
      <c r="B2270" s="1"/>
      <c r="E2270" s="45" t="str">
        <f>IFERROR(AVERAGEIFS('Picarro Output'!G:G, 'Picarro Output'!$B:$B, 'Uncalibrated Data'!$C2270, 'Picarro Output'!$I:$I, 0, 'Picarro Output'!$J:$J, 1), "")</f>
        <v/>
      </c>
    </row>
    <row r="2271" spans="2:5" x14ac:dyDescent="0.45">
      <c r="B2271" s="1"/>
      <c r="E2271" s="45" t="str">
        <f>IFERROR(AVERAGEIFS('Picarro Output'!G:G, 'Picarro Output'!$B:$B, 'Uncalibrated Data'!$C2271, 'Picarro Output'!$I:$I, 0, 'Picarro Output'!$J:$J, 1), "")</f>
        <v/>
      </c>
    </row>
    <row r="2272" spans="2:5" x14ac:dyDescent="0.45">
      <c r="B2272" s="1"/>
      <c r="E2272" s="45" t="str">
        <f>IFERROR(AVERAGEIFS('Picarro Output'!G:G, 'Picarro Output'!$B:$B, 'Uncalibrated Data'!$C2272, 'Picarro Output'!$I:$I, 0, 'Picarro Output'!$J:$J, 1), "")</f>
        <v/>
      </c>
    </row>
    <row r="2273" spans="2:5" x14ac:dyDescent="0.45">
      <c r="B2273" s="1"/>
      <c r="E2273" s="45" t="str">
        <f>IFERROR(AVERAGEIFS('Picarro Output'!G:G, 'Picarro Output'!$B:$B, 'Uncalibrated Data'!$C2273, 'Picarro Output'!$I:$I, 0, 'Picarro Output'!$J:$J, 1), "")</f>
        <v/>
      </c>
    </row>
    <row r="2274" spans="2:5" x14ac:dyDescent="0.45">
      <c r="B2274" s="1"/>
      <c r="E2274" s="45" t="str">
        <f>IFERROR(AVERAGEIFS('Picarro Output'!G:G, 'Picarro Output'!$B:$B, 'Uncalibrated Data'!$C2274, 'Picarro Output'!$I:$I, 0, 'Picarro Output'!$J:$J, 1), "")</f>
        <v/>
      </c>
    </row>
    <row r="2275" spans="2:5" x14ac:dyDescent="0.45">
      <c r="B2275" s="1"/>
      <c r="E2275" s="45" t="str">
        <f>IFERROR(AVERAGEIFS('Picarro Output'!G:G, 'Picarro Output'!$B:$B, 'Uncalibrated Data'!$C2275, 'Picarro Output'!$I:$I, 0, 'Picarro Output'!$J:$J, 1), "")</f>
        <v/>
      </c>
    </row>
    <row r="2276" spans="2:5" x14ac:dyDescent="0.45">
      <c r="B2276" s="1"/>
      <c r="E2276" s="45" t="str">
        <f>IFERROR(AVERAGEIFS('Picarro Output'!G:G, 'Picarro Output'!$B:$B, 'Uncalibrated Data'!$C2276, 'Picarro Output'!$I:$I, 0, 'Picarro Output'!$J:$J, 1), "")</f>
        <v/>
      </c>
    </row>
    <row r="2277" spans="2:5" x14ac:dyDescent="0.45">
      <c r="B2277" s="1"/>
      <c r="E2277" s="45" t="str">
        <f>IFERROR(AVERAGEIFS('Picarro Output'!G:G, 'Picarro Output'!$B:$B, 'Uncalibrated Data'!$C2277, 'Picarro Output'!$I:$I, 0, 'Picarro Output'!$J:$J, 1), "")</f>
        <v/>
      </c>
    </row>
    <row r="2278" spans="2:5" x14ac:dyDescent="0.45">
      <c r="B2278" s="1"/>
      <c r="E2278" s="45" t="str">
        <f>IFERROR(AVERAGEIFS('Picarro Output'!G:G, 'Picarro Output'!$B:$B, 'Uncalibrated Data'!$C2278, 'Picarro Output'!$I:$I, 0, 'Picarro Output'!$J:$J, 1), "")</f>
        <v/>
      </c>
    </row>
    <row r="2279" spans="2:5" x14ac:dyDescent="0.45">
      <c r="B2279" s="1"/>
      <c r="E2279" s="45" t="str">
        <f>IFERROR(AVERAGEIFS('Picarro Output'!G:G, 'Picarro Output'!$B:$B, 'Uncalibrated Data'!$C2279, 'Picarro Output'!$I:$I, 0, 'Picarro Output'!$J:$J, 1), "")</f>
        <v/>
      </c>
    </row>
    <row r="2280" spans="2:5" x14ac:dyDescent="0.45">
      <c r="B2280" s="1"/>
      <c r="E2280" s="45" t="str">
        <f>IFERROR(AVERAGEIFS('Picarro Output'!G:G, 'Picarro Output'!$B:$B, 'Uncalibrated Data'!$C2280, 'Picarro Output'!$I:$I, 0, 'Picarro Output'!$J:$J, 1), "")</f>
        <v/>
      </c>
    </row>
    <row r="2281" spans="2:5" x14ac:dyDescent="0.45">
      <c r="B2281" s="1"/>
      <c r="E2281" s="45" t="str">
        <f>IFERROR(AVERAGEIFS('Picarro Output'!G:G, 'Picarro Output'!$B:$B, 'Uncalibrated Data'!$C2281, 'Picarro Output'!$I:$I, 0, 'Picarro Output'!$J:$J, 1), "")</f>
        <v/>
      </c>
    </row>
    <row r="2282" spans="2:5" x14ac:dyDescent="0.45">
      <c r="B2282" s="1"/>
      <c r="E2282" s="45" t="str">
        <f>IFERROR(AVERAGEIFS('Picarro Output'!G:G, 'Picarro Output'!$B:$B, 'Uncalibrated Data'!$C2282, 'Picarro Output'!$I:$I, 0, 'Picarro Output'!$J:$J, 1), "")</f>
        <v/>
      </c>
    </row>
    <row r="2283" spans="2:5" x14ac:dyDescent="0.45">
      <c r="B2283" s="1"/>
      <c r="E2283" s="45" t="str">
        <f>IFERROR(AVERAGEIFS('Picarro Output'!G:G, 'Picarro Output'!$B:$B, 'Uncalibrated Data'!$C2283, 'Picarro Output'!$I:$I, 0, 'Picarro Output'!$J:$J, 1), "")</f>
        <v/>
      </c>
    </row>
    <row r="2284" spans="2:5" x14ac:dyDescent="0.45">
      <c r="B2284" s="1"/>
      <c r="E2284" s="45" t="str">
        <f>IFERROR(AVERAGEIFS('Picarro Output'!G:G, 'Picarro Output'!$B:$B, 'Uncalibrated Data'!$C2284, 'Picarro Output'!$I:$I, 0, 'Picarro Output'!$J:$J, 1), "")</f>
        <v/>
      </c>
    </row>
    <row r="2285" spans="2:5" x14ac:dyDescent="0.45">
      <c r="B2285" s="1"/>
      <c r="E2285" s="45" t="str">
        <f>IFERROR(AVERAGEIFS('Picarro Output'!G:G, 'Picarro Output'!$B:$B, 'Uncalibrated Data'!$C2285, 'Picarro Output'!$I:$I, 0, 'Picarro Output'!$J:$J, 1), "")</f>
        <v/>
      </c>
    </row>
    <row r="2286" spans="2:5" x14ac:dyDescent="0.45">
      <c r="B2286" s="1"/>
      <c r="E2286" s="45" t="str">
        <f>IFERROR(AVERAGEIFS('Picarro Output'!G:G, 'Picarro Output'!$B:$B, 'Uncalibrated Data'!$C2286, 'Picarro Output'!$I:$I, 0, 'Picarro Output'!$J:$J, 1), "")</f>
        <v/>
      </c>
    </row>
    <row r="2287" spans="2:5" x14ac:dyDescent="0.45">
      <c r="B2287" s="1"/>
      <c r="E2287" s="45" t="str">
        <f>IFERROR(AVERAGEIFS('Picarro Output'!G:G, 'Picarro Output'!$B:$B, 'Uncalibrated Data'!$C2287, 'Picarro Output'!$I:$I, 0, 'Picarro Output'!$J:$J, 1), "")</f>
        <v/>
      </c>
    </row>
    <row r="2288" spans="2:5" x14ac:dyDescent="0.45">
      <c r="B2288" s="1"/>
      <c r="E2288" s="45" t="str">
        <f>IFERROR(AVERAGEIFS('Picarro Output'!G:G, 'Picarro Output'!$B:$B, 'Uncalibrated Data'!$C2288, 'Picarro Output'!$I:$I, 0, 'Picarro Output'!$J:$J, 1), "")</f>
        <v/>
      </c>
    </row>
    <row r="2289" spans="2:5" x14ac:dyDescent="0.45">
      <c r="B2289" s="1"/>
      <c r="E2289" s="45" t="str">
        <f>IFERROR(AVERAGEIFS('Picarro Output'!G:G, 'Picarro Output'!$B:$B, 'Uncalibrated Data'!$C2289, 'Picarro Output'!$I:$I, 0, 'Picarro Output'!$J:$J, 1), "")</f>
        <v/>
      </c>
    </row>
    <row r="2290" spans="2:5" x14ac:dyDescent="0.45">
      <c r="B2290" s="1"/>
      <c r="E2290" s="45" t="str">
        <f>IFERROR(AVERAGEIFS('Picarro Output'!G:G, 'Picarro Output'!$B:$B, 'Uncalibrated Data'!$C2290, 'Picarro Output'!$I:$I, 0, 'Picarro Output'!$J:$J, 1), "")</f>
        <v/>
      </c>
    </row>
    <row r="2291" spans="2:5" x14ac:dyDescent="0.45">
      <c r="B2291" s="1"/>
      <c r="E2291" s="45" t="str">
        <f>IFERROR(AVERAGEIFS('Picarro Output'!G:G, 'Picarro Output'!$B:$B, 'Uncalibrated Data'!$C2291, 'Picarro Output'!$I:$I, 0, 'Picarro Output'!$J:$J, 1), "")</f>
        <v/>
      </c>
    </row>
    <row r="2292" spans="2:5" x14ac:dyDescent="0.45">
      <c r="B2292" s="1"/>
      <c r="E2292" s="45" t="str">
        <f>IFERROR(AVERAGEIFS('Picarro Output'!G:G, 'Picarro Output'!$B:$B, 'Uncalibrated Data'!$C2292, 'Picarro Output'!$I:$I, 0, 'Picarro Output'!$J:$J, 1), "")</f>
        <v/>
      </c>
    </row>
    <row r="2293" spans="2:5" x14ac:dyDescent="0.45">
      <c r="B2293" s="1"/>
      <c r="E2293" s="45" t="str">
        <f>IFERROR(AVERAGEIFS('Picarro Output'!G:G, 'Picarro Output'!$B:$B, 'Uncalibrated Data'!$C2293, 'Picarro Output'!$I:$I, 0, 'Picarro Output'!$J:$J, 1), "")</f>
        <v/>
      </c>
    </row>
    <row r="2294" spans="2:5" x14ac:dyDescent="0.45">
      <c r="B2294" s="1"/>
      <c r="E2294" s="45" t="str">
        <f>IFERROR(AVERAGEIFS('Picarro Output'!G:G, 'Picarro Output'!$B:$B, 'Uncalibrated Data'!$C2294, 'Picarro Output'!$I:$I, 0, 'Picarro Output'!$J:$J, 1), "")</f>
        <v/>
      </c>
    </row>
    <row r="2295" spans="2:5" x14ac:dyDescent="0.45">
      <c r="B2295" s="1"/>
      <c r="E2295" s="45" t="str">
        <f>IFERROR(AVERAGEIFS('Picarro Output'!G:G, 'Picarro Output'!$B:$B, 'Uncalibrated Data'!$C2295, 'Picarro Output'!$I:$I, 0, 'Picarro Output'!$J:$J, 1), "")</f>
        <v/>
      </c>
    </row>
    <row r="2296" spans="2:5" x14ac:dyDescent="0.45">
      <c r="B2296" s="1"/>
      <c r="E2296" s="45" t="str">
        <f>IFERROR(AVERAGEIFS('Picarro Output'!G:G, 'Picarro Output'!$B:$B, 'Uncalibrated Data'!$C2296, 'Picarro Output'!$I:$I, 0, 'Picarro Output'!$J:$J, 1), "")</f>
        <v/>
      </c>
    </row>
    <row r="2297" spans="2:5" x14ac:dyDescent="0.45">
      <c r="B2297" s="1"/>
      <c r="E2297" s="45" t="str">
        <f>IFERROR(AVERAGEIFS('Picarro Output'!G:G, 'Picarro Output'!$B:$B, 'Uncalibrated Data'!$C2297, 'Picarro Output'!$I:$I, 0, 'Picarro Output'!$J:$J, 1), "")</f>
        <v/>
      </c>
    </row>
    <row r="2298" spans="2:5" x14ac:dyDescent="0.45">
      <c r="B2298" s="1"/>
      <c r="E2298" s="45" t="str">
        <f>IFERROR(AVERAGEIFS('Picarro Output'!G:G, 'Picarro Output'!$B:$B, 'Uncalibrated Data'!$C2298, 'Picarro Output'!$I:$I, 0, 'Picarro Output'!$J:$J, 1), "")</f>
        <v/>
      </c>
    </row>
    <row r="2299" spans="2:5" x14ac:dyDescent="0.45">
      <c r="B2299" s="1"/>
      <c r="E2299" s="45" t="str">
        <f>IFERROR(AVERAGEIFS('Picarro Output'!G:G, 'Picarro Output'!$B:$B, 'Uncalibrated Data'!$C2299, 'Picarro Output'!$I:$I, 0, 'Picarro Output'!$J:$J, 1), "")</f>
        <v/>
      </c>
    </row>
    <row r="2300" spans="2:5" x14ac:dyDescent="0.45">
      <c r="B2300" s="1"/>
      <c r="E2300" s="45" t="str">
        <f>IFERROR(AVERAGEIFS('Picarro Output'!G:G, 'Picarro Output'!$B:$B, 'Uncalibrated Data'!$C2300, 'Picarro Output'!$I:$I, 0, 'Picarro Output'!$J:$J, 1), "")</f>
        <v/>
      </c>
    </row>
    <row r="2301" spans="2:5" x14ac:dyDescent="0.45">
      <c r="B2301" s="1"/>
      <c r="E2301" s="45" t="str">
        <f>IFERROR(AVERAGEIFS('Picarro Output'!G:G, 'Picarro Output'!$B:$B, 'Uncalibrated Data'!$C2301, 'Picarro Output'!$I:$I, 0, 'Picarro Output'!$J:$J, 1), "")</f>
        <v/>
      </c>
    </row>
    <row r="2302" spans="2:5" x14ac:dyDescent="0.45">
      <c r="B2302" s="1"/>
      <c r="E2302" s="45" t="str">
        <f>IFERROR(AVERAGEIFS('Picarro Output'!G:G, 'Picarro Output'!$B:$B, 'Uncalibrated Data'!$C2302, 'Picarro Output'!$I:$I, 0, 'Picarro Output'!$J:$J, 1), "")</f>
        <v/>
      </c>
    </row>
    <row r="2303" spans="2:5" x14ac:dyDescent="0.45">
      <c r="B2303" s="1"/>
      <c r="E2303" s="45" t="str">
        <f>IFERROR(AVERAGEIFS('Picarro Output'!G:G, 'Picarro Output'!$B:$B, 'Uncalibrated Data'!$C2303, 'Picarro Output'!$I:$I, 0, 'Picarro Output'!$J:$J, 1), "")</f>
        <v/>
      </c>
    </row>
    <row r="2304" spans="2:5" x14ac:dyDescent="0.45">
      <c r="B2304" s="1"/>
      <c r="E2304" s="45" t="str">
        <f>IFERROR(AVERAGEIFS('Picarro Output'!G:G, 'Picarro Output'!$B:$B, 'Uncalibrated Data'!$C2304, 'Picarro Output'!$I:$I, 0, 'Picarro Output'!$J:$J, 1), "")</f>
        <v/>
      </c>
    </row>
    <row r="2305" spans="2:5" x14ac:dyDescent="0.45">
      <c r="B2305" s="1"/>
      <c r="E2305" s="45" t="str">
        <f>IFERROR(AVERAGEIFS('Picarro Output'!G:G, 'Picarro Output'!$B:$B, 'Uncalibrated Data'!$C2305, 'Picarro Output'!$I:$I, 0, 'Picarro Output'!$J:$J, 1), "")</f>
        <v/>
      </c>
    </row>
    <row r="2306" spans="2:5" x14ac:dyDescent="0.45">
      <c r="B2306" s="1"/>
      <c r="E2306" s="45" t="str">
        <f>IFERROR(AVERAGEIFS('Picarro Output'!G:G, 'Picarro Output'!$B:$B, 'Uncalibrated Data'!$C2306, 'Picarro Output'!$I:$I, 0, 'Picarro Output'!$J:$J, 1), "")</f>
        <v/>
      </c>
    </row>
    <row r="2307" spans="2:5" x14ac:dyDescent="0.45">
      <c r="B2307" s="1"/>
      <c r="E2307" s="45" t="str">
        <f>IFERROR(AVERAGEIFS('Picarro Output'!G:G, 'Picarro Output'!$B:$B, 'Uncalibrated Data'!$C2307, 'Picarro Output'!$I:$I, 0, 'Picarro Output'!$J:$J, 1), "")</f>
        <v/>
      </c>
    </row>
    <row r="2308" spans="2:5" x14ac:dyDescent="0.45">
      <c r="B2308" s="1"/>
      <c r="E2308" s="45" t="str">
        <f>IFERROR(AVERAGEIFS('Picarro Output'!G:G, 'Picarro Output'!$B:$B, 'Uncalibrated Data'!$C2308, 'Picarro Output'!$I:$I, 0, 'Picarro Output'!$J:$J, 1), "")</f>
        <v/>
      </c>
    </row>
    <row r="2309" spans="2:5" x14ac:dyDescent="0.45">
      <c r="B2309" s="1"/>
      <c r="E2309" s="45" t="str">
        <f>IFERROR(AVERAGEIFS('Picarro Output'!G:G, 'Picarro Output'!$B:$B, 'Uncalibrated Data'!$C2309, 'Picarro Output'!$I:$I, 0, 'Picarro Output'!$J:$J, 1), "")</f>
        <v/>
      </c>
    </row>
    <row r="2310" spans="2:5" x14ac:dyDescent="0.45">
      <c r="B2310" s="1"/>
      <c r="E2310" s="45" t="str">
        <f>IFERROR(AVERAGEIFS('Picarro Output'!G:G, 'Picarro Output'!$B:$B, 'Uncalibrated Data'!$C2310, 'Picarro Output'!$I:$I, 0, 'Picarro Output'!$J:$J, 1), "")</f>
        <v/>
      </c>
    </row>
    <row r="2311" spans="2:5" x14ac:dyDescent="0.45">
      <c r="B2311" s="1"/>
      <c r="E2311" s="45" t="str">
        <f>IFERROR(AVERAGEIFS('Picarro Output'!G:G, 'Picarro Output'!$B:$B, 'Uncalibrated Data'!$C2311, 'Picarro Output'!$I:$I, 0, 'Picarro Output'!$J:$J, 1), "")</f>
        <v/>
      </c>
    </row>
    <row r="2312" spans="2:5" x14ac:dyDescent="0.45">
      <c r="B2312" s="1"/>
      <c r="E2312" s="45" t="str">
        <f>IFERROR(AVERAGEIFS('Picarro Output'!G:G, 'Picarro Output'!$B:$B, 'Uncalibrated Data'!$C2312, 'Picarro Output'!$I:$I, 0, 'Picarro Output'!$J:$J, 1), "")</f>
        <v/>
      </c>
    </row>
    <row r="2313" spans="2:5" x14ac:dyDescent="0.45">
      <c r="B2313" s="1"/>
      <c r="E2313" s="45" t="str">
        <f>IFERROR(AVERAGEIFS('Picarro Output'!G:G, 'Picarro Output'!$B:$B, 'Uncalibrated Data'!$C2313, 'Picarro Output'!$I:$I, 0, 'Picarro Output'!$J:$J, 1), "")</f>
        <v/>
      </c>
    </row>
    <row r="2314" spans="2:5" x14ac:dyDescent="0.45">
      <c r="B2314" s="1"/>
      <c r="E2314" s="45" t="str">
        <f>IFERROR(AVERAGEIFS('Picarro Output'!G:G, 'Picarro Output'!$B:$B, 'Uncalibrated Data'!$C2314, 'Picarro Output'!$I:$I, 0, 'Picarro Output'!$J:$J, 1), "")</f>
        <v/>
      </c>
    </row>
    <row r="2315" spans="2:5" x14ac:dyDescent="0.45">
      <c r="B2315" s="1"/>
      <c r="E2315" s="45" t="str">
        <f>IFERROR(AVERAGEIFS('Picarro Output'!G:G, 'Picarro Output'!$B:$B, 'Uncalibrated Data'!$C2315, 'Picarro Output'!$I:$I, 0, 'Picarro Output'!$J:$J, 1), "")</f>
        <v/>
      </c>
    </row>
    <row r="2316" spans="2:5" x14ac:dyDescent="0.45">
      <c r="B2316" s="1"/>
      <c r="E2316" s="45" t="str">
        <f>IFERROR(AVERAGEIFS('Picarro Output'!G:G, 'Picarro Output'!$B:$B, 'Uncalibrated Data'!$C2316, 'Picarro Output'!$I:$I, 0, 'Picarro Output'!$J:$J, 1), "")</f>
        <v/>
      </c>
    </row>
    <row r="2317" spans="2:5" x14ac:dyDescent="0.45">
      <c r="B2317" s="1"/>
      <c r="E2317" s="45" t="str">
        <f>IFERROR(AVERAGEIFS('Picarro Output'!G:G, 'Picarro Output'!$B:$B, 'Uncalibrated Data'!$C2317, 'Picarro Output'!$I:$I, 0, 'Picarro Output'!$J:$J, 1), "")</f>
        <v/>
      </c>
    </row>
    <row r="2318" spans="2:5" x14ac:dyDescent="0.45">
      <c r="B2318" s="1"/>
      <c r="E2318" s="45" t="str">
        <f>IFERROR(AVERAGEIFS('Picarro Output'!G:G, 'Picarro Output'!$B:$B, 'Uncalibrated Data'!$C2318, 'Picarro Output'!$I:$I, 0, 'Picarro Output'!$J:$J, 1), "")</f>
        <v/>
      </c>
    </row>
    <row r="2319" spans="2:5" x14ac:dyDescent="0.45">
      <c r="B2319" s="1"/>
      <c r="E2319" s="45" t="str">
        <f>IFERROR(AVERAGEIFS('Picarro Output'!G:G, 'Picarro Output'!$B:$B, 'Uncalibrated Data'!$C2319, 'Picarro Output'!$I:$I, 0, 'Picarro Output'!$J:$J, 1), "")</f>
        <v/>
      </c>
    </row>
    <row r="2320" spans="2:5" x14ac:dyDescent="0.45">
      <c r="B2320" s="1"/>
      <c r="E2320" s="45" t="str">
        <f>IFERROR(AVERAGEIFS('Picarro Output'!G:G, 'Picarro Output'!$B:$B, 'Uncalibrated Data'!$C2320, 'Picarro Output'!$I:$I, 0, 'Picarro Output'!$J:$J, 1), "")</f>
        <v/>
      </c>
    </row>
    <row r="2321" spans="2:5" x14ac:dyDescent="0.45">
      <c r="B2321" s="1"/>
      <c r="E2321" s="45" t="str">
        <f>IFERROR(AVERAGEIFS('Picarro Output'!G:G, 'Picarro Output'!$B:$B, 'Uncalibrated Data'!$C2321, 'Picarro Output'!$I:$I, 0, 'Picarro Output'!$J:$J, 1), "")</f>
        <v/>
      </c>
    </row>
    <row r="2322" spans="2:5" x14ac:dyDescent="0.45">
      <c r="B2322" s="1"/>
      <c r="E2322" s="45" t="str">
        <f>IFERROR(AVERAGEIFS('Picarro Output'!G:G, 'Picarro Output'!$B:$B, 'Uncalibrated Data'!$C2322, 'Picarro Output'!$I:$I, 0, 'Picarro Output'!$J:$J, 1), "")</f>
        <v/>
      </c>
    </row>
    <row r="2323" spans="2:5" x14ac:dyDescent="0.45">
      <c r="B2323" s="1"/>
      <c r="E2323" s="45" t="str">
        <f>IFERROR(AVERAGEIFS('Picarro Output'!G:G, 'Picarro Output'!$B:$B, 'Uncalibrated Data'!$C2323, 'Picarro Output'!$I:$I, 0, 'Picarro Output'!$J:$J, 1), "")</f>
        <v/>
      </c>
    </row>
    <row r="2324" spans="2:5" x14ac:dyDescent="0.45">
      <c r="B2324" s="1"/>
      <c r="E2324" s="45" t="str">
        <f>IFERROR(AVERAGEIFS('Picarro Output'!G:G, 'Picarro Output'!$B:$B, 'Uncalibrated Data'!$C2324, 'Picarro Output'!$I:$I, 0, 'Picarro Output'!$J:$J, 1), "")</f>
        <v/>
      </c>
    </row>
    <row r="2325" spans="2:5" x14ac:dyDescent="0.45">
      <c r="B2325" s="1"/>
      <c r="E2325" s="45" t="str">
        <f>IFERROR(AVERAGEIFS('Picarro Output'!G:G, 'Picarro Output'!$B:$B, 'Uncalibrated Data'!$C2325, 'Picarro Output'!$I:$I, 0, 'Picarro Output'!$J:$J, 1), "")</f>
        <v/>
      </c>
    </row>
    <row r="2326" spans="2:5" x14ac:dyDescent="0.45">
      <c r="B2326" s="1"/>
      <c r="E2326" s="45" t="str">
        <f>IFERROR(AVERAGEIFS('Picarro Output'!G:G, 'Picarro Output'!$B:$B, 'Uncalibrated Data'!$C2326, 'Picarro Output'!$I:$I, 0, 'Picarro Output'!$J:$J, 1), "")</f>
        <v/>
      </c>
    </row>
    <row r="2327" spans="2:5" x14ac:dyDescent="0.45">
      <c r="B2327" s="1"/>
      <c r="E2327" s="45" t="str">
        <f>IFERROR(AVERAGEIFS('Picarro Output'!G:G, 'Picarro Output'!$B:$B, 'Uncalibrated Data'!$C2327, 'Picarro Output'!$I:$I, 0, 'Picarro Output'!$J:$J, 1), "")</f>
        <v/>
      </c>
    </row>
    <row r="2328" spans="2:5" x14ac:dyDescent="0.45">
      <c r="B2328" s="1"/>
      <c r="E2328" s="45" t="str">
        <f>IFERROR(AVERAGEIFS('Picarro Output'!G:G, 'Picarro Output'!$B:$B, 'Uncalibrated Data'!$C2328, 'Picarro Output'!$I:$I, 0, 'Picarro Output'!$J:$J, 1), "")</f>
        <v/>
      </c>
    </row>
    <row r="2329" spans="2:5" x14ac:dyDescent="0.45">
      <c r="B2329" s="1"/>
      <c r="E2329" s="45" t="str">
        <f>IFERROR(AVERAGEIFS('Picarro Output'!G:G, 'Picarro Output'!$B:$B, 'Uncalibrated Data'!$C2329, 'Picarro Output'!$I:$I, 0, 'Picarro Output'!$J:$J, 1), "")</f>
        <v/>
      </c>
    </row>
    <row r="2330" spans="2:5" x14ac:dyDescent="0.45">
      <c r="B2330" s="1"/>
      <c r="E2330" s="45" t="str">
        <f>IFERROR(AVERAGEIFS('Picarro Output'!G:G, 'Picarro Output'!$B:$B, 'Uncalibrated Data'!$C2330, 'Picarro Output'!$I:$I, 0, 'Picarro Output'!$J:$J, 1), "")</f>
        <v/>
      </c>
    </row>
    <row r="2331" spans="2:5" x14ac:dyDescent="0.45">
      <c r="B2331" s="1"/>
      <c r="E2331" s="45" t="str">
        <f>IFERROR(AVERAGEIFS('Picarro Output'!G:G, 'Picarro Output'!$B:$B, 'Uncalibrated Data'!$C2331, 'Picarro Output'!$I:$I, 0, 'Picarro Output'!$J:$J, 1), "")</f>
        <v/>
      </c>
    </row>
    <row r="2332" spans="2:5" x14ac:dyDescent="0.45">
      <c r="B2332" s="1"/>
      <c r="E2332" s="45" t="str">
        <f>IFERROR(AVERAGEIFS('Picarro Output'!G:G, 'Picarro Output'!$B:$B, 'Uncalibrated Data'!$C2332, 'Picarro Output'!$I:$I, 0, 'Picarro Output'!$J:$J, 1), "")</f>
        <v/>
      </c>
    </row>
    <row r="2333" spans="2:5" x14ac:dyDescent="0.45">
      <c r="B2333" s="1"/>
      <c r="E2333" s="45" t="str">
        <f>IFERROR(AVERAGEIFS('Picarro Output'!G:G, 'Picarro Output'!$B:$B, 'Uncalibrated Data'!$C2333, 'Picarro Output'!$I:$I, 0, 'Picarro Output'!$J:$J, 1), "")</f>
        <v/>
      </c>
    </row>
    <row r="2334" spans="2:5" x14ac:dyDescent="0.45">
      <c r="B2334" s="1"/>
      <c r="E2334" s="45" t="str">
        <f>IFERROR(AVERAGEIFS('Picarro Output'!G:G, 'Picarro Output'!$B:$B, 'Uncalibrated Data'!$C2334, 'Picarro Output'!$I:$I, 0, 'Picarro Output'!$J:$J, 1), "")</f>
        <v/>
      </c>
    </row>
    <row r="2335" spans="2:5" x14ac:dyDescent="0.45">
      <c r="B2335" s="1"/>
      <c r="E2335" s="45" t="str">
        <f>IFERROR(AVERAGEIFS('Picarro Output'!G:G, 'Picarro Output'!$B:$B, 'Uncalibrated Data'!$C2335, 'Picarro Output'!$I:$I, 0, 'Picarro Output'!$J:$J, 1), "")</f>
        <v/>
      </c>
    </row>
    <row r="2336" spans="2:5" x14ac:dyDescent="0.45">
      <c r="B2336" s="1"/>
      <c r="E2336" s="45" t="str">
        <f>IFERROR(AVERAGEIFS('Picarro Output'!G:G, 'Picarro Output'!$B:$B, 'Uncalibrated Data'!$C2336, 'Picarro Output'!$I:$I, 0, 'Picarro Output'!$J:$J, 1), "")</f>
        <v/>
      </c>
    </row>
    <row r="2337" spans="2:5" x14ac:dyDescent="0.45">
      <c r="B2337" s="1"/>
      <c r="E2337" s="45" t="str">
        <f>IFERROR(AVERAGEIFS('Picarro Output'!G:G, 'Picarro Output'!$B:$B, 'Uncalibrated Data'!$C2337, 'Picarro Output'!$I:$I, 0, 'Picarro Output'!$J:$J, 1), "")</f>
        <v/>
      </c>
    </row>
    <row r="2338" spans="2:5" x14ac:dyDescent="0.45">
      <c r="B2338" s="1"/>
      <c r="E2338" s="45" t="str">
        <f>IFERROR(AVERAGEIFS('Picarro Output'!G:G, 'Picarro Output'!$B:$B, 'Uncalibrated Data'!$C2338, 'Picarro Output'!$I:$I, 0, 'Picarro Output'!$J:$J, 1), "")</f>
        <v/>
      </c>
    </row>
    <row r="2339" spans="2:5" x14ac:dyDescent="0.45">
      <c r="B2339" s="1"/>
      <c r="E2339" s="45" t="str">
        <f>IFERROR(AVERAGEIFS('Picarro Output'!G:G, 'Picarro Output'!$B:$B, 'Uncalibrated Data'!$C2339, 'Picarro Output'!$I:$I, 0, 'Picarro Output'!$J:$J, 1), "")</f>
        <v/>
      </c>
    </row>
    <row r="2340" spans="2:5" x14ac:dyDescent="0.45">
      <c r="B2340" s="1"/>
      <c r="E2340" s="45" t="str">
        <f>IFERROR(AVERAGEIFS('Picarro Output'!G:G, 'Picarro Output'!$B:$B, 'Uncalibrated Data'!$C2340, 'Picarro Output'!$I:$I, 0, 'Picarro Output'!$J:$J, 1), "")</f>
        <v/>
      </c>
    </row>
    <row r="2341" spans="2:5" x14ac:dyDescent="0.45">
      <c r="B2341" s="1"/>
      <c r="E2341" s="45" t="str">
        <f>IFERROR(AVERAGEIFS('Picarro Output'!G:G, 'Picarro Output'!$B:$B, 'Uncalibrated Data'!$C2341, 'Picarro Output'!$I:$I, 0, 'Picarro Output'!$J:$J, 1), "")</f>
        <v/>
      </c>
    </row>
    <row r="2342" spans="2:5" x14ac:dyDescent="0.45">
      <c r="B2342" s="1"/>
      <c r="E2342" s="45" t="str">
        <f>IFERROR(AVERAGEIFS('Picarro Output'!G:G, 'Picarro Output'!$B:$B, 'Uncalibrated Data'!$C2342, 'Picarro Output'!$I:$I, 0, 'Picarro Output'!$J:$J, 1), "")</f>
        <v/>
      </c>
    </row>
    <row r="2343" spans="2:5" x14ac:dyDescent="0.45">
      <c r="B2343" s="1"/>
      <c r="E2343" s="45" t="str">
        <f>IFERROR(AVERAGEIFS('Picarro Output'!G:G, 'Picarro Output'!$B:$B, 'Uncalibrated Data'!$C2343, 'Picarro Output'!$I:$I, 0, 'Picarro Output'!$J:$J, 1), "")</f>
        <v/>
      </c>
    </row>
    <row r="2344" spans="2:5" x14ac:dyDescent="0.45">
      <c r="B2344" s="1"/>
      <c r="E2344" s="45" t="str">
        <f>IFERROR(AVERAGEIFS('Picarro Output'!G:G, 'Picarro Output'!$B:$B, 'Uncalibrated Data'!$C2344, 'Picarro Output'!$I:$I, 0, 'Picarro Output'!$J:$J, 1), "")</f>
        <v/>
      </c>
    </row>
    <row r="2345" spans="2:5" x14ac:dyDescent="0.45">
      <c r="B2345" s="1"/>
      <c r="E2345" s="45" t="str">
        <f>IFERROR(AVERAGEIFS('Picarro Output'!G:G, 'Picarro Output'!$B:$B, 'Uncalibrated Data'!$C2345, 'Picarro Output'!$I:$I, 0, 'Picarro Output'!$J:$J, 1), "")</f>
        <v/>
      </c>
    </row>
    <row r="2346" spans="2:5" x14ac:dyDescent="0.45">
      <c r="B2346" s="1"/>
      <c r="E2346" s="45" t="str">
        <f>IFERROR(AVERAGEIFS('Picarro Output'!G:G, 'Picarro Output'!$B:$B, 'Uncalibrated Data'!$C2346, 'Picarro Output'!$I:$I, 0, 'Picarro Output'!$J:$J, 1), "")</f>
        <v/>
      </c>
    </row>
    <row r="2347" spans="2:5" x14ac:dyDescent="0.45">
      <c r="B2347" s="1"/>
      <c r="E2347" s="45" t="str">
        <f>IFERROR(AVERAGEIFS('Picarro Output'!G:G, 'Picarro Output'!$B:$B, 'Uncalibrated Data'!$C2347, 'Picarro Output'!$I:$I, 0, 'Picarro Output'!$J:$J, 1), "")</f>
        <v/>
      </c>
    </row>
    <row r="2348" spans="2:5" x14ac:dyDescent="0.45">
      <c r="B2348" s="1"/>
      <c r="E2348" s="45" t="str">
        <f>IFERROR(AVERAGEIFS('Picarro Output'!G:G, 'Picarro Output'!$B:$B, 'Uncalibrated Data'!$C2348, 'Picarro Output'!$I:$I, 0, 'Picarro Output'!$J:$J, 1), "")</f>
        <v/>
      </c>
    </row>
    <row r="2349" spans="2:5" x14ac:dyDescent="0.45">
      <c r="B2349" s="1"/>
      <c r="E2349" s="45" t="str">
        <f>IFERROR(AVERAGEIFS('Picarro Output'!G:G, 'Picarro Output'!$B:$B, 'Uncalibrated Data'!$C2349, 'Picarro Output'!$I:$I, 0, 'Picarro Output'!$J:$J, 1), "")</f>
        <v/>
      </c>
    </row>
    <row r="2350" spans="2:5" x14ac:dyDescent="0.45">
      <c r="B2350" s="1"/>
      <c r="E2350" s="45" t="str">
        <f>IFERROR(AVERAGEIFS('Picarro Output'!G:G, 'Picarro Output'!$B:$B, 'Uncalibrated Data'!$C2350, 'Picarro Output'!$I:$I, 0, 'Picarro Output'!$J:$J, 1), "")</f>
        <v/>
      </c>
    </row>
    <row r="2351" spans="2:5" x14ac:dyDescent="0.45">
      <c r="B2351" s="1"/>
      <c r="E2351" s="45" t="str">
        <f>IFERROR(AVERAGEIFS('Picarro Output'!G:G, 'Picarro Output'!$B:$B, 'Uncalibrated Data'!$C2351, 'Picarro Output'!$I:$I, 0, 'Picarro Output'!$J:$J, 1), "")</f>
        <v/>
      </c>
    </row>
    <row r="2352" spans="2:5" x14ac:dyDescent="0.45">
      <c r="B2352" s="1"/>
      <c r="E2352" s="45" t="str">
        <f>IFERROR(AVERAGEIFS('Picarro Output'!G:G, 'Picarro Output'!$B:$B, 'Uncalibrated Data'!$C2352, 'Picarro Output'!$I:$I, 0, 'Picarro Output'!$J:$J, 1), "")</f>
        <v/>
      </c>
    </row>
    <row r="2353" spans="2:5" x14ac:dyDescent="0.45">
      <c r="B2353" s="1"/>
      <c r="E2353" s="45" t="str">
        <f>IFERROR(AVERAGEIFS('Picarro Output'!G:G, 'Picarro Output'!$B:$B, 'Uncalibrated Data'!$C2353, 'Picarro Output'!$I:$I, 0, 'Picarro Output'!$J:$J, 1), "")</f>
        <v/>
      </c>
    </row>
    <row r="2354" spans="2:5" x14ac:dyDescent="0.45">
      <c r="B2354" s="1"/>
      <c r="E2354" s="45" t="str">
        <f>IFERROR(AVERAGEIFS('Picarro Output'!G:G, 'Picarro Output'!$B:$B, 'Uncalibrated Data'!$C2354, 'Picarro Output'!$I:$I, 0, 'Picarro Output'!$J:$J, 1), "")</f>
        <v/>
      </c>
    </row>
    <row r="2355" spans="2:5" x14ac:dyDescent="0.45">
      <c r="B2355" s="1"/>
      <c r="E2355" s="45" t="str">
        <f>IFERROR(AVERAGEIFS('Picarro Output'!G:G, 'Picarro Output'!$B:$B, 'Uncalibrated Data'!$C2355, 'Picarro Output'!$I:$I, 0, 'Picarro Output'!$J:$J, 1), "")</f>
        <v/>
      </c>
    </row>
    <row r="2356" spans="2:5" x14ac:dyDescent="0.45">
      <c r="B2356" s="1"/>
      <c r="E2356" s="45" t="str">
        <f>IFERROR(AVERAGEIFS('Picarro Output'!G:G, 'Picarro Output'!$B:$B, 'Uncalibrated Data'!$C2356, 'Picarro Output'!$I:$I, 0, 'Picarro Output'!$J:$J, 1), "")</f>
        <v/>
      </c>
    </row>
    <row r="2357" spans="2:5" x14ac:dyDescent="0.45">
      <c r="B2357" s="1"/>
      <c r="E2357" s="45" t="str">
        <f>IFERROR(AVERAGEIFS('Picarro Output'!G:G, 'Picarro Output'!$B:$B, 'Uncalibrated Data'!$C2357, 'Picarro Output'!$I:$I, 0, 'Picarro Output'!$J:$J, 1), "")</f>
        <v/>
      </c>
    </row>
    <row r="2358" spans="2:5" x14ac:dyDescent="0.45">
      <c r="B2358" s="1"/>
      <c r="E2358" s="45" t="str">
        <f>IFERROR(AVERAGEIFS('Picarro Output'!G:G, 'Picarro Output'!$B:$B, 'Uncalibrated Data'!$C2358, 'Picarro Output'!$I:$I, 0, 'Picarro Output'!$J:$J, 1), "")</f>
        <v/>
      </c>
    </row>
    <row r="2359" spans="2:5" x14ac:dyDescent="0.45">
      <c r="B2359" s="1"/>
      <c r="E2359" s="45" t="str">
        <f>IFERROR(AVERAGEIFS('Picarro Output'!G:G, 'Picarro Output'!$B:$B, 'Uncalibrated Data'!$C2359, 'Picarro Output'!$I:$I, 0, 'Picarro Output'!$J:$J, 1), "")</f>
        <v/>
      </c>
    </row>
    <row r="2360" spans="2:5" x14ac:dyDescent="0.45">
      <c r="B2360" s="1"/>
      <c r="E2360" s="45" t="str">
        <f>IFERROR(AVERAGEIFS('Picarro Output'!G:G, 'Picarro Output'!$B:$B, 'Uncalibrated Data'!$C2360, 'Picarro Output'!$I:$I, 0, 'Picarro Output'!$J:$J, 1), "")</f>
        <v/>
      </c>
    </row>
    <row r="2361" spans="2:5" x14ac:dyDescent="0.45">
      <c r="B2361" s="1"/>
      <c r="E2361" s="45" t="str">
        <f>IFERROR(AVERAGEIFS('Picarro Output'!G:G, 'Picarro Output'!$B:$B, 'Uncalibrated Data'!$C2361, 'Picarro Output'!$I:$I, 0, 'Picarro Output'!$J:$J, 1), "")</f>
        <v/>
      </c>
    </row>
    <row r="2362" spans="2:5" x14ac:dyDescent="0.45">
      <c r="B2362" s="1"/>
      <c r="E2362" s="45" t="str">
        <f>IFERROR(AVERAGEIFS('Picarro Output'!G:G, 'Picarro Output'!$B:$B, 'Uncalibrated Data'!$C2362, 'Picarro Output'!$I:$I, 0, 'Picarro Output'!$J:$J, 1), "")</f>
        <v/>
      </c>
    </row>
    <row r="2363" spans="2:5" x14ac:dyDescent="0.45">
      <c r="B2363" s="1"/>
      <c r="E2363" s="45" t="str">
        <f>IFERROR(AVERAGEIFS('Picarro Output'!G:G, 'Picarro Output'!$B:$B, 'Uncalibrated Data'!$C2363, 'Picarro Output'!$I:$I, 0, 'Picarro Output'!$J:$J, 1), "")</f>
        <v/>
      </c>
    </row>
    <row r="2364" spans="2:5" x14ac:dyDescent="0.45">
      <c r="B2364" s="1"/>
      <c r="E2364" s="45" t="str">
        <f>IFERROR(AVERAGEIFS('Picarro Output'!G:G, 'Picarro Output'!$B:$B, 'Uncalibrated Data'!$C2364, 'Picarro Output'!$I:$I, 0, 'Picarro Output'!$J:$J, 1), "")</f>
        <v/>
      </c>
    </row>
    <row r="2365" spans="2:5" x14ac:dyDescent="0.45">
      <c r="B2365" s="1"/>
      <c r="E2365" s="45" t="str">
        <f>IFERROR(AVERAGEIFS('Picarro Output'!G:G, 'Picarro Output'!$B:$B, 'Uncalibrated Data'!$C2365, 'Picarro Output'!$I:$I, 0, 'Picarro Output'!$J:$J, 1), "")</f>
        <v/>
      </c>
    </row>
    <row r="2366" spans="2:5" x14ac:dyDescent="0.45">
      <c r="B2366" s="1"/>
      <c r="E2366" s="45" t="str">
        <f>IFERROR(AVERAGEIFS('Picarro Output'!G:G, 'Picarro Output'!$B:$B, 'Uncalibrated Data'!$C2366, 'Picarro Output'!$I:$I, 0, 'Picarro Output'!$J:$J, 1), "")</f>
        <v/>
      </c>
    </row>
    <row r="2367" spans="2:5" x14ac:dyDescent="0.45">
      <c r="B2367" s="1"/>
      <c r="E2367" s="45" t="str">
        <f>IFERROR(AVERAGEIFS('Picarro Output'!G:G, 'Picarro Output'!$B:$B, 'Uncalibrated Data'!$C2367, 'Picarro Output'!$I:$I, 0, 'Picarro Output'!$J:$J, 1), "")</f>
        <v/>
      </c>
    </row>
    <row r="2368" spans="2:5" x14ac:dyDescent="0.45">
      <c r="B2368" s="1"/>
      <c r="E2368" s="45" t="str">
        <f>IFERROR(AVERAGEIFS('Picarro Output'!G:G, 'Picarro Output'!$B:$B, 'Uncalibrated Data'!$C2368, 'Picarro Output'!$I:$I, 0, 'Picarro Output'!$J:$J, 1), "")</f>
        <v/>
      </c>
    </row>
    <row r="2369" spans="2:5" x14ac:dyDescent="0.45">
      <c r="B2369" s="1"/>
      <c r="E2369" s="45" t="str">
        <f>IFERROR(AVERAGEIFS('Picarro Output'!G:G, 'Picarro Output'!$B:$B, 'Uncalibrated Data'!$C2369, 'Picarro Output'!$I:$I, 0, 'Picarro Output'!$J:$J, 1), "")</f>
        <v/>
      </c>
    </row>
    <row r="2370" spans="2:5" x14ac:dyDescent="0.45">
      <c r="B2370" s="1"/>
      <c r="E2370" s="45" t="str">
        <f>IFERROR(AVERAGEIFS('Picarro Output'!G:G, 'Picarro Output'!$B:$B, 'Uncalibrated Data'!$C2370, 'Picarro Output'!$I:$I, 0, 'Picarro Output'!$J:$J, 1), "")</f>
        <v/>
      </c>
    </row>
    <row r="2371" spans="2:5" x14ac:dyDescent="0.45">
      <c r="B2371" s="1"/>
      <c r="E2371" s="45" t="str">
        <f>IFERROR(AVERAGEIFS('Picarro Output'!G:G, 'Picarro Output'!$B:$B, 'Uncalibrated Data'!$C2371, 'Picarro Output'!$I:$I, 0, 'Picarro Output'!$J:$J, 1), "")</f>
        <v/>
      </c>
    </row>
    <row r="2372" spans="2:5" x14ac:dyDescent="0.45">
      <c r="B2372" s="1"/>
      <c r="E2372" s="45" t="str">
        <f>IFERROR(AVERAGEIFS('Picarro Output'!G:G, 'Picarro Output'!$B:$B, 'Uncalibrated Data'!$C2372, 'Picarro Output'!$I:$I, 0, 'Picarro Output'!$J:$J, 1), "")</f>
        <v/>
      </c>
    </row>
    <row r="2373" spans="2:5" x14ac:dyDescent="0.45">
      <c r="B2373" s="1"/>
      <c r="E2373" s="45" t="str">
        <f>IFERROR(AVERAGEIFS('Picarro Output'!G:G, 'Picarro Output'!$B:$B, 'Uncalibrated Data'!$C2373, 'Picarro Output'!$I:$I, 0, 'Picarro Output'!$J:$J, 1), "")</f>
        <v/>
      </c>
    </row>
    <row r="2374" spans="2:5" x14ac:dyDescent="0.45">
      <c r="B2374" s="1"/>
      <c r="E2374" s="45" t="str">
        <f>IFERROR(AVERAGEIFS('Picarro Output'!G:G, 'Picarro Output'!$B:$B, 'Uncalibrated Data'!$C2374, 'Picarro Output'!$I:$I, 0, 'Picarro Output'!$J:$J, 1), "")</f>
        <v/>
      </c>
    </row>
    <row r="2375" spans="2:5" x14ac:dyDescent="0.45">
      <c r="B2375" s="1"/>
      <c r="E2375" s="45" t="str">
        <f>IFERROR(AVERAGEIFS('Picarro Output'!G:G, 'Picarro Output'!$B:$B, 'Uncalibrated Data'!$C2375, 'Picarro Output'!$I:$I, 0, 'Picarro Output'!$J:$J, 1), "")</f>
        <v/>
      </c>
    </row>
    <row r="2376" spans="2:5" x14ac:dyDescent="0.45">
      <c r="B2376" s="1"/>
      <c r="E2376" s="45" t="str">
        <f>IFERROR(AVERAGEIFS('Picarro Output'!G:G, 'Picarro Output'!$B:$B, 'Uncalibrated Data'!$C2376, 'Picarro Output'!$I:$I, 0, 'Picarro Output'!$J:$J, 1), "")</f>
        <v/>
      </c>
    </row>
    <row r="2377" spans="2:5" x14ac:dyDescent="0.45">
      <c r="B2377" s="1"/>
      <c r="E2377" s="45" t="str">
        <f>IFERROR(AVERAGEIFS('Picarro Output'!G:G, 'Picarro Output'!$B:$B, 'Uncalibrated Data'!$C2377, 'Picarro Output'!$I:$I, 0, 'Picarro Output'!$J:$J, 1), "")</f>
        <v/>
      </c>
    </row>
    <row r="2378" spans="2:5" x14ac:dyDescent="0.45">
      <c r="B2378" s="1"/>
      <c r="E2378" s="45" t="str">
        <f>IFERROR(AVERAGEIFS('Picarro Output'!G:G, 'Picarro Output'!$B:$B, 'Uncalibrated Data'!$C2378, 'Picarro Output'!$I:$I, 0, 'Picarro Output'!$J:$J, 1), "")</f>
        <v/>
      </c>
    </row>
    <row r="2379" spans="2:5" x14ac:dyDescent="0.45">
      <c r="B2379" s="1"/>
      <c r="E2379" s="45" t="str">
        <f>IFERROR(AVERAGEIFS('Picarro Output'!G:G, 'Picarro Output'!$B:$B, 'Uncalibrated Data'!$C2379, 'Picarro Output'!$I:$I, 0, 'Picarro Output'!$J:$J, 1), "")</f>
        <v/>
      </c>
    </row>
    <row r="2380" spans="2:5" x14ac:dyDescent="0.45">
      <c r="B2380" s="1"/>
      <c r="E2380" s="45" t="str">
        <f>IFERROR(AVERAGEIFS('Picarro Output'!G:G, 'Picarro Output'!$B:$B, 'Uncalibrated Data'!$C2380, 'Picarro Output'!$I:$I, 0, 'Picarro Output'!$J:$J, 1), "")</f>
        <v/>
      </c>
    </row>
    <row r="2381" spans="2:5" x14ac:dyDescent="0.45">
      <c r="B2381" s="1"/>
      <c r="E2381" s="45" t="str">
        <f>IFERROR(AVERAGEIFS('Picarro Output'!G:G, 'Picarro Output'!$B:$B, 'Uncalibrated Data'!$C2381, 'Picarro Output'!$I:$I, 0, 'Picarro Output'!$J:$J, 1), "")</f>
        <v/>
      </c>
    </row>
    <row r="2382" spans="2:5" x14ac:dyDescent="0.45">
      <c r="B2382" s="1"/>
      <c r="E2382" s="45" t="str">
        <f>IFERROR(AVERAGEIFS('Picarro Output'!G:G, 'Picarro Output'!$B:$B, 'Uncalibrated Data'!$C2382, 'Picarro Output'!$I:$I, 0, 'Picarro Output'!$J:$J, 1), "")</f>
        <v/>
      </c>
    </row>
    <row r="2383" spans="2:5" x14ac:dyDescent="0.45">
      <c r="B2383" s="1"/>
      <c r="E2383" s="45" t="str">
        <f>IFERROR(AVERAGEIFS('Picarro Output'!G:G, 'Picarro Output'!$B:$B, 'Uncalibrated Data'!$C2383, 'Picarro Output'!$I:$I, 0, 'Picarro Output'!$J:$J, 1), "")</f>
        <v/>
      </c>
    </row>
    <row r="2384" spans="2:5" x14ac:dyDescent="0.45">
      <c r="B2384" s="1"/>
      <c r="E2384" s="45" t="str">
        <f>IFERROR(AVERAGEIFS('Picarro Output'!G:G, 'Picarro Output'!$B:$B, 'Uncalibrated Data'!$C2384, 'Picarro Output'!$I:$I, 0, 'Picarro Output'!$J:$J, 1), "")</f>
        <v/>
      </c>
    </row>
    <row r="2385" spans="2:5" x14ac:dyDescent="0.45">
      <c r="B2385" s="1"/>
      <c r="E2385" s="45" t="str">
        <f>IFERROR(AVERAGEIFS('Picarro Output'!G:G, 'Picarro Output'!$B:$B, 'Uncalibrated Data'!$C2385, 'Picarro Output'!$I:$I, 0, 'Picarro Output'!$J:$J, 1), "")</f>
        <v/>
      </c>
    </row>
    <row r="2386" spans="2:5" x14ac:dyDescent="0.45">
      <c r="B2386" s="1"/>
      <c r="E2386" s="45" t="str">
        <f>IFERROR(AVERAGEIFS('Picarro Output'!G:G, 'Picarro Output'!$B:$B, 'Uncalibrated Data'!$C2386, 'Picarro Output'!$I:$I, 0, 'Picarro Output'!$J:$J, 1), "")</f>
        <v/>
      </c>
    </row>
    <row r="2387" spans="2:5" x14ac:dyDescent="0.45">
      <c r="B2387" s="1"/>
      <c r="E2387" s="45" t="str">
        <f>IFERROR(AVERAGEIFS('Picarro Output'!G:G, 'Picarro Output'!$B:$B, 'Uncalibrated Data'!$C2387, 'Picarro Output'!$I:$I, 0, 'Picarro Output'!$J:$J, 1), "")</f>
        <v/>
      </c>
    </row>
    <row r="2388" spans="2:5" x14ac:dyDescent="0.45">
      <c r="B2388" s="1"/>
      <c r="E2388" s="45" t="str">
        <f>IFERROR(AVERAGEIFS('Picarro Output'!G:G, 'Picarro Output'!$B:$B, 'Uncalibrated Data'!$C2388, 'Picarro Output'!$I:$I, 0, 'Picarro Output'!$J:$J, 1), "")</f>
        <v/>
      </c>
    </row>
    <row r="2389" spans="2:5" x14ac:dyDescent="0.45">
      <c r="B2389" s="1"/>
      <c r="E2389" s="45" t="str">
        <f>IFERROR(AVERAGEIFS('Picarro Output'!G:G, 'Picarro Output'!$B:$B, 'Uncalibrated Data'!$C2389, 'Picarro Output'!$I:$I, 0, 'Picarro Output'!$J:$J, 1), "")</f>
        <v/>
      </c>
    </row>
    <row r="2390" spans="2:5" x14ac:dyDescent="0.45">
      <c r="B2390" s="1"/>
      <c r="E2390" s="45" t="str">
        <f>IFERROR(AVERAGEIFS('Picarro Output'!G:G, 'Picarro Output'!$B:$B, 'Uncalibrated Data'!$C2390, 'Picarro Output'!$I:$I, 0, 'Picarro Output'!$J:$J, 1), "")</f>
        <v/>
      </c>
    </row>
    <row r="2391" spans="2:5" x14ac:dyDescent="0.45">
      <c r="B2391" s="1"/>
      <c r="E2391" s="45" t="str">
        <f>IFERROR(AVERAGEIFS('Picarro Output'!G:G, 'Picarro Output'!$B:$B, 'Uncalibrated Data'!$C2391, 'Picarro Output'!$I:$I, 0, 'Picarro Output'!$J:$J, 1), "")</f>
        <v/>
      </c>
    </row>
    <row r="2392" spans="2:5" x14ac:dyDescent="0.45">
      <c r="B2392" s="1"/>
      <c r="E2392" s="45" t="str">
        <f>IFERROR(AVERAGEIFS('Picarro Output'!G:G, 'Picarro Output'!$B:$B, 'Uncalibrated Data'!$C2392, 'Picarro Output'!$I:$I, 0, 'Picarro Output'!$J:$J, 1), "")</f>
        <v/>
      </c>
    </row>
    <row r="2393" spans="2:5" x14ac:dyDescent="0.45">
      <c r="B2393" s="1"/>
      <c r="E2393" s="45" t="str">
        <f>IFERROR(AVERAGEIFS('Picarro Output'!G:G, 'Picarro Output'!$B:$B, 'Uncalibrated Data'!$C2393, 'Picarro Output'!$I:$I, 0, 'Picarro Output'!$J:$J, 1), "")</f>
        <v/>
      </c>
    </row>
    <row r="2394" spans="2:5" x14ac:dyDescent="0.45">
      <c r="B2394" s="1"/>
      <c r="E2394" s="45" t="str">
        <f>IFERROR(AVERAGEIFS('Picarro Output'!G:G, 'Picarro Output'!$B:$B, 'Uncalibrated Data'!$C2394, 'Picarro Output'!$I:$I, 0, 'Picarro Output'!$J:$J, 1), "")</f>
        <v/>
      </c>
    </row>
    <row r="2395" spans="2:5" x14ac:dyDescent="0.45">
      <c r="B2395" s="1"/>
      <c r="E2395" s="45" t="str">
        <f>IFERROR(AVERAGEIFS('Picarro Output'!G:G, 'Picarro Output'!$B:$B, 'Uncalibrated Data'!$C2395, 'Picarro Output'!$I:$I, 0, 'Picarro Output'!$J:$J, 1), "")</f>
        <v/>
      </c>
    </row>
    <row r="2396" spans="2:5" x14ac:dyDescent="0.45">
      <c r="B2396" s="1"/>
      <c r="E2396" s="45" t="str">
        <f>IFERROR(AVERAGEIFS('Picarro Output'!G:G, 'Picarro Output'!$B:$B, 'Uncalibrated Data'!$C2396, 'Picarro Output'!$I:$I, 0, 'Picarro Output'!$J:$J, 1), "")</f>
        <v/>
      </c>
    </row>
    <row r="2397" spans="2:5" x14ac:dyDescent="0.45">
      <c r="B2397" s="1"/>
      <c r="E2397" s="45" t="str">
        <f>IFERROR(AVERAGEIFS('Picarro Output'!G:G, 'Picarro Output'!$B:$B, 'Uncalibrated Data'!$C2397, 'Picarro Output'!$I:$I, 0, 'Picarro Output'!$J:$J, 1), "")</f>
        <v/>
      </c>
    </row>
    <row r="2398" spans="2:5" x14ac:dyDescent="0.45">
      <c r="B2398" s="1"/>
      <c r="E2398" s="45" t="str">
        <f>IFERROR(AVERAGEIFS('Picarro Output'!G:G, 'Picarro Output'!$B:$B, 'Uncalibrated Data'!$C2398, 'Picarro Output'!$I:$I, 0, 'Picarro Output'!$J:$J, 1), "")</f>
        <v/>
      </c>
    </row>
    <row r="2399" spans="2:5" x14ac:dyDescent="0.45">
      <c r="B2399" s="1"/>
      <c r="E2399" s="45" t="str">
        <f>IFERROR(AVERAGEIFS('Picarro Output'!G:G, 'Picarro Output'!$B:$B, 'Uncalibrated Data'!$C2399, 'Picarro Output'!$I:$I, 0, 'Picarro Output'!$J:$J, 1), "")</f>
        <v/>
      </c>
    </row>
    <row r="2400" spans="2:5" x14ac:dyDescent="0.45">
      <c r="B2400" s="1"/>
      <c r="E2400" s="45" t="str">
        <f>IFERROR(AVERAGEIFS('Picarro Output'!G:G, 'Picarro Output'!$B:$B, 'Uncalibrated Data'!$C2400, 'Picarro Output'!$I:$I, 0, 'Picarro Output'!$J:$J, 1), "")</f>
        <v/>
      </c>
    </row>
    <row r="2401" spans="2:5" x14ac:dyDescent="0.45">
      <c r="B2401" s="1"/>
      <c r="E2401" s="45" t="str">
        <f>IFERROR(AVERAGEIFS('Picarro Output'!G:G, 'Picarro Output'!$B:$B, 'Uncalibrated Data'!$C2401, 'Picarro Output'!$I:$I, 0, 'Picarro Output'!$J:$J, 1), "")</f>
        <v/>
      </c>
    </row>
    <row r="2402" spans="2:5" x14ac:dyDescent="0.45">
      <c r="B2402" s="1"/>
      <c r="E2402" s="45" t="str">
        <f>IFERROR(AVERAGEIFS('Picarro Output'!G:G, 'Picarro Output'!$B:$B, 'Uncalibrated Data'!$C2402, 'Picarro Output'!$I:$I, 0, 'Picarro Output'!$J:$J, 1), "")</f>
        <v/>
      </c>
    </row>
    <row r="2403" spans="2:5" x14ac:dyDescent="0.45">
      <c r="B2403" s="1"/>
      <c r="E2403" s="45" t="str">
        <f>IFERROR(AVERAGEIFS('Picarro Output'!G:G, 'Picarro Output'!$B:$B, 'Uncalibrated Data'!$C2403, 'Picarro Output'!$I:$I, 0, 'Picarro Output'!$J:$J, 1), "")</f>
        <v/>
      </c>
    </row>
    <row r="2404" spans="2:5" x14ac:dyDescent="0.45">
      <c r="B2404" s="1"/>
      <c r="E2404" s="45" t="str">
        <f>IFERROR(AVERAGEIFS('Picarro Output'!G:G, 'Picarro Output'!$B:$B, 'Uncalibrated Data'!$C2404, 'Picarro Output'!$I:$I, 0, 'Picarro Output'!$J:$J, 1), "")</f>
        <v/>
      </c>
    </row>
    <row r="2405" spans="2:5" x14ac:dyDescent="0.45">
      <c r="B2405" s="1"/>
      <c r="E2405" s="45" t="str">
        <f>IFERROR(AVERAGEIFS('Picarro Output'!G:G, 'Picarro Output'!$B:$B, 'Uncalibrated Data'!$C2405, 'Picarro Output'!$I:$I, 0, 'Picarro Output'!$J:$J, 1), "")</f>
        <v/>
      </c>
    </row>
    <row r="2406" spans="2:5" x14ac:dyDescent="0.45">
      <c r="B2406" s="1"/>
      <c r="E2406" s="45" t="str">
        <f>IFERROR(AVERAGEIFS('Picarro Output'!G:G, 'Picarro Output'!$B:$B, 'Uncalibrated Data'!$C2406, 'Picarro Output'!$I:$I, 0, 'Picarro Output'!$J:$J, 1), "")</f>
        <v/>
      </c>
    </row>
    <row r="2407" spans="2:5" x14ac:dyDescent="0.45">
      <c r="B2407" s="1"/>
      <c r="E2407" s="45" t="str">
        <f>IFERROR(AVERAGEIFS('Picarro Output'!G:G, 'Picarro Output'!$B:$B, 'Uncalibrated Data'!$C2407, 'Picarro Output'!$I:$I, 0, 'Picarro Output'!$J:$J, 1), "")</f>
        <v/>
      </c>
    </row>
    <row r="2408" spans="2:5" x14ac:dyDescent="0.45">
      <c r="B2408" s="1"/>
      <c r="E2408" s="45" t="str">
        <f>IFERROR(AVERAGEIFS('Picarro Output'!G:G, 'Picarro Output'!$B:$B, 'Uncalibrated Data'!$C2408, 'Picarro Output'!$I:$I, 0, 'Picarro Output'!$J:$J, 1), "")</f>
        <v/>
      </c>
    </row>
    <row r="2409" spans="2:5" x14ac:dyDescent="0.45">
      <c r="B2409" s="1"/>
      <c r="E2409" s="45" t="str">
        <f>IFERROR(AVERAGEIFS('Picarro Output'!G:G, 'Picarro Output'!$B:$B, 'Uncalibrated Data'!$C2409, 'Picarro Output'!$I:$I, 0, 'Picarro Output'!$J:$J, 1), "")</f>
        <v/>
      </c>
    </row>
    <row r="2410" spans="2:5" x14ac:dyDescent="0.45">
      <c r="B2410" s="1"/>
      <c r="E2410" s="45" t="str">
        <f>IFERROR(AVERAGEIFS('Picarro Output'!G:G, 'Picarro Output'!$B:$B, 'Uncalibrated Data'!$C2410, 'Picarro Output'!$I:$I, 0, 'Picarro Output'!$J:$J, 1), "")</f>
        <v/>
      </c>
    </row>
    <row r="2411" spans="2:5" x14ac:dyDescent="0.45">
      <c r="B2411" s="1"/>
      <c r="E2411" s="45" t="str">
        <f>IFERROR(AVERAGEIFS('Picarro Output'!G:G, 'Picarro Output'!$B:$B, 'Uncalibrated Data'!$C2411, 'Picarro Output'!$I:$I, 0, 'Picarro Output'!$J:$J, 1), "")</f>
        <v/>
      </c>
    </row>
    <row r="2412" spans="2:5" x14ac:dyDescent="0.45">
      <c r="B2412" s="1"/>
      <c r="E2412" s="45" t="str">
        <f>IFERROR(AVERAGEIFS('Picarro Output'!G:G, 'Picarro Output'!$B:$B, 'Uncalibrated Data'!$C2412, 'Picarro Output'!$I:$I, 0, 'Picarro Output'!$J:$J, 1), "")</f>
        <v/>
      </c>
    </row>
    <row r="2413" spans="2:5" x14ac:dyDescent="0.45">
      <c r="B2413" s="1"/>
      <c r="E2413" s="45" t="str">
        <f>IFERROR(AVERAGEIFS('Picarro Output'!G:G, 'Picarro Output'!$B:$B, 'Uncalibrated Data'!$C2413, 'Picarro Output'!$I:$I, 0, 'Picarro Output'!$J:$J, 1), "")</f>
        <v/>
      </c>
    </row>
    <row r="2414" spans="2:5" x14ac:dyDescent="0.45">
      <c r="B2414" s="1"/>
      <c r="E2414" s="45" t="str">
        <f>IFERROR(AVERAGEIFS('Picarro Output'!G:G, 'Picarro Output'!$B:$B, 'Uncalibrated Data'!$C2414, 'Picarro Output'!$I:$I, 0, 'Picarro Output'!$J:$J, 1), "")</f>
        <v/>
      </c>
    </row>
    <row r="2415" spans="2:5" x14ac:dyDescent="0.45">
      <c r="B2415" s="1"/>
      <c r="E2415" s="45" t="str">
        <f>IFERROR(AVERAGEIFS('Picarro Output'!G:G, 'Picarro Output'!$B:$B, 'Uncalibrated Data'!$C2415, 'Picarro Output'!$I:$I, 0, 'Picarro Output'!$J:$J, 1), "")</f>
        <v/>
      </c>
    </row>
    <row r="2416" spans="2:5" x14ac:dyDescent="0.45">
      <c r="B2416" s="1"/>
      <c r="E2416" s="45" t="str">
        <f>IFERROR(AVERAGEIFS('Picarro Output'!G:G, 'Picarro Output'!$B:$B, 'Uncalibrated Data'!$C2416, 'Picarro Output'!$I:$I, 0, 'Picarro Output'!$J:$J, 1), "")</f>
        <v/>
      </c>
    </row>
    <row r="2417" spans="2:5" x14ac:dyDescent="0.45">
      <c r="B2417" s="1"/>
      <c r="E2417" s="45" t="str">
        <f>IFERROR(AVERAGEIFS('Picarro Output'!G:G, 'Picarro Output'!$B:$B, 'Uncalibrated Data'!$C2417, 'Picarro Output'!$I:$I, 0, 'Picarro Output'!$J:$J, 1), "")</f>
        <v/>
      </c>
    </row>
    <row r="2418" spans="2:5" x14ac:dyDescent="0.45">
      <c r="B2418" s="1"/>
      <c r="E2418" s="45" t="str">
        <f>IFERROR(AVERAGEIFS('Picarro Output'!G:G, 'Picarro Output'!$B:$B, 'Uncalibrated Data'!$C2418, 'Picarro Output'!$I:$I, 0, 'Picarro Output'!$J:$J, 1), "")</f>
        <v/>
      </c>
    </row>
    <row r="2419" spans="2:5" x14ac:dyDescent="0.45">
      <c r="B2419" s="1"/>
      <c r="E2419" s="45" t="str">
        <f>IFERROR(AVERAGEIFS('Picarro Output'!G:G, 'Picarro Output'!$B:$B, 'Uncalibrated Data'!$C2419, 'Picarro Output'!$I:$I, 0, 'Picarro Output'!$J:$J, 1), "")</f>
        <v/>
      </c>
    </row>
    <row r="2420" spans="2:5" x14ac:dyDescent="0.45">
      <c r="B2420" s="1"/>
      <c r="E2420" s="45" t="str">
        <f>IFERROR(AVERAGEIFS('Picarro Output'!G:G, 'Picarro Output'!$B:$B, 'Uncalibrated Data'!$C2420, 'Picarro Output'!$I:$I, 0, 'Picarro Output'!$J:$J, 1), "")</f>
        <v/>
      </c>
    </row>
    <row r="2421" spans="2:5" x14ac:dyDescent="0.45">
      <c r="B2421" s="1"/>
      <c r="E2421" s="45" t="str">
        <f>IFERROR(AVERAGEIFS('Picarro Output'!G:G, 'Picarro Output'!$B:$B, 'Uncalibrated Data'!$C2421, 'Picarro Output'!$I:$I, 0, 'Picarro Output'!$J:$J, 1), "")</f>
        <v/>
      </c>
    </row>
    <row r="2422" spans="2:5" x14ac:dyDescent="0.45">
      <c r="B2422" s="1"/>
      <c r="E2422" s="45" t="str">
        <f>IFERROR(AVERAGEIFS('Picarro Output'!G:G, 'Picarro Output'!$B:$B, 'Uncalibrated Data'!$C2422, 'Picarro Output'!$I:$I, 0, 'Picarro Output'!$J:$J, 1), "")</f>
        <v/>
      </c>
    </row>
    <row r="2423" spans="2:5" x14ac:dyDescent="0.45">
      <c r="B2423" s="1"/>
      <c r="E2423" s="45" t="str">
        <f>IFERROR(AVERAGEIFS('Picarro Output'!G:G, 'Picarro Output'!$B:$B, 'Uncalibrated Data'!$C2423, 'Picarro Output'!$I:$I, 0, 'Picarro Output'!$J:$J, 1), "")</f>
        <v/>
      </c>
    </row>
    <row r="2424" spans="2:5" x14ac:dyDescent="0.45">
      <c r="B2424" s="1"/>
      <c r="E2424" s="45" t="str">
        <f>IFERROR(AVERAGEIFS('Picarro Output'!G:G, 'Picarro Output'!$B:$B, 'Uncalibrated Data'!$C2424, 'Picarro Output'!$I:$I, 0, 'Picarro Output'!$J:$J, 1), "")</f>
        <v/>
      </c>
    </row>
    <row r="2425" spans="2:5" x14ac:dyDescent="0.45">
      <c r="B2425" s="1"/>
      <c r="E2425" s="45" t="str">
        <f>IFERROR(AVERAGEIFS('Picarro Output'!G:G, 'Picarro Output'!$B:$B, 'Uncalibrated Data'!$C2425, 'Picarro Output'!$I:$I, 0, 'Picarro Output'!$J:$J, 1), "")</f>
        <v/>
      </c>
    </row>
    <row r="2426" spans="2:5" x14ac:dyDescent="0.45">
      <c r="B2426" s="1"/>
      <c r="E2426" s="45" t="str">
        <f>IFERROR(AVERAGEIFS('Picarro Output'!G:G, 'Picarro Output'!$B:$B, 'Uncalibrated Data'!$C2426, 'Picarro Output'!$I:$I, 0, 'Picarro Output'!$J:$J, 1), "")</f>
        <v/>
      </c>
    </row>
    <row r="2427" spans="2:5" x14ac:dyDescent="0.45">
      <c r="B2427" s="1"/>
      <c r="E2427" s="45" t="str">
        <f>IFERROR(AVERAGEIFS('Picarro Output'!G:G, 'Picarro Output'!$B:$B, 'Uncalibrated Data'!$C2427, 'Picarro Output'!$I:$I, 0, 'Picarro Output'!$J:$J, 1), "")</f>
        <v/>
      </c>
    </row>
    <row r="2428" spans="2:5" x14ac:dyDescent="0.45">
      <c r="B2428" s="1"/>
      <c r="E2428" s="45" t="str">
        <f>IFERROR(AVERAGEIFS('Picarro Output'!G:G, 'Picarro Output'!$B:$B, 'Uncalibrated Data'!$C2428, 'Picarro Output'!$I:$I, 0, 'Picarro Output'!$J:$J, 1), "")</f>
        <v/>
      </c>
    </row>
    <row r="2429" spans="2:5" x14ac:dyDescent="0.45">
      <c r="B2429" s="1"/>
      <c r="E2429" s="45" t="str">
        <f>IFERROR(AVERAGEIFS('Picarro Output'!G:G, 'Picarro Output'!$B:$B, 'Uncalibrated Data'!$C2429, 'Picarro Output'!$I:$I, 0, 'Picarro Output'!$J:$J, 1), "")</f>
        <v/>
      </c>
    </row>
    <row r="2430" spans="2:5" x14ac:dyDescent="0.45">
      <c r="B2430" s="1"/>
      <c r="E2430" s="45" t="str">
        <f>IFERROR(AVERAGEIFS('Picarro Output'!G:G, 'Picarro Output'!$B:$B, 'Uncalibrated Data'!$C2430, 'Picarro Output'!$I:$I, 0, 'Picarro Output'!$J:$J, 1), "")</f>
        <v/>
      </c>
    </row>
    <row r="2431" spans="2:5" x14ac:dyDescent="0.45">
      <c r="B2431" s="1"/>
      <c r="E2431" s="45" t="str">
        <f>IFERROR(AVERAGEIFS('Picarro Output'!G:G, 'Picarro Output'!$B:$B, 'Uncalibrated Data'!$C2431, 'Picarro Output'!$I:$I, 0, 'Picarro Output'!$J:$J, 1), "")</f>
        <v/>
      </c>
    </row>
    <row r="2432" spans="2:5" x14ac:dyDescent="0.45">
      <c r="B2432" s="1"/>
      <c r="E2432" s="45" t="str">
        <f>IFERROR(AVERAGEIFS('Picarro Output'!G:G, 'Picarro Output'!$B:$B, 'Uncalibrated Data'!$C2432, 'Picarro Output'!$I:$I, 0, 'Picarro Output'!$J:$J, 1), "")</f>
        <v/>
      </c>
    </row>
    <row r="2433" spans="2:5" x14ac:dyDescent="0.45">
      <c r="B2433" s="1"/>
      <c r="E2433" s="45" t="str">
        <f>IFERROR(AVERAGEIFS('Picarro Output'!G:G, 'Picarro Output'!$B:$B, 'Uncalibrated Data'!$C2433, 'Picarro Output'!$I:$I, 0, 'Picarro Output'!$J:$J, 1), "")</f>
        <v/>
      </c>
    </row>
    <row r="2434" spans="2:5" x14ac:dyDescent="0.45">
      <c r="B2434" s="1"/>
      <c r="E2434" s="45" t="str">
        <f>IFERROR(AVERAGEIFS('Picarro Output'!G:G, 'Picarro Output'!$B:$B, 'Uncalibrated Data'!$C2434, 'Picarro Output'!$I:$I, 0, 'Picarro Output'!$J:$J, 1), "")</f>
        <v/>
      </c>
    </row>
    <row r="2435" spans="2:5" x14ac:dyDescent="0.45">
      <c r="B2435" s="1"/>
      <c r="E2435" s="45" t="str">
        <f>IFERROR(AVERAGEIFS('Picarro Output'!G:G, 'Picarro Output'!$B:$B, 'Uncalibrated Data'!$C2435, 'Picarro Output'!$I:$I, 0, 'Picarro Output'!$J:$J, 1), "")</f>
        <v/>
      </c>
    </row>
    <row r="2436" spans="2:5" x14ac:dyDescent="0.45">
      <c r="B2436" s="1"/>
      <c r="E2436" s="45" t="str">
        <f>IFERROR(AVERAGEIFS('Picarro Output'!G:G, 'Picarro Output'!$B:$B, 'Uncalibrated Data'!$C2436, 'Picarro Output'!$I:$I, 0, 'Picarro Output'!$J:$J, 1), "")</f>
        <v/>
      </c>
    </row>
    <row r="2437" spans="2:5" x14ac:dyDescent="0.45">
      <c r="B2437" s="1"/>
      <c r="E2437" s="45" t="str">
        <f>IFERROR(AVERAGEIFS('Picarro Output'!G:G, 'Picarro Output'!$B:$B, 'Uncalibrated Data'!$C2437, 'Picarro Output'!$I:$I, 0, 'Picarro Output'!$J:$J, 1), "")</f>
        <v/>
      </c>
    </row>
    <row r="2438" spans="2:5" x14ac:dyDescent="0.45">
      <c r="B2438" s="1"/>
      <c r="E2438" s="45" t="str">
        <f>IFERROR(AVERAGEIFS('Picarro Output'!G:G, 'Picarro Output'!$B:$B, 'Uncalibrated Data'!$C2438, 'Picarro Output'!$I:$I, 0, 'Picarro Output'!$J:$J, 1), "")</f>
        <v/>
      </c>
    </row>
    <row r="2439" spans="2:5" x14ac:dyDescent="0.45">
      <c r="B2439" s="1"/>
      <c r="E2439" s="45" t="str">
        <f>IFERROR(AVERAGEIFS('Picarro Output'!G:G, 'Picarro Output'!$B:$B, 'Uncalibrated Data'!$C2439, 'Picarro Output'!$I:$I, 0, 'Picarro Output'!$J:$J, 1), "")</f>
        <v/>
      </c>
    </row>
    <row r="2440" spans="2:5" x14ac:dyDescent="0.45">
      <c r="B2440" s="1"/>
      <c r="E2440" s="45" t="str">
        <f>IFERROR(AVERAGEIFS('Picarro Output'!G:G, 'Picarro Output'!$B:$B, 'Uncalibrated Data'!$C2440, 'Picarro Output'!$I:$I, 0, 'Picarro Output'!$J:$J, 1), "")</f>
        <v/>
      </c>
    </row>
    <row r="2441" spans="2:5" x14ac:dyDescent="0.45">
      <c r="B2441" s="1"/>
      <c r="E2441" s="45" t="str">
        <f>IFERROR(AVERAGEIFS('Picarro Output'!G:G, 'Picarro Output'!$B:$B, 'Uncalibrated Data'!$C2441, 'Picarro Output'!$I:$I, 0, 'Picarro Output'!$J:$J, 1), "")</f>
        <v/>
      </c>
    </row>
    <row r="2442" spans="2:5" x14ac:dyDescent="0.45">
      <c r="B2442" s="1"/>
      <c r="E2442" s="45" t="str">
        <f>IFERROR(AVERAGEIFS('Picarro Output'!G:G, 'Picarro Output'!$B:$B, 'Uncalibrated Data'!$C2442, 'Picarro Output'!$I:$I, 0, 'Picarro Output'!$J:$J, 1), "")</f>
        <v/>
      </c>
    </row>
    <row r="2443" spans="2:5" x14ac:dyDescent="0.45">
      <c r="B2443" s="1"/>
      <c r="E2443" s="45" t="str">
        <f>IFERROR(AVERAGEIFS('Picarro Output'!G:G, 'Picarro Output'!$B:$B, 'Uncalibrated Data'!$C2443, 'Picarro Output'!$I:$I, 0, 'Picarro Output'!$J:$J, 1), "")</f>
        <v/>
      </c>
    </row>
    <row r="2444" spans="2:5" x14ac:dyDescent="0.45">
      <c r="B2444" s="1"/>
      <c r="E2444" s="45" t="str">
        <f>IFERROR(AVERAGEIFS('Picarro Output'!G:G, 'Picarro Output'!$B:$B, 'Uncalibrated Data'!$C2444, 'Picarro Output'!$I:$I, 0, 'Picarro Output'!$J:$J, 1), "")</f>
        <v/>
      </c>
    </row>
    <row r="2445" spans="2:5" x14ac:dyDescent="0.45">
      <c r="B2445" s="1"/>
      <c r="E2445" s="45" t="str">
        <f>IFERROR(AVERAGEIFS('Picarro Output'!G:G, 'Picarro Output'!$B:$B, 'Uncalibrated Data'!$C2445, 'Picarro Output'!$I:$I, 0, 'Picarro Output'!$J:$J, 1), "")</f>
        <v/>
      </c>
    </row>
    <row r="2446" spans="2:5" x14ac:dyDescent="0.45">
      <c r="B2446" s="1"/>
      <c r="E2446" s="45" t="str">
        <f>IFERROR(AVERAGEIFS('Picarro Output'!G:G, 'Picarro Output'!$B:$B, 'Uncalibrated Data'!$C2446, 'Picarro Output'!$I:$I, 0, 'Picarro Output'!$J:$J, 1), "")</f>
        <v/>
      </c>
    </row>
    <row r="2447" spans="2:5" x14ac:dyDescent="0.45">
      <c r="B2447" s="1"/>
      <c r="E2447" s="45" t="str">
        <f>IFERROR(AVERAGEIFS('Picarro Output'!G:G, 'Picarro Output'!$B:$B, 'Uncalibrated Data'!$C2447, 'Picarro Output'!$I:$I, 0, 'Picarro Output'!$J:$J, 1), "")</f>
        <v/>
      </c>
    </row>
    <row r="2448" spans="2:5" x14ac:dyDescent="0.45">
      <c r="B2448" s="1"/>
      <c r="E2448" s="45" t="str">
        <f>IFERROR(AVERAGEIFS('Picarro Output'!G:G, 'Picarro Output'!$B:$B, 'Uncalibrated Data'!$C2448, 'Picarro Output'!$I:$I, 0, 'Picarro Output'!$J:$J, 1), "")</f>
        <v/>
      </c>
    </row>
    <row r="2449" spans="2:5" x14ac:dyDescent="0.45">
      <c r="B2449" s="1"/>
      <c r="E2449" s="45" t="str">
        <f>IFERROR(AVERAGEIFS('Picarro Output'!G:G, 'Picarro Output'!$B:$B, 'Uncalibrated Data'!$C2449, 'Picarro Output'!$I:$I, 0, 'Picarro Output'!$J:$J, 1), "")</f>
        <v/>
      </c>
    </row>
    <row r="2450" spans="2:5" x14ac:dyDescent="0.45">
      <c r="B2450" s="1"/>
      <c r="E2450" s="45" t="str">
        <f>IFERROR(AVERAGEIFS('Picarro Output'!G:G, 'Picarro Output'!$B:$B, 'Uncalibrated Data'!$C2450, 'Picarro Output'!$I:$I, 0, 'Picarro Output'!$J:$J, 1), "")</f>
        <v/>
      </c>
    </row>
    <row r="2451" spans="2:5" x14ac:dyDescent="0.45">
      <c r="B2451" s="1"/>
      <c r="E2451" s="45" t="str">
        <f>IFERROR(AVERAGEIFS('Picarro Output'!G:G, 'Picarro Output'!$B:$B, 'Uncalibrated Data'!$C2451, 'Picarro Output'!$I:$I, 0, 'Picarro Output'!$J:$J, 1), "")</f>
        <v/>
      </c>
    </row>
    <row r="2452" spans="2:5" x14ac:dyDescent="0.45">
      <c r="B2452" s="1"/>
      <c r="E2452" s="45" t="str">
        <f>IFERROR(AVERAGEIFS('Picarro Output'!G:G, 'Picarro Output'!$B:$B, 'Uncalibrated Data'!$C2452, 'Picarro Output'!$I:$I, 0, 'Picarro Output'!$J:$J, 1), "")</f>
        <v/>
      </c>
    </row>
    <row r="2453" spans="2:5" x14ac:dyDescent="0.45">
      <c r="B2453" s="1"/>
      <c r="E2453" s="45" t="str">
        <f>IFERROR(AVERAGEIFS('Picarro Output'!G:G, 'Picarro Output'!$B:$B, 'Uncalibrated Data'!$C2453, 'Picarro Output'!$I:$I, 0, 'Picarro Output'!$J:$J, 1), "")</f>
        <v/>
      </c>
    </row>
    <row r="2454" spans="2:5" x14ac:dyDescent="0.45">
      <c r="B2454" s="1"/>
      <c r="E2454" s="45" t="str">
        <f>IFERROR(AVERAGEIFS('Picarro Output'!G:G, 'Picarro Output'!$B:$B, 'Uncalibrated Data'!$C2454, 'Picarro Output'!$I:$I, 0, 'Picarro Output'!$J:$J, 1), "")</f>
        <v/>
      </c>
    </row>
    <row r="2455" spans="2:5" x14ac:dyDescent="0.45">
      <c r="B2455" s="1"/>
      <c r="E2455" s="45" t="str">
        <f>IFERROR(AVERAGEIFS('Picarro Output'!G:G, 'Picarro Output'!$B:$B, 'Uncalibrated Data'!$C2455, 'Picarro Output'!$I:$I, 0, 'Picarro Output'!$J:$J, 1), "")</f>
        <v/>
      </c>
    </row>
    <row r="2456" spans="2:5" x14ac:dyDescent="0.45">
      <c r="B2456" s="1"/>
      <c r="E2456" s="45" t="str">
        <f>IFERROR(AVERAGEIFS('Picarro Output'!G:G, 'Picarro Output'!$B:$B, 'Uncalibrated Data'!$C2456, 'Picarro Output'!$I:$I, 0, 'Picarro Output'!$J:$J, 1), "")</f>
        <v/>
      </c>
    </row>
    <row r="2457" spans="2:5" x14ac:dyDescent="0.45">
      <c r="B2457" s="1"/>
      <c r="E2457" s="45" t="str">
        <f>IFERROR(AVERAGEIFS('Picarro Output'!G:G, 'Picarro Output'!$B:$B, 'Uncalibrated Data'!$C2457, 'Picarro Output'!$I:$I, 0, 'Picarro Output'!$J:$J, 1), "")</f>
        <v/>
      </c>
    </row>
    <row r="2458" spans="2:5" x14ac:dyDescent="0.45">
      <c r="B2458" s="1"/>
      <c r="E2458" s="45" t="str">
        <f>IFERROR(AVERAGEIFS('Picarro Output'!G:G, 'Picarro Output'!$B:$B, 'Uncalibrated Data'!$C2458, 'Picarro Output'!$I:$I, 0, 'Picarro Output'!$J:$J, 1), "")</f>
        <v/>
      </c>
    </row>
    <row r="2459" spans="2:5" x14ac:dyDescent="0.45">
      <c r="B2459" s="1"/>
      <c r="E2459" s="45" t="str">
        <f>IFERROR(AVERAGEIFS('Picarro Output'!G:G, 'Picarro Output'!$B:$B, 'Uncalibrated Data'!$C2459, 'Picarro Output'!$I:$I, 0, 'Picarro Output'!$J:$J, 1), "")</f>
        <v/>
      </c>
    </row>
    <row r="2460" spans="2:5" x14ac:dyDescent="0.45">
      <c r="B2460" s="1"/>
      <c r="E2460" s="45" t="str">
        <f>IFERROR(AVERAGEIFS('Picarro Output'!G:G, 'Picarro Output'!$B:$B, 'Uncalibrated Data'!$C2460, 'Picarro Output'!$I:$I, 0, 'Picarro Output'!$J:$J, 1), "")</f>
        <v/>
      </c>
    </row>
    <row r="2461" spans="2:5" x14ac:dyDescent="0.45">
      <c r="B2461" s="1"/>
      <c r="E2461" s="45" t="str">
        <f>IFERROR(AVERAGEIFS('Picarro Output'!G:G, 'Picarro Output'!$B:$B, 'Uncalibrated Data'!$C2461, 'Picarro Output'!$I:$I, 0, 'Picarro Output'!$J:$J, 1), "")</f>
        <v/>
      </c>
    </row>
    <row r="2462" spans="2:5" x14ac:dyDescent="0.45">
      <c r="B2462" s="1"/>
      <c r="E2462" s="45" t="str">
        <f>IFERROR(AVERAGEIFS('Picarro Output'!G:G, 'Picarro Output'!$B:$B, 'Uncalibrated Data'!$C2462, 'Picarro Output'!$I:$I, 0, 'Picarro Output'!$J:$J, 1), "")</f>
        <v/>
      </c>
    </row>
    <row r="2463" spans="2:5" x14ac:dyDescent="0.45">
      <c r="B2463" s="1"/>
      <c r="E2463" s="45" t="str">
        <f>IFERROR(AVERAGEIFS('Picarro Output'!G:G, 'Picarro Output'!$B:$B, 'Uncalibrated Data'!$C2463, 'Picarro Output'!$I:$I, 0, 'Picarro Output'!$J:$J, 1), "")</f>
        <v/>
      </c>
    </row>
    <row r="2464" spans="2:5" x14ac:dyDescent="0.45">
      <c r="B2464" s="1"/>
      <c r="E2464" s="45" t="str">
        <f>IFERROR(AVERAGEIFS('Picarro Output'!G:G, 'Picarro Output'!$B:$B, 'Uncalibrated Data'!$C2464, 'Picarro Output'!$I:$I, 0, 'Picarro Output'!$J:$J, 1), "")</f>
        <v/>
      </c>
    </row>
    <row r="2465" spans="2:5" x14ac:dyDescent="0.45">
      <c r="B2465" s="1"/>
      <c r="E2465" s="45" t="str">
        <f>IFERROR(AVERAGEIFS('Picarro Output'!G:G, 'Picarro Output'!$B:$B, 'Uncalibrated Data'!$C2465, 'Picarro Output'!$I:$I, 0, 'Picarro Output'!$J:$J, 1), "")</f>
        <v/>
      </c>
    </row>
    <row r="2466" spans="2:5" x14ac:dyDescent="0.45">
      <c r="B2466" s="1"/>
      <c r="E2466" s="45" t="str">
        <f>IFERROR(AVERAGEIFS('Picarro Output'!G:G, 'Picarro Output'!$B:$B, 'Uncalibrated Data'!$C2466, 'Picarro Output'!$I:$I, 0, 'Picarro Output'!$J:$J, 1), "")</f>
        <v/>
      </c>
    </row>
    <row r="2467" spans="2:5" x14ac:dyDescent="0.45">
      <c r="B2467" s="1"/>
      <c r="E2467" s="45" t="str">
        <f>IFERROR(AVERAGEIFS('Picarro Output'!G:G, 'Picarro Output'!$B:$B, 'Uncalibrated Data'!$C2467, 'Picarro Output'!$I:$I, 0, 'Picarro Output'!$J:$J, 1), "")</f>
        <v/>
      </c>
    </row>
    <row r="2468" spans="2:5" x14ac:dyDescent="0.45">
      <c r="B2468" s="1"/>
      <c r="E2468" s="45" t="str">
        <f>IFERROR(AVERAGEIFS('Picarro Output'!G:G, 'Picarro Output'!$B:$B, 'Uncalibrated Data'!$C2468, 'Picarro Output'!$I:$I, 0, 'Picarro Output'!$J:$J, 1), "")</f>
        <v/>
      </c>
    </row>
    <row r="2469" spans="2:5" x14ac:dyDescent="0.45">
      <c r="B2469" s="1"/>
      <c r="E2469" s="45" t="str">
        <f>IFERROR(AVERAGEIFS('Picarro Output'!G:G, 'Picarro Output'!$B:$B, 'Uncalibrated Data'!$C2469, 'Picarro Output'!$I:$I, 0, 'Picarro Output'!$J:$J, 1), "")</f>
        <v/>
      </c>
    </row>
    <row r="2470" spans="2:5" x14ac:dyDescent="0.45">
      <c r="B2470" s="1"/>
      <c r="E2470" s="45" t="str">
        <f>IFERROR(AVERAGEIFS('Picarro Output'!G:G, 'Picarro Output'!$B:$B, 'Uncalibrated Data'!$C2470, 'Picarro Output'!$I:$I, 0, 'Picarro Output'!$J:$J, 1), "")</f>
        <v/>
      </c>
    </row>
    <row r="2471" spans="2:5" x14ac:dyDescent="0.45">
      <c r="B2471" s="1"/>
      <c r="E2471" s="45" t="str">
        <f>IFERROR(AVERAGEIFS('Picarro Output'!G:G, 'Picarro Output'!$B:$B, 'Uncalibrated Data'!$C2471, 'Picarro Output'!$I:$I, 0, 'Picarro Output'!$J:$J, 1), "")</f>
        <v/>
      </c>
    </row>
    <row r="2472" spans="2:5" x14ac:dyDescent="0.45">
      <c r="B2472" s="1"/>
      <c r="E2472" s="45" t="str">
        <f>IFERROR(AVERAGEIFS('Picarro Output'!G:G, 'Picarro Output'!$B:$B, 'Uncalibrated Data'!$C2472, 'Picarro Output'!$I:$I, 0, 'Picarro Output'!$J:$J, 1), "")</f>
        <v/>
      </c>
    </row>
    <row r="2473" spans="2:5" x14ac:dyDescent="0.45">
      <c r="B2473" s="1"/>
      <c r="E2473" s="45" t="str">
        <f>IFERROR(AVERAGEIFS('Picarro Output'!G:G, 'Picarro Output'!$B:$B, 'Uncalibrated Data'!$C2473, 'Picarro Output'!$I:$I, 0, 'Picarro Output'!$J:$J, 1), "")</f>
        <v/>
      </c>
    </row>
    <row r="2474" spans="2:5" x14ac:dyDescent="0.45">
      <c r="B2474" s="1"/>
      <c r="E2474" s="45" t="str">
        <f>IFERROR(AVERAGEIFS('Picarro Output'!G:G, 'Picarro Output'!$B:$B, 'Uncalibrated Data'!$C2474, 'Picarro Output'!$I:$I, 0, 'Picarro Output'!$J:$J, 1), "")</f>
        <v/>
      </c>
    </row>
    <row r="2475" spans="2:5" x14ac:dyDescent="0.45">
      <c r="B2475" s="1"/>
      <c r="E2475" s="45" t="str">
        <f>IFERROR(AVERAGEIFS('Picarro Output'!G:G, 'Picarro Output'!$B:$B, 'Uncalibrated Data'!$C2475, 'Picarro Output'!$I:$I, 0, 'Picarro Output'!$J:$J, 1), "")</f>
        <v/>
      </c>
    </row>
    <row r="2476" spans="2:5" x14ac:dyDescent="0.45">
      <c r="B2476" s="1"/>
      <c r="E2476" s="45" t="str">
        <f>IFERROR(AVERAGEIFS('Picarro Output'!G:G, 'Picarro Output'!$B:$B, 'Uncalibrated Data'!$C2476, 'Picarro Output'!$I:$I, 0, 'Picarro Output'!$J:$J, 1), "")</f>
        <v/>
      </c>
    </row>
    <row r="2477" spans="2:5" x14ac:dyDescent="0.45">
      <c r="B2477" s="1"/>
      <c r="E2477" s="45" t="str">
        <f>IFERROR(AVERAGEIFS('Picarro Output'!G:G, 'Picarro Output'!$B:$B, 'Uncalibrated Data'!$C2477, 'Picarro Output'!$I:$I, 0, 'Picarro Output'!$J:$J, 1), "")</f>
        <v/>
      </c>
    </row>
    <row r="2478" spans="2:5" x14ac:dyDescent="0.45">
      <c r="B2478" s="1"/>
      <c r="E2478" s="45" t="str">
        <f>IFERROR(AVERAGEIFS('Picarro Output'!G:G, 'Picarro Output'!$B:$B, 'Uncalibrated Data'!$C2478, 'Picarro Output'!$I:$I, 0, 'Picarro Output'!$J:$J, 1), "")</f>
        <v/>
      </c>
    </row>
    <row r="2479" spans="2:5" x14ac:dyDescent="0.45">
      <c r="B2479" s="1"/>
      <c r="E2479" s="45" t="str">
        <f>IFERROR(AVERAGEIFS('Picarro Output'!G:G, 'Picarro Output'!$B:$B, 'Uncalibrated Data'!$C2479, 'Picarro Output'!$I:$I, 0, 'Picarro Output'!$J:$J, 1), "")</f>
        <v/>
      </c>
    </row>
    <row r="2480" spans="2:5" x14ac:dyDescent="0.45">
      <c r="B2480" s="1"/>
      <c r="E2480" s="45" t="str">
        <f>IFERROR(AVERAGEIFS('Picarro Output'!G:G, 'Picarro Output'!$B:$B, 'Uncalibrated Data'!$C2480, 'Picarro Output'!$I:$I, 0, 'Picarro Output'!$J:$J, 1), "")</f>
        <v/>
      </c>
    </row>
    <row r="2481" spans="2:5" x14ac:dyDescent="0.45">
      <c r="B2481" s="1"/>
      <c r="E2481" s="45" t="str">
        <f>IFERROR(AVERAGEIFS('Picarro Output'!G:G, 'Picarro Output'!$B:$B, 'Uncalibrated Data'!$C2481, 'Picarro Output'!$I:$I, 0, 'Picarro Output'!$J:$J, 1), "")</f>
        <v/>
      </c>
    </row>
    <row r="2482" spans="2:5" x14ac:dyDescent="0.45">
      <c r="B2482" s="1"/>
      <c r="E2482" s="45" t="str">
        <f>IFERROR(AVERAGEIFS('Picarro Output'!G:G, 'Picarro Output'!$B:$B, 'Uncalibrated Data'!$C2482, 'Picarro Output'!$I:$I, 0, 'Picarro Output'!$J:$J, 1), "")</f>
        <v/>
      </c>
    </row>
    <row r="2483" spans="2:5" x14ac:dyDescent="0.45">
      <c r="B2483" s="1"/>
      <c r="E2483" s="45" t="str">
        <f>IFERROR(AVERAGEIFS('Picarro Output'!G:G, 'Picarro Output'!$B:$B, 'Uncalibrated Data'!$C2483, 'Picarro Output'!$I:$I, 0, 'Picarro Output'!$J:$J, 1), "")</f>
        <v/>
      </c>
    </row>
    <row r="2484" spans="2:5" x14ac:dyDescent="0.45">
      <c r="B2484" s="1"/>
      <c r="E2484" s="45" t="str">
        <f>IFERROR(AVERAGEIFS('Picarro Output'!G:G, 'Picarro Output'!$B:$B, 'Uncalibrated Data'!$C2484, 'Picarro Output'!$I:$I, 0, 'Picarro Output'!$J:$J, 1), "")</f>
        <v/>
      </c>
    </row>
    <row r="2485" spans="2:5" x14ac:dyDescent="0.45">
      <c r="B2485" s="1"/>
      <c r="E2485" s="45" t="str">
        <f>IFERROR(AVERAGEIFS('Picarro Output'!G:G, 'Picarro Output'!$B:$B, 'Uncalibrated Data'!$C2485, 'Picarro Output'!$I:$I, 0, 'Picarro Output'!$J:$J, 1), "")</f>
        <v/>
      </c>
    </row>
    <row r="2486" spans="2:5" x14ac:dyDescent="0.45">
      <c r="B2486" s="1"/>
      <c r="E2486" s="45" t="str">
        <f>IFERROR(AVERAGEIFS('Picarro Output'!G:G, 'Picarro Output'!$B:$B, 'Uncalibrated Data'!$C2486, 'Picarro Output'!$I:$I, 0, 'Picarro Output'!$J:$J, 1), "")</f>
        <v/>
      </c>
    </row>
    <row r="2487" spans="2:5" x14ac:dyDescent="0.45">
      <c r="B2487" s="1"/>
      <c r="E2487" s="45" t="str">
        <f>IFERROR(AVERAGEIFS('Picarro Output'!G:G, 'Picarro Output'!$B:$B, 'Uncalibrated Data'!$C2487, 'Picarro Output'!$I:$I, 0, 'Picarro Output'!$J:$J, 1), "")</f>
        <v/>
      </c>
    </row>
    <row r="2488" spans="2:5" x14ac:dyDescent="0.45">
      <c r="B2488" s="1"/>
      <c r="E2488" s="45" t="str">
        <f>IFERROR(AVERAGEIFS('Picarro Output'!G:G, 'Picarro Output'!$B:$B, 'Uncalibrated Data'!$C2488, 'Picarro Output'!$I:$I, 0, 'Picarro Output'!$J:$J, 1), "")</f>
        <v/>
      </c>
    </row>
    <row r="2489" spans="2:5" x14ac:dyDescent="0.45">
      <c r="B2489" s="1"/>
      <c r="E2489" s="45" t="str">
        <f>IFERROR(AVERAGEIFS('Picarro Output'!G:G, 'Picarro Output'!$B:$B, 'Uncalibrated Data'!$C2489, 'Picarro Output'!$I:$I, 0, 'Picarro Output'!$J:$J, 1), "")</f>
        <v/>
      </c>
    </row>
    <row r="2490" spans="2:5" x14ac:dyDescent="0.45">
      <c r="B2490" s="1"/>
      <c r="E2490" s="45" t="str">
        <f>IFERROR(AVERAGEIFS('Picarro Output'!G:G, 'Picarro Output'!$B:$B, 'Uncalibrated Data'!$C2490, 'Picarro Output'!$I:$I, 0, 'Picarro Output'!$J:$J, 1), "")</f>
        <v/>
      </c>
    </row>
    <row r="2491" spans="2:5" x14ac:dyDescent="0.45">
      <c r="B2491" s="1"/>
      <c r="E2491" s="45" t="str">
        <f>IFERROR(AVERAGEIFS('Picarro Output'!G:G, 'Picarro Output'!$B:$B, 'Uncalibrated Data'!$C2491, 'Picarro Output'!$I:$I, 0, 'Picarro Output'!$J:$J, 1), "")</f>
        <v/>
      </c>
    </row>
    <row r="2492" spans="2:5" x14ac:dyDescent="0.45">
      <c r="B2492" s="1"/>
      <c r="E2492" s="45" t="str">
        <f>IFERROR(AVERAGEIFS('Picarro Output'!G:G, 'Picarro Output'!$B:$B, 'Uncalibrated Data'!$C2492, 'Picarro Output'!$I:$I, 0, 'Picarro Output'!$J:$J, 1), "")</f>
        <v/>
      </c>
    </row>
    <row r="2493" spans="2:5" x14ac:dyDescent="0.45">
      <c r="B2493" s="1"/>
      <c r="E2493" s="45" t="str">
        <f>IFERROR(AVERAGEIFS('Picarro Output'!G:G, 'Picarro Output'!$B:$B, 'Uncalibrated Data'!$C2493, 'Picarro Output'!$I:$I, 0, 'Picarro Output'!$J:$J, 1), "")</f>
        <v/>
      </c>
    </row>
    <row r="2494" spans="2:5" x14ac:dyDescent="0.45">
      <c r="B2494" s="1"/>
      <c r="E2494" s="45" t="str">
        <f>IFERROR(AVERAGEIFS('Picarro Output'!G:G, 'Picarro Output'!$B:$B, 'Uncalibrated Data'!$C2494, 'Picarro Output'!$I:$I, 0, 'Picarro Output'!$J:$J, 1), "")</f>
        <v/>
      </c>
    </row>
    <row r="2495" spans="2:5" x14ac:dyDescent="0.45">
      <c r="B2495" s="1"/>
      <c r="E2495" s="45" t="str">
        <f>IFERROR(AVERAGEIFS('Picarro Output'!G:G, 'Picarro Output'!$B:$B, 'Uncalibrated Data'!$C2495, 'Picarro Output'!$I:$I, 0, 'Picarro Output'!$J:$J, 1), "")</f>
        <v/>
      </c>
    </row>
    <row r="2496" spans="2:5" x14ac:dyDescent="0.45">
      <c r="B2496" s="1"/>
      <c r="E2496" s="45" t="str">
        <f>IFERROR(AVERAGEIFS('Picarro Output'!G:G, 'Picarro Output'!$B:$B, 'Uncalibrated Data'!$C2496, 'Picarro Output'!$I:$I, 0, 'Picarro Output'!$J:$J, 1), "")</f>
        <v/>
      </c>
    </row>
    <row r="2497" spans="2:5" x14ac:dyDescent="0.45">
      <c r="B2497" s="1"/>
      <c r="E2497" s="45" t="str">
        <f>IFERROR(AVERAGEIFS('Picarro Output'!G:G, 'Picarro Output'!$B:$B, 'Uncalibrated Data'!$C2497, 'Picarro Output'!$I:$I, 0, 'Picarro Output'!$J:$J, 1), "")</f>
        <v/>
      </c>
    </row>
    <row r="2498" spans="2:5" x14ac:dyDescent="0.45">
      <c r="B2498" s="1"/>
      <c r="E2498" s="45" t="str">
        <f>IFERROR(AVERAGEIFS('Picarro Output'!G:G, 'Picarro Output'!$B:$B, 'Uncalibrated Data'!$C2498, 'Picarro Output'!$I:$I, 0, 'Picarro Output'!$J:$J, 1), "")</f>
        <v/>
      </c>
    </row>
    <row r="2499" spans="2:5" x14ac:dyDescent="0.45">
      <c r="B2499" s="1"/>
      <c r="E2499" s="45" t="str">
        <f>IFERROR(AVERAGEIFS('Picarro Output'!G:G, 'Picarro Output'!$B:$B, 'Uncalibrated Data'!$C2499, 'Picarro Output'!$I:$I, 0, 'Picarro Output'!$J:$J, 1), "")</f>
        <v/>
      </c>
    </row>
    <row r="2500" spans="2:5" x14ac:dyDescent="0.45">
      <c r="B2500" s="1"/>
      <c r="E2500" s="45" t="str">
        <f>IFERROR(AVERAGEIFS('Picarro Output'!G:G, 'Picarro Output'!$B:$B, 'Uncalibrated Data'!$C2500, 'Picarro Output'!$I:$I, 0, 'Picarro Output'!$J:$J, 1), "")</f>
        <v/>
      </c>
    </row>
    <row r="2501" spans="2:5" x14ac:dyDescent="0.45">
      <c r="B2501" s="1"/>
      <c r="E2501" s="45" t="str">
        <f>IFERROR(AVERAGEIFS('Picarro Output'!G:G, 'Picarro Output'!$B:$B, 'Uncalibrated Data'!$C2501, 'Picarro Output'!$I:$I, 0, 'Picarro Output'!$J:$J, 1), "")</f>
        <v/>
      </c>
    </row>
    <row r="2502" spans="2:5" x14ac:dyDescent="0.45">
      <c r="B2502" s="1"/>
      <c r="E2502" s="45" t="str">
        <f>IFERROR(AVERAGEIFS('Picarro Output'!G:G, 'Picarro Output'!$B:$B, 'Uncalibrated Data'!$C2502, 'Picarro Output'!$I:$I, 0, 'Picarro Output'!$J:$J, 1), "")</f>
        <v/>
      </c>
    </row>
    <row r="2503" spans="2:5" x14ac:dyDescent="0.45">
      <c r="B2503" s="1"/>
      <c r="E2503" s="45" t="str">
        <f>IFERROR(AVERAGEIFS('Picarro Output'!G:G, 'Picarro Output'!$B:$B, 'Uncalibrated Data'!$C2503, 'Picarro Output'!$I:$I, 0, 'Picarro Output'!$J:$J, 1), "")</f>
        <v/>
      </c>
    </row>
    <row r="2504" spans="2:5" x14ac:dyDescent="0.45">
      <c r="B2504" s="1"/>
      <c r="E2504" s="45" t="str">
        <f>IFERROR(AVERAGEIFS('Picarro Output'!G:G, 'Picarro Output'!$B:$B, 'Uncalibrated Data'!$C2504, 'Picarro Output'!$I:$I, 0, 'Picarro Output'!$J:$J, 1), "")</f>
        <v/>
      </c>
    </row>
    <row r="2505" spans="2:5" x14ac:dyDescent="0.45">
      <c r="B2505" s="1"/>
      <c r="E2505" s="45" t="str">
        <f>IFERROR(AVERAGEIFS('Picarro Output'!G:G, 'Picarro Output'!$B:$B, 'Uncalibrated Data'!$C2505, 'Picarro Output'!$I:$I, 0, 'Picarro Output'!$J:$J, 1), "")</f>
        <v/>
      </c>
    </row>
    <row r="2506" spans="2:5" x14ac:dyDescent="0.45">
      <c r="B2506" s="1"/>
      <c r="E2506" s="45" t="str">
        <f>IFERROR(AVERAGEIFS('Picarro Output'!G:G, 'Picarro Output'!$B:$B, 'Uncalibrated Data'!$C2506, 'Picarro Output'!$I:$I, 0, 'Picarro Output'!$J:$J, 1), "")</f>
        <v/>
      </c>
    </row>
    <row r="2507" spans="2:5" x14ac:dyDescent="0.45">
      <c r="B2507" s="1"/>
      <c r="E2507" s="45" t="str">
        <f>IFERROR(AVERAGEIFS('Picarro Output'!G:G, 'Picarro Output'!$B:$B, 'Uncalibrated Data'!$C2507, 'Picarro Output'!$I:$I, 0, 'Picarro Output'!$J:$J, 1), "")</f>
        <v/>
      </c>
    </row>
    <row r="2508" spans="2:5" x14ac:dyDescent="0.45">
      <c r="B2508" s="1"/>
      <c r="E2508" s="45" t="str">
        <f>IFERROR(AVERAGEIFS('Picarro Output'!G:G, 'Picarro Output'!$B:$B, 'Uncalibrated Data'!$C2508, 'Picarro Output'!$I:$I, 0, 'Picarro Output'!$J:$J, 1), "")</f>
        <v/>
      </c>
    </row>
    <row r="2509" spans="2:5" x14ac:dyDescent="0.45">
      <c r="B2509" s="1"/>
      <c r="E2509" s="45" t="str">
        <f>IFERROR(AVERAGEIFS('Picarro Output'!G:G, 'Picarro Output'!$B:$B, 'Uncalibrated Data'!$C2509, 'Picarro Output'!$I:$I, 0, 'Picarro Output'!$J:$J, 1), "")</f>
        <v/>
      </c>
    </row>
    <row r="2510" spans="2:5" x14ac:dyDescent="0.45">
      <c r="B2510" s="1"/>
      <c r="E2510" s="45" t="str">
        <f>IFERROR(AVERAGEIFS('Picarro Output'!G:G, 'Picarro Output'!$B:$B, 'Uncalibrated Data'!$C2510, 'Picarro Output'!$I:$I, 0, 'Picarro Output'!$J:$J, 1), "")</f>
        <v/>
      </c>
    </row>
    <row r="2511" spans="2:5" x14ac:dyDescent="0.45">
      <c r="B2511" s="1"/>
      <c r="E2511" s="45" t="str">
        <f>IFERROR(AVERAGEIFS('Picarro Output'!G:G, 'Picarro Output'!$B:$B, 'Uncalibrated Data'!$C2511, 'Picarro Output'!$I:$I, 0, 'Picarro Output'!$J:$J, 1), "")</f>
        <v/>
      </c>
    </row>
    <row r="2512" spans="2:5" x14ac:dyDescent="0.45">
      <c r="B2512" s="1"/>
      <c r="E2512" s="45" t="str">
        <f>IFERROR(AVERAGEIFS('Picarro Output'!G:G, 'Picarro Output'!$B:$B, 'Uncalibrated Data'!$C2512, 'Picarro Output'!$I:$I, 0, 'Picarro Output'!$J:$J, 1), "")</f>
        <v/>
      </c>
    </row>
    <row r="2513" spans="2:5" x14ac:dyDescent="0.45">
      <c r="B2513" s="1"/>
      <c r="E2513" s="45" t="str">
        <f>IFERROR(AVERAGEIFS('Picarro Output'!G:G, 'Picarro Output'!$B:$B, 'Uncalibrated Data'!$C2513, 'Picarro Output'!$I:$I, 0, 'Picarro Output'!$J:$J, 1), "")</f>
        <v/>
      </c>
    </row>
    <row r="2514" spans="2:5" x14ac:dyDescent="0.45">
      <c r="B2514" s="1"/>
      <c r="E2514" s="45" t="str">
        <f>IFERROR(AVERAGEIFS('Picarro Output'!G:G, 'Picarro Output'!$B:$B, 'Uncalibrated Data'!$C2514, 'Picarro Output'!$I:$I, 0, 'Picarro Output'!$J:$J, 1), "")</f>
        <v/>
      </c>
    </row>
    <row r="2515" spans="2:5" x14ac:dyDescent="0.45">
      <c r="B2515" s="1"/>
      <c r="E2515" s="45" t="str">
        <f>IFERROR(AVERAGEIFS('Picarro Output'!G:G, 'Picarro Output'!$B:$B, 'Uncalibrated Data'!$C2515, 'Picarro Output'!$I:$I, 0, 'Picarro Output'!$J:$J, 1), "")</f>
        <v/>
      </c>
    </row>
    <row r="2516" spans="2:5" x14ac:dyDescent="0.45">
      <c r="B2516" s="1"/>
      <c r="E2516" s="45" t="str">
        <f>IFERROR(AVERAGEIFS('Picarro Output'!G:G, 'Picarro Output'!$B:$B, 'Uncalibrated Data'!$C2516, 'Picarro Output'!$I:$I, 0, 'Picarro Output'!$J:$J, 1), "")</f>
        <v/>
      </c>
    </row>
    <row r="2517" spans="2:5" x14ac:dyDescent="0.45">
      <c r="B2517" s="1"/>
      <c r="E2517" s="45" t="str">
        <f>IFERROR(AVERAGEIFS('Picarro Output'!G:G, 'Picarro Output'!$B:$B, 'Uncalibrated Data'!$C2517, 'Picarro Output'!$I:$I, 0, 'Picarro Output'!$J:$J, 1), "")</f>
        <v/>
      </c>
    </row>
    <row r="2518" spans="2:5" x14ac:dyDescent="0.45">
      <c r="B2518" s="1"/>
      <c r="E2518" s="45" t="str">
        <f>IFERROR(AVERAGEIFS('Picarro Output'!G:G, 'Picarro Output'!$B:$B, 'Uncalibrated Data'!$C2518, 'Picarro Output'!$I:$I, 0, 'Picarro Output'!$J:$J, 1), "")</f>
        <v/>
      </c>
    </row>
    <row r="2519" spans="2:5" x14ac:dyDescent="0.45">
      <c r="B2519" s="1"/>
      <c r="E2519" s="45" t="str">
        <f>IFERROR(AVERAGEIFS('Picarro Output'!G:G, 'Picarro Output'!$B:$B, 'Uncalibrated Data'!$C2519, 'Picarro Output'!$I:$I, 0, 'Picarro Output'!$J:$J, 1), "")</f>
        <v/>
      </c>
    </row>
    <row r="2520" spans="2:5" x14ac:dyDescent="0.45">
      <c r="B2520" s="1"/>
      <c r="E2520" s="45" t="str">
        <f>IFERROR(AVERAGEIFS('Picarro Output'!G:G, 'Picarro Output'!$B:$B, 'Uncalibrated Data'!$C2520, 'Picarro Output'!$I:$I, 0, 'Picarro Output'!$J:$J, 1), "")</f>
        <v/>
      </c>
    </row>
    <row r="2521" spans="2:5" x14ac:dyDescent="0.45">
      <c r="B2521" s="1"/>
      <c r="E2521" s="45" t="str">
        <f>IFERROR(AVERAGEIFS('Picarro Output'!G:G, 'Picarro Output'!$B:$B, 'Uncalibrated Data'!$C2521, 'Picarro Output'!$I:$I, 0, 'Picarro Output'!$J:$J, 1), "")</f>
        <v/>
      </c>
    </row>
    <row r="2522" spans="2:5" x14ac:dyDescent="0.45">
      <c r="B2522" s="1"/>
      <c r="E2522" s="45" t="str">
        <f>IFERROR(AVERAGEIFS('Picarro Output'!G:G, 'Picarro Output'!$B:$B, 'Uncalibrated Data'!$C2522, 'Picarro Output'!$I:$I, 0, 'Picarro Output'!$J:$J, 1), "")</f>
        <v/>
      </c>
    </row>
    <row r="2523" spans="2:5" x14ac:dyDescent="0.45">
      <c r="B2523" s="1"/>
      <c r="E2523" s="45" t="str">
        <f>IFERROR(AVERAGEIFS('Picarro Output'!G:G, 'Picarro Output'!$B:$B, 'Uncalibrated Data'!$C2523, 'Picarro Output'!$I:$I, 0, 'Picarro Output'!$J:$J, 1), "")</f>
        <v/>
      </c>
    </row>
    <row r="2524" spans="2:5" x14ac:dyDescent="0.45">
      <c r="B2524" s="1"/>
      <c r="E2524" s="45" t="str">
        <f>IFERROR(AVERAGEIFS('Picarro Output'!G:G, 'Picarro Output'!$B:$B, 'Uncalibrated Data'!$C2524, 'Picarro Output'!$I:$I, 0, 'Picarro Output'!$J:$J, 1), "")</f>
        <v/>
      </c>
    </row>
    <row r="2525" spans="2:5" x14ac:dyDescent="0.45">
      <c r="B2525" s="1"/>
      <c r="E2525" s="45" t="str">
        <f>IFERROR(AVERAGEIFS('Picarro Output'!G:G, 'Picarro Output'!$B:$B, 'Uncalibrated Data'!$C2525, 'Picarro Output'!$I:$I, 0, 'Picarro Output'!$J:$J, 1), "")</f>
        <v/>
      </c>
    </row>
    <row r="2526" spans="2:5" x14ac:dyDescent="0.45">
      <c r="B2526" s="1"/>
      <c r="E2526" s="45" t="str">
        <f>IFERROR(AVERAGEIFS('Picarro Output'!G:G, 'Picarro Output'!$B:$B, 'Uncalibrated Data'!$C2526, 'Picarro Output'!$I:$I, 0, 'Picarro Output'!$J:$J, 1), "")</f>
        <v/>
      </c>
    </row>
    <row r="2527" spans="2:5" x14ac:dyDescent="0.45">
      <c r="B2527" s="1"/>
      <c r="E2527" s="45" t="str">
        <f>IFERROR(AVERAGEIFS('Picarro Output'!G:G, 'Picarro Output'!$B:$B, 'Uncalibrated Data'!$C2527, 'Picarro Output'!$I:$I, 0, 'Picarro Output'!$J:$J, 1), "")</f>
        <v/>
      </c>
    </row>
    <row r="2528" spans="2:5" x14ac:dyDescent="0.45">
      <c r="B2528" s="1"/>
      <c r="E2528" s="45" t="str">
        <f>IFERROR(AVERAGEIFS('Picarro Output'!G:G, 'Picarro Output'!$B:$B, 'Uncalibrated Data'!$C2528, 'Picarro Output'!$I:$I, 0, 'Picarro Output'!$J:$J, 1), "")</f>
        <v/>
      </c>
    </row>
    <row r="2529" spans="2:5" x14ac:dyDescent="0.45">
      <c r="B2529" s="1"/>
      <c r="E2529" s="45" t="str">
        <f>IFERROR(AVERAGEIFS('Picarro Output'!G:G, 'Picarro Output'!$B:$B, 'Uncalibrated Data'!$C2529, 'Picarro Output'!$I:$I, 0, 'Picarro Output'!$J:$J, 1), "")</f>
        <v/>
      </c>
    </row>
    <row r="2530" spans="2:5" x14ac:dyDescent="0.45">
      <c r="B2530" s="1"/>
      <c r="E2530" s="45" t="str">
        <f>IFERROR(AVERAGEIFS('Picarro Output'!G:G, 'Picarro Output'!$B:$B, 'Uncalibrated Data'!$C2530, 'Picarro Output'!$I:$I, 0, 'Picarro Output'!$J:$J, 1), "")</f>
        <v/>
      </c>
    </row>
    <row r="2531" spans="2:5" x14ac:dyDescent="0.45">
      <c r="B2531" s="1"/>
      <c r="E2531" s="45" t="str">
        <f>IFERROR(AVERAGEIFS('Picarro Output'!G:G, 'Picarro Output'!$B:$B, 'Uncalibrated Data'!$C2531, 'Picarro Output'!$I:$I, 0, 'Picarro Output'!$J:$J, 1), "")</f>
        <v/>
      </c>
    </row>
    <row r="2532" spans="2:5" x14ac:dyDescent="0.45">
      <c r="B2532" s="1"/>
      <c r="E2532" s="45" t="str">
        <f>IFERROR(AVERAGEIFS('Picarro Output'!G:G, 'Picarro Output'!$B:$B, 'Uncalibrated Data'!$C2532, 'Picarro Output'!$I:$I, 0, 'Picarro Output'!$J:$J, 1), "")</f>
        <v/>
      </c>
    </row>
    <row r="2533" spans="2:5" x14ac:dyDescent="0.45">
      <c r="B2533" s="1"/>
      <c r="E2533" s="45" t="str">
        <f>IFERROR(AVERAGEIFS('Picarro Output'!G:G, 'Picarro Output'!$B:$B, 'Uncalibrated Data'!$C2533, 'Picarro Output'!$I:$I, 0, 'Picarro Output'!$J:$J, 1), "")</f>
        <v/>
      </c>
    </row>
    <row r="2534" spans="2:5" x14ac:dyDescent="0.45">
      <c r="B2534" s="1"/>
      <c r="E2534" s="45" t="str">
        <f>IFERROR(AVERAGEIFS('Picarro Output'!G:G, 'Picarro Output'!$B:$B, 'Uncalibrated Data'!$C2534, 'Picarro Output'!$I:$I, 0, 'Picarro Output'!$J:$J, 1), "")</f>
        <v/>
      </c>
    </row>
    <row r="2535" spans="2:5" x14ac:dyDescent="0.45">
      <c r="B2535" s="1"/>
      <c r="E2535" s="45" t="str">
        <f>IFERROR(AVERAGEIFS('Picarro Output'!G:G, 'Picarro Output'!$B:$B, 'Uncalibrated Data'!$C2535, 'Picarro Output'!$I:$I, 0, 'Picarro Output'!$J:$J, 1), "")</f>
        <v/>
      </c>
    </row>
    <row r="2536" spans="2:5" x14ac:dyDescent="0.45">
      <c r="B2536" s="1"/>
      <c r="E2536" s="45" t="str">
        <f>IFERROR(AVERAGEIFS('Picarro Output'!G:G, 'Picarro Output'!$B:$B, 'Uncalibrated Data'!$C2536, 'Picarro Output'!$I:$I, 0, 'Picarro Output'!$J:$J, 1), "")</f>
        <v/>
      </c>
    </row>
    <row r="2537" spans="2:5" x14ac:dyDescent="0.45">
      <c r="B2537" s="1"/>
      <c r="E2537" s="45" t="str">
        <f>IFERROR(AVERAGEIFS('Picarro Output'!G:G, 'Picarro Output'!$B:$B, 'Uncalibrated Data'!$C2537, 'Picarro Output'!$I:$I, 0, 'Picarro Output'!$J:$J, 1), "")</f>
        <v/>
      </c>
    </row>
    <row r="2538" spans="2:5" x14ac:dyDescent="0.45">
      <c r="B2538" s="1"/>
      <c r="E2538" s="45" t="str">
        <f>IFERROR(AVERAGEIFS('Picarro Output'!G:G, 'Picarro Output'!$B:$B, 'Uncalibrated Data'!$C2538, 'Picarro Output'!$I:$I, 0, 'Picarro Output'!$J:$J, 1), "")</f>
        <v/>
      </c>
    </row>
    <row r="2539" spans="2:5" x14ac:dyDescent="0.45">
      <c r="B2539" s="1"/>
      <c r="E2539" s="45" t="str">
        <f>IFERROR(AVERAGEIFS('Picarro Output'!G:G, 'Picarro Output'!$B:$B, 'Uncalibrated Data'!$C2539, 'Picarro Output'!$I:$I, 0, 'Picarro Output'!$J:$J, 1), "")</f>
        <v/>
      </c>
    </row>
    <row r="2540" spans="2:5" x14ac:dyDescent="0.45">
      <c r="B2540" s="1"/>
      <c r="E2540" s="45" t="str">
        <f>IFERROR(AVERAGEIFS('Picarro Output'!G:G, 'Picarro Output'!$B:$B, 'Uncalibrated Data'!$C2540, 'Picarro Output'!$I:$I, 0, 'Picarro Output'!$J:$J, 1), "")</f>
        <v/>
      </c>
    </row>
    <row r="2541" spans="2:5" x14ac:dyDescent="0.45">
      <c r="B2541" s="1"/>
      <c r="E2541" s="45" t="str">
        <f>IFERROR(AVERAGEIFS('Picarro Output'!G:G, 'Picarro Output'!$B:$B, 'Uncalibrated Data'!$C2541, 'Picarro Output'!$I:$I, 0, 'Picarro Output'!$J:$J, 1), "")</f>
        <v/>
      </c>
    </row>
    <row r="2542" spans="2:5" x14ac:dyDescent="0.45">
      <c r="B2542" s="1"/>
      <c r="E2542" s="45" t="str">
        <f>IFERROR(AVERAGEIFS('Picarro Output'!G:G, 'Picarro Output'!$B:$B, 'Uncalibrated Data'!$C2542, 'Picarro Output'!$I:$I, 0, 'Picarro Output'!$J:$J, 1), "")</f>
        <v/>
      </c>
    </row>
    <row r="2543" spans="2:5" x14ac:dyDescent="0.45">
      <c r="B2543" s="1"/>
      <c r="E2543" s="45" t="str">
        <f>IFERROR(AVERAGEIFS('Picarro Output'!G:G, 'Picarro Output'!$B:$B, 'Uncalibrated Data'!$C2543, 'Picarro Output'!$I:$I, 0, 'Picarro Output'!$J:$J, 1), "")</f>
        <v/>
      </c>
    </row>
    <row r="2544" spans="2:5" x14ac:dyDescent="0.45">
      <c r="B2544" s="1"/>
      <c r="E2544" s="45" t="str">
        <f>IFERROR(AVERAGEIFS('Picarro Output'!G:G, 'Picarro Output'!$B:$B, 'Uncalibrated Data'!$C2544, 'Picarro Output'!$I:$I, 0, 'Picarro Output'!$J:$J, 1), "")</f>
        <v/>
      </c>
    </row>
    <row r="2545" spans="2:5" x14ac:dyDescent="0.45">
      <c r="B2545" s="1"/>
      <c r="E2545" s="45" t="str">
        <f>IFERROR(AVERAGEIFS('Picarro Output'!G:G, 'Picarro Output'!$B:$B, 'Uncalibrated Data'!$C2545, 'Picarro Output'!$I:$I, 0, 'Picarro Output'!$J:$J, 1), "")</f>
        <v/>
      </c>
    </row>
    <row r="2546" spans="2:5" x14ac:dyDescent="0.45">
      <c r="B2546" s="1"/>
      <c r="E2546" s="45" t="str">
        <f>IFERROR(AVERAGEIFS('Picarro Output'!G:G, 'Picarro Output'!$B:$B, 'Uncalibrated Data'!$C2546, 'Picarro Output'!$I:$I, 0, 'Picarro Output'!$J:$J, 1), "")</f>
        <v/>
      </c>
    </row>
    <row r="2547" spans="2:5" x14ac:dyDescent="0.45">
      <c r="B2547" s="1"/>
      <c r="E2547" s="45" t="str">
        <f>IFERROR(AVERAGEIFS('Picarro Output'!G:G, 'Picarro Output'!$B:$B, 'Uncalibrated Data'!$C2547, 'Picarro Output'!$I:$I, 0, 'Picarro Output'!$J:$J, 1), "")</f>
        <v/>
      </c>
    </row>
    <row r="2548" spans="2:5" x14ac:dyDescent="0.45">
      <c r="B2548" s="1"/>
      <c r="E2548" s="45" t="str">
        <f>IFERROR(AVERAGEIFS('Picarro Output'!G:G, 'Picarro Output'!$B:$B, 'Uncalibrated Data'!$C2548, 'Picarro Output'!$I:$I, 0, 'Picarro Output'!$J:$J, 1), "")</f>
        <v/>
      </c>
    </row>
    <row r="2549" spans="2:5" x14ac:dyDescent="0.45">
      <c r="B2549" s="1"/>
      <c r="E2549" s="45" t="str">
        <f>IFERROR(AVERAGEIFS('Picarro Output'!G:G, 'Picarro Output'!$B:$B, 'Uncalibrated Data'!$C2549, 'Picarro Output'!$I:$I, 0, 'Picarro Output'!$J:$J, 1), "")</f>
        <v/>
      </c>
    </row>
    <row r="2550" spans="2:5" x14ac:dyDescent="0.45">
      <c r="B2550" s="1"/>
      <c r="E2550" s="45" t="str">
        <f>IFERROR(AVERAGEIFS('Picarro Output'!G:G, 'Picarro Output'!$B:$B, 'Uncalibrated Data'!$C2550, 'Picarro Output'!$I:$I, 0, 'Picarro Output'!$J:$J, 1), "")</f>
        <v/>
      </c>
    </row>
    <row r="2551" spans="2:5" x14ac:dyDescent="0.45">
      <c r="B2551" s="1"/>
      <c r="E2551" s="45" t="str">
        <f>IFERROR(AVERAGEIFS('Picarro Output'!G:G, 'Picarro Output'!$B:$B, 'Uncalibrated Data'!$C2551, 'Picarro Output'!$I:$I, 0, 'Picarro Output'!$J:$J, 1), "")</f>
        <v/>
      </c>
    </row>
    <row r="2552" spans="2:5" x14ac:dyDescent="0.45">
      <c r="B2552" s="1"/>
      <c r="E2552" s="45" t="str">
        <f>IFERROR(AVERAGEIFS('Picarro Output'!G:G, 'Picarro Output'!$B:$B, 'Uncalibrated Data'!$C2552, 'Picarro Output'!$I:$I, 0, 'Picarro Output'!$J:$J, 1), "")</f>
        <v/>
      </c>
    </row>
    <row r="2553" spans="2:5" x14ac:dyDescent="0.45">
      <c r="B2553" s="1"/>
      <c r="E2553" s="45" t="str">
        <f>IFERROR(AVERAGEIFS('Picarro Output'!G:G, 'Picarro Output'!$B:$B, 'Uncalibrated Data'!$C2553, 'Picarro Output'!$I:$I, 0, 'Picarro Output'!$J:$J, 1), "")</f>
        <v/>
      </c>
    </row>
    <row r="2554" spans="2:5" x14ac:dyDescent="0.45">
      <c r="B2554" s="1"/>
      <c r="E2554" s="45" t="str">
        <f>IFERROR(AVERAGEIFS('Picarro Output'!G:G, 'Picarro Output'!$B:$B, 'Uncalibrated Data'!$C2554, 'Picarro Output'!$I:$I, 0, 'Picarro Output'!$J:$J, 1), "")</f>
        <v/>
      </c>
    </row>
    <row r="2555" spans="2:5" x14ac:dyDescent="0.45">
      <c r="B2555" s="1"/>
      <c r="E2555" s="45" t="str">
        <f>IFERROR(AVERAGEIFS('Picarro Output'!G:G, 'Picarro Output'!$B:$B, 'Uncalibrated Data'!$C2555, 'Picarro Output'!$I:$I, 0, 'Picarro Output'!$J:$J, 1), "")</f>
        <v/>
      </c>
    </row>
    <row r="2556" spans="2:5" x14ac:dyDescent="0.45">
      <c r="B2556" s="1"/>
      <c r="E2556" s="45" t="str">
        <f>IFERROR(AVERAGEIFS('Picarro Output'!G:G, 'Picarro Output'!$B:$B, 'Uncalibrated Data'!$C2556, 'Picarro Output'!$I:$I, 0, 'Picarro Output'!$J:$J, 1), "")</f>
        <v/>
      </c>
    </row>
    <row r="2557" spans="2:5" x14ac:dyDescent="0.45">
      <c r="B2557" s="1"/>
      <c r="E2557" s="45" t="str">
        <f>IFERROR(AVERAGEIFS('Picarro Output'!G:G, 'Picarro Output'!$B:$B, 'Uncalibrated Data'!$C2557, 'Picarro Output'!$I:$I, 0, 'Picarro Output'!$J:$J, 1), "")</f>
        <v/>
      </c>
    </row>
    <row r="2558" spans="2:5" x14ac:dyDescent="0.45">
      <c r="B2558" s="1"/>
      <c r="E2558" s="45" t="str">
        <f>IFERROR(AVERAGEIFS('Picarro Output'!G:G, 'Picarro Output'!$B:$B, 'Uncalibrated Data'!$C2558, 'Picarro Output'!$I:$I, 0, 'Picarro Output'!$J:$J, 1), "")</f>
        <v/>
      </c>
    </row>
    <row r="2559" spans="2:5" x14ac:dyDescent="0.45">
      <c r="B2559" s="1"/>
      <c r="E2559" s="45" t="str">
        <f>IFERROR(AVERAGEIFS('Picarro Output'!G:G, 'Picarro Output'!$B:$B, 'Uncalibrated Data'!$C2559, 'Picarro Output'!$I:$I, 0, 'Picarro Output'!$J:$J, 1), "")</f>
        <v/>
      </c>
    </row>
    <row r="2560" spans="2:5" x14ac:dyDescent="0.45">
      <c r="B2560" s="1"/>
      <c r="E2560" s="45" t="str">
        <f>IFERROR(AVERAGEIFS('Picarro Output'!G:G, 'Picarro Output'!$B:$B, 'Uncalibrated Data'!$C2560, 'Picarro Output'!$I:$I, 0, 'Picarro Output'!$J:$J, 1), "")</f>
        <v/>
      </c>
    </row>
    <row r="2561" spans="2:5" x14ac:dyDescent="0.45">
      <c r="B2561" s="1"/>
      <c r="E2561" s="45" t="str">
        <f>IFERROR(AVERAGEIFS('Picarro Output'!G:G, 'Picarro Output'!$B:$B, 'Uncalibrated Data'!$C2561, 'Picarro Output'!$I:$I, 0, 'Picarro Output'!$J:$J, 1), "")</f>
        <v/>
      </c>
    </row>
    <row r="2562" spans="2:5" x14ac:dyDescent="0.45">
      <c r="B2562" s="1"/>
      <c r="E2562" s="45" t="str">
        <f>IFERROR(AVERAGEIFS('Picarro Output'!G:G, 'Picarro Output'!$B:$B, 'Uncalibrated Data'!$C2562, 'Picarro Output'!$I:$I, 0, 'Picarro Output'!$J:$J, 1), "")</f>
        <v/>
      </c>
    </row>
    <row r="2563" spans="2:5" x14ac:dyDescent="0.45">
      <c r="B2563" s="1"/>
      <c r="E2563" s="45" t="str">
        <f>IFERROR(AVERAGEIFS('Picarro Output'!G:G, 'Picarro Output'!$B:$B, 'Uncalibrated Data'!$C2563, 'Picarro Output'!$I:$I, 0, 'Picarro Output'!$J:$J, 1), "")</f>
        <v/>
      </c>
    </row>
    <row r="2564" spans="2:5" x14ac:dyDescent="0.45">
      <c r="B2564" s="1"/>
      <c r="E2564" s="45" t="str">
        <f>IFERROR(AVERAGEIFS('Picarro Output'!G:G, 'Picarro Output'!$B:$B, 'Uncalibrated Data'!$C2564, 'Picarro Output'!$I:$I, 0, 'Picarro Output'!$J:$J, 1), "")</f>
        <v/>
      </c>
    </row>
    <row r="2565" spans="2:5" x14ac:dyDescent="0.45">
      <c r="B2565" s="1"/>
      <c r="E2565" s="45" t="str">
        <f>IFERROR(AVERAGEIFS('Picarro Output'!G:G, 'Picarro Output'!$B:$B, 'Uncalibrated Data'!$C2565, 'Picarro Output'!$I:$I, 0, 'Picarro Output'!$J:$J, 1), "")</f>
        <v/>
      </c>
    </row>
    <row r="2566" spans="2:5" x14ac:dyDescent="0.45">
      <c r="B2566" s="1"/>
      <c r="E2566" s="45" t="str">
        <f>IFERROR(AVERAGEIFS('Picarro Output'!G:G, 'Picarro Output'!$B:$B, 'Uncalibrated Data'!$C2566, 'Picarro Output'!$I:$I, 0, 'Picarro Output'!$J:$J, 1), "")</f>
        <v/>
      </c>
    </row>
    <row r="2567" spans="2:5" x14ac:dyDescent="0.45">
      <c r="B2567" s="1"/>
      <c r="E2567" s="45" t="str">
        <f>IFERROR(AVERAGEIFS('Picarro Output'!G:G, 'Picarro Output'!$B:$B, 'Uncalibrated Data'!$C2567, 'Picarro Output'!$I:$I, 0, 'Picarro Output'!$J:$J, 1), "")</f>
        <v/>
      </c>
    </row>
    <row r="2568" spans="2:5" x14ac:dyDescent="0.45">
      <c r="B2568" s="1"/>
      <c r="E2568" s="45" t="str">
        <f>IFERROR(AVERAGEIFS('Picarro Output'!G:G, 'Picarro Output'!$B:$B, 'Uncalibrated Data'!$C2568, 'Picarro Output'!$I:$I, 0, 'Picarro Output'!$J:$J, 1), "")</f>
        <v/>
      </c>
    </row>
    <row r="2569" spans="2:5" x14ac:dyDescent="0.45">
      <c r="B2569" s="1"/>
      <c r="E2569" s="45" t="str">
        <f>IFERROR(AVERAGEIFS('Picarro Output'!G:G, 'Picarro Output'!$B:$B, 'Uncalibrated Data'!$C2569, 'Picarro Output'!$I:$I, 0, 'Picarro Output'!$J:$J, 1), "")</f>
        <v/>
      </c>
    </row>
    <row r="2570" spans="2:5" x14ac:dyDescent="0.45">
      <c r="B2570" s="1"/>
      <c r="E2570" s="45" t="str">
        <f>IFERROR(AVERAGEIFS('Picarro Output'!G:G, 'Picarro Output'!$B:$B, 'Uncalibrated Data'!$C2570, 'Picarro Output'!$I:$I, 0, 'Picarro Output'!$J:$J, 1), "")</f>
        <v/>
      </c>
    </row>
    <row r="2571" spans="2:5" x14ac:dyDescent="0.45">
      <c r="B2571" s="1"/>
      <c r="E2571" s="45" t="str">
        <f>IFERROR(AVERAGEIFS('Picarro Output'!G:G, 'Picarro Output'!$B:$B, 'Uncalibrated Data'!$C2571, 'Picarro Output'!$I:$I, 0, 'Picarro Output'!$J:$J, 1), "")</f>
        <v/>
      </c>
    </row>
    <row r="2572" spans="2:5" x14ac:dyDescent="0.45">
      <c r="B2572" s="1"/>
      <c r="E2572" s="45" t="str">
        <f>IFERROR(AVERAGEIFS('Picarro Output'!G:G, 'Picarro Output'!$B:$B, 'Uncalibrated Data'!$C2572, 'Picarro Output'!$I:$I, 0, 'Picarro Output'!$J:$J, 1), "")</f>
        <v/>
      </c>
    </row>
    <row r="2573" spans="2:5" x14ac:dyDescent="0.45">
      <c r="B2573" s="1"/>
      <c r="E2573" s="45" t="str">
        <f>IFERROR(AVERAGEIFS('Picarro Output'!G:G, 'Picarro Output'!$B:$B, 'Uncalibrated Data'!$C2573, 'Picarro Output'!$I:$I, 0, 'Picarro Output'!$J:$J, 1), "")</f>
        <v/>
      </c>
    </row>
    <row r="2574" spans="2:5" x14ac:dyDescent="0.45">
      <c r="B2574" s="1"/>
      <c r="E2574" s="45" t="str">
        <f>IFERROR(AVERAGEIFS('Picarro Output'!G:G, 'Picarro Output'!$B:$B, 'Uncalibrated Data'!$C2574, 'Picarro Output'!$I:$I, 0, 'Picarro Output'!$J:$J, 1), "")</f>
        <v/>
      </c>
    </row>
    <row r="2575" spans="2:5" x14ac:dyDescent="0.45">
      <c r="B2575" s="1"/>
      <c r="E2575" s="45" t="str">
        <f>IFERROR(AVERAGEIFS('Picarro Output'!G:G, 'Picarro Output'!$B:$B, 'Uncalibrated Data'!$C2575, 'Picarro Output'!$I:$I, 0, 'Picarro Output'!$J:$J, 1), "")</f>
        <v/>
      </c>
    </row>
    <row r="2576" spans="2:5" x14ac:dyDescent="0.45">
      <c r="B2576" s="1"/>
      <c r="E2576" s="45" t="str">
        <f>IFERROR(AVERAGEIFS('Picarro Output'!G:G, 'Picarro Output'!$B:$B, 'Uncalibrated Data'!$C2576, 'Picarro Output'!$I:$I, 0, 'Picarro Output'!$J:$J, 1), "")</f>
        <v/>
      </c>
    </row>
    <row r="2577" spans="2:5" x14ac:dyDescent="0.45">
      <c r="B2577" s="1"/>
      <c r="E2577" s="45" t="str">
        <f>IFERROR(AVERAGEIFS('Picarro Output'!G:G, 'Picarro Output'!$B:$B, 'Uncalibrated Data'!$C2577, 'Picarro Output'!$I:$I, 0, 'Picarro Output'!$J:$J, 1), "")</f>
        <v/>
      </c>
    </row>
    <row r="2578" spans="2:5" x14ac:dyDescent="0.45">
      <c r="B2578" s="1"/>
      <c r="E2578" s="45" t="str">
        <f>IFERROR(AVERAGEIFS('Picarro Output'!G:G, 'Picarro Output'!$B:$B, 'Uncalibrated Data'!$C2578, 'Picarro Output'!$I:$I, 0, 'Picarro Output'!$J:$J, 1), "")</f>
        <v/>
      </c>
    </row>
    <row r="2579" spans="2:5" x14ac:dyDescent="0.45">
      <c r="B2579" s="1"/>
      <c r="E2579" s="45" t="str">
        <f>IFERROR(AVERAGEIFS('Picarro Output'!G:G, 'Picarro Output'!$B:$B, 'Uncalibrated Data'!$C2579, 'Picarro Output'!$I:$I, 0, 'Picarro Output'!$J:$J, 1), "")</f>
        <v/>
      </c>
    </row>
    <row r="2580" spans="2:5" x14ac:dyDescent="0.45">
      <c r="B2580" s="1"/>
      <c r="E2580" s="45" t="str">
        <f>IFERROR(AVERAGEIFS('Picarro Output'!G:G, 'Picarro Output'!$B:$B, 'Uncalibrated Data'!$C2580, 'Picarro Output'!$I:$I, 0, 'Picarro Output'!$J:$J, 1), "")</f>
        <v/>
      </c>
    </row>
    <row r="2581" spans="2:5" x14ac:dyDescent="0.45">
      <c r="B2581" s="1"/>
      <c r="E2581" s="45" t="str">
        <f>IFERROR(AVERAGEIFS('Picarro Output'!G:G, 'Picarro Output'!$B:$B, 'Uncalibrated Data'!$C2581, 'Picarro Output'!$I:$I, 0, 'Picarro Output'!$J:$J, 1), "")</f>
        <v/>
      </c>
    </row>
    <row r="2582" spans="2:5" x14ac:dyDescent="0.45">
      <c r="B2582" s="1"/>
      <c r="E2582" s="45" t="str">
        <f>IFERROR(AVERAGEIFS('Picarro Output'!G:G, 'Picarro Output'!$B:$B, 'Uncalibrated Data'!$C2582, 'Picarro Output'!$I:$I, 0, 'Picarro Output'!$J:$J, 1), "")</f>
        <v/>
      </c>
    </row>
    <row r="2583" spans="2:5" x14ac:dyDescent="0.45">
      <c r="B2583" s="1"/>
      <c r="E2583" s="45" t="str">
        <f>IFERROR(AVERAGEIFS('Picarro Output'!G:G, 'Picarro Output'!$B:$B, 'Uncalibrated Data'!$C2583, 'Picarro Output'!$I:$I, 0, 'Picarro Output'!$J:$J, 1), "")</f>
        <v/>
      </c>
    </row>
    <row r="2584" spans="2:5" x14ac:dyDescent="0.45">
      <c r="B2584" s="1"/>
      <c r="E2584" s="45" t="str">
        <f>IFERROR(AVERAGEIFS('Picarro Output'!G:G, 'Picarro Output'!$B:$B, 'Uncalibrated Data'!$C2584, 'Picarro Output'!$I:$I, 0, 'Picarro Output'!$J:$J, 1), "")</f>
        <v/>
      </c>
    </row>
    <row r="2585" spans="2:5" x14ac:dyDescent="0.45">
      <c r="B2585" s="1"/>
      <c r="E2585" s="45" t="str">
        <f>IFERROR(AVERAGEIFS('Picarro Output'!G:G, 'Picarro Output'!$B:$B, 'Uncalibrated Data'!$C2585, 'Picarro Output'!$I:$I, 0, 'Picarro Output'!$J:$J, 1), "")</f>
        <v/>
      </c>
    </row>
    <row r="2586" spans="2:5" x14ac:dyDescent="0.45">
      <c r="B2586" s="1"/>
      <c r="E2586" s="45" t="str">
        <f>IFERROR(AVERAGEIFS('Picarro Output'!G:G, 'Picarro Output'!$B:$B, 'Uncalibrated Data'!$C2586, 'Picarro Output'!$I:$I, 0, 'Picarro Output'!$J:$J, 1), "")</f>
        <v/>
      </c>
    </row>
    <row r="2587" spans="2:5" x14ac:dyDescent="0.45">
      <c r="B2587" s="1"/>
      <c r="E2587" s="45" t="str">
        <f>IFERROR(AVERAGEIFS('Picarro Output'!G:G, 'Picarro Output'!$B:$B, 'Uncalibrated Data'!$C2587, 'Picarro Output'!$I:$I, 0, 'Picarro Output'!$J:$J, 1), "")</f>
        <v/>
      </c>
    </row>
    <row r="2588" spans="2:5" x14ac:dyDescent="0.45">
      <c r="B2588" s="1"/>
      <c r="E2588" s="45" t="str">
        <f>IFERROR(AVERAGEIFS('Picarro Output'!G:G, 'Picarro Output'!$B:$B, 'Uncalibrated Data'!$C2588, 'Picarro Output'!$I:$I, 0, 'Picarro Output'!$J:$J, 1), "")</f>
        <v/>
      </c>
    </row>
    <row r="2589" spans="2:5" x14ac:dyDescent="0.45">
      <c r="B2589" s="1"/>
      <c r="E2589" s="45" t="str">
        <f>IFERROR(AVERAGEIFS('Picarro Output'!G:G, 'Picarro Output'!$B:$B, 'Uncalibrated Data'!$C2589, 'Picarro Output'!$I:$I, 0, 'Picarro Output'!$J:$J, 1), "")</f>
        <v/>
      </c>
    </row>
    <row r="2590" spans="2:5" x14ac:dyDescent="0.45">
      <c r="B2590" s="1"/>
      <c r="E2590" s="45" t="str">
        <f>IFERROR(AVERAGEIFS('Picarro Output'!G:G, 'Picarro Output'!$B:$B, 'Uncalibrated Data'!$C2590, 'Picarro Output'!$I:$I, 0, 'Picarro Output'!$J:$J, 1), "")</f>
        <v/>
      </c>
    </row>
    <row r="2591" spans="2:5" x14ac:dyDescent="0.45">
      <c r="B2591" s="1"/>
      <c r="E2591" s="45" t="str">
        <f>IFERROR(AVERAGEIFS('Picarro Output'!G:G, 'Picarro Output'!$B:$B, 'Uncalibrated Data'!$C2591, 'Picarro Output'!$I:$I, 0, 'Picarro Output'!$J:$J, 1), "")</f>
        <v/>
      </c>
    </row>
    <row r="2592" spans="2:5" x14ac:dyDescent="0.45">
      <c r="B2592" s="1"/>
      <c r="E2592" s="45" t="str">
        <f>IFERROR(AVERAGEIFS('Picarro Output'!G:G, 'Picarro Output'!$B:$B, 'Uncalibrated Data'!$C2592, 'Picarro Output'!$I:$I, 0, 'Picarro Output'!$J:$J, 1), "")</f>
        <v/>
      </c>
    </row>
    <row r="2593" spans="2:5" x14ac:dyDescent="0.45">
      <c r="B2593" s="1"/>
      <c r="E2593" s="45" t="str">
        <f>IFERROR(AVERAGEIFS('Picarro Output'!G:G, 'Picarro Output'!$B:$B, 'Uncalibrated Data'!$C2593, 'Picarro Output'!$I:$I, 0, 'Picarro Output'!$J:$J, 1), "")</f>
        <v/>
      </c>
    </row>
    <row r="2594" spans="2:5" x14ac:dyDescent="0.45">
      <c r="B2594" s="1"/>
      <c r="E2594" s="45" t="str">
        <f>IFERROR(AVERAGEIFS('Picarro Output'!G:G, 'Picarro Output'!$B:$B, 'Uncalibrated Data'!$C2594, 'Picarro Output'!$I:$I, 0, 'Picarro Output'!$J:$J, 1), "")</f>
        <v/>
      </c>
    </row>
    <row r="2595" spans="2:5" x14ac:dyDescent="0.45">
      <c r="B2595" s="1"/>
      <c r="E2595" s="45" t="str">
        <f>IFERROR(AVERAGEIFS('Picarro Output'!G:G, 'Picarro Output'!$B:$B, 'Uncalibrated Data'!$C2595, 'Picarro Output'!$I:$I, 0, 'Picarro Output'!$J:$J, 1), "")</f>
        <v/>
      </c>
    </row>
    <row r="2596" spans="2:5" x14ac:dyDescent="0.45">
      <c r="B2596" s="1"/>
      <c r="E2596" s="45" t="str">
        <f>IFERROR(AVERAGEIFS('Picarro Output'!G:G, 'Picarro Output'!$B:$B, 'Uncalibrated Data'!$C2596, 'Picarro Output'!$I:$I, 0, 'Picarro Output'!$J:$J, 1), "")</f>
        <v/>
      </c>
    </row>
    <row r="2597" spans="2:5" x14ac:dyDescent="0.45">
      <c r="B2597" s="1"/>
      <c r="E2597" s="45" t="str">
        <f>IFERROR(AVERAGEIFS('Picarro Output'!G:G, 'Picarro Output'!$B:$B, 'Uncalibrated Data'!$C2597, 'Picarro Output'!$I:$I, 0, 'Picarro Output'!$J:$J, 1), "")</f>
        <v/>
      </c>
    </row>
    <row r="2598" spans="2:5" x14ac:dyDescent="0.45">
      <c r="B2598" s="1"/>
      <c r="E2598" s="45" t="str">
        <f>IFERROR(AVERAGEIFS('Picarro Output'!G:G, 'Picarro Output'!$B:$B, 'Uncalibrated Data'!$C2598, 'Picarro Output'!$I:$I, 0, 'Picarro Output'!$J:$J, 1), "")</f>
        <v/>
      </c>
    </row>
    <row r="2599" spans="2:5" x14ac:dyDescent="0.45">
      <c r="B2599" s="1"/>
      <c r="E2599" s="45" t="str">
        <f>IFERROR(AVERAGEIFS('Picarro Output'!G:G, 'Picarro Output'!$B:$B, 'Uncalibrated Data'!$C2599, 'Picarro Output'!$I:$I, 0, 'Picarro Output'!$J:$J, 1), "")</f>
        <v/>
      </c>
    </row>
    <row r="2600" spans="2:5" x14ac:dyDescent="0.45">
      <c r="B2600" s="1"/>
      <c r="E2600" s="45" t="str">
        <f>IFERROR(AVERAGEIFS('Picarro Output'!G:G, 'Picarro Output'!$B:$B, 'Uncalibrated Data'!$C2600, 'Picarro Output'!$I:$I, 0, 'Picarro Output'!$J:$J, 1), "")</f>
        <v/>
      </c>
    </row>
    <row r="2601" spans="2:5" x14ac:dyDescent="0.45">
      <c r="B2601" s="1"/>
      <c r="E2601" s="45" t="str">
        <f>IFERROR(AVERAGEIFS('Picarro Output'!G:G, 'Picarro Output'!$B:$B, 'Uncalibrated Data'!$C2601, 'Picarro Output'!$I:$I, 0, 'Picarro Output'!$J:$J, 1), "")</f>
        <v/>
      </c>
    </row>
    <row r="2602" spans="2:5" x14ac:dyDescent="0.45">
      <c r="B2602" s="1"/>
      <c r="E2602" s="45" t="str">
        <f>IFERROR(AVERAGEIFS('Picarro Output'!G:G, 'Picarro Output'!$B:$B, 'Uncalibrated Data'!$C2602, 'Picarro Output'!$I:$I, 0, 'Picarro Output'!$J:$J, 1), "")</f>
        <v/>
      </c>
    </row>
    <row r="2603" spans="2:5" x14ac:dyDescent="0.45">
      <c r="B2603" s="1"/>
      <c r="E2603" s="45" t="str">
        <f>IFERROR(AVERAGEIFS('Picarro Output'!G:G, 'Picarro Output'!$B:$B, 'Uncalibrated Data'!$C2603, 'Picarro Output'!$I:$I, 0, 'Picarro Output'!$J:$J, 1), "")</f>
        <v/>
      </c>
    </row>
    <row r="2604" spans="2:5" x14ac:dyDescent="0.45">
      <c r="B2604" s="1"/>
      <c r="E2604" s="45" t="str">
        <f>IFERROR(AVERAGEIFS('Picarro Output'!G:G, 'Picarro Output'!$B:$B, 'Uncalibrated Data'!$C2604, 'Picarro Output'!$I:$I, 0, 'Picarro Output'!$J:$J, 1), "")</f>
        <v/>
      </c>
    </row>
    <row r="2605" spans="2:5" x14ac:dyDescent="0.45">
      <c r="B2605" s="1"/>
      <c r="E2605" s="45" t="str">
        <f>IFERROR(AVERAGEIFS('Picarro Output'!G:G, 'Picarro Output'!$B:$B, 'Uncalibrated Data'!$C2605, 'Picarro Output'!$I:$I, 0, 'Picarro Output'!$J:$J, 1), "")</f>
        <v/>
      </c>
    </row>
    <row r="2606" spans="2:5" x14ac:dyDescent="0.45">
      <c r="B2606" s="1"/>
      <c r="E2606" s="45" t="str">
        <f>IFERROR(AVERAGEIFS('Picarro Output'!G:G, 'Picarro Output'!$B:$B, 'Uncalibrated Data'!$C2606, 'Picarro Output'!$I:$I, 0, 'Picarro Output'!$J:$J, 1), "")</f>
        <v/>
      </c>
    </row>
    <row r="2607" spans="2:5" x14ac:dyDescent="0.45">
      <c r="B2607" s="1"/>
      <c r="E2607" s="45" t="str">
        <f>IFERROR(AVERAGEIFS('Picarro Output'!G:G, 'Picarro Output'!$B:$B, 'Uncalibrated Data'!$C2607, 'Picarro Output'!$I:$I, 0, 'Picarro Output'!$J:$J, 1), "")</f>
        <v/>
      </c>
    </row>
    <row r="2608" spans="2:5" x14ac:dyDescent="0.45">
      <c r="B2608" s="1"/>
      <c r="E2608" s="45" t="str">
        <f>IFERROR(AVERAGEIFS('Picarro Output'!G:G, 'Picarro Output'!$B:$B, 'Uncalibrated Data'!$C2608, 'Picarro Output'!$I:$I, 0, 'Picarro Output'!$J:$J, 1), "")</f>
        <v/>
      </c>
    </row>
    <row r="2609" spans="2:5" x14ac:dyDescent="0.45">
      <c r="B2609" s="1"/>
      <c r="E2609" s="45" t="str">
        <f>IFERROR(AVERAGEIFS('Picarro Output'!G:G, 'Picarro Output'!$B:$B, 'Uncalibrated Data'!$C2609, 'Picarro Output'!$I:$I, 0, 'Picarro Output'!$J:$J, 1), "")</f>
        <v/>
      </c>
    </row>
    <row r="2610" spans="2:5" x14ac:dyDescent="0.45">
      <c r="B2610" s="1"/>
      <c r="E2610" s="45" t="str">
        <f>IFERROR(AVERAGEIFS('Picarro Output'!G:G, 'Picarro Output'!$B:$B, 'Uncalibrated Data'!$C2610, 'Picarro Output'!$I:$I, 0, 'Picarro Output'!$J:$J, 1), "")</f>
        <v/>
      </c>
    </row>
    <row r="2611" spans="2:5" x14ac:dyDescent="0.45">
      <c r="B2611" s="1"/>
      <c r="E2611" s="45" t="str">
        <f>IFERROR(AVERAGEIFS('Picarro Output'!G:G, 'Picarro Output'!$B:$B, 'Uncalibrated Data'!$C2611, 'Picarro Output'!$I:$I, 0, 'Picarro Output'!$J:$J, 1), "")</f>
        <v/>
      </c>
    </row>
    <row r="2612" spans="2:5" x14ac:dyDescent="0.45">
      <c r="B2612" s="1"/>
      <c r="E2612" s="45" t="str">
        <f>IFERROR(AVERAGEIFS('Picarro Output'!G:G, 'Picarro Output'!$B:$B, 'Uncalibrated Data'!$C2612, 'Picarro Output'!$I:$I, 0, 'Picarro Output'!$J:$J, 1), "")</f>
        <v/>
      </c>
    </row>
    <row r="2613" spans="2:5" x14ac:dyDescent="0.45">
      <c r="B2613" s="1"/>
      <c r="E2613" s="45" t="str">
        <f>IFERROR(AVERAGEIFS('Picarro Output'!G:G, 'Picarro Output'!$B:$B, 'Uncalibrated Data'!$C2613, 'Picarro Output'!$I:$I, 0, 'Picarro Output'!$J:$J, 1), "")</f>
        <v/>
      </c>
    </row>
    <row r="2614" spans="2:5" x14ac:dyDescent="0.45">
      <c r="B2614" s="1"/>
      <c r="E2614" s="45" t="str">
        <f>IFERROR(AVERAGEIFS('Picarro Output'!G:G, 'Picarro Output'!$B:$B, 'Uncalibrated Data'!$C2614, 'Picarro Output'!$I:$I, 0, 'Picarro Output'!$J:$J, 1), "")</f>
        <v/>
      </c>
    </row>
    <row r="2615" spans="2:5" x14ac:dyDescent="0.45">
      <c r="B2615" s="1"/>
      <c r="E2615" s="45" t="str">
        <f>IFERROR(AVERAGEIFS('Picarro Output'!G:G, 'Picarro Output'!$B:$B, 'Uncalibrated Data'!$C2615, 'Picarro Output'!$I:$I, 0, 'Picarro Output'!$J:$J, 1), "")</f>
        <v/>
      </c>
    </row>
    <row r="2616" spans="2:5" x14ac:dyDescent="0.45">
      <c r="B2616" s="1"/>
      <c r="E2616" s="45" t="str">
        <f>IFERROR(AVERAGEIFS('Picarro Output'!G:G, 'Picarro Output'!$B:$B, 'Uncalibrated Data'!$C2616, 'Picarro Output'!$I:$I, 0, 'Picarro Output'!$J:$J, 1), "")</f>
        <v/>
      </c>
    </row>
    <row r="2617" spans="2:5" x14ac:dyDescent="0.45">
      <c r="B2617" s="1"/>
      <c r="E2617" s="45" t="str">
        <f>IFERROR(AVERAGEIFS('Picarro Output'!G:G, 'Picarro Output'!$B:$B, 'Uncalibrated Data'!$C2617, 'Picarro Output'!$I:$I, 0, 'Picarro Output'!$J:$J, 1), "")</f>
        <v/>
      </c>
    </row>
    <row r="2618" spans="2:5" x14ac:dyDescent="0.45">
      <c r="B2618" s="1"/>
      <c r="E2618" s="45" t="str">
        <f>IFERROR(AVERAGEIFS('Picarro Output'!G:G, 'Picarro Output'!$B:$B, 'Uncalibrated Data'!$C2618, 'Picarro Output'!$I:$I, 0, 'Picarro Output'!$J:$J, 1), "")</f>
        <v/>
      </c>
    </row>
    <row r="2619" spans="2:5" x14ac:dyDescent="0.45">
      <c r="B2619" s="1"/>
      <c r="E2619" s="45" t="str">
        <f>IFERROR(AVERAGEIFS('Picarro Output'!G:G, 'Picarro Output'!$B:$B, 'Uncalibrated Data'!$C2619, 'Picarro Output'!$I:$I, 0, 'Picarro Output'!$J:$J, 1), "")</f>
        <v/>
      </c>
    </row>
    <row r="2620" spans="2:5" x14ac:dyDescent="0.45">
      <c r="B2620" s="1"/>
      <c r="E2620" s="45" t="str">
        <f>IFERROR(AVERAGEIFS('Picarro Output'!G:G, 'Picarro Output'!$B:$B, 'Uncalibrated Data'!$C2620, 'Picarro Output'!$I:$I, 0, 'Picarro Output'!$J:$J, 1), "")</f>
        <v/>
      </c>
    </row>
    <row r="2621" spans="2:5" x14ac:dyDescent="0.45">
      <c r="B2621" s="1"/>
      <c r="E2621" s="45" t="str">
        <f>IFERROR(AVERAGEIFS('Picarro Output'!G:G, 'Picarro Output'!$B:$B, 'Uncalibrated Data'!$C2621, 'Picarro Output'!$I:$I, 0, 'Picarro Output'!$J:$J, 1), "")</f>
        <v/>
      </c>
    </row>
    <row r="2622" spans="2:5" x14ac:dyDescent="0.45">
      <c r="B2622" s="1"/>
      <c r="E2622" s="45" t="str">
        <f>IFERROR(AVERAGEIFS('Picarro Output'!G:G, 'Picarro Output'!$B:$B, 'Uncalibrated Data'!$C2622, 'Picarro Output'!$I:$I, 0, 'Picarro Output'!$J:$J, 1), "")</f>
        <v/>
      </c>
    </row>
    <row r="2623" spans="2:5" x14ac:dyDescent="0.45">
      <c r="B2623" s="1"/>
      <c r="E2623" s="45" t="str">
        <f>IFERROR(AVERAGEIFS('Picarro Output'!G:G, 'Picarro Output'!$B:$B, 'Uncalibrated Data'!$C2623, 'Picarro Output'!$I:$I, 0, 'Picarro Output'!$J:$J, 1), "")</f>
        <v/>
      </c>
    </row>
    <row r="2624" spans="2:5" x14ac:dyDescent="0.45">
      <c r="B2624" s="1"/>
      <c r="E2624" s="45" t="str">
        <f>IFERROR(AVERAGEIFS('Picarro Output'!G:G, 'Picarro Output'!$B:$B, 'Uncalibrated Data'!$C2624, 'Picarro Output'!$I:$I, 0, 'Picarro Output'!$J:$J, 1), "")</f>
        <v/>
      </c>
    </row>
    <row r="2625" spans="2:5" x14ac:dyDescent="0.45">
      <c r="B2625" s="1"/>
      <c r="E2625" s="45" t="str">
        <f>IFERROR(AVERAGEIFS('Picarro Output'!G:G, 'Picarro Output'!$B:$B, 'Uncalibrated Data'!$C2625, 'Picarro Output'!$I:$I, 0, 'Picarro Output'!$J:$J, 1), "")</f>
        <v/>
      </c>
    </row>
    <row r="2626" spans="2:5" x14ac:dyDescent="0.45">
      <c r="B2626" s="1"/>
      <c r="E2626" s="45" t="str">
        <f>IFERROR(AVERAGEIFS('Picarro Output'!G:G, 'Picarro Output'!$B:$B, 'Uncalibrated Data'!$C2626, 'Picarro Output'!$I:$I, 0, 'Picarro Output'!$J:$J, 1), "")</f>
        <v/>
      </c>
    </row>
    <row r="2627" spans="2:5" x14ac:dyDescent="0.45">
      <c r="B2627" s="1"/>
      <c r="E2627" s="45" t="str">
        <f>IFERROR(AVERAGEIFS('Picarro Output'!G:G, 'Picarro Output'!$B:$B, 'Uncalibrated Data'!$C2627, 'Picarro Output'!$I:$I, 0, 'Picarro Output'!$J:$J, 1), "")</f>
        <v/>
      </c>
    </row>
    <row r="2628" spans="2:5" x14ac:dyDescent="0.45">
      <c r="B2628" s="1"/>
      <c r="E2628" s="45" t="str">
        <f>IFERROR(AVERAGEIFS('Picarro Output'!G:G, 'Picarro Output'!$B:$B, 'Uncalibrated Data'!$C2628, 'Picarro Output'!$I:$I, 0, 'Picarro Output'!$J:$J, 1), "")</f>
        <v/>
      </c>
    </row>
    <row r="2629" spans="2:5" x14ac:dyDescent="0.45">
      <c r="B2629" s="1"/>
      <c r="E2629" s="45" t="str">
        <f>IFERROR(AVERAGEIFS('Picarro Output'!G:G, 'Picarro Output'!$B:$B, 'Uncalibrated Data'!$C2629, 'Picarro Output'!$I:$I, 0, 'Picarro Output'!$J:$J, 1), "")</f>
        <v/>
      </c>
    </row>
    <row r="2630" spans="2:5" x14ac:dyDescent="0.45">
      <c r="B2630" s="1"/>
      <c r="E2630" s="45" t="str">
        <f>IFERROR(AVERAGEIFS('Picarro Output'!G:G, 'Picarro Output'!$B:$B, 'Uncalibrated Data'!$C2630, 'Picarro Output'!$I:$I, 0, 'Picarro Output'!$J:$J, 1), "")</f>
        <v/>
      </c>
    </row>
    <row r="2631" spans="2:5" x14ac:dyDescent="0.45">
      <c r="B2631" s="1"/>
      <c r="E2631" s="45" t="str">
        <f>IFERROR(AVERAGEIFS('Picarro Output'!G:G, 'Picarro Output'!$B:$B, 'Uncalibrated Data'!$C2631, 'Picarro Output'!$I:$I, 0, 'Picarro Output'!$J:$J, 1), "")</f>
        <v/>
      </c>
    </row>
    <row r="2632" spans="2:5" x14ac:dyDescent="0.45">
      <c r="B2632" s="1"/>
      <c r="E2632" s="45" t="str">
        <f>IFERROR(AVERAGEIFS('Picarro Output'!G:G, 'Picarro Output'!$B:$B, 'Uncalibrated Data'!$C2632, 'Picarro Output'!$I:$I, 0, 'Picarro Output'!$J:$J, 1), "")</f>
        <v/>
      </c>
    </row>
    <row r="2633" spans="2:5" x14ac:dyDescent="0.45">
      <c r="B2633" s="1"/>
      <c r="E2633" s="45" t="str">
        <f>IFERROR(AVERAGEIFS('Picarro Output'!G:G, 'Picarro Output'!$B:$B, 'Uncalibrated Data'!$C2633, 'Picarro Output'!$I:$I, 0, 'Picarro Output'!$J:$J, 1), "")</f>
        <v/>
      </c>
    </row>
    <row r="2634" spans="2:5" x14ac:dyDescent="0.45">
      <c r="B2634" s="1"/>
      <c r="E2634" s="45" t="str">
        <f>IFERROR(AVERAGEIFS('Picarro Output'!G:G, 'Picarro Output'!$B:$B, 'Uncalibrated Data'!$C2634, 'Picarro Output'!$I:$I, 0, 'Picarro Output'!$J:$J, 1), "")</f>
        <v/>
      </c>
    </row>
    <row r="2635" spans="2:5" x14ac:dyDescent="0.45">
      <c r="B2635" s="1"/>
      <c r="E2635" s="45" t="str">
        <f>IFERROR(AVERAGEIFS('Picarro Output'!G:G, 'Picarro Output'!$B:$B, 'Uncalibrated Data'!$C2635, 'Picarro Output'!$I:$I, 0, 'Picarro Output'!$J:$J, 1), "")</f>
        <v/>
      </c>
    </row>
    <row r="2636" spans="2:5" x14ac:dyDescent="0.45">
      <c r="B2636" s="1"/>
      <c r="E2636" s="45" t="str">
        <f>IFERROR(AVERAGEIFS('Picarro Output'!G:G, 'Picarro Output'!$B:$B, 'Uncalibrated Data'!$C2636, 'Picarro Output'!$I:$I, 0, 'Picarro Output'!$J:$J, 1), "")</f>
        <v/>
      </c>
    </row>
    <row r="2637" spans="2:5" x14ac:dyDescent="0.45">
      <c r="B2637" s="1"/>
      <c r="E2637" s="45" t="str">
        <f>IFERROR(AVERAGEIFS('Picarro Output'!G:G, 'Picarro Output'!$B:$B, 'Uncalibrated Data'!$C2637, 'Picarro Output'!$I:$I, 0, 'Picarro Output'!$J:$J, 1), "")</f>
        <v/>
      </c>
    </row>
    <row r="2638" spans="2:5" x14ac:dyDescent="0.45">
      <c r="B2638" s="1"/>
      <c r="E2638" s="45" t="str">
        <f>IFERROR(AVERAGEIFS('Picarro Output'!G:G, 'Picarro Output'!$B:$B, 'Uncalibrated Data'!$C2638, 'Picarro Output'!$I:$I, 0, 'Picarro Output'!$J:$J, 1), "")</f>
        <v/>
      </c>
    </row>
    <row r="2639" spans="2:5" x14ac:dyDescent="0.45">
      <c r="B2639" s="1"/>
      <c r="E2639" s="45" t="str">
        <f>IFERROR(AVERAGEIFS('Picarro Output'!G:G, 'Picarro Output'!$B:$B, 'Uncalibrated Data'!$C2639, 'Picarro Output'!$I:$I, 0, 'Picarro Output'!$J:$J, 1), "")</f>
        <v/>
      </c>
    </row>
    <row r="2640" spans="2:5" x14ac:dyDescent="0.45">
      <c r="B2640" s="1"/>
      <c r="E2640" s="45" t="str">
        <f>IFERROR(AVERAGEIFS('Picarro Output'!G:G, 'Picarro Output'!$B:$B, 'Uncalibrated Data'!$C2640, 'Picarro Output'!$I:$I, 0, 'Picarro Output'!$J:$J, 1), "")</f>
        <v/>
      </c>
    </row>
    <row r="2641" spans="2:5" x14ac:dyDescent="0.45">
      <c r="B2641" s="1"/>
      <c r="E2641" s="45" t="str">
        <f>IFERROR(AVERAGEIFS('Picarro Output'!G:G, 'Picarro Output'!$B:$B, 'Uncalibrated Data'!$C2641, 'Picarro Output'!$I:$I, 0, 'Picarro Output'!$J:$J, 1), "")</f>
        <v/>
      </c>
    </row>
    <row r="2642" spans="2:5" x14ac:dyDescent="0.45">
      <c r="B2642" s="1"/>
      <c r="E2642" s="45" t="str">
        <f>IFERROR(AVERAGEIFS('Picarro Output'!G:G, 'Picarro Output'!$B:$B, 'Uncalibrated Data'!$C2642, 'Picarro Output'!$I:$I, 0, 'Picarro Output'!$J:$J, 1), "")</f>
        <v/>
      </c>
    </row>
    <row r="2643" spans="2:5" x14ac:dyDescent="0.45">
      <c r="B2643" s="1"/>
      <c r="E2643" s="45" t="str">
        <f>IFERROR(AVERAGEIFS('Picarro Output'!G:G, 'Picarro Output'!$B:$B, 'Uncalibrated Data'!$C2643, 'Picarro Output'!$I:$I, 0, 'Picarro Output'!$J:$J, 1), "")</f>
        <v/>
      </c>
    </row>
    <row r="2644" spans="2:5" x14ac:dyDescent="0.45">
      <c r="B2644" s="1"/>
      <c r="E2644" s="45" t="str">
        <f>IFERROR(AVERAGEIFS('Picarro Output'!G:G, 'Picarro Output'!$B:$B, 'Uncalibrated Data'!$C2644, 'Picarro Output'!$I:$I, 0, 'Picarro Output'!$J:$J, 1), "")</f>
        <v/>
      </c>
    </row>
    <row r="2645" spans="2:5" x14ac:dyDescent="0.45">
      <c r="B2645" s="1"/>
      <c r="E2645" s="45" t="str">
        <f>IFERROR(AVERAGEIFS('Picarro Output'!G:G, 'Picarro Output'!$B:$B, 'Uncalibrated Data'!$C2645, 'Picarro Output'!$I:$I, 0, 'Picarro Output'!$J:$J, 1), "")</f>
        <v/>
      </c>
    </row>
    <row r="2646" spans="2:5" x14ac:dyDescent="0.45">
      <c r="B2646" s="1"/>
      <c r="E2646" s="45" t="str">
        <f>IFERROR(AVERAGEIFS('Picarro Output'!G:G, 'Picarro Output'!$B:$B, 'Uncalibrated Data'!$C2646, 'Picarro Output'!$I:$I, 0, 'Picarro Output'!$J:$J, 1), "")</f>
        <v/>
      </c>
    </row>
    <row r="2647" spans="2:5" x14ac:dyDescent="0.45">
      <c r="B2647" s="1"/>
      <c r="E2647" s="45" t="str">
        <f>IFERROR(AVERAGEIFS('Picarro Output'!G:G, 'Picarro Output'!$B:$B, 'Uncalibrated Data'!$C2647, 'Picarro Output'!$I:$I, 0, 'Picarro Output'!$J:$J, 1), "")</f>
        <v/>
      </c>
    </row>
    <row r="2648" spans="2:5" x14ac:dyDescent="0.45">
      <c r="B2648" s="1"/>
      <c r="E2648" s="45" t="str">
        <f>IFERROR(AVERAGEIFS('Picarro Output'!G:G, 'Picarro Output'!$B:$B, 'Uncalibrated Data'!$C2648, 'Picarro Output'!$I:$I, 0, 'Picarro Output'!$J:$J, 1), "")</f>
        <v/>
      </c>
    </row>
    <row r="2649" spans="2:5" x14ac:dyDescent="0.45">
      <c r="B2649" s="1"/>
      <c r="E2649" s="45" t="str">
        <f>IFERROR(AVERAGEIFS('Picarro Output'!G:G, 'Picarro Output'!$B:$B, 'Uncalibrated Data'!$C2649, 'Picarro Output'!$I:$I, 0, 'Picarro Output'!$J:$J, 1), "")</f>
        <v/>
      </c>
    </row>
    <row r="2650" spans="2:5" x14ac:dyDescent="0.45">
      <c r="B2650" s="1"/>
      <c r="E2650" s="45" t="str">
        <f>IFERROR(AVERAGEIFS('Picarro Output'!G:G, 'Picarro Output'!$B:$B, 'Uncalibrated Data'!$C2650, 'Picarro Output'!$I:$I, 0, 'Picarro Output'!$J:$J, 1), "")</f>
        <v/>
      </c>
    </row>
    <row r="2651" spans="2:5" x14ac:dyDescent="0.45">
      <c r="B2651" s="1"/>
      <c r="E2651" s="45" t="str">
        <f>IFERROR(AVERAGEIFS('Picarro Output'!G:G, 'Picarro Output'!$B:$B, 'Uncalibrated Data'!$C2651, 'Picarro Output'!$I:$I, 0, 'Picarro Output'!$J:$J, 1), "")</f>
        <v/>
      </c>
    </row>
    <row r="2652" spans="2:5" x14ac:dyDescent="0.45">
      <c r="B2652" s="1"/>
      <c r="E2652" s="45" t="str">
        <f>IFERROR(AVERAGEIFS('Picarro Output'!G:G, 'Picarro Output'!$B:$B, 'Uncalibrated Data'!$C2652, 'Picarro Output'!$I:$I, 0, 'Picarro Output'!$J:$J, 1), "")</f>
        <v/>
      </c>
    </row>
    <row r="2653" spans="2:5" x14ac:dyDescent="0.45">
      <c r="B2653" s="1"/>
      <c r="E2653" s="45" t="str">
        <f>IFERROR(AVERAGEIFS('Picarro Output'!G:G, 'Picarro Output'!$B:$B, 'Uncalibrated Data'!$C2653, 'Picarro Output'!$I:$I, 0, 'Picarro Output'!$J:$J, 1), "")</f>
        <v/>
      </c>
    </row>
    <row r="2654" spans="2:5" x14ac:dyDescent="0.45">
      <c r="B2654" s="1"/>
      <c r="E2654" s="45" t="str">
        <f>IFERROR(AVERAGEIFS('Picarro Output'!G:G, 'Picarro Output'!$B:$B, 'Uncalibrated Data'!$C2654, 'Picarro Output'!$I:$I, 0, 'Picarro Output'!$J:$J, 1), "")</f>
        <v/>
      </c>
    </row>
    <row r="2655" spans="2:5" x14ac:dyDescent="0.45">
      <c r="B2655" s="1"/>
      <c r="E2655" s="45" t="str">
        <f>IFERROR(AVERAGEIFS('Picarro Output'!G:G, 'Picarro Output'!$B:$B, 'Uncalibrated Data'!$C2655, 'Picarro Output'!$I:$I, 0, 'Picarro Output'!$J:$J, 1), "")</f>
        <v/>
      </c>
    </row>
    <row r="2656" spans="2:5" x14ac:dyDescent="0.45">
      <c r="B2656" s="1"/>
      <c r="E2656" s="45" t="str">
        <f>IFERROR(AVERAGEIFS('Picarro Output'!G:G, 'Picarro Output'!$B:$B, 'Uncalibrated Data'!$C2656, 'Picarro Output'!$I:$I, 0, 'Picarro Output'!$J:$J, 1), "")</f>
        <v/>
      </c>
    </row>
    <row r="2657" spans="2:5" x14ac:dyDescent="0.45">
      <c r="B2657" s="1"/>
      <c r="E2657" s="45" t="str">
        <f>IFERROR(AVERAGEIFS('Picarro Output'!G:G, 'Picarro Output'!$B:$B, 'Uncalibrated Data'!$C2657, 'Picarro Output'!$I:$I, 0, 'Picarro Output'!$J:$J, 1), "")</f>
        <v/>
      </c>
    </row>
    <row r="2658" spans="2:5" x14ac:dyDescent="0.45">
      <c r="B2658" s="1"/>
      <c r="E2658" s="45" t="str">
        <f>IFERROR(AVERAGEIFS('Picarro Output'!G:G, 'Picarro Output'!$B:$B, 'Uncalibrated Data'!$C2658, 'Picarro Output'!$I:$I, 0, 'Picarro Output'!$J:$J, 1), "")</f>
        <v/>
      </c>
    </row>
    <row r="2659" spans="2:5" x14ac:dyDescent="0.45">
      <c r="B2659" s="1"/>
      <c r="E2659" s="45" t="str">
        <f>IFERROR(AVERAGEIFS('Picarro Output'!G:G, 'Picarro Output'!$B:$B, 'Uncalibrated Data'!$C2659, 'Picarro Output'!$I:$I, 0, 'Picarro Output'!$J:$J, 1), "")</f>
        <v/>
      </c>
    </row>
    <row r="2660" spans="2:5" x14ac:dyDescent="0.45">
      <c r="B2660" s="1"/>
      <c r="E2660" s="45" t="str">
        <f>IFERROR(AVERAGEIFS('Picarro Output'!G:G, 'Picarro Output'!$B:$B, 'Uncalibrated Data'!$C2660, 'Picarro Output'!$I:$I, 0, 'Picarro Output'!$J:$J, 1), "")</f>
        <v/>
      </c>
    </row>
    <row r="2661" spans="2:5" x14ac:dyDescent="0.45">
      <c r="B2661" s="1"/>
      <c r="E2661" s="45" t="str">
        <f>IFERROR(AVERAGEIFS('Picarro Output'!G:G, 'Picarro Output'!$B:$B, 'Uncalibrated Data'!$C2661, 'Picarro Output'!$I:$I, 0, 'Picarro Output'!$J:$J, 1), "")</f>
        <v/>
      </c>
    </row>
    <row r="2662" spans="2:5" x14ac:dyDescent="0.45">
      <c r="B2662" s="1"/>
      <c r="E2662" s="45" t="str">
        <f>IFERROR(AVERAGEIFS('Picarro Output'!G:G, 'Picarro Output'!$B:$B, 'Uncalibrated Data'!$C2662, 'Picarro Output'!$I:$I, 0, 'Picarro Output'!$J:$J, 1), "")</f>
        <v/>
      </c>
    </row>
    <row r="2663" spans="2:5" x14ac:dyDescent="0.45">
      <c r="B2663" s="1"/>
      <c r="E2663" s="45" t="str">
        <f>IFERROR(AVERAGEIFS('Picarro Output'!G:G, 'Picarro Output'!$B:$B, 'Uncalibrated Data'!$C2663, 'Picarro Output'!$I:$I, 0, 'Picarro Output'!$J:$J, 1), "")</f>
        <v/>
      </c>
    </row>
    <row r="2664" spans="2:5" x14ac:dyDescent="0.45">
      <c r="B2664" s="1"/>
      <c r="E2664" s="45" t="str">
        <f>IFERROR(AVERAGEIFS('Picarro Output'!G:G, 'Picarro Output'!$B:$B, 'Uncalibrated Data'!$C2664, 'Picarro Output'!$I:$I, 0, 'Picarro Output'!$J:$J, 1), "")</f>
        <v/>
      </c>
    </row>
    <row r="2665" spans="2:5" x14ac:dyDescent="0.45">
      <c r="B2665" s="1"/>
      <c r="E2665" s="45" t="str">
        <f>IFERROR(AVERAGEIFS('Picarro Output'!G:G, 'Picarro Output'!$B:$B, 'Uncalibrated Data'!$C2665, 'Picarro Output'!$I:$I, 0, 'Picarro Output'!$J:$J, 1), "")</f>
        <v/>
      </c>
    </row>
    <row r="2666" spans="2:5" x14ac:dyDescent="0.45">
      <c r="B2666" s="1"/>
      <c r="E2666" s="45" t="str">
        <f>IFERROR(AVERAGEIFS('Picarro Output'!G:G, 'Picarro Output'!$B:$B, 'Uncalibrated Data'!$C2666, 'Picarro Output'!$I:$I, 0, 'Picarro Output'!$J:$J, 1), "")</f>
        <v/>
      </c>
    </row>
    <row r="2667" spans="2:5" x14ac:dyDescent="0.45">
      <c r="B2667" s="1"/>
      <c r="E2667" s="45" t="str">
        <f>IFERROR(AVERAGEIFS('Picarro Output'!G:G, 'Picarro Output'!$B:$B, 'Uncalibrated Data'!$C2667, 'Picarro Output'!$I:$I, 0, 'Picarro Output'!$J:$J, 1), "")</f>
        <v/>
      </c>
    </row>
    <row r="2668" spans="2:5" x14ac:dyDescent="0.45">
      <c r="B2668" s="1"/>
      <c r="E2668" s="45" t="str">
        <f>IFERROR(AVERAGEIFS('Picarro Output'!G:G, 'Picarro Output'!$B:$B, 'Uncalibrated Data'!$C2668, 'Picarro Output'!$I:$I, 0, 'Picarro Output'!$J:$J, 1), "")</f>
        <v/>
      </c>
    </row>
    <row r="2669" spans="2:5" x14ac:dyDescent="0.45">
      <c r="B2669" s="1"/>
      <c r="E2669" s="45" t="str">
        <f>IFERROR(AVERAGEIFS('Picarro Output'!G:G, 'Picarro Output'!$B:$B, 'Uncalibrated Data'!$C2669, 'Picarro Output'!$I:$I, 0, 'Picarro Output'!$J:$J, 1), "")</f>
        <v/>
      </c>
    </row>
    <row r="2670" spans="2:5" x14ac:dyDescent="0.45">
      <c r="B2670" s="1"/>
      <c r="E2670" s="45" t="str">
        <f>IFERROR(AVERAGEIFS('Picarro Output'!G:G, 'Picarro Output'!$B:$B, 'Uncalibrated Data'!$C2670, 'Picarro Output'!$I:$I, 0, 'Picarro Output'!$J:$J, 1), "")</f>
        <v/>
      </c>
    </row>
    <row r="2671" spans="2:5" x14ac:dyDescent="0.45">
      <c r="B2671" s="1"/>
      <c r="E2671" s="45" t="str">
        <f>IFERROR(AVERAGEIFS('Picarro Output'!G:G, 'Picarro Output'!$B:$B, 'Uncalibrated Data'!$C2671, 'Picarro Output'!$I:$I, 0, 'Picarro Output'!$J:$J, 1), "")</f>
        <v/>
      </c>
    </row>
    <row r="2672" spans="2:5" x14ac:dyDescent="0.45">
      <c r="B2672" s="1"/>
      <c r="E2672" s="45" t="str">
        <f>IFERROR(AVERAGEIFS('Picarro Output'!G:G, 'Picarro Output'!$B:$B, 'Uncalibrated Data'!$C2672, 'Picarro Output'!$I:$I, 0, 'Picarro Output'!$J:$J, 1), "")</f>
        <v/>
      </c>
    </row>
    <row r="2673" spans="2:5" x14ac:dyDescent="0.45">
      <c r="B2673" s="1"/>
      <c r="E2673" s="45" t="str">
        <f>IFERROR(AVERAGEIFS('Picarro Output'!G:G, 'Picarro Output'!$B:$B, 'Uncalibrated Data'!$C2673, 'Picarro Output'!$I:$I, 0, 'Picarro Output'!$J:$J, 1), "")</f>
        <v/>
      </c>
    </row>
    <row r="2674" spans="2:5" x14ac:dyDescent="0.45">
      <c r="B2674" s="1"/>
      <c r="E2674" s="45" t="str">
        <f>IFERROR(AVERAGEIFS('Picarro Output'!G:G, 'Picarro Output'!$B:$B, 'Uncalibrated Data'!$C2674, 'Picarro Output'!$I:$I, 0, 'Picarro Output'!$J:$J, 1), "")</f>
        <v/>
      </c>
    </row>
    <row r="2675" spans="2:5" x14ac:dyDescent="0.45">
      <c r="B2675" s="1"/>
      <c r="E2675" s="45" t="str">
        <f>IFERROR(AVERAGEIFS('Picarro Output'!G:G, 'Picarro Output'!$B:$B, 'Uncalibrated Data'!$C2675, 'Picarro Output'!$I:$I, 0, 'Picarro Output'!$J:$J, 1), "")</f>
        <v/>
      </c>
    </row>
    <row r="2676" spans="2:5" x14ac:dyDescent="0.45">
      <c r="B2676" s="1"/>
      <c r="E2676" s="45" t="str">
        <f>IFERROR(AVERAGEIFS('Picarro Output'!G:G, 'Picarro Output'!$B:$B, 'Uncalibrated Data'!$C2676, 'Picarro Output'!$I:$I, 0, 'Picarro Output'!$J:$J, 1), "")</f>
        <v/>
      </c>
    </row>
    <row r="2677" spans="2:5" x14ac:dyDescent="0.45">
      <c r="B2677" s="1"/>
      <c r="E2677" s="45" t="str">
        <f>IFERROR(AVERAGEIFS('Picarro Output'!G:G, 'Picarro Output'!$B:$B, 'Uncalibrated Data'!$C2677, 'Picarro Output'!$I:$I, 0, 'Picarro Output'!$J:$J, 1), "")</f>
        <v/>
      </c>
    </row>
    <row r="2678" spans="2:5" x14ac:dyDescent="0.45">
      <c r="B2678" s="1"/>
      <c r="E2678" s="45" t="str">
        <f>IFERROR(AVERAGEIFS('Picarro Output'!G:G, 'Picarro Output'!$B:$B, 'Uncalibrated Data'!$C2678, 'Picarro Output'!$I:$I, 0, 'Picarro Output'!$J:$J, 1), "")</f>
        <v/>
      </c>
    </row>
    <row r="2679" spans="2:5" x14ac:dyDescent="0.45">
      <c r="B2679" s="1"/>
      <c r="E2679" s="45" t="str">
        <f>IFERROR(AVERAGEIFS('Picarro Output'!G:G, 'Picarro Output'!$B:$B, 'Uncalibrated Data'!$C2679, 'Picarro Output'!$I:$I, 0, 'Picarro Output'!$J:$J, 1), "")</f>
        <v/>
      </c>
    </row>
    <row r="2680" spans="2:5" x14ac:dyDescent="0.45">
      <c r="B2680" s="1"/>
      <c r="E2680" s="45" t="str">
        <f>IFERROR(AVERAGEIFS('Picarro Output'!G:G, 'Picarro Output'!$B:$B, 'Uncalibrated Data'!$C2680, 'Picarro Output'!$I:$I, 0, 'Picarro Output'!$J:$J, 1), "")</f>
        <v/>
      </c>
    </row>
    <row r="2681" spans="2:5" x14ac:dyDescent="0.45">
      <c r="B2681" s="1"/>
      <c r="E2681" s="45" t="str">
        <f>IFERROR(AVERAGEIFS('Picarro Output'!G:G, 'Picarro Output'!$B:$B, 'Uncalibrated Data'!$C2681, 'Picarro Output'!$I:$I, 0, 'Picarro Output'!$J:$J, 1), "")</f>
        <v/>
      </c>
    </row>
    <row r="2682" spans="2:5" x14ac:dyDescent="0.45">
      <c r="B2682" s="1"/>
      <c r="E2682" s="45" t="str">
        <f>IFERROR(AVERAGEIFS('Picarro Output'!G:G, 'Picarro Output'!$B:$B, 'Uncalibrated Data'!$C2682, 'Picarro Output'!$I:$I, 0, 'Picarro Output'!$J:$J, 1), "")</f>
        <v/>
      </c>
    </row>
    <row r="2683" spans="2:5" x14ac:dyDescent="0.45">
      <c r="B2683" s="1"/>
      <c r="E2683" s="45" t="str">
        <f>IFERROR(AVERAGEIFS('Picarro Output'!G:G, 'Picarro Output'!$B:$B, 'Uncalibrated Data'!$C2683, 'Picarro Output'!$I:$I, 0, 'Picarro Output'!$J:$J, 1), "")</f>
        <v/>
      </c>
    </row>
    <row r="2684" spans="2:5" x14ac:dyDescent="0.45">
      <c r="B2684" s="1"/>
      <c r="E2684" s="45" t="str">
        <f>IFERROR(AVERAGEIFS('Picarro Output'!G:G, 'Picarro Output'!$B:$B, 'Uncalibrated Data'!$C2684, 'Picarro Output'!$I:$I, 0, 'Picarro Output'!$J:$J, 1), "")</f>
        <v/>
      </c>
    </row>
    <row r="2685" spans="2:5" x14ac:dyDescent="0.45">
      <c r="B2685" s="1"/>
      <c r="E2685" s="45" t="str">
        <f>IFERROR(AVERAGEIFS('Picarro Output'!G:G, 'Picarro Output'!$B:$B, 'Uncalibrated Data'!$C2685, 'Picarro Output'!$I:$I, 0, 'Picarro Output'!$J:$J, 1), "")</f>
        <v/>
      </c>
    </row>
    <row r="2686" spans="2:5" x14ac:dyDescent="0.45">
      <c r="B2686" s="1"/>
      <c r="E2686" s="45" t="str">
        <f>IFERROR(AVERAGEIFS('Picarro Output'!G:G, 'Picarro Output'!$B:$B, 'Uncalibrated Data'!$C2686, 'Picarro Output'!$I:$I, 0, 'Picarro Output'!$J:$J, 1), "")</f>
        <v/>
      </c>
    </row>
    <row r="2687" spans="2:5" x14ac:dyDescent="0.45">
      <c r="B2687" s="1"/>
      <c r="E2687" s="45" t="str">
        <f>IFERROR(AVERAGEIFS('Picarro Output'!G:G, 'Picarro Output'!$B:$B, 'Uncalibrated Data'!$C2687, 'Picarro Output'!$I:$I, 0, 'Picarro Output'!$J:$J, 1), "")</f>
        <v/>
      </c>
    </row>
    <row r="2688" spans="2:5" x14ac:dyDescent="0.45">
      <c r="B2688" s="1"/>
      <c r="E2688" s="45" t="str">
        <f>IFERROR(AVERAGEIFS('Picarro Output'!G:G, 'Picarro Output'!$B:$B, 'Uncalibrated Data'!$C2688, 'Picarro Output'!$I:$I, 0, 'Picarro Output'!$J:$J, 1), "")</f>
        <v/>
      </c>
    </row>
    <row r="2689" spans="2:5" x14ac:dyDescent="0.45">
      <c r="B2689" s="1"/>
      <c r="E2689" s="45" t="str">
        <f>IFERROR(AVERAGEIFS('Picarro Output'!G:G, 'Picarro Output'!$B:$B, 'Uncalibrated Data'!$C2689, 'Picarro Output'!$I:$I, 0, 'Picarro Output'!$J:$J, 1), "")</f>
        <v/>
      </c>
    </row>
    <row r="2690" spans="2:5" x14ac:dyDescent="0.45">
      <c r="B2690" s="1"/>
      <c r="E2690" s="45" t="str">
        <f>IFERROR(AVERAGEIFS('Picarro Output'!G:G, 'Picarro Output'!$B:$B, 'Uncalibrated Data'!$C2690, 'Picarro Output'!$I:$I, 0, 'Picarro Output'!$J:$J, 1), "")</f>
        <v/>
      </c>
    </row>
    <row r="2691" spans="2:5" x14ac:dyDescent="0.45">
      <c r="B2691" s="1"/>
      <c r="E2691" s="45" t="str">
        <f>IFERROR(AVERAGEIFS('Picarro Output'!G:G, 'Picarro Output'!$B:$B, 'Uncalibrated Data'!$C2691, 'Picarro Output'!$I:$I, 0, 'Picarro Output'!$J:$J, 1), "")</f>
        <v/>
      </c>
    </row>
    <row r="2692" spans="2:5" x14ac:dyDescent="0.45">
      <c r="B2692" s="1"/>
      <c r="E2692" s="45" t="str">
        <f>IFERROR(AVERAGEIFS('Picarro Output'!G:G, 'Picarro Output'!$B:$B, 'Uncalibrated Data'!$C2692, 'Picarro Output'!$I:$I, 0, 'Picarro Output'!$J:$J, 1), "")</f>
        <v/>
      </c>
    </row>
    <row r="2693" spans="2:5" x14ac:dyDescent="0.45">
      <c r="B2693" s="1"/>
      <c r="E2693" s="45" t="str">
        <f>IFERROR(AVERAGEIFS('Picarro Output'!G:G, 'Picarro Output'!$B:$B, 'Uncalibrated Data'!$C2693, 'Picarro Output'!$I:$I, 0, 'Picarro Output'!$J:$J, 1), "")</f>
        <v/>
      </c>
    </row>
    <row r="2694" spans="2:5" x14ac:dyDescent="0.45">
      <c r="B2694" s="1"/>
      <c r="E2694" s="45" t="str">
        <f>IFERROR(AVERAGEIFS('Picarro Output'!G:G, 'Picarro Output'!$B:$B, 'Uncalibrated Data'!$C2694, 'Picarro Output'!$I:$I, 0, 'Picarro Output'!$J:$J, 1), "")</f>
        <v/>
      </c>
    </row>
    <row r="2695" spans="2:5" x14ac:dyDescent="0.45">
      <c r="B2695" s="1"/>
      <c r="E2695" s="45" t="str">
        <f>IFERROR(AVERAGEIFS('Picarro Output'!G:G, 'Picarro Output'!$B:$B, 'Uncalibrated Data'!$C2695, 'Picarro Output'!$I:$I, 0, 'Picarro Output'!$J:$J, 1), "")</f>
        <v/>
      </c>
    </row>
    <row r="2696" spans="2:5" x14ac:dyDescent="0.45">
      <c r="B2696" s="1"/>
      <c r="E2696" s="45" t="str">
        <f>IFERROR(AVERAGEIFS('Picarro Output'!G:G, 'Picarro Output'!$B:$B, 'Uncalibrated Data'!$C2696, 'Picarro Output'!$I:$I, 0, 'Picarro Output'!$J:$J, 1), "")</f>
        <v/>
      </c>
    </row>
    <row r="2697" spans="2:5" x14ac:dyDescent="0.45">
      <c r="B2697" s="1"/>
      <c r="E2697" s="45" t="str">
        <f>IFERROR(AVERAGEIFS('Picarro Output'!G:G, 'Picarro Output'!$B:$B, 'Uncalibrated Data'!$C2697, 'Picarro Output'!$I:$I, 0, 'Picarro Output'!$J:$J, 1), "")</f>
        <v/>
      </c>
    </row>
    <row r="2698" spans="2:5" x14ac:dyDescent="0.45">
      <c r="B2698" s="1"/>
      <c r="E2698" s="45" t="str">
        <f>IFERROR(AVERAGEIFS('Picarro Output'!G:G, 'Picarro Output'!$B:$B, 'Uncalibrated Data'!$C2698, 'Picarro Output'!$I:$I, 0, 'Picarro Output'!$J:$J, 1), "")</f>
        <v/>
      </c>
    </row>
    <row r="2699" spans="2:5" x14ac:dyDescent="0.45">
      <c r="B2699" s="1"/>
      <c r="E2699" s="45" t="str">
        <f>IFERROR(AVERAGEIFS('Picarro Output'!G:G, 'Picarro Output'!$B:$B, 'Uncalibrated Data'!$C2699, 'Picarro Output'!$I:$I, 0, 'Picarro Output'!$J:$J, 1), "")</f>
        <v/>
      </c>
    </row>
    <row r="2700" spans="2:5" x14ac:dyDescent="0.45">
      <c r="B2700" s="1"/>
      <c r="E2700" s="45" t="str">
        <f>IFERROR(AVERAGEIFS('Picarro Output'!G:G, 'Picarro Output'!$B:$B, 'Uncalibrated Data'!$C2700, 'Picarro Output'!$I:$I, 0, 'Picarro Output'!$J:$J, 1), "")</f>
        <v/>
      </c>
    </row>
    <row r="2701" spans="2:5" x14ac:dyDescent="0.45">
      <c r="B2701" s="1"/>
      <c r="E2701" s="45" t="str">
        <f>IFERROR(AVERAGEIFS('Picarro Output'!G:G, 'Picarro Output'!$B:$B, 'Uncalibrated Data'!$C2701, 'Picarro Output'!$I:$I, 0, 'Picarro Output'!$J:$J, 1), "")</f>
        <v/>
      </c>
    </row>
    <row r="2702" spans="2:5" x14ac:dyDescent="0.45">
      <c r="B2702" s="1"/>
      <c r="E2702" s="45" t="str">
        <f>IFERROR(AVERAGEIFS('Picarro Output'!G:G, 'Picarro Output'!$B:$B, 'Uncalibrated Data'!$C2702, 'Picarro Output'!$I:$I, 0, 'Picarro Output'!$J:$J, 1), "")</f>
        <v/>
      </c>
    </row>
    <row r="2703" spans="2:5" x14ac:dyDescent="0.45">
      <c r="B2703" s="1"/>
      <c r="E2703" s="45" t="str">
        <f>IFERROR(AVERAGEIFS('Picarro Output'!G:G, 'Picarro Output'!$B:$B, 'Uncalibrated Data'!$C2703, 'Picarro Output'!$I:$I, 0, 'Picarro Output'!$J:$J, 1), "")</f>
        <v/>
      </c>
    </row>
    <row r="2704" spans="2:5" x14ac:dyDescent="0.45">
      <c r="B2704" s="1"/>
      <c r="E2704" s="45" t="str">
        <f>IFERROR(AVERAGEIFS('Picarro Output'!G:G, 'Picarro Output'!$B:$B, 'Uncalibrated Data'!$C2704, 'Picarro Output'!$I:$I, 0, 'Picarro Output'!$J:$J, 1), "")</f>
        <v/>
      </c>
    </row>
    <row r="2705" spans="2:5" x14ac:dyDescent="0.45">
      <c r="B2705" s="1"/>
      <c r="E2705" s="45" t="str">
        <f>IFERROR(AVERAGEIFS('Picarro Output'!G:G, 'Picarro Output'!$B:$B, 'Uncalibrated Data'!$C2705, 'Picarro Output'!$I:$I, 0, 'Picarro Output'!$J:$J, 1), "")</f>
        <v/>
      </c>
    </row>
    <row r="2706" spans="2:5" x14ac:dyDescent="0.45">
      <c r="B2706" s="1"/>
      <c r="E2706" s="45" t="str">
        <f>IFERROR(AVERAGEIFS('Picarro Output'!G:G, 'Picarro Output'!$B:$B, 'Uncalibrated Data'!$C2706, 'Picarro Output'!$I:$I, 0, 'Picarro Output'!$J:$J, 1), "")</f>
        <v/>
      </c>
    </row>
    <row r="2707" spans="2:5" x14ac:dyDescent="0.45">
      <c r="B2707" s="1"/>
      <c r="E2707" s="45" t="str">
        <f>IFERROR(AVERAGEIFS('Picarro Output'!G:G, 'Picarro Output'!$B:$B, 'Uncalibrated Data'!$C2707, 'Picarro Output'!$I:$I, 0, 'Picarro Output'!$J:$J, 1), "")</f>
        <v/>
      </c>
    </row>
    <row r="2708" spans="2:5" x14ac:dyDescent="0.45">
      <c r="B2708" s="1"/>
      <c r="E2708" s="45" t="str">
        <f>IFERROR(AVERAGEIFS('Picarro Output'!G:G, 'Picarro Output'!$B:$B, 'Uncalibrated Data'!$C2708, 'Picarro Output'!$I:$I, 0, 'Picarro Output'!$J:$J, 1), "")</f>
        <v/>
      </c>
    </row>
    <row r="2709" spans="2:5" x14ac:dyDescent="0.45">
      <c r="B2709" s="1"/>
      <c r="E2709" s="45" t="str">
        <f>IFERROR(AVERAGEIFS('Picarro Output'!G:G, 'Picarro Output'!$B:$B, 'Uncalibrated Data'!$C2709, 'Picarro Output'!$I:$I, 0, 'Picarro Output'!$J:$J, 1), "")</f>
        <v/>
      </c>
    </row>
    <row r="2710" spans="2:5" x14ac:dyDescent="0.45">
      <c r="B2710" s="1"/>
      <c r="E2710" s="45" t="str">
        <f>IFERROR(AVERAGEIFS('Picarro Output'!G:G, 'Picarro Output'!$B:$B, 'Uncalibrated Data'!$C2710, 'Picarro Output'!$I:$I, 0, 'Picarro Output'!$J:$J, 1), "")</f>
        <v/>
      </c>
    </row>
    <row r="2711" spans="2:5" x14ac:dyDescent="0.45">
      <c r="B2711" s="1"/>
      <c r="E2711" s="45" t="str">
        <f>IFERROR(AVERAGEIFS('Picarro Output'!G:G, 'Picarro Output'!$B:$B, 'Uncalibrated Data'!$C2711, 'Picarro Output'!$I:$I, 0, 'Picarro Output'!$J:$J, 1), "")</f>
        <v/>
      </c>
    </row>
    <row r="2712" spans="2:5" x14ac:dyDescent="0.45">
      <c r="B2712" s="1"/>
      <c r="E2712" s="45" t="str">
        <f>IFERROR(AVERAGEIFS('Picarro Output'!G:G, 'Picarro Output'!$B:$B, 'Uncalibrated Data'!$C2712, 'Picarro Output'!$I:$I, 0, 'Picarro Output'!$J:$J, 1), "")</f>
        <v/>
      </c>
    </row>
    <row r="2713" spans="2:5" x14ac:dyDescent="0.45">
      <c r="B2713" s="1"/>
      <c r="E2713" s="45" t="str">
        <f>IFERROR(AVERAGEIFS('Picarro Output'!G:G, 'Picarro Output'!$B:$B, 'Uncalibrated Data'!$C2713, 'Picarro Output'!$I:$I, 0, 'Picarro Output'!$J:$J, 1), "")</f>
        <v/>
      </c>
    </row>
    <row r="2714" spans="2:5" x14ac:dyDescent="0.45">
      <c r="B2714" s="1"/>
      <c r="E2714" s="45" t="str">
        <f>IFERROR(AVERAGEIFS('Picarro Output'!G:G, 'Picarro Output'!$B:$B, 'Uncalibrated Data'!$C2714, 'Picarro Output'!$I:$I, 0, 'Picarro Output'!$J:$J, 1), "")</f>
        <v/>
      </c>
    </row>
    <row r="2715" spans="2:5" x14ac:dyDescent="0.45">
      <c r="B2715" s="1"/>
      <c r="E2715" s="45" t="str">
        <f>IFERROR(AVERAGEIFS('Picarro Output'!G:G, 'Picarro Output'!$B:$B, 'Uncalibrated Data'!$C2715, 'Picarro Output'!$I:$I, 0, 'Picarro Output'!$J:$J, 1), "")</f>
        <v/>
      </c>
    </row>
    <row r="2716" spans="2:5" x14ac:dyDescent="0.45">
      <c r="B2716" s="1"/>
      <c r="E2716" s="45" t="str">
        <f>IFERROR(AVERAGEIFS('Picarro Output'!G:G, 'Picarro Output'!$B:$B, 'Uncalibrated Data'!$C2716, 'Picarro Output'!$I:$I, 0, 'Picarro Output'!$J:$J, 1), "")</f>
        <v/>
      </c>
    </row>
    <row r="2717" spans="2:5" x14ac:dyDescent="0.45">
      <c r="B2717" s="1"/>
      <c r="E2717" s="45" t="str">
        <f>IFERROR(AVERAGEIFS('Picarro Output'!G:G, 'Picarro Output'!$B:$B, 'Uncalibrated Data'!$C2717, 'Picarro Output'!$I:$I, 0, 'Picarro Output'!$J:$J, 1), "")</f>
        <v/>
      </c>
    </row>
    <row r="2718" spans="2:5" x14ac:dyDescent="0.45">
      <c r="B2718" s="1"/>
      <c r="E2718" s="45" t="str">
        <f>IFERROR(AVERAGEIFS('Picarro Output'!G:G, 'Picarro Output'!$B:$B, 'Uncalibrated Data'!$C2718, 'Picarro Output'!$I:$I, 0, 'Picarro Output'!$J:$J, 1), "")</f>
        <v/>
      </c>
    </row>
    <row r="2719" spans="2:5" x14ac:dyDescent="0.45">
      <c r="B2719" s="1"/>
      <c r="E2719" s="45" t="str">
        <f>IFERROR(AVERAGEIFS('Picarro Output'!G:G, 'Picarro Output'!$B:$B, 'Uncalibrated Data'!$C2719, 'Picarro Output'!$I:$I, 0, 'Picarro Output'!$J:$J, 1), "")</f>
        <v/>
      </c>
    </row>
    <row r="2720" spans="2:5" x14ac:dyDescent="0.45">
      <c r="B2720" s="1"/>
      <c r="E2720" s="45" t="str">
        <f>IFERROR(AVERAGEIFS('Picarro Output'!G:G, 'Picarro Output'!$B:$B, 'Uncalibrated Data'!$C2720, 'Picarro Output'!$I:$I, 0, 'Picarro Output'!$J:$J, 1), "")</f>
        <v/>
      </c>
    </row>
    <row r="2721" spans="2:5" x14ac:dyDescent="0.45">
      <c r="B2721" s="1"/>
      <c r="E2721" s="45" t="str">
        <f>IFERROR(AVERAGEIFS('Picarro Output'!G:G, 'Picarro Output'!$B:$B, 'Uncalibrated Data'!$C2721, 'Picarro Output'!$I:$I, 0, 'Picarro Output'!$J:$J, 1), "")</f>
        <v/>
      </c>
    </row>
    <row r="2722" spans="2:5" x14ac:dyDescent="0.45">
      <c r="B2722" s="1"/>
      <c r="E2722" s="45" t="str">
        <f>IFERROR(AVERAGEIFS('Picarro Output'!G:G, 'Picarro Output'!$B:$B, 'Uncalibrated Data'!$C2722, 'Picarro Output'!$I:$I, 0, 'Picarro Output'!$J:$J, 1), "")</f>
        <v/>
      </c>
    </row>
    <row r="2723" spans="2:5" x14ac:dyDescent="0.45">
      <c r="B2723" s="1"/>
      <c r="E2723" s="45" t="str">
        <f>IFERROR(AVERAGEIFS('Picarro Output'!G:G, 'Picarro Output'!$B:$B, 'Uncalibrated Data'!$C2723, 'Picarro Output'!$I:$I, 0, 'Picarro Output'!$J:$J, 1), "")</f>
        <v/>
      </c>
    </row>
    <row r="2724" spans="2:5" x14ac:dyDescent="0.45">
      <c r="B2724" s="1"/>
      <c r="E2724" s="45" t="str">
        <f>IFERROR(AVERAGEIFS('Picarro Output'!G:G, 'Picarro Output'!$B:$B, 'Uncalibrated Data'!$C2724, 'Picarro Output'!$I:$I, 0, 'Picarro Output'!$J:$J, 1), "")</f>
        <v/>
      </c>
    </row>
    <row r="2725" spans="2:5" x14ac:dyDescent="0.45">
      <c r="B2725" s="1"/>
      <c r="E2725" s="45" t="str">
        <f>IFERROR(AVERAGEIFS('Picarro Output'!G:G, 'Picarro Output'!$B:$B, 'Uncalibrated Data'!$C2725, 'Picarro Output'!$I:$I, 0, 'Picarro Output'!$J:$J, 1), "")</f>
        <v/>
      </c>
    </row>
    <row r="2726" spans="2:5" x14ac:dyDescent="0.45">
      <c r="B2726" s="1"/>
      <c r="E2726" s="45" t="str">
        <f>IFERROR(AVERAGEIFS('Picarro Output'!G:G, 'Picarro Output'!$B:$B, 'Uncalibrated Data'!$C2726, 'Picarro Output'!$I:$I, 0, 'Picarro Output'!$J:$J, 1), "")</f>
        <v/>
      </c>
    </row>
    <row r="2727" spans="2:5" x14ac:dyDescent="0.45">
      <c r="B2727" s="1"/>
      <c r="E2727" s="45" t="str">
        <f>IFERROR(AVERAGEIFS('Picarro Output'!G:G, 'Picarro Output'!$B:$B, 'Uncalibrated Data'!$C2727, 'Picarro Output'!$I:$I, 0, 'Picarro Output'!$J:$J, 1), "")</f>
        <v/>
      </c>
    </row>
    <row r="2728" spans="2:5" x14ac:dyDescent="0.45">
      <c r="B2728" s="1"/>
      <c r="E2728" s="45" t="str">
        <f>IFERROR(AVERAGEIFS('Picarro Output'!G:G, 'Picarro Output'!$B:$B, 'Uncalibrated Data'!$C2728, 'Picarro Output'!$I:$I, 0, 'Picarro Output'!$J:$J, 1), "")</f>
        <v/>
      </c>
    </row>
    <row r="2729" spans="2:5" x14ac:dyDescent="0.45">
      <c r="B2729" s="1"/>
      <c r="E2729" s="45" t="str">
        <f>IFERROR(AVERAGEIFS('Picarro Output'!G:G, 'Picarro Output'!$B:$B, 'Uncalibrated Data'!$C2729, 'Picarro Output'!$I:$I, 0, 'Picarro Output'!$J:$J, 1), "")</f>
        <v/>
      </c>
    </row>
    <row r="2730" spans="2:5" x14ac:dyDescent="0.45">
      <c r="B2730" s="1"/>
      <c r="E2730" s="45" t="str">
        <f>IFERROR(AVERAGEIFS('Picarro Output'!G:G, 'Picarro Output'!$B:$B, 'Uncalibrated Data'!$C2730, 'Picarro Output'!$I:$I, 0, 'Picarro Output'!$J:$J, 1), "")</f>
        <v/>
      </c>
    </row>
    <row r="2731" spans="2:5" x14ac:dyDescent="0.45">
      <c r="B2731" s="1"/>
      <c r="E2731" s="45" t="str">
        <f>IFERROR(AVERAGEIFS('Picarro Output'!G:G, 'Picarro Output'!$B:$B, 'Uncalibrated Data'!$C2731, 'Picarro Output'!$I:$I, 0, 'Picarro Output'!$J:$J, 1), "")</f>
        <v/>
      </c>
    </row>
    <row r="2732" spans="2:5" x14ac:dyDescent="0.45">
      <c r="B2732" s="1"/>
      <c r="E2732" s="45" t="str">
        <f>IFERROR(AVERAGEIFS('Picarro Output'!G:G, 'Picarro Output'!$B:$B, 'Uncalibrated Data'!$C2732, 'Picarro Output'!$I:$I, 0, 'Picarro Output'!$J:$J, 1), "")</f>
        <v/>
      </c>
    </row>
    <row r="2733" spans="2:5" x14ac:dyDescent="0.45">
      <c r="B2733" s="1"/>
      <c r="E2733" s="45" t="str">
        <f>IFERROR(AVERAGEIFS('Picarro Output'!G:G, 'Picarro Output'!$B:$B, 'Uncalibrated Data'!$C2733, 'Picarro Output'!$I:$I, 0, 'Picarro Output'!$J:$J, 1), "")</f>
        <v/>
      </c>
    </row>
    <row r="2734" spans="2:5" x14ac:dyDescent="0.45">
      <c r="B2734" s="1"/>
      <c r="E2734" s="45" t="str">
        <f>IFERROR(AVERAGEIFS('Picarro Output'!G:G, 'Picarro Output'!$B:$B, 'Uncalibrated Data'!$C2734, 'Picarro Output'!$I:$I, 0, 'Picarro Output'!$J:$J, 1), "")</f>
        <v/>
      </c>
    </row>
    <row r="2735" spans="2:5" x14ac:dyDescent="0.45">
      <c r="B2735" s="1"/>
      <c r="E2735" s="45" t="str">
        <f>IFERROR(AVERAGEIFS('Picarro Output'!G:G, 'Picarro Output'!$B:$B, 'Uncalibrated Data'!$C2735, 'Picarro Output'!$I:$I, 0, 'Picarro Output'!$J:$J, 1), "")</f>
        <v/>
      </c>
    </row>
    <row r="2736" spans="2:5" x14ac:dyDescent="0.45">
      <c r="B2736" s="1"/>
      <c r="E2736" s="45" t="str">
        <f>IFERROR(AVERAGEIFS('Picarro Output'!G:G, 'Picarro Output'!$B:$B, 'Uncalibrated Data'!$C2736, 'Picarro Output'!$I:$I, 0, 'Picarro Output'!$J:$J, 1), "")</f>
        <v/>
      </c>
    </row>
    <row r="2737" spans="2:5" x14ac:dyDescent="0.45">
      <c r="B2737" s="1"/>
      <c r="E2737" s="45" t="str">
        <f>IFERROR(AVERAGEIFS('Picarro Output'!G:G, 'Picarro Output'!$B:$B, 'Uncalibrated Data'!$C2737, 'Picarro Output'!$I:$I, 0, 'Picarro Output'!$J:$J, 1), "")</f>
        <v/>
      </c>
    </row>
    <row r="2738" spans="2:5" x14ac:dyDescent="0.45">
      <c r="B2738" s="1"/>
      <c r="E2738" s="45" t="str">
        <f>IFERROR(AVERAGEIFS('Picarro Output'!G:G, 'Picarro Output'!$B:$B, 'Uncalibrated Data'!$C2738, 'Picarro Output'!$I:$I, 0, 'Picarro Output'!$J:$J, 1), "")</f>
        <v/>
      </c>
    </row>
    <row r="2739" spans="2:5" x14ac:dyDescent="0.45">
      <c r="B2739" s="1"/>
      <c r="E2739" s="45" t="str">
        <f>IFERROR(AVERAGEIFS('Picarro Output'!G:G, 'Picarro Output'!$B:$B, 'Uncalibrated Data'!$C2739, 'Picarro Output'!$I:$I, 0, 'Picarro Output'!$J:$J, 1), "")</f>
        <v/>
      </c>
    </row>
    <row r="2740" spans="2:5" x14ac:dyDescent="0.45">
      <c r="B2740" s="1"/>
      <c r="E2740" s="45" t="str">
        <f>IFERROR(AVERAGEIFS('Picarro Output'!G:G, 'Picarro Output'!$B:$B, 'Uncalibrated Data'!$C2740, 'Picarro Output'!$I:$I, 0, 'Picarro Output'!$J:$J, 1), "")</f>
        <v/>
      </c>
    </row>
    <row r="2741" spans="2:5" x14ac:dyDescent="0.45">
      <c r="B2741" s="1"/>
      <c r="E2741" s="45" t="str">
        <f>IFERROR(AVERAGEIFS('Picarro Output'!G:G, 'Picarro Output'!$B:$B, 'Uncalibrated Data'!$C2741, 'Picarro Output'!$I:$I, 0, 'Picarro Output'!$J:$J, 1), "")</f>
        <v/>
      </c>
    </row>
    <row r="2742" spans="2:5" x14ac:dyDescent="0.45">
      <c r="B2742" s="1"/>
      <c r="E2742" s="45" t="str">
        <f>IFERROR(AVERAGEIFS('Picarro Output'!G:G, 'Picarro Output'!$B:$B, 'Uncalibrated Data'!$C2742, 'Picarro Output'!$I:$I, 0, 'Picarro Output'!$J:$J, 1), "")</f>
        <v/>
      </c>
    </row>
    <row r="2743" spans="2:5" x14ac:dyDescent="0.45">
      <c r="B2743" s="1"/>
      <c r="E2743" s="45" t="str">
        <f>IFERROR(AVERAGEIFS('Picarro Output'!G:G, 'Picarro Output'!$B:$B, 'Uncalibrated Data'!$C2743, 'Picarro Output'!$I:$I, 0, 'Picarro Output'!$J:$J, 1), "")</f>
        <v/>
      </c>
    </row>
    <row r="2744" spans="2:5" x14ac:dyDescent="0.45">
      <c r="B2744" s="1"/>
      <c r="E2744" s="45" t="str">
        <f>IFERROR(AVERAGEIFS('Picarro Output'!G:G, 'Picarro Output'!$B:$B, 'Uncalibrated Data'!$C2744, 'Picarro Output'!$I:$I, 0, 'Picarro Output'!$J:$J, 1), "")</f>
        <v/>
      </c>
    </row>
    <row r="2745" spans="2:5" x14ac:dyDescent="0.45">
      <c r="B2745" s="1"/>
      <c r="E2745" s="45" t="str">
        <f>IFERROR(AVERAGEIFS('Picarro Output'!G:G, 'Picarro Output'!$B:$B, 'Uncalibrated Data'!$C2745, 'Picarro Output'!$I:$I, 0, 'Picarro Output'!$J:$J, 1), "")</f>
        <v/>
      </c>
    </row>
    <row r="2746" spans="2:5" x14ac:dyDescent="0.45">
      <c r="B2746" s="1"/>
      <c r="E2746" s="45" t="str">
        <f>IFERROR(AVERAGEIFS('Picarro Output'!G:G, 'Picarro Output'!$B:$B, 'Uncalibrated Data'!$C2746, 'Picarro Output'!$I:$I, 0, 'Picarro Output'!$J:$J, 1), "")</f>
        <v/>
      </c>
    </row>
    <row r="2747" spans="2:5" x14ac:dyDescent="0.45">
      <c r="B2747" s="1"/>
      <c r="E2747" s="45" t="str">
        <f>IFERROR(AVERAGEIFS('Picarro Output'!G:G, 'Picarro Output'!$B:$B, 'Uncalibrated Data'!$C2747, 'Picarro Output'!$I:$I, 0, 'Picarro Output'!$J:$J, 1), "")</f>
        <v/>
      </c>
    </row>
    <row r="2748" spans="2:5" x14ac:dyDescent="0.45">
      <c r="B2748" s="1"/>
      <c r="E2748" s="45" t="str">
        <f>IFERROR(AVERAGEIFS('Picarro Output'!G:G, 'Picarro Output'!$B:$B, 'Uncalibrated Data'!$C2748, 'Picarro Output'!$I:$I, 0, 'Picarro Output'!$J:$J, 1), "")</f>
        <v/>
      </c>
    </row>
    <row r="2749" spans="2:5" x14ac:dyDescent="0.45">
      <c r="B2749" s="1"/>
      <c r="E2749" s="45" t="str">
        <f>IFERROR(AVERAGEIFS('Picarro Output'!G:G, 'Picarro Output'!$B:$B, 'Uncalibrated Data'!$C2749, 'Picarro Output'!$I:$I, 0, 'Picarro Output'!$J:$J, 1), "")</f>
        <v/>
      </c>
    </row>
    <row r="2750" spans="2:5" x14ac:dyDescent="0.45">
      <c r="B2750" s="1"/>
      <c r="E2750" s="45" t="str">
        <f>IFERROR(AVERAGEIFS('Picarro Output'!G:G, 'Picarro Output'!$B:$B, 'Uncalibrated Data'!$C2750, 'Picarro Output'!$I:$I, 0, 'Picarro Output'!$J:$J, 1), "")</f>
        <v/>
      </c>
    </row>
    <row r="2751" spans="2:5" x14ac:dyDescent="0.45">
      <c r="B2751" s="1"/>
      <c r="E2751" s="45" t="str">
        <f>IFERROR(AVERAGEIFS('Picarro Output'!G:G, 'Picarro Output'!$B:$B, 'Uncalibrated Data'!$C2751, 'Picarro Output'!$I:$I, 0, 'Picarro Output'!$J:$J, 1), "")</f>
        <v/>
      </c>
    </row>
    <row r="2752" spans="2:5" x14ac:dyDescent="0.45">
      <c r="B2752" s="1"/>
      <c r="E2752" s="45" t="str">
        <f>IFERROR(AVERAGEIFS('Picarro Output'!G:G, 'Picarro Output'!$B:$B, 'Uncalibrated Data'!$C2752, 'Picarro Output'!$I:$I, 0, 'Picarro Output'!$J:$J, 1), "")</f>
        <v/>
      </c>
    </row>
    <row r="2753" spans="2:5" x14ac:dyDescent="0.45">
      <c r="B2753" s="1"/>
      <c r="E2753" s="45" t="str">
        <f>IFERROR(AVERAGEIFS('Picarro Output'!G:G, 'Picarro Output'!$B:$B, 'Uncalibrated Data'!$C2753, 'Picarro Output'!$I:$I, 0, 'Picarro Output'!$J:$J, 1), "")</f>
        <v/>
      </c>
    </row>
    <row r="2754" spans="2:5" x14ac:dyDescent="0.45">
      <c r="B2754" s="1"/>
      <c r="E2754" s="45" t="str">
        <f>IFERROR(AVERAGEIFS('Picarro Output'!G:G, 'Picarro Output'!$B:$B, 'Uncalibrated Data'!$C2754, 'Picarro Output'!$I:$I, 0, 'Picarro Output'!$J:$J, 1), "")</f>
        <v/>
      </c>
    </row>
    <row r="2755" spans="2:5" x14ac:dyDescent="0.45">
      <c r="B2755" s="1"/>
      <c r="E2755" s="45" t="str">
        <f>IFERROR(AVERAGEIFS('Picarro Output'!G:G, 'Picarro Output'!$B:$B, 'Uncalibrated Data'!$C2755, 'Picarro Output'!$I:$I, 0, 'Picarro Output'!$J:$J, 1), "")</f>
        <v/>
      </c>
    </row>
    <row r="2756" spans="2:5" x14ac:dyDescent="0.45">
      <c r="B2756" s="1"/>
      <c r="E2756" s="45" t="str">
        <f>IFERROR(AVERAGEIFS('Picarro Output'!G:G, 'Picarro Output'!$B:$B, 'Uncalibrated Data'!$C2756, 'Picarro Output'!$I:$I, 0, 'Picarro Output'!$J:$J, 1), "")</f>
        <v/>
      </c>
    </row>
    <row r="2757" spans="2:5" x14ac:dyDescent="0.45">
      <c r="B2757" s="1"/>
      <c r="E2757" s="45" t="str">
        <f>IFERROR(AVERAGEIFS('Picarro Output'!G:G, 'Picarro Output'!$B:$B, 'Uncalibrated Data'!$C2757, 'Picarro Output'!$I:$I, 0, 'Picarro Output'!$J:$J, 1), "")</f>
        <v/>
      </c>
    </row>
    <row r="2758" spans="2:5" x14ac:dyDescent="0.45">
      <c r="B2758" s="1"/>
      <c r="E2758" s="45" t="str">
        <f>IFERROR(AVERAGEIFS('Picarro Output'!G:G, 'Picarro Output'!$B:$B, 'Uncalibrated Data'!$C2758, 'Picarro Output'!$I:$I, 0, 'Picarro Output'!$J:$J, 1), "")</f>
        <v/>
      </c>
    </row>
    <row r="2759" spans="2:5" x14ac:dyDescent="0.45">
      <c r="B2759" s="1"/>
      <c r="E2759" s="45" t="str">
        <f>IFERROR(AVERAGEIFS('Picarro Output'!G:G, 'Picarro Output'!$B:$B, 'Uncalibrated Data'!$C2759, 'Picarro Output'!$I:$I, 0, 'Picarro Output'!$J:$J, 1), "")</f>
        <v/>
      </c>
    </row>
    <row r="2760" spans="2:5" x14ac:dyDescent="0.45">
      <c r="B2760" s="1"/>
      <c r="E2760" s="45" t="str">
        <f>IFERROR(AVERAGEIFS('Picarro Output'!G:G, 'Picarro Output'!$B:$B, 'Uncalibrated Data'!$C2760, 'Picarro Output'!$I:$I, 0, 'Picarro Output'!$J:$J, 1), "")</f>
        <v/>
      </c>
    </row>
    <row r="2761" spans="2:5" x14ac:dyDescent="0.45">
      <c r="B2761" s="1"/>
      <c r="E2761" s="45" t="str">
        <f>IFERROR(AVERAGEIFS('Picarro Output'!G:G, 'Picarro Output'!$B:$B, 'Uncalibrated Data'!$C2761, 'Picarro Output'!$I:$I, 0, 'Picarro Output'!$J:$J, 1), "")</f>
        <v/>
      </c>
    </row>
    <row r="2762" spans="2:5" x14ac:dyDescent="0.45">
      <c r="B2762" s="1"/>
      <c r="E2762" s="45" t="str">
        <f>IFERROR(AVERAGEIFS('Picarro Output'!G:G, 'Picarro Output'!$B:$B, 'Uncalibrated Data'!$C2762, 'Picarro Output'!$I:$I, 0, 'Picarro Output'!$J:$J, 1), "")</f>
        <v/>
      </c>
    </row>
    <row r="2763" spans="2:5" x14ac:dyDescent="0.45">
      <c r="B2763" s="1"/>
      <c r="E2763" s="45" t="str">
        <f>IFERROR(AVERAGEIFS('Picarro Output'!G:G, 'Picarro Output'!$B:$B, 'Uncalibrated Data'!$C2763, 'Picarro Output'!$I:$I, 0, 'Picarro Output'!$J:$J, 1), "")</f>
        <v/>
      </c>
    </row>
    <row r="2764" spans="2:5" x14ac:dyDescent="0.45">
      <c r="B2764" s="1"/>
      <c r="E2764" s="45" t="str">
        <f>IFERROR(AVERAGEIFS('Picarro Output'!G:G, 'Picarro Output'!$B:$B, 'Uncalibrated Data'!$C2764, 'Picarro Output'!$I:$I, 0, 'Picarro Output'!$J:$J, 1), "")</f>
        <v/>
      </c>
    </row>
    <row r="2765" spans="2:5" x14ac:dyDescent="0.45">
      <c r="B2765" s="1"/>
      <c r="E2765" s="45" t="str">
        <f>IFERROR(AVERAGEIFS('Picarro Output'!G:G, 'Picarro Output'!$B:$B, 'Uncalibrated Data'!$C2765, 'Picarro Output'!$I:$I, 0, 'Picarro Output'!$J:$J, 1), "")</f>
        <v/>
      </c>
    </row>
    <row r="2766" spans="2:5" x14ac:dyDescent="0.45">
      <c r="B2766" s="1"/>
      <c r="E2766" s="45" t="str">
        <f>IFERROR(AVERAGEIFS('Picarro Output'!G:G, 'Picarro Output'!$B:$B, 'Uncalibrated Data'!$C2766, 'Picarro Output'!$I:$I, 0, 'Picarro Output'!$J:$J, 1), "")</f>
        <v/>
      </c>
    </row>
    <row r="2767" spans="2:5" x14ac:dyDescent="0.45">
      <c r="B2767" s="1"/>
      <c r="E2767" s="45" t="str">
        <f>IFERROR(AVERAGEIFS('Picarro Output'!G:G, 'Picarro Output'!$B:$B, 'Uncalibrated Data'!$C2767, 'Picarro Output'!$I:$I, 0, 'Picarro Output'!$J:$J, 1), "")</f>
        <v/>
      </c>
    </row>
    <row r="2768" spans="2:5" x14ac:dyDescent="0.45">
      <c r="B2768" s="1"/>
      <c r="E2768" s="45" t="str">
        <f>IFERROR(AVERAGEIFS('Picarro Output'!G:G, 'Picarro Output'!$B:$B, 'Uncalibrated Data'!$C2768, 'Picarro Output'!$I:$I, 0, 'Picarro Output'!$J:$J, 1), "")</f>
        <v/>
      </c>
    </row>
    <row r="2769" spans="2:5" x14ac:dyDescent="0.45">
      <c r="B2769" s="1"/>
      <c r="E2769" s="45" t="str">
        <f>IFERROR(AVERAGEIFS('Picarro Output'!G:G, 'Picarro Output'!$B:$B, 'Uncalibrated Data'!$C2769, 'Picarro Output'!$I:$I, 0, 'Picarro Output'!$J:$J, 1), "")</f>
        <v/>
      </c>
    </row>
    <row r="2770" spans="2:5" x14ac:dyDescent="0.45">
      <c r="B2770" s="1"/>
      <c r="E2770" s="45" t="str">
        <f>IFERROR(AVERAGEIFS('Picarro Output'!G:G, 'Picarro Output'!$B:$B, 'Uncalibrated Data'!$C2770, 'Picarro Output'!$I:$I, 0, 'Picarro Output'!$J:$J, 1), "")</f>
        <v/>
      </c>
    </row>
    <row r="2771" spans="2:5" x14ac:dyDescent="0.45">
      <c r="B2771" s="1"/>
      <c r="E2771" s="45" t="str">
        <f>IFERROR(AVERAGEIFS('Picarro Output'!G:G, 'Picarro Output'!$B:$B, 'Uncalibrated Data'!$C2771, 'Picarro Output'!$I:$I, 0, 'Picarro Output'!$J:$J, 1), "")</f>
        <v/>
      </c>
    </row>
    <row r="2772" spans="2:5" x14ac:dyDescent="0.45">
      <c r="B2772" s="1"/>
      <c r="E2772" s="45" t="str">
        <f>IFERROR(AVERAGEIFS('Picarro Output'!G:G, 'Picarro Output'!$B:$B, 'Uncalibrated Data'!$C2772, 'Picarro Output'!$I:$I, 0, 'Picarro Output'!$J:$J, 1), "")</f>
        <v/>
      </c>
    </row>
    <row r="2773" spans="2:5" x14ac:dyDescent="0.45">
      <c r="B2773" s="1"/>
      <c r="E2773" s="45" t="str">
        <f>IFERROR(AVERAGEIFS('Picarro Output'!G:G, 'Picarro Output'!$B:$B, 'Uncalibrated Data'!$C2773, 'Picarro Output'!$I:$I, 0, 'Picarro Output'!$J:$J, 1), "")</f>
        <v/>
      </c>
    </row>
    <row r="2774" spans="2:5" x14ac:dyDescent="0.45">
      <c r="B2774" s="1"/>
      <c r="E2774" s="45" t="str">
        <f>IFERROR(AVERAGEIFS('Picarro Output'!G:G, 'Picarro Output'!$B:$B, 'Uncalibrated Data'!$C2774, 'Picarro Output'!$I:$I, 0, 'Picarro Output'!$J:$J, 1), "")</f>
        <v/>
      </c>
    </row>
    <row r="2775" spans="2:5" x14ac:dyDescent="0.45">
      <c r="B2775" s="1"/>
      <c r="E2775" s="45" t="str">
        <f>IFERROR(AVERAGEIFS('Picarro Output'!G:G, 'Picarro Output'!$B:$B, 'Uncalibrated Data'!$C2775, 'Picarro Output'!$I:$I, 0, 'Picarro Output'!$J:$J, 1), "")</f>
        <v/>
      </c>
    </row>
    <row r="2776" spans="2:5" x14ac:dyDescent="0.45">
      <c r="B2776" s="1"/>
      <c r="E2776" s="45" t="str">
        <f>IFERROR(AVERAGEIFS('Picarro Output'!G:G, 'Picarro Output'!$B:$B, 'Uncalibrated Data'!$C2776, 'Picarro Output'!$I:$I, 0, 'Picarro Output'!$J:$J, 1), "")</f>
        <v/>
      </c>
    </row>
    <row r="2777" spans="2:5" x14ac:dyDescent="0.45">
      <c r="B2777" s="1"/>
      <c r="E2777" s="45" t="str">
        <f>IFERROR(AVERAGEIFS('Picarro Output'!G:G, 'Picarro Output'!$B:$B, 'Uncalibrated Data'!$C2777, 'Picarro Output'!$I:$I, 0, 'Picarro Output'!$J:$J, 1), "")</f>
        <v/>
      </c>
    </row>
    <row r="2778" spans="2:5" x14ac:dyDescent="0.45">
      <c r="B2778" s="1"/>
      <c r="E2778" s="45" t="str">
        <f>IFERROR(AVERAGEIFS('Picarro Output'!G:G, 'Picarro Output'!$B:$B, 'Uncalibrated Data'!$C2778, 'Picarro Output'!$I:$I, 0, 'Picarro Output'!$J:$J, 1), "")</f>
        <v/>
      </c>
    </row>
    <row r="2779" spans="2:5" x14ac:dyDescent="0.45">
      <c r="B2779" s="1"/>
      <c r="E2779" s="45" t="str">
        <f>IFERROR(AVERAGEIFS('Picarro Output'!G:G, 'Picarro Output'!$B:$B, 'Uncalibrated Data'!$C2779, 'Picarro Output'!$I:$I, 0, 'Picarro Output'!$J:$J, 1), "")</f>
        <v/>
      </c>
    </row>
    <row r="2780" spans="2:5" x14ac:dyDescent="0.45">
      <c r="B2780" s="1"/>
      <c r="E2780" s="45" t="str">
        <f>IFERROR(AVERAGEIFS('Picarro Output'!G:G, 'Picarro Output'!$B:$B, 'Uncalibrated Data'!$C2780, 'Picarro Output'!$I:$I, 0, 'Picarro Output'!$J:$J, 1), "")</f>
        <v/>
      </c>
    </row>
    <row r="2781" spans="2:5" x14ac:dyDescent="0.45">
      <c r="B2781" s="1"/>
      <c r="E2781" s="45" t="str">
        <f>IFERROR(AVERAGEIFS('Picarro Output'!G:G, 'Picarro Output'!$B:$B, 'Uncalibrated Data'!$C2781, 'Picarro Output'!$I:$I, 0, 'Picarro Output'!$J:$J, 1), "")</f>
        <v/>
      </c>
    </row>
    <row r="2782" spans="2:5" x14ac:dyDescent="0.45">
      <c r="B2782" s="1"/>
      <c r="E2782" s="45" t="str">
        <f>IFERROR(AVERAGEIFS('Picarro Output'!G:G, 'Picarro Output'!$B:$B, 'Uncalibrated Data'!$C2782, 'Picarro Output'!$I:$I, 0, 'Picarro Output'!$J:$J, 1), "")</f>
        <v/>
      </c>
    </row>
    <row r="2783" spans="2:5" x14ac:dyDescent="0.45">
      <c r="B2783" s="1"/>
      <c r="E2783" s="45" t="str">
        <f>IFERROR(AVERAGEIFS('Picarro Output'!G:G, 'Picarro Output'!$B:$B, 'Uncalibrated Data'!$C2783, 'Picarro Output'!$I:$I, 0, 'Picarro Output'!$J:$J, 1), "")</f>
        <v/>
      </c>
    </row>
    <row r="2784" spans="2:5" x14ac:dyDescent="0.45">
      <c r="B2784" s="1"/>
      <c r="E2784" s="45" t="str">
        <f>IFERROR(AVERAGEIFS('Picarro Output'!G:G, 'Picarro Output'!$B:$B, 'Uncalibrated Data'!$C2784, 'Picarro Output'!$I:$I, 0, 'Picarro Output'!$J:$J, 1), "")</f>
        <v/>
      </c>
    </row>
    <row r="2785" spans="2:5" x14ac:dyDescent="0.45">
      <c r="B2785" s="1"/>
      <c r="E2785" s="45" t="str">
        <f>IFERROR(AVERAGEIFS('Picarro Output'!G:G, 'Picarro Output'!$B:$B, 'Uncalibrated Data'!$C2785, 'Picarro Output'!$I:$I, 0, 'Picarro Output'!$J:$J, 1), "")</f>
        <v/>
      </c>
    </row>
    <row r="2786" spans="2:5" x14ac:dyDescent="0.45">
      <c r="B2786" s="1"/>
      <c r="E2786" s="45" t="str">
        <f>IFERROR(AVERAGEIFS('Picarro Output'!G:G, 'Picarro Output'!$B:$B, 'Uncalibrated Data'!$C2786, 'Picarro Output'!$I:$I, 0, 'Picarro Output'!$J:$J, 1), "")</f>
        <v/>
      </c>
    </row>
    <row r="2787" spans="2:5" x14ac:dyDescent="0.45">
      <c r="B2787" s="1"/>
      <c r="E2787" s="45" t="str">
        <f>IFERROR(AVERAGEIFS('Picarro Output'!G:G, 'Picarro Output'!$B:$B, 'Uncalibrated Data'!$C2787, 'Picarro Output'!$I:$I, 0, 'Picarro Output'!$J:$J, 1), "")</f>
        <v/>
      </c>
    </row>
    <row r="2788" spans="2:5" x14ac:dyDescent="0.45">
      <c r="B2788" s="1"/>
      <c r="E2788" s="45" t="str">
        <f>IFERROR(AVERAGEIFS('Picarro Output'!G:G, 'Picarro Output'!$B:$B, 'Uncalibrated Data'!$C2788, 'Picarro Output'!$I:$I, 0, 'Picarro Output'!$J:$J, 1), "")</f>
        <v/>
      </c>
    </row>
    <row r="2789" spans="2:5" x14ac:dyDescent="0.45">
      <c r="B2789" s="1"/>
      <c r="E2789" s="45" t="str">
        <f>IFERROR(AVERAGEIFS('Picarro Output'!G:G, 'Picarro Output'!$B:$B, 'Uncalibrated Data'!$C2789, 'Picarro Output'!$I:$I, 0, 'Picarro Output'!$J:$J, 1), "")</f>
        <v/>
      </c>
    </row>
    <row r="2790" spans="2:5" x14ac:dyDescent="0.45">
      <c r="B2790" s="1"/>
      <c r="E2790" s="45" t="str">
        <f>IFERROR(AVERAGEIFS('Picarro Output'!G:G, 'Picarro Output'!$B:$B, 'Uncalibrated Data'!$C2790, 'Picarro Output'!$I:$I, 0, 'Picarro Output'!$J:$J, 1), "")</f>
        <v/>
      </c>
    </row>
    <row r="2791" spans="2:5" x14ac:dyDescent="0.45">
      <c r="B2791" s="1"/>
      <c r="E2791" s="45" t="str">
        <f>IFERROR(AVERAGEIFS('Picarro Output'!G:G, 'Picarro Output'!$B:$B, 'Uncalibrated Data'!$C2791, 'Picarro Output'!$I:$I, 0, 'Picarro Output'!$J:$J, 1), "")</f>
        <v/>
      </c>
    </row>
    <row r="2792" spans="2:5" x14ac:dyDescent="0.45">
      <c r="B2792" s="1"/>
      <c r="E2792" s="45" t="str">
        <f>IFERROR(AVERAGEIFS('Picarro Output'!G:G, 'Picarro Output'!$B:$B, 'Uncalibrated Data'!$C2792, 'Picarro Output'!$I:$I, 0, 'Picarro Output'!$J:$J, 1), "")</f>
        <v/>
      </c>
    </row>
    <row r="2793" spans="2:5" x14ac:dyDescent="0.45">
      <c r="B2793" s="1"/>
      <c r="E2793" s="45" t="str">
        <f>IFERROR(AVERAGEIFS('Picarro Output'!G:G, 'Picarro Output'!$B:$B, 'Uncalibrated Data'!$C2793, 'Picarro Output'!$I:$I, 0, 'Picarro Output'!$J:$J, 1), "")</f>
        <v/>
      </c>
    </row>
    <row r="2794" spans="2:5" x14ac:dyDescent="0.45">
      <c r="B2794" s="1"/>
      <c r="E2794" s="45" t="str">
        <f>IFERROR(AVERAGEIFS('Picarro Output'!G:G, 'Picarro Output'!$B:$B, 'Uncalibrated Data'!$C2794, 'Picarro Output'!$I:$I, 0, 'Picarro Output'!$J:$J, 1), "")</f>
        <v/>
      </c>
    </row>
    <row r="2795" spans="2:5" x14ac:dyDescent="0.45">
      <c r="B2795" s="1"/>
      <c r="E2795" s="45" t="str">
        <f>IFERROR(AVERAGEIFS('Picarro Output'!G:G, 'Picarro Output'!$B:$B, 'Uncalibrated Data'!$C2795, 'Picarro Output'!$I:$I, 0, 'Picarro Output'!$J:$J, 1), "")</f>
        <v/>
      </c>
    </row>
    <row r="2796" spans="2:5" x14ac:dyDescent="0.45">
      <c r="B2796" s="1"/>
      <c r="E2796" s="45" t="str">
        <f>IFERROR(AVERAGEIFS('Picarro Output'!G:G, 'Picarro Output'!$B:$B, 'Uncalibrated Data'!$C2796, 'Picarro Output'!$I:$I, 0, 'Picarro Output'!$J:$J, 1), "")</f>
        <v/>
      </c>
    </row>
    <row r="2797" spans="2:5" x14ac:dyDescent="0.45">
      <c r="B2797" s="1"/>
      <c r="E2797" s="45" t="str">
        <f>IFERROR(AVERAGEIFS('Picarro Output'!G:G, 'Picarro Output'!$B:$B, 'Uncalibrated Data'!$C2797, 'Picarro Output'!$I:$I, 0, 'Picarro Output'!$J:$J, 1), "")</f>
        <v/>
      </c>
    </row>
    <row r="2798" spans="2:5" x14ac:dyDescent="0.45">
      <c r="B2798" s="1"/>
      <c r="E2798" s="45" t="str">
        <f>IFERROR(AVERAGEIFS('Picarro Output'!G:G, 'Picarro Output'!$B:$B, 'Uncalibrated Data'!$C2798, 'Picarro Output'!$I:$I, 0, 'Picarro Output'!$J:$J, 1), "")</f>
        <v/>
      </c>
    </row>
    <row r="2799" spans="2:5" x14ac:dyDescent="0.45">
      <c r="B2799" s="1"/>
      <c r="E2799" s="45" t="str">
        <f>IFERROR(AVERAGEIFS('Picarro Output'!G:G, 'Picarro Output'!$B:$B, 'Uncalibrated Data'!$C2799, 'Picarro Output'!$I:$I, 0, 'Picarro Output'!$J:$J, 1), "")</f>
        <v/>
      </c>
    </row>
    <row r="2800" spans="2:5" x14ac:dyDescent="0.45">
      <c r="B2800" s="1"/>
      <c r="E2800" s="45" t="str">
        <f>IFERROR(AVERAGEIFS('Picarro Output'!G:G, 'Picarro Output'!$B:$B, 'Uncalibrated Data'!$C2800, 'Picarro Output'!$I:$I, 0, 'Picarro Output'!$J:$J, 1), "")</f>
        <v/>
      </c>
    </row>
    <row r="2801" spans="2:5" x14ac:dyDescent="0.45">
      <c r="B2801" s="1"/>
      <c r="E2801" s="45" t="str">
        <f>IFERROR(AVERAGEIFS('Picarro Output'!G:G, 'Picarro Output'!$B:$B, 'Uncalibrated Data'!$C2801, 'Picarro Output'!$I:$I, 0, 'Picarro Output'!$J:$J, 1), "")</f>
        <v/>
      </c>
    </row>
    <row r="2802" spans="2:5" x14ac:dyDescent="0.45">
      <c r="B2802" s="1"/>
      <c r="E2802" s="45" t="str">
        <f>IFERROR(AVERAGEIFS('Picarro Output'!G:G, 'Picarro Output'!$B:$B, 'Uncalibrated Data'!$C2802, 'Picarro Output'!$I:$I, 0, 'Picarro Output'!$J:$J, 1), "")</f>
        <v/>
      </c>
    </row>
    <row r="2803" spans="2:5" x14ac:dyDescent="0.45">
      <c r="B2803" s="1"/>
      <c r="E2803" s="45" t="str">
        <f>IFERROR(AVERAGEIFS('Picarro Output'!G:G, 'Picarro Output'!$B:$B, 'Uncalibrated Data'!$C2803, 'Picarro Output'!$I:$I, 0, 'Picarro Output'!$J:$J, 1), "")</f>
        <v/>
      </c>
    </row>
    <row r="2804" spans="2:5" x14ac:dyDescent="0.45">
      <c r="B2804" s="1"/>
      <c r="E2804" s="45" t="str">
        <f>IFERROR(AVERAGEIFS('Picarro Output'!G:G, 'Picarro Output'!$B:$B, 'Uncalibrated Data'!$C2804, 'Picarro Output'!$I:$I, 0, 'Picarro Output'!$J:$J, 1), "")</f>
        <v/>
      </c>
    </row>
    <row r="2805" spans="2:5" x14ac:dyDescent="0.45">
      <c r="B2805" s="1"/>
      <c r="E2805" s="45" t="str">
        <f>IFERROR(AVERAGEIFS('Picarro Output'!G:G, 'Picarro Output'!$B:$B, 'Uncalibrated Data'!$C2805, 'Picarro Output'!$I:$I, 0, 'Picarro Output'!$J:$J, 1), "")</f>
        <v/>
      </c>
    </row>
    <row r="2806" spans="2:5" x14ac:dyDescent="0.45">
      <c r="B2806" s="1"/>
      <c r="E2806" s="45" t="str">
        <f>IFERROR(AVERAGEIFS('Picarro Output'!G:G, 'Picarro Output'!$B:$B, 'Uncalibrated Data'!$C2806, 'Picarro Output'!$I:$I, 0, 'Picarro Output'!$J:$J, 1), "")</f>
        <v/>
      </c>
    </row>
    <row r="2807" spans="2:5" x14ac:dyDescent="0.45">
      <c r="B2807" s="1"/>
      <c r="E2807" s="45" t="str">
        <f>IFERROR(AVERAGEIFS('Picarro Output'!G:G, 'Picarro Output'!$B:$B, 'Uncalibrated Data'!$C2807, 'Picarro Output'!$I:$I, 0, 'Picarro Output'!$J:$J, 1), "")</f>
        <v/>
      </c>
    </row>
    <row r="2808" spans="2:5" x14ac:dyDescent="0.45">
      <c r="B2808" s="1"/>
      <c r="E2808" s="45" t="str">
        <f>IFERROR(AVERAGEIFS('Picarro Output'!G:G, 'Picarro Output'!$B:$B, 'Uncalibrated Data'!$C2808, 'Picarro Output'!$I:$I, 0, 'Picarro Output'!$J:$J, 1), "")</f>
        <v/>
      </c>
    </row>
    <row r="2809" spans="2:5" x14ac:dyDescent="0.45">
      <c r="B2809" s="1"/>
      <c r="E2809" s="45" t="str">
        <f>IFERROR(AVERAGEIFS('Picarro Output'!G:G, 'Picarro Output'!$B:$B, 'Uncalibrated Data'!$C2809, 'Picarro Output'!$I:$I, 0, 'Picarro Output'!$J:$J, 1), "")</f>
        <v/>
      </c>
    </row>
    <row r="2810" spans="2:5" x14ac:dyDescent="0.45">
      <c r="B2810" s="1"/>
      <c r="E2810" s="45" t="str">
        <f>IFERROR(AVERAGEIFS('Picarro Output'!G:G, 'Picarro Output'!$B:$B, 'Uncalibrated Data'!$C2810, 'Picarro Output'!$I:$I, 0, 'Picarro Output'!$J:$J, 1), "")</f>
        <v/>
      </c>
    </row>
    <row r="2811" spans="2:5" x14ac:dyDescent="0.45">
      <c r="B2811" s="1"/>
      <c r="E2811" s="45" t="str">
        <f>IFERROR(AVERAGEIFS('Picarro Output'!G:G, 'Picarro Output'!$B:$B, 'Uncalibrated Data'!$C2811, 'Picarro Output'!$I:$I, 0, 'Picarro Output'!$J:$J, 1), "")</f>
        <v/>
      </c>
    </row>
    <row r="2812" spans="2:5" x14ac:dyDescent="0.45">
      <c r="B2812" s="1"/>
      <c r="E2812" s="45" t="str">
        <f>IFERROR(AVERAGEIFS('Picarro Output'!G:G, 'Picarro Output'!$B:$B, 'Uncalibrated Data'!$C2812, 'Picarro Output'!$I:$I, 0, 'Picarro Output'!$J:$J, 1), "")</f>
        <v/>
      </c>
    </row>
    <row r="2813" spans="2:5" x14ac:dyDescent="0.45">
      <c r="B2813" s="1"/>
      <c r="E2813" s="45" t="str">
        <f>IFERROR(AVERAGEIFS('Picarro Output'!G:G, 'Picarro Output'!$B:$B, 'Uncalibrated Data'!$C2813, 'Picarro Output'!$I:$I, 0, 'Picarro Output'!$J:$J, 1), "")</f>
        <v/>
      </c>
    </row>
    <row r="2814" spans="2:5" x14ac:dyDescent="0.45">
      <c r="B2814" s="1"/>
      <c r="E2814" s="45" t="str">
        <f>IFERROR(AVERAGEIFS('Picarro Output'!G:G, 'Picarro Output'!$B:$B, 'Uncalibrated Data'!$C2814, 'Picarro Output'!$I:$I, 0, 'Picarro Output'!$J:$J, 1), "")</f>
        <v/>
      </c>
    </row>
    <row r="2815" spans="2:5" x14ac:dyDescent="0.45">
      <c r="B2815" s="1"/>
      <c r="E2815" s="45" t="str">
        <f>IFERROR(AVERAGEIFS('Picarro Output'!G:G, 'Picarro Output'!$B:$B, 'Uncalibrated Data'!$C2815, 'Picarro Output'!$I:$I, 0, 'Picarro Output'!$J:$J, 1), "")</f>
        <v/>
      </c>
    </row>
    <row r="2816" spans="2:5" x14ac:dyDescent="0.45">
      <c r="B2816" s="1"/>
      <c r="E2816" s="45" t="str">
        <f>IFERROR(AVERAGEIFS('Picarro Output'!G:G, 'Picarro Output'!$B:$B, 'Uncalibrated Data'!$C2816, 'Picarro Output'!$I:$I, 0, 'Picarro Output'!$J:$J, 1), "")</f>
        <v/>
      </c>
    </row>
    <row r="2817" spans="2:5" x14ac:dyDescent="0.45">
      <c r="B2817" s="1"/>
      <c r="E2817" s="45" t="str">
        <f>IFERROR(AVERAGEIFS('Picarro Output'!G:G, 'Picarro Output'!$B:$B, 'Uncalibrated Data'!$C2817, 'Picarro Output'!$I:$I, 0, 'Picarro Output'!$J:$J, 1), "")</f>
        <v/>
      </c>
    </row>
    <row r="2818" spans="2:5" x14ac:dyDescent="0.45">
      <c r="B2818" s="1"/>
      <c r="E2818" s="45" t="str">
        <f>IFERROR(AVERAGEIFS('Picarro Output'!G:G, 'Picarro Output'!$B:$B, 'Uncalibrated Data'!$C2818, 'Picarro Output'!$I:$I, 0, 'Picarro Output'!$J:$J, 1), "")</f>
        <v/>
      </c>
    </row>
    <row r="2819" spans="2:5" x14ac:dyDescent="0.45">
      <c r="B2819" s="1"/>
      <c r="E2819" s="45" t="str">
        <f>IFERROR(AVERAGEIFS('Picarro Output'!G:G, 'Picarro Output'!$B:$B, 'Uncalibrated Data'!$C2819, 'Picarro Output'!$I:$I, 0, 'Picarro Output'!$J:$J, 1), "")</f>
        <v/>
      </c>
    </row>
    <row r="2820" spans="2:5" x14ac:dyDescent="0.45">
      <c r="B2820" s="1"/>
      <c r="E2820" s="45" t="str">
        <f>IFERROR(AVERAGEIFS('Picarro Output'!G:G, 'Picarro Output'!$B:$B, 'Uncalibrated Data'!$C2820, 'Picarro Output'!$I:$I, 0, 'Picarro Output'!$J:$J, 1), "")</f>
        <v/>
      </c>
    </row>
    <row r="2821" spans="2:5" x14ac:dyDescent="0.45">
      <c r="B2821" s="1"/>
      <c r="E2821" s="45" t="str">
        <f>IFERROR(AVERAGEIFS('Picarro Output'!G:G, 'Picarro Output'!$B:$B, 'Uncalibrated Data'!$C2821, 'Picarro Output'!$I:$I, 0, 'Picarro Output'!$J:$J, 1), "")</f>
        <v/>
      </c>
    </row>
    <row r="2822" spans="2:5" x14ac:dyDescent="0.45">
      <c r="B2822" s="1"/>
      <c r="E2822" s="45" t="str">
        <f>IFERROR(AVERAGEIFS('Picarro Output'!G:G, 'Picarro Output'!$B:$B, 'Uncalibrated Data'!$C2822, 'Picarro Output'!$I:$I, 0, 'Picarro Output'!$J:$J, 1), "")</f>
        <v/>
      </c>
    </row>
    <row r="2823" spans="2:5" x14ac:dyDescent="0.45">
      <c r="B2823" s="1"/>
      <c r="E2823" s="45" t="str">
        <f>IFERROR(AVERAGEIFS('Picarro Output'!G:G, 'Picarro Output'!$B:$B, 'Uncalibrated Data'!$C2823, 'Picarro Output'!$I:$I, 0, 'Picarro Output'!$J:$J, 1), "")</f>
        <v/>
      </c>
    </row>
    <row r="2824" spans="2:5" x14ac:dyDescent="0.45">
      <c r="B2824" s="1"/>
      <c r="E2824" s="45" t="str">
        <f>IFERROR(AVERAGEIFS('Picarro Output'!G:G, 'Picarro Output'!$B:$B, 'Uncalibrated Data'!$C2824, 'Picarro Output'!$I:$I, 0, 'Picarro Output'!$J:$J, 1), "")</f>
        <v/>
      </c>
    </row>
    <row r="2825" spans="2:5" x14ac:dyDescent="0.45">
      <c r="B2825" s="1"/>
      <c r="E2825" s="45" t="str">
        <f>IFERROR(AVERAGEIFS('Picarro Output'!G:G, 'Picarro Output'!$B:$B, 'Uncalibrated Data'!$C2825, 'Picarro Output'!$I:$I, 0, 'Picarro Output'!$J:$J, 1), "")</f>
        <v/>
      </c>
    </row>
    <row r="2826" spans="2:5" x14ac:dyDescent="0.45">
      <c r="B2826" s="1"/>
      <c r="E2826" s="45" t="str">
        <f>IFERROR(AVERAGEIFS('Picarro Output'!G:G, 'Picarro Output'!$B:$B, 'Uncalibrated Data'!$C2826, 'Picarro Output'!$I:$I, 0, 'Picarro Output'!$J:$J, 1), "")</f>
        <v/>
      </c>
    </row>
    <row r="2827" spans="2:5" x14ac:dyDescent="0.45">
      <c r="B2827" s="1"/>
      <c r="E2827" s="45" t="str">
        <f>IFERROR(AVERAGEIFS('Picarro Output'!G:G, 'Picarro Output'!$B:$B, 'Uncalibrated Data'!$C2827, 'Picarro Output'!$I:$I, 0, 'Picarro Output'!$J:$J, 1), "")</f>
        <v/>
      </c>
    </row>
    <row r="2828" spans="2:5" x14ac:dyDescent="0.45">
      <c r="B2828" s="1"/>
      <c r="E2828" s="45" t="str">
        <f>IFERROR(AVERAGEIFS('Picarro Output'!G:G, 'Picarro Output'!$B:$B, 'Uncalibrated Data'!$C2828, 'Picarro Output'!$I:$I, 0, 'Picarro Output'!$J:$J, 1), "")</f>
        <v/>
      </c>
    </row>
    <row r="2829" spans="2:5" x14ac:dyDescent="0.45">
      <c r="B2829" s="1"/>
      <c r="E2829" s="45" t="str">
        <f>IFERROR(AVERAGEIFS('Picarro Output'!G:G, 'Picarro Output'!$B:$B, 'Uncalibrated Data'!$C2829, 'Picarro Output'!$I:$I, 0, 'Picarro Output'!$J:$J, 1), "")</f>
        <v/>
      </c>
    </row>
    <row r="2830" spans="2:5" x14ac:dyDescent="0.45">
      <c r="B2830" s="1"/>
      <c r="E2830" s="45" t="str">
        <f>IFERROR(AVERAGEIFS('Picarro Output'!G:G, 'Picarro Output'!$B:$B, 'Uncalibrated Data'!$C2830, 'Picarro Output'!$I:$I, 0, 'Picarro Output'!$J:$J, 1), "")</f>
        <v/>
      </c>
    </row>
    <row r="2831" spans="2:5" x14ac:dyDescent="0.45">
      <c r="B2831" s="1"/>
      <c r="E2831" s="45" t="str">
        <f>IFERROR(AVERAGEIFS('Picarro Output'!G:G, 'Picarro Output'!$B:$B, 'Uncalibrated Data'!$C2831, 'Picarro Output'!$I:$I, 0, 'Picarro Output'!$J:$J, 1), "")</f>
        <v/>
      </c>
    </row>
    <row r="2832" spans="2:5" x14ac:dyDescent="0.45">
      <c r="B2832" s="1"/>
      <c r="E2832" s="45" t="str">
        <f>IFERROR(AVERAGEIFS('Picarro Output'!G:G, 'Picarro Output'!$B:$B, 'Uncalibrated Data'!$C2832, 'Picarro Output'!$I:$I, 0, 'Picarro Output'!$J:$J, 1), "")</f>
        <v/>
      </c>
    </row>
    <row r="2833" spans="2:5" x14ac:dyDescent="0.45">
      <c r="B2833" s="1"/>
      <c r="E2833" s="45" t="str">
        <f>IFERROR(AVERAGEIFS('Picarro Output'!G:G, 'Picarro Output'!$B:$B, 'Uncalibrated Data'!$C2833, 'Picarro Output'!$I:$I, 0, 'Picarro Output'!$J:$J, 1), "")</f>
        <v/>
      </c>
    </row>
    <row r="2834" spans="2:5" x14ac:dyDescent="0.45">
      <c r="B2834" s="1"/>
      <c r="E2834" s="45" t="str">
        <f>IFERROR(AVERAGEIFS('Picarro Output'!G:G, 'Picarro Output'!$B:$B, 'Uncalibrated Data'!$C2834, 'Picarro Output'!$I:$I, 0, 'Picarro Output'!$J:$J, 1), "")</f>
        <v/>
      </c>
    </row>
    <row r="2835" spans="2:5" x14ac:dyDescent="0.45">
      <c r="B2835" s="1"/>
      <c r="E2835" s="45" t="str">
        <f>IFERROR(AVERAGEIFS('Picarro Output'!G:G, 'Picarro Output'!$B:$B, 'Uncalibrated Data'!$C2835, 'Picarro Output'!$I:$I, 0, 'Picarro Output'!$J:$J, 1), "")</f>
        <v/>
      </c>
    </row>
    <row r="2836" spans="2:5" x14ac:dyDescent="0.45">
      <c r="B2836" s="1"/>
      <c r="E2836" s="45" t="str">
        <f>IFERROR(AVERAGEIFS('Picarro Output'!G:G, 'Picarro Output'!$B:$B, 'Uncalibrated Data'!$C2836, 'Picarro Output'!$I:$I, 0, 'Picarro Output'!$J:$J, 1), "")</f>
        <v/>
      </c>
    </row>
    <row r="2837" spans="2:5" x14ac:dyDescent="0.45">
      <c r="B2837" s="1"/>
      <c r="E2837" s="45" t="str">
        <f>IFERROR(AVERAGEIFS('Picarro Output'!G:G, 'Picarro Output'!$B:$B, 'Uncalibrated Data'!$C2837, 'Picarro Output'!$I:$I, 0, 'Picarro Output'!$J:$J, 1), "")</f>
        <v/>
      </c>
    </row>
    <row r="2838" spans="2:5" x14ac:dyDescent="0.45">
      <c r="B2838" s="1"/>
      <c r="E2838" s="45" t="str">
        <f>IFERROR(AVERAGEIFS('Picarro Output'!G:G, 'Picarro Output'!$B:$B, 'Uncalibrated Data'!$C2838, 'Picarro Output'!$I:$I, 0, 'Picarro Output'!$J:$J, 1), "")</f>
        <v/>
      </c>
    </row>
    <row r="2839" spans="2:5" x14ac:dyDescent="0.45">
      <c r="B2839" s="1"/>
      <c r="E2839" s="45" t="str">
        <f>IFERROR(AVERAGEIFS('Picarro Output'!G:G, 'Picarro Output'!$B:$B, 'Uncalibrated Data'!$C2839, 'Picarro Output'!$I:$I, 0, 'Picarro Output'!$J:$J, 1), "")</f>
        <v/>
      </c>
    </row>
    <row r="2840" spans="2:5" x14ac:dyDescent="0.45">
      <c r="B2840" s="1"/>
      <c r="E2840" s="45" t="str">
        <f>IFERROR(AVERAGEIFS('Picarro Output'!G:G, 'Picarro Output'!$B:$B, 'Uncalibrated Data'!$C2840, 'Picarro Output'!$I:$I, 0, 'Picarro Output'!$J:$J, 1), "")</f>
        <v/>
      </c>
    </row>
    <row r="2841" spans="2:5" x14ac:dyDescent="0.45">
      <c r="B2841" s="1"/>
      <c r="E2841" s="45" t="str">
        <f>IFERROR(AVERAGEIFS('Picarro Output'!G:G, 'Picarro Output'!$B:$B, 'Uncalibrated Data'!$C2841, 'Picarro Output'!$I:$I, 0, 'Picarro Output'!$J:$J, 1), "")</f>
        <v/>
      </c>
    </row>
    <row r="2842" spans="2:5" x14ac:dyDescent="0.45">
      <c r="B2842" s="1"/>
      <c r="E2842" s="45" t="str">
        <f>IFERROR(AVERAGEIFS('Picarro Output'!G:G, 'Picarro Output'!$B:$B, 'Uncalibrated Data'!$C2842, 'Picarro Output'!$I:$I, 0, 'Picarro Output'!$J:$J, 1), "")</f>
        <v/>
      </c>
    </row>
    <row r="2843" spans="2:5" x14ac:dyDescent="0.45">
      <c r="B2843" s="1"/>
      <c r="E2843" s="45" t="str">
        <f>IFERROR(AVERAGEIFS('Picarro Output'!G:G, 'Picarro Output'!$B:$B, 'Uncalibrated Data'!$C2843, 'Picarro Output'!$I:$I, 0, 'Picarro Output'!$J:$J, 1), "")</f>
        <v/>
      </c>
    </row>
    <row r="2844" spans="2:5" x14ac:dyDescent="0.45">
      <c r="B2844" s="1"/>
      <c r="E2844" s="45" t="str">
        <f>IFERROR(AVERAGEIFS('Picarro Output'!G:G, 'Picarro Output'!$B:$B, 'Uncalibrated Data'!$C2844, 'Picarro Output'!$I:$I, 0, 'Picarro Output'!$J:$J, 1), "")</f>
        <v/>
      </c>
    </row>
    <row r="2845" spans="2:5" x14ac:dyDescent="0.45">
      <c r="B2845" s="1"/>
      <c r="E2845" s="45" t="str">
        <f>IFERROR(AVERAGEIFS('Picarro Output'!G:G, 'Picarro Output'!$B:$B, 'Uncalibrated Data'!$C2845, 'Picarro Output'!$I:$I, 0, 'Picarro Output'!$J:$J, 1), "")</f>
        <v/>
      </c>
    </row>
    <row r="2846" spans="2:5" x14ac:dyDescent="0.45">
      <c r="B2846" s="1"/>
      <c r="E2846" s="45" t="str">
        <f>IFERROR(AVERAGEIFS('Picarro Output'!G:G, 'Picarro Output'!$B:$B, 'Uncalibrated Data'!$C2846, 'Picarro Output'!$I:$I, 0, 'Picarro Output'!$J:$J, 1), "")</f>
        <v/>
      </c>
    </row>
    <row r="2847" spans="2:5" x14ac:dyDescent="0.45">
      <c r="B2847" s="1"/>
      <c r="E2847" s="45" t="str">
        <f>IFERROR(AVERAGEIFS('Picarro Output'!G:G, 'Picarro Output'!$B:$B, 'Uncalibrated Data'!$C2847, 'Picarro Output'!$I:$I, 0, 'Picarro Output'!$J:$J, 1), "")</f>
        <v/>
      </c>
    </row>
    <row r="2848" spans="2:5" x14ac:dyDescent="0.45">
      <c r="B2848" s="1"/>
      <c r="E2848" s="45" t="str">
        <f>IFERROR(AVERAGEIFS('Picarro Output'!G:G, 'Picarro Output'!$B:$B, 'Uncalibrated Data'!$C2848, 'Picarro Output'!$I:$I, 0, 'Picarro Output'!$J:$J, 1), "")</f>
        <v/>
      </c>
    </row>
    <row r="2849" spans="2:5" x14ac:dyDescent="0.45">
      <c r="B2849" s="1"/>
      <c r="E2849" s="45" t="str">
        <f>IFERROR(AVERAGEIFS('Picarro Output'!G:G, 'Picarro Output'!$B:$B, 'Uncalibrated Data'!$C2849, 'Picarro Output'!$I:$I, 0, 'Picarro Output'!$J:$J, 1), "")</f>
        <v/>
      </c>
    </row>
    <row r="2850" spans="2:5" x14ac:dyDescent="0.45">
      <c r="B2850" s="1"/>
      <c r="E2850" s="45" t="str">
        <f>IFERROR(AVERAGEIFS('Picarro Output'!G:G, 'Picarro Output'!$B:$B, 'Uncalibrated Data'!$C2850, 'Picarro Output'!$I:$I, 0, 'Picarro Output'!$J:$J, 1), "")</f>
        <v/>
      </c>
    </row>
    <row r="2851" spans="2:5" x14ac:dyDescent="0.45">
      <c r="B2851" s="1"/>
      <c r="E2851" s="45" t="str">
        <f>IFERROR(AVERAGEIFS('Picarro Output'!G:G, 'Picarro Output'!$B:$B, 'Uncalibrated Data'!$C2851, 'Picarro Output'!$I:$I, 0, 'Picarro Output'!$J:$J, 1), "")</f>
        <v/>
      </c>
    </row>
    <row r="2852" spans="2:5" x14ac:dyDescent="0.45">
      <c r="B2852" s="1"/>
      <c r="E2852" s="45" t="str">
        <f>IFERROR(AVERAGEIFS('Picarro Output'!G:G, 'Picarro Output'!$B:$B, 'Uncalibrated Data'!$C2852, 'Picarro Output'!$I:$I, 0, 'Picarro Output'!$J:$J, 1), "")</f>
        <v/>
      </c>
    </row>
    <row r="2853" spans="2:5" x14ac:dyDescent="0.45">
      <c r="B2853" s="1"/>
      <c r="E2853" s="45" t="str">
        <f>IFERROR(AVERAGEIFS('Picarro Output'!G:G, 'Picarro Output'!$B:$B, 'Uncalibrated Data'!$C2853, 'Picarro Output'!$I:$I, 0, 'Picarro Output'!$J:$J, 1), "")</f>
        <v/>
      </c>
    </row>
    <row r="2854" spans="2:5" x14ac:dyDescent="0.45">
      <c r="B2854" s="1"/>
      <c r="E2854" s="45" t="str">
        <f>IFERROR(AVERAGEIFS('Picarro Output'!G:G, 'Picarro Output'!$B:$B, 'Uncalibrated Data'!$C2854, 'Picarro Output'!$I:$I, 0, 'Picarro Output'!$J:$J, 1), "")</f>
        <v/>
      </c>
    </row>
    <row r="2855" spans="2:5" x14ac:dyDescent="0.45">
      <c r="B2855" s="1"/>
      <c r="E2855" s="45" t="str">
        <f>IFERROR(AVERAGEIFS('Picarro Output'!G:G, 'Picarro Output'!$B:$B, 'Uncalibrated Data'!$C2855, 'Picarro Output'!$I:$I, 0, 'Picarro Output'!$J:$J, 1), "")</f>
        <v/>
      </c>
    </row>
    <row r="2856" spans="2:5" x14ac:dyDescent="0.45">
      <c r="B2856" s="1"/>
      <c r="E2856" s="45" t="str">
        <f>IFERROR(AVERAGEIFS('Picarro Output'!G:G, 'Picarro Output'!$B:$B, 'Uncalibrated Data'!$C2856, 'Picarro Output'!$I:$I, 0, 'Picarro Output'!$J:$J, 1), "")</f>
        <v/>
      </c>
    </row>
    <row r="2857" spans="2:5" x14ac:dyDescent="0.45">
      <c r="B2857" s="1"/>
      <c r="E2857" s="45" t="str">
        <f>IFERROR(AVERAGEIFS('Picarro Output'!G:G, 'Picarro Output'!$B:$B, 'Uncalibrated Data'!$C2857, 'Picarro Output'!$I:$I, 0, 'Picarro Output'!$J:$J, 1), "")</f>
        <v/>
      </c>
    </row>
    <row r="2858" spans="2:5" x14ac:dyDescent="0.45">
      <c r="B2858" s="1"/>
      <c r="E2858" s="45" t="str">
        <f>IFERROR(AVERAGEIFS('Picarro Output'!G:G, 'Picarro Output'!$B:$B, 'Uncalibrated Data'!$C2858, 'Picarro Output'!$I:$I, 0, 'Picarro Output'!$J:$J, 1), "")</f>
        <v/>
      </c>
    </row>
    <row r="2859" spans="2:5" x14ac:dyDescent="0.45">
      <c r="B2859" s="1"/>
      <c r="E2859" s="45" t="str">
        <f>IFERROR(AVERAGEIFS('Picarro Output'!G:G, 'Picarro Output'!$B:$B, 'Uncalibrated Data'!$C2859, 'Picarro Output'!$I:$I, 0, 'Picarro Output'!$J:$J, 1), "")</f>
        <v/>
      </c>
    </row>
    <row r="2860" spans="2:5" x14ac:dyDescent="0.45">
      <c r="B2860" s="1"/>
      <c r="E2860" s="45" t="str">
        <f>IFERROR(AVERAGEIFS('Picarro Output'!G:G, 'Picarro Output'!$B:$B, 'Uncalibrated Data'!$C2860, 'Picarro Output'!$I:$I, 0, 'Picarro Output'!$J:$J, 1), "")</f>
        <v/>
      </c>
    </row>
    <row r="2861" spans="2:5" x14ac:dyDescent="0.45">
      <c r="B2861" s="1"/>
      <c r="E2861" s="45" t="str">
        <f>IFERROR(AVERAGEIFS('Picarro Output'!G:G, 'Picarro Output'!$B:$B, 'Uncalibrated Data'!$C2861, 'Picarro Output'!$I:$I, 0, 'Picarro Output'!$J:$J, 1), "")</f>
        <v/>
      </c>
    </row>
    <row r="2862" spans="2:5" x14ac:dyDescent="0.45">
      <c r="B2862" s="1"/>
      <c r="E2862" s="45" t="str">
        <f>IFERROR(AVERAGEIFS('Picarro Output'!G:G, 'Picarro Output'!$B:$B, 'Uncalibrated Data'!$C2862, 'Picarro Output'!$I:$I, 0, 'Picarro Output'!$J:$J, 1), "")</f>
        <v/>
      </c>
    </row>
    <row r="2863" spans="2:5" x14ac:dyDescent="0.45">
      <c r="B2863" s="1"/>
      <c r="E2863" s="45" t="str">
        <f>IFERROR(AVERAGEIFS('Picarro Output'!G:G, 'Picarro Output'!$B:$B, 'Uncalibrated Data'!$C2863, 'Picarro Output'!$I:$I, 0, 'Picarro Output'!$J:$J, 1), "")</f>
        <v/>
      </c>
    </row>
    <row r="2864" spans="2:5" x14ac:dyDescent="0.45">
      <c r="B2864" s="1"/>
      <c r="E2864" s="45" t="str">
        <f>IFERROR(AVERAGEIFS('Picarro Output'!G:G, 'Picarro Output'!$B:$B, 'Uncalibrated Data'!$C2864, 'Picarro Output'!$I:$I, 0, 'Picarro Output'!$J:$J, 1), "")</f>
        <v/>
      </c>
    </row>
    <row r="2865" spans="2:5" x14ac:dyDescent="0.45">
      <c r="B2865" s="1"/>
      <c r="E2865" s="45" t="str">
        <f>IFERROR(AVERAGEIFS('Picarro Output'!G:G, 'Picarro Output'!$B:$B, 'Uncalibrated Data'!$C2865, 'Picarro Output'!$I:$I, 0, 'Picarro Output'!$J:$J, 1), "")</f>
        <v/>
      </c>
    </row>
    <row r="2866" spans="2:5" x14ac:dyDescent="0.45">
      <c r="B2866" s="1"/>
      <c r="E2866" s="45" t="str">
        <f>IFERROR(AVERAGEIFS('Picarro Output'!G:G, 'Picarro Output'!$B:$B, 'Uncalibrated Data'!$C2866, 'Picarro Output'!$I:$I, 0, 'Picarro Output'!$J:$J, 1), "")</f>
        <v/>
      </c>
    </row>
    <row r="2867" spans="2:5" x14ac:dyDescent="0.45">
      <c r="B2867" s="1"/>
      <c r="E2867" s="45" t="str">
        <f>IFERROR(AVERAGEIFS('Picarro Output'!G:G, 'Picarro Output'!$B:$B, 'Uncalibrated Data'!$C2867, 'Picarro Output'!$I:$I, 0, 'Picarro Output'!$J:$J, 1), "")</f>
        <v/>
      </c>
    </row>
    <row r="2868" spans="2:5" x14ac:dyDescent="0.45">
      <c r="B2868" s="1"/>
      <c r="E2868" s="45" t="str">
        <f>IFERROR(AVERAGEIFS('Picarro Output'!G:G, 'Picarro Output'!$B:$B, 'Uncalibrated Data'!$C2868, 'Picarro Output'!$I:$I, 0, 'Picarro Output'!$J:$J, 1), "")</f>
        <v/>
      </c>
    </row>
    <row r="2869" spans="2:5" x14ac:dyDescent="0.45">
      <c r="B2869" s="1"/>
      <c r="E2869" s="45" t="str">
        <f>IFERROR(AVERAGEIFS('Picarro Output'!G:G, 'Picarro Output'!$B:$B, 'Uncalibrated Data'!$C2869, 'Picarro Output'!$I:$I, 0, 'Picarro Output'!$J:$J, 1), "")</f>
        <v/>
      </c>
    </row>
    <row r="2870" spans="2:5" x14ac:dyDescent="0.45">
      <c r="B2870" s="1"/>
      <c r="E2870" s="45" t="str">
        <f>IFERROR(AVERAGEIFS('Picarro Output'!G:G, 'Picarro Output'!$B:$B, 'Uncalibrated Data'!$C2870, 'Picarro Output'!$I:$I, 0, 'Picarro Output'!$J:$J, 1), "")</f>
        <v/>
      </c>
    </row>
    <row r="2871" spans="2:5" x14ac:dyDescent="0.45">
      <c r="B2871" s="1"/>
      <c r="E2871" s="45" t="str">
        <f>IFERROR(AVERAGEIFS('Picarro Output'!G:G, 'Picarro Output'!$B:$B, 'Uncalibrated Data'!$C2871, 'Picarro Output'!$I:$I, 0, 'Picarro Output'!$J:$J, 1), "")</f>
        <v/>
      </c>
    </row>
    <row r="2872" spans="2:5" x14ac:dyDescent="0.45">
      <c r="B2872" s="1"/>
      <c r="E2872" s="45" t="str">
        <f>IFERROR(AVERAGEIFS('Picarro Output'!G:G, 'Picarro Output'!$B:$B, 'Uncalibrated Data'!$C2872, 'Picarro Output'!$I:$I, 0, 'Picarro Output'!$J:$J, 1), "")</f>
        <v/>
      </c>
    </row>
    <row r="2873" spans="2:5" x14ac:dyDescent="0.45">
      <c r="B2873" s="1"/>
      <c r="E2873" s="45" t="str">
        <f>IFERROR(AVERAGEIFS('Picarro Output'!G:G, 'Picarro Output'!$B:$B, 'Uncalibrated Data'!$C2873, 'Picarro Output'!$I:$I, 0, 'Picarro Output'!$J:$J, 1), "")</f>
        <v/>
      </c>
    </row>
    <row r="2874" spans="2:5" x14ac:dyDescent="0.45">
      <c r="B2874" s="1"/>
      <c r="E2874" s="45" t="str">
        <f>IFERROR(AVERAGEIFS('Picarro Output'!G:G, 'Picarro Output'!$B:$B, 'Uncalibrated Data'!$C2874, 'Picarro Output'!$I:$I, 0, 'Picarro Output'!$J:$J, 1), "")</f>
        <v/>
      </c>
    </row>
    <row r="2875" spans="2:5" x14ac:dyDescent="0.45">
      <c r="B2875" s="1"/>
      <c r="E2875" s="45" t="str">
        <f>IFERROR(AVERAGEIFS('Picarro Output'!G:G, 'Picarro Output'!$B:$B, 'Uncalibrated Data'!$C2875, 'Picarro Output'!$I:$I, 0, 'Picarro Output'!$J:$J, 1), "")</f>
        <v/>
      </c>
    </row>
    <row r="2876" spans="2:5" x14ac:dyDescent="0.45">
      <c r="B2876" s="1"/>
      <c r="E2876" s="45" t="str">
        <f>IFERROR(AVERAGEIFS('Picarro Output'!G:G, 'Picarro Output'!$B:$B, 'Uncalibrated Data'!$C2876, 'Picarro Output'!$I:$I, 0, 'Picarro Output'!$J:$J, 1), "")</f>
        <v/>
      </c>
    </row>
    <row r="2877" spans="2:5" x14ac:dyDescent="0.45">
      <c r="B2877" s="1"/>
      <c r="E2877" s="45" t="str">
        <f>IFERROR(AVERAGEIFS('Picarro Output'!G:G, 'Picarro Output'!$B:$B, 'Uncalibrated Data'!$C2877, 'Picarro Output'!$I:$I, 0, 'Picarro Output'!$J:$J, 1), "")</f>
        <v/>
      </c>
    </row>
    <row r="2878" spans="2:5" x14ac:dyDescent="0.45">
      <c r="B2878" s="1"/>
      <c r="E2878" s="45" t="str">
        <f>IFERROR(AVERAGEIFS('Picarro Output'!G:G, 'Picarro Output'!$B:$B, 'Uncalibrated Data'!$C2878, 'Picarro Output'!$I:$I, 0, 'Picarro Output'!$J:$J, 1), "")</f>
        <v/>
      </c>
    </row>
    <row r="2879" spans="2:5" x14ac:dyDescent="0.45">
      <c r="B2879" s="1"/>
      <c r="E2879" s="45" t="str">
        <f>IFERROR(AVERAGEIFS('Picarro Output'!G:G, 'Picarro Output'!$B:$B, 'Uncalibrated Data'!$C2879, 'Picarro Output'!$I:$I, 0, 'Picarro Output'!$J:$J, 1), "")</f>
        <v/>
      </c>
    </row>
    <row r="2880" spans="2:5" x14ac:dyDescent="0.45">
      <c r="B2880" s="1"/>
      <c r="E2880" s="45" t="str">
        <f>IFERROR(AVERAGEIFS('Picarro Output'!G:G, 'Picarro Output'!$B:$B, 'Uncalibrated Data'!$C2880, 'Picarro Output'!$I:$I, 0, 'Picarro Output'!$J:$J, 1), "")</f>
        <v/>
      </c>
    </row>
    <row r="2881" spans="2:5" x14ac:dyDescent="0.45">
      <c r="B2881" s="1"/>
      <c r="E2881" s="45" t="str">
        <f>IFERROR(AVERAGEIFS('Picarro Output'!G:G, 'Picarro Output'!$B:$B, 'Uncalibrated Data'!$C2881, 'Picarro Output'!$I:$I, 0, 'Picarro Output'!$J:$J, 1), "")</f>
        <v/>
      </c>
    </row>
    <row r="2882" spans="2:5" x14ac:dyDescent="0.45">
      <c r="B2882" s="1"/>
      <c r="E2882" s="45" t="str">
        <f>IFERROR(AVERAGEIFS('Picarro Output'!G:G, 'Picarro Output'!$B:$B, 'Uncalibrated Data'!$C2882, 'Picarro Output'!$I:$I, 0, 'Picarro Output'!$J:$J, 1), "")</f>
        <v/>
      </c>
    </row>
    <row r="2883" spans="2:5" x14ac:dyDescent="0.45">
      <c r="B2883" s="1"/>
      <c r="E2883" s="45" t="str">
        <f>IFERROR(AVERAGEIFS('Picarro Output'!G:G, 'Picarro Output'!$B:$B, 'Uncalibrated Data'!$C2883, 'Picarro Output'!$I:$I, 0, 'Picarro Output'!$J:$J, 1), "")</f>
        <v/>
      </c>
    </row>
    <row r="2884" spans="2:5" x14ac:dyDescent="0.45">
      <c r="B2884" s="1"/>
      <c r="E2884" s="45" t="str">
        <f>IFERROR(AVERAGEIFS('Picarro Output'!G:G, 'Picarro Output'!$B:$B, 'Uncalibrated Data'!$C2884, 'Picarro Output'!$I:$I, 0, 'Picarro Output'!$J:$J, 1), "")</f>
        <v/>
      </c>
    </row>
    <row r="2885" spans="2:5" x14ac:dyDescent="0.45">
      <c r="B2885" s="1"/>
      <c r="E2885" s="45" t="str">
        <f>IFERROR(AVERAGEIFS('Picarro Output'!G:G, 'Picarro Output'!$B:$B, 'Uncalibrated Data'!$C2885, 'Picarro Output'!$I:$I, 0, 'Picarro Output'!$J:$J, 1), "")</f>
        <v/>
      </c>
    </row>
    <row r="2886" spans="2:5" x14ac:dyDescent="0.45">
      <c r="B2886" s="1"/>
      <c r="E2886" s="45" t="str">
        <f>IFERROR(AVERAGEIFS('Picarro Output'!G:G, 'Picarro Output'!$B:$B, 'Uncalibrated Data'!$C2886, 'Picarro Output'!$I:$I, 0, 'Picarro Output'!$J:$J, 1), "")</f>
        <v/>
      </c>
    </row>
    <row r="2887" spans="2:5" x14ac:dyDescent="0.45">
      <c r="B2887" s="1"/>
      <c r="E2887" s="45" t="str">
        <f>IFERROR(AVERAGEIFS('Picarro Output'!G:G, 'Picarro Output'!$B:$B, 'Uncalibrated Data'!$C2887, 'Picarro Output'!$I:$I, 0, 'Picarro Output'!$J:$J, 1), "")</f>
        <v/>
      </c>
    </row>
    <row r="2888" spans="2:5" x14ac:dyDescent="0.45">
      <c r="B2888" s="1"/>
      <c r="E2888" s="45" t="str">
        <f>IFERROR(AVERAGEIFS('Picarro Output'!G:G, 'Picarro Output'!$B:$B, 'Uncalibrated Data'!$C2888, 'Picarro Output'!$I:$I, 0, 'Picarro Output'!$J:$J, 1), "")</f>
        <v/>
      </c>
    </row>
    <row r="2889" spans="2:5" x14ac:dyDescent="0.45">
      <c r="B2889" s="1"/>
      <c r="E2889" s="45" t="str">
        <f>IFERROR(AVERAGEIFS('Picarro Output'!G:G, 'Picarro Output'!$B:$B, 'Uncalibrated Data'!$C2889, 'Picarro Output'!$I:$I, 0, 'Picarro Output'!$J:$J, 1), "")</f>
        <v/>
      </c>
    </row>
    <row r="2890" spans="2:5" x14ac:dyDescent="0.45">
      <c r="B2890" s="1"/>
      <c r="E2890" s="45" t="str">
        <f>IFERROR(AVERAGEIFS('Picarro Output'!G:G, 'Picarro Output'!$B:$B, 'Uncalibrated Data'!$C2890, 'Picarro Output'!$I:$I, 0, 'Picarro Output'!$J:$J, 1), "")</f>
        <v/>
      </c>
    </row>
    <row r="2891" spans="2:5" x14ac:dyDescent="0.45">
      <c r="B2891" s="1"/>
      <c r="E2891" s="45" t="str">
        <f>IFERROR(AVERAGEIFS('Picarro Output'!G:G, 'Picarro Output'!$B:$B, 'Uncalibrated Data'!$C2891, 'Picarro Output'!$I:$I, 0, 'Picarro Output'!$J:$J, 1), "")</f>
        <v/>
      </c>
    </row>
    <row r="2892" spans="2:5" x14ac:dyDescent="0.45">
      <c r="B2892" s="1"/>
      <c r="E2892" s="45" t="str">
        <f>IFERROR(AVERAGEIFS('Picarro Output'!G:G, 'Picarro Output'!$B:$B, 'Uncalibrated Data'!$C2892, 'Picarro Output'!$I:$I, 0, 'Picarro Output'!$J:$J, 1), "")</f>
        <v/>
      </c>
    </row>
    <row r="2893" spans="2:5" x14ac:dyDescent="0.45">
      <c r="B2893" s="1"/>
      <c r="E2893" s="45" t="str">
        <f>IFERROR(AVERAGEIFS('Picarro Output'!G:G, 'Picarro Output'!$B:$B, 'Uncalibrated Data'!$C2893, 'Picarro Output'!$I:$I, 0, 'Picarro Output'!$J:$J, 1), "")</f>
        <v/>
      </c>
    </row>
    <row r="2894" spans="2:5" x14ac:dyDescent="0.45">
      <c r="B2894" s="1"/>
      <c r="E2894" s="45" t="str">
        <f>IFERROR(AVERAGEIFS('Picarro Output'!G:G, 'Picarro Output'!$B:$B, 'Uncalibrated Data'!$C2894, 'Picarro Output'!$I:$I, 0, 'Picarro Output'!$J:$J, 1), "")</f>
        <v/>
      </c>
    </row>
    <row r="2895" spans="2:5" x14ac:dyDescent="0.45">
      <c r="B2895" s="1"/>
      <c r="E2895" s="45" t="str">
        <f>IFERROR(AVERAGEIFS('Picarro Output'!G:G, 'Picarro Output'!$B:$B, 'Uncalibrated Data'!$C2895, 'Picarro Output'!$I:$I, 0, 'Picarro Output'!$J:$J, 1), "")</f>
        <v/>
      </c>
    </row>
    <row r="2896" spans="2:5" x14ac:dyDescent="0.45">
      <c r="B2896" s="1"/>
      <c r="E2896" s="45" t="str">
        <f>IFERROR(AVERAGEIFS('Picarro Output'!G:G, 'Picarro Output'!$B:$B, 'Uncalibrated Data'!$C2896, 'Picarro Output'!$I:$I, 0, 'Picarro Output'!$J:$J, 1), "")</f>
        <v/>
      </c>
    </row>
    <row r="2897" spans="2:5" x14ac:dyDescent="0.45">
      <c r="B2897" s="1"/>
      <c r="E2897" s="45" t="str">
        <f>IFERROR(AVERAGEIFS('Picarro Output'!G:G, 'Picarro Output'!$B:$B, 'Uncalibrated Data'!$C2897, 'Picarro Output'!$I:$I, 0, 'Picarro Output'!$J:$J, 1), "")</f>
        <v/>
      </c>
    </row>
    <row r="2898" spans="2:5" x14ac:dyDescent="0.45">
      <c r="B2898" s="1"/>
      <c r="E2898" s="45" t="str">
        <f>IFERROR(AVERAGEIFS('Picarro Output'!G:G, 'Picarro Output'!$B:$B, 'Uncalibrated Data'!$C2898, 'Picarro Output'!$I:$I, 0, 'Picarro Output'!$J:$J, 1), "")</f>
        <v/>
      </c>
    </row>
    <row r="2899" spans="2:5" x14ac:dyDescent="0.45">
      <c r="B2899" s="1"/>
      <c r="E2899" s="45" t="str">
        <f>IFERROR(AVERAGEIFS('Picarro Output'!G:G, 'Picarro Output'!$B:$B, 'Uncalibrated Data'!$C2899, 'Picarro Output'!$I:$I, 0, 'Picarro Output'!$J:$J, 1), "")</f>
        <v/>
      </c>
    </row>
    <row r="2900" spans="2:5" x14ac:dyDescent="0.45">
      <c r="B2900" s="1"/>
      <c r="E2900" s="45" t="str">
        <f>IFERROR(AVERAGEIFS('Picarro Output'!G:G, 'Picarro Output'!$B:$B, 'Uncalibrated Data'!$C2900, 'Picarro Output'!$I:$I, 0, 'Picarro Output'!$J:$J, 1), "")</f>
        <v/>
      </c>
    </row>
    <row r="2901" spans="2:5" x14ac:dyDescent="0.45">
      <c r="B2901" s="1"/>
      <c r="E2901" s="45" t="str">
        <f>IFERROR(AVERAGEIFS('Picarro Output'!G:G, 'Picarro Output'!$B:$B, 'Uncalibrated Data'!$C2901, 'Picarro Output'!$I:$I, 0, 'Picarro Output'!$J:$J, 1), "")</f>
        <v/>
      </c>
    </row>
    <row r="2902" spans="2:5" x14ac:dyDescent="0.45">
      <c r="B2902" s="1"/>
      <c r="E2902" s="45" t="str">
        <f>IFERROR(AVERAGEIFS('Picarro Output'!G:G, 'Picarro Output'!$B:$B, 'Uncalibrated Data'!$C2902, 'Picarro Output'!$I:$I, 0, 'Picarro Output'!$J:$J, 1), "")</f>
        <v/>
      </c>
    </row>
    <row r="2903" spans="2:5" x14ac:dyDescent="0.45">
      <c r="B2903" s="1"/>
      <c r="E2903" s="45" t="str">
        <f>IFERROR(AVERAGEIFS('Picarro Output'!G:G, 'Picarro Output'!$B:$B, 'Uncalibrated Data'!$C2903, 'Picarro Output'!$I:$I, 0, 'Picarro Output'!$J:$J, 1), "")</f>
        <v/>
      </c>
    </row>
    <row r="2904" spans="2:5" x14ac:dyDescent="0.45">
      <c r="B2904" s="1"/>
      <c r="E2904" s="45" t="str">
        <f>IFERROR(AVERAGEIFS('Picarro Output'!G:G, 'Picarro Output'!$B:$B, 'Uncalibrated Data'!$C2904, 'Picarro Output'!$I:$I, 0, 'Picarro Output'!$J:$J, 1), "")</f>
        <v/>
      </c>
    </row>
    <row r="2905" spans="2:5" x14ac:dyDescent="0.45">
      <c r="B2905" s="1"/>
      <c r="E2905" s="45" t="str">
        <f>IFERROR(AVERAGEIFS('Picarro Output'!G:G, 'Picarro Output'!$B:$B, 'Uncalibrated Data'!$C2905, 'Picarro Output'!$I:$I, 0, 'Picarro Output'!$J:$J, 1), "")</f>
        <v/>
      </c>
    </row>
    <row r="2906" spans="2:5" x14ac:dyDescent="0.45">
      <c r="B2906" s="1"/>
      <c r="E2906" s="45" t="str">
        <f>IFERROR(AVERAGEIFS('Picarro Output'!G:G, 'Picarro Output'!$B:$B, 'Uncalibrated Data'!$C2906, 'Picarro Output'!$I:$I, 0, 'Picarro Output'!$J:$J, 1), "")</f>
        <v/>
      </c>
    </row>
    <row r="2907" spans="2:5" x14ac:dyDescent="0.45">
      <c r="B2907" s="1"/>
      <c r="E2907" s="45" t="str">
        <f>IFERROR(AVERAGEIFS('Picarro Output'!G:G, 'Picarro Output'!$B:$B, 'Uncalibrated Data'!$C2907, 'Picarro Output'!$I:$I, 0, 'Picarro Output'!$J:$J, 1), "")</f>
        <v/>
      </c>
    </row>
    <row r="2908" spans="2:5" x14ac:dyDescent="0.45">
      <c r="B2908" s="1"/>
      <c r="E2908" s="45" t="str">
        <f>IFERROR(AVERAGEIFS('Picarro Output'!G:G, 'Picarro Output'!$B:$B, 'Uncalibrated Data'!$C2908, 'Picarro Output'!$I:$I, 0, 'Picarro Output'!$J:$J, 1), "")</f>
        <v/>
      </c>
    </row>
    <row r="2909" spans="2:5" x14ac:dyDescent="0.45">
      <c r="B2909" s="1"/>
      <c r="E2909" s="45" t="str">
        <f>IFERROR(AVERAGEIFS('Picarro Output'!G:G, 'Picarro Output'!$B:$B, 'Uncalibrated Data'!$C2909, 'Picarro Output'!$I:$I, 0, 'Picarro Output'!$J:$J, 1), "")</f>
        <v/>
      </c>
    </row>
    <row r="2910" spans="2:5" x14ac:dyDescent="0.45">
      <c r="B2910" s="1"/>
      <c r="E2910" s="45" t="str">
        <f>IFERROR(AVERAGEIFS('Picarro Output'!G:G, 'Picarro Output'!$B:$B, 'Uncalibrated Data'!$C2910, 'Picarro Output'!$I:$I, 0, 'Picarro Output'!$J:$J, 1), "")</f>
        <v/>
      </c>
    </row>
    <row r="2911" spans="2:5" x14ac:dyDescent="0.45">
      <c r="B2911" s="1"/>
      <c r="E2911" s="45" t="str">
        <f>IFERROR(AVERAGEIFS('Picarro Output'!G:G, 'Picarro Output'!$B:$B, 'Uncalibrated Data'!$C2911, 'Picarro Output'!$I:$I, 0, 'Picarro Output'!$J:$J, 1), "")</f>
        <v/>
      </c>
    </row>
    <row r="2912" spans="2:5" x14ac:dyDescent="0.45">
      <c r="B2912" s="1"/>
      <c r="E2912" s="45" t="str">
        <f>IFERROR(AVERAGEIFS('Picarro Output'!G:G, 'Picarro Output'!$B:$B, 'Uncalibrated Data'!$C2912, 'Picarro Output'!$I:$I, 0, 'Picarro Output'!$J:$J, 1), "")</f>
        <v/>
      </c>
    </row>
    <row r="2913" spans="2:5" x14ac:dyDescent="0.45">
      <c r="B2913" s="1"/>
      <c r="E2913" s="45" t="str">
        <f>IFERROR(AVERAGEIFS('Picarro Output'!G:G, 'Picarro Output'!$B:$B, 'Uncalibrated Data'!$C2913, 'Picarro Output'!$I:$I, 0, 'Picarro Output'!$J:$J, 1), "")</f>
        <v/>
      </c>
    </row>
    <row r="2914" spans="2:5" x14ac:dyDescent="0.45">
      <c r="B2914" s="1"/>
      <c r="E2914" s="45" t="str">
        <f>IFERROR(AVERAGEIFS('Picarro Output'!G:G, 'Picarro Output'!$B:$B, 'Uncalibrated Data'!$C2914, 'Picarro Output'!$I:$I, 0, 'Picarro Output'!$J:$J, 1), "")</f>
        <v/>
      </c>
    </row>
    <row r="2915" spans="2:5" x14ac:dyDescent="0.45">
      <c r="B2915" s="1"/>
      <c r="E2915" s="45" t="str">
        <f>IFERROR(AVERAGEIFS('Picarro Output'!G:G, 'Picarro Output'!$B:$B, 'Uncalibrated Data'!$C2915, 'Picarro Output'!$I:$I, 0, 'Picarro Output'!$J:$J, 1), "")</f>
        <v/>
      </c>
    </row>
    <row r="2916" spans="2:5" x14ac:dyDescent="0.45">
      <c r="B2916" s="1"/>
      <c r="E2916" s="45" t="str">
        <f>IFERROR(AVERAGEIFS('Picarro Output'!G:G, 'Picarro Output'!$B:$B, 'Uncalibrated Data'!$C2916, 'Picarro Output'!$I:$I, 0, 'Picarro Output'!$J:$J, 1), "")</f>
        <v/>
      </c>
    </row>
    <row r="2917" spans="2:5" x14ac:dyDescent="0.45">
      <c r="B2917" s="1"/>
      <c r="E2917" s="45" t="str">
        <f>IFERROR(AVERAGEIFS('Picarro Output'!G:G, 'Picarro Output'!$B:$B, 'Uncalibrated Data'!$C2917, 'Picarro Output'!$I:$I, 0, 'Picarro Output'!$J:$J, 1), "")</f>
        <v/>
      </c>
    </row>
    <row r="2918" spans="2:5" x14ac:dyDescent="0.45">
      <c r="B2918" s="1"/>
      <c r="E2918" s="45" t="str">
        <f>IFERROR(AVERAGEIFS('Picarro Output'!G:G, 'Picarro Output'!$B:$B, 'Uncalibrated Data'!$C2918, 'Picarro Output'!$I:$I, 0, 'Picarro Output'!$J:$J, 1), "")</f>
        <v/>
      </c>
    </row>
    <row r="2919" spans="2:5" x14ac:dyDescent="0.45">
      <c r="B2919" s="1"/>
      <c r="E2919" s="45" t="str">
        <f>IFERROR(AVERAGEIFS('Picarro Output'!G:G, 'Picarro Output'!$B:$B, 'Uncalibrated Data'!$C2919, 'Picarro Output'!$I:$I, 0, 'Picarro Output'!$J:$J, 1), "")</f>
        <v/>
      </c>
    </row>
    <row r="2920" spans="2:5" x14ac:dyDescent="0.45">
      <c r="B2920" s="1"/>
      <c r="E2920" s="45" t="str">
        <f>IFERROR(AVERAGEIFS('Picarro Output'!G:G, 'Picarro Output'!$B:$B, 'Uncalibrated Data'!$C2920, 'Picarro Output'!$I:$I, 0, 'Picarro Output'!$J:$J, 1), "")</f>
        <v/>
      </c>
    </row>
    <row r="2921" spans="2:5" x14ac:dyDescent="0.45">
      <c r="B2921" s="1"/>
      <c r="E2921" s="45" t="str">
        <f>IFERROR(AVERAGEIFS('Picarro Output'!G:G, 'Picarro Output'!$B:$B, 'Uncalibrated Data'!$C2921, 'Picarro Output'!$I:$I, 0, 'Picarro Output'!$J:$J, 1), "")</f>
        <v/>
      </c>
    </row>
    <row r="2922" spans="2:5" x14ac:dyDescent="0.45">
      <c r="B2922" s="1"/>
      <c r="E2922" s="45" t="str">
        <f>IFERROR(AVERAGEIFS('Picarro Output'!G:G, 'Picarro Output'!$B:$B, 'Uncalibrated Data'!$C2922, 'Picarro Output'!$I:$I, 0, 'Picarro Output'!$J:$J, 1), "")</f>
        <v/>
      </c>
    </row>
    <row r="2923" spans="2:5" x14ac:dyDescent="0.45">
      <c r="B2923" s="1"/>
      <c r="E2923" s="45" t="str">
        <f>IFERROR(AVERAGEIFS('Picarro Output'!G:G, 'Picarro Output'!$B:$B, 'Uncalibrated Data'!$C2923, 'Picarro Output'!$I:$I, 0, 'Picarro Output'!$J:$J, 1), "")</f>
        <v/>
      </c>
    </row>
    <row r="2924" spans="2:5" x14ac:dyDescent="0.45">
      <c r="B2924" s="1"/>
      <c r="E2924" s="45" t="str">
        <f>IFERROR(AVERAGEIFS('Picarro Output'!G:G, 'Picarro Output'!$B:$B, 'Uncalibrated Data'!$C2924, 'Picarro Output'!$I:$I, 0, 'Picarro Output'!$J:$J, 1), "")</f>
        <v/>
      </c>
    </row>
    <row r="2925" spans="2:5" x14ac:dyDescent="0.45">
      <c r="B2925" s="1"/>
      <c r="E2925" s="45" t="str">
        <f>IFERROR(AVERAGEIFS('Picarro Output'!G:G, 'Picarro Output'!$B:$B, 'Uncalibrated Data'!$C2925, 'Picarro Output'!$I:$I, 0, 'Picarro Output'!$J:$J, 1), "")</f>
        <v/>
      </c>
    </row>
    <row r="2926" spans="2:5" x14ac:dyDescent="0.45">
      <c r="B2926" s="1"/>
      <c r="E2926" s="45" t="str">
        <f>IFERROR(AVERAGEIFS('Picarro Output'!G:G, 'Picarro Output'!$B:$B, 'Uncalibrated Data'!$C2926, 'Picarro Output'!$I:$I, 0, 'Picarro Output'!$J:$J, 1), "")</f>
        <v/>
      </c>
    </row>
    <row r="2927" spans="2:5" x14ac:dyDescent="0.45">
      <c r="B2927" s="1"/>
      <c r="E2927" s="45" t="str">
        <f>IFERROR(AVERAGEIFS('Picarro Output'!G:G, 'Picarro Output'!$B:$B, 'Uncalibrated Data'!$C2927, 'Picarro Output'!$I:$I, 0, 'Picarro Output'!$J:$J, 1), "")</f>
        <v/>
      </c>
    </row>
    <row r="2928" spans="2:5" x14ac:dyDescent="0.45">
      <c r="B2928" s="1"/>
      <c r="E2928" s="45" t="str">
        <f>IFERROR(AVERAGEIFS('Picarro Output'!G:G, 'Picarro Output'!$B:$B, 'Uncalibrated Data'!$C2928, 'Picarro Output'!$I:$I, 0, 'Picarro Output'!$J:$J, 1), "")</f>
        <v/>
      </c>
    </row>
    <row r="2929" spans="2:5" x14ac:dyDescent="0.45">
      <c r="B2929" s="1"/>
      <c r="E2929" s="45" t="str">
        <f>IFERROR(AVERAGEIFS('Picarro Output'!G:G, 'Picarro Output'!$B:$B, 'Uncalibrated Data'!$C2929, 'Picarro Output'!$I:$I, 0, 'Picarro Output'!$J:$J, 1), "")</f>
        <v/>
      </c>
    </row>
    <row r="2930" spans="2:5" x14ac:dyDescent="0.45">
      <c r="B2930" s="1"/>
      <c r="E2930" s="45" t="str">
        <f>IFERROR(AVERAGEIFS('Picarro Output'!G:G, 'Picarro Output'!$B:$B, 'Uncalibrated Data'!$C2930, 'Picarro Output'!$I:$I, 0, 'Picarro Output'!$J:$J, 1), "")</f>
        <v/>
      </c>
    </row>
    <row r="2931" spans="2:5" x14ac:dyDescent="0.45">
      <c r="B2931" s="1"/>
      <c r="E2931" s="45" t="str">
        <f>IFERROR(AVERAGEIFS('Picarro Output'!G:G, 'Picarro Output'!$B:$B, 'Uncalibrated Data'!$C2931, 'Picarro Output'!$I:$I, 0, 'Picarro Output'!$J:$J, 1), "")</f>
        <v/>
      </c>
    </row>
    <row r="2932" spans="2:5" x14ac:dyDescent="0.45">
      <c r="B2932" s="1"/>
      <c r="E2932" s="45" t="str">
        <f>IFERROR(AVERAGEIFS('Picarro Output'!G:G, 'Picarro Output'!$B:$B, 'Uncalibrated Data'!$C2932, 'Picarro Output'!$I:$I, 0, 'Picarro Output'!$J:$J, 1), "")</f>
        <v/>
      </c>
    </row>
    <row r="2933" spans="2:5" x14ac:dyDescent="0.45">
      <c r="B2933" s="1"/>
      <c r="E2933" s="45" t="str">
        <f>IFERROR(AVERAGEIFS('Picarro Output'!G:G, 'Picarro Output'!$B:$B, 'Uncalibrated Data'!$C2933, 'Picarro Output'!$I:$I, 0, 'Picarro Output'!$J:$J, 1), "")</f>
        <v/>
      </c>
    </row>
    <row r="2934" spans="2:5" x14ac:dyDescent="0.45">
      <c r="B2934" s="1"/>
      <c r="E2934" s="45" t="str">
        <f>IFERROR(AVERAGEIFS('Picarro Output'!G:G, 'Picarro Output'!$B:$B, 'Uncalibrated Data'!$C2934, 'Picarro Output'!$I:$I, 0, 'Picarro Output'!$J:$J, 1), "")</f>
        <v/>
      </c>
    </row>
    <row r="2935" spans="2:5" x14ac:dyDescent="0.45">
      <c r="B2935" s="1"/>
      <c r="E2935" s="45" t="str">
        <f>IFERROR(AVERAGEIFS('Picarro Output'!G:G, 'Picarro Output'!$B:$B, 'Uncalibrated Data'!$C2935, 'Picarro Output'!$I:$I, 0, 'Picarro Output'!$J:$J, 1), "")</f>
        <v/>
      </c>
    </row>
    <row r="2936" spans="2:5" x14ac:dyDescent="0.45">
      <c r="B2936" s="1"/>
      <c r="E2936" s="45" t="str">
        <f>IFERROR(AVERAGEIFS('Picarro Output'!G:G, 'Picarro Output'!$B:$B, 'Uncalibrated Data'!$C2936, 'Picarro Output'!$I:$I, 0, 'Picarro Output'!$J:$J, 1), "")</f>
        <v/>
      </c>
    </row>
    <row r="2937" spans="2:5" x14ac:dyDescent="0.45">
      <c r="B2937" s="1"/>
      <c r="E2937" s="45" t="str">
        <f>IFERROR(AVERAGEIFS('Picarro Output'!G:G, 'Picarro Output'!$B:$B, 'Uncalibrated Data'!$C2937, 'Picarro Output'!$I:$I, 0, 'Picarro Output'!$J:$J, 1), "")</f>
        <v/>
      </c>
    </row>
    <row r="2938" spans="2:5" x14ac:dyDescent="0.45">
      <c r="B2938" s="1"/>
      <c r="E2938" s="45" t="str">
        <f>IFERROR(AVERAGEIFS('Picarro Output'!G:G, 'Picarro Output'!$B:$B, 'Uncalibrated Data'!$C2938, 'Picarro Output'!$I:$I, 0, 'Picarro Output'!$J:$J, 1), "")</f>
        <v/>
      </c>
    </row>
    <row r="2939" spans="2:5" x14ac:dyDescent="0.45">
      <c r="B2939" s="1"/>
      <c r="E2939" s="45" t="str">
        <f>IFERROR(AVERAGEIFS('Picarro Output'!G:G, 'Picarro Output'!$B:$B, 'Uncalibrated Data'!$C2939, 'Picarro Output'!$I:$I, 0, 'Picarro Output'!$J:$J, 1), "")</f>
        <v/>
      </c>
    </row>
    <row r="2940" spans="2:5" x14ac:dyDescent="0.45">
      <c r="B2940" s="1"/>
      <c r="E2940" s="45" t="str">
        <f>IFERROR(AVERAGEIFS('Picarro Output'!G:G, 'Picarro Output'!$B:$B, 'Uncalibrated Data'!$C2940, 'Picarro Output'!$I:$I, 0, 'Picarro Output'!$J:$J, 1), "")</f>
        <v/>
      </c>
    </row>
    <row r="2941" spans="2:5" x14ac:dyDescent="0.45">
      <c r="B2941" s="1"/>
      <c r="E2941" s="45" t="str">
        <f>IFERROR(AVERAGEIFS('Picarro Output'!G:G, 'Picarro Output'!$B:$B, 'Uncalibrated Data'!$C2941, 'Picarro Output'!$I:$I, 0, 'Picarro Output'!$J:$J, 1), "")</f>
        <v/>
      </c>
    </row>
    <row r="2942" spans="2:5" x14ac:dyDescent="0.45">
      <c r="B2942" s="1"/>
      <c r="E2942" s="45" t="str">
        <f>IFERROR(AVERAGEIFS('Picarro Output'!G:G, 'Picarro Output'!$B:$B, 'Uncalibrated Data'!$C2942, 'Picarro Output'!$I:$I, 0, 'Picarro Output'!$J:$J, 1), "")</f>
        <v/>
      </c>
    </row>
    <row r="2943" spans="2:5" x14ac:dyDescent="0.45">
      <c r="B2943" s="1"/>
      <c r="E2943" s="45" t="str">
        <f>IFERROR(AVERAGEIFS('Picarro Output'!G:G, 'Picarro Output'!$B:$B, 'Uncalibrated Data'!$C2943, 'Picarro Output'!$I:$I, 0, 'Picarro Output'!$J:$J, 1), "")</f>
        <v/>
      </c>
    </row>
    <row r="2944" spans="2:5" x14ac:dyDescent="0.45">
      <c r="B2944" s="1"/>
      <c r="E2944" s="45" t="str">
        <f>IFERROR(AVERAGEIFS('Picarro Output'!G:G, 'Picarro Output'!$B:$B, 'Uncalibrated Data'!$C2944, 'Picarro Output'!$I:$I, 0, 'Picarro Output'!$J:$J, 1), "")</f>
        <v/>
      </c>
    </row>
    <row r="2945" spans="2:5" x14ac:dyDescent="0.45">
      <c r="B2945" s="1"/>
      <c r="E2945" s="45" t="str">
        <f>IFERROR(AVERAGEIFS('Picarro Output'!G:G, 'Picarro Output'!$B:$B, 'Uncalibrated Data'!$C2945, 'Picarro Output'!$I:$I, 0, 'Picarro Output'!$J:$J, 1), "")</f>
        <v/>
      </c>
    </row>
    <row r="2946" spans="2:5" x14ac:dyDescent="0.45">
      <c r="B2946" s="1"/>
      <c r="E2946" s="45" t="str">
        <f>IFERROR(AVERAGEIFS('Picarro Output'!G:G, 'Picarro Output'!$B:$B, 'Uncalibrated Data'!$C2946, 'Picarro Output'!$I:$I, 0, 'Picarro Output'!$J:$J, 1), "")</f>
        <v/>
      </c>
    </row>
    <row r="2947" spans="2:5" x14ac:dyDescent="0.45">
      <c r="B2947" s="1"/>
      <c r="E2947" s="45" t="str">
        <f>IFERROR(AVERAGEIFS('Picarro Output'!G:G, 'Picarro Output'!$B:$B, 'Uncalibrated Data'!$C2947, 'Picarro Output'!$I:$I, 0, 'Picarro Output'!$J:$J, 1), "")</f>
        <v/>
      </c>
    </row>
    <row r="2948" spans="2:5" x14ac:dyDescent="0.45">
      <c r="B2948" s="1"/>
      <c r="E2948" s="45" t="str">
        <f>IFERROR(AVERAGEIFS('Picarro Output'!G:G, 'Picarro Output'!$B:$B, 'Uncalibrated Data'!$C2948, 'Picarro Output'!$I:$I, 0, 'Picarro Output'!$J:$J, 1), "")</f>
        <v/>
      </c>
    </row>
    <row r="2949" spans="2:5" x14ac:dyDescent="0.45">
      <c r="B2949" s="1"/>
      <c r="E2949" s="45" t="str">
        <f>IFERROR(AVERAGEIFS('Picarro Output'!G:G, 'Picarro Output'!$B:$B, 'Uncalibrated Data'!$C2949, 'Picarro Output'!$I:$I, 0, 'Picarro Output'!$J:$J, 1), "")</f>
        <v/>
      </c>
    </row>
    <row r="2950" spans="2:5" x14ac:dyDescent="0.45">
      <c r="B2950" s="1"/>
      <c r="E2950" s="45" t="str">
        <f>IFERROR(AVERAGEIFS('Picarro Output'!G:G, 'Picarro Output'!$B:$B, 'Uncalibrated Data'!$C2950, 'Picarro Output'!$I:$I, 0, 'Picarro Output'!$J:$J, 1), "")</f>
        <v/>
      </c>
    </row>
    <row r="2951" spans="2:5" x14ac:dyDescent="0.45">
      <c r="B2951" s="1"/>
      <c r="E2951" s="45" t="str">
        <f>IFERROR(AVERAGEIFS('Picarro Output'!G:G, 'Picarro Output'!$B:$B, 'Uncalibrated Data'!$C2951, 'Picarro Output'!$I:$I, 0, 'Picarro Output'!$J:$J, 1), "")</f>
        <v/>
      </c>
    </row>
    <row r="2952" spans="2:5" x14ac:dyDescent="0.45">
      <c r="B2952" s="1"/>
      <c r="E2952" s="45" t="str">
        <f>IFERROR(AVERAGEIFS('Picarro Output'!G:G, 'Picarro Output'!$B:$B, 'Uncalibrated Data'!$C2952, 'Picarro Output'!$I:$I, 0, 'Picarro Output'!$J:$J, 1), "")</f>
        <v/>
      </c>
    </row>
    <row r="2953" spans="2:5" x14ac:dyDescent="0.45">
      <c r="B2953" s="1"/>
      <c r="E2953" s="45" t="str">
        <f>IFERROR(AVERAGEIFS('Picarro Output'!G:G, 'Picarro Output'!$B:$B, 'Uncalibrated Data'!$C2953, 'Picarro Output'!$I:$I, 0, 'Picarro Output'!$J:$J, 1), "")</f>
        <v/>
      </c>
    </row>
    <row r="2954" spans="2:5" x14ac:dyDescent="0.45">
      <c r="B2954" s="1"/>
      <c r="E2954" s="45" t="str">
        <f>IFERROR(AVERAGEIFS('Picarro Output'!G:G, 'Picarro Output'!$B:$B, 'Uncalibrated Data'!$C2954, 'Picarro Output'!$I:$I, 0, 'Picarro Output'!$J:$J, 1), "")</f>
        <v/>
      </c>
    </row>
    <row r="2955" spans="2:5" x14ac:dyDescent="0.45">
      <c r="B2955" s="1"/>
      <c r="E2955" s="45" t="str">
        <f>IFERROR(AVERAGEIFS('Picarro Output'!G:G, 'Picarro Output'!$B:$B, 'Uncalibrated Data'!$C2955, 'Picarro Output'!$I:$I, 0, 'Picarro Output'!$J:$J, 1), "")</f>
        <v/>
      </c>
    </row>
    <row r="2956" spans="2:5" x14ac:dyDescent="0.45">
      <c r="B2956" s="1"/>
      <c r="E2956" s="45" t="str">
        <f>IFERROR(AVERAGEIFS('Picarro Output'!G:G, 'Picarro Output'!$B:$B, 'Uncalibrated Data'!$C2956, 'Picarro Output'!$I:$I, 0, 'Picarro Output'!$J:$J, 1), "")</f>
        <v/>
      </c>
    </row>
    <row r="2957" spans="2:5" x14ac:dyDescent="0.45">
      <c r="B2957" s="1"/>
      <c r="E2957" s="45" t="str">
        <f>IFERROR(AVERAGEIFS('Picarro Output'!G:G, 'Picarro Output'!$B:$B, 'Uncalibrated Data'!$C2957, 'Picarro Output'!$I:$I, 0, 'Picarro Output'!$J:$J, 1), "")</f>
        <v/>
      </c>
    </row>
    <row r="2958" spans="2:5" x14ac:dyDescent="0.45">
      <c r="B2958" s="1"/>
      <c r="E2958" s="45" t="str">
        <f>IFERROR(AVERAGEIFS('Picarro Output'!G:G, 'Picarro Output'!$B:$B, 'Uncalibrated Data'!$C2958, 'Picarro Output'!$I:$I, 0, 'Picarro Output'!$J:$J, 1), "")</f>
        <v/>
      </c>
    </row>
    <row r="2959" spans="2:5" x14ac:dyDescent="0.45">
      <c r="B2959" s="1"/>
      <c r="E2959" s="45" t="str">
        <f>IFERROR(AVERAGEIFS('Picarro Output'!G:G, 'Picarro Output'!$B:$B, 'Uncalibrated Data'!$C2959, 'Picarro Output'!$I:$I, 0, 'Picarro Output'!$J:$J, 1), "")</f>
        <v/>
      </c>
    </row>
    <row r="2960" spans="2:5" x14ac:dyDescent="0.45">
      <c r="B2960" s="1"/>
      <c r="E2960" s="45" t="str">
        <f>IFERROR(AVERAGEIFS('Picarro Output'!G:G, 'Picarro Output'!$B:$B, 'Uncalibrated Data'!$C2960, 'Picarro Output'!$I:$I, 0, 'Picarro Output'!$J:$J, 1), "")</f>
        <v/>
      </c>
    </row>
    <row r="2961" spans="2:5" x14ac:dyDescent="0.45">
      <c r="B2961" s="1"/>
      <c r="E2961" s="45" t="str">
        <f>IFERROR(AVERAGEIFS('Picarro Output'!G:G, 'Picarro Output'!$B:$B, 'Uncalibrated Data'!$C2961, 'Picarro Output'!$I:$I, 0, 'Picarro Output'!$J:$J, 1), "")</f>
        <v/>
      </c>
    </row>
    <row r="2962" spans="2:5" x14ac:dyDescent="0.45">
      <c r="B2962" s="1"/>
      <c r="E2962" s="45" t="str">
        <f>IFERROR(AVERAGEIFS('Picarro Output'!G:G, 'Picarro Output'!$B:$B, 'Uncalibrated Data'!$C2962, 'Picarro Output'!$I:$I, 0, 'Picarro Output'!$J:$J, 1), "")</f>
        <v/>
      </c>
    </row>
    <row r="2963" spans="2:5" x14ac:dyDescent="0.45">
      <c r="B2963" s="1"/>
      <c r="E2963" s="45" t="str">
        <f>IFERROR(AVERAGEIFS('Picarro Output'!G:G, 'Picarro Output'!$B:$B, 'Uncalibrated Data'!$C2963, 'Picarro Output'!$I:$I, 0, 'Picarro Output'!$J:$J, 1), "")</f>
        <v/>
      </c>
    </row>
    <row r="2964" spans="2:5" x14ac:dyDescent="0.45">
      <c r="B2964" s="1"/>
      <c r="E2964" s="45" t="str">
        <f>IFERROR(AVERAGEIFS('Picarro Output'!G:G, 'Picarro Output'!$B:$B, 'Uncalibrated Data'!$C2964, 'Picarro Output'!$I:$I, 0, 'Picarro Output'!$J:$J, 1), "")</f>
        <v/>
      </c>
    </row>
    <row r="2965" spans="2:5" x14ac:dyDescent="0.45">
      <c r="B2965" s="1"/>
      <c r="E2965" s="45" t="str">
        <f>IFERROR(AVERAGEIFS('Picarro Output'!G:G, 'Picarro Output'!$B:$B, 'Uncalibrated Data'!$C2965, 'Picarro Output'!$I:$I, 0, 'Picarro Output'!$J:$J, 1), "")</f>
        <v/>
      </c>
    </row>
    <row r="2966" spans="2:5" x14ac:dyDescent="0.45">
      <c r="B2966" s="1"/>
      <c r="E2966" s="45" t="str">
        <f>IFERROR(AVERAGEIFS('Picarro Output'!G:G, 'Picarro Output'!$B:$B, 'Uncalibrated Data'!$C2966, 'Picarro Output'!$I:$I, 0, 'Picarro Output'!$J:$J, 1), "")</f>
        <v/>
      </c>
    </row>
    <row r="2967" spans="2:5" x14ac:dyDescent="0.45">
      <c r="B2967" s="1"/>
      <c r="E2967" s="45" t="str">
        <f>IFERROR(AVERAGEIFS('Picarro Output'!G:G, 'Picarro Output'!$B:$B, 'Uncalibrated Data'!$C2967, 'Picarro Output'!$I:$I, 0, 'Picarro Output'!$J:$J, 1), "")</f>
        <v/>
      </c>
    </row>
    <row r="2968" spans="2:5" x14ac:dyDescent="0.45">
      <c r="B2968" s="1"/>
      <c r="E2968" s="45" t="str">
        <f>IFERROR(AVERAGEIFS('Picarro Output'!G:G, 'Picarro Output'!$B:$B, 'Uncalibrated Data'!$C2968, 'Picarro Output'!$I:$I, 0, 'Picarro Output'!$J:$J, 1), "")</f>
        <v/>
      </c>
    </row>
    <row r="2969" spans="2:5" x14ac:dyDescent="0.45">
      <c r="B2969" s="1"/>
      <c r="E2969" s="45" t="str">
        <f>IFERROR(AVERAGEIFS('Picarro Output'!G:G, 'Picarro Output'!$B:$B, 'Uncalibrated Data'!$C2969, 'Picarro Output'!$I:$I, 0, 'Picarro Output'!$J:$J, 1), "")</f>
        <v/>
      </c>
    </row>
    <row r="2970" spans="2:5" x14ac:dyDescent="0.45">
      <c r="B2970" s="1"/>
      <c r="E2970" s="45" t="str">
        <f>IFERROR(AVERAGEIFS('Picarro Output'!G:G, 'Picarro Output'!$B:$B, 'Uncalibrated Data'!$C2970, 'Picarro Output'!$I:$I, 0, 'Picarro Output'!$J:$J, 1), "")</f>
        <v/>
      </c>
    </row>
    <row r="2971" spans="2:5" x14ac:dyDescent="0.45">
      <c r="B2971" s="1"/>
      <c r="E2971" s="45" t="str">
        <f>IFERROR(AVERAGEIFS('Picarro Output'!G:G, 'Picarro Output'!$B:$B, 'Uncalibrated Data'!$C2971, 'Picarro Output'!$I:$I, 0, 'Picarro Output'!$J:$J, 1), "")</f>
        <v/>
      </c>
    </row>
    <row r="2972" spans="2:5" x14ac:dyDescent="0.45">
      <c r="B2972" s="1"/>
      <c r="E2972" s="45" t="str">
        <f>IFERROR(AVERAGEIFS('Picarro Output'!G:G, 'Picarro Output'!$B:$B, 'Uncalibrated Data'!$C2972, 'Picarro Output'!$I:$I, 0, 'Picarro Output'!$J:$J, 1), "")</f>
        <v/>
      </c>
    </row>
    <row r="2973" spans="2:5" x14ac:dyDescent="0.45">
      <c r="B2973" s="1"/>
      <c r="E2973" s="45" t="str">
        <f>IFERROR(AVERAGEIFS('Picarro Output'!G:G, 'Picarro Output'!$B:$B, 'Uncalibrated Data'!$C2973, 'Picarro Output'!$I:$I, 0, 'Picarro Output'!$J:$J, 1), "")</f>
        <v/>
      </c>
    </row>
    <row r="2974" spans="2:5" x14ac:dyDescent="0.45">
      <c r="B2974" s="1"/>
      <c r="E2974" s="45" t="str">
        <f>IFERROR(AVERAGEIFS('Picarro Output'!G:G, 'Picarro Output'!$B:$B, 'Uncalibrated Data'!$C2974, 'Picarro Output'!$I:$I, 0, 'Picarro Output'!$J:$J, 1), "")</f>
        <v/>
      </c>
    </row>
    <row r="2975" spans="2:5" x14ac:dyDescent="0.45">
      <c r="B2975" s="1"/>
      <c r="E2975" s="45" t="str">
        <f>IFERROR(AVERAGEIFS('Picarro Output'!G:G, 'Picarro Output'!$B:$B, 'Uncalibrated Data'!$C2975, 'Picarro Output'!$I:$I, 0, 'Picarro Output'!$J:$J, 1), "")</f>
        <v/>
      </c>
    </row>
    <row r="2976" spans="2:5" x14ac:dyDescent="0.45">
      <c r="B2976" s="1"/>
      <c r="E2976" s="45" t="str">
        <f>IFERROR(AVERAGEIFS('Picarro Output'!G:G, 'Picarro Output'!$B:$B, 'Uncalibrated Data'!$C2976, 'Picarro Output'!$I:$I, 0, 'Picarro Output'!$J:$J, 1), "")</f>
        <v/>
      </c>
    </row>
    <row r="2977" spans="2:5" x14ac:dyDescent="0.45">
      <c r="B2977" s="1"/>
      <c r="E2977" s="45" t="str">
        <f>IFERROR(AVERAGEIFS('Picarro Output'!G:G, 'Picarro Output'!$B:$B, 'Uncalibrated Data'!$C2977, 'Picarro Output'!$I:$I, 0, 'Picarro Output'!$J:$J, 1), "")</f>
        <v/>
      </c>
    </row>
    <row r="2978" spans="2:5" x14ac:dyDescent="0.45">
      <c r="B2978" s="1"/>
      <c r="E2978" s="45" t="str">
        <f>IFERROR(AVERAGEIFS('Picarro Output'!G:G, 'Picarro Output'!$B:$B, 'Uncalibrated Data'!$C2978, 'Picarro Output'!$I:$I, 0, 'Picarro Output'!$J:$J, 1), "")</f>
        <v/>
      </c>
    </row>
    <row r="2979" spans="2:5" x14ac:dyDescent="0.45">
      <c r="B2979" s="1"/>
      <c r="E2979" s="45" t="str">
        <f>IFERROR(AVERAGEIFS('Picarro Output'!G:G, 'Picarro Output'!$B:$B, 'Uncalibrated Data'!$C2979, 'Picarro Output'!$I:$I, 0, 'Picarro Output'!$J:$J, 1), "")</f>
        <v/>
      </c>
    </row>
    <row r="2980" spans="2:5" x14ac:dyDescent="0.45">
      <c r="B2980" s="1"/>
      <c r="E2980" s="45" t="str">
        <f>IFERROR(AVERAGEIFS('Picarro Output'!G:G, 'Picarro Output'!$B:$B, 'Uncalibrated Data'!$C2980, 'Picarro Output'!$I:$I, 0, 'Picarro Output'!$J:$J, 1), "")</f>
        <v/>
      </c>
    </row>
    <row r="2981" spans="2:5" x14ac:dyDescent="0.45">
      <c r="B2981" s="1"/>
      <c r="E2981" s="45" t="str">
        <f>IFERROR(AVERAGEIFS('Picarro Output'!G:G, 'Picarro Output'!$B:$B, 'Uncalibrated Data'!$C2981, 'Picarro Output'!$I:$I, 0, 'Picarro Output'!$J:$J, 1), "")</f>
        <v/>
      </c>
    </row>
    <row r="2982" spans="2:5" x14ac:dyDescent="0.45">
      <c r="B2982" s="1"/>
      <c r="E2982" s="45" t="str">
        <f>IFERROR(AVERAGEIFS('Picarro Output'!G:G, 'Picarro Output'!$B:$B, 'Uncalibrated Data'!$C2982, 'Picarro Output'!$I:$I, 0, 'Picarro Output'!$J:$J, 1), "")</f>
        <v/>
      </c>
    </row>
    <row r="2983" spans="2:5" x14ac:dyDescent="0.45">
      <c r="B2983" s="1"/>
      <c r="E2983" s="45" t="str">
        <f>IFERROR(AVERAGEIFS('Picarro Output'!G:G, 'Picarro Output'!$B:$B, 'Uncalibrated Data'!$C2983, 'Picarro Output'!$I:$I, 0, 'Picarro Output'!$J:$J, 1), "")</f>
        <v/>
      </c>
    </row>
    <row r="2984" spans="2:5" x14ac:dyDescent="0.45">
      <c r="B2984" s="1"/>
      <c r="E2984" s="45" t="str">
        <f>IFERROR(AVERAGEIFS('Picarro Output'!G:G, 'Picarro Output'!$B:$B, 'Uncalibrated Data'!$C2984, 'Picarro Output'!$I:$I, 0, 'Picarro Output'!$J:$J, 1), "")</f>
        <v/>
      </c>
    </row>
    <row r="2985" spans="2:5" x14ac:dyDescent="0.45">
      <c r="B2985" s="1"/>
      <c r="E2985" s="45" t="str">
        <f>IFERROR(AVERAGEIFS('Picarro Output'!G:G, 'Picarro Output'!$B:$B, 'Uncalibrated Data'!$C2985, 'Picarro Output'!$I:$I, 0, 'Picarro Output'!$J:$J, 1), "")</f>
        <v/>
      </c>
    </row>
    <row r="2986" spans="2:5" x14ac:dyDescent="0.45">
      <c r="B2986" s="1"/>
      <c r="E2986" s="45" t="str">
        <f>IFERROR(AVERAGEIFS('Picarro Output'!G:G, 'Picarro Output'!$B:$B, 'Uncalibrated Data'!$C2986, 'Picarro Output'!$I:$I, 0, 'Picarro Output'!$J:$J, 1), "")</f>
        <v/>
      </c>
    </row>
    <row r="2987" spans="2:5" x14ac:dyDescent="0.45">
      <c r="B2987" s="1"/>
      <c r="E2987" s="45" t="str">
        <f>IFERROR(AVERAGEIFS('Picarro Output'!G:G, 'Picarro Output'!$B:$B, 'Uncalibrated Data'!$C2987, 'Picarro Output'!$I:$I, 0, 'Picarro Output'!$J:$J, 1), "")</f>
        <v/>
      </c>
    </row>
    <row r="2988" spans="2:5" x14ac:dyDescent="0.45">
      <c r="B2988" s="1"/>
      <c r="E2988" s="45" t="str">
        <f>IFERROR(AVERAGEIFS('Picarro Output'!G:G, 'Picarro Output'!$B:$B, 'Uncalibrated Data'!$C2988, 'Picarro Output'!$I:$I, 0, 'Picarro Output'!$J:$J, 1), "")</f>
        <v/>
      </c>
    </row>
    <row r="2989" spans="2:5" x14ac:dyDescent="0.45">
      <c r="B2989" s="1"/>
      <c r="E2989" s="45" t="str">
        <f>IFERROR(AVERAGEIFS('Picarro Output'!G:G, 'Picarro Output'!$B:$B, 'Uncalibrated Data'!$C2989, 'Picarro Output'!$I:$I, 0, 'Picarro Output'!$J:$J, 1), "")</f>
        <v/>
      </c>
    </row>
    <row r="2990" spans="2:5" x14ac:dyDescent="0.45">
      <c r="B2990" s="1"/>
      <c r="E2990" s="45" t="str">
        <f>IFERROR(AVERAGEIFS('Picarro Output'!G:G, 'Picarro Output'!$B:$B, 'Uncalibrated Data'!$C2990, 'Picarro Output'!$I:$I, 0, 'Picarro Output'!$J:$J, 1), "")</f>
        <v/>
      </c>
    </row>
    <row r="2991" spans="2:5" x14ac:dyDescent="0.45">
      <c r="B2991" s="1"/>
      <c r="E2991" s="45" t="str">
        <f>IFERROR(AVERAGEIFS('Picarro Output'!G:G, 'Picarro Output'!$B:$B, 'Uncalibrated Data'!$C2991, 'Picarro Output'!$I:$I, 0, 'Picarro Output'!$J:$J, 1), "")</f>
        <v/>
      </c>
    </row>
    <row r="2992" spans="2:5" x14ac:dyDescent="0.45">
      <c r="B2992" s="1"/>
      <c r="E2992" s="45" t="str">
        <f>IFERROR(AVERAGEIFS('Picarro Output'!G:G, 'Picarro Output'!$B:$B, 'Uncalibrated Data'!$C2992, 'Picarro Output'!$I:$I, 0, 'Picarro Output'!$J:$J, 1), "")</f>
        <v/>
      </c>
    </row>
    <row r="2993" spans="2:5" x14ac:dyDescent="0.45">
      <c r="B2993" s="1"/>
      <c r="E2993" s="45" t="str">
        <f>IFERROR(AVERAGEIFS('Picarro Output'!G:G, 'Picarro Output'!$B:$B, 'Uncalibrated Data'!$C2993, 'Picarro Output'!$I:$I, 0, 'Picarro Output'!$J:$J, 1), "")</f>
        <v/>
      </c>
    </row>
    <row r="2994" spans="2:5" x14ac:dyDescent="0.45">
      <c r="B2994" s="1"/>
      <c r="E2994" s="45" t="str">
        <f>IFERROR(AVERAGEIFS('Picarro Output'!G:G, 'Picarro Output'!$B:$B, 'Uncalibrated Data'!$C2994, 'Picarro Output'!$I:$I, 0, 'Picarro Output'!$J:$J, 1), "")</f>
        <v/>
      </c>
    </row>
    <row r="2995" spans="2:5" x14ac:dyDescent="0.45">
      <c r="B2995" s="1"/>
      <c r="E2995" s="45" t="str">
        <f>IFERROR(AVERAGEIFS('Picarro Output'!G:G, 'Picarro Output'!$B:$B, 'Uncalibrated Data'!$C2995, 'Picarro Output'!$I:$I, 0, 'Picarro Output'!$J:$J, 1), "")</f>
        <v/>
      </c>
    </row>
    <row r="2996" spans="2:5" x14ac:dyDescent="0.45">
      <c r="B2996" s="1"/>
      <c r="E2996" s="45" t="str">
        <f>IFERROR(AVERAGEIFS('Picarro Output'!G:G, 'Picarro Output'!$B:$B, 'Uncalibrated Data'!$C2996, 'Picarro Output'!$I:$I, 0, 'Picarro Output'!$J:$J, 1), "")</f>
        <v/>
      </c>
    </row>
    <row r="2997" spans="2:5" x14ac:dyDescent="0.45">
      <c r="B2997" s="1"/>
      <c r="E2997" s="45" t="str">
        <f>IFERROR(AVERAGEIFS('Picarro Output'!G:G, 'Picarro Output'!$B:$B, 'Uncalibrated Data'!$C2997, 'Picarro Output'!$I:$I, 0, 'Picarro Output'!$J:$J, 1), "")</f>
        <v/>
      </c>
    </row>
    <row r="2998" spans="2:5" x14ac:dyDescent="0.45">
      <c r="B2998" s="1"/>
      <c r="E2998" s="45" t="str">
        <f>IFERROR(AVERAGEIFS('Picarro Output'!G:G, 'Picarro Output'!$B:$B, 'Uncalibrated Data'!$C2998, 'Picarro Output'!$I:$I, 0, 'Picarro Output'!$J:$J, 1), "")</f>
        <v/>
      </c>
    </row>
    <row r="2999" spans="2:5" x14ac:dyDescent="0.45">
      <c r="B2999" s="1"/>
      <c r="E2999" s="45" t="str">
        <f>IFERROR(AVERAGEIFS('Picarro Output'!G:G, 'Picarro Output'!$B:$B, 'Uncalibrated Data'!$C2999, 'Picarro Output'!$I:$I, 0, 'Picarro Output'!$J:$J, 1), "")</f>
        <v/>
      </c>
    </row>
    <row r="3000" spans="2:5" x14ac:dyDescent="0.45">
      <c r="B3000" s="1"/>
      <c r="E3000" s="45" t="str">
        <f>IFERROR(AVERAGEIFS('Picarro Output'!G:G, 'Picarro Output'!$B:$B, 'Uncalibrated Data'!$C3000, 'Picarro Output'!$I:$I, 0, 'Picarro Output'!$J:$J, 1), "")</f>
        <v/>
      </c>
    </row>
    <row r="3001" spans="2:5" x14ac:dyDescent="0.45">
      <c r="B3001" s="1"/>
      <c r="E3001" s="45" t="str">
        <f>IFERROR(AVERAGEIFS('Picarro Output'!G:G, 'Picarro Output'!$B:$B, 'Uncalibrated Data'!$C3001, 'Picarro Output'!$I:$I, 0, 'Picarro Output'!$J:$J, 1), "")</f>
        <v/>
      </c>
    </row>
    <row r="3002" spans="2:5" x14ac:dyDescent="0.45">
      <c r="B3002" s="1"/>
      <c r="E3002" s="45" t="str">
        <f>IFERROR(AVERAGEIFS('Picarro Output'!G:G, 'Picarro Output'!$B:$B, 'Uncalibrated Data'!$C3002, 'Picarro Output'!$I:$I, 0, 'Picarro Output'!$J:$J, 1), "")</f>
        <v/>
      </c>
    </row>
    <row r="3003" spans="2:5" x14ac:dyDescent="0.45">
      <c r="B3003" s="1"/>
      <c r="E3003" s="45" t="str">
        <f>IFERROR(AVERAGEIFS('Picarro Output'!G:G, 'Picarro Output'!$B:$B, 'Uncalibrated Data'!$C3003, 'Picarro Output'!$I:$I, 0, 'Picarro Output'!$J:$J, 1), "")</f>
        <v/>
      </c>
    </row>
    <row r="3004" spans="2:5" x14ac:dyDescent="0.45">
      <c r="B3004" s="1"/>
      <c r="E3004" s="45" t="str">
        <f>IFERROR(AVERAGEIFS('Picarro Output'!G:G, 'Picarro Output'!$B:$B, 'Uncalibrated Data'!$C3004, 'Picarro Output'!$I:$I, 0, 'Picarro Output'!$J:$J, 1), "")</f>
        <v/>
      </c>
    </row>
    <row r="3005" spans="2:5" x14ac:dyDescent="0.45">
      <c r="B3005" s="1"/>
      <c r="E3005" s="45" t="str">
        <f>IFERROR(AVERAGEIFS('Picarro Output'!G:G, 'Picarro Output'!$B:$B, 'Uncalibrated Data'!$C3005, 'Picarro Output'!$I:$I, 0, 'Picarro Output'!$J:$J, 1), "")</f>
        <v/>
      </c>
    </row>
    <row r="3006" spans="2:5" x14ac:dyDescent="0.45">
      <c r="B3006" s="1"/>
      <c r="E3006" s="45" t="str">
        <f>IFERROR(AVERAGEIFS('Picarro Output'!G:G, 'Picarro Output'!$B:$B, 'Uncalibrated Data'!$C3006, 'Picarro Output'!$I:$I, 0, 'Picarro Output'!$J:$J, 1), "")</f>
        <v/>
      </c>
    </row>
    <row r="3007" spans="2:5" x14ac:dyDescent="0.45">
      <c r="B3007" s="1"/>
      <c r="E3007" s="45" t="str">
        <f>IFERROR(AVERAGEIFS('Picarro Output'!G:G, 'Picarro Output'!$B:$B, 'Uncalibrated Data'!$C3007, 'Picarro Output'!$I:$I, 0, 'Picarro Output'!$J:$J, 1), "")</f>
        <v/>
      </c>
    </row>
    <row r="3008" spans="2:5" x14ac:dyDescent="0.45">
      <c r="B3008" s="1"/>
      <c r="E3008" s="45" t="str">
        <f>IFERROR(AVERAGEIFS('Picarro Output'!G:G, 'Picarro Output'!$B:$B, 'Uncalibrated Data'!$C3008, 'Picarro Output'!$I:$I, 0, 'Picarro Output'!$J:$J, 1), "")</f>
        <v/>
      </c>
    </row>
    <row r="3009" spans="2:5" x14ac:dyDescent="0.45">
      <c r="B3009" s="1"/>
      <c r="E3009" s="45" t="str">
        <f>IFERROR(AVERAGEIFS('Picarro Output'!G:G, 'Picarro Output'!$B:$B, 'Uncalibrated Data'!$C3009, 'Picarro Output'!$I:$I, 0, 'Picarro Output'!$J:$J, 1), "")</f>
        <v/>
      </c>
    </row>
    <row r="3010" spans="2:5" x14ac:dyDescent="0.45">
      <c r="B3010" s="1"/>
      <c r="E3010" s="45" t="str">
        <f>IFERROR(AVERAGEIFS('Picarro Output'!G:G, 'Picarro Output'!$B:$B, 'Uncalibrated Data'!$C3010, 'Picarro Output'!$I:$I, 0, 'Picarro Output'!$J:$J, 1), "")</f>
        <v/>
      </c>
    </row>
    <row r="3011" spans="2:5" x14ac:dyDescent="0.45">
      <c r="B3011" s="1"/>
      <c r="E3011" s="45" t="str">
        <f>IFERROR(AVERAGEIFS('Picarro Output'!G:G, 'Picarro Output'!$B:$B, 'Uncalibrated Data'!$C3011, 'Picarro Output'!$I:$I, 0, 'Picarro Output'!$J:$J, 1), "")</f>
        <v/>
      </c>
    </row>
    <row r="3012" spans="2:5" x14ac:dyDescent="0.45">
      <c r="B3012" s="1"/>
      <c r="E3012" s="45" t="str">
        <f>IFERROR(AVERAGEIFS('Picarro Output'!G:G, 'Picarro Output'!$B:$B, 'Uncalibrated Data'!$C3012, 'Picarro Output'!$I:$I, 0, 'Picarro Output'!$J:$J, 1), "")</f>
        <v/>
      </c>
    </row>
    <row r="3013" spans="2:5" x14ac:dyDescent="0.45">
      <c r="B3013" s="1"/>
      <c r="E3013" s="45" t="str">
        <f>IFERROR(AVERAGEIFS('Picarro Output'!G:G, 'Picarro Output'!$B:$B, 'Uncalibrated Data'!$C3013, 'Picarro Output'!$I:$I, 0, 'Picarro Output'!$J:$J, 1), "")</f>
        <v/>
      </c>
    </row>
    <row r="3014" spans="2:5" x14ac:dyDescent="0.45">
      <c r="B3014" s="1"/>
      <c r="E3014" s="45" t="str">
        <f>IFERROR(AVERAGEIFS('Picarro Output'!G:G, 'Picarro Output'!$B:$B, 'Uncalibrated Data'!$C3014, 'Picarro Output'!$I:$I, 0, 'Picarro Output'!$J:$J, 1), "")</f>
        <v/>
      </c>
    </row>
    <row r="3015" spans="2:5" x14ac:dyDescent="0.45">
      <c r="B3015" s="1"/>
      <c r="E3015" s="45" t="str">
        <f>IFERROR(AVERAGEIFS('Picarro Output'!G:G, 'Picarro Output'!$B:$B, 'Uncalibrated Data'!$C3015, 'Picarro Output'!$I:$I, 0, 'Picarro Output'!$J:$J, 1), "")</f>
        <v/>
      </c>
    </row>
    <row r="3016" spans="2:5" x14ac:dyDescent="0.45">
      <c r="B3016" s="1"/>
      <c r="E3016" s="45" t="str">
        <f>IFERROR(AVERAGEIFS('Picarro Output'!G:G, 'Picarro Output'!$B:$B, 'Uncalibrated Data'!$C3016, 'Picarro Output'!$I:$I, 0, 'Picarro Output'!$J:$J, 1), "")</f>
        <v/>
      </c>
    </row>
    <row r="3017" spans="2:5" x14ac:dyDescent="0.45">
      <c r="B3017" s="1"/>
      <c r="E3017" s="45" t="str">
        <f>IFERROR(AVERAGEIFS('Picarro Output'!G:G, 'Picarro Output'!$B:$B, 'Uncalibrated Data'!$C3017, 'Picarro Output'!$I:$I, 0, 'Picarro Output'!$J:$J, 1), "")</f>
        <v/>
      </c>
    </row>
    <row r="3018" spans="2:5" x14ac:dyDescent="0.45">
      <c r="B3018" s="1"/>
      <c r="E3018" s="45" t="str">
        <f>IFERROR(AVERAGEIFS('Picarro Output'!G:G, 'Picarro Output'!$B:$B, 'Uncalibrated Data'!$C3018, 'Picarro Output'!$I:$I, 0, 'Picarro Output'!$J:$J, 1), "")</f>
        <v/>
      </c>
    </row>
    <row r="3019" spans="2:5" x14ac:dyDescent="0.45">
      <c r="B3019" s="1"/>
      <c r="E3019" s="45" t="str">
        <f>IFERROR(AVERAGEIFS('Picarro Output'!G:G, 'Picarro Output'!$B:$B, 'Uncalibrated Data'!$C3019, 'Picarro Output'!$I:$I, 0, 'Picarro Output'!$J:$J, 1), "")</f>
        <v/>
      </c>
    </row>
    <row r="3020" spans="2:5" x14ac:dyDescent="0.45">
      <c r="B3020" s="1"/>
      <c r="E3020" s="45" t="str">
        <f>IFERROR(AVERAGEIFS('Picarro Output'!G:G, 'Picarro Output'!$B:$B, 'Uncalibrated Data'!$C3020, 'Picarro Output'!$I:$I, 0, 'Picarro Output'!$J:$J, 1), "")</f>
        <v/>
      </c>
    </row>
    <row r="3021" spans="2:5" x14ac:dyDescent="0.45">
      <c r="B3021" s="1"/>
      <c r="E3021" s="45" t="str">
        <f>IFERROR(AVERAGEIFS('Picarro Output'!G:G, 'Picarro Output'!$B:$B, 'Uncalibrated Data'!$C3021, 'Picarro Output'!$I:$I, 0, 'Picarro Output'!$J:$J, 1), "")</f>
        <v/>
      </c>
    </row>
    <row r="3022" spans="2:5" x14ac:dyDescent="0.45">
      <c r="B3022" s="1"/>
      <c r="E3022" s="45" t="str">
        <f>IFERROR(AVERAGEIFS('Picarro Output'!G:G, 'Picarro Output'!$B:$B, 'Uncalibrated Data'!$C3022, 'Picarro Output'!$I:$I, 0, 'Picarro Output'!$J:$J, 1), "")</f>
        <v/>
      </c>
    </row>
    <row r="3023" spans="2:5" x14ac:dyDescent="0.45">
      <c r="B3023" s="1"/>
      <c r="E3023" s="45" t="str">
        <f>IFERROR(AVERAGEIFS('Picarro Output'!G:G, 'Picarro Output'!$B:$B, 'Uncalibrated Data'!$C3023, 'Picarro Output'!$I:$I, 0, 'Picarro Output'!$J:$J, 1), "")</f>
        <v/>
      </c>
    </row>
    <row r="3024" spans="2:5" x14ac:dyDescent="0.45">
      <c r="B3024" s="1"/>
      <c r="E3024" s="45" t="str">
        <f>IFERROR(AVERAGEIFS('Picarro Output'!G:G, 'Picarro Output'!$B:$B, 'Uncalibrated Data'!$C3024, 'Picarro Output'!$I:$I, 0, 'Picarro Output'!$J:$J, 1), "")</f>
        <v/>
      </c>
    </row>
    <row r="3025" spans="2:5" x14ac:dyDescent="0.45">
      <c r="B3025" s="1"/>
      <c r="E3025" s="45" t="str">
        <f>IFERROR(AVERAGEIFS('Picarro Output'!G:G, 'Picarro Output'!$B:$B, 'Uncalibrated Data'!$C3025, 'Picarro Output'!$I:$I, 0, 'Picarro Output'!$J:$J, 1), "")</f>
        <v/>
      </c>
    </row>
    <row r="3026" spans="2:5" x14ac:dyDescent="0.45">
      <c r="B3026" s="1"/>
      <c r="E3026" s="45" t="str">
        <f>IFERROR(AVERAGEIFS('Picarro Output'!G:G, 'Picarro Output'!$B:$B, 'Uncalibrated Data'!$C3026, 'Picarro Output'!$I:$I, 0, 'Picarro Output'!$J:$J, 1), "")</f>
        <v/>
      </c>
    </row>
    <row r="3027" spans="2:5" x14ac:dyDescent="0.45">
      <c r="B3027" s="1"/>
      <c r="E3027" s="45" t="str">
        <f>IFERROR(AVERAGEIFS('Picarro Output'!G:G, 'Picarro Output'!$B:$B, 'Uncalibrated Data'!$C3027, 'Picarro Output'!$I:$I, 0, 'Picarro Output'!$J:$J, 1), "")</f>
        <v/>
      </c>
    </row>
    <row r="3028" spans="2:5" x14ac:dyDescent="0.45">
      <c r="B3028" s="1"/>
      <c r="E3028" s="45" t="str">
        <f>IFERROR(AVERAGEIFS('Picarro Output'!G:G, 'Picarro Output'!$B:$B, 'Uncalibrated Data'!$C3028, 'Picarro Output'!$I:$I, 0, 'Picarro Output'!$J:$J, 1), "")</f>
        <v/>
      </c>
    </row>
    <row r="3029" spans="2:5" x14ac:dyDescent="0.45">
      <c r="B3029" s="1"/>
      <c r="E3029" s="45" t="str">
        <f>IFERROR(AVERAGEIFS('Picarro Output'!G:G, 'Picarro Output'!$B:$B, 'Uncalibrated Data'!$C3029, 'Picarro Output'!$I:$I, 0, 'Picarro Output'!$J:$J, 1), "")</f>
        <v/>
      </c>
    </row>
    <row r="3030" spans="2:5" x14ac:dyDescent="0.45">
      <c r="B3030" s="1"/>
      <c r="E3030" s="45" t="str">
        <f>IFERROR(AVERAGEIFS('Picarro Output'!G:G, 'Picarro Output'!$B:$B, 'Uncalibrated Data'!$C3030, 'Picarro Output'!$I:$I, 0, 'Picarro Output'!$J:$J, 1), "")</f>
        <v/>
      </c>
    </row>
    <row r="3031" spans="2:5" x14ac:dyDescent="0.45">
      <c r="B3031" s="1"/>
      <c r="E3031" s="45" t="str">
        <f>IFERROR(AVERAGEIFS('Picarro Output'!G:G, 'Picarro Output'!$B:$B, 'Uncalibrated Data'!$C3031, 'Picarro Output'!$I:$I, 0, 'Picarro Output'!$J:$J, 1), "")</f>
        <v/>
      </c>
    </row>
    <row r="3032" spans="2:5" x14ac:dyDescent="0.45">
      <c r="B3032" s="1"/>
      <c r="E3032" s="45" t="str">
        <f>IFERROR(AVERAGEIFS('Picarro Output'!G:G, 'Picarro Output'!$B:$B, 'Uncalibrated Data'!$C3032, 'Picarro Output'!$I:$I, 0, 'Picarro Output'!$J:$J, 1), "")</f>
        <v/>
      </c>
    </row>
    <row r="3033" spans="2:5" x14ac:dyDescent="0.45">
      <c r="B3033" s="1"/>
      <c r="E3033" s="45" t="str">
        <f>IFERROR(AVERAGEIFS('Picarro Output'!G:G, 'Picarro Output'!$B:$B, 'Uncalibrated Data'!$C3033, 'Picarro Output'!$I:$I, 0, 'Picarro Output'!$J:$J, 1), "")</f>
        <v/>
      </c>
    </row>
    <row r="3034" spans="2:5" x14ac:dyDescent="0.45">
      <c r="B3034" s="1"/>
      <c r="E3034" s="45" t="str">
        <f>IFERROR(AVERAGEIFS('Picarro Output'!G:G, 'Picarro Output'!$B:$B, 'Uncalibrated Data'!$C3034, 'Picarro Output'!$I:$I, 0, 'Picarro Output'!$J:$J, 1), "")</f>
        <v/>
      </c>
    </row>
    <row r="3035" spans="2:5" x14ac:dyDescent="0.45">
      <c r="B3035" s="1"/>
      <c r="E3035" s="45" t="str">
        <f>IFERROR(AVERAGEIFS('Picarro Output'!G:G, 'Picarro Output'!$B:$B, 'Uncalibrated Data'!$C3035, 'Picarro Output'!$I:$I, 0, 'Picarro Output'!$J:$J, 1), "")</f>
        <v/>
      </c>
    </row>
    <row r="3036" spans="2:5" x14ac:dyDescent="0.45">
      <c r="B3036" s="1"/>
      <c r="E3036" s="45" t="str">
        <f>IFERROR(AVERAGEIFS('Picarro Output'!G:G, 'Picarro Output'!$B:$B, 'Uncalibrated Data'!$C3036, 'Picarro Output'!$I:$I, 0, 'Picarro Output'!$J:$J, 1), "")</f>
        <v/>
      </c>
    </row>
    <row r="3037" spans="2:5" x14ac:dyDescent="0.45">
      <c r="B3037" s="1"/>
      <c r="E3037" s="45" t="str">
        <f>IFERROR(AVERAGEIFS('Picarro Output'!G:G, 'Picarro Output'!$B:$B, 'Uncalibrated Data'!$C3037, 'Picarro Output'!$I:$I, 0, 'Picarro Output'!$J:$J, 1), "")</f>
        <v/>
      </c>
    </row>
    <row r="3038" spans="2:5" x14ac:dyDescent="0.45">
      <c r="B3038" s="1"/>
      <c r="E3038" s="45" t="str">
        <f>IFERROR(AVERAGEIFS('Picarro Output'!G:G, 'Picarro Output'!$B:$B, 'Uncalibrated Data'!$C3038, 'Picarro Output'!$I:$I, 0, 'Picarro Output'!$J:$J, 1), "")</f>
        <v/>
      </c>
    </row>
    <row r="3039" spans="2:5" x14ac:dyDescent="0.45">
      <c r="B3039" s="1"/>
      <c r="E3039" s="45" t="str">
        <f>IFERROR(AVERAGEIFS('Picarro Output'!G:G, 'Picarro Output'!$B:$B, 'Uncalibrated Data'!$C3039, 'Picarro Output'!$I:$I, 0, 'Picarro Output'!$J:$J, 1), "")</f>
        <v/>
      </c>
    </row>
    <row r="3040" spans="2:5" x14ac:dyDescent="0.45">
      <c r="B3040" s="1"/>
      <c r="E3040" s="45" t="str">
        <f>IFERROR(AVERAGEIFS('Picarro Output'!G:G, 'Picarro Output'!$B:$B, 'Uncalibrated Data'!$C3040, 'Picarro Output'!$I:$I, 0, 'Picarro Output'!$J:$J, 1), "")</f>
        <v/>
      </c>
    </row>
    <row r="3041" spans="2:5" x14ac:dyDescent="0.45">
      <c r="B3041" s="1"/>
      <c r="E3041" s="45" t="str">
        <f>IFERROR(AVERAGEIFS('Picarro Output'!G:G, 'Picarro Output'!$B:$B, 'Uncalibrated Data'!$C3041, 'Picarro Output'!$I:$I, 0, 'Picarro Output'!$J:$J, 1), "")</f>
        <v/>
      </c>
    </row>
    <row r="3042" spans="2:5" x14ac:dyDescent="0.45">
      <c r="B3042" s="1"/>
      <c r="E3042" s="45" t="str">
        <f>IFERROR(AVERAGEIFS('Picarro Output'!G:G, 'Picarro Output'!$B:$B, 'Uncalibrated Data'!$C3042, 'Picarro Output'!$I:$I, 0, 'Picarro Output'!$J:$J, 1), "")</f>
        <v/>
      </c>
    </row>
    <row r="3043" spans="2:5" x14ac:dyDescent="0.45">
      <c r="B3043" s="1"/>
      <c r="E3043" s="45" t="str">
        <f>IFERROR(AVERAGEIFS('Picarro Output'!G:G, 'Picarro Output'!$B:$B, 'Uncalibrated Data'!$C3043, 'Picarro Output'!$I:$I, 0, 'Picarro Output'!$J:$J, 1), "")</f>
        <v/>
      </c>
    </row>
    <row r="3044" spans="2:5" x14ac:dyDescent="0.45">
      <c r="B3044" s="1"/>
      <c r="E3044" s="45" t="str">
        <f>IFERROR(AVERAGEIFS('Picarro Output'!G:G, 'Picarro Output'!$B:$B, 'Uncalibrated Data'!$C3044, 'Picarro Output'!$I:$I, 0, 'Picarro Output'!$J:$J, 1), "")</f>
        <v/>
      </c>
    </row>
    <row r="3045" spans="2:5" x14ac:dyDescent="0.45">
      <c r="B3045" s="1"/>
      <c r="E3045" s="45" t="str">
        <f>IFERROR(AVERAGEIFS('Picarro Output'!G:G, 'Picarro Output'!$B:$B, 'Uncalibrated Data'!$C3045, 'Picarro Output'!$I:$I, 0, 'Picarro Output'!$J:$J, 1), "")</f>
        <v/>
      </c>
    </row>
    <row r="3046" spans="2:5" x14ac:dyDescent="0.45">
      <c r="B3046" s="1"/>
      <c r="E3046" s="45" t="str">
        <f>IFERROR(AVERAGEIFS('Picarro Output'!G:G, 'Picarro Output'!$B:$B, 'Uncalibrated Data'!$C3046, 'Picarro Output'!$I:$I, 0, 'Picarro Output'!$J:$J, 1), "")</f>
        <v/>
      </c>
    </row>
    <row r="3047" spans="2:5" x14ac:dyDescent="0.45">
      <c r="B3047" s="1"/>
      <c r="E3047" s="45" t="str">
        <f>IFERROR(AVERAGEIFS('Picarro Output'!G:G, 'Picarro Output'!$B:$B, 'Uncalibrated Data'!$C3047, 'Picarro Output'!$I:$I, 0, 'Picarro Output'!$J:$J, 1), "")</f>
        <v/>
      </c>
    </row>
    <row r="3048" spans="2:5" x14ac:dyDescent="0.45">
      <c r="B3048" s="1"/>
      <c r="E3048" s="45" t="str">
        <f>IFERROR(AVERAGEIFS('Picarro Output'!G:G, 'Picarro Output'!$B:$B, 'Uncalibrated Data'!$C3048, 'Picarro Output'!$I:$I, 0, 'Picarro Output'!$J:$J, 1), "")</f>
        <v/>
      </c>
    </row>
    <row r="3049" spans="2:5" x14ac:dyDescent="0.45">
      <c r="B3049" s="1"/>
      <c r="E3049" s="45" t="str">
        <f>IFERROR(AVERAGEIFS('Picarro Output'!G:G, 'Picarro Output'!$B:$B, 'Uncalibrated Data'!$C3049, 'Picarro Output'!$I:$I, 0, 'Picarro Output'!$J:$J, 1), "")</f>
        <v/>
      </c>
    </row>
    <row r="3050" spans="2:5" x14ac:dyDescent="0.45">
      <c r="B3050" s="1"/>
      <c r="E3050" s="45" t="str">
        <f>IFERROR(AVERAGEIFS('Picarro Output'!G:G, 'Picarro Output'!$B:$B, 'Uncalibrated Data'!$C3050, 'Picarro Output'!$I:$I, 0, 'Picarro Output'!$J:$J, 1), "")</f>
        <v/>
      </c>
    </row>
    <row r="3051" spans="2:5" x14ac:dyDescent="0.45">
      <c r="B3051" s="1"/>
      <c r="E3051" s="45" t="str">
        <f>IFERROR(AVERAGEIFS('Picarro Output'!G:G, 'Picarro Output'!$B:$B, 'Uncalibrated Data'!$C3051, 'Picarro Output'!$I:$I, 0, 'Picarro Output'!$J:$J, 1), "")</f>
        <v/>
      </c>
    </row>
    <row r="3052" spans="2:5" x14ac:dyDescent="0.45">
      <c r="B3052" s="1"/>
      <c r="E3052" s="45" t="str">
        <f>IFERROR(AVERAGEIFS('Picarro Output'!G:G, 'Picarro Output'!$B:$B, 'Uncalibrated Data'!$C3052, 'Picarro Output'!$I:$I, 0, 'Picarro Output'!$J:$J, 1), "")</f>
        <v/>
      </c>
    </row>
    <row r="3053" spans="2:5" x14ac:dyDescent="0.45">
      <c r="B3053" s="1"/>
      <c r="E3053" s="45" t="str">
        <f>IFERROR(AVERAGEIFS('Picarro Output'!G:G, 'Picarro Output'!$B:$B, 'Uncalibrated Data'!$C3053, 'Picarro Output'!$I:$I, 0, 'Picarro Output'!$J:$J, 1), "")</f>
        <v/>
      </c>
    </row>
    <row r="3054" spans="2:5" x14ac:dyDescent="0.45">
      <c r="B3054" s="1"/>
      <c r="E3054" s="45" t="str">
        <f>IFERROR(AVERAGEIFS('Picarro Output'!G:G, 'Picarro Output'!$B:$B, 'Uncalibrated Data'!$C3054, 'Picarro Output'!$I:$I, 0, 'Picarro Output'!$J:$J, 1), "")</f>
        <v/>
      </c>
    </row>
    <row r="3055" spans="2:5" x14ac:dyDescent="0.45">
      <c r="B3055" s="1"/>
      <c r="E3055" s="45" t="str">
        <f>IFERROR(AVERAGEIFS('Picarro Output'!G:G, 'Picarro Output'!$B:$B, 'Uncalibrated Data'!$C3055, 'Picarro Output'!$I:$I, 0, 'Picarro Output'!$J:$J, 1), "")</f>
        <v/>
      </c>
    </row>
    <row r="3056" spans="2:5" x14ac:dyDescent="0.45">
      <c r="B3056" s="1"/>
      <c r="E3056" s="45" t="str">
        <f>IFERROR(AVERAGEIFS('Picarro Output'!G:G, 'Picarro Output'!$B:$B, 'Uncalibrated Data'!$C3056, 'Picarro Output'!$I:$I, 0, 'Picarro Output'!$J:$J, 1), "")</f>
        <v/>
      </c>
    </row>
    <row r="3057" spans="2:5" x14ac:dyDescent="0.45">
      <c r="B3057" s="1"/>
      <c r="E3057" s="45" t="str">
        <f>IFERROR(AVERAGEIFS('Picarro Output'!G:G, 'Picarro Output'!$B:$B, 'Uncalibrated Data'!$C3057, 'Picarro Output'!$I:$I, 0, 'Picarro Output'!$J:$J, 1), "")</f>
        <v/>
      </c>
    </row>
    <row r="3058" spans="2:5" x14ac:dyDescent="0.45">
      <c r="B3058" s="1"/>
      <c r="E3058" s="45" t="str">
        <f>IFERROR(AVERAGEIFS('Picarro Output'!G:G, 'Picarro Output'!$B:$B, 'Uncalibrated Data'!$C3058, 'Picarro Output'!$I:$I, 0, 'Picarro Output'!$J:$J, 1), "")</f>
        <v/>
      </c>
    </row>
    <row r="3059" spans="2:5" x14ac:dyDescent="0.45">
      <c r="B3059" s="1"/>
      <c r="E3059" s="45" t="str">
        <f>IFERROR(AVERAGEIFS('Picarro Output'!G:G, 'Picarro Output'!$B:$B, 'Uncalibrated Data'!$C3059, 'Picarro Output'!$I:$I, 0, 'Picarro Output'!$J:$J, 1), "")</f>
        <v/>
      </c>
    </row>
    <row r="3060" spans="2:5" x14ac:dyDescent="0.45">
      <c r="B3060" s="1"/>
      <c r="E3060" s="45" t="str">
        <f>IFERROR(AVERAGEIFS('Picarro Output'!G:G, 'Picarro Output'!$B:$B, 'Uncalibrated Data'!$C3060, 'Picarro Output'!$I:$I, 0, 'Picarro Output'!$J:$J, 1), "")</f>
        <v/>
      </c>
    </row>
    <row r="3061" spans="2:5" x14ac:dyDescent="0.45">
      <c r="B3061" s="1"/>
      <c r="E3061" s="45" t="str">
        <f>IFERROR(AVERAGEIFS('Picarro Output'!G:G, 'Picarro Output'!$B:$B, 'Uncalibrated Data'!$C3061, 'Picarro Output'!$I:$I, 0, 'Picarro Output'!$J:$J, 1), "")</f>
        <v/>
      </c>
    </row>
    <row r="3062" spans="2:5" x14ac:dyDescent="0.45">
      <c r="B3062" s="1"/>
      <c r="E3062" s="45" t="str">
        <f>IFERROR(AVERAGEIFS('Picarro Output'!G:G, 'Picarro Output'!$B:$B, 'Uncalibrated Data'!$C3062, 'Picarro Output'!$I:$I, 0, 'Picarro Output'!$J:$J, 1), "")</f>
        <v/>
      </c>
    </row>
    <row r="3063" spans="2:5" x14ac:dyDescent="0.45">
      <c r="B3063" s="1"/>
      <c r="E3063" s="45" t="str">
        <f>IFERROR(AVERAGEIFS('Picarro Output'!G:G, 'Picarro Output'!$B:$B, 'Uncalibrated Data'!$C3063, 'Picarro Output'!$I:$I, 0, 'Picarro Output'!$J:$J, 1), "")</f>
        <v/>
      </c>
    </row>
    <row r="3064" spans="2:5" x14ac:dyDescent="0.45">
      <c r="B3064" s="1"/>
      <c r="E3064" s="45" t="str">
        <f>IFERROR(AVERAGEIFS('Picarro Output'!G:G, 'Picarro Output'!$B:$B, 'Uncalibrated Data'!$C3064, 'Picarro Output'!$I:$I, 0, 'Picarro Output'!$J:$J, 1), "")</f>
        <v/>
      </c>
    </row>
    <row r="3065" spans="2:5" x14ac:dyDescent="0.45">
      <c r="B3065" s="1"/>
      <c r="E3065" s="45" t="str">
        <f>IFERROR(AVERAGEIFS('Picarro Output'!G:G, 'Picarro Output'!$B:$B, 'Uncalibrated Data'!$C3065, 'Picarro Output'!$I:$I, 0, 'Picarro Output'!$J:$J, 1), "")</f>
        <v/>
      </c>
    </row>
    <row r="3066" spans="2:5" x14ac:dyDescent="0.45">
      <c r="B3066" s="1"/>
      <c r="E3066" s="45" t="str">
        <f>IFERROR(AVERAGEIFS('Picarro Output'!G:G, 'Picarro Output'!$B:$B, 'Uncalibrated Data'!$C3066, 'Picarro Output'!$I:$I, 0, 'Picarro Output'!$J:$J, 1), "")</f>
        <v/>
      </c>
    </row>
    <row r="3067" spans="2:5" x14ac:dyDescent="0.45">
      <c r="B3067" s="1"/>
      <c r="E3067" s="45" t="str">
        <f>IFERROR(AVERAGEIFS('Picarro Output'!G:G, 'Picarro Output'!$B:$B, 'Uncalibrated Data'!$C3067, 'Picarro Output'!$I:$I, 0, 'Picarro Output'!$J:$J, 1), "")</f>
        <v/>
      </c>
    </row>
    <row r="3068" spans="2:5" x14ac:dyDescent="0.45">
      <c r="B3068" s="1"/>
      <c r="E3068" s="45" t="str">
        <f>IFERROR(AVERAGEIFS('Picarro Output'!G:G, 'Picarro Output'!$B:$B, 'Uncalibrated Data'!$C3068, 'Picarro Output'!$I:$I, 0, 'Picarro Output'!$J:$J, 1), "")</f>
        <v/>
      </c>
    </row>
    <row r="3069" spans="2:5" x14ac:dyDescent="0.45">
      <c r="B3069" s="1"/>
      <c r="E3069" s="45" t="str">
        <f>IFERROR(AVERAGEIFS('Picarro Output'!G:G, 'Picarro Output'!$B:$B, 'Uncalibrated Data'!$C3069, 'Picarro Output'!$I:$I, 0, 'Picarro Output'!$J:$J, 1), "")</f>
        <v/>
      </c>
    </row>
    <row r="3070" spans="2:5" x14ac:dyDescent="0.45">
      <c r="B3070" s="1"/>
      <c r="E3070" s="45" t="str">
        <f>IFERROR(AVERAGEIFS('Picarro Output'!G:G, 'Picarro Output'!$B:$B, 'Uncalibrated Data'!$C3070, 'Picarro Output'!$I:$I, 0, 'Picarro Output'!$J:$J, 1), "")</f>
        <v/>
      </c>
    </row>
    <row r="3071" spans="2:5" x14ac:dyDescent="0.45">
      <c r="B3071" s="1"/>
      <c r="E3071" s="45" t="str">
        <f>IFERROR(AVERAGEIFS('Picarro Output'!G:G, 'Picarro Output'!$B:$B, 'Uncalibrated Data'!$C3071, 'Picarro Output'!$I:$I, 0, 'Picarro Output'!$J:$J, 1), "")</f>
        <v/>
      </c>
    </row>
    <row r="3072" spans="2:5" x14ac:dyDescent="0.45">
      <c r="B3072" s="1"/>
      <c r="E3072" s="45" t="str">
        <f>IFERROR(AVERAGEIFS('Picarro Output'!G:G, 'Picarro Output'!$B:$B, 'Uncalibrated Data'!$C3072, 'Picarro Output'!$I:$I, 0, 'Picarro Output'!$J:$J, 1), "")</f>
        <v/>
      </c>
    </row>
    <row r="3073" spans="2:5" x14ac:dyDescent="0.45">
      <c r="B3073" s="1"/>
      <c r="E3073" s="45" t="str">
        <f>IFERROR(AVERAGEIFS('Picarro Output'!G:G, 'Picarro Output'!$B:$B, 'Uncalibrated Data'!$C3073, 'Picarro Output'!$I:$I, 0, 'Picarro Output'!$J:$J, 1), "")</f>
        <v/>
      </c>
    </row>
    <row r="3074" spans="2:5" x14ac:dyDescent="0.45">
      <c r="B3074" s="1"/>
      <c r="E3074" s="45" t="str">
        <f>IFERROR(AVERAGEIFS('Picarro Output'!G:G, 'Picarro Output'!$B:$B, 'Uncalibrated Data'!$C3074, 'Picarro Output'!$I:$I, 0, 'Picarro Output'!$J:$J, 1), "")</f>
        <v/>
      </c>
    </row>
    <row r="3075" spans="2:5" x14ac:dyDescent="0.45">
      <c r="B3075" s="1"/>
      <c r="E3075" s="45" t="str">
        <f>IFERROR(AVERAGEIFS('Picarro Output'!G:G, 'Picarro Output'!$B:$B, 'Uncalibrated Data'!$C3075, 'Picarro Output'!$I:$I, 0, 'Picarro Output'!$J:$J, 1), "")</f>
        <v/>
      </c>
    </row>
    <row r="3076" spans="2:5" x14ac:dyDescent="0.45">
      <c r="B3076" s="1"/>
      <c r="E3076" s="45" t="str">
        <f>IFERROR(AVERAGEIFS('Picarro Output'!G:G, 'Picarro Output'!$B:$B, 'Uncalibrated Data'!$C3076, 'Picarro Output'!$I:$I, 0, 'Picarro Output'!$J:$J, 1), "")</f>
        <v/>
      </c>
    </row>
    <row r="3077" spans="2:5" x14ac:dyDescent="0.45">
      <c r="B3077" s="1"/>
      <c r="E3077" s="45" t="str">
        <f>IFERROR(AVERAGEIFS('Picarro Output'!G:G, 'Picarro Output'!$B:$B, 'Uncalibrated Data'!$C3077, 'Picarro Output'!$I:$I, 0, 'Picarro Output'!$J:$J, 1), "")</f>
        <v/>
      </c>
    </row>
    <row r="3078" spans="2:5" x14ac:dyDescent="0.45">
      <c r="B3078" s="1"/>
      <c r="E3078" s="45" t="str">
        <f>IFERROR(AVERAGEIFS('Picarro Output'!G:G, 'Picarro Output'!$B:$B, 'Uncalibrated Data'!$C3078, 'Picarro Output'!$I:$I, 0, 'Picarro Output'!$J:$J, 1), "")</f>
        <v/>
      </c>
    </row>
    <row r="3079" spans="2:5" x14ac:dyDescent="0.45">
      <c r="B3079" s="1"/>
      <c r="E3079" s="45" t="str">
        <f>IFERROR(AVERAGEIFS('Picarro Output'!G:G, 'Picarro Output'!$B:$B, 'Uncalibrated Data'!$C3079, 'Picarro Output'!$I:$I, 0, 'Picarro Output'!$J:$J, 1), "")</f>
        <v/>
      </c>
    </row>
    <row r="3080" spans="2:5" x14ac:dyDescent="0.45">
      <c r="B3080" s="1"/>
      <c r="E3080" s="45" t="str">
        <f>IFERROR(AVERAGEIFS('Picarro Output'!G:G, 'Picarro Output'!$B:$B, 'Uncalibrated Data'!$C3080, 'Picarro Output'!$I:$I, 0, 'Picarro Output'!$J:$J, 1), "")</f>
        <v/>
      </c>
    </row>
    <row r="3081" spans="2:5" x14ac:dyDescent="0.45">
      <c r="B3081" s="1"/>
      <c r="E3081" s="45" t="str">
        <f>IFERROR(AVERAGEIFS('Picarro Output'!G:G, 'Picarro Output'!$B:$B, 'Uncalibrated Data'!$C3081, 'Picarro Output'!$I:$I, 0, 'Picarro Output'!$J:$J, 1), "")</f>
        <v/>
      </c>
    </row>
    <row r="3082" spans="2:5" x14ac:dyDescent="0.45">
      <c r="B3082" s="1"/>
      <c r="E3082" s="45" t="str">
        <f>IFERROR(AVERAGEIFS('Picarro Output'!G:G, 'Picarro Output'!$B:$B, 'Uncalibrated Data'!$C3082, 'Picarro Output'!$I:$I, 0, 'Picarro Output'!$J:$J, 1), "")</f>
        <v/>
      </c>
    </row>
    <row r="3083" spans="2:5" x14ac:dyDescent="0.45">
      <c r="B3083" s="1"/>
      <c r="E3083" s="45" t="str">
        <f>IFERROR(AVERAGEIFS('Picarro Output'!G:G, 'Picarro Output'!$B:$B, 'Uncalibrated Data'!$C3083, 'Picarro Output'!$I:$I, 0, 'Picarro Output'!$J:$J, 1), "")</f>
        <v/>
      </c>
    </row>
    <row r="3084" spans="2:5" x14ac:dyDescent="0.45">
      <c r="B3084" s="1"/>
      <c r="E3084" s="45" t="str">
        <f>IFERROR(AVERAGEIFS('Picarro Output'!G:G, 'Picarro Output'!$B:$B, 'Uncalibrated Data'!$C3084, 'Picarro Output'!$I:$I, 0, 'Picarro Output'!$J:$J, 1), "")</f>
        <v/>
      </c>
    </row>
    <row r="3085" spans="2:5" x14ac:dyDescent="0.45">
      <c r="B3085" s="1"/>
      <c r="E3085" s="45" t="str">
        <f>IFERROR(AVERAGEIFS('Picarro Output'!G:G, 'Picarro Output'!$B:$B, 'Uncalibrated Data'!$C3085, 'Picarro Output'!$I:$I, 0, 'Picarro Output'!$J:$J, 1), "")</f>
        <v/>
      </c>
    </row>
    <row r="3086" spans="2:5" x14ac:dyDescent="0.45">
      <c r="B3086" s="1"/>
      <c r="E3086" s="45" t="str">
        <f>IFERROR(AVERAGEIFS('Picarro Output'!G:G, 'Picarro Output'!$B:$B, 'Uncalibrated Data'!$C3086, 'Picarro Output'!$I:$I, 0, 'Picarro Output'!$J:$J, 1), "")</f>
        <v/>
      </c>
    </row>
    <row r="3087" spans="2:5" x14ac:dyDescent="0.45">
      <c r="B3087" s="1"/>
      <c r="E3087" s="45" t="str">
        <f>IFERROR(AVERAGEIFS('Picarro Output'!G:G, 'Picarro Output'!$B:$B, 'Uncalibrated Data'!$C3087, 'Picarro Output'!$I:$I, 0, 'Picarro Output'!$J:$J, 1), "")</f>
        <v/>
      </c>
    </row>
    <row r="3088" spans="2:5" x14ac:dyDescent="0.45">
      <c r="B3088" s="1"/>
      <c r="E3088" s="45" t="str">
        <f>IFERROR(AVERAGEIFS('Picarro Output'!G:G, 'Picarro Output'!$B:$B, 'Uncalibrated Data'!$C3088, 'Picarro Output'!$I:$I, 0, 'Picarro Output'!$J:$J, 1), "")</f>
        <v/>
      </c>
    </row>
    <row r="3089" spans="2:5" x14ac:dyDescent="0.45">
      <c r="B3089" s="1"/>
      <c r="E3089" s="45" t="str">
        <f>IFERROR(AVERAGEIFS('Picarro Output'!G:G, 'Picarro Output'!$B:$B, 'Uncalibrated Data'!$C3089, 'Picarro Output'!$I:$I, 0, 'Picarro Output'!$J:$J, 1), "")</f>
        <v/>
      </c>
    </row>
    <row r="3090" spans="2:5" x14ac:dyDescent="0.45">
      <c r="B3090" s="1"/>
      <c r="E3090" s="45" t="str">
        <f>IFERROR(AVERAGEIFS('Picarro Output'!G:G, 'Picarro Output'!$B:$B, 'Uncalibrated Data'!$C3090, 'Picarro Output'!$I:$I, 0, 'Picarro Output'!$J:$J, 1), "")</f>
        <v/>
      </c>
    </row>
    <row r="3091" spans="2:5" x14ac:dyDescent="0.45">
      <c r="B3091" s="1"/>
      <c r="E3091" s="45" t="str">
        <f>IFERROR(AVERAGEIFS('Picarro Output'!G:G, 'Picarro Output'!$B:$B, 'Uncalibrated Data'!$C3091, 'Picarro Output'!$I:$I, 0, 'Picarro Output'!$J:$J, 1), "")</f>
        <v/>
      </c>
    </row>
    <row r="3092" spans="2:5" x14ac:dyDescent="0.45">
      <c r="B3092" s="1"/>
      <c r="E3092" s="45" t="str">
        <f>IFERROR(AVERAGEIFS('Picarro Output'!G:G, 'Picarro Output'!$B:$B, 'Uncalibrated Data'!$C3092, 'Picarro Output'!$I:$I, 0, 'Picarro Output'!$J:$J, 1), "")</f>
        <v/>
      </c>
    </row>
    <row r="3093" spans="2:5" x14ac:dyDescent="0.45">
      <c r="B3093" s="1"/>
      <c r="E3093" s="45" t="str">
        <f>IFERROR(AVERAGEIFS('Picarro Output'!G:G, 'Picarro Output'!$B:$B, 'Uncalibrated Data'!$C3093, 'Picarro Output'!$I:$I, 0, 'Picarro Output'!$J:$J, 1), "")</f>
        <v/>
      </c>
    </row>
    <row r="3094" spans="2:5" x14ac:dyDescent="0.45">
      <c r="B3094" s="1"/>
      <c r="E3094" s="45" t="str">
        <f>IFERROR(AVERAGEIFS('Picarro Output'!G:G, 'Picarro Output'!$B:$B, 'Uncalibrated Data'!$C3094, 'Picarro Output'!$I:$I, 0, 'Picarro Output'!$J:$J, 1), "")</f>
        <v/>
      </c>
    </row>
    <row r="3095" spans="2:5" x14ac:dyDescent="0.45">
      <c r="B3095" s="1"/>
      <c r="E3095" s="45" t="str">
        <f>IFERROR(AVERAGEIFS('Picarro Output'!G:G, 'Picarro Output'!$B:$B, 'Uncalibrated Data'!$C3095, 'Picarro Output'!$I:$I, 0, 'Picarro Output'!$J:$J, 1), "")</f>
        <v/>
      </c>
    </row>
    <row r="3096" spans="2:5" x14ac:dyDescent="0.45">
      <c r="B3096" s="1"/>
      <c r="E3096" s="45" t="str">
        <f>IFERROR(AVERAGEIFS('Picarro Output'!G:G, 'Picarro Output'!$B:$B, 'Uncalibrated Data'!$C3096, 'Picarro Output'!$I:$I, 0, 'Picarro Output'!$J:$J, 1), "")</f>
        <v/>
      </c>
    </row>
    <row r="3097" spans="2:5" x14ac:dyDescent="0.45">
      <c r="B3097" s="1"/>
      <c r="E3097" s="45" t="str">
        <f>IFERROR(AVERAGEIFS('Picarro Output'!G:G, 'Picarro Output'!$B:$B, 'Uncalibrated Data'!$C3097, 'Picarro Output'!$I:$I, 0, 'Picarro Output'!$J:$J, 1), "")</f>
        <v/>
      </c>
    </row>
    <row r="3098" spans="2:5" x14ac:dyDescent="0.45">
      <c r="B3098" s="1"/>
      <c r="E3098" s="45" t="str">
        <f>IFERROR(AVERAGEIFS('Picarro Output'!G:G, 'Picarro Output'!$B:$B, 'Uncalibrated Data'!$C3098, 'Picarro Output'!$I:$I, 0, 'Picarro Output'!$J:$J, 1), "")</f>
        <v/>
      </c>
    </row>
    <row r="3099" spans="2:5" x14ac:dyDescent="0.45">
      <c r="B3099" s="1"/>
      <c r="E3099" s="45" t="str">
        <f>IFERROR(AVERAGEIFS('Picarro Output'!G:G, 'Picarro Output'!$B:$B, 'Uncalibrated Data'!$C3099, 'Picarro Output'!$I:$I, 0, 'Picarro Output'!$J:$J, 1), "")</f>
        <v/>
      </c>
    </row>
    <row r="3100" spans="2:5" x14ac:dyDescent="0.45">
      <c r="B3100" s="1"/>
      <c r="E3100" s="45" t="str">
        <f>IFERROR(AVERAGEIFS('Picarro Output'!G:G, 'Picarro Output'!$B:$B, 'Uncalibrated Data'!$C3100, 'Picarro Output'!$I:$I, 0, 'Picarro Output'!$J:$J, 1), "")</f>
        <v/>
      </c>
    </row>
    <row r="3101" spans="2:5" x14ac:dyDescent="0.45">
      <c r="B3101" s="1"/>
      <c r="E3101" s="45" t="str">
        <f>IFERROR(AVERAGEIFS('Picarro Output'!G:G, 'Picarro Output'!$B:$B, 'Uncalibrated Data'!$C3101, 'Picarro Output'!$I:$I, 0, 'Picarro Output'!$J:$J, 1), "")</f>
        <v/>
      </c>
    </row>
    <row r="3102" spans="2:5" x14ac:dyDescent="0.45">
      <c r="B3102" s="1"/>
      <c r="E3102" s="45" t="str">
        <f>IFERROR(AVERAGEIFS('Picarro Output'!G:G, 'Picarro Output'!$B:$B, 'Uncalibrated Data'!$C3102, 'Picarro Output'!$I:$I, 0, 'Picarro Output'!$J:$J, 1), "")</f>
        <v/>
      </c>
    </row>
    <row r="3103" spans="2:5" x14ac:dyDescent="0.45">
      <c r="B3103" s="1"/>
      <c r="E3103" s="45" t="str">
        <f>IFERROR(AVERAGEIFS('Picarro Output'!G:G, 'Picarro Output'!$B:$B, 'Uncalibrated Data'!$C3103, 'Picarro Output'!$I:$I, 0, 'Picarro Output'!$J:$J, 1), "")</f>
        <v/>
      </c>
    </row>
    <row r="3104" spans="2:5" x14ac:dyDescent="0.45">
      <c r="B3104" s="1"/>
      <c r="E3104" s="45" t="str">
        <f>IFERROR(AVERAGEIFS('Picarro Output'!G:G, 'Picarro Output'!$B:$B, 'Uncalibrated Data'!$C3104, 'Picarro Output'!$I:$I, 0, 'Picarro Output'!$J:$J, 1), "")</f>
        <v/>
      </c>
    </row>
    <row r="3105" spans="2:5" x14ac:dyDescent="0.45">
      <c r="B3105" s="1"/>
      <c r="E3105" s="45" t="str">
        <f>IFERROR(AVERAGEIFS('Picarro Output'!G:G, 'Picarro Output'!$B:$B, 'Uncalibrated Data'!$C3105, 'Picarro Output'!$I:$I, 0, 'Picarro Output'!$J:$J, 1), "")</f>
        <v/>
      </c>
    </row>
    <row r="3106" spans="2:5" x14ac:dyDescent="0.45">
      <c r="B3106" s="1"/>
      <c r="E3106" s="45" t="str">
        <f>IFERROR(AVERAGEIFS('Picarro Output'!G:G, 'Picarro Output'!$B:$B, 'Uncalibrated Data'!$C3106, 'Picarro Output'!$I:$I, 0, 'Picarro Output'!$J:$J, 1), "")</f>
        <v/>
      </c>
    </row>
    <row r="3107" spans="2:5" x14ac:dyDescent="0.45">
      <c r="B3107" s="1"/>
      <c r="E3107" s="45" t="str">
        <f>IFERROR(AVERAGEIFS('Picarro Output'!G:G, 'Picarro Output'!$B:$B, 'Uncalibrated Data'!$C3107, 'Picarro Output'!$I:$I, 0, 'Picarro Output'!$J:$J, 1), "")</f>
        <v/>
      </c>
    </row>
    <row r="3108" spans="2:5" x14ac:dyDescent="0.45">
      <c r="B3108" s="1"/>
      <c r="E3108" s="45" t="str">
        <f>IFERROR(AVERAGEIFS('Picarro Output'!G:G, 'Picarro Output'!$B:$B, 'Uncalibrated Data'!$C3108, 'Picarro Output'!$I:$I, 0, 'Picarro Output'!$J:$J, 1), "")</f>
        <v/>
      </c>
    </row>
    <row r="3109" spans="2:5" x14ac:dyDescent="0.45">
      <c r="B3109" s="1"/>
      <c r="E3109" s="45" t="str">
        <f>IFERROR(AVERAGEIFS('Picarro Output'!G:G, 'Picarro Output'!$B:$B, 'Uncalibrated Data'!$C3109, 'Picarro Output'!$I:$I, 0, 'Picarro Output'!$J:$J, 1), "")</f>
        <v/>
      </c>
    </row>
    <row r="3110" spans="2:5" x14ac:dyDescent="0.45">
      <c r="B3110" s="1"/>
      <c r="E3110" s="45" t="str">
        <f>IFERROR(AVERAGEIFS('Picarro Output'!G:G, 'Picarro Output'!$B:$B, 'Uncalibrated Data'!$C3110, 'Picarro Output'!$I:$I, 0, 'Picarro Output'!$J:$J, 1), "")</f>
        <v/>
      </c>
    </row>
    <row r="3111" spans="2:5" x14ac:dyDescent="0.45">
      <c r="B3111" s="1"/>
      <c r="E3111" s="45" t="str">
        <f>IFERROR(AVERAGEIFS('Picarro Output'!G:G, 'Picarro Output'!$B:$B, 'Uncalibrated Data'!$C3111, 'Picarro Output'!$I:$I, 0, 'Picarro Output'!$J:$J, 1), "")</f>
        <v/>
      </c>
    </row>
    <row r="3112" spans="2:5" x14ac:dyDescent="0.45">
      <c r="B3112" s="1"/>
      <c r="E3112" s="45" t="str">
        <f>IFERROR(AVERAGEIFS('Picarro Output'!G:G, 'Picarro Output'!$B:$B, 'Uncalibrated Data'!$C3112, 'Picarro Output'!$I:$I, 0, 'Picarro Output'!$J:$J, 1), "")</f>
        <v/>
      </c>
    </row>
    <row r="3113" spans="2:5" x14ac:dyDescent="0.45">
      <c r="B3113" s="1"/>
      <c r="E3113" s="45" t="str">
        <f>IFERROR(AVERAGEIFS('Picarro Output'!G:G, 'Picarro Output'!$B:$B, 'Uncalibrated Data'!$C3113, 'Picarro Output'!$I:$I, 0, 'Picarro Output'!$J:$J, 1), "")</f>
        <v/>
      </c>
    </row>
    <row r="3114" spans="2:5" x14ac:dyDescent="0.45">
      <c r="B3114" s="1"/>
      <c r="E3114" s="45" t="str">
        <f>IFERROR(AVERAGEIFS('Picarro Output'!G:G, 'Picarro Output'!$B:$B, 'Uncalibrated Data'!$C3114, 'Picarro Output'!$I:$I, 0, 'Picarro Output'!$J:$J, 1), "")</f>
        <v/>
      </c>
    </row>
    <row r="3115" spans="2:5" x14ac:dyDescent="0.45">
      <c r="B3115" s="1"/>
      <c r="E3115" s="45" t="str">
        <f>IFERROR(AVERAGEIFS('Picarro Output'!G:G, 'Picarro Output'!$B:$B, 'Uncalibrated Data'!$C3115, 'Picarro Output'!$I:$I, 0, 'Picarro Output'!$J:$J, 1), "")</f>
        <v/>
      </c>
    </row>
    <row r="3116" spans="2:5" x14ac:dyDescent="0.45">
      <c r="B3116" s="1"/>
      <c r="E3116" s="45" t="str">
        <f>IFERROR(AVERAGEIFS('Picarro Output'!G:G, 'Picarro Output'!$B:$B, 'Uncalibrated Data'!$C3116, 'Picarro Output'!$I:$I, 0, 'Picarro Output'!$J:$J, 1), "")</f>
        <v/>
      </c>
    </row>
    <row r="3117" spans="2:5" x14ac:dyDescent="0.45">
      <c r="B3117" s="1"/>
      <c r="E3117" s="45" t="str">
        <f>IFERROR(AVERAGEIFS('Picarro Output'!G:G, 'Picarro Output'!$B:$B, 'Uncalibrated Data'!$C3117, 'Picarro Output'!$I:$I, 0, 'Picarro Output'!$J:$J, 1), "")</f>
        <v/>
      </c>
    </row>
    <row r="3118" spans="2:5" x14ac:dyDescent="0.45">
      <c r="B3118" s="1"/>
      <c r="E3118" s="45" t="str">
        <f>IFERROR(AVERAGEIFS('Picarro Output'!G:G, 'Picarro Output'!$B:$B, 'Uncalibrated Data'!$C3118, 'Picarro Output'!$I:$I, 0, 'Picarro Output'!$J:$J, 1), "")</f>
        <v/>
      </c>
    </row>
    <row r="3119" spans="2:5" x14ac:dyDescent="0.45">
      <c r="B3119" s="1"/>
      <c r="E3119" s="45" t="str">
        <f>IFERROR(AVERAGEIFS('Picarro Output'!G:G, 'Picarro Output'!$B:$B, 'Uncalibrated Data'!$C3119, 'Picarro Output'!$I:$I, 0, 'Picarro Output'!$J:$J, 1), "")</f>
        <v/>
      </c>
    </row>
    <row r="3120" spans="2:5" x14ac:dyDescent="0.45">
      <c r="B3120" s="1"/>
      <c r="E3120" s="45" t="str">
        <f>IFERROR(AVERAGEIFS('Picarro Output'!G:G, 'Picarro Output'!$B:$B, 'Uncalibrated Data'!$C3120, 'Picarro Output'!$I:$I, 0, 'Picarro Output'!$J:$J, 1), "")</f>
        <v/>
      </c>
    </row>
    <row r="3121" spans="2:5" x14ac:dyDescent="0.45">
      <c r="B3121" s="1"/>
      <c r="E3121" s="45" t="str">
        <f>IFERROR(AVERAGEIFS('Picarro Output'!G:G, 'Picarro Output'!$B:$B, 'Uncalibrated Data'!$C3121, 'Picarro Output'!$I:$I, 0, 'Picarro Output'!$J:$J, 1), "")</f>
        <v/>
      </c>
    </row>
    <row r="3122" spans="2:5" x14ac:dyDescent="0.45">
      <c r="B3122" s="1"/>
      <c r="E3122" s="45" t="str">
        <f>IFERROR(AVERAGEIFS('Picarro Output'!G:G, 'Picarro Output'!$B:$B, 'Uncalibrated Data'!$C3122, 'Picarro Output'!$I:$I, 0, 'Picarro Output'!$J:$J, 1), "")</f>
        <v/>
      </c>
    </row>
    <row r="3123" spans="2:5" x14ac:dyDescent="0.45">
      <c r="B3123" s="1"/>
      <c r="E3123" s="45" t="str">
        <f>IFERROR(AVERAGEIFS('Picarro Output'!G:G, 'Picarro Output'!$B:$B, 'Uncalibrated Data'!$C3123, 'Picarro Output'!$I:$I, 0, 'Picarro Output'!$J:$J, 1), "")</f>
        <v/>
      </c>
    </row>
    <row r="3124" spans="2:5" x14ac:dyDescent="0.45">
      <c r="B3124" s="1"/>
      <c r="E3124" s="45" t="str">
        <f>IFERROR(AVERAGEIFS('Picarro Output'!G:G, 'Picarro Output'!$B:$B, 'Uncalibrated Data'!$C3124, 'Picarro Output'!$I:$I, 0, 'Picarro Output'!$J:$J, 1), "")</f>
        <v/>
      </c>
    </row>
    <row r="3125" spans="2:5" x14ac:dyDescent="0.45">
      <c r="B3125" s="1"/>
      <c r="E3125" s="45" t="str">
        <f>IFERROR(AVERAGEIFS('Picarro Output'!G:G, 'Picarro Output'!$B:$B, 'Uncalibrated Data'!$C3125, 'Picarro Output'!$I:$I, 0, 'Picarro Output'!$J:$J, 1), "")</f>
        <v/>
      </c>
    </row>
    <row r="3126" spans="2:5" x14ac:dyDescent="0.45">
      <c r="B3126" s="1"/>
      <c r="E3126" s="45" t="str">
        <f>IFERROR(AVERAGEIFS('Picarro Output'!G:G, 'Picarro Output'!$B:$B, 'Uncalibrated Data'!$C3126, 'Picarro Output'!$I:$I, 0, 'Picarro Output'!$J:$J, 1), "")</f>
        <v/>
      </c>
    </row>
    <row r="3127" spans="2:5" x14ac:dyDescent="0.45">
      <c r="B3127" s="1"/>
      <c r="E3127" s="45" t="str">
        <f>IFERROR(AVERAGEIFS('Picarro Output'!G:G, 'Picarro Output'!$B:$B, 'Uncalibrated Data'!$C3127, 'Picarro Output'!$I:$I, 0, 'Picarro Output'!$J:$J, 1), "")</f>
        <v/>
      </c>
    </row>
    <row r="3128" spans="2:5" x14ac:dyDescent="0.45">
      <c r="B3128" s="1"/>
      <c r="E3128" s="45" t="str">
        <f>IFERROR(AVERAGEIFS('Picarro Output'!G:G, 'Picarro Output'!$B:$B, 'Uncalibrated Data'!$C3128, 'Picarro Output'!$I:$I, 0, 'Picarro Output'!$J:$J, 1), "")</f>
        <v/>
      </c>
    </row>
    <row r="3129" spans="2:5" x14ac:dyDescent="0.45">
      <c r="B3129" s="1"/>
      <c r="E3129" s="45" t="str">
        <f>IFERROR(AVERAGEIFS('Picarro Output'!G:G, 'Picarro Output'!$B:$B, 'Uncalibrated Data'!$C3129, 'Picarro Output'!$I:$I, 0, 'Picarro Output'!$J:$J, 1), "")</f>
        <v/>
      </c>
    </row>
    <row r="3130" spans="2:5" x14ac:dyDescent="0.45">
      <c r="B3130" s="1"/>
      <c r="E3130" s="45" t="str">
        <f>IFERROR(AVERAGEIFS('Picarro Output'!G:G, 'Picarro Output'!$B:$B, 'Uncalibrated Data'!$C3130, 'Picarro Output'!$I:$I, 0, 'Picarro Output'!$J:$J, 1), "")</f>
        <v/>
      </c>
    </row>
    <row r="3131" spans="2:5" x14ac:dyDescent="0.45">
      <c r="B3131" s="1"/>
      <c r="E3131" s="45" t="str">
        <f>IFERROR(AVERAGEIFS('Picarro Output'!G:G, 'Picarro Output'!$B:$B, 'Uncalibrated Data'!$C3131, 'Picarro Output'!$I:$I, 0, 'Picarro Output'!$J:$J, 1), "")</f>
        <v/>
      </c>
    </row>
    <row r="3132" spans="2:5" x14ac:dyDescent="0.45">
      <c r="B3132" s="1"/>
      <c r="E3132" s="45" t="str">
        <f>IFERROR(AVERAGEIFS('Picarro Output'!G:G, 'Picarro Output'!$B:$B, 'Uncalibrated Data'!$C3132, 'Picarro Output'!$I:$I, 0, 'Picarro Output'!$J:$J, 1), "")</f>
        <v/>
      </c>
    </row>
    <row r="3133" spans="2:5" x14ac:dyDescent="0.45">
      <c r="B3133" s="1"/>
      <c r="E3133" s="45" t="str">
        <f>IFERROR(AVERAGEIFS('Picarro Output'!G:G, 'Picarro Output'!$B:$B, 'Uncalibrated Data'!$C3133, 'Picarro Output'!$I:$I, 0, 'Picarro Output'!$J:$J, 1), "")</f>
        <v/>
      </c>
    </row>
    <row r="3134" spans="2:5" x14ac:dyDescent="0.45">
      <c r="B3134" s="1"/>
      <c r="E3134" s="45" t="str">
        <f>IFERROR(AVERAGEIFS('Picarro Output'!G:G, 'Picarro Output'!$B:$B, 'Uncalibrated Data'!$C3134, 'Picarro Output'!$I:$I, 0, 'Picarro Output'!$J:$J, 1), "")</f>
        <v/>
      </c>
    </row>
    <row r="3135" spans="2:5" x14ac:dyDescent="0.45">
      <c r="B3135" s="1"/>
      <c r="E3135" s="45" t="str">
        <f>IFERROR(AVERAGEIFS('Picarro Output'!G:G, 'Picarro Output'!$B:$B, 'Uncalibrated Data'!$C3135, 'Picarro Output'!$I:$I, 0, 'Picarro Output'!$J:$J, 1), "")</f>
        <v/>
      </c>
    </row>
    <row r="3136" spans="2:5" x14ac:dyDescent="0.45">
      <c r="B3136" s="1"/>
      <c r="E3136" s="45" t="str">
        <f>IFERROR(AVERAGEIFS('Picarro Output'!G:G, 'Picarro Output'!$B:$B, 'Uncalibrated Data'!$C3136, 'Picarro Output'!$I:$I, 0, 'Picarro Output'!$J:$J, 1), "")</f>
        <v/>
      </c>
    </row>
    <row r="3137" spans="2:5" x14ac:dyDescent="0.45">
      <c r="B3137" s="1"/>
      <c r="E3137" s="45" t="str">
        <f>IFERROR(AVERAGEIFS('Picarro Output'!G:G, 'Picarro Output'!$B:$B, 'Uncalibrated Data'!$C3137, 'Picarro Output'!$I:$I, 0, 'Picarro Output'!$J:$J, 1), "")</f>
        <v/>
      </c>
    </row>
    <row r="3138" spans="2:5" x14ac:dyDescent="0.45">
      <c r="B3138" s="1"/>
      <c r="E3138" s="45" t="str">
        <f>IFERROR(AVERAGEIFS('Picarro Output'!G:G, 'Picarro Output'!$B:$B, 'Uncalibrated Data'!$C3138, 'Picarro Output'!$I:$I, 0, 'Picarro Output'!$J:$J, 1), "")</f>
        <v/>
      </c>
    </row>
    <row r="3139" spans="2:5" x14ac:dyDescent="0.45">
      <c r="B3139" s="1"/>
      <c r="E3139" s="45" t="str">
        <f>IFERROR(AVERAGEIFS('Picarro Output'!G:G, 'Picarro Output'!$B:$B, 'Uncalibrated Data'!$C3139, 'Picarro Output'!$I:$I, 0, 'Picarro Output'!$J:$J, 1), "")</f>
        <v/>
      </c>
    </row>
    <row r="3140" spans="2:5" x14ac:dyDescent="0.45">
      <c r="B3140" s="1"/>
      <c r="E3140" s="45" t="str">
        <f>IFERROR(AVERAGEIFS('Picarro Output'!G:G, 'Picarro Output'!$B:$B, 'Uncalibrated Data'!$C3140, 'Picarro Output'!$I:$I, 0, 'Picarro Output'!$J:$J, 1), "")</f>
        <v/>
      </c>
    </row>
    <row r="3141" spans="2:5" x14ac:dyDescent="0.45">
      <c r="B3141" s="1"/>
      <c r="E3141" s="45" t="str">
        <f>IFERROR(AVERAGEIFS('Picarro Output'!G:G, 'Picarro Output'!$B:$B, 'Uncalibrated Data'!$C3141, 'Picarro Output'!$I:$I, 0, 'Picarro Output'!$J:$J, 1), "")</f>
        <v/>
      </c>
    </row>
    <row r="3142" spans="2:5" x14ac:dyDescent="0.45">
      <c r="B3142" s="1"/>
      <c r="E3142" s="45" t="str">
        <f>IFERROR(AVERAGEIFS('Picarro Output'!G:G, 'Picarro Output'!$B:$B, 'Uncalibrated Data'!$C3142, 'Picarro Output'!$I:$I, 0, 'Picarro Output'!$J:$J, 1), "")</f>
        <v/>
      </c>
    </row>
    <row r="3143" spans="2:5" x14ac:dyDescent="0.45">
      <c r="B3143" s="1"/>
      <c r="E3143" s="45" t="str">
        <f>IFERROR(AVERAGEIFS('Picarro Output'!G:G, 'Picarro Output'!$B:$B, 'Uncalibrated Data'!$C3143, 'Picarro Output'!$I:$I, 0, 'Picarro Output'!$J:$J, 1), "")</f>
        <v/>
      </c>
    </row>
    <row r="3144" spans="2:5" x14ac:dyDescent="0.45">
      <c r="B3144" s="1"/>
      <c r="E3144" s="45" t="str">
        <f>IFERROR(AVERAGEIFS('Picarro Output'!G:G, 'Picarro Output'!$B:$B, 'Uncalibrated Data'!$C3144, 'Picarro Output'!$I:$I, 0, 'Picarro Output'!$J:$J, 1), "")</f>
        <v/>
      </c>
    </row>
    <row r="3145" spans="2:5" x14ac:dyDescent="0.45">
      <c r="B3145" s="1"/>
      <c r="E3145" s="45" t="str">
        <f>IFERROR(AVERAGEIFS('Picarro Output'!G:G, 'Picarro Output'!$B:$B, 'Uncalibrated Data'!$C3145, 'Picarro Output'!$I:$I, 0, 'Picarro Output'!$J:$J, 1), "")</f>
        <v/>
      </c>
    </row>
    <row r="3146" spans="2:5" x14ac:dyDescent="0.45">
      <c r="B3146" s="1"/>
      <c r="E3146" s="45" t="str">
        <f>IFERROR(AVERAGEIFS('Picarro Output'!G:G, 'Picarro Output'!$B:$B, 'Uncalibrated Data'!$C3146, 'Picarro Output'!$I:$I, 0, 'Picarro Output'!$J:$J, 1), "")</f>
        <v/>
      </c>
    </row>
    <row r="3147" spans="2:5" x14ac:dyDescent="0.45">
      <c r="B3147" s="1"/>
      <c r="E3147" s="45" t="str">
        <f>IFERROR(AVERAGEIFS('Picarro Output'!G:G, 'Picarro Output'!$B:$B, 'Uncalibrated Data'!$C3147, 'Picarro Output'!$I:$I, 0, 'Picarro Output'!$J:$J, 1), "")</f>
        <v/>
      </c>
    </row>
    <row r="3148" spans="2:5" x14ac:dyDescent="0.45">
      <c r="B3148" s="1"/>
      <c r="E3148" s="45" t="str">
        <f>IFERROR(AVERAGEIFS('Picarro Output'!G:G, 'Picarro Output'!$B:$B, 'Uncalibrated Data'!$C3148, 'Picarro Output'!$I:$I, 0, 'Picarro Output'!$J:$J, 1), "")</f>
        <v/>
      </c>
    </row>
    <row r="3149" spans="2:5" x14ac:dyDescent="0.45">
      <c r="B3149" s="1"/>
      <c r="E3149" s="45" t="str">
        <f>IFERROR(AVERAGEIFS('Picarro Output'!G:G, 'Picarro Output'!$B:$B, 'Uncalibrated Data'!$C3149, 'Picarro Output'!$I:$I, 0, 'Picarro Output'!$J:$J, 1), "")</f>
        <v/>
      </c>
    </row>
    <row r="3150" spans="2:5" x14ac:dyDescent="0.45">
      <c r="B3150" s="1"/>
      <c r="E3150" s="45" t="str">
        <f>IFERROR(AVERAGEIFS('Picarro Output'!G:G, 'Picarro Output'!$B:$B, 'Uncalibrated Data'!$C3150, 'Picarro Output'!$I:$I, 0, 'Picarro Output'!$J:$J, 1), "")</f>
        <v/>
      </c>
    </row>
    <row r="3151" spans="2:5" x14ac:dyDescent="0.45">
      <c r="B3151" s="1"/>
      <c r="E3151" s="45" t="str">
        <f>IFERROR(AVERAGEIFS('Picarro Output'!G:G, 'Picarro Output'!$B:$B, 'Uncalibrated Data'!$C3151, 'Picarro Output'!$I:$I, 0, 'Picarro Output'!$J:$J, 1), "")</f>
        <v/>
      </c>
    </row>
    <row r="3152" spans="2:5" x14ac:dyDescent="0.45">
      <c r="B3152" s="1"/>
      <c r="E3152" s="45" t="str">
        <f>IFERROR(AVERAGEIFS('Picarro Output'!G:G, 'Picarro Output'!$B:$B, 'Uncalibrated Data'!$C3152, 'Picarro Output'!$I:$I, 0, 'Picarro Output'!$J:$J, 1), "")</f>
        <v/>
      </c>
    </row>
    <row r="3153" spans="2:5" x14ac:dyDescent="0.45">
      <c r="B3153" s="1"/>
      <c r="E3153" s="45" t="str">
        <f>IFERROR(AVERAGEIFS('Picarro Output'!G:G, 'Picarro Output'!$B:$B, 'Uncalibrated Data'!$C3153, 'Picarro Output'!$I:$I, 0, 'Picarro Output'!$J:$J, 1), "")</f>
        <v/>
      </c>
    </row>
    <row r="3154" spans="2:5" x14ac:dyDescent="0.45">
      <c r="B3154" s="1"/>
      <c r="E3154" s="45" t="str">
        <f>IFERROR(AVERAGEIFS('Picarro Output'!G:G, 'Picarro Output'!$B:$B, 'Uncalibrated Data'!$C3154, 'Picarro Output'!$I:$I, 0, 'Picarro Output'!$J:$J, 1), "")</f>
        <v/>
      </c>
    </row>
    <row r="3155" spans="2:5" x14ac:dyDescent="0.45">
      <c r="B3155" s="1"/>
      <c r="E3155" s="45" t="str">
        <f>IFERROR(AVERAGEIFS('Picarro Output'!G:G, 'Picarro Output'!$B:$B, 'Uncalibrated Data'!$C3155, 'Picarro Output'!$I:$I, 0, 'Picarro Output'!$J:$J, 1), "")</f>
        <v/>
      </c>
    </row>
    <row r="3156" spans="2:5" x14ac:dyDescent="0.45">
      <c r="B3156" s="1"/>
      <c r="E3156" s="45" t="str">
        <f>IFERROR(AVERAGEIFS('Picarro Output'!G:G, 'Picarro Output'!$B:$B, 'Uncalibrated Data'!$C3156, 'Picarro Output'!$I:$I, 0, 'Picarro Output'!$J:$J, 1), "")</f>
        <v/>
      </c>
    </row>
    <row r="3157" spans="2:5" x14ac:dyDescent="0.45">
      <c r="B3157" s="1"/>
      <c r="E3157" s="45" t="str">
        <f>IFERROR(AVERAGEIFS('Picarro Output'!G:G, 'Picarro Output'!$B:$B, 'Uncalibrated Data'!$C3157, 'Picarro Output'!$I:$I, 0, 'Picarro Output'!$J:$J, 1), "")</f>
        <v/>
      </c>
    </row>
    <row r="3158" spans="2:5" x14ac:dyDescent="0.45">
      <c r="B3158" s="1"/>
      <c r="E3158" s="45" t="str">
        <f>IFERROR(AVERAGEIFS('Picarro Output'!G:G, 'Picarro Output'!$B:$B, 'Uncalibrated Data'!$C3158, 'Picarro Output'!$I:$I, 0, 'Picarro Output'!$J:$J, 1), "")</f>
        <v/>
      </c>
    </row>
    <row r="3159" spans="2:5" x14ac:dyDescent="0.45">
      <c r="B3159" s="1"/>
      <c r="E3159" s="45" t="str">
        <f>IFERROR(AVERAGEIFS('Picarro Output'!G:G, 'Picarro Output'!$B:$B, 'Uncalibrated Data'!$C3159, 'Picarro Output'!$I:$I, 0, 'Picarro Output'!$J:$J, 1), "")</f>
        <v/>
      </c>
    </row>
    <row r="3160" spans="2:5" x14ac:dyDescent="0.45">
      <c r="B3160" s="1"/>
      <c r="E3160" s="45" t="str">
        <f>IFERROR(AVERAGEIFS('Picarro Output'!G:G, 'Picarro Output'!$B:$B, 'Uncalibrated Data'!$C3160, 'Picarro Output'!$I:$I, 0, 'Picarro Output'!$J:$J, 1), "")</f>
        <v/>
      </c>
    </row>
    <row r="3161" spans="2:5" x14ac:dyDescent="0.45">
      <c r="B3161" s="1"/>
      <c r="E3161" s="45" t="str">
        <f>IFERROR(AVERAGEIFS('Picarro Output'!G:G, 'Picarro Output'!$B:$B, 'Uncalibrated Data'!$C3161, 'Picarro Output'!$I:$I, 0, 'Picarro Output'!$J:$J, 1), "")</f>
        <v/>
      </c>
    </row>
    <row r="3162" spans="2:5" x14ac:dyDescent="0.45">
      <c r="B3162" s="1"/>
      <c r="E3162" s="45" t="str">
        <f>IFERROR(AVERAGEIFS('Picarro Output'!G:G, 'Picarro Output'!$B:$B, 'Uncalibrated Data'!$C3162, 'Picarro Output'!$I:$I, 0, 'Picarro Output'!$J:$J, 1), "")</f>
        <v/>
      </c>
    </row>
    <row r="3163" spans="2:5" x14ac:dyDescent="0.45">
      <c r="B3163" s="1"/>
      <c r="E3163" s="45" t="str">
        <f>IFERROR(AVERAGEIFS('Picarro Output'!G:G, 'Picarro Output'!$B:$B, 'Uncalibrated Data'!$C3163, 'Picarro Output'!$I:$I, 0, 'Picarro Output'!$J:$J, 1), "")</f>
        <v/>
      </c>
    </row>
    <row r="3164" spans="2:5" x14ac:dyDescent="0.45">
      <c r="B3164" s="1"/>
      <c r="E3164" s="45" t="str">
        <f>IFERROR(AVERAGEIFS('Picarro Output'!G:G, 'Picarro Output'!$B:$B, 'Uncalibrated Data'!$C3164, 'Picarro Output'!$I:$I, 0, 'Picarro Output'!$J:$J, 1), "")</f>
        <v/>
      </c>
    </row>
    <row r="3165" spans="2:5" x14ac:dyDescent="0.45">
      <c r="B3165" s="1"/>
      <c r="E3165" s="45" t="str">
        <f>IFERROR(AVERAGEIFS('Picarro Output'!G:G, 'Picarro Output'!$B:$B, 'Uncalibrated Data'!$C3165, 'Picarro Output'!$I:$I, 0, 'Picarro Output'!$J:$J, 1), "")</f>
        <v/>
      </c>
    </row>
    <row r="3166" spans="2:5" x14ac:dyDescent="0.45">
      <c r="B3166" s="1"/>
      <c r="E3166" s="45" t="str">
        <f>IFERROR(AVERAGEIFS('Picarro Output'!G:G, 'Picarro Output'!$B:$B, 'Uncalibrated Data'!$C3166, 'Picarro Output'!$I:$I, 0, 'Picarro Output'!$J:$J, 1), "")</f>
        <v/>
      </c>
    </row>
    <row r="3167" spans="2:5" x14ac:dyDescent="0.45">
      <c r="B3167" s="1"/>
      <c r="E3167" s="45" t="str">
        <f>IFERROR(AVERAGEIFS('Picarro Output'!G:G, 'Picarro Output'!$B:$B, 'Uncalibrated Data'!$C3167, 'Picarro Output'!$I:$I, 0, 'Picarro Output'!$J:$J, 1), "")</f>
        <v/>
      </c>
    </row>
    <row r="3168" spans="2:5" x14ac:dyDescent="0.45">
      <c r="B3168" s="1"/>
      <c r="E3168" s="45" t="str">
        <f>IFERROR(AVERAGEIFS('Picarro Output'!G:G, 'Picarro Output'!$B:$B, 'Uncalibrated Data'!$C3168, 'Picarro Output'!$I:$I, 0, 'Picarro Output'!$J:$J, 1), "")</f>
        <v/>
      </c>
    </row>
    <row r="3169" spans="2:5" x14ac:dyDescent="0.45">
      <c r="B3169" s="1"/>
      <c r="E3169" s="45" t="str">
        <f>IFERROR(AVERAGEIFS('Picarro Output'!G:G, 'Picarro Output'!$B:$B, 'Uncalibrated Data'!$C3169, 'Picarro Output'!$I:$I, 0, 'Picarro Output'!$J:$J, 1), "")</f>
        <v/>
      </c>
    </row>
    <row r="3170" spans="2:5" x14ac:dyDescent="0.45">
      <c r="B3170" s="1"/>
      <c r="E3170" s="45" t="str">
        <f>IFERROR(AVERAGEIFS('Picarro Output'!G:G, 'Picarro Output'!$B:$B, 'Uncalibrated Data'!$C3170, 'Picarro Output'!$I:$I, 0, 'Picarro Output'!$J:$J, 1), "")</f>
        <v/>
      </c>
    </row>
    <row r="3171" spans="2:5" x14ac:dyDescent="0.45">
      <c r="B3171" s="1"/>
      <c r="E3171" s="45" t="str">
        <f>IFERROR(AVERAGEIFS('Picarro Output'!G:G, 'Picarro Output'!$B:$B, 'Uncalibrated Data'!$C3171, 'Picarro Output'!$I:$I, 0, 'Picarro Output'!$J:$J, 1), "")</f>
        <v/>
      </c>
    </row>
    <row r="3172" spans="2:5" x14ac:dyDescent="0.45">
      <c r="B3172" s="1"/>
      <c r="E3172" s="45" t="str">
        <f>IFERROR(AVERAGEIFS('Picarro Output'!G:G, 'Picarro Output'!$B:$B, 'Uncalibrated Data'!$C3172, 'Picarro Output'!$I:$I, 0, 'Picarro Output'!$J:$J, 1), "")</f>
        <v/>
      </c>
    </row>
    <row r="3173" spans="2:5" x14ac:dyDescent="0.45">
      <c r="B3173" s="1"/>
      <c r="E3173" s="45" t="str">
        <f>IFERROR(AVERAGEIFS('Picarro Output'!G:G, 'Picarro Output'!$B:$B, 'Uncalibrated Data'!$C3173, 'Picarro Output'!$I:$I, 0, 'Picarro Output'!$J:$J, 1), "")</f>
        <v/>
      </c>
    </row>
    <row r="3174" spans="2:5" x14ac:dyDescent="0.45">
      <c r="B3174" s="1"/>
      <c r="E3174" s="45" t="str">
        <f>IFERROR(AVERAGEIFS('Picarro Output'!G:G, 'Picarro Output'!$B:$B, 'Uncalibrated Data'!$C3174, 'Picarro Output'!$I:$I, 0, 'Picarro Output'!$J:$J, 1), "")</f>
        <v/>
      </c>
    </row>
    <row r="3175" spans="2:5" x14ac:dyDescent="0.45">
      <c r="B3175" s="1"/>
      <c r="E3175" s="45" t="str">
        <f>IFERROR(AVERAGEIFS('Picarro Output'!G:G, 'Picarro Output'!$B:$B, 'Uncalibrated Data'!$C3175, 'Picarro Output'!$I:$I, 0, 'Picarro Output'!$J:$J, 1), "")</f>
        <v/>
      </c>
    </row>
    <row r="3176" spans="2:5" x14ac:dyDescent="0.45">
      <c r="B3176" s="1"/>
      <c r="E3176" s="45" t="str">
        <f>IFERROR(AVERAGEIFS('Picarro Output'!G:G, 'Picarro Output'!$B:$B, 'Uncalibrated Data'!$C3176, 'Picarro Output'!$I:$I, 0, 'Picarro Output'!$J:$J, 1), "")</f>
        <v/>
      </c>
    </row>
    <row r="3177" spans="2:5" x14ac:dyDescent="0.45">
      <c r="B3177" s="1"/>
      <c r="E3177" s="45" t="str">
        <f>IFERROR(AVERAGEIFS('Picarro Output'!G:G, 'Picarro Output'!$B:$B, 'Uncalibrated Data'!$C3177, 'Picarro Output'!$I:$I, 0, 'Picarro Output'!$J:$J, 1), "")</f>
        <v/>
      </c>
    </row>
    <row r="3178" spans="2:5" x14ac:dyDescent="0.45">
      <c r="B3178" s="1"/>
      <c r="E3178" s="45" t="str">
        <f>IFERROR(AVERAGEIFS('Picarro Output'!G:G, 'Picarro Output'!$B:$B, 'Uncalibrated Data'!$C3178, 'Picarro Output'!$I:$I, 0, 'Picarro Output'!$J:$J, 1), "")</f>
        <v/>
      </c>
    </row>
    <row r="3179" spans="2:5" x14ac:dyDescent="0.45">
      <c r="B3179" s="1"/>
      <c r="E3179" s="45" t="str">
        <f>IFERROR(AVERAGEIFS('Picarro Output'!G:G, 'Picarro Output'!$B:$B, 'Uncalibrated Data'!$C3179, 'Picarro Output'!$I:$I, 0, 'Picarro Output'!$J:$J, 1), "")</f>
        <v/>
      </c>
    </row>
    <row r="3180" spans="2:5" x14ac:dyDescent="0.45">
      <c r="B3180" s="1"/>
      <c r="E3180" s="45" t="str">
        <f>IFERROR(AVERAGEIFS('Picarro Output'!G:G, 'Picarro Output'!$B:$B, 'Uncalibrated Data'!$C3180, 'Picarro Output'!$I:$I, 0, 'Picarro Output'!$J:$J, 1), "")</f>
        <v/>
      </c>
    </row>
    <row r="3181" spans="2:5" x14ac:dyDescent="0.45">
      <c r="B3181" s="1"/>
      <c r="E3181" s="45" t="str">
        <f>IFERROR(AVERAGEIFS('Picarro Output'!G:G, 'Picarro Output'!$B:$B, 'Uncalibrated Data'!$C3181, 'Picarro Output'!$I:$I, 0, 'Picarro Output'!$J:$J, 1), "")</f>
        <v/>
      </c>
    </row>
    <row r="3182" spans="2:5" x14ac:dyDescent="0.45">
      <c r="B3182" s="1"/>
      <c r="E3182" s="45" t="str">
        <f>IFERROR(AVERAGEIFS('Picarro Output'!G:G, 'Picarro Output'!$B:$B, 'Uncalibrated Data'!$C3182, 'Picarro Output'!$I:$I, 0, 'Picarro Output'!$J:$J, 1), "")</f>
        <v/>
      </c>
    </row>
    <row r="3183" spans="2:5" x14ac:dyDescent="0.45">
      <c r="B3183" s="1"/>
      <c r="E3183" s="45" t="str">
        <f>IFERROR(AVERAGEIFS('Picarro Output'!G:G, 'Picarro Output'!$B:$B, 'Uncalibrated Data'!$C3183, 'Picarro Output'!$I:$I, 0, 'Picarro Output'!$J:$J, 1), "")</f>
        <v/>
      </c>
    </row>
    <row r="3184" spans="2:5" x14ac:dyDescent="0.45">
      <c r="B3184" s="1"/>
      <c r="E3184" s="45" t="str">
        <f>IFERROR(AVERAGEIFS('Picarro Output'!G:G, 'Picarro Output'!$B:$B, 'Uncalibrated Data'!$C3184, 'Picarro Output'!$I:$I, 0, 'Picarro Output'!$J:$J, 1), "")</f>
        <v/>
      </c>
    </row>
    <row r="3185" spans="2:5" x14ac:dyDescent="0.45">
      <c r="B3185" s="1"/>
      <c r="E3185" s="45" t="str">
        <f>IFERROR(AVERAGEIFS('Picarro Output'!G:G, 'Picarro Output'!$B:$B, 'Uncalibrated Data'!$C3185, 'Picarro Output'!$I:$I, 0, 'Picarro Output'!$J:$J, 1), "")</f>
        <v/>
      </c>
    </row>
    <row r="3186" spans="2:5" x14ac:dyDescent="0.45">
      <c r="B3186" s="1"/>
      <c r="E3186" s="45" t="str">
        <f>IFERROR(AVERAGEIFS('Picarro Output'!G:G, 'Picarro Output'!$B:$B, 'Uncalibrated Data'!$C3186, 'Picarro Output'!$I:$I, 0, 'Picarro Output'!$J:$J, 1), "")</f>
        <v/>
      </c>
    </row>
    <row r="3187" spans="2:5" x14ac:dyDescent="0.45">
      <c r="B3187" s="1"/>
      <c r="E3187" s="45" t="str">
        <f>IFERROR(AVERAGEIFS('Picarro Output'!G:G, 'Picarro Output'!$B:$B, 'Uncalibrated Data'!$C3187, 'Picarro Output'!$I:$I, 0, 'Picarro Output'!$J:$J, 1), "")</f>
        <v/>
      </c>
    </row>
    <row r="3188" spans="2:5" x14ac:dyDescent="0.45">
      <c r="B3188" s="1"/>
      <c r="E3188" s="45" t="str">
        <f>IFERROR(AVERAGEIFS('Picarro Output'!G:G, 'Picarro Output'!$B:$B, 'Uncalibrated Data'!$C3188, 'Picarro Output'!$I:$I, 0, 'Picarro Output'!$J:$J, 1), "")</f>
        <v/>
      </c>
    </row>
    <row r="3189" spans="2:5" x14ac:dyDescent="0.45">
      <c r="B3189" s="1"/>
      <c r="E3189" s="45" t="str">
        <f>IFERROR(AVERAGEIFS('Picarro Output'!G:G, 'Picarro Output'!$B:$B, 'Uncalibrated Data'!$C3189, 'Picarro Output'!$I:$I, 0, 'Picarro Output'!$J:$J, 1), "")</f>
        <v/>
      </c>
    </row>
    <row r="3190" spans="2:5" x14ac:dyDescent="0.45">
      <c r="B3190" s="1"/>
      <c r="E3190" s="45" t="str">
        <f>IFERROR(AVERAGEIFS('Picarro Output'!G:G, 'Picarro Output'!$B:$B, 'Uncalibrated Data'!$C3190, 'Picarro Output'!$I:$I, 0, 'Picarro Output'!$J:$J, 1), "")</f>
        <v/>
      </c>
    </row>
    <row r="3191" spans="2:5" x14ac:dyDescent="0.45">
      <c r="B3191" s="1"/>
      <c r="E3191" s="45" t="str">
        <f>IFERROR(AVERAGEIFS('Picarro Output'!G:G, 'Picarro Output'!$B:$B, 'Uncalibrated Data'!$C3191, 'Picarro Output'!$I:$I, 0, 'Picarro Output'!$J:$J, 1), "")</f>
        <v/>
      </c>
    </row>
    <row r="3192" spans="2:5" x14ac:dyDescent="0.45">
      <c r="B3192" s="1"/>
      <c r="E3192" s="45" t="str">
        <f>IFERROR(AVERAGEIFS('Picarro Output'!G:G, 'Picarro Output'!$B:$B, 'Uncalibrated Data'!$C3192, 'Picarro Output'!$I:$I, 0, 'Picarro Output'!$J:$J, 1), "")</f>
        <v/>
      </c>
    </row>
    <row r="3193" spans="2:5" x14ac:dyDescent="0.45">
      <c r="B3193" s="1"/>
      <c r="E3193" s="45" t="str">
        <f>IFERROR(AVERAGEIFS('Picarro Output'!G:G, 'Picarro Output'!$B:$B, 'Uncalibrated Data'!$C3193, 'Picarro Output'!$I:$I, 0, 'Picarro Output'!$J:$J, 1), "")</f>
        <v/>
      </c>
    </row>
    <row r="3194" spans="2:5" x14ac:dyDescent="0.45">
      <c r="B3194" s="1"/>
      <c r="E3194" s="45" t="str">
        <f>IFERROR(AVERAGEIFS('Picarro Output'!G:G, 'Picarro Output'!$B:$B, 'Uncalibrated Data'!$C3194, 'Picarro Output'!$I:$I, 0, 'Picarro Output'!$J:$J, 1), "")</f>
        <v/>
      </c>
    </row>
    <row r="3195" spans="2:5" x14ac:dyDescent="0.45">
      <c r="B3195" s="1"/>
      <c r="E3195" s="45" t="str">
        <f>IFERROR(AVERAGEIFS('Picarro Output'!G:G, 'Picarro Output'!$B:$B, 'Uncalibrated Data'!$C3195, 'Picarro Output'!$I:$I, 0, 'Picarro Output'!$J:$J, 1), "")</f>
        <v/>
      </c>
    </row>
    <row r="3196" spans="2:5" x14ac:dyDescent="0.45">
      <c r="B3196" s="1"/>
      <c r="E3196" s="45" t="str">
        <f>IFERROR(AVERAGEIFS('Picarro Output'!G:G, 'Picarro Output'!$B:$B, 'Uncalibrated Data'!$C3196, 'Picarro Output'!$I:$I, 0, 'Picarro Output'!$J:$J, 1), "")</f>
        <v/>
      </c>
    </row>
    <row r="3197" spans="2:5" x14ac:dyDescent="0.45">
      <c r="B3197" s="1"/>
      <c r="E3197" s="45" t="str">
        <f>IFERROR(AVERAGEIFS('Picarro Output'!G:G, 'Picarro Output'!$B:$B, 'Uncalibrated Data'!$C3197, 'Picarro Output'!$I:$I, 0, 'Picarro Output'!$J:$J, 1), "")</f>
        <v/>
      </c>
    </row>
    <row r="3198" spans="2:5" x14ac:dyDescent="0.45">
      <c r="B3198" s="1"/>
      <c r="E3198" s="45" t="str">
        <f>IFERROR(AVERAGEIFS('Picarro Output'!G:G, 'Picarro Output'!$B:$B, 'Uncalibrated Data'!$C3198, 'Picarro Output'!$I:$I, 0, 'Picarro Output'!$J:$J, 1), "")</f>
        <v/>
      </c>
    </row>
    <row r="3199" spans="2:5" x14ac:dyDescent="0.45">
      <c r="B3199" s="1"/>
      <c r="E3199" s="45" t="str">
        <f>IFERROR(AVERAGEIFS('Picarro Output'!G:G, 'Picarro Output'!$B:$B, 'Uncalibrated Data'!$C3199, 'Picarro Output'!$I:$I, 0, 'Picarro Output'!$J:$J, 1), "")</f>
        <v/>
      </c>
    </row>
    <row r="3200" spans="2:5" x14ac:dyDescent="0.45">
      <c r="B3200" s="1"/>
      <c r="E3200" s="45" t="str">
        <f>IFERROR(AVERAGEIFS('Picarro Output'!G:G, 'Picarro Output'!$B:$B, 'Uncalibrated Data'!$C3200, 'Picarro Output'!$I:$I, 0, 'Picarro Output'!$J:$J, 1), "")</f>
        <v/>
      </c>
    </row>
    <row r="3201" spans="2:5" x14ac:dyDescent="0.45">
      <c r="B3201" s="1"/>
      <c r="E3201" s="45" t="str">
        <f>IFERROR(AVERAGEIFS('Picarro Output'!G:G, 'Picarro Output'!$B:$B, 'Uncalibrated Data'!$C3201, 'Picarro Output'!$I:$I, 0, 'Picarro Output'!$J:$J, 1), "")</f>
        <v/>
      </c>
    </row>
    <row r="3202" spans="2:5" x14ac:dyDescent="0.45">
      <c r="B3202" s="1"/>
      <c r="E3202" s="45" t="str">
        <f>IFERROR(AVERAGEIFS('Picarro Output'!G:G, 'Picarro Output'!$B:$B, 'Uncalibrated Data'!$C3202, 'Picarro Output'!$I:$I, 0, 'Picarro Output'!$J:$J, 1), "")</f>
        <v/>
      </c>
    </row>
    <row r="3203" spans="2:5" x14ac:dyDescent="0.45">
      <c r="B3203" s="1"/>
      <c r="E3203" s="45" t="str">
        <f>IFERROR(AVERAGEIFS('Picarro Output'!G:G, 'Picarro Output'!$B:$B, 'Uncalibrated Data'!$C3203, 'Picarro Output'!$I:$I, 0, 'Picarro Output'!$J:$J, 1), "")</f>
        <v/>
      </c>
    </row>
    <row r="3204" spans="2:5" x14ac:dyDescent="0.45">
      <c r="B3204" s="1"/>
      <c r="E3204" s="45" t="str">
        <f>IFERROR(AVERAGEIFS('Picarro Output'!G:G, 'Picarro Output'!$B:$B, 'Uncalibrated Data'!$C3204, 'Picarro Output'!$I:$I, 0, 'Picarro Output'!$J:$J, 1), "")</f>
        <v/>
      </c>
    </row>
    <row r="3205" spans="2:5" x14ac:dyDescent="0.45">
      <c r="B3205" s="1"/>
      <c r="E3205" s="45" t="str">
        <f>IFERROR(AVERAGEIFS('Picarro Output'!G:G, 'Picarro Output'!$B:$B, 'Uncalibrated Data'!$C3205, 'Picarro Output'!$I:$I, 0, 'Picarro Output'!$J:$J, 1), "")</f>
        <v/>
      </c>
    </row>
    <row r="3206" spans="2:5" x14ac:dyDescent="0.45">
      <c r="B3206" s="1"/>
      <c r="E3206" s="45" t="str">
        <f>IFERROR(AVERAGEIFS('Picarro Output'!G:G, 'Picarro Output'!$B:$B, 'Uncalibrated Data'!$C3206, 'Picarro Output'!$I:$I, 0, 'Picarro Output'!$J:$J, 1), "")</f>
        <v/>
      </c>
    </row>
    <row r="3207" spans="2:5" x14ac:dyDescent="0.45">
      <c r="B3207" s="1"/>
      <c r="E3207" s="45" t="str">
        <f>IFERROR(AVERAGEIFS('Picarro Output'!G:G, 'Picarro Output'!$B:$B, 'Uncalibrated Data'!$C3207, 'Picarro Output'!$I:$I, 0, 'Picarro Output'!$J:$J, 1), "")</f>
        <v/>
      </c>
    </row>
    <row r="3208" spans="2:5" x14ac:dyDescent="0.45">
      <c r="B3208" s="1"/>
      <c r="E3208" s="45" t="str">
        <f>IFERROR(AVERAGEIFS('Picarro Output'!G:G, 'Picarro Output'!$B:$B, 'Uncalibrated Data'!$C3208, 'Picarro Output'!$I:$I, 0, 'Picarro Output'!$J:$J, 1), "")</f>
        <v/>
      </c>
    </row>
    <row r="3209" spans="2:5" x14ac:dyDescent="0.45">
      <c r="B3209" s="1"/>
      <c r="E3209" s="45" t="str">
        <f>IFERROR(AVERAGEIFS('Picarro Output'!G:G, 'Picarro Output'!$B:$B, 'Uncalibrated Data'!$C3209, 'Picarro Output'!$I:$I, 0, 'Picarro Output'!$J:$J, 1), "")</f>
        <v/>
      </c>
    </row>
    <row r="3210" spans="2:5" x14ac:dyDescent="0.45">
      <c r="B3210" s="1"/>
      <c r="E3210" s="45" t="str">
        <f>IFERROR(AVERAGEIFS('Picarro Output'!G:G, 'Picarro Output'!$B:$B, 'Uncalibrated Data'!$C3210, 'Picarro Output'!$I:$I, 0, 'Picarro Output'!$J:$J, 1), "")</f>
        <v/>
      </c>
    </row>
    <row r="3211" spans="2:5" x14ac:dyDescent="0.45">
      <c r="B3211" s="1"/>
      <c r="E3211" s="45" t="str">
        <f>IFERROR(AVERAGEIFS('Picarro Output'!G:G, 'Picarro Output'!$B:$B, 'Uncalibrated Data'!$C3211, 'Picarro Output'!$I:$I, 0, 'Picarro Output'!$J:$J, 1), "")</f>
        <v/>
      </c>
    </row>
    <row r="3212" spans="2:5" x14ac:dyDescent="0.45">
      <c r="B3212" s="1"/>
      <c r="E3212" s="45" t="str">
        <f>IFERROR(AVERAGEIFS('Picarro Output'!G:G, 'Picarro Output'!$B:$B, 'Uncalibrated Data'!$C3212, 'Picarro Output'!$I:$I, 0, 'Picarro Output'!$J:$J, 1), "")</f>
        <v/>
      </c>
    </row>
    <row r="3213" spans="2:5" x14ac:dyDescent="0.45">
      <c r="B3213" s="1"/>
      <c r="E3213" s="45" t="str">
        <f>IFERROR(AVERAGEIFS('Picarro Output'!G:G, 'Picarro Output'!$B:$B, 'Uncalibrated Data'!$C3213, 'Picarro Output'!$I:$I, 0, 'Picarro Output'!$J:$J, 1), "")</f>
        <v/>
      </c>
    </row>
    <row r="3214" spans="2:5" x14ac:dyDescent="0.45">
      <c r="B3214" s="1"/>
      <c r="E3214" s="45" t="str">
        <f>IFERROR(AVERAGEIFS('Picarro Output'!G:G, 'Picarro Output'!$B:$B, 'Uncalibrated Data'!$C3214, 'Picarro Output'!$I:$I, 0, 'Picarro Output'!$J:$J, 1), "")</f>
        <v/>
      </c>
    </row>
    <row r="3215" spans="2:5" x14ac:dyDescent="0.45">
      <c r="B3215" s="1"/>
      <c r="E3215" s="45" t="str">
        <f>IFERROR(AVERAGEIFS('Picarro Output'!G:G, 'Picarro Output'!$B:$B, 'Uncalibrated Data'!$C3215, 'Picarro Output'!$I:$I, 0, 'Picarro Output'!$J:$J, 1), "")</f>
        <v/>
      </c>
    </row>
    <row r="3216" spans="2:5" x14ac:dyDescent="0.45">
      <c r="B3216" s="1"/>
      <c r="E3216" s="45" t="str">
        <f>IFERROR(AVERAGEIFS('Picarro Output'!G:G, 'Picarro Output'!$B:$B, 'Uncalibrated Data'!$C3216, 'Picarro Output'!$I:$I, 0, 'Picarro Output'!$J:$J, 1), "")</f>
        <v/>
      </c>
    </row>
    <row r="3217" spans="2:5" x14ac:dyDescent="0.45">
      <c r="B3217" s="1"/>
      <c r="E3217" s="45" t="str">
        <f>IFERROR(AVERAGEIFS('Picarro Output'!G:G, 'Picarro Output'!$B:$B, 'Uncalibrated Data'!$C3217, 'Picarro Output'!$I:$I, 0, 'Picarro Output'!$J:$J, 1), "")</f>
        <v/>
      </c>
    </row>
    <row r="3218" spans="2:5" x14ac:dyDescent="0.45">
      <c r="B3218" s="1"/>
      <c r="E3218" s="45" t="str">
        <f>IFERROR(AVERAGEIFS('Picarro Output'!G:G, 'Picarro Output'!$B:$B, 'Uncalibrated Data'!$C3218, 'Picarro Output'!$I:$I, 0, 'Picarro Output'!$J:$J, 1), "")</f>
        <v/>
      </c>
    </row>
    <row r="3219" spans="2:5" x14ac:dyDescent="0.45">
      <c r="B3219" s="1"/>
      <c r="E3219" s="45" t="str">
        <f>IFERROR(AVERAGEIFS('Picarro Output'!G:G, 'Picarro Output'!$B:$B, 'Uncalibrated Data'!$C3219, 'Picarro Output'!$I:$I, 0, 'Picarro Output'!$J:$J, 1), "")</f>
        <v/>
      </c>
    </row>
    <row r="3220" spans="2:5" x14ac:dyDescent="0.45">
      <c r="B3220" s="1"/>
      <c r="E3220" s="45" t="str">
        <f>IFERROR(AVERAGEIFS('Picarro Output'!G:G, 'Picarro Output'!$B:$B, 'Uncalibrated Data'!$C3220, 'Picarro Output'!$I:$I, 0, 'Picarro Output'!$J:$J, 1), "")</f>
        <v/>
      </c>
    </row>
    <row r="3221" spans="2:5" x14ac:dyDescent="0.45">
      <c r="B3221" s="1"/>
      <c r="E3221" s="45" t="str">
        <f>IFERROR(AVERAGEIFS('Picarro Output'!G:G, 'Picarro Output'!$B:$B, 'Uncalibrated Data'!$C3221, 'Picarro Output'!$I:$I, 0, 'Picarro Output'!$J:$J, 1), "")</f>
        <v/>
      </c>
    </row>
    <row r="3222" spans="2:5" x14ac:dyDescent="0.45">
      <c r="B3222" s="1"/>
      <c r="E3222" s="45" t="str">
        <f>IFERROR(AVERAGEIFS('Picarro Output'!G:G, 'Picarro Output'!$B:$B, 'Uncalibrated Data'!$C3222, 'Picarro Output'!$I:$I, 0, 'Picarro Output'!$J:$J, 1), "")</f>
        <v/>
      </c>
    </row>
    <row r="3223" spans="2:5" x14ac:dyDescent="0.45">
      <c r="B3223" s="1"/>
      <c r="E3223" s="45" t="str">
        <f>IFERROR(AVERAGEIFS('Picarro Output'!G:G, 'Picarro Output'!$B:$B, 'Uncalibrated Data'!$C3223, 'Picarro Output'!$I:$I, 0, 'Picarro Output'!$J:$J, 1), "")</f>
        <v/>
      </c>
    </row>
    <row r="3224" spans="2:5" x14ac:dyDescent="0.45">
      <c r="B3224" s="1"/>
      <c r="E3224" s="45" t="str">
        <f>IFERROR(AVERAGEIFS('Picarro Output'!G:G, 'Picarro Output'!$B:$B, 'Uncalibrated Data'!$C3224, 'Picarro Output'!$I:$I, 0, 'Picarro Output'!$J:$J, 1), "")</f>
        <v/>
      </c>
    </row>
    <row r="3225" spans="2:5" x14ac:dyDescent="0.45">
      <c r="B3225" s="1"/>
      <c r="E3225" s="45" t="str">
        <f>IFERROR(AVERAGEIFS('Picarro Output'!G:G, 'Picarro Output'!$B:$B, 'Uncalibrated Data'!$C3225, 'Picarro Output'!$I:$I, 0, 'Picarro Output'!$J:$J, 1), "")</f>
        <v/>
      </c>
    </row>
    <row r="3226" spans="2:5" x14ac:dyDescent="0.45">
      <c r="B3226" s="1"/>
      <c r="E3226" s="45" t="str">
        <f>IFERROR(AVERAGEIFS('Picarro Output'!G:G, 'Picarro Output'!$B:$B, 'Uncalibrated Data'!$C3226, 'Picarro Output'!$I:$I, 0, 'Picarro Output'!$J:$J, 1), "")</f>
        <v/>
      </c>
    </row>
    <row r="3227" spans="2:5" x14ac:dyDescent="0.45">
      <c r="B3227" s="1"/>
      <c r="E3227" s="45" t="str">
        <f>IFERROR(AVERAGEIFS('Picarro Output'!G:G, 'Picarro Output'!$B:$B, 'Uncalibrated Data'!$C3227, 'Picarro Output'!$I:$I, 0, 'Picarro Output'!$J:$J, 1), "")</f>
        <v/>
      </c>
    </row>
    <row r="3228" spans="2:5" x14ac:dyDescent="0.45">
      <c r="B3228" s="1"/>
      <c r="E3228" s="45" t="str">
        <f>IFERROR(AVERAGEIFS('Picarro Output'!G:G, 'Picarro Output'!$B:$B, 'Uncalibrated Data'!$C3228, 'Picarro Output'!$I:$I, 0, 'Picarro Output'!$J:$J, 1), "")</f>
        <v/>
      </c>
    </row>
    <row r="3229" spans="2:5" x14ac:dyDescent="0.45">
      <c r="B3229" s="1"/>
      <c r="E3229" s="45" t="str">
        <f>IFERROR(AVERAGEIFS('Picarro Output'!G:G, 'Picarro Output'!$B:$B, 'Uncalibrated Data'!$C3229, 'Picarro Output'!$I:$I, 0, 'Picarro Output'!$J:$J, 1), "")</f>
        <v/>
      </c>
    </row>
    <row r="3230" spans="2:5" x14ac:dyDescent="0.45">
      <c r="B3230" s="1"/>
      <c r="E3230" s="45" t="str">
        <f>IFERROR(AVERAGEIFS('Picarro Output'!G:G, 'Picarro Output'!$B:$B, 'Uncalibrated Data'!$C3230, 'Picarro Output'!$I:$I, 0, 'Picarro Output'!$J:$J, 1), "")</f>
        <v/>
      </c>
    </row>
    <row r="3231" spans="2:5" x14ac:dyDescent="0.45">
      <c r="B3231" s="1"/>
      <c r="E3231" s="45" t="str">
        <f>IFERROR(AVERAGEIFS('Picarro Output'!G:G, 'Picarro Output'!$B:$B, 'Uncalibrated Data'!$C3231, 'Picarro Output'!$I:$I, 0, 'Picarro Output'!$J:$J, 1), "")</f>
        <v/>
      </c>
    </row>
    <row r="3232" spans="2:5" x14ac:dyDescent="0.45">
      <c r="B3232" s="1"/>
      <c r="E3232" s="45" t="str">
        <f>IFERROR(AVERAGEIFS('Picarro Output'!G:G, 'Picarro Output'!$B:$B, 'Uncalibrated Data'!$C3232, 'Picarro Output'!$I:$I, 0, 'Picarro Output'!$J:$J, 1), "")</f>
        <v/>
      </c>
    </row>
    <row r="3233" spans="2:5" x14ac:dyDescent="0.45">
      <c r="B3233" s="1"/>
      <c r="E3233" s="45" t="str">
        <f>IFERROR(AVERAGEIFS('Picarro Output'!G:G, 'Picarro Output'!$B:$B, 'Uncalibrated Data'!$C3233, 'Picarro Output'!$I:$I, 0, 'Picarro Output'!$J:$J, 1), "")</f>
        <v/>
      </c>
    </row>
    <row r="3234" spans="2:5" x14ac:dyDescent="0.45">
      <c r="B3234" s="1"/>
      <c r="E3234" s="45" t="str">
        <f>IFERROR(AVERAGEIFS('Picarro Output'!G:G, 'Picarro Output'!$B:$B, 'Uncalibrated Data'!$C3234, 'Picarro Output'!$I:$I, 0, 'Picarro Output'!$J:$J, 1), "")</f>
        <v/>
      </c>
    </row>
    <row r="3235" spans="2:5" x14ac:dyDescent="0.45">
      <c r="B3235" s="1"/>
      <c r="E3235" s="45" t="str">
        <f>IFERROR(AVERAGEIFS('Picarro Output'!G:G, 'Picarro Output'!$B:$B, 'Uncalibrated Data'!$C3235, 'Picarro Output'!$I:$I, 0, 'Picarro Output'!$J:$J, 1), "")</f>
        <v/>
      </c>
    </row>
    <row r="3236" spans="2:5" x14ac:dyDescent="0.45">
      <c r="B3236" s="1"/>
      <c r="E3236" s="45" t="str">
        <f>IFERROR(AVERAGEIFS('Picarro Output'!G:G, 'Picarro Output'!$B:$B, 'Uncalibrated Data'!$C3236, 'Picarro Output'!$I:$I, 0, 'Picarro Output'!$J:$J, 1), "")</f>
        <v/>
      </c>
    </row>
    <row r="3237" spans="2:5" x14ac:dyDescent="0.45">
      <c r="B3237" s="1"/>
      <c r="E3237" s="45" t="str">
        <f>IFERROR(AVERAGEIFS('Picarro Output'!G:G, 'Picarro Output'!$B:$B, 'Uncalibrated Data'!$C3237, 'Picarro Output'!$I:$I, 0, 'Picarro Output'!$J:$J, 1), "")</f>
        <v/>
      </c>
    </row>
    <row r="3238" spans="2:5" x14ac:dyDescent="0.45">
      <c r="B3238" s="1"/>
      <c r="E3238" s="45" t="str">
        <f>IFERROR(AVERAGEIFS('Picarro Output'!G:G, 'Picarro Output'!$B:$B, 'Uncalibrated Data'!$C3238, 'Picarro Output'!$I:$I, 0, 'Picarro Output'!$J:$J, 1), "")</f>
        <v/>
      </c>
    </row>
    <row r="3239" spans="2:5" x14ac:dyDescent="0.45">
      <c r="B3239" s="1"/>
      <c r="E3239" s="45" t="str">
        <f>IFERROR(AVERAGEIFS('Picarro Output'!G:G, 'Picarro Output'!$B:$B, 'Uncalibrated Data'!$C3239, 'Picarro Output'!$I:$I, 0, 'Picarro Output'!$J:$J, 1), "")</f>
        <v/>
      </c>
    </row>
    <row r="3240" spans="2:5" x14ac:dyDescent="0.45">
      <c r="B3240" s="1"/>
      <c r="E3240" s="45" t="str">
        <f>IFERROR(AVERAGEIFS('Picarro Output'!G:G, 'Picarro Output'!$B:$B, 'Uncalibrated Data'!$C3240, 'Picarro Output'!$I:$I, 0, 'Picarro Output'!$J:$J, 1), "")</f>
        <v/>
      </c>
    </row>
    <row r="3241" spans="2:5" x14ac:dyDescent="0.45">
      <c r="B3241" s="1"/>
      <c r="E3241" s="45" t="str">
        <f>IFERROR(AVERAGEIFS('Picarro Output'!G:G, 'Picarro Output'!$B:$B, 'Uncalibrated Data'!$C3241, 'Picarro Output'!$I:$I, 0, 'Picarro Output'!$J:$J, 1), "")</f>
        <v/>
      </c>
    </row>
    <row r="3242" spans="2:5" x14ac:dyDescent="0.45">
      <c r="B3242" s="1"/>
      <c r="E3242" s="45" t="str">
        <f>IFERROR(AVERAGEIFS('Picarro Output'!G:G, 'Picarro Output'!$B:$B, 'Uncalibrated Data'!$C3242, 'Picarro Output'!$I:$I, 0, 'Picarro Output'!$J:$J, 1), "")</f>
        <v/>
      </c>
    </row>
    <row r="3243" spans="2:5" x14ac:dyDescent="0.45">
      <c r="B3243" s="1"/>
      <c r="E3243" s="45" t="str">
        <f>IFERROR(AVERAGEIFS('Picarro Output'!G:G, 'Picarro Output'!$B:$B, 'Uncalibrated Data'!$C3243, 'Picarro Output'!$I:$I, 0, 'Picarro Output'!$J:$J, 1), "")</f>
        <v/>
      </c>
    </row>
    <row r="3244" spans="2:5" x14ac:dyDescent="0.45">
      <c r="B3244" s="1"/>
      <c r="E3244" s="45" t="str">
        <f>IFERROR(AVERAGEIFS('Picarro Output'!G:G, 'Picarro Output'!$B:$B, 'Uncalibrated Data'!$C3244, 'Picarro Output'!$I:$I, 0, 'Picarro Output'!$J:$J, 1), "")</f>
        <v/>
      </c>
    </row>
    <row r="3245" spans="2:5" x14ac:dyDescent="0.45">
      <c r="B3245" s="1"/>
      <c r="E3245" s="45" t="str">
        <f>IFERROR(AVERAGEIFS('Picarro Output'!G:G, 'Picarro Output'!$B:$B, 'Uncalibrated Data'!$C3245, 'Picarro Output'!$I:$I, 0, 'Picarro Output'!$J:$J, 1), "")</f>
        <v/>
      </c>
    </row>
    <row r="3246" spans="2:5" x14ac:dyDescent="0.45">
      <c r="B3246" s="1"/>
      <c r="E3246" s="45" t="str">
        <f>IFERROR(AVERAGEIFS('Picarro Output'!G:G, 'Picarro Output'!$B:$B, 'Uncalibrated Data'!$C3246, 'Picarro Output'!$I:$I, 0, 'Picarro Output'!$J:$J, 1), "")</f>
        <v/>
      </c>
    </row>
    <row r="3247" spans="2:5" x14ac:dyDescent="0.45">
      <c r="B3247" s="1"/>
      <c r="E3247" s="45" t="str">
        <f>IFERROR(AVERAGEIFS('Picarro Output'!G:G, 'Picarro Output'!$B:$B, 'Uncalibrated Data'!$C3247, 'Picarro Output'!$I:$I, 0, 'Picarro Output'!$J:$J, 1), "")</f>
        <v/>
      </c>
    </row>
    <row r="3248" spans="2:5" x14ac:dyDescent="0.45">
      <c r="B3248" s="1"/>
      <c r="E3248" s="45" t="str">
        <f>IFERROR(AVERAGEIFS('Picarro Output'!G:G, 'Picarro Output'!$B:$B, 'Uncalibrated Data'!$C3248, 'Picarro Output'!$I:$I, 0, 'Picarro Output'!$J:$J, 1), "")</f>
        <v/>
      </c>
    </row>
    <row r="3249" spans="2:5" x14ac:dyDescent="0.45">
      <c r="B3249" s="1"/>
      <c r="E3249" s="45" t="str">
        <f>IFERROR(AVERAGEIFS('Picarro Output'!G:G, 'Picarro Output'!$B:$B, 'Uncalibrated Data'!$C3249, 'Picarro Output'!$I:$I, 0, 'Picarro Output'!$J:$J, 1), "")</f>
        <v/>
      </c>
    </row>
    <row r="3250" spans="2:5" x14ac:dyDescent="0.45">
      <c r="B3250" s="1"/>
      <c r="E3250" s="45" t="str">
        <f>IFERROR(AVERAGEIFS('Picarro Output'!G:G, 'Picarro Output'!$B:$B, 'Uncalibrated Data'!$C3250, 'Picarro Output'!$I:$I, 0, 'Picarro Output'!$J:$J, 1), "")</f>
        <v/>
      </c>
    </row>
    <row r="3251" spans="2:5" x14ac:dyDescent="0.45">
      <c r="B3251" s="1"/>
      <c r="E3251" s="45" t="str">
        <f>IFERROR(AVERAGEIFS('Picarro Output'!G:G, 'Picarro Output'!$B:$B, 'Uncalibrated Data'!$C3251, 'Picarro Output'!$I:$I, 0, 'Picarro Output'!$J:$J, 1), "")</f>
        <v/>
      </c>
    </row>
    <row r="3252" spans="2:5" x14ac:dyDescent="0.45">
      <c r="B3252" s="1"/>
      <c r="E3252" s="45" t="str">
        <f>IFERROR(AVERAGEIFS('Picarro Output'!G:G, 'Picarro Output'!$B:$B, 'Uncalibrated Data'!$C3252, 'Picarro Output'!$I:$I, 0, 'Picarro Output'!$J:$J, 1), "")</f>
        <v/>
      </c>
    </row>
    <row r="3253" spans="2:5" x14ac:dyDescent="0.45">
      <c r="B3253" s="1"/>
      <c r="E3253" s="45" t="str">
        <f>IFERROR(AVERAGEIFS('Picarro Output'!G:G, 'Picarro Output'!$B:$B, 'Uncalibrated Data'!$C3253, 'Picarro Output'!$I:$I, 0, 'Picarro Output'!$J:$J, 1), "")</f>
        <v/>
      </c>
    </row>
    <row r="3254" spans="2:5" x14ac:dyDescent="0.45">
      <c r="B3254" s="1"/>
      <c r="E3254" s="45" t="str">
        <f>IFERROR(AVERAGEIFS('Picarro Output'!G:G, 'Picarro Output'!$B:$B, 'Uncalibrated Data'!$C3254, 'Picarro Output'!$I:$I, 0, 'Picarro Output'!$J:$J, 1), "")</f>
        <v/>
      </c>
    </row>
    <row r="3255" spans="2:5" x14ac:dyDescent="0.45">
      <c r="B3255" s="1"/>
      <c r="E3255" s="45" t="str">
        <f>IFERROR(AVERAGEIFS('Picarro Output'!G:G, 'Picarro Output'!$B:$B, 'Uncalibrated Data'!$C3255, 'Picarro Output'!$I:$I, 0, 'Picarro Output'!$J:$J, 1), "")</f>
        <v/>
      </c>
    </row>
    <row r="3256" spans="2:5" x14ac:dyDescent="0.45">
      <c r="B3256" s="1"/>
      <c r="E3256" s="45" t="str">
        <f>IFERROR(AVERAGEIFS('Picarro Output'!G:G, 'Picarro Output'!$B:$B, 'Uncalibrated Data'!$C3256, 'Picarro Output'!$I:$I, 0, 'Picarro Output'!$J:$J, 1), "")</f>
        <v/>
      </c>
    </row>
    <row r="3257" spans="2:5" x14ac:dyDescent="0.45">
      <c r="B3257" s="1"/>
      <c r="E3257" s="45" t="str">
        <f>IFERROR(AVERAGEIFS('Picarro Output'!G:G, 'Picarro Output'!$B:$B, 'Uncalibrated Data'!$C3257, 'Picarro Output'!$I:$I, 0, 'Picarro Output'!$J:$J, 1), "")</f>
        <v/>
      </c>
    </row>
    <row r="3258" spans="2:5" x14ac:dyDescent="0.45">
      <c r="B3258" s="1"/>
      <c r="E3258" s="45" t="str">
        <f>IFERROR(AVERAGEIFS('Picarro Output'!G:G, 'Picarro Output'!$B:$B, 'Uncalibrated Data'!$C3258, 'Picarro Output'!$I:$I, 0, 'Picarro Output'!$J:$J, 1), "")</f>
        <v/>
      </c>
    </row>
    <row r="3259" spans="2:5" x14ac:dyDescent="0.45">
      <c r="B3259" s="1"/>
      <c r="E3259" s="45" t="str">
        <f>IFERROR(AVERAGEIFS('Picarro Output'!G:G, 'Picarro Output'!$B:$B, 'Uncalibrated Data'!$C3259, 'Picarro Output'!$I:$I, 0, 'Picarro Output'!$J:$J, 1), "")</f>
        <v/>
      </c>
    </row>
    <row r="3260" spans="2:5" x14ac:dyDescent="0.45">
      <c r="B3260" s="1"/>
      <c r="E3260" s="45" t="str">
        <f>IFERROR(AVERAGEIFS('Picarro Output'!G:G, 'Picarro Output'!$B:$B, 'Uncalibrated Data'!$C3260, 'Picarro Output'!$I:$I, 0, 'Picarro Output'!$J:$J, 1), "")</f>
        <v/>
      </c>
    </row>
    <row r="3261" spans="2:5" x14ac:dyDescent="0.45">
      <c r="B3261" s="1"/>
      <c r="E3261" s="45" t="str">
        <f>IFERROR(AVERAGEIFS('Picarro Output'!G:G, 'Picarro Output'!$B:$B, 'Uncalibrated Data'!$C3261, 'Picarro Output'!$I:$I, 0, 'Picarro Output'!$J:$J, 1), "")</f>
        <v/>
      </c>
    </row>
    <row r="3262" spans="2:5" x14ac:dyDescent="0.45">
      <c r="B3262" s="1"/>
      <c r="E3262" s="45" t="str">
        <f>IFERROR(AVERAGEIFS('Picarro Output'!G:G, 'Picarro Output'!$B:$B, 'Uncalibrated Data'!$C3262, 'Picarro Output'!$I:$I, 0, 'Picarro Output'!$J:$J, 1), "")</f>
        <v/>
      </c>
    </row>
    <row r="3263" spans="2:5" x14ac:dyDescent="0.45">
      <c r="B3263" s="1"/>
      <c r="E3263" s="45" t="str">
        <f>IFERROR(AVERAGEIFS('Picarro Output'!G:G, 'Picarro Output'!$B:$B, 'Uncalibrated Data'!$C3263, 'Picarro Output'!$I:$I, 0, 'Picarro Output'!$J:$J, 1), "")</f>
        <v/>
      </c>
    </row>
    <row r="3264" spans="2:5" x14ac:dyDescent="0.45">
      <c r="B3264" s="1"/>
      <c r="E3264" s="45" t="str">
        <f>IFERROR(AVERAGEIFS('Picarro Output'!G:G, 'Picarro Output'!$B:$B, 'Uncalibrated Data'!$C3264, 'Picarro Output'!$I:$I, 0, 'Picarro Output'!$J:$J, 1), "")</f>
        <v/>
      </c>
    </row>
    <row r="3265" spans="2:5" x14ac:dyDescent="0.45">
      <c r="B3265" s="1"/>
      <c r="E3265" s="45" t="str">
        <f>IFERROR(AVERAGEIFS('Picarro Output'!G:G, 'Picarro Output'!$B:$B, 'Uncalibrated Data'!$C3265, 'Picarro Output'!$I:$I, 0, 'Picarro Output'!$J:$J, 1), "")</f>
        <v/>
      </c>
    </row>
    <row r="3266" spans="2:5" x14ac:dyDescent="0.45">
      <c r="B3266" s="1"/>
      <c r="E3266" s="45" t="str">
        <f>IFERROR(AVERAGEIFS('Picarro Output'!G:G, 'Picarro Output'!$B:$B, 'Uncalibrated Data'!$C3266, 'Picarro Output'!$I:$I, 0, 'Picarro Output'!$J:$J, 1), "")</f>
        <v/>
      </c>
    </row>
    <row r="3267" spans="2:5" x14ac:dyDescent="0.45">
      <c r="B3267" s="1"/>
      <c r="E3267" s="45" t="str">
        <f>IFERROR(AVERAGEIFS('Picarro Output'!G:G, 'Picarro Output'!$B:$B, 'Uncalibrated Data'!$C3267, 'Picarro Output'!$I:$I, 0, 'Picarro Output'!$J:$J, 1), "")</f>
        <v/>
      </c>
    </row>
    <row r="3268" spans="2:5" x14ac:dyDescent="0.45">
      <c r="B3268" s="1"/>
      <c r="E3268" s="45" t="str">
        <f>IFERROR(AVERAGEIFS('Picarro Output'!G:G, 'Picarro Output'!$B:$B, 'Uncalibrated Data'!$C3268, 'Picarro Output'!$I:$I, 0, 'Picarro Output'!$J:$J, 1), "")</f>
        <v/>
      </c>
    </row>
    <row r="3269" spans="2:5" x14ac:dyDescent="0.45">
      <c r="B3269" s="1"/>
      <c r="E3269" s="45" t="str">
        <f>IFERROR(AVERAGEIFS('Picarro Output'!G:G, 'Picarro Output'!$B:$B, 'Uncalibrated Data'!$C3269, 'Picarro Output'!$I:$I, 0, 'Picarro Output'!$J:$J, 1), "")</f>
        <v/>
      </c>
    </row>
    <row r="3270" spans="2:5" x14ac:dyDescent="0.45">
      <c r="B3270" s="1"/>
      <c r="E3270" s="45" t="str">
        <f>IFERROR(AVERAGEIFS('Picarro Output'!G:G, 'Picarro Output'!$B:$B, 'Uncalibrated Data'!$C3270, 'Picarro Output'!$I:$I, 0, 'Picarro Output'!$J:$J, 1), "")</f>
        <v/>
      </c>
    </row>
    <row r="3271" spans="2:5" x14ac:dyDescent="0.45">
      <c r="B3271" s="1"/>
      <c r="E3271" s="45" t="str">
        <f>IFERROR(AVERAGEIFS('Picarro Output'!G:G, 'Picarro Output'!$B:$B, 'Uncalibrated Data'!$C3271, 'Picarro Output'!$I:$I, 0, 'Picarro Output'!$J:$J, 1), "")</f>
        <v/>
      </c>
    </row>
    <row r="3272" spans="2:5" x14ac:dyDescent="0.45">
      <c r="B3272" s="1"/>
      <c r="E3272" s="45" t="str">
        <f>IFERROR(AVERAGEIFS('Picarro Output'!G:G, 'Picarro Output'!$B:$B, 'Uncalibrated Data'!$C3272, 'Picarro Output'!$I:$I, 0, 'Picarro Output'!$J:$J, 1), "")</f>
        <v/>
      </c>
    </row>
    <row r="3273" spans="2:5" x14ac:dyDescent="0.45">
      <c r="B3273" s="1"/>
      <c r="E3273" s="45" t="str">
        <f>IFERROR(AVERAGEIFS('Picarro Output'!G:G, 'Picarro Output'!$B:$B, 'Uncalibrated Data'!$C3273, 'Picarro Output'!$I:$I, 0, 'Picarro Output'!$J:$J, 1), "")</f>
        <v/>
      </c>
    </row>
    <row r="3274" spans="2:5" x14ac:dyDescent="0.45">
      <c r="B3274" s="1"/>
      <c r="E3274" s="45" t="str">
        <f>IFERROR(AVERAGEIFS('Picarro Output'!G:G, 'Picarro Output'!$B:$B, 'Uncalibrated Data'!$C3274, 'Picarro Output'!$I:$I, 0, 'Picarro Output'!$J:$J, 1), "")</f>
        <v/>
      </c>
    </row>
    <row r="3275" spans="2:5" x14ac:dyDescent="0.45">
      <c r="B3275" s="1"/>
      <c r="E3275" s="45" t="str">
        <f>IFERROR(AVERAGEIFS('Picarro Output'!G:G, 'Picarro Output'!$B:$B, 'Uncalibrated Data'!$C3275, 'Picarro Output'!$I:$I, 0, 'Picarro Output'!$J:$J, 1), "")</f>
        <v/>
      </c>
    </row>
    <row r="3276" spans="2:5" x14ac:dyDescent="0.45">
      <c r="B3276" s="1"/>
      <c r="E3276" s="45" t="str">
        <f>IFERROR(AVERAGEIFS('Picarro Output'!G:G, 'Picarro Output'!$B:$B, 'Uncalibrated Data'!$C3276, 'Picarro Output'!$I:$I, 0, 'Picarro Output'!$J:$J, 1), "")</f>
        <v/>
      </c>
    </row>
    <row r="3277" spans="2:5" x14ac:dyDescent="0.45">
      <c r="B3277" s="1"/>
      <c r="E3277" s="45" t="str">
        <f>IFERROR(AVERAGEIFS('Picarro Output'!G:G, 'Picarro Output'!$B:$B, 'Uncalibrated Data'!$C3277, 'Picarro Output'!$I:$I, 0, 'Picarro Output'!$J:$J, 1), "")</f>
        <v/>
      </c>
    </row>
    <row r="3278" spans="2:5" x14ac:dyDescent="0.45">
      <c r="B3278" s="1"/>
      <c r="E3278" s="45" t="str">
        <f>IFERROR(AVERAGEIFS('Picarro Output'!G:G, 'Picarro Output'!$B:$B, 'Uncalibrated Data'!$C3278, 'Picarro Output'!$I:$I, 0, 'Picarro Output'!$J:$J, 1), "")</f>
        <v/>
      </c>
    </row>
    <row r="3279" spans="2:5" x14ac:dyDescent="0.45">
      <c r="B3279" s="1"/>
      <c r="E3279" s="45" t="str">
        <f>IFERROR(AVERAGEIFS('Picarro Output'!G:G, 'Picarro Output'!$B:$B, 'Uncalibrated Data'!$C3279, 'Picarro Output'!$I:$I, 0, 'Picarro Output'!$J:$J, 1), "")</f>
        <v/>
      </c>
    </row>
    <row r="3280" spans="2:5" x14ac:dyDescent="0.45">
      <c r="B3280" s="1"/>
      <c r="E3280" s="45" t="str">
        <f>IFERROR(AVERAGEIFS('Picarro Output'!G:G, 'Picarro Output'!$B:$B, 'Uncalibrated Data'!$C3280, 'Picarro Output'!$I:$I, 0, 'Picarro Output'!$J:$J, 1), "")</f>
        <v/>
      </c>
    </row>
    <row r="3281" spans="2:5" x14ac:dyDescent="0.45">
      <c r="B3281" s="1"/>
      <c r="E3281" s="45" t="str">
        <f>IFERROR(AVERAGEIFS('Picarro Output'!G:G, 'Picarro Output'!$B:$B, 'Uncalibrated Data'!$C3281, 'Picarro Output'!$I:$I, 0, 'Picarro Output'!$J:$J, 1), "")</f>
        <v/>
      </c>
    </row>
    <row r="3282" spans="2:5" x14ac:dyDescent="0.45">
      <c r="B3282" s="1"/>
      <c r="E3282" s="45" t="str">
        <f>IFERROR(AVERAGEIFS('Picarro Output'!G:G, 'Picarro Output'!$B:$B, 'Uncalibrated Data'!$C3282, 'Picarro Output'!$I:$I, 0, 'Picarro Output'!$J:$J, 1), "")</f>
        <v/>
      </c>
    </row>
    <row r="3283" spans="2:5" x14ac:dyDescent="0.45">
      <c r="B3283" s="1"/>
      <c r="E3283" s="45" t="str">
        <f>IFERROR(AVERAGEIFS('Picarro Output'!G:G, 'Picarro Output'!$B:$B, 'Uncalibrated Data'!$C3283, 'Picarro Output'!$I:$I, 0, 'Picarro Output'!$J:$J, 1), "")</f>
        <v/>
      </c>
    </row>
    <row r="3284" spans="2:5" x14ac:dyDescent="0.45">
      <c r="B3284" s="1"/>
      <c r="E3284" s="45" t="str">
        <f>IFERROR(AVERAGEIFS('Picarro Output'!G:G, 'Picarro Output'!$B:$B, 'Uncalibrated Data'!$C3284, 'Picarro Output'!$I:$I, 0, 'Picarro Output'!$J:$J, 1), "")</f>
        <v/>
      </c>
    </row>
    <row r="3285" spans="2:5" x14ac:dyDescent="0.45">
      <c r="B3285" s="1"/>
      <c r="E3285" s="45" t="str">
        <f>IFERROR(AVERAGEIFS('Picarro Output'!G:G, 'Picarro Output'!$B:$B, 'Uncalibrated Data'!$C3285, 'Picarro Output'!$I:$I, 0, 'Picarro Output'!$J:$J, 1), "")</f>
        <v/>
      </c>
    </row>
    <row r="3286" spans="2:5" x14ac:dyDescent="0.45">
      <c r="B3286" s="1"/>
      <c r="E3286" s="45" t="str">
        <f>IFERROR(AVERAGEIFS('Picarro Output'!G:G, 'Picarro Output'!$B:$B, 'Uncalibrated Data'!$C3286, 'Picarro Output'!$I:$I, 0, 'Picarro Output'!$J:$J, 1), "")</f>
        <v/>
      </c>
    </row>
    <row r="3287" spans="2:5" x14ac:dyDescent="0.45">
      <c r="B3287" s="1"/>
      <c r="E3287" s="45" t="str">
        <f>IFERROR(AVERAGEIFS('Picarro Output'!G:G, 'Picarro Output'!$B:$B, 'Uncalibrated Data'!$C3287, 'Picarro Output'!$I:$I, 0, 'Picarro Output'!$J:$J, 1), "")</f>
        <v/>
      </c>
    </row>
    <row r="3288" spans="2:5" x14ac:dyDescent="0.45">
      <c r="B3288" s="1"/>
      <c r="E3288" s="45" t="str">
        <f>IFERROR(AVERAGEIFS('Picarro Output'!G:G, 'Picarro Output'!$B:$B, 'Uncalibrated Data'!$C3288, 'Picarro Output'!$I:$I, 0, 'Picarro Output'!$J:$J, 1), "")</f>
        <v/>
      </c>
    </row>
    <row r="3289" spans="2:5" x14ac:dyDescent="0.45">
      <c r="B3289" s="1"/>
      <c r="E3289" s="45" t="str">
        <f>IFERROR(AVERAGEIFS('Picarro Output'!G:G, 'Picarro Output'!$B:$B, 'Uncalibrated Data'!$C3289, 'Picarro Output'!$I:$I, 0, 'Picarro Output'!$J:$J, 1), "")</f>
        <v/>
      </c>
    </row>
    <row r="3290" spans="2:5" x14ac:dyDescent="0.45">
      <c r="B3290" s="1"/>
      <c r="E3290" s="45" t="str">
        <f>IFERROR(AVERAGEIFS('Picarro Output'!G:G, 'Picarro Output'!$B:$B, 'Uncalibrated Data'!$C3290, 'Picarro Output'!$I:$I, 0, 'Picarro Output'!$J:$J, 1), "")</f>
        <v/>
      </c>
    </row>
    <row r="3291" spans="2:5" x14ac:dyDescent="0.45">
      <c r="B3291" s="1"/>
      <c r="E3291" s="45" t="str">
        <f>IFERROR(AVERAGEIFS('Picarro Output'!G:G, 'Picarro Output'!$B:$B, 'Uncalibrated Data'!$C3291, 'Picarro Output'!$I:$I, 0, 'Picarro Output'!$J:$J, 1), "")</f>
        <v/>
      </c>
    </row>
    <row r="3292" spans="2:5" x14ac:dyDescent="0.45">
      <c r="B3292" s="1"/>
      <c r="E3292" s="45" t="str">
        <f>IFERROR(AVERAGEIFS('Picarro Output'!G:G, 'Picarro Output'!$B:$B, 'Uncalibrated Data'!$C3292, 'Picarro Output'!$I:$I, 0, 'Picarro Output'!$J:$J, 1), "")</f>
        <v/>
      </c>
    </row>
    <row r="3293" spans="2:5" x14ac:dyDescent="0.45">
      <c r="B3293" s="1"/>
      <c r="E3293" s="45" t="str">
        <f>IFERROR(AVERAGEIFS('Picarro Output'!G:G, 'Picarro Output'!$B:$B, 'Uncalibrated Data'!$C3293, 'Picarro Output'!$I:$I, 0, 'Picarro Output'!$J:$J, 1), "")</f>
        <v/>
      </c>
    </row>
    <row r="3294" spans="2:5" x14ac:dyDescent="0.45">
      <c r="B3294" s="1"/>
      <c r="E3294" s="45" t="str">
        <f>IFERROR(AVERAGEIFS('Picarro Output'!G:G, 'Picarro Output'!$B:$B, 'Uncalibrated Data'!$C3294, 'Picarro Output'!$I:$I, 0, 'Picarro Output'!$J:$J, 1), "")</f>
        <v/>
      </c>
    </row>
    <row r="3295" spans="2:5" x14ac:dyDescent="0.45">
      <c r="B3295" s="1"/>
      <c r="E3295" s="45" t="str">
        <f>IFERROR(AVERAGEIFS('Picarro Output'!G:G, 'Picarro Output'!$B:$B, 'Uncalibrated Data'!$C3295, 'Picarro Output'!$I:$I, 0, 'Picarro Output'!$J:$J, 1), "")</f>
        <v/>
      </c>
    </row>
    <row r="3296" spans="2:5" x14ac:dyDescent="0.45">
      <c r="B3296" s="1"/>
      <c r="E3296" s="45" t="str">
        <f>IFERROR(AVERAGEIFS('Picarro Output'!G:G, 'Picarro Output'!$B:$B, 'Uncalibrated Data'!$C3296, 'Picarro Output'!$I:$I, 0, 'Picarro Output'!$J:$J, 1), "")</f>
        <v/>
      </c>
    </row>
    <row r="3297" spans="2:5" x14ac:dyDescent="0.45">
      <c r="B3297" s="1"/>
      <c r="E3297" s="45" t="str">
        <f>IFERROR(AVERAGEIFS('Picarro Output'!G:G, 'Picarro Output'!$B:$B, 'Uncalibrated Data'!$C3297, 'Picarro Output'!$I:$I, 0, 'Picarro Output'!$J:$J, 1), "")</f>
        <v/>
      </c>
    </row>
    <row r="3298" spans="2:5" x14ac:dyDescent="0.45">
      <c r="B3298" s="1"/>
      <c r="E3298" s="45" t="str">
        <f>IFERROR(AVERAGEIFS('Picarro Output'!G:G, 'Picarro Output'!$B:$B, 'Uncalibrated Data'!$C3298, 'Picarro Output'!$I:$I, 0, 'Picarro Output'!$J:$J, 1), "")</f>
        <v/>
      </c>
    </row>
    <row r="3299" spans="2:5" x14ac:dyDescent="0.45">
      <c r="B3299" s="1"/>
      <c r="E3299" s="45" t="str">
        <f>IFERROR(AVERAGEIFS('Picarro Output'!G:G, 'Picarro Output'!$B:$B, 'Uncalibrated Data'!$C3299, 'Picarro Output'!$I:$I, 0, 'Picarro Output'!$J:$J, 1), "")</f>
        <v/>
      </c>
    </row>
    <row r="3300" spans="2:5" x14ac:dyDescent="0.45">
      <c r="B3300" s="1"/>
      <c r="E3300" s="45" t="str">
        <f>IFERROR(AVERAGEIFS('Picarro Output'!G:G, 'Picarro Output'!$B:$B, 'Uncalibrated Data'!$C3300, 'Picarro Output'!$I:$I, 0, 'Picarro Output'!$J:$J, 1), "")</f>
        <v/>
      </c>
    </row>
    <row r="3301" spans="2:5" x14ac:dyDescent="0.45">
      <c r="B3301" s="1"/>
      <c r="E3301" s="45" t="str">
        <f>IFERROR(AVERAGEIFS('Picarro Output'!G:G, 'Picarro Output'!$B:$B, 'Uncalibrated Data'!$C3301, 'Picarro Output'!$I:$I, 0, 'Picarro Output'!$J:$J, 1), "")</f>
        <v/>
      </c>
    </row>
    <row r="3302" spans="2:5" x14ac:dyDescent="0.45">
      <c r="B3302" s="1"/>
      <c r="E3302" s="45" t="str">
        <f>IFERROR(AVERAGEIFS('Picarro Output'!G:G, 'Picarro Output'!$B:$B, 'Uncalibrated Data'!$C3302, 'Picarro Output'!$I:$I, 0, 'Picarro Output'!$J:$J, 1), "")</f>
        <v/>
      </c>
    </row>
    <row r="3303" spans="2:5" x14ac:dyDescent="0.45">
      <c r="B3303" s="1"/>
      <c r="E3303" s="45" t="str">
        <f>IFERROR(AVERAGEIFS('Picarro Output'!G:G, 'Picarro Output'!$B:$B, 'Uncalibrated Data'!$C3303, 'Picarro Output'!$I:$I, 0, 'Picarro Output'!$J:$J, 1), "")</f>
        <v/>
      </c>
    </row>
    <row r="3304" spans="2:5" x14ac:dyDescent="0.45">
      <c r="B3304" s="1"/>
      <c r="E3304" s="45" t="str">
        <f>IFERROR(AVERAGEIFS('Picarro Output'!G:G, 'Picarro Output'!$B:$B, 'Uncalibrated Data'!$C3304, 'Picarro Output'!$I:$I, 0, 'Picarro Output'!$J:$J, 1), "")</f>
        <v/>
      </c>
    </row>
    <row r="3305" spans="2:5" x14ac:dyDescent="0.45">
      <c r="B3305" s="1"/>
      <c r="E3305" s="45" t="str">
        <f>IFERROR(AVERAGEIFS('Picarro Output'!G:G, 'Picarro Output'!$B:$B, 'Uncalibrated Data'!$C3305, 'Picarro Output'!$I:$I, 0, 'Picarro Output'!$J:$J, 1), "")</f>
        <v/>
      </c>
    </row>
    <row r="3306" spans="2:5" x14ac:dyDescent="0.45">
      <c r="B3306" s="1"/>
      <c r="E3306" s="45" t="str">
        <f>IFERROR(AVERAGEIFS('Picarro Output'!G:G, 'Picarro Output'!$B:$B, 'Uncalibrated Data'!$C3306, 'Picarro Output'!$I:$I, 0, 'Picarro Output'!$J:$J, 1), "")</f>
        <v/>
      </c>
    </row>
    <row r="3307" spans="2:5" x14ac:dyDescent="0.45">
      <c r="B3307" s="1"/>
      <c r="E3307" s="45" t="str">
        <f>IFERROR(AVERAGEIFS('Picarro Output'!G:G, 'Picarro Output'!$B:$B, 'Uncalibrated Data'!$C3307, 'Picarro Output'!$I:$I, 0, 'Picarro Output'!$J:$J, 1), "")</f>
        <v/>
      </c>
    </row>
    <row r="3308" spans="2:5" x14ac:dyDescent="0.45">
      <c r="B3308" s="1"/>
      <c r="E3308" s="45" t="str">
        <f>IFERROR(AVERAGEIFS('Picarro Output'!G:G, 'Picarro Output'!$B:$B, 'Uncalibrated Data'!$C3308, 'Picarro Output'!$I:$I, 0, 'Picarro Output'!$J:$J, 1), "")</f>
        <v/>
      </c>
    </row>
    <row r="3309" spans="2:5" x14ac:dyDescent="0.45">
      <c r="B3309" s="1"/>
      <c r="E3309" s="45" t="str">
        <f>IFERROR(AVERAGEIFS('Picarro Output'!G:G, 'Picarro Output'!$B:$B, 'Uncalibrated Data'!$C3309, 'Picarro Output'!$I:$I, 0, 'Picarro Output'!$J:$J, 1), "")</f>
        <v/>
      </c>
    </row>
    <row r="3310" spans="2:5" x14ac:dyDescent="0.45">
      <c r="B3310" s="1"/>
      <c r="E3310" s="45" t="str">
        <f>IFERROR(AVERAGEIFS('Picarro Output'!G:G, 'Picarro Output'!$B:$B, 'Uncalibrated Data'!$C3310, 'Picarro Output'!$I:$I, 0, 'Picarro Output'!$J:$J, 1), "")</f>
        <v/>
      </c>
    </row>
    <row r="3311" spans="2:5" x14ac:dyDescent="0.45">
      <c r="B3311" s="1"/>
      <c r="E3311" s="45" t="str">
        <f>IFERROR(AVERAGEIFS('Picarro Output'!G:G, 'Picarro Output'!$B:$B, 'Uncalibrated Data'!$C3311, 'Picarro Output'!$I:$I, 0, 'Picarro Output'!$J:$J, 1), "")</f>
        <v/>
      </c>
    </row>
    <row r="3312" spans="2:5" x14ac:dyDescent="0.45">
      <c r="B3312" s="1"/>
      <c r="E3312" s="45" t="str">
        <f>IFERROR(AVERAGEIFS('Picarro Output'!G:G, 'Picarro Output'!$B:$B, 'Uncalibrated Data'!$C3312, 'Picarro Output'!$I:$I, 0, 'Picarro Output'!$J:$J, 1), "")</f>
        <v/>
      </c>
    </row>
    <row r="3313" spans="2:5" x14ac:dyDescent="0.45">
      <c r="B3313" s="1"/>
      <c r="E3313" s="45" t="str">
        <f>IFERROR(AVERAGEIFS('Picarro Output'!G:G, 'Picarro Output'!$B:$B, 'Uncalibrated Data'!$C3313, 'Picarro Output'!$I:$I, 0, 'Picarro Output'!$J:$J, 1), "")</f>
        <v/>
      </c>
    </row>
    <row r="3314" spans="2:5" x14ac:dyDescent="0.45">
      <c r="B3314" s="1"/>
      <c r="E3314" s="45" t="str">
        <f>IFERROR(AVERAGEIFS('Picarro Output'!G:G, 'Picarro Output'!$B:$B, 'Uncalibrated Data'!$C3314, 'Picarro Output'!$I:$I, 0, 'Picarro Output'!$J:$J, 1), "")</f>
        <v/>
      </c>
    </row>
    <row r="3315" spans="2:5" x14ac:dyDescent="0.45">
      <c r="B3315" s="1"/>
      <c r="E3315" s="45" t="str">
        <f>IFERROR(AVERAGEIFS('Picarro Output'!G:G, 'Picarro Output'!$B:$B, 'Uncalibrated Data'!$C3315, 'Picarro Output'!$I:$I, 0, 'Picarro Output'!$J:$J, 1), "")</f>
        <v/>
      </c>
    </row>
    <row r="3316" spans="2:5" x14ac:dyDescent="0.45">
      <c r="B3316" s="1"/>
      <c r="E3316" s="45" t="str">
        <f>IFERROR(AVERAGEIFS('Picarro Output'!G:G, 'Picarro Output'!$B:$B, 'Uncalibrated Data'!$C3316, 'Picarro Output'!$I:$I, 0, 'Picarro Output'!$J:$J, 1), "")</f>
        <v/>
      </c>
    </row>
    <row r="3317" spans="2:5" x14ac:dyDescent="0.45">
      <c r="B3317" s="1"/>
      <c r="E3317" s="45" t="str">
        <f>IFERROR(AVERAGEIFS('Picarro Output'!G:G, 'Picarro Output'!$B:$B, 'Uncalibrated Data'!$C3317, 'Picarro Output'!$I:$I, 0, 'Picarro Output'!$J:$J, 1), "")</f>
        <v/>
      </c>
    </row>
    <row r="3318" spans="2:5" x14ac:dyDescent="0.45">
      <c r="B3318" s="1"/>
      <c r="E3318" s="45" t="str">
        <f>IFERROR(AVERAGEIFS('Picarro Output'!G:G, 'Picarro Output'!$B:$B, 'Uncalibrated Data'!$C3318, 'Picarro Output'!$I:$I, 0, 'Picarro Output'!$J:$J, 1), "")</f>
        <v/>
      </c>
    </row>
    <row r="3319" spans="2:5" x14ac:dyDescent="0.45">
      <c r="B3319" s="1"/>
      <c r="E3319" s="45" t="str">
        <f>IFERROR(AVERAGEIFS('Picarro Output'!G:G, 'Picarro Output'!$B:$B, 'Uncalibrated Data'!$C3319, 'Picarro Output'!$I:$I, 0, 'Picarro Output'!$J:$J, 1), "")</f>
        <v/>
      </c>
    </row>
    <row r="3320" spans="2:5" x14ac:dyDescent="0.45">
      <c r="B3320" s="1"/>
      <c r="E3320" s="45" t="str">
        <f>IFERROR(AVERAGEIFS('Picarro Output'!G:G, 'Picarro Output'!$B:$B, 'Uncalibrated Data'!$C3320, 'Picarro Output'!$I:$I, 0, 'Picarro Output'!$J:$J, 1), "")</f>
        <v/>
      </c>
    </row>
    <row r="3321" spans="2:5" x14ac:dyDescent="0.45">
      <c r="B3321" s="1"/>
      <c r="E3321" s="45" t="str">
        <f>IFERROR(AVERAGEIFS('Picarro Output'!G:G, 'Picarro Output'!$B:$B, 'Uncalibrated Data'!$C3321, 'Picarro Output'!$I:$I, 0, 'Picarro Output'!$J:$J, 1), "")</f>
        <v/>
      </c>
    </row>
    <row r="3322" spans="2:5" x14ac:dyDescent="0.45">
      <c r="B3322" s="1"/>
      <c r="E3322" s="45" t="str">
        <f>IFERROR(AVERAGEIFS('Picarro Output'!G:G, 'Picarro Output'!$B:$B, 'Uncalibrated Data'!$C3322, 'Picarro Output'!$I:$I, 0, 'Picarro Output'!$J:$J, 1), "")</f>
        <v/>
      </c>
    </row>
    <row r="3323" spans="2:5" x14ac:dyDescent="0.45">
      <c r="B3323" s="1"/>
      <c r="E3323" s="45" t="str">
        <f>IFERROR(AVERAGEIFS('Picarro Output'!G:G, 'Picarro Output'!$B:$B, 'Uncalibrated Data'!$C3323, 'Picarro Output'!$I:$I, 0, 'Picarro Output'!$J:$J, 1), "")</f>
        <v/>
      </c>
    </row>
    <row r="3324" spans="2:5" x14ac:dyDescent="0.45">
      <c r="B3324" s="1"/>
      <c r="E3324" s="45" t="str">
        <f>IFERROR(AVERAGEIFS('Picarro Output'!G:G, 'Picarro Output'!$B:$B, 'Uncalibrated Data'!$C3324, 'Picarro Output'!$I:$I, 0, 'Picarro Output'!$J:$J, 1), "")</f>
        <v/>
      </c>
    </row>
    <row r="3325" spans="2:5" x14ac:dyDescent="0.45">
      <c r="B3325" s="1"/>
      <c r="E3325" s="45" t="str">
        <f>IFERROR(AVERAGEIFS('Picarro Output'!G:G, 'Picarro Output'!$B:$B, 'Uncalibrated Data'!$C3325, 'Picarro Output'!$I:$I, 0, 'Picarro Output'!$J:$J, 1), "")</f>
        <v/>
      </c>
    </row>
    <row r="3326" spans="2:5" x14ac:dyDescent="0.45">
      <c r="B3326" s="1"/>
      <c r="E3326" s="45" t="str">
        <f>IFERROR(AVERAGEIFS('Picarro Output'!G:G, 'Picarro Output'!$B:$B, 'Uncalibrated Data'!$C3326, 'Picarro Output'!$I:$I, 0, 'Picarro Output'!$J:$J, 1), "")</f>
        <v/>
      </c>
    </row>
    <row r="3327" spans="2:5" x14ac:dyDescent="0.45">
      <c r="B3327" s="1"/>
      <c r="E3327" s="45" t="str">
        <f>IFERROR(AVERAGEIFS('Picarro Output'!G:G, 'Picarro Output'!$B:$B, 'Uncalibrated Data'!$C3327, 'Picarro Output'!$I:$I, 0, 'Picarro Output'!$J:$J, 1), "")</f>
        <v/>
      </c>
    </row>
    <row r="3328" spans="2:5" x14ac:dyDescent="0.45">
      <c r="B3328" s="1"/>
      <c r="E3328" s="45" t="str">
        <f>IFERROR(AVERAGEIFS('Picarro Output'!G:G, 'Picarro Output'!$B:$B, 'Uncalibrated Data'!$C3328, 'Picarro Output'!$I:$I, 0, 'Picarro Output'!$J:$J, 1), "")</f>
        <v/>
      </c>
    </row>
    <row r="3329" spans="2:5" x14ac:dyDescent="0.45">
      <c r="B3329" s="1"/>
      <c r="E3329" s="45" t="str">
        <f>IFERROR(AVERAGEIFS('Picarro Output'!G:G, 'Picarro Output'!$B:$B, 'Uncalibrated Data'!$C3329, 'Picarro Output'!$I:$I, 0, 'Picarro Output'!$J:$J, 1), "")</f>
        <v/>
      </c>
    </row>
    <row r="3330" spans="2:5" x14ac:dyDescent="0.45">
      <c r="B3330" s="1"/>
      <c r="E3330" s="45" t="str">
        <f>IFERROR(AVERAGEIFS('Picarro Output'!G:G, 'Picarro Output'!$B:$B, 'Uncalibrated Data'!$C3330, 'Picarro Output'!$I:$I, 0, 'Picarro Output'!$J:$J, 1), "")</f>
        <v/>
      </c>
    </row>
    <row r="3331" spans="2:5" x14ac:dyDescent="0.45">
      <c r="B3331" s="1"/>
      <c r="E3331" s="45" t="str">
        <f>IFERROR(AVERAGEIFS('Picarro Output'!G:G, 'Picarro Output'!$B:$B, 'Uncalibrated Data'!$C3331, 'Picarro Output'!$I:$I, 0, 'Picarro Output'!$J:$J, 1), "")</f>
        <v/>
      </c>
    </row>
    <row r="3332" spans="2:5" x14ac:dyDescent="0.45">
      <c r="B3332" s="1"/>
      <c r="E3332" s="45" t="str">
        <f>IFERROR(AVERAGEIFS('Picarro Output'!G:G, 'Picarro Output'!$B:$B, 'Uncalibrated Data'!$C3332, 'Picarro Output'!$I:$I, 0, 'Picarro Output'!$J:$J, 1), "")</f>
        <v/>
      </c>
    </row>
    <row r="3333" spans="2:5" x14ac:dyDescent="0.45">
      <c r="B3333" s="1"/>
      <c r="E3333" s="45" t="str">
        <f>IFERROR(AVERAGEIFS('Picarro Output'!G:G, 'Picarro Output'!$B:$B, 'Uncalibrated Data'!$C3333, 'Picarro Output'!$I:$I, 0, 'Picarro Output'!$J:$J, 1), "")</f>
        <v/>
      </c>
    </row>
    <row r="3334" spans="2:5" x14ac:dyDescent="0.45">
      <c r="B3334" s="1"/>
      <c r="E3334" s="45" t="str">
        <f>IFERROR(AVERAGEIFS('Picarro Output'!G:G, 'Picarro Output'!$B:$B, 'Uncalibrated Data'!$C3334, 'Picarro Output'!$I:$I, 0, 'Picarro Output'!$J:$J, 1), "")</f>
        <v/>
      </c>
    </row>
    <row r="3335" spans="2:5" x14ac:dyDescent="0.45">
      <c r="B3335" s="1"/>
      <c r="E3335" s="45" t="str">
        <f>IFERROR(AVERAGEIFS('Picarro Output'!G:G, 'Picarro Output'!$B:$B, 'Uncalibrated Data'!$C3335, 'Picarro Output'!$I:$I, 0, 'Picarro Output'!$J:$J, 1), "")</f>
        <v/>
      </c>
    </row>
    <row r="3336" spans="2:5" x14ac:dyDescent="0.45">
      <c r="B3336" s="1"/>
      <c r="E3336" s="45" t="str">
        <f>IFERROR(AVERAGEIFS('Picarro Output'!G:G, 'Picarro Output'!$B:$B, 'Uncalibrated Data'!$C3336, 'Picarro Output'!$I:$I, 0, 'Picarro Output'!$J:$J, 1), "")</f>
        <v/>
      </c>
    </row>
    <row r="3337" spans="2:5" x14ac:dyDescent="0.45">
      <c r="B3337" s="1"/>
      <c r="E3337" s="45" t="str">
        <f>IFERROR(AVERAGEIFS('Picarro Output'!G:G, 'Picarro Output'!$B:$B, 'Uncalibrated Data'!$C3337, 'Picarro Output'!$I:$I, 0, 'Picarro Output'!$J:$J, 1), "")</f>
        <v/>
      </c>
    </row>
    <row r="3338" spans="2:5" x14ac:dyDescent="0.45">
      <c r="B3338" s="1"/>
      <c r="E3338" s="45" t="str">
        <f>IFERROR(AVERAGEIFS('Picarro Output'!G:G, 'Picarro Output'!$B:$B, 'Uncalibrated Data'!$C3338, 'Picarro Output'!$I:$I, 0, 'Picarro Output'!$J:$J, 1), "")</f>
        <v/>
      </c>
    </row>
    <row r="3339" spans="2:5" x14ac:dyDescent="0.45">
      <c r="B3339" s="1"/>
      <c r="E3339" s="45" t="str">
        <f>IFERROR(AVERAGEIFS('Picarro Output'!G:G, 'Picarro Output'!$B:$B, 'Uncalibrated Data'!$C3339, 'Picarro Output'!$I:$I, 0, 'Picarro Output'!$J:$J, 1), "")</f>
        <v/>
      </c>
    </row>
    <row r="3340" spans="2:5" x14ac:dyDescent="0.45">
      <c r="B3340" s="1"/>
      <c r="E3340" s="45" t="str">
        <f>IFERROR(AVERAGEIFS('Picarro Output'!G:G, 'Picarro Output'!$B:$B, 'Uncalibrated Data'!$C3340, 'Picarro Output'!$I:$I, 0, 'Picarro Output'!$J:$J, 1), "")</f>
        <v/>
      </c>
    </row>
    <row r="3341" spans="2:5" x14ac:dyDescent="0.45">
      <c r="B3341" s="1"/>
      <c r="E3341" s="45" t="str">
        <f>IFERROR(AVERAGEIFS('Picarro Output'!G:G, 'Picarro Output'!$B:$B, 'Uncalibrated Data'!$C3341, 'Picarro Output'!$I:$I, 0, 'Picarro Output'!$J:$J, 1), "")</f>
        <v/>
      </c>
    </row>
    <row r="3342" spans="2:5" x14ac:dyDescent="0.45">
      <c r="B3342" s="1"/>
      <c r="E3342" s="45" t="str">
        <f>IFERROR(AVERAGEIFS('Picarro Output'!G:G, 'Picarro Output'!$B:$B, 'Uncalibrated Data'!$C3342, 'Picarro Output'!$I:$I, 0, 'Picarro Output'!$J:$J, 1), "")</f>
        <v/>
      </c>
    </row>
    <row r="3343" spans="2:5" x14ac:dyDescent="0.45">
      <c r="B3343" s="1"/>
      <c r="E3343" s="45" t="str">
        <f>IFERROR(AVERAGEIFS('Picarro Output'!G:G, 'Picarro Output'!$B:$B, 'Uncalibrated Data'!$C3343, 'Picarro Output'!$I:$I, 0, 'Picarro Output'!$J:$J, 1), "")</f>
        <v/>
      </c>
    </row>
    <row r="3344" spans="2:5" x14ac:dyDescent="0.45">
      <c r="B3344" s="1"/>
      <c r="E3344" s="45" t="str">
        <f>IFERROR(AVERAGEIFS('Picarro Output'!G:G, 'Picarro Output'!$B:$B, 'Uncalibrated Data'!$C3344, 'Picarro Output'!$I:$I, 0, 'Picarro Output'!$J:$J, 1), "")</f>
        <v/>
      </c>
    </row>
    <row r="3345" spans="2:5" x14ac:dyDescent="0.45">
      <c r="B3345" s="1"/>
      <c r="E3345" s="45" t="str">
        <f>IFERROR(AVERAGEIFS('Picarro Output'!G:G, 'Picarro Output'!$B:$B, 'Uncalibrated Data'!$C3345, 'Picarro Output'!$I:$I, 0, 'Picarro Output'!$J:$J, 1), "")</f>
        <v/>
      </c>
    </row>
    <row r="3346" spans="2:5" x14ac:dyDescent="0.45">
      <c r="B3346" s="1"/>
      <c r="E3346" s="45" t="str">
        <f>IFERROR(AVERAGEIFS('Picarro Output'!G:G, 'Picarro Output'!$B:$B, 'Uncalibrated Data'!$C3346, 'Picarro Output'!$I:$I, 0, 'Picarro Output'!$J:$J, 1), "")</f>
        <v/>
      </c>
    </row>
    <row r="3347" spans="2:5" x14ac:dyDescent="0.45">
      <c r="B3347" s="1"/>
      <c r="E3347" s="45" t="str">
        <f>IFERROR(AVERAGEIFS('Picarro Output'!G:G, 'Picarro Output'!$B:$B, 'Uncalibrated Data'!$C3347, 'Picarro Output'!$I:$I, 0, 'Picarro Output'!$J:$J, 1), "")</f>
        <v/>
      </c>
    </row>
    <row r="3348" spans="2:5" x14ac:dyDescent="0.45">
      <c r="B3348" s="1"/>
      <c r="E3348" s="45" t="str">
        <f>IFERROR(AVERAGEIFS('Picarro Output'!G:G, 'Picarro Output'!$B:$B, 'Uncalibrated Data'!$C3348, 'Picarro Output'!$I:$I, 0, 'Picarro Output'!$J:$J, 1), "")</f>
        <v/>
      </c>
    </row>
    <row r="3349" spans="2:5" x14ac:dyDescent="0.45">
      <c r="B3349" s="1"/>
      <c r="E3349" s="45" t="str">
        <f>IFERROR(AVERAGEIFS('Picarro Output'!G:G, 'Picarro Output'!$B:$B, 'Uncalibrated Data'!$C3349, 'Picarro Output'!$I:$I, 0, 'Picarro Output'!$J:$J, 1), "")</f>
        <v/>
      </c>
    </row>
    <row r="3350" spans="2:5" x14ac:dyDescent="0.45">
      <c r="B3350" s="1"/>
      <c r="E3350" s="45" t="str">
        <f>IFERROR(AVERAGEIFS('Picarro Output'!G:G, 'Picarro Output'!$B:$B, 'Uncalibrated Data'!$C3350, 'Picarro Output'!$I:$I, 0, 'Picarro Output'!$J:$J, 1), "")</f>
        <v/>
      </c>
    </row>
    <row r="3351" spans="2:5" x14ac:dyDescent="0.45">
      <c r="B3351" s="1"/>
      <c r="E3351" s="45" t="str">
        <f>IFERROR(AVERAGEIFS('Picarro Output'!G:G, 'Picarro Output'!$B:$B, 'Uncalibrated Data'!$C3351, 'Picarro Output'!$I:$I, 0, 'Picarro Output'!$J:$J, 1), "")</f>
        <v/>
      </c>
    </row>
    <row r="3352" spans="2:5" x14ac:dyDescent="0.45">
      <c r="B3352" s="1"/>
      <c r="E3352" s="45" t="str">
        <f>IFERROR(AVERAGEIFS('Picarro Output'!G:G, 'Picarro Output'!$B:$B, 'Uncalibrated Data'!$C3352, 'Picarro Output'!$I:$I, 0, 'Picarro Output'!$J:$J, 1), "")</f>
        <v/>
      </c>
    </row>
    <row r="3353" spans="2:5" x14ac:dyDescent="0.45">
      <c r="B3353" s="1"/>
      <c r="E3353" s="45" t="str">
        <f>IFERROR(AVERAGEIFS('Picarro Output'!G:G, 'Picarro Output'!$B:$B, 'Uncalibrated Data'!$C3353, 'Picarro Output'!$I:$I, 0, 'Picarro Output'!$J:$J, 1), "")</f>
        <v/>
      </c>
    </row>
    <row r="3354" spans="2:5" x14ac:dyDescent="0.45">
      <c r="B3354" s="1"/>
      <c r="E3354" s="45" t="str">
        <f>IFERROR(AVERAGEIFS('Picarro Output'!G:G, 'Picarro Output'!$B:$B, 'Uncalibrated Data'!$C3354, 'Picarro Output'!$I:$I, 0, 'Picarro Output'!$J:$J, 1), "")</f>
        <v/>
      </c>
    </row>
    <row r="3355" spans="2:5" x14ac:dyDescent="0.45">
      <c r="B3355" s="1"/>
      <c r="E3355" s="45" t="str">
        <f>IFERROR(AVERAGEIFS('Picarro Output'!G:G, 'Picarro Output'!$B:$B, 'Uncalibrated Data'!$C3355, 'Picarro Output'!$I:$I, 0, 'Picarro Output'!$J:$J, 1), "")</f>
        <v/>
      </c>
    </row>
    <row r="3356" spans="2:5" x14ac:dyDescent="0.45">
      <c r="B3356" s="1"/>
      <c r="E3356" s="45" t="str">
        <f>IFERROR(AVERAGEIFS('Picarro Output'!G:G, 'Picarro Output'!$B:$B, 'Uncalibrated Data'!$C3356, 'Picarro Output'!$I:$I, 0, 'Picarro Output'!$J:$J, 1), "")</f>
        <v/>
      </c>
    </row>
    <row r="3357" spans="2:5" x14ac:dyDescent="0.45">
      <c r="B3357" s="1"/>
      <c r="E3357" s="45" t="str">
        <f>IFERROR(AVERAGEIFS('Picarro Output'!G:G, 'Picarro Output'!$B:$B, 'Uncalibrated Data'!$C3357, 'Picarro Output'!$I:$I, 0, 'Picarro Output'!$J:$J, 1), "")</f>
        <v/>
      </c>
    </row>
    <row r="3358" spans="2:5" x14ac:dyDescent="0.45">
      <c r="B3358" s="1"/>
      <c r="E3358" s="45" t="str">
        <f>IFERROR(AVERAGEIFS('Picarro Output'!G:G, 'Picarro Output'!$B:$B, 'Uncalibrated Data'!$C3358, 'Picarro Output'!$I:$I, 0, 'Picarro Output'!$J:$J, 1), "")</f>
        <v/>
      </c>
    </row>
    <row r="3359" spans="2:5" x14ac:dyDescent="0.45">
      <c r="B3359" s="1"/>
      <c r="E3359" s="45" t="str">
        <f>IFERROR(AVERAGEIFS('Picarro Output'!G:G, 'Picarro Output'!$B:$B, 'Uncalibrated Data'!$C3359, 'Picarro Output'!$I:$I, 0, 'Picarro Output'!$J:$J, 1), "")</f>
        <v/>
      </c>
    </row>
    <row r="3360" spans="2:5" x14ac:dyDescent="0.45">
      <c r="B3360" s="1"/>
      <c r="E3360" s="45" t="str">
        <f>IFERROR(AVERAGEIFS('Picarro Output'!G:G, 'Picarro Output'!$B:$B, 'Uncalibrated Data'!$C3360, 'Picarro Output'!$I:$I, 0, 'Picarro Output'!$J:$J, 1), "")</f>
        <v/>
      </c>
    </row>
    <row r="3361" spans="2:5" x14ac:dyDescent="0.45">
      <c r="B3361" s="1"/>
      <c r="E3361" s="45" t="str">
        <f>IFERROR(AVERAGEIFS('Picarro Output'!G:G, 'Picarro Output'!$B:$B, 'Uncalibrated Data'!$C3361, 'Picarro Output'!$I:$I, 0, 'Picarro Output'!$J:$J, 1), "")</f>
        <v/>
      </c>
    </row>
    <row r="3362" spans="2:5" x14ac:dyDescent="0.45">
      <c r="B3362" s="1"/>
      <c r="E3362" s="45" t="str">
        <f>IFERROR(AVERAGEIFS('Picarro Output'!G:G, 'Picarro Output'!$B:$B, 'Uncalibrated Data'!$C3362, 'Picarro Output'!$I:$I, 0, 'Picarro Output'!$J:$J, 1), "")</f>
        <v/>
      </c>
    </row>
    <row r="3363" spans="2:5" x14ac:dyDescent="0.45">
      <c r="B3363" s="1"/>
      <c r="E3363" s="45" t="str">
        <f>IFERROR(AVERAGEIFS('Picarro Output'!G:G, 'Picarro Output'!$B:$B, 'Uncalibrated Data'!$C3363, 'Picarro Output'!$I:$I, 0, 'Picarro Output'!$J:$J, 1), "")</f>
        <v/>
      </c>
    </row>
    <row r="3364" spans="2:5" x14ac:dyDescent="0.45">
      <c r="B3364" s="1"/>
      <c r="E3364" s="45" t="str">
        <f>IFERROR(AVERAGEIFS('Picarro Output'!G:G, 'Picarro Output'!$B:$B, 'Uncalibrated Data'!$C3364, 'Picarro Output'!$I:$I, 0, 'Picarro Output'!$J:$J, 1), "")</f>
        <v/>
      </c>
    </row>
    <row r="3365" spans="2:5" x14ac:dyDescent="0.45">
      <c r="B3365" s="1"/>
      <c r="E3365" s="45" t="str">
        <f>IFERROR(AVERAGEIFS('Picarro Output'!G:G, 'Picarro Output'!$B:$B, 'Uncalibrated Data'!$C3365, 'Picarro Output'!$I:$I, 0, 'Picarro Output'!$J:$J, 1), "")</f>
        <v/>
      </c>
    </row>
    <row r="3366" spans="2:5" x14ac:dyDescent="0.45">
      <c r="B3366" s="1"/>
      <c r="E3366" s="45" t="str">
        <f>IFERROR(AVERAGEIFS('Picarro Output'!G:G, 'Picarro Output'!$B:$B, 'Uncalibrated Data'!$C3366, 'Picarro Output'!$I:$I, 0, 'Picarro Output'!$J:$J, 1), "")</f>
        <v/>
      </c>
    </row>
    <row r="3367" spans="2:5" x14ac:dyDescent="0.45">
      <c r="B3367" s="1"/>
      <c r="E3367" s="45" t="str">
        <f>IFERROR(AVERAGEIFS('Picarro Output'!G:G, 'Picarro Output'!$B:$B, 'Uncalibrated Data'!$C3367, 'Picarro Output'!$I:$I, 0, 'Picarro Output'!$J:$J, 1), "")</f>
        <v/>
      </c>
    </row>
    <row r="3368" spans="2:5" x14ac:dyDescent="0.45">
      <c r="B3368" s="1"/>
      <c r="E3368" s="45" t="str">
        <f>IFERROR(AVERAGEIFS('Picarro Output'!G:G, 'Picarro Output'!$B:$B, 'Uncalibrated Data'!$C3368, 'Picarro Output'!$I:$I, 0, 'Picarro Output'!$J:$J, 1), "")</f>
        <v/>
      </c>
    </row>
    <row r="3369" spans="2:5" x14ac:dyDescent="0.45">
      <c r="B3369" s="1"/>
      <c r="E3369" s="45" t="str">
        <f>IFERROR(AVERAGEIFS('Picarro Output'!G:G, 'Picarro Output'!$B:$B, 'Uncalibrated Data'!$C3369, 'Picarro Output'!$I:$I, 0, 'Picarro Output'!$J:$J, 1), "")</f>
        <v/>
      </c>
    </row>
    <row r="3370" spans="2:5" x14ac:dyDescent="0.45">
      <c r="B3370" s="1"/>
      <c r="E3370" s="45" t="str">
        <f>IFERROR(AVERAGEIFS('Picarro Output'!G:G, 'Picarro Output'!$B:$B, 'Uncalibrated Data'!$C3370, 'Picarro Output'!$I:$I, 0, 'Picarro Output'!$J:$J, 1), "")</f>
        <v/>
      </c>
    </row>
    <row r="3371" spans="2:5" x14ac:dyDescent="0.45">
      <c r="B3371" s="1"/>
      <c r="E3371" s="45" t="str">
        <f>IFERROR(AVERAGEIFS('Picarro Output'!G:G, 'Picarro Output'!$B:$B, 'Uncalibrated Data'!$C3371, 'Picarro Output'!$I:$I, 0, 'Picarro Output'!$J:$J, 1), "")</f>
        <v/>
      </c>
    </row>
    <row r="3372" spans="2:5" x14ac:dyDescent="0.45">
      <c r="B3372" s="1"/>
      <c r="E3372" s="45" t="str">
        <f>IFERROR(AVERAGEIFS('Picarro Output'!G:G, 'Picarro Output'!$B:$B, 'Uncalibrated Data'!$C3372, 'Picarro Output'!$I:$I, 0, 'Picarro Output'!$J:$J, 1), "")</f>
        <v/>
      </c>
    </row>
    <row r="3373" spans="2:5" x14ac:dyDescent="0.45">
      <c r="B3373" s="1"/>
      <c r="E3373" s="45" t="str">
        <f>IFERROR(AVERAGEIFS('Picarro Output'!G:G, 'Picarro Output'!$B:$B, 'Uncalibrated Data'!$C3373, 'Picarro Output'!$I:$I, 0, 'Picarro Output'!$J:$J, 1), "")</f>
        <v/>
      </c>
    </row>
    <row r="3374" spans="2:5" x14ac:dyDescent="0.45">
      <c r="B3374" s="1"/>
      <c r="E3374" s="45" t="str">
        <f>IFERROR(AVERAGEIFS('Picarro Output'!G:G, 'Picarro Output'!$B:$B, 'Uncalibrated Data'!$C3374, 'Picarro Output'!$I:$I, 0, 'Picarro Output'!$J:$J, 1), "")</f>
        <v/>
      </c>
    </row>
    <row r="3375" spans="2:5" x14ac:dyDescent="0.45">
      <c r="B3375" s="1"/>
      <c r="E3375" s="45" t="str">
        <f>IFERROR(AVERAGEIFS('Picarro Output'!G:G, 'Picarro Output'!$B:$B, 'Uncalibrated Data'!$C3375, 'Picarro Output'!$I:$I, 0, 'Picarro Output'!$J:$J, 1), "")</f>
        <v/>
      </c>
    </row>
    <row r="3376" spans="2:5" x14ac:dyDescent="0.45">
      <c r="B3376" s="1"/>
      <c r="E3376" s="45" t="str">
        <f>IFERROR(AVERAGEIFS('Picarro Output'!G:G, 'Picarro Output'!$B:$B, 'Uncalibrated Data'!$C3376, 'Picarro Output'!$I:$I, 0, 'Picarro Output'!$J:$J, 1), "")</f>
        <v/>
      </c>
    </row>
    <row r="3377" spans="2:5" x14ac:dyDescent="0.45">
      <c r="B3377" s="1"/>
      <c r="E3377" s="45" t="str">
        <f>IFERROR(AVERAGEIFS('Picarro Output'!G:G, 'Picarro Output'!$B:$B, 'Uncalibrated Data'!$C3377, 'Picarro Output'!$I:$I, 0, 'Picarro Output'!$J:$J, 1), "")</f>
        <v/>
      </c>
    </row>
    <row r="3378" spans="2:5" x14ac:dyDescent="0.45">
      <c r="B3378" s="1"/>
      <c r="E3378" s="45" t="str">
        <f>IFERROR(AVERAGEIFS('Picarro Output'!G:G, 'Picarro Output'!$B:$B, 'Uncalibrated Data'!$C3378, 'Picarro Output'!$I:$I, 0, 'Picarro Output'!$J:$J, 1), "")</f>
        <v/>
      </c>
    </row>
    <row r="3379" spans="2:5" x14ac:dyDescent="0.45">
      <c r="B3379" s="1"/>
      <c r="E3379" s="45" t="str">
        <f>IFERROR(AVERAGEIFS('Picarro Output'!G:G, 'Picarro Output'!$B:$B, 'Uncalibrated Data'!$C3379, 'Picarro Output'!$I:$I, 0, 'Picarro Output'!$J:$J, 1), "")</f>
        <v/>
      </c>
    </row>
    <row r="3380" spans="2:5" x14ac:dyDescent="0.45">
      <c r="B3380" s="1"/>
      <c r="E3380" s="45" t="str">
        <f>IFERROR(AVERAGEIFS('Picarro Output'!G:G, 'Picarro Output'!$B:$B, 'Uncalibrated Data'!$C3380, 'Picarro Output'!$I:$I, 0, 'Picarro Output'!$J:$J, 1), "")</f>
        <v/>
      </c>
    </row>
    <row r="3381" spans="2:5" x14ac:dyDescent="0.45">
      <c r="B3381" s="1"/>
      <c r="E3381" s="45" t="str">
        <f>IFERROR(AVERAGEIFS('Picarro Output'!G:G, 'Picarro Output'!$B:$B, 'Uncalibrated Data'!$C3381, 'Picarro Output'!$I:$I, 0, 'Picarro Output'!$J:$J, 1), "")</f>
        <v/>
      </c>
    </row>
    <row r="3382" spans="2:5" x14ac:dyDescent="0.45">
      <c r="B3382" s="1"/>
      <c r="E3382" s="45" t="str">
        <f>IFERROR(AVERAGEIFS('Picarro Output'!G:G, 'Picarro Output'!$B:$B, 'Uncalibrated Data'!$C3382, 'Picarro Output'!$I:$I, 0, 'Picarro Output'!$J:$J, 1), "")</f>
        <v/>
      </c>
    </row>
    <row r="3383" spans="2:5" x14ac:dyDescent="0.45">
      <c r="B3383" s="1"/>
      <c r="E3383" s="45" t="str">
        <f>IFERROR(AVERAGEIFS('Picarro Output'!G:G, 'Picarro Output'!$B:$B, 'Uncalibrated Data'!$C3383, 'Picarro Output'!$I:$I, 0, 'Picarro Output'!$J:$J, 1), "")</f>
        <v/>
      </c>
    </row>
    <row r="3384" spans="2:5" x14ac:dyDescent="0.45">
      <c r="B3384" s="1"/>
      <c r="E3384" s="45" t="str">
        <f>IFERROR(AVERAGEIFS('Picarro Output'!G:G, 'Picarro Output'!$B:$B, 'Uncalibrated Data'!$C3384, 'Picarro Output'!$I:$I, 0, 'Picarro Output'!$J:$J, 1), "")</f>
        <v/>
      </c>
    </row>
    <row r="3385" spans="2:5" x14ac:dyDescent="0.45">
      <c r="B3385" s="1"/>
      <c r="E3385" s="45" t="str">
        <f>IFERROR(AVERAGEIFS('Picarro Output'!G:G, 'Picarro Output'!$B:$B, 'Uncalibrated Data'!$C3385, 'Picarro Output'!$I:$I, 0, 'Picarro Output'!$J:$J, 1), "")</f>
        <v/>
      </c>
    </row>
    <row r="3386" spans="2:5" x14ac:dyDescent="0.45">
      <c r="B3386" s="1"/>
      <c r="E3386" s="45" t="str">
        <f>IFERROR(AVERAGEIFS('Picarro Output'!G:G, 'Picarro Output'!$B:$B, 'Uncalibrated Data'!$C3386, 'Picarro Output'!$I:$I, 0, 'Picarro Output'!$J:$J, 1), "")</f>
        <v/>
      </c>
    </row>
    <row r="3387" spans="2:5" x14ac:dyDescent="0.45">
      <c r="B3387" s="1"/>
      <c r="E3387" s="45" t="str">
        <f>IFERROR(AVERAGEIFS('Picarro Output'!G:G, 'Picarro Output'!$B:$B, 'Uncalibrated Data'!$C3387, 'Picarro Output'!$I:$I, 0, 'Picarro Output'!$J:$J, 1), "")</f>
        <v/>
      </c>
    </row>
    <row r="3388" spans="2:5" x14ac:dyDescent="0.45">
      <c r="B3388" s="1"/>
      <c r="E3388" s="45" t="str">
        <f>IFERROR(AVERAGEIFS('Picarro Output'!G:G, 'Picarro Output'!$B:$B, 'Uncalibrated Data'!$C3388, 'Picarro Output'!$I:$I, 0, 'Picarro Output'!$J:$J, 1), "")</f>
        <v/>
      </c>
    </row>
    <row r="3389" spans="2:5" x14ac:dyDescent="0.45">
      <c r="B3389" s="1"/>
      <c r="E3389" s="45" t="str">
        <f>IFERROR(AVERAGEIFS('Picarro Output'!G:G, 'Picarro Output'!$B:$B, 'Uncalibrated Data'!$C3389, 'Picarro Output'!$I:$I, 0, 'Picarro Output'!$J:$J, 1), "")</f>
        <v/>
      </c>
    </row>
    <row r="3390" spans="2:5" x14ac:dyDescent="0.45">
      <c r="B3390" s="1"/>
      <c r="E3390" s="45" t="str">
        <f>IFERROR(AVERAGEIFS('Picarro Output'!G:G, 'Picarro Output'!$B:$B, 'Uncalibrated Data'!$C3390, 'Picarro Output'!$I:$I, 0, 'Picarro Output'!$J:$J, 1), "")</f>
        <v/>
      </c>
    </row>
    <row r="3391" spans="2:5" x14ac:dyDescent="0.45">
      <c r="B3391" s="1"/>
      <c r="E3391" s="45" t="str">
        <f>IFERROR(AVERAGEIFS('Picarro Output'!G:G, 'Picarro Output'!$B:$B, 'Uncalibrated Data'!$C3391, 'Picarro Output'!$I:$I, 0, 'Picarro Output'!$J:$J, 1), "")</f>
        <v/>
      </c>
    </row>
    <row r="3392" spans="2:5" x14ac:dyDescent="0.45">
      <c r="B3392" s="1"/>
      <c r="E3392" s="45" t="str">
        <f>IFERROR(AVERAGEIFS('Picarro Output'!G:G, 'Picarro Output'!$B:$B, 'Uncalibrated Data'!$C3392, 'Picarro Output'!$I:$I, 0, 'Picarro Output'!$J:$J, 1), "")</f>
        <v/>
      </c>
    </row>
    <row r="3393" spans="2:5" x14ac:dyDescent="0.45">
      <c r="B3393" s="1"/>
      <c r="E3393" s="45" t="str">
        <f>IFERROR(AVERAGEIFS('Picarro Output'!G:G, 'Picarro Output'!$B:$B, 'Uncalibrated Data'!$C3393, 'Picarro Output'!$I:$I, 0, 'Picarro Output'!$J:$J, 1), "")</f>
        <v/>
      </c>
    </row>
    <row r="3394" spans="2:5" x14ac:dyDescent="0.45">
      <c r="B3394" s="1"/>
      <c r="E3394" s="45" t="str">
        <f>IFERROR(AVERAGEIFS('Picarro Output'!G:G, 'Picarro Output'!$B:$B, 'Uncalibrated Data'!$C3394, 'Picarro Output'!$I:$I, 0, 'Picarro Output'!$J:$J, 1), "")</f>
        <v/>
      </c>
    </row>
    <row r="3395" spans="2:5" x14ac:dyDescent="0.45">
      <c r="B3395" s="1"/>
      <c r="E3395" s="45" t="str">
        <f>IFERROR(AVERAGEIFS('Picarro Output'!G:G, 'Picarro Output'!$B:$B, 'Uncalibrated Data'!$C3395, 'Picarro Output'!$I:$I, 0, 'Picarro Output'!$J:$J, 1), "")</f>
        <v/>
      </c>
    </row>
    <row r="3396" spans="2:5" x14ac:dyDescent="0.45">
      <c r="B3396" s="1"/>
      <c r="E3396" s="45" t="str">
        <f>IFERROR(AVERAGEIFS('Picarro Output'!G:G, 'Picarro Output'!$B:$B, 'Uncalibrated Data'!$C3396, 'Picarro Output'!$I:$I, 0, 'Picarro Output'!$J:$J, 1), "")</f>
        <v/>
      </c>
    </row>
    <row r="3397" spans="2:5" x14ac:dyDescent="0.45">
      <c r="B3397" s="1"/>
      <c r="E3397" s="45" t="str">
        <f>IFERROR(AVERAGEIFS('Picarro Output'!G:G, 'Picarro Output'!$B:$B, 'Uncalibrated Data'!$C3397, 'Picarro Output'!$I:$I, 0, 'Picarro Output'!$J:$J, 1), "")</f>
        <v/>
      </c>
    </row>
    <row r="3398" spans="2:5" x14ac:dyDescent="0.45">
      <c r="B3398" s="1"/>
      <c r="E3398" s="45" t="str">
        <f>IFERROR(AVERAGEIFS('Picarro Output'!G:G, 'Picarro Output'!$B:$B, 'Uncalibrated Data'!$C3398, 'Picarro Output'!$I:$I, 0, 'Picarro Output'!$J:$J, 1), "")</f>
        <v/>
      </c>
    </row>
    <row r="3399" spans="2:5" x14ac:dyDescent="0.45">
      <c r="B3399" s="1"/>
      <c r="E3399" s="45" t="str">
        <f>IFERROR(AVERAGEIFS('Picarro Output'!G:G, 'Picarro Output'!$B:$B, 'Uncalibrated Data'!$C3399, 'Picarro Output'!$I:$I, 0, 'Picarro Output'!$J:$J, 1), "")</f>
        <v/>
      </c>
    </row>
    <row r="3400" spans="2:5" x14ac:dyDescent="0.45">
      <c r="B3400" s="1"/>
      <c r="E3400" s="45" t="str">
        <f>IFERROR(AVERAGEIFS('Picarro Output'!G:G, 'Picarro Output'!$B:$B, 'Uncalibrated Data'!$C3400, 'Picarro Output'!$I:$I, 0, 'Picarro Output'!$J:$J, 1), "")</f>
        <v/>
      </c>
    </row>
    <row r="3401" spans="2:5" x14ac:dyDescent="0.45">
      <c r="B3401" s="1"/>
      <c r="E3401" s="45" t="str">
        <f>IFERROR(AVERAGEIFS('Picarro Output'!G:G, 'Picarro Output'!$B:$B, 'Uncalibrated Data'!$C3401, 'Picarro Output'!$I:$I, 0, 'Picarro Output'!$J:$J, 1), "")</f>
        <v/>
      </c>
    </row>
    <row r="3402" spans="2:5" x14ac:dyDescent="0.45">
      <c r="B3402" s="1"/>
      <c r="E3402" s="45" t="str">
        <f>IFERROR(AVERAGEIFS('Picarro Output'!G:G, 'Picarro Output'!$B:$B, 'Uncalibrated Data'!$C3402, 'Picarro Output'!$I:$I, 0, 'Picarro Output'!$J:$J, 1), "")</f>
        <v/>
      </c>
    </row>
    <row r="3403" spans="2:5" x14ac:dyDescent="0.45">
      <c r="B3403" s="1"/>
      <c r="E3403" s="45" t="str">
        <f>IFERROR(AVERAGEIFS('Picarro Output'!G:G, 'Picarro Output'!$B:$B, 'Uncalibrated Data'!$C3403, 'Picarro Output'!$I:$I, 0, 'Picarro Output'!$J:$J, 1), "")</f>
        <v/>
      </c>
    </row>
    <row r="3404" spans="2:5" x14ac:dyDescent="0.45">
      <c r="B3404" s="1"/>
      <c r="E3404" s="45" t="str">
        <f>IFERROR(AVERAGEIFS('Picarro Output'!G:G, 'Picarro Output'!$B:$B, 'Uncalibrated Data'!$C3404, 'Picarro Output'!$I:$I, 0, 'Picarro Output'!$J:$J, 1), "")</f>
        <v/>
      </c>
    </row>
    <row r="3405" spans="2:5" x14ac:dyDescent="0.45">
      <c r="B3405" s="1"/>
      <c r="E3405" s="45" t="str">
        <f>IFERROR(AVERAGEIFS('Picarro Output'!G:G, 'Picarro Output'!$B:$B, 'Uncalibrated Data'!$C3405, 'Picarro Output'!$I:$I, 0, 'Picarro Output'!$J:$J, 1), "")</f>
        <v/>
      </c>
    </row>
    <row r="3406" spans="2:5" x14ac:dyDescent="0.45">
      <c r="B3406" s="1"/>
      <c r="E3406" s="45" t="str">
        <f>IFERROR(AVERAGEIFS('Picarro Output'!G:G, 'Picarro Output'!$B:$B, 'Uncalibrated Data'!$C3406, 'Picarro Output'!$I:$I, 0, 'Picarro Output'!$J:$J, 1), "")</f>
        <v/>
      </c>
    </row>
    <row r="3407" spans="2:5" x14ac:dyDescent="0.45">
      <c r="B3407" s="1"/>
      <c r="E3407" s="45" t="str">
        <f>IFERROR(AVERAGEIFS('Picarro Output'!G:G, 'Picarro Output'!$B:$B, 'Uncalibrated Data'!$C3407, 'Picarro Output'!$I:$I, 0, 'Picarro Output'!$J:$J, 1), "")</f>
        <v/>
      </c>
    </row>
    <row r="3408" spans="2:5" x14ac:dyDescent="0.45">
      <c r="B3408" s="1"/>
      <c r="E3408" s="45" t="str">
        <f>IFERROR(AVERAGEIFS('Picarro Output'!G:G, 'Picarro Output'!$B:$B, 'Uncalibrated Data'!$C3408, 'Picarro Output'!$I:$I, 0, 'Picarro Output'!$J:$J, 1), "")</f>
        <v/>
      </c>
    </row>
    <row r="3409" spans="2:5" x14ac:dyDescent="0.45">
      <c r="B3409" s="1"/>
      <c r="E3409" s="45" t="str">
        <f>IFERROR(AVERAGEIFS('Picarro Output'!G:G, 'Picarro Output'!$B:$B, 'Uncalibrated Data'!$C3409, 'Picarro Output'!$I:$I, 0, 'Picarro Output'!$J:$J, 1), "")</f>
        <v/>
      </c>
    </row>
    <row r="3410" spans="2:5" x14ac:dyDescent="0.45">
      <c r="B3410" s="1"/>
      <c r="E3410" s="45" t="str">
        <f>IFERROR(AVERAGEIFS('Picarro Output'!G:G, 'Picarro Output'!$B:$B, 'Uncalibrated Data'!$C3410, 'Picarro Output'!$I:$I, 0, 'Picarro Output'!$J:$J, 1), "")</f>
        <v/>
      </c>
    </row>
    <row r="3411" spans="2:5" x14ac:dyDescent="0.45">
      <c r="B3411" s="1"/>
      <c r="E3411" s="45" t="str">
        <f>IFERROR(AVERAGEIFS('Picarro Output'!G:G, 'Picarro Output'!$B:$B, 'Uncalibrated Data'!$C3411, 'Picarro Output'!$I:$I, 0, 'Picarro Output'!$J:$J, 1), "")</f>
        <v/>
      </c>
    </row>
    <row r="3412" spans="2:5" x14ac:dyDescent="0.45">
      <c r="B3412" s="1"/>
      <c r="E3412" s="45" t="str">
        <f>IFERROR(AVERAGEIFS('Picarro Output'!G:G, 'Picarro Output'!$B:$B, 'Uncalibrated Data'!$C3412, 'Picarro Output'!$I:$I, 0, 'Picarro Output'!$J:$J, 1), "")</f>
        <v/>
      </c>
    </row>
    <row r="3413" spans="2:5" x14ac:dyDescent="0.45">
      <c r="B3413" s="1"/>
      <c r="E3413" s="45" t="str">
        <f>IFERROR(AVERAGEIFS('Picarro Output'!G:G, 'Picarro Output'!$B:$B, 'Uncalibrated Data'!$C3413, 'Picarro Output'!$I:$I, 0, 'Picarro Output'!$J:$J, 1), "")</f>
        <v/>
      </c>
    </row>
    <row r="3414" spans="2:5" x14ac:dyDescent="0.45">
      <c r="B3414" s="1"/>
      <c r="E3414" s="45" t="str">
        <f>IFERROR(AVERAGEIFS('Picarro Output'!G:G, 'Picarro Output'!$B:$B, 'Uncalibrated Data'!$C3414, 'Picarro Output'!$I:$I, 0, 'Picarro Output'!$J:$J, 1), "")</f>
        <v/>
      </c>
    </row>
    <row r="3415" spans="2:5" x14ac:dyDescent="0.45">
      <c r="B3415" s="1"/>
      <c r="E3415" s="45" t="str">
        <f>IFERROR(AVERAGEIFS('Picarro Output'!G:G, 'Picarro Output'!$B:$B, 'Uncalibrated Data'!$C3415, 'Picarro Output'!$I:$I, 0, 'Picarro Output'!$J:$J, 1), "")</f>
        <v/>
      </c>
    </row>
    <row r="3416" spans="2:5" x14ac:dyDescent="0.45">
      <c r="B3416" s="1"/>
      <c r="E3416" s="45" t="str">
        <f>IFERROR(AVERAGEIFS('Picarro Output'!G:G, 'Picarro Output'!$B:$B, 'Uncalibrated Data'!$C3416, 'Picarro Output'!$I:$I, 0, 'Picarro Output'!$J:$J, 1), "")</f>
        <v/>
      </c>
    </row>
    <row r="3417" spans="2:5" x14ac:dyDescent="0.45">
      <c r="B3417" s="1"/>
      <c r="E3417" s="45" t="str">
        <f>IFERROR(AVERAGEIFS('Picarro Output'!G:G, 'Picarro Output'!$B:$B, 'Uncalibrated Data'!$C3417, 'Picarro Output'!$I:$I, 0, 'Picarro Output'!$J:$J, 1), "")</f>
        <v/>
      </c>
    </row>
    <row r="3418" spans="2:5" x14ac:dyDescent="0.45">
      <c r="B3418" s="1"/>
      <c r="E3418" s="45" t="str">
        <f>IFERROR(AVERAGEIFS('Picarro Output'!G:G, 'Picarro Output'!$B:$B, 'Uncalibrated Data'!$C3418, 'Picarro Output'!$I:$I, 0, 'Picarro Output'!$J:$J, 1), "")</f>
        <v/>
      </c>
    </row>
    <row r="3419" spans="2:5" x14ac:dyDescent="0.45">
      <c r="B3419" s="1"/>
      <c r="E3419" s="45" t="str">
        <f>IFERROR(AVERAGEIFS('Picarro Output'!G:G, 'Picarro Output'!$B:$B, 'Uncalibrated Data'!$C3419, 'Picarro Output'!$I:$I, 0, 'Picarro Output'!$J:$J, 1), "")</f>
        <v/>
      </c>
    </row>
    <row r="3420" spans="2:5" x14ac:dyDescent="0.45">
      <c r="B3420" s="1"/>
      <c r="E3420" s="45" t="str">
        <f>IFERROR(AVERAGEIFS('Picarro Output'!G:G, 'Picarro Output'!$B:$B, 'Uncalibrated Data'!$C3420, 'Picarro Output'!$I:$I, 0, 'Picarro Output'!$J:$J, 1), "")</f>
        <v/>
      </c>
    </row>
    <row r="3421" spans="2:5" x14ac:dyDescent="0.45">
      <c r="B3421" s="1"/>
      <c r="E3421" s="45" t="str">
        <f>IFERROR(AVERAGEIFS('Picarro Output'!G:G, 'Picarro Output'!$B:$B, 'Uncalibrated Data'!$C3421, 'Picarro Output'!$I:$I, 0, 'Picarro Output'!$J:$J, 1), "")</f>
        <v/>
      </c>
    </row>
    <row r="3422" spans="2:5" x14ac:dyDescent="0.45">
      <c r="B3422" s="1"/>
      <c r="E3422" s="45" t="str">
        <f>IFERROR(AVERAGEIFS('Picarro Output'!G:G, 'Picarro Output'!$B:$B, 'Uncalibrated Data'!$C3422, 'Picarro Output'!$I:$I, 0, 'Picarro Output'!$J:$J, 1), "")</f>
        <v/>
      </c>
    </row>
    <row r="3423" spans="2:5" x14ac:dyDescent="0.45">
      <c r="B3423" s="1"/>
      <c r="E3423" s="45" t="str">
        <f>IFERROR(AVERAGEIFS('Picarro Output'!G:G, 'Picarro Output'!$B:$B, 'Uncalibrated Data'!$C3423, 'Picarro Output'!$I:$I, 0, 'Picarro Output'!$J:$J, 1), "")</f>
        <v/>
      </c>
    </row>
    <row r="3424" spans="2:5" x14ac:dyDescent="0.45">
      <c r="B3424" s="1"/>
      <c r="E3424" s="45" t="str">
        <f>IFERROR(AVERAGEIFS('Picarro Output'!G:G, 'Picarro Output'!$B:$B, 'Uncalibrated Data'!$C3424, 'Picarro Output'!$I:$I, 0, 'Picarro Output'!$J:$J, 1), "")</f>
        <v/>
      </c>
    </row>
    <row r="3425" spans="2:5" x14ac:dyDescent="0.45">
      <c r="B3425" s="1"/>
      <c r="E3425" s="45" t="str">
        <f>IFERROR(AVERAGEIFS('Picarro Output'!G:G, 'Picarro Output'!$B:$B, 'Uncalibrated Data'!$C3425, 'Picarro Output'!$I:$I, 0, 'Picarro Output'!$J:$J, 1), "")</f>
        <v/>
      </c>
    </row>
    <row r="3426" spans="2:5" x14ac:dyDescent="0.45">
      <c r="B3426" s="1"/>
      <c r="E3426" s="45" t="str">
        <f>IFERROR(AVERAGEIFS('Picarro Output'!G:G, 'Picarro Output'!$B:$B, 'Uncalibrated Data'!$C3426, 'Picarro Output'!$I:$I, 0, 'Picarro Output'!$J:$J, 1), "")</f>
        <v/>
      </c>
    </row>
    <row r="3427" spans="2:5" x14ac:dyDescent="0.45">
      <c r="B3427" s="1"/>
      <c r="E3427" s="45" t="str">
        <f>IFERROR(AVERAGEIFS('Picarro Output'!G:G, 'Picarro Output'!$B:$B, 'Uncalibrated Data'!$C3427, 'Picarro Output'!$I:$I, 0, 'Picarro Output'!$J:$J, 1), "")</f>
        <v/>
      </c>
    </row>
    <row r="3428" spans="2:5" x14ac:dyDescent="0.45">
      <c r="B3428" s="1"/>
      <c r="E3428" s="45" t="str">
        <f>IFERROR(AVERAGEIFS('Picarro Output'!G:G, 'Picarro Output'!$B:$B, 'Uncalibrated Data'!$C3428, 'Picarro Output'!$I:$I, 0, 'Picarro Output'!$J:$J, 1), "")</f>
        <v/>
      </c>
    </row>
    <row r="3429" spans="2:5" x14ac:dyDescent="0.45">
      <c r="B3429" s="1"/>
      <c r="E3429" s="45" t="str">
        <f>IFERROR(AVERAGEIFS('Picarro Output'!G:G, 'Picarro Output'!$B:$B, 'Uncalibrated Data'!$C3429, 'Picarro Output'!$I:$I, 0, 'Picarro Output'!$J:$J, 1), "")</f>
        <v/>
      </c>
    </row>
    <row r="3430" spans="2:5" x14ac:dyDescent="0.45">
      <c r="B3430" s="1"/>
      <c r="E3430" s="45" t="str">
        <f>IFERROR(AVERAGEIFS('Picarro Output'!G:G, 'Picarro Output'!$B:$B, 'Uncalibrated Data'!$C3430, 'Picarro Output'!$I:$I, 0, 'Picarro Output'!$J:$J, 1), "")</f>
        <v/>
      </c>
    </row>
    <row r="3431" spans="2:5" x14ac:dyDescent="0.45">
      <c r="B3431" s="1"/>
      <c r="E3431" s="45" t="str">
        <f>IFERROR(AVERAGEIFS('Picarro Output'!G:G, 'Picarro Output'!$B:$B, 'Uncalibrated Data'!$C3431, 'Picarro Output'!$I:$I, 0, 'Picarro Output'!$J:$J, 1), "")</f>
        <v/>
      </c>
    </row>
    <row r="3432" spans="2:5" x14ac:dyDescent="0.45">
      <c r="B3432" s="1"/>
      <c r="E3432" s="45" t="str">
        <f>IFERROR(AVERAGEIFS('Picarro Output'!G:G, 'Picarro Output'!$B:$B, 'Uncalibrated Data'!$C3432, 'Picarro Output'!$I:$I, 0, 'Picarro Output'!$J:$J, 1), "")</f>
        <v/>
      </c>
    </row>
    <row r="3433" spans="2:5" x14ac:dyDescent="0.45">
      <c r="B3433" s="1"/>
      <c r="E3433" s="45" t="str">
        <f>IFERROR(AVERAGEIFS('Picarro Output'!G:G, 'Picarro Output'!$B:$B, 'Uncalibrated Data'!$C3433, 'Picarro Output'!$I:$I, 0, 'Picarro Output'!$J:$J, 1), "")</f>
        <v/>
      </c>
    </row>
    <row r="3434" spans="2:5" x14ac:dyDescent="0.45">
      <c r="B3434" s="1"/>
      <c r="E3434" s="45" t="str">
        <f>IFERROR(AVERAGEIFS('Picarro Output'!G:G, 'Picarro Output'!$B:$B, 'Uncalibrated Data'!$C3434, 'Picarro Output'!$I:$I, 0, 'Picarro Output'!$J:$J, 1), "")</f>
        <v/>
      </c>
    </row>
    <row r="3435" spans="2:5" x14ac:dyDescent="0.45">
      <c r="B3435" s="1"/>
      <c r="E3435" s="45" t="str">
        <f>IFERROR(AVERAGEIFS('Picarro Output'!G:G, 'Picarro Output'!$B:$B, 'Uncalibrated Data'!$C3435, 'Picarro Output'!$I:$I, 0, 'Picarro Output'!$J:$J, 1), "")</f>
        <v/>
      </c>
    </row>
    <row r="3436" spans="2:5" x14ac:dyDescent="0.45">
      <c r="B3436" s="1"/>
      <c r="E3436" s="45" t="str">
        <f>IFERROR(AVERAGEIFS('Picarro Output'!G:G, 'Picarro Output'!$B:$B, 'Uncalibrated Data'!$C3436, 'Picarro Output'!$I:$I, 0, 'Picarro Output'!$J:$J, 1), "")</f>
        <v/>
      </c>
    </row>
    <row r="3437" spans="2:5" x14ac:dyDescent="0.45">
      <c r="B3437" s="1"/>
      <c r="E3437" s="45" t="str">
        <f>IFERROR(AVERAGEIFS('Picarro Output'!G:G, 'Picarro Output'!$B:$B, 'Uncalibrated Data'!$C3437, 'Picarro Output'!$I:$I, 0, 'Picarro Output'!$J:$J, 1), "")</f>
        <v/>
      </c>
    </row>
    <row r="3438" spans="2:5" x14ac:dyDescent="0.45">
      <c r="B3438" s="1"/>
      <c r="E3438" s="45" t="str">
        <f>IFERROR(AVERAGEIFS('Picarro Output'!G:G, 'Picarro Output'!$B:$B, 'Uncalibrated Data'!$C3438, 'Picarro Output'!$I:$I, 0, 'Picarro Output'!$J:$J, 1), "")</f>
        <v/>
      </c>
    </row>
    <row r="3439" spans="2:5" x14ac:dyDescent="0.45">
      <c r="B3439" s="1"/>
      <c r="E3439" s="45" t="str">
        <f>IFERROR(AVERAGEIFS('Picarro Output'!G:G, 'Picarro Output'!$B:$B, 'Uncalibrated Data'!$C3439, 'Picarro Output'!$I:$I, 0, 'Picarro Output'!$J:$J, 1), "")</f>
        <v/>
      </c>
    </row>
    <row r="3440" spans="2:5" x14ac:dyDescent="0.45">
      <c r="B3440" s="1"/>
      <c r="E3440" s="45" t="str">
        <f>IFERROR(AVERAGEIFS('Picarro Output'!G:G, 'Picarro Output'!$B:$B, 'Uncalibrated Data'!$C3440, 'Picarro Output'!$I:$I, 0, 'Picarro Output'!$J:$J, 1), "")</f>
        <v/>
      </c>
    </row>
    <row r="3441" spans="2:5" x14ac:dyDescent="0.45">
      <c r="B3441" s="1"/>
      <c r="E3441" s="45" t="str">
        <f>IFERROR(AVERAGEIFS('Picarro Output'!G:G, 'Picarro Output'!$B:$B, 'Uncalibrated Data'!$C3441, 'Picarro Output'!$I:$I, 0, 'Picarro Output'!$J:$J, 1), "")</f>
        <v/>
      </c>
    </row>
    <row r="3442" spans="2:5" x14ac:dyDescent="0.45">
      <c r="B3442" s="1"/>
      <c r="E3442" s="45" t="str">
        <f>IFERROR(AVERAGEIFS('Picarro Output'!G:G, 'Picarro Output'!$B:$B, 'Uncalibrated Data'!$C3442, 'Picarro Output'!$I:$I, 0, 'Picarro Output'!$J:$J, 1), "")</f>
        <v/>
      </c>
    </row>
    <row r="3443" spans="2:5" x14ac:dyDescent="0.45">
      <c r="B3443" s="1"/>
      <c r="E3443" s="45" t="str">
        <f>IFERROR(AVERAGEIFS('Picarro Output'!G:G, 'Picarro Output'!$B:$B, 'Uncalibrated Data'!$C3443, 'Picarro Output'!$I:$I, 0, 'Picarro Output'!$J:$J, 1), "")</f>
        <v/>
      </c>
    </row>
    <row r="3444" spans="2:5" x14ac:dyDescent="0.45">
      <c r="B3444" s="1"/>
      <c r="E3444" s="45" t="str">
        <f>IFERROR(AVERAGEIFS('Picarro Output'!G:G, 'Picarro Output'!$B:$B, 'Uncalibrated Data'!$C3444, 'Picarro Output'!$I:$I, 0, 'Picarro Output'!$J:$J, 1), "")</f>
        <v/>
      </c>
    </row>
    <row r="3445" spans="2:5" x14ac:dyDescent="0.45">
      <c r="B3445" s="1"/>
      <c r="E3445" s="45" t="str">
        <f>IFERROR(AVERAGEIFS('Picarro Output'!G:G, 'Picarro Output'!$B:$B, 'Uncalibrated Data'!$C3445, 'Picarro Output'!$I:$I, 0, 'Picarro Output'!$J:$J, 1), "")</f>
        <v/>
      </c>
    </row>
    <row r="3446" spans="2:5" x14ac:dyDescent="0.45">
      <c r="B3446" s="1"/>
      <c r="E3446" s="45" t="str">
        <f>IFERROR(AVERAGEIFS('Picarro Output'!G:G, 'Picarro Output'!$B:$B, 'Uncalibrated Data'!$C3446, 'Picarro Output'!$I:$I, 0, 'Picarro Output'!$J:$J, 1), "")</f>
        <v/>
      </c>
    </row>
    <row r="3447" spans="2:5" x14ac:dyDescent="0.45">
      <c r="B3447" s="1"/>
      <c r="E3447" s="45" t="str">
        <f>IFERROR(AVERAGEIFS('Picarro Output'!G:G, 'Picarro Output'!$B:$B, 'Uncalibrated Data'!$C3447, 'Picarro Output'!$I:$I, 0, 'Picarro Output'!$J:$J, 1), "")</f>
        <v/>
      </c>
    </row>
    <row r="3448" spans="2:5" x14ac:dyDescent="0.45">
      <c r="B3448" s="1"/>
      <c r="E3448" s="45" t="str">
        <f>IFERROR(AVERAGEIFS('Picarro Output'!G:G, 'Picarro Output'!$B:$B, 'Uncalibrated Data'!$C3448, 'Picarro Output'!$I:$I, 0, 'Picarro Output'!$J:$J, 1), "")</f>
        <v/>
      </c>
    </row>
    <row r="3449" spans="2:5" x14ac:dyDescent="0.45">
      <c r="B3449" s="1"/>
      <c r="E3449" s="45" t="str">
        <f>IFERROR(AVERAGEIFS('Picarro Output'!G:G, 'Picarro Output'!$B:$B, 'Uncalibrated Data'!$C3449, 'Picarro Output'!$I:$I, 0, 'Picarro Output'!$J:$J, 1), "")</f>
        <v/>
      </c>
    </row>
    <row r="3450" spans="2:5" x14ac:dyDescent="0.45">
      <c r="B3450" s="1"/>
      <c r="E3450" s="45" t="str">
        <f>IFERROR(AVERAGEIFS('Picarro Output'!G:G, 'Picarro Output'!$B:$B, 'Uncalibrated Data'!$C3450, 'Picarro Output'!$I:$I, 0, 'Picarro Output'!$J:$J, 1), "")</f>
        <v/>
      </c>
    </row>
    <row r="3451" spans="2:5" x14ac:dyDescent="0.45">
      <c r="B3451" s="1"/>
      <c r="E3451" s="45" t="str">
        <f>IFERROR(AVERAGEIFS('Picarro Output'!G:G, 'Picarro Output'!$B:$B, 'Uncalibrated Data'!$C3451, 'Picarro Output'!$I:$I, 0, 'Picarro Output'!$J:$J, 1), "")</f>
        <v/>
      </c>
    </row>
    <row r="3452" spans="2:5" x14ac:dyDescent="0.45">
      <c r="B3452" s="1"/>
      <c r="E3452" s="45" t="str">
        <f>IFERROR(AVERAGEIFS('Picarro Output'!G:G, 'Picarro Output'!$B:$B, 'Uncalibrated Data'!$C3452, 'Picarro Output'!$I:$I, 0, 'Picarro Output'!$J:$J, 1), "")</f>
        <v/>
      </c>
    </row>
    <row r="3453" spans="2:5" x14ac:dyDescent="0.45">
      <c r="B3453" s="1"/>
      <c r="E3453" s="45" t="str">
        <f>IFERROR(AVERAGEIFS('Picarro Output'!G:G, 'Picarro Output'!$B:$B, 'Uncalibrated Data'!$C3453, 'Picarro Output'!$I:$I, 0, 'Picarro Output'!$J:$J, 1), "")</f>
        <v/>
      </c>
    </row>
    <row r="3454" spans="2:5" x14ac:dyDescent="0.45">
      <c r="B3454" s="1"/>
      <c r="E3454" s="45" t="str">
        <f>IFERROR(AVERAGEIFS('Picarro Output'!G:G, 'Picarro Output'!$B:$B, 'Uncalibrated Data'!$C3454, 'Picarro Output'!$I:$I, 0, 'Picarro Output'!$J:$J, 1), "")</f>
        <v/>
      </c>
    </row>
    <row r="3455" spans="2:5" x14ac:dyDescent="0.45">
      <c r="B3455" s="1"/>
      <c r="E3455" s="45" t="str">
        <f>IFERROR(AVERAGEIFS('Picarro Output'!G:G, 'Picarro Output'!$B:$B, 'Uncalibrated Data'!$C3455, 'Picarro Output'!$I:$I, 0, 'Picarro Output'!$J:$J, 1), "")</f>
        <v/>
      </c>
    </row>
    <row r="3456" spans="2:5" x14ac:dyDescent="0.45">
      <c r="B3456" s="1"/>
      <c r="E3456" s="45" t="str">
        <f>IFERROR(AVERAGEIFS('Picarro Output'!G:G, 'Picarro Output'!$B:$B, 'Uncalibrated Data'!$C3456, 'Picarro Output'!$I:$I, 0, 'Picarro Output'!$J:$J, 1), "")</f>
        <v/>
      </c>
    </row>
    <row r="3457" spans="2:5" x14ac:dyDescent="0.45">
      <c r="B3457" s="1"/>
      <c r="E3457" s="45" t="str">
        <f>IFERROR(AVERAGEIFS('Picarro Output'!G:G, 'Picarro Output'!$B:$B, 'Uncalibrated Data'!$C3457, 'Picarro Output'!$I:$I, 0, 'Picarro Output'!$J:$J, 1), "")</f>
        <v/>
      </c>
    </row>
    <row r="3458" spans="2:5" x14ac:dyDescent="0.45">
      <c r="B3458" s="1"/>
      <c r="E3458" s="45" t="str">
        <f>IFERROR(AVERAGEIFS('Picarro Output'!G:G, 'Picarro Output'!$B:$B, 'Uncalibrated Data'!$C3458, 'Picarro Output'!$I:$I, 0, 'Picarro Output'!$J:$J, 1), "")</f>
        <v/>
      </c>
    </row>
    <row r="3459" spans="2:5" x14ac:dyDescent="0.45">
      <c r="B3459" s="1"/>
      <c r="E3459" s="45" t="str">
        <f>IFERROR(AVERAGEIFS('Picarro Output'!G:G, 'Picarro Output'!$B:$B, 'Uncalibrated Data'!$C3459, 'Picarro Output'!$I:$I, 0, 'Picarro Output'!$J:$J, 1), "")</f>
        <v/>
      </c>
    </row>
    <row r="3460" spans="2:5" x14ac:dyDescent="0.45">
      <c r="B3460" s="1"/>
      <c r="E3460" s="45" t="str">
        <f>IFERROR(AVERAGEIFS('Picarro Output'!G:G, 'Picarro Output'!$B:$B, 'Uncalibrated Data'!$C3460, 'Picarro Output'!$I:$I, 0, 'Picarro Output'!$J:$J, 1), "")</f>
        <v/>
      </c>
    </row>
    <row r="3461" spans="2:5" x14ac:dyDescent="0.45">
      <c r="B3461" s="1"/>
      <c r="E3461" s="45" t="str">
        <f>IFERROR(AVERAGEIFS('Picarro Output'!G:G, 'Picarro Output'!$B:$B, 'Uncalibrated Data'!$C3461, 'Picarro Output'!$I:$I, 0, 'Picarro Output'!$J:$J, 1), "")</f>
        <v/>
      </c>
    </row>
    <row r="3462" spans="2:5" x14ac:dyDescent="0.45">
      <c r="B3462" s="1"/>
      <c r="E3462" s="45" t="str">
        <f>IFERROR(AVERAGEIFS('Picarro Output'!G:G, 'Picarro Output'!$B:$B, 'Uncalibrated Data'!$C3462, 'Picarro Output'!$I:$I, 0, 'Picarro Output'!$J:$J, 1), "")</f>
        <v/>
      </c>
    </row>
    <row r="3463" spans="2:5" x14ac:dyDescent="0.45">
      <c r="B3463" s="1"/>
      <c r="E3463" s="45" t="str">
        <f>IFERROR(AVERAGEIFS('Picarro Output'!G:G, 'Picarro Output'!$B:$B, 'Uncalibrated Data'!$C3463, 'Picarro Output'!$I:$I, 0, 'Picarro Output'!$J:$J, 1), "")</f>
        <v/>
      </c>
    </row>
    <row r="3464" spans="2:5" x14ac:dyDescent="0.45">
      <c r="B3464" s="1"/>
      <c r="E3464" s="45" t="str">
        <f>IFERROR(AVERAGEIFS('Picarro Output'!G:G, 'Picarro Output'!$B:$B, 'Uncalibrated Data'!$C3464, 'Picarro Output'!$I:$I, 0, 'Picarro Output'!$J:$J, 1), "")</f>
        <v/>
      </c>
    </row>
    <row r="3465" spans="2:5" x14ac:dyDescent="0.45">
      <c r="B3465" s="1"/>
      <c r="E3465" s="45" t="str">
        <f>IFERROR(AVERAGEIFS('Picarro Output'!G:G, 'Picarro Output'!$B:$B, 'Uncalibrated Data'!$C3465, 'Picarro Output'!$I:$I, 0, 'Picarro Output'!$J:$J, 1), "")</f>
        <v/>
      </c>
    </row>
    <row r="3466" spans="2:5" x14ac:dyDescent="0.45">
      <c r="B3466" s="1"/>
      <c r="E3466" s="45" t="str">
        <f>IFERROR(AVERAGEIFS('Picarro Output'!G:G, 'Picarro Output'!$B:$B, 'Uncalibrated Data'!$C3466, 'Picarro Output'!$I:$I, 0, 'Picarro Output'!$J:$J, 1), "")</f>
        <v/>
      </c>
    </row>
    <row r="3467" spans="2:5" x14ac:dyDescent="0.45">
      <c r="B3467" s="1"/>
      <c r="E3467" s="45" t="str">
        <f>IFERROR(AVERAGEIFS('Picarro Output'!G:G, 'Picarro Output'!$B:$B, 'Uncalibrated Data'!$C3467, 'Picarro Output'!$I:$I, 0, 'Picarro Output'!$J:$J, 1), "")</f>
        <v/>
      </c>
    </row>
    <row r="3468" spans="2:5" x14ac:dyDescent="0.45">
      <c r="B3468" s="1"/>
      <c r="E3468" s="45" t="str">
        <f>IFERROR(AVERAGEIFS('Picarro Output'!G:G, 'Picarro Output'!$B:$B, 'Uncalibrated Data'!$C3468, 'Picarro Output'!$I:$I, 0, 'Picarro Output'!$J:$J, 1), "")</f>
        <v/>
      </c>
    </row>
    <row r="3469" spans="2:5" x14ac:dyDescent="0.45">
      <c r="B3469" s="1"/>
      <c r="E3469" s="45" t="str">
        <f>IFERROR(AVERAGEIFS('Picarro Output'!G:G, 'Picarro Output'!$B:$B, 'Uncalibrated Data'!$C3469, 'Picarro Output'!$I:$I, 0, 'Picarro Output'!$J:$J, 1), "")</f>
        <v/>
      </c>
    </row>
    <row r="3470" spans="2:5" x14ac:dyDescent="0.45">
      <c r="B3470" s="1"/>
      <c r="E3470" s="45" t="str">
        <f>IFERROR(AVERAGEIFS('Picarro Output'!G:G, 'Picarro Output'!$B:$B, 'Uncalibrated Data'!$C3470, 'Picarro Output'!$I:$I, 0, 'Picarro Output'!$J:$J, 1), "")</f>
        <v/>
      </c>
    </row>
    <row r="3471" spans="2:5" x14ac:dyDescent="0.45">
      <c r="B3471" s="1"/>
      <c r="E3471" s="45" t="str">
        <f>IFERROR(AVERAGEIFS('Picarro Output'!G:G, 'Picarro Output'!$B:$B, 'Uncalibrated Data'!$C3471, 'Picarro Output'!$I:$I, 0, 'Picarro Output'!$J:$J, 1), "")</f>
        <v/>
      </c>
    </row>
    <row r="3472" spans="2:5" x14ac:dyDescent="0.45">
      <c r="B3472" s="1"/>
      <c r="E3472" s="45" t="str">
        <f>IFERROR(AVERAGEIFS('Picarro Output'!G:G, 'Picarro Output'!$B:$B, 'Uncalibrated Data'!$C3472, 'Picarro Output'!$I:$I, 0, 'Picarro Output'!$J:$J, 1), "")</f>
        <v/>
      </c>
    </row>
    <row r="3473" spans="2:5" x14ac:dyDescent="0.45">
      <c r="B3473" s="1"/>
      <c r="E3473" s="45" t="str">
        <f>IFERROR(AVERAGEIFS('Picarro Output'!G:G, 'Picarro Output'!$B:$B, 'Uncalibrated Data'!$C3473, 'Picarro Output'!$I:$I, 0, 'Picarro Output'!$J:$J, 1), "")</f>
        <v/>
      </c>
    </row>
    <row r="3474" spans="2:5" x14ac:dyDescent="0.45">
      <c r="B3474" s="1"/>
      <c r="E3474" s="45" t="str">
        <f>IFERROR(AVERAGEIFS('Picarro Output'!G:G, 'Picarro Output'!$B:$B, 'Uncalibrated Data'!$C3474, 'Picarro Output'!$I:$I, 0, 'Picarro Output'!$J:$J, 1), "")</f>
        <v/>
      </c>
    </row>
    <row r="3475" spans="2:5" x14ac:dyDescent="0.45">
      <c r="B3475" s="1"/>
      <c r="E3475" s="45" t="str">
        <f>IFERROR(AVERAGEIFS('Picarro Output'!G:G, 'Picarro Output'!$B:$B, 'Uncalibrated Data'!$C3475, 'Picarro Output'!$I:$I, 0, 'Picarro Output'!$J:$J, 1), "")</f>
        <v/>
      </c>
    </row>
    <row r="3476" spans="2:5" x14ac:dyDescent="0.45">
      <c r="B3476" s="1"/>
      <c r="E3476" s="45" t="str">
        <f>IFERROR(AVERAGEIFS('Picarro Output'!G:G, 'Picarro Output'!$B:$B, 'Uncalibrated Data'!$C3476, 'Picarro Output'!$I:$I, 0, 'Picarro Output'!$J:$J, 1), "")</f>
        <v/>
      </c>
    </row>
    <row r="3477" spans="2:5" x14ac:dyDescent="0.45">
      <c r="B3477" s="1"/>
      <c r="E3477" s="45" t="str">
        <f>IFERROR(AVERAGEIFS('Picarro Output'!G:G, 'Picarro Output'!$B:$B, 'Uncalibrated Data'!$C3477, 'Picarro Output'!$I:$I, 0, 'Picarro Output'!$J:$J, 1), "")</f>
        <v/>
      </c>
    </row>
    <row r="3478" spans="2:5" x14ac:dyDescent="0.45">
      <c r="B3478" s="1"/>
      <c r="E3478" s="45" t="str">
        <f>IFERROR(AVERAGEIFS('Picarro Output'!G:G, 'Picarro Output'!$B:$B, 'Uncalibrated Data'!$C3478, 'Picarro Output'!$I:$I, 0, 'Picarro Output'!$J:$J, 1), "")</f>
        <v/>
      </c>
    </row>
    <row r="3479" spans="2:5" x14ac:dyDescent="0.45">
      <c r="B3479" s="1"/>
      <c r="E3479" s="45" t="str">
        <f>IFERROR(AVERAGEIFS('Picarro Output'!G:G, 'Picarro Output'!$B:$B, 'Uncalibrated Data'!$C3479, 'Picarro Output'!$I:$I, 0, 'Picarro Output'!$J:$J, 1), "")</f>
        <v/>
      </c>
    </row>
    <row r="3480" spans="2:5" x14ac:dyDescent="0.45">
      <c r="B3480" s="1"/>
      <c r="E3480" s="45" t="str">
        <f>IFERROR(AVERAGEIFS('Picarro Output'!G:G, 'Picarro Output'!$B:$B, 'Uncalibrated Data'!$C3480, 'Picarro Output'!$I:$I, 0, 'Picarro Output'!$J:$J, 1), "")</f>
        <v/>
      </c>
    </row>
    <row r="3481" spans="2:5" x14ac:dyDescent="0.45">
      <c r="B3481" s="1"/>
      <c r="E3481" s="45" t="str">
        <f>IFERROR(AVERAGEIFS('Picarro Output'!G:G, 'Picarro Output'!$B:$B, 'Uncalibrated Data'!$C3481, 'Picarro Output'!$I:$I, 0, 'Picarro Output'!$J:$J, 1), "")</f>
        <v/>
      </c>
    </row>
    <row r="3482" spans="2:5" x14ac:dyDescent="0.45">
      <c r="B3482" s="1"/>
      <c r="E3482" s="45" t="str">
        <f>IFERROR(AVERAGEIFS('Picarro Output'!G:G, 'Picarro Output'!$B:$B, 'Uncalibrated Data'!$C3482, 'Picarro Output'!$I:$I, 0, 'Picarro Output'!$J:$J, 1), "")</f>
        <v/>
      </c>
    </row>
    <row r="3483" spans="2:5" x14ac:dyDescent="0.45">
      <c r="B3483" s="1"/>
      <c r="E3483" s="45" t="str">
        <f>IFERROR(AVERAGEIFS('Picarro Output'!G:G, 'Picarro Output'!$B:$B, 'Uncalibrated Data'!$C3483, 'Picarro Output'!$I:$I, 0, 'Picarro Output'!$J:$J, 1), "")</f>
        <v/>
      </c>
    </row>
    <row r="3484" spans="2:5" x14ac:dyDescent="0.45">
      <c r="B3484" s="1"/>
      <c r="E3484" s="45" t="str">
        <f>IFERROR(AVERAGEIFS('Picarro Output'!G:G, 'Picarro Output'!$B:$B, 'Uncalibrated Data'!$C3484, 'Picarro Output'!$I:$I, 0, 'Picarro Output'!$J:$J, 1), "")</f>
        <v/>
      </c>
    </row>
    <row r="3485" spans="2:5" x14ac:dyDescent="0.45">
      <c r="B3485" s="1"/>
      <c r="E3485" s="45" t="str">
        <f>IFERROR(AVERAGEIFS('Picarro Output'!G:G, 'Picarro Output'!$B:$B, 'Uncalibrated Data'!$C3485, 'Picarro Output'!$I:$I, 0, 'Picarro Output'!$J:$J, 1), "")</f>
        <v/>
      </c>
    </row>
    <row r="3486" spans="2:5" x14ac:dyDescent="0.45">
      <c r="B3486" s="1"/>
      <c r="E3486" s="45" t="str">
        <f>IFERROR(AVERAGEIFS('Picarro Output'!G:G, 'Picarro Output'!$B:$B, 'Uncalibrated Data'!$C3486, 'Picarro Output'!$I:$I, 0, 'Picarro Output'!$J:$J, 1), "")</f>
        <v/>
      </c>
    </row>
    <row r="3487" spans="2:5" x14ac:dyDescent="0.45">
      <c r="B3487" s="1"/>
      <c r="E3487" s="45" t="str">
        <f>IFERROR(AVERAGEIFS('Picarro Output'!G:G, 'Picarro Output'!$B:$B, 'Uncalibrated Data'!$C3487, 'Picarro Output'!$I:$I, 0, 'Picarro Output'!$J:$J, 1), "")</f>
        <v/>
      </c>
    </row>
    <row r="3488" spans="2:5" x14ac:dyDescent="0.45">
      <c r="B3488" s="1"/>
      <c r="E3488" s="45" t="str">
        <f>IFERROR(AVERAGEIFS('Picarro Output'!G:G, 'Picarro Output'!$B:$B, 'Uncalibrated Data'!$C3488, 'Picarro Output'!$I:$I, 0, 'Picarro Output'!$J:$J, 1), "")</f>
        <v/>
      </c>
    </row>
    <row r="3489" spans="2:5" x14ac:dyDescent="0.45">
      <c r="B3489" s="1"/>
      <c r="E3489" s="45" t="str">
        <f>IFERROR(AVERAGEIFS('Picarro Output'!G:G, 'Picarro Output'!$B:$B, 'Uncalibrated Data'!$C3489, 'Picarro Output'!$I:$I, 0, 'Picarro Output'!$J:$J, 1), "")</f>
        <v/>
      </c>
    </row>
    <row r="3490" spans="2:5" x14ac:dyDescent="0.45">
      <c r="B3490" s="1"/>
      <c r="E3490" s="45" t="str">
        <f>IFERROR(AVERAGEIFS('Picarro Output'!G:G, 'Picarro Output'!$B:$B, 'Uncalibrated Data'!$C3490, 'Picarro Output'!$I:$I, 0, 'Picarro Output'!$J:$J, 1), "")</f>
        <v/>
      </c>
    </row>
    <row r="3491" spans="2:5" x14ac:dyDescent="0.45">
      <c r="B3491" s="1"/>
      <c r="E3491" s="45" t="str">
        <f>IFERROR(AVERAGEIFS('Picarro Output'!G:G, 'Picarro Output'!$B:$B, 'Uncalibrated Data'!$C3491, 'Picarro Output'!$I:$I, 0, 'Picarro Output'!$J:$J, 1), "")</f>
        <v/>
      </c>
    </row>
    <row r="3492" spans="2:5" x14ac:dyDescent="0.45">
      <c r="B3492" s="1"/>
      <c r="E3492" s="45" t="str">
        <f>IFERROR(AVERAGEIFS('Picarro Output'!G:G, 'Picarro Output'!$B:$B, 'Uncalibrated Data'!$C3492, 'Picarro Output'!$I:$I, 0, 'Picarro Output'!$J:$J, 1), "")</f>
        <v/>
      </c>
    </row>
    <row r="3493" spans="2:5" x14ac:dyDescent="0.45">
      <c r="B3493" s="1"/>
      <c r="E3493" s="45" t="str">
        <f>IFERROR(AVERAGEIFS('Picarro Output'!G:G, 'Picarro Output'!$B:$B, 'Uncalibrated Data'!$C3493, 'Picarro Output'!$I:$I, 0, 'Picarro Output'!$J:$J, 1), "")</f>
        <v/>
      </c>
    </row>
    <row r="3494" spans="2:5" x14ac:dyDescent="0.45">
      <c r="B3494" s="1"/>
      <c r="E3494" s="45" t="str">
        <f>IFERROR(AVERAGEIFS('Picarro Output'!G:G, 'Picarro Output'!$B:$B, 'Uncalibrated Data'!$C3494, 'Picarro Output'!$I:$I, 0, 'Picarro Output'!$J:$J, 1), "")</f>
        <v/>
      </c>
    </row>
    <row r="3495" spans="2:5" x14ac:dyDescent="0.45">
      <c r="B3495" s="1"/>
      <c r="E3495" s="45" t="str">
        <f>IFERROR(AVERAGEIFS('Picarro Output'!G:G, 'Picarro Output'!$B:$B, 'Uncalibrated Data'!$C3495, 'Picarro Output'!$I:$I, 0, 'Picarro Output'!$J:$J, 1), "")</f>
        <v/>
      </c>
    </row>
    <row r="3496" spans="2:5" x14ac:dyDescent="0.45">
      <c r="B3496" s="1"/>
      <c r="E3496" s="45" t="str">
        <f>IFERROR(AVERAGEIFS('Picarro Output'!G:G, 'Picarro Output'!$B:$B, 'Uncalibrated Data'!$C3496, 'Picarro Output'!$I:$I, 0, 'Picarro Output'!$J:$J, 1), "")</f>
        <v/>
      </c>
    </row>
    <row r="3497" spans="2:5" x14ac:dyDescent="0.45">
      <c r="B3497" s="1"/>
      <c r="E3497" s="45" t="str">
        <f>IFERROR(AVERAGEIFS('Picarro Output'!G:G, 'Picarro Output'!$B:$B, 'Uncalibrated Data'!$C3497, 'Picarro Output'!$I:$I, 0, 'Picarro Output'!$J:$J, 1), "")</f>
        <v/>
      </c>
    </row>
    <row r="3498" spans="2:5" x14ac:dyDescent="0.45">
      <c r="B3498" s="1"/>
      <c r="E3498" s="45" t="str">
        <f>IFERROR(AVERAGEIFS('Picarro Output'!G:G, 'Picarro Output'!$B:$B, 'Uncalibrated Data'!$C3498, 'Picarro Output'!$I:$I, 0, 'Picarro Output'!$J:$J, 1), "")</f>
        <v/>
      </c>
    </row>
    <row r="3499" spans="2:5" x14ac:dyDescent="0.45">
      <c r="B3499" s="1"/>
      <c r="E3499" s="45" t="str">
        <f>IFERROR(AVERAGEIFS('Picarro Output'!G:G, 'Picarro Output'!$B:$B, 'Uncalibrated Data'!$C3499, 'Picarro Output'!$I:$I, 0, 'Picarro Output'!$J:$J, 1), "")</f>
        <v/>
      </c>
    </row>
    <row r="3500" spans="2:5" x14ac:dyDescent="0.45">
      <c r="B3500" s="1"/>
      <c r="E3500" s="45" t="str">
        <f>IFERROR(AVERAGEIFS('Picarro Output'!G:G, 'Picarro Output'!$B:$B, 'Uncalibrated Data'!$C3500, 'Picarro Output'!$I:$I, 0, 'Picarro Output'!$J:$J, 1), "")</f>
        <v/>
      </c>
    </row>
    <row r="3501" spans="2:5" x14ac:dyDescent="0.45">
      <c r="B3501" s="1"/>
      <c r="E3501" s="45" t="str">
        <f>IFERROR(AVERAGEIFS('Picarro Output'!G:G, 'Picarro Output'!$B:$B, 'Uncalibrated Data'!$C3501, 'Picarro Output'!$I:$I, 0, 'Picarro Output'!$J:$J, 1), "")</f>
        <v/>
      </c>
    </row>
    <row r="3502" spans="2:5" x14ac:dyDescent="0.45">
      <c r="B3502" s="1"/>
      <c r="E3502" s="45" t="str">
        <f>IFERROR(AVERAGEIFS('Picarro Output'!G:G, 'Picarro Output'!$B:$B, 'Uncalibrated Data'!$C3502, 'Picarro Output'!$I:$I, 0, 'Picarro Output'!$J:$J, 1), "")</f>
        <v/>
      </c>
    </row>
    <row r="3503" spans="2:5" x14ac:dyDescent="0.45">
      <c r="B3503" s="1"/>
      <c r="E3503" s="45" t="str">
        <f>IFERROR(AVERAGEIFS('Picarro Output'!G:G, 'Picarro Output'!$B:$B, 'Uncalibrated Data'!$C3503, 'Picarro Output'!$I:$I, 0, 'Picarro Output'!$J:$J, 1), "")</f>
        <v/>
      </c>
    </row>
    <row r="3504" spans="2:5" x14ac:dyDescent="0.45">
      <c r="B3504" s="1"/>
      <c r="E3504" s="45" t="str">
        <f>IFERROR(AVERAGEIFS('Picarro Output'!G:G, 'Picarro Output'!$B:$B, 'Uncalibrated Data'!$C3504, 'Picarro Output'!$I:$I, 0, 'Picarro Output'!$J:$J, 1), "")</f>
        <v/>
      </c>
    </row>
    <row r="3505" spans="2:5" x14ac:dyDescent="0.45">
      <c r="B3505" s="1"/>
      <c r="E3505" s="45" t="str">
        <f>IFERROR(AVERAGEIFS('Picarro Output'!G:G, 'Picarro Output'!$B:$B, 'Uncalibrated Data'!$C3505, 'Picarro Output'!$I:$I, 0, 'Picarro Output'!$J:$J, 1), "")</f>
        <v/>
      </c>
    </row>
    <row r="3506" spans="2:5" x14ac:dyDescent="0.45">
      <c r="B3506" s="1"/>
      <c r="E3506" s="45" t="str">
        <f>IFERROR(AVERAGEIFS('Picarro Output'!G:G, 'Picarro Output'!$B:$B, 'Uncalibrated Data'!$C3506, 'Picarro Output'!$I:$I, 0, 'Picarro Output'!$J:$J, 1), "")</f>
        <v/>
      </c>
    </row>
    <row r="3507" spans="2:5" x14ac:dyDescent="0.45">
      <c r="B3507" s="1"/>
      <c r="E3507" s="45" t="str">
        <f>IFERROR(AVERAGEIFS('Picarro Output'!G:G, 'Picarro Output'!$B:$B, 'Uncalibrated Data'!$C3507, 'Picarro Output'!$I:$I, 0, 'Picarro Output'!$J:$J, 1), "")</f>
        <v/>
      </c>
    </row>
    <row r="3508" spans="2:5" x14ac:dyDescent="0.45">
      <c r="B3508" s="1"/>
      <c r="E3508" s="45" t="str">
        <f>IFERROR(AVERAGEIFS('Picarro Output'!G:G, 'Picarro Output'!$B:$B, 'Uncalibrated Data'!$C3508, 'Picarro Output'!$I:$I, 0, 'Picarro Output'!$J:$J, 1), "")</f>
        <v/>
      </c>
    </row>
    <row r="3509" spans="2:5" x14ac:dyDescent="0.45">
      <c r="B3509" s="1"/>
      <c r="E3509" s="45" t="str">
        <f>IFERROR(AVERAGEIFS('Picarro Output'!G:G, 'Picarro Output'!$B:$B, 'Uncalibrated Data'!$C3509, 'Picarro Output'!$I:$I, 0, 'Picarro Output'!$J:$J, 1), "")</f>
        <v/>
      </c>
    </row>
    <row r="3510" spans="2:5" x14ac:dyDescent="0.45">
      <c r="B3510" s="1"/>
      <c r="E3510" s="45" t="str">
        <f>IFERROR(AVERAGEIFS('Picarro Output'!G:G, 'Picarro Output'!$B:$B, 'Uncalibrated Data'!$C3510, 'Picarro Output'!$I:$I, 0, 'Picarro Output'!$J:$J, 1), "")</f>
        <v/>
      </c>
    </row>
    <row r="3511" spans="2:5" x14ac:dyDescent="0.45">
      <c r="B3511" s="1"/>
      <c r="E3511" s="45" t="str">
        <f>IFERROR(AVERAGEIFS('Picarro Output'!G:G, 'Picarro Output'!$B:$B, 'Uncalibrated Data'!$C3511, 'Picarro Output'!$I:$I, 0, 'Picarro Output'!$J:$J, 1), "")</f>
        <v/>
      </c>
    </row>
    <row r="3512" spans="2:5" x14ac:dyDescent="0.45">
      <c r="B3512" s="1"/>
      <c r="E3512" s="45" t="str">
        <f>IFERROR(AVERAGEIFS('Picarro Output'!G:G, 'Picarro Output'!$B:$B, 'Uncalibrated Data'!$C3512, 'Picarro Output'!$I:$I, 0, 'Picarro Output'!$J:$J, 1), "")</f>
        <v/>
      </c>
    </row>
    <row r="3513" spans="2:5" x14ac:dyDescent="0.45">
      <c r="B3513" s="1"/>
      <c r="E3513" s="45" t="str">
        <f>IFERROR(AVERAGEIFS('Picarro Output'!G:G, 'Picarro Output'!$B:$B, 'Uncalibrated Data'!$C3513, 'Picarro Output'!$I:$I, 0, 'Picarro Output'!$J:$J, 1), "")</f>
        <v/>
      </c>
    </row>
    <row r="3514" spans="2:5" x14ac:dyDescent="0.45">
      <c r="B3514" s="1"/>
      <c r="E3514" s="45" t="str">
        <f>IFERROR(AVERAGEIFS('Picarro Output'!G:G, 'Picarro Output'!$B:$B, 'Uncalibrated Data'!$C3514, 'Picarro Output'!$I:$I, 0, 'Picarro Output'!$J:$J, 1), "")</f>
        <v/>
      </c>
    </row>
    <row r="3515" spans="2:5" x14ac:dyDescent="0.45">
      <c r="B3515" s="1"/>
      <c r="E3515" s="45" t="str">
        <f>IFERROR(AVERAGEIFS('Picarro Output'!G:G, 'Picarro Output'!$B:$B, 'Uncalibrated Data'!$C3515, 'Picarro Output'!$I:$I, 0, 'Picarro Output'!$J:$J, 1), "")</f>
        <v/>
      </c>
    </row>
    <row r="3516" spans="2:5" x14ac:dyDescent="0.45">
      <c r="B3516" s="1"/>
      <c r="E3516" s="45" t="str">
        <f>IFERROR(AVERAGEIFS('Picarro Output'!G:G, 'Picarro Output'!$B:$B, 'Uncalibrated Data'!$C3516, 'Picarro Output'!$I:$I, 0, 'Picarro Output'!$J:$J, 1), "")</f>
        <v/>
      </c>
    </row>
    <row r="3517" spans="2:5" x14ac:dyDescent="0.45">
      <c r="B3517" s="1"/>
      <c r="E3517" s="45" t="str">
        <f>IFERROR(AVERAGEIFS('Picarro Output'!G:G, 'Picarro Output'!$B:$B, 'Uncalibrated Data'!$C3517, 'Picarro Output'!$I:$I, 0, 'Picarro Output'!$J:$J, 1), "")</f>
        <v/>
      </c>
    </row>
    <row r="3518" spans="2:5" x14ac:dyDescent="0.45">
      <c r="B3518" s="1"/>
      <c r="E3518" s="45" t="str">
        <f>IFERROR(AVERAGEIFS('Picarro Output'!G:G, 'Picarro Output'!$B:$B, 'Uncalibrated Data'!$C3518, 'Picarro Output'!$I:$I, 0, 'Picarro Output'!$J:$J, 1), "")</f>
        <v/>
      </c>
    </row>
    <row r="3519" spans="2:5" x14ac:dyDescent="0.45">
      <c r="B3519" s="1"/>
      <c r="E3519" s="45" t="str">
        <f>IFERROR(AVERAGEIFS('Picarro Output'!G:G, 'Picarro Output'!$B:$B, 'Uncalibrated Data'!$C3519, 'Picarro Output'!$I:$I, 0, 'Picarro Output'!$J:$J, 1), "")</f>
        <v/>
      </c>
    </row>
    <row r="3520" spans="2:5" x14ac:dyDescent="0.45">
      <c r="B3520" s="1"/>
      <c r="E3520" s="45" t="str">
        <f>IFERROR(AVERAGEIFS('Picarro Output'!G:G, 'Picarro Output'!$B:$B, 'Uncalibrated Data'!$C3520, 'Picarro Output'!$I:$I, 0, 'Picarro Output'!$J:$J, 1), "")</f>
        <v/>
      </c>
    </row>
    <row r="3521" spans="2:5" x14ac:dyDescent="0.45">
      <c r="B3521" s="1"/>
      <c r="E3521" s="45" t="str">
        <f>IFERROR(AVERAGEIFS('Picarro Output'!G:G, 'Picarro Output'!$B:$B, 'Uncalibrated Data'!$C3521, 'Picarro Output'!$I:$I, 0, 'Picarro Output'!$J:$J, 1), "")</f>
        <v/>
      </c>
    </row>
    <row r="3522" spans="2:5" x14ac:dyDescent="0.45">
      <c r="B3522" s="1"/>
      <c r="E3522" s="45" t="str">
        <f>IFERROR(AVERAGEIFS('Picarro Output'!G:G, 'Picarro Output'!$B:$B, 'Uncalibrated Data'!$C3522, 'Picarro Output'!$I:$I, 0, 'Picarro Output'!$J:$J, 1), "")</f>
        <v/>
      </c>
    </row>
    <row r="3523" spans="2:5" x14ac:dyDescent="0.45">
      <c r="B3523" s="1"/>
      <c r="E3523" s="45" t="str">
        <f>IFERROR(AVERAGEIFS('Picarro Output'!G:G, 'Picarro Output'!$B:$B, 'Uncalibrated Data'!$C3523, 'Picarro Output'!$I:$I, 0, 'Picarro Output'!$J:$J, 1), "")</f>
        <v/>
      </c>
    </row>
    <row r="3524" spans="2:5" x14ac:dyDescent="0.45">
      <c r="B3524" s="1"/>
      <c r="E3524" s="45" t="str">
        <f>IFERROR(AVERAGEIFS('Picarro Output'!G:G, 'Picarro Output'!$B:$B, 'Uncalibrated Data'!$C3524, 'Picarro Output'!$I:$I, 0, 'Picarro Output'!$J:$J, 1), "")</f>
        <v/>
      </c>
    </row>
    <row r="3525" spans="2:5" x14ac:dyDescent="0.45">
      <c r="B3525" s="1"/>
      <c r="E3525" s="45" t="str">
        <f>IFERROR(AVERAGEIFS('Picarro Output'!G:G, 'Picarro Output'!$B:$B, 'Uncalibrated Data'!$C3525, 'Picarro Output'!$I:$I, 0, 'Picarro Output'!$J:$J, 1), "")</f>
        <v/>
      </c>
    </row>
    <row r="3526" spans="2:5" x14ac:dyDescent="0.45">
      <c r="B3526" s="1"/>
      <c r="E3526" s="45" t="str">
        <f>IFERROR(AVERAGEIFS('Picarro Output'!G:G, 'Picarro Output'!$B:$B, 'Uncalibrated Data'!$C3526, 'Picarro Output'!$I:$I, 0, 'Picarro Output'!$J:$J, 1), "")</f>
        <v/>
      </c>
    </row>
    <row r="3527" spans="2:5" x14ac:dyDescent="0.45">
      <c r="B3527" s="1"/>
      <c r="E3527" s="45" t="str">
        <f>IFERROR(AVERAGEIFS('Picarro Output'!G:G, 'Picarro Output'!$B:$B, 'Uncalibrated Data'!$C3527, 'Picarro Output'!$I:$I, 0, 'Picarro Output'!$J:$J, 1), "")</f>
        <v/>
      </c>
    </row>
    <row r="3528" spans="2:5" x14ac:dyDescent="0.45">
      <c r="B3528" s="1"/>
      <c r="E3528" s="45" t="str">
        <f>IFERROR(AVERAGEIFS('Picarro Output'!G:G, 'Picarro Output'!$B:$B, 'Uncalibrated Data'!$C3528, 'Picarro Output'!$I:$I, 0, 'Picarro Output'!$J:$J, 1), "")</f>
        <v/>
      </c>
    </row>
    <row r="3529" spans="2:5" x14ac:dyDescent="0.45">
      <c r="B3529" s="1"/>
      <c r="E3529" s="45" t="str">
        <f>IFERROR(AVERAGEIFS('Picarro Output'!G:G, 'Picarro Output'!$B:$B, 'Uncalibrated Data'!$C3529, 'Picarro Output'!$I:$I, 0, 'Picarro Output'!$J:$J, 1), "")</f>
        <v/>
      </c>
    </row>
    <row r="3530" spans="2:5" x14ac:dyDescent="0.45">
      <c r="B3530" s="1"/>
      <c r="E3530" s="45" t="str">
        <f>IFERROR(AVERAGEIFS('Picarro Output'!G:G, 'Picarro Output'!$B:$B, 'Uncalibrated Data'!$C3530, 'Picarro Output'!$I:$I, 0, 'Picarro Output'!$J:$J, 1), "")</f>
        <v/>
      </c>
    </row>
    <row r="3531" spans="2:5" x14ac:dyDescent="0.45">
      <c r="B3531" s="1"/>
      <c r="E3531" s="45" t="str">
        <f>IFERROR(AVERAGEIFS('Picarro Output'!G:G, 'Picarro Output'!$B:$B, 'Uncalibrated Data'!$C3531, 'Picarro Output'!$I:$I, 0, 'Picarro Output'!$J:$J, 1), "")</f>
        <v/>
      </c>
    </row>
    <row r="3532" spans="2:5" x14ac:dyDescent="0.45">
      <c r="B3532" s="1"/>
      <c r="E3532" s="45" t="str">
        <f>IFERROR(AVERAGEIFS('Picarro Output'!G:G, 'Picarro Output'!$B:$B, 'Uncalibrated Data'!$C3532, 'Picarro Output'!$I:$I, 0, 'Picarro Output'!$J:$J, 1), "")</f>
        <v/>
      </c>
    </row>
    <row r="3533" spans="2:5" x14ac:dyDescent="0.45">
      <c r="B3533" s="1"/>
      <c r="E3533" s="45" t="str">
        <f>IFERROR(AVERAGEIFS('Picarro Output'!G:G, 'Picarro Output'!$B:$B, 'Uncalibrated Data'!$C3533, 'Picarro Output'!$I:$I, 0, 'Picarro Output'!$J:$J, 1), "")</f>
        <v/>
      </c>
    </row>
    <row r="3534" spans="2:5" x14ac:dyDescent="0.45">
      <c r="B3534" s="1"/>
      <c r="E3534" s="45" t="str">
        <f>IFERROR(AVERAGEIFS('Picarro Output'!G:G, 'Picarro Output'!$B:$B, 'Uncalibrated Data'!$C3534, 'Picarro Output'!$I:$I, 0, 'Picarro Output'!$J:$J, 1), "")</f>
        <v/>
      </c>
    </row>
    <row r="3535" spans="2:5" x14ac:dyDescent="0.45">
      <c r="B3535" s="1"/>
      <c r="E3535" s="45" t="str">
        <f>IFERROR(AVERAGEIFS('Picarro Output'!G:G, 'Picarro Output'!$B:$B, 'Uncalibrated Data'!$C3535, 'Picarro Output'!$I:$I, 0, 'Picarro Output'!$J:$J, 1), "")</f>
        <v/>
      </c>
    </row>
    <row r="3536" spans="2:5" x14ac:dyDescent="0.45">
      <c r="B3536" s="1"/>
      <c r="E3536" s="45" t="str">
        <f>IFERROR(AVERAGEIFS('Picarro Output'!G:G, 'Picarro Output'!$B:$B, 'Uncalibrated Data'!$C3536, 'Picarro Output'!$I:$I, 0, 'Picarro Output'!$J:$J, 1), "")</f>
        <v/>
      </c>
    </row>
    <row r="3537" spans="2:5" x14ac:dyDescent="0.45">
      <c r="B3537" s="1"/>
      <c r="E3537" s="45" t="str">
        <f>IFERROR(AVERAGEIFS('Picarro Output'!G:G, 'Picarro Output'!$B:$B, 'Uncalibrated Data'!$C3537, 'Picarro Output'!$I:$I, 0, 'Picarro Output'!$J:$J, 1), "")</f>
        <v/>
      </c>
    </row>
    <row r="3538" spans="2:5" x14ac:dyDescent="0.45">
      <c r="B3538" s="1"/>
      <c r="E3538" s="45" t="str">
        <f>IFERROR(AVERAGEIFS('Picarro Output'!G:G, 'Picarro Output'!$B:$B, 'Uncalibrated Data'!$C3538, 'Picarro Output'!$I:$I, 0, 'Picarro Output'!$J:$J, 1), "")</f>
        <v/>
      </c>
    </row>
    <row r="3539" spans="2:5" x14ac:dyDescent="0.45">
      <c r="B3539" s="1"/>
      <c r="E3539" s="45" t="str">
        <f>IFERROR(AVERAGEIFS('Picarro Output'!G:G, 'Picarro Output'!$B:$B, 'Uncalibrated Data'!$C3539, 'Picarro Output'!$I:$I, 0, 'Picarro Output'!$J:$J, 1), "")</f>
        <v/>
      </c>
    </row>
    <row r="3540" spans="2:5" x14ac:dyDescent="0.45">
      <c r="B3540" s="1"/>
      <c r="E3540" s="45" t="str">
        <f>IFERROR(AVERAGEIFS('Picarro Output'!G:G, 'Picarro Output'!$B:$B, 'Uncalibrated Data'!$C3540, 'Picarro Output'!$I:$I, 0, 'Picarro Output'!$J:$J, 1), "")</f>
        <v/>
      </c>
    </row>
    <row r="3541" spans="2:5" x14ac:dyDescent="0.45">
      <c r="B3541" s="1"/>
      <c r="E3541" s="45" t="str">
        <f>IFERROR(AVERAGEIFS('Picarro Output'!G:G, 'Picarro Output'!$B:$B, 'Uncalibrated Data'!$C3541, 'Picarro Output'!$I:$I, 0, 'Picarro Output'!$J:$J, 1), "")</f>
        <v/>
      </c>
    </row>
    <row r="3542" spans="2:5" x14ac:dyDescent="0.45">
      <c r="B3542" s="1"/>
      <c r="E3542" s="45" t="str">
        <f>IFERROR(AVERAGEIFS('Picarro Output'!G:G, 'Picarro Output'!$B:$B, 'Uncalibrated Data'!$C3542, 'Picarro Output'!$I:$I, 0, 'Picarro Output'!$J:$J, 1), "")</f>
        <v/>
      </c>
    </row>
    <row r="3543" spans="2:5" x14ac:dyDescent="0.45">
      <c r="B3543" s="1"/>
      <c r="E3543" s="45" t="str">
        <f>IFERROR(AVERAGEIFS('Picarro Output'!G:G, 'Picarro Output'!$B:$B, 'Uncalibrated Data'!$C3543, 'Picarro Output'!$I:$I, 0, 'Picarro Output'!$J:$J, 1), "")</f>
        <v/>
      </c>
    </row>
    <row r="3544" spans="2:5" x14ac:dyDescent="0.45">
      <c r="B3544" s="1"/>
      <c r="E3544" s="45" t="str">
        <f>IFERROR(AVERAGEIFS('Picarro Output'!G:G, 'Picarro Output'!$B:$B, 'Uncalibrated Data'!$C3544, 'Picarro Output'!$I:$I, 0, 'Picarro Output'!$J:$J, 1), "")</f>
        <v/>
      </c>
    </row>
    <row r="3545" spans="2:5" x14ac:dyDescent="0.45">
      <c r="B3545" s="1"/>
      <c r="E3545" s="45" t="str">
        <f>IFERROR(AVERAGEIFS('Picarro Output'!G:G, 'Picarro Output'!$B:$B, 'Uncalibrated Data'!$C3545, 'Picarro Output'!$I:$I, 0, 'Picarro Output'!$J:$J, 1), "")</f>
        <v/>
      </c>
    </row>
    <row r="3546" spans="2:5" x14ac:dyDescent="0.45">
      <c r="B3546" s="1"/>
      <c r="E3546" s="45" t="str">
        <f>IFERROR(AVERAGEIFS('Picarro Output'!G:G, 'Picarro Output'!$B:$B, 'Uncalibrated Data'!$C3546, 'Picarro Output'!$I:$I, 0, 'Picarro Output'!$J:$J, 1), "")</f>
        <v/>
      </c>
    </row>
    <row r="3547" spans="2:5" x14ac:dyDescent="0.45">
      <c r="B3547" s="1"/>
      <c r="E3547" s="45" t="str">
        <f>IFERROR(AVERAGEIFS('Picarro Output'!G:G, 'Picarro Output'!$B:$B, 'Uncalibrated Data'!$C3547, 'Picarro Output'!$I:$I, 0, 'Picarro Output'!$J:$J, 1), "")</f>
        <v/>
      </c>
    </row>
    <row r="3548" spans="2:5" x14ac:dyDescent="0.45">
      <c r="B3548" s="1"/>
      <c r="E3548" s="45" t="str">
        <f>IFERROR(AVERAGEIFS('Picarro Output'!G:G, 'Picarro Output'!$B:$B, 'Uncalibrated Data'!$C3548, 'Picarro Output'!$I:$I, 0, 'Picarro Output'!$J:$J, 1), "")</f>
        <v/>
      </c>
    </row>
    <row r="3549" spans="2:5" x14ac:dyDescent="0.45">
      <c r="B3549" s="1"/>
      <c r="E3549" s="45" t="str">
        <f>IFERROR(AVERAGEIFS('Picarro Output'!G:G, 'Picarro Output'!$B:$B, 'Uncalibrated Data'!$C3549, 'Picarro Output'!$I:$I, 0, 'Picarro Output'!$J:$J, 1), "")</f>
        <v/>
      </c>
    </row>
    <row r="3550" spans="2:5" x14ac:dyDescent="0.45">
      <c r="B3550" s="1"/>
      <c r="E3550" s="45" t="str">
        <f>IFERROR(AVERAGEIFS('Picarro Output'!G:G, 'Picarro Output'!$B:$B, 'Uncalibrated Data'!$C3550, 'Picarro Output'!$I:$I, 0, 'Picarro Output'!$J:$J, 1), "")</f>
        <v/>
      </c>
    </row>
    <row r="3551" spans="2:5" x14ac:dyDescent="0.45">
      <c r="B3551" s="1"/>
      <c r="E3551" s="45" t="str">
        <f>IFERROR(AVERAGEIFS('Picarro Output'!G:G, 'Picarro Output'!$B:$B, 'Uncalibrated Data'!$C3551, 'Picarro Output'!$I:$I, 0, 'Picarro Output'!$J:$J, 1), "")</f>
        <v/>
      </c>
    </row>
    <row r="3552" spans="2:5" x14ac:dyDescent="0.45">
      <c r="B3552" s="1"/>
      <c r="E3552" s="45" t="str">
        <f>IFERROR(AVERAGEIFS('Picarro Output'!G:G, 'Picarro Output'!$B:$B, 'Uncalibrated Data'!$C3552, 'Picarro Output'!$I:$I, 0, 'Picarro Output'!$J:$J, 1), "")</f>
        <v/>
      </c>
    </row>
    <row r="3553" spans="2:5" x14ac:dyDescent="0.45">
      <c r="B3553" s="1"/>
      <c r="E3553" s="45" t="str">
        <f>IFERROR(AVERAGEIFS('Picarro Output'!G:G, 'Picarro Output'!$B:$B, 'Uncalibrated Data'!$C3553, 'Picarro Output'!$I:$I, 0, 'Picarro Output'!$J:$J, 1), "")</f>
        <v/>
      </c>
    </row>
    <row r="3554" spans="2:5" x14ac:dyDescent="0.45">
      <c r="B3554" s="1"/>
      <c r="E3554" s="45" t="str">
        <f>IFERROR(AVERAGEIFS('Picarro Output'!G:G, 'Picarro Output'!$B:$B, 'Uncalibrated Data'!$C3554, 'Picarro Output'!$I:$I, 0, 'Picarro Output'!$J:$J, 1), "")</f>
        <v/>
      </c>
    </row>
    <row r="3555" spans="2:5" x14ac:dyDescent="0.45">
      <c r="B3555" s="1"/>
      <c r="E3555" s="45" t="str">
        <f>IFERROR(AVERAGEIFS('Picarro Output'!G:G, 'Picarro Output'!$B:$B, 'Uncalibrated Data'!$C3555, 'Picarro Output'!$I:$I, 0, 'Picarro Output'!$J:$J, 1), "")</f>
        <v/>
      </c>
    </row>
    <row r="3556" spans="2:5" x14ac:dyDescent="0.45">
      <c r="B3556" s="1"/>
      <c r="E3556" s="45" t="str">
        <f>IFERROR(AVERAGEIFS('Picarro Output'!G:G, 'Picarro Output'!$B:$B, 'Uncalibrated Data'!$C3556, 'Picarro Output'!$I:$I, 0, 'Picarro Output'!$J:$J, 1), "")</f>
        <v/>
      </c>
    </row>
    <row r="3557" spans="2:5" x14ac:dyDescent="0.45">
      <c r="B3557" s="1"/>
      <c r="E3557" s="45" t="str">
        <f>IFERROR(AVERAGEIFS('Picarro Output'!G:G, 'Picarro Output'!$B:$B, 'Uncalibrated Data'!$C3557, 'Picarro Output'!$I:$I, 0, 'Picarro Output'!$J:$J, 1), "")</f>
        <v/>
      </c>
    </row>
    <row r="3558" spans="2:5" x14ac:dyDescent="0.45">
      <c r="B3558" s="1"/>
      <c r="E3558" s="45" t="str">
        <f>IFERROR(AVERAGEIFS('Picarro Output'!G:G, 'Picarro Output'!$B:$B, 'Uncalibrated Data'!$C3558, 'Picarro Output'!$I:$I, 0, 'Picarro Output'!$J:$J, 1), "")</f>
        <v/>
      </c>
    </row>
    <row r="3559" spans="2:5" x14ac:dyDescent="0.45">
      <c r="B3559" s="1"/>
      <c r="E3559" s="45" t="str">
        <f>IFERROR(AVERAGEIFS('Picarro Output'!G:G, 'Picarro Output'!$B:$B, 'Uncalibrated Data'!$C3559, 'Picarro Output'!$I:$I, 0, 'Picarro Output'!$J:$J, 1), "")</f>
        <v/>
      </c>
    </row>
    <row r="3560" spans="2:5" x14ac:dyDescent="0.45">
      <c r="B3560" s="1"/>
      <c r="E3560" s="45" t="str">
        <f>IFERROR(AVERAGEIFS('Picarro Output'!G:G, 'Picarro Output'!$B:$B, 'Uncalibrated Data'!$C3560, 'Picarro Output'!$I:$I, 0, 'Picarro Output'!$J:$J, 1), "")</f>
        <v/>
      </c>
    </row>
    <row r="3561" spans="2:5" x14ac:dyDescent="0.45">
      <c r="B3561" s="1"/>
      <c r="E3561" s="45" t="str">
        <f>IFERROR(AVERAGEIFS('Picarro Output'!G:G, 'Picarro Output'!$B:$B, 'Uncalibrated Data'!$C3561, 'Picarro Output'!$I:$I, 0, 'Picarro Output'!$J:$J, 1), "")</f>
        <v/>
      </c>
    </row>
    <row r="3562" spans="2:5" x14ac:dyDescent="0.45">
      <c r="B3562" s="1"/>
      <c r="E3562" s="45" t="str">
        <f>IFERROR(AVERAGEIFS('Picarro Output'!G:G, 'Picarro Output'!$B:$B, 'Uncalibrated Data'!$C3562, 'Picarro Output'!$I:$I, 0, 'Picarro Output'!$J:$J, 1), "")</f>
        <v/>
      </c>
    </row>
    <row r="3563" spans="2:5" x14ac:dyDescent="0.45">
      <c r="B3563" s="1"/>
      <c r="E3563" s="45" t="str">
        <f>IFERROR(AVERAGEIFS('Picarro Output'!G:G, 'Picarro Output'!$B:$B, 'Uncalibrated Data'!$C3563, 'Picarro Output'!$I:$I, 0, 'Picarro Output'!$J:$J, 1), "")</f>
        <v/>
      </c>
    </row>
    <row r="3564" spans="2:5" x14ac:dyDescent="0.45">
      <c r="B3564" s="1"/>
      <c r="E3564" s="45" t="str">
        <f>IFERROR(AVERAGEIFS('Picarro Output'!G:G, 'Picarro Output'!$B:$B, 'Uncalibrated Data'!$C3564, 'Picarro Output'!$I:$I, 0, 'Picarro Output'!$J:$J, 1), "")</f>
        <v/>
      </c>
    </row>
    <row r="3565" spans="2:5" x14ac:dyDescent="0.45">
      <c r="B3565" s="1"/>
      <c r="E3565" s="45" t="str">
        <f>IFERROR(AVERAGEIFS('Picarro Output'!G:G, 'Picarro Output'!$B:$B, 'Uncalibrated Data'!$C3565, 'Picarro Output'!$I:$I, 0, 'Picarro Output'!$J:$J, 1), "")</f>
        <v/>
      </c>
    </row>
    <row r="3566" spans="2:5" x14ac:dyDescent="0.45">
      <c r="B3566" s="1"/>
      <c r="E3566" s="45" t="str">
        <f>IFERROR(AVERAGEIFS('Picarro Output'!G:G, 'Picarro Output'!$B:$B, 'Uncalibrated Data'!$C3566, 'Picarro Output'!$I:$I, 0, 'Picarro Output'!$J:$J, 1), "")</f>
        <v/>
      </c>
    </row>
    <row r="3567" spans="2:5" x14ac:dyDescent="0.45">
      <c r="B3567" s="1"/>
      <c r="E3567" s="45" t="str">
        <f>IFERROR(AVERAGEIFS('Picarro Output'!G:G, 'Picarro Output'!$B:$B, 'Uncalibrated Data'!$C3567, 'Picarro Output'!$I:$I, 0, 'Picarro Output'!$J:$J, 1), "")</f>
        <v/>
      </c>
    </row>
    <row r="3568" spans="2:5" x14ac:dyDescent="0.45">
      <c r="B3568" s="1"/>
      <c r="E3568" s="45" t="str">
        <f>IFERROR(AVERAGEIFS('Picarro Output'!G:G, 'Picarro Output'!$B:$B, 'Uncalibrated Data'!$C3568, 'Picarro Output'!$I:$I, 0, 'Picarro Output'!$J:$J, 1), "")</f>
        <v/>
      </c>
    </row>
    <row r="3569" spans="2:5" x14ac:dyDescent="0.45">
      <c r="B3569" s="1"/>
      <c r="E3569" s="45" t="str">
        <f>IFERROR(AVERAGEIFS('Picarro Output'!G:G, 'Picarro Output'!$B:$B, 'Uncalibrated Data'!$C3569, 'Picarro Output'!$I:$I, 0, 'Picarro Output'!$J:$J, 1), "")</f>
        <v/>
      </c>
    </row>
    <row r="3570" spans="2:5" x14ac:dyDescent="0.45">
      <c r="B3570" s="1"/>
      <c r="E3570" s="45" t="str">
        <f>IFERROR(AVERAGEIFS('Picarro Output'!G:G, 'Picarro Output'!$B:$B, 'Uncalibrated Data'!$C3570, 'Picarro Output'!$I:$I, 0, 'Picarro Output'!$J:$J, 1), "")</f>
        <v/>
      </c>
    </row>
    <row r="3571" spans="2:5" x14ac:dyDescent="0.45">
      <c r="B3571" s="1"/>
      <c r="E3571" s="45" t="str">
        <f>IFERROR(AVERAGEIFS('Picarro Output'!G:G, 'Picarro Output'!$B:$B, 'Uncalibrated Data'!$C3571, 'Picarro Output'!$I:$I, 0, 'Picarro Output'!$J:$J, 1), "")</f>
        <v/>
      </c>
    </row>
    <row r="3572" spans="2:5" x14ac:dyDescent="0.45">
      <c r="B3572" s="1"/>
      <c r="E3572" s="45" t="str">
        <f>IFERROR(AVERAGEIFS('Picarro Output'!G:G, 'Picarro Output'!$B:$B, 'Uncalibrated Data'!$C3572, 'Picarro Output'!$I:$I, 0, 'Picarro Output'!$J:$J, 1), "")</f>
        <v/>
      </c>
    </row>
    <row r="3573" spans="2:5" x14ac:dyDescent="0.45">
      <c r="B3573" s="1"/>
      <c r="E3573" s="45" t="str">
        <f>IFERROR(AVERAGEIFS('Picarro Output'!G:G, 'Picarro Output'!$B:$B, 'Uncalibrated Data'!$C3573, 'Picarro Output'!$I:$I, 0, 'Picarro Output'!$J:$J, 1), "")</f>
        <v/>
      </c>
    </row>
    <row r="3574" spans="2:5" x14ac:dyDescent="0.45">
      <c r="B3574" s="1"/>
      <c r="E3574" s="45" t="str">
        <f>IFERROR(AVERAGEIFS('Picarro Output'!G:G, 'Picarro Output'!$B:$B, 'Uncalibrated Data'!$C3574, 'Picarro Output'!$I:$I, 0, 'Picarro Output'!$J:$J, 1), "")</f>
        <v/>
      </c>
    </row>
    <row r="3575" spans="2:5" x14ac:dyDescent="0.45">
      <c r="B3575" s="1"/>
      <c r="E3575" s="45" t="str">
        <f>IFERROR(AVERAGEIFS('Picarro Output'!G:G, 'Picarro Output'!$B:$B, 'Uncalibrated Data'!$C3575, 'Picarro Output'!$I:$I, 0, 'Picarro Output'!$J:$J, 1), "")</f>
        <v/>
      </c>
    </row>
    <row r="3576" spans="2:5" x14ac:dyDescent="0.45">
      <c r="B3576" s="1"/>
      <c r="E3576" s="45" t="str">
        <f>IFERROR(AVERAGEIFS('Picarro Output'!G:G, 'Picarro Output'!$B:$B, 'Uncalibrated Data'!$C3576, 'Picarro Output'!$I:$I, 0, 'Picarro Output'!$J:$J, 1), "")</f>
        <v/>
      </c>
    </row>
    <row r="3577" spans="2:5" x14ac:dyDescent="0.45">
      <c r="B3577" s="1"/>
      <c r="E3577" s="45" t="str">
        <f>IFERROR(AVERAGEIFS('Picarro Output'!G:G, 'Picarro Output'!$B:$B, 'Uncalibrated Data'!$C3577, 'Picarro Output'!$I:$I, 0, 'Picarro Output'!$J:$J, 1), "")</f>
        <v/>
      </c>
    </row>
    <row r="3578" spans="2:5" x14ac:dyDescent="0.45">
      <c r="B3578" s="1"/>
      <c r="E3578" s="45" t="str">
        <f>IFERROR(AVERAGEIFS('Picarro Output'!G:G, 'Picarro Output'!$B:$B, 'Uncalibrated Data'!$C3578, 'Picarro Output'!$I:$I, 0, 'Picarro Output'!$J:$J, 1), "")</f>
        <v/>
      </c>
    </row>
    <row r="3579" spans="2:5" x14ac:dyDescent="0.45">
      <c r="B3579" s="1"/>
      <c r="E3579" s="45" t="str">
        <f>IFERROR(AVERAGEIFS('Picarro Output'!G:G, 'Picarro Output'!$B:$B, 'Uncalibrated Data'!$C3579, 'Picarro Output'!$I:$I, 0, 'Picarro Output'!$J:$J, 1), "")</f>
        <v/>
      </c>
    </row>
    <row r="3580" spans="2:5" x14ac:dyDescent="0.45">
      <c r="B3580" s="1"/>
      <c r="E3580" s="45" t="str">
        <f>IFERROR(AVERAGEIFS('Picarro Output'!G:G, 'Picarro Output'!$B:$B, 'Uncalibrated Data'!$C3580, 'Picarro Output'!$I:$I, 0, 'Picarro Output'!$J:$J, 1), "")</f>
        <v/>
      </c>
    </row>
    <row r="3581" spans="2:5" x14ac:dyDescent="0.45">
      <c r="B3581" s="1"/>
      <c r="E3581" s="45" t="str">
        <f>IFERROR(AVERAGEIFS('Picarro Output'!G:G, 'Picarro Output'!$B:$B, 'Uncalibrated Data'!$C3581, 'Picarro Output'!$I:$I, 0, 'Picarro Output'!$J:$J, 1), "")</f>
        <v/>
      </c>
    </row>
    <row r="3582" spans="2:5" x14ac:dyDescent="0.45">
      <c r="B3582" s="1"/>
      <c r="E3582" s="45" t="str">
        <f>IFERROR(AVERAGEIFS('Picarro Output'!G:G, 'Picarro Output'!$B:$B, 'Uncalibrated Data'!$C3582, 'Picarro Output'!$I:$I, 0, 'Picarro Output'!$J:$J, 1), "")</f>
        <v/>
      </c>
    </row>
    <row r="3583" spans="2:5" x14ac:dyDescent="0.45">
      <c r="B3583" s="1"/>
      <c r="E3583" s="45" t="str">
        <f>IFERROR(AVERAGEIFS('Picarro Output'!G:G, 'Picarro Output'!$B:$B, 'Uncalibrated Data'!$C3583, 'Picarro Output'!$I:$I, 0, 'Picarro Output'!$J:$J, 1), "")</f>
        <v/>
      </c>
    </row>
    <row r="3584" spans="2:5" x14ac:dyDescent="0.45">
      <c r="B3584" s="1"/>
      <c r="E3584" s="45" t="str">
        <f>IFERROR(AVERAGEIFS('Picarro Output'!G:G, 'Picarro Output'!$B:$B, 'Uncalibrated Data'!$C3584, 'Picarro Output'!$I:$I, 0, 'Picarro Output'!$J:$J, 1), "")</f>
        <v/>
      </c>
    </row>
    <row r="3585" spans="2:5" x14ac:dyDescent="0.45">
      <c r="B3585" s="1"/>
      <c r="E3585" s="45" t="str">
        <f>IFERROR(AVERAGEIFS('Picarro Output'!G:G, 'Picarro Output'!$B:$B, 'Uncalibrated Data'!$C3585, 'Picarro Output'!$I:$I, 0, 'Picarro Output'!$J:$J, 1), "")</f>
        <v/>
      </c>
    </row>
    <row r="3586" spans="2:5" x14ac:dyDescent="0.45">
      <c r="B3586" s="1"/>
      <c r="E3586" s="45" t="str">
        <f>IFERROR(AVERAGEIFS('Picarro Output'!G:G, 'Picarro Output'!$B:$B, 'Uncalibrated Data'!$C3586, 'Picarro Output'!$I:$I, 0, 'Picarro Output'!$J:$J, 1), "")</f>
        <v/>
      </c>
    </row>
    <row r="3587" spans="2:5" x14ac:dyDescent="0.45">
      <c r="B3587" s="1"/>
      <c r="E3587" s="45" t="str">
        <f>IFERROR(AVERAGEIFS('Picarro Output'!G:G, 'Picarro Output'!$B:$B, 'Uncalibrated Data'!$C3587, 'Picarro Output'!$I:$I, 0, 'Picarro Output'!$J:$J, 1), "")</f>
        <v/>
      </c>
    </row>
    <row r="3588" spans="2:5" x14ac:dyDescent="0.45">
      <c r="B3588" s="1"/>
      <c r="E3588" s="45" t="str">
        <f>IFERROR(AVERAGEIFS('Picarro Output'!G:G, 'Picarro Output'!$B:$B, 'Uncalibrated Data'!$C3588, 'Picarro Output'!$I:$I, 0, 'Picarro Output'!$J:$J, 1), "")</f>
        <v/>
      </c>
    </row>
    <row r="3589" spans="2:5" x14ac:dyDescent="0.45">
      <c r="B3589" s="1"/>
      <c r="E3589" s="45" t="str">
        <f>IFERROR(AVERAGEIFS('Picarro Output'!G:G, 'Picarro Output'!$B:$B, 'Uncalibrated Data'!$C3589, 'Picarro Output'!$I:$I, 0, 'Picarro Output'!$J:$J, 1), "")</f>
        <v/>
      </c>
    </row>
    <row r="3590" spans="2:5" x14ac:dyDescent="0.45">
      <c r="B3590" s="1"/>
      <c r="E3590" s="45" t="str">
        <f>IFERROR(AVERAGEIFS('Picarro Output'!G:G, 'Picarro Output'!$B:$B, 'Uncalibrated Data'!$C3590, 'Picarro Output'!$I:$I, 0, 'Picarro Output'!$J:$J, 1), "")</f>
        <v/>
      </c>
    </row>
    <row r="3591" spans="2:5" x14ac:dyDescent="0.45">
      <c r="B3591" s="1"/>
      <c r="E3591" s="45" t="str">
        <f>IFERROR(AVERAGEIFS('Picarro Output'!G:G, 'Picarro Output'!$B:$B, 'Uncalibrated Data'!$C3591, 'Picarro Output'!$I:$I, 0, 'Picarro Output'!$J:$J, 1), "")</f>
        <v/>
      </c>
    </row>
    <row r="3592" spans="2:5" x14ac:dyDescent="0.45">
      <c r="B3592" s="1"/>
      <c r="E3592" s="45" t="str">
        <f>IFERROR(AVERAGEIFS('Picarro Output'!G:G, 'Picarro Output'!$B:$B, 'Uncalibrated Data'!$C3592, 'Picarro Output'!$I:$I, 0, 'Picarro Output'!$J:$J, 1), "")</f>
        <v/>
      </c>
    </row>
    <row r="3593" spans="2:5" x14ac:dyDescent="0.45">
      <c r="B3593" s="1"/>
      <c r="E3593" s="45" t="str">
        <f>IFERROR(AVERAGEIFS('Picarro Output'!G:G, 'Picarro Output'!$B:$B, 'Uncalibrated Data'!$C3593, 'Picarro Output'!$I:$I, 0, 'Picarro Output'!$J:$J, 1), "")</f>
        <v/>
      </c>
    </row>
    <row r="3594" spans="2:5" x14ac:dyDescent="0.45">
      <c r="B3594" s="1"/>
      <c r="E3594" s="45" t="str">
        <f>IFERROR(AVERAGEIFS('Picarro Output'!G:G, 'Picarro Output'!$B:$B, 'Uncalibrated Data'!$C3594, 'Picarro Output'!$I:$I, 0, 'Picarro Output'!$J:$J, 1), "")</f>
        <v/>
      </c>
    </row>
    <row r="3595" spans="2:5" x14ac:dyDescent="0.45">
      <c r="B3595" s="1"/>
      <c r="E3595" s="45" t="str">
        <f>IFERROR(AVERAGEIFS('Picarro Output'!G:G, 'Picarro Output'!$B:$B, 'Uncalibrated Data'!$C3595, 'Picarro Output'!$I:$I, 0, 'Picarro Output'!$J:$J, 1), "")</f>
        <v/>
      </c>
    </row>
    <row r="3596" spans="2:5" x14ac:dyDescent="0.45">
      <c r="B3596" s="1"/>
      <c r="E3596" s="45" t="str">
        <f>IFERROR(AVERAGEIFS('Picarro Output'!G:G, 'Picarro Output'!$B:$B, 'Uncalibrated Data'!$C3596, 'Picarro Output'!$I:$I, 0, 'Picarro Output'!$J:$J, 1), "")</f>
        <v/>
      </c>
    </row>
    <row r="3597" spans="2:5" x14ac:dyDescent="0.45">
      <c r="B3597" s="1"/>
      <c r="E3597" s="45" t="str">
        <f>IFERROR(AVERAGEIFS('Picarro Output'!G:G, 'Picarro Output'!$B:$B, 'Uncalibrated Data'!$C3597, 'Picarro Output'!$I:$I, 0, 'Picarro Output'!$J:$J, 1), "")</f>
        <v/>
      </c>
    </row>
    <row r="3598" spans="2:5" x14ac:dyDescent="0.45">
      <c r="B3598" s="1"/>
      <c r="E3598" s="45" t="str">
        <f>IFERROR(AVERAGEIFS('Picarro Output'!G:G, 'Picarro Output'!$B:$B, 'Uncalibrated Data'!$C3598, 'Picarro Output'!$I:$I, 0, 'Picarro Output'!$J:$J, 1), "")</f>
        <v/>
      </c>
    </row>
    <row r="3599" spans="2:5" x14ac:dyDescent="0.45">
      <c r="B3599" s="1"/>
      <c r="E3599" s="45" t="str">
        <f>IFERROR(AVERAGEIFS('Picarro Output'!G:G, 'Picarro Output'!$B:$B, 'Uncalibrated Data'!$C3599, 'Picarro Output'!$I:$I, 0, 'Picarro Output'!$J:$J, 1), "")</f>
        <v/>
      </c>
    </row>
    <row r="3600" spans="2:5" x14ac:dyDescent="0.45">
      <c r="B3600" s="1"/>
      <c r="E3600" s="45" t="str">
        <f>IFERROR(AVERAGEIFS('Picarro Output'!G:G, 'Picarro Output'!$B:$B, 'Uncalibrated Data'!$C3600, 'Picarro Output'!$I:$I, 0, 'Picarro Output'!$J:$J, 1), "")</f>
        <v/>
      </c>
    </row>
    <row r="3601" spans="2:5" x14ac:dyDescent="0.45">
      <c r="B3601" s="1"/>
      <c r="E3601" s="45" t="str">
        <f>IFERROR(AVERAGEIFS('Picarro Output'!G:G, 'Picarro Output'!$B:$B, 'Uncalibrated Data'!$C3601, 'Picarro Output'!$I:$I, 0, 'Picarro Output'!$J:$J, 1), "")</f>
        <v/>
      </c>
    </row>
    <row r="3602" spans="2:5" x14ac:dyDescent="0.45">
      <c r="B3602" s="1"/>
      <c r="E3602" s="45" t="str">
        <f>IFERROR(AVERAGEIFS('Picarro Output'!G:G, 'Picarro Output'!$B:$B, 'Uncalibrated Data'!$C3602, 'Picarro Output'!$I:$I, 0, 'Picarro Output'!$J:$J, 1), "")</f>
        <v/>
      </c>
    </row>
    <row r="3603" spans="2:5" x14ac:dyDescent="0.45">
      <c r="B3603" s="1"/>
      <c r="E3603" s="45" t="str">
        <f>IFERROR(AVERAGEIFS('Picarro Output'!G:G, 'Picarro Output'!$B:$B, 'Uncalibrated Data'!$C3603, 'Picarro Output'!$I:$I, 0, 'Picarro Output'!$J:$J, 1), "")</f>
        <v/>
      </c>
    </row>
    <row r="3604" spans="2:5" x14ac:dyDescent="0.45">
      <c r="B3604" s="1"/>
      <c r="E3604" s="45" t="str">
        <f>IFERROR(AVERAGEIFS('Picarro Output'!G:G, 'Picarro Output'!$B:$B, 'Uncalibrated Data'!$C3604, 'Picarro Output'!$I:$I, 0, 'Picarro Output'!$J:$J, 1), "")</f>
        <v/>
      </c>
    </row>
    <row r="3605" spans="2:5" x14ac:dyDescent="0.45">
      <c r="B3605" s="1"/>
      <c r="E3605" s="45" t="str">
        <f>IFERROR(AVERAGEIFS('Picarro Output'!G:G, 'Picarro Output'!$B:$B, 'Uncalibrated Data'!$C3605, 'Picarro Output'!$I:$I, 0, 'Picarro Output'!$J:$J, 1), "")</f>
        <v/>
      </c>
    </row>
    <row r="3606" spans="2:5" x14ac:dyDescent="0.45">
      <c r="B3606" s="1"/>
      <c r="E3606" s="45" t="str">
        <f>IFERROR(AVERAGEIFS('Picarro Output'!G:G, 'Picarro Output'!$B:$B, 'Uncalibrated Data'!$C3606, 'Picarro Output'!$I:$I, 0, 'Picarro Output'!$J:$J, 1), "")</f>
        <v/>
      </c>
    </row>
    <row r="3607" spans="2:5" x14ac:dyDescent="0.45">
      <c r="B3607" s="1"/>
      <c r="E3607" s="45" t="str">
        <f>IFERROR(AVERAGEIFS('Picarro Output'!G:G, 'Picarro Output'!$B:$B, 'Uncalibrated Data'!$C3607, 'Picarro Output'!$I:$I, 0, 'Picarro Output'!$J:$J, 1), "")</f>
        <v/>
      </c>
    </row>
    <row r="3608" spans="2:5" x14ac:dyDescent="0.45">
      <c r="B3608" s="1"/>
      <c r="E3608" s="45" t="str">
        <f>IFERROR(AVERAGEIFS('Picarro Output'!G:G, 'Picarro Output'!$B:$B, 'Uncalibrated Data'!$C3608, 'Picarro Output'!$I:$I, 0, 'Picarro Output'!$J:$J, 1), "")</f>
        <v/>
      </c>
    </row>
    <row r="3609" spans="2:5" x14ac:dyDescent="0.45">
      <c r="B3609" s="1"/>
      <c r="E3609" s="45" t="str">
        <f>IFERROR(AVERAGEIFS('Picarro Output'!G:G, 'Picarro Output'!$B:$B, 'Uncalibrated Data'!$C3609, 'Picarro Output'!$I:$I, 0, 'Picarro Output'!$J:$J, 1), "")</f>
        <v/>
      </c>
    </row>
    <row r="3610" spans="2:5" x14ac:dyDescent="0.45">
      <c r="B3610" s="1"/>
      <c r="E3610" s="45" t="str">
        <f>IFERROR(AVERAGEIFS('Picarro Output'!G:G, 'Picarro Output'!$B:$B, 'Uncalibrated Data'!$C3610, 'Picarro Output'!$I:$I, 0, 'Picarro Output'!$J:$J, 1), "")</f>
        <v/>
      </c>
    </row>
    <row r="3611" spans="2:5" x14ac:dyDescent="0.45">
      <c r="B3611" s="1"/>
      <c r="E3611" s="45" t="str">
        <f>IFERROR(AVERAGEIFS('Picarro Output'!G:G, 'Picarro Output'!$B:$B, 'Uncalibrated Data'!$C3611, 'Picarro Output'!$I:$I, 0, 'Picarro Output'!$J:$J, 1), "")</f>
        <v/>
      </c>
    </row>
    <row r="3612" spans="2:5" x14ac:dyDescent="0.45">
      <c r="B3612" s="1"/>
      <c r="E3612" s="45" t="str">
        <f>IFERROR(AVERAGEIFS('Picarro Output'!G:G, 'Picarro Output'!$B:$B, 'Uncalibrated Data'!$C3612, 'Picarro Output'!$I:$I, 0, 'Picarro Output'!$J:$J, 1), "")</f>
        <v/>
      </c>
    </row>
    <row r="3613" spans="2:5" x14ac:dyDescent="0.45">
      <c r="B3613" s="1"/>
      <c r="E3613" s="45" t="str">
        <f>IFERROR(AVERAGEIFS('Picarro Output'!G:G, 'Picarro Output'!$B:$B, 'Uncalibrated Data'!$C3613, 'Picarro Output'!$I:$I, 0, 'Picarro Output'!$J:$J, 1), "")</f>
        <v/>
      </c>
    </row>
    <row r="3614" spans="2:5" x14ac:dyDescent="0.45">
      <c r="B3614" s="1"/>
      <c r="E3614" s="45" t="str">
        <f>IFERROR(AVERAGEIFS('Picarro Output'!G:G, 'Picarro Output'!$B:$B, 'Uncalibrated Data'!$C3614, 'Picarro Output'!$I:$I, 0, 'Picarro Output'!$J:$J, 1), "")</f>
        <v/>
      </c>
    </row>
    <row r="3615" spans="2:5" x14ac:dyDescent="0.45">
      <c r="B3615" s="1"/>
      <c r="E3615" s="45" t="str">
        <f>IFERROR(AVERAGEIFS('Picarro Output'!G:G, 'Picarro Output'!$B:$B, 'Uncalibrated Data'!$C3615, 'Picarro Output'!$I:$I, 0, 'Picarro Output'!$J:$J, 1), "")</f>
        <v/>
      </c>
    </row>
    <row r="3616" spans="2:5" x14ac:dyDescent="0.45">
      <c r="B3616" s="1"/>
      <c r="E3616" s="45" t="str">
        <f>IFERROR(AVERAGEIFS('Picarro Output'!G:G, 'Picarro Output'!$B:$B, 'Uncalibrated Data'!$C3616, 'Picarro Output'!$I:$I, 0, 'Picarro Output'!$J:$J, 1), "")</f>
        <v/>
      </c>
    </row>
    <row r="3617" spans="2:5" x14ac:dyDescent="0.45">
      <c r="B3617" s="1"/>
      <c r="E3617" s="45" t="str">
        <f>IFERROR(AVERAGEIFS('Picarro Output'!G:G, 'Picarro Output'!$B:$B, 'Uncalibrated Data'!$C3617, 'Picarro Output'!$I:$I, 0, 'Picarro Output'!$J:$J, 1), "")</f>
        <v/>
      </c>
    </row>
    <row r="3618" spans="2:5" x14ac:dyDescent="0.45">
      <c r="B3618" s="1"/>
      <c r="E3618" s="45" t="str">
        <f>IFERROR(AVERAGEIFS('Picarro Output'!G:G, 'Picarro Output'!$B:$B, 'Uncalibrated Data'!$C3618, 'Picarro Output'!$I:$I, 0, 'Picarro Output'!$J:$J, 1), "")</f>
        <v/>
      </c>
    </row>
    <row r="3619" spans="2:5" x14ac:dyDescent="0.45">
      <c r="B3619" s="1"/>
      <c r="E3619" s="45" t="str">
        <f>IFERROR(AVERAGEIFS('Picarro Output'!G:G, 'Picarro Output'!$B:$B, 'Uncalibrated Data'!$C3619, 'Picarro Output'!$I:$I, 0, 'Picarro Output'!$J:$J, 1), "")</f>
        <v/>
      </c>
    </row>
    <row r="3620" spans="2:5" x14ac:dyDescent="0.45">
      <c r="B3620" s="1"/>
      <c r="E3620" s="45" t="str">
        <f>IFERROR(AVERAGEIFS('Picarro Output'!G:G, 'Picarro Output'!$B:$B, 'Uncalibrated Data'!$C3620, 'Picarro Output'!$I:$I, 0, 'Picarro Output'!$J:$J, 1), "")</f>
        <v/>
      </c>
    </row>
    <row r="3621" spans="2:5" x14ac:dyDescent="0.45">
      <c r="B3621" s="1"/>
      <c r="E3621" s="45" t="str">
        <f>IFERROR(AVERAGEIFS('Picarro Output'!G:G, 'Picarro Output'!$B:$B, 'Uncalibrated Data'!$C3621, 'Picarro Output'!$I:$I, 0, 'Picarro Output'!$J:$J, 1), "")</f>
        <v/>
      </c>
    </row>
    <row r="3622" spans="2:5" x14ac:dyDescent="0.45">
      <c r="B3622" s="1"/>
      <c r="E3622" s="45" t="str">
        <f>IFERROR(AVERAGEIFS('Picarro Output'!G:G, 'Picarro Output'!$B:$B, 'Uncalibrated Data'!$C3622, 'Picarro Output'!$I:$I, 0, 'Picarro Output'!$J:$J, 1), "")</f>
        <v/>
      </c>
    </row>
    <row r="3623" spans="2:5" x14ac:dyDescent="0.45">
      <c r="B3623" s="1"/>
      <c r="E3623" s="45" t="str">
        <f>IFERROR(AVERAGEIFS('Picarro Output'!G:G, 'Picarro Output'!$B:$B, 'Uncalibrated Data'!$C3623, 'Picarro Output'!$I:$I, 0, 'Picarro Output'!$J:$J, 1), "")</f>
        <v/>
      </c>
    </row>
    <row r="3624" spans="2:5" x14ac:dyDescent="0.45">
      <c r="B3624" s="1"/>
      <c r="E3624" s="45" t="str">
        <f>IFERROR(AVERAGEIFS('Picarro Output'!G:G, 'Picarro Output'!$B:$B, 'Uncalibrated Data'!$C3624, 'Picarro Output'!$I:$I, 0, 'Picarro Output'!$J:$J, 1), "")</f>
        <v/>
      </c>
    </row>
    <row r="3625" spans="2:5" x14ac:dyDescent="0.45">
      <c r="B3625" s="1"/>
      <c r="E3625" s="45" t="str">
        <f>IFERROR(AVERAGEIFS('Picarro Output'!G:G, 'Picarro Output'!$B:$B, 'Uncalibrated Data'!$C3625, 'Picarro Output'!$I:$I, 0, 'Picarro Output'!$J:$J, 1), "")</f>
        <v/>
      </c>
    </row>
    <row r="3626" spans="2:5" x14ac:dyDescent="0.45">
      <c r="B3626" s="1"/>
      <c r="E3626" s="45" t="str">
        <f>IFERROR(AVERAGEIFS('Picarro Output'!G:G, 'Picarro Output'!$B:$B, 'Uncalibrated Data'!$C3626, 'Picarro Output'!$I:$I, 0, 'Picarro Output'!$J:$J, 1), "")</f>
        <v/>
      </c>
    </row>
    <row r="3627" spans="2:5" x14ac:dyDescent="0.45">
      <c r="B3627" s="1"/>
      <c r="E3627" s="45" t="str">
        <f>IFERROR(AVERAGEIFS('Picarro Output'!G:G, 'Picarro Output'!$B:$B, 'Uncalibrated Data'!$C3627, 'Picarro Output'!$I:$I, 0, 'Picarro Output'!$J:$J, 1), "")</f>
        <v/>
      </c>
    </row>
    <row r="3628" spans="2:5" x14ac:dyDescent="0.45">
      <c r="B3628" s="1"/>
      <c r="E3628" s="45" t="str">
        <f>IFERROR(AVERAGEIFS('Picarro Output'!G:G, 'Picarro Output'!$B:$B, 'Uncalibrated Data'!$C3628, 'Picarro Output'!$I:$I, 0, 'Picarro Output'!$J:$J, 1), "")</f>
        <v/>
      </c>
    </row>
    <row r="3629" spans="2:5" x14ac:dyDescent="0.45">
      <c r="B3629" s="1"/>
      <c r="E3629" s="45" t="str">
        <f>IFERROR(AVERAGEIFS('Picarro Output'!G:G, 'Picarro Output'!$B:$B, 'Uncalibrated Data'!$C3629, 'Picarro Output'!$I:$I, 0, 'Picarro Output'!$J:$J, 1), "")</f>
        <v/>
      </c>
    </row>
    <row r="3630" spans="2:5" x14ac:dyDescent="0.45">
      <c r="B3630" s="1"/>
      <c r="E3630" s="45" t="str">
        <f>IFERROR(AVERAGEIFS('Picarro Output'!G:G, 'Picarro Output'!$B:$B, 'Uncalibrated Data'!$C3630, 'Picarro Output'!$I:$I, 0, 'Picarro Output'!$J:$J, 1), "")</f>
        <v/>
      </c>
    </row>
    <row r="3631" spans="2:5" x14ac:dyDescent="0.45">
      <c r="B3631" s="1"/>
      <c r="E3631" s="45" t="str">
        <f>IFERROR(AVERAGEIFS('Picarro Output'!G:G, 'Picarro Output'!$B:$B, 'Uncalibrated Data'!$C3631, 'Picarro Output'!$I:$I, 0, 'Picarro Output'!$J:$J, 1), "")</f>
        <v/>
      </c>
    </row>
    <row r="3632" spans="2:5" x14ac:dyDescent="0.45">
      <c r="B3632" s="1"/>
      <c r="E3632" s="45" t="str">
        <f>IFERROR(AVERAGEIFS('Picarro Output'!G:G, 'Picarro Output'!$B:$B, 'Uncalibrated Data'!$C3632, 'Picarro Output'!$I:$I, 0, 'Picarro Output'!$J:$J, 1), "")</f>
        <v/>
      </c>
    </row>
    <row r="3633" spans="2:5" x14ac:dyDescent="0.45">
      <c r="B3633" s="1"/>
      <c r="E3633" s="45" t="str">
        <f>IFERROR(AVERAGEIFS('Picarro Output'!G:G, 'Picarro Output'!$B:$B, 'Uncalibrated Data'!$C3633, 'Picarro Output'!$I:$I, 0, 'Picarro Output'!$J:$J, 1), "")</f>
        <v/>
      </c>
    </row>
    <row r="3634" spans="2:5" x14ac:dyDescent="0.45">
      <c r="B3634" s="1"/>
      <c r="E3634" s="45" t="str">
        <f>IFERROR(AVERAGEIFS('Picarro Output'!G:G, 'Picarro Output'!$B:$B, 'Uncalibrated Data'!$C3634, 'Picarro Output'!$I:$I, 0, 'Picarro Output'!$J:$J, 1), "")</f>
        <v/>
      </c>
    </row>
    <row r="3635" spans="2:5" x14ac:dyDescent="0.45">
      <c r="B3635" s="1"/>
      <c r="E3635" s="45" t="str">
        <f>IFERROR(AVERAGEIFS('Picarro Output'!G:G, 'Picarro Output'!$B:$B, 'Uncalibrated Data'!$C3635, 'Picarro Output'!$I:$I, 0, 'Picarro Output'!$J:$J, 1), "")</f>
        <v/>
      </c>
    </row>
    <row r="3636" spans="2:5" x14ac:dyDescent="0.45">
      <c r="B3636" s="1"/>
      <c r="E3636" s="45" t="str">
        <f>IFERROR(AVERAGEIFS('Picarro Output'!G:G, 'Picarro Output'!$B:$B, 'Uncalibrated Data'!$C3636, 'Picarro Output'!$I:$I, 0, 'Picarro Output'!$J:$J, 1), "")</f>
        <v/>
      </c>
    </row>
    <row r="3637" spans="2:5" x14ac:dyDescent="0.45">
      <c r="B3637" s="1"/>
      <c r="E3637" s="45" t="str">
        <f>IFERROR(AVERAGEIFS('Picarro Output'!G:G, 'Picarro Output'!$B:$B, 'Uncalibrated Data'!$C3637, 'Picarro Output'!$I:$I, 0, 'Picarro Output'!$J:$J, 1), "")</f>
        <v/>
      </c>
    </row>
    <row r="3638" spans="2:5" x14ac:dyDescent="0.45">
      <c r="B3638" s="1"/>
      <c r="E3638" s="45" t="str">
        <f>IFERROR(AVERAGEIFS('Picarro Output'!G:G, 'Picarro Output'!$B:$B, 'Uncalibrated Data'!$C3638, 'Picarro Output'!$I:$I, 0, 'Picarro Output'!$J:$J, 1), "")</f>
        <v/>
      </c>
    </row>
    <row r="3639" spans="2:5" x14ac:dyDescent="0.45">
      <c r="B3639" s="1"/>
      <c r="E3639" s="45" t="str">
        <f>IFERROR(AVERAGEIFS('Picarro Output'!G:G, 'Picarro Output'!$B:$B, 'Uncalibrated Data'!$C3639, 'Picarro Output'!$I:$I, 0, 'Picarro Output'!$J:$J, 1), "")</f>
        <v/>
      </c>
    </row>
    <row r="3640" spans="2:5" x14ac:dyDescent="0.45">
      <c r="B3640" s="1"/>
      <c r="E3640" s="45" t="str">
        <f>IFERROR(AVERAGEIFS('Picarro Output'!G:G, 'Picarro Output'!$B:$B, 'Uncalibrated Data'!$C3640, 'Picarro Output'!$I:$I, 0, 'Picarro Output'!$J:$J, 1), "")</f>
        <v/>
      </c>
    </row>
    <row r="3641" spans="2:5" x14ac:dyDescent="0.45">
      <c r="B3641" s="1"/>
      <c r="E3641" s="45" t="str">
        <f>IFERROR(AVERAGEIFS('Picarro Output'!G:G, 'Picarro Output'!$B:$B, 'Uncalibrated Data'!$C3641, 'Picarro Output'!$I:$I, 0, 'Picarro Output'!$J:$J, 1), "")</f>
        <v/>
      </c>
    </row>
    <row r="3642" spans="2:5" x14ac:dyDescent="0.45">
      <c r="B3642" s="1"/>
      <c r="E3642" s="45" t="str">
        <f>IFERROR(AVERAGEIFS('Picarro Output'!G:G, 'Picarro Output'!$B:$B, 'Uncalibrated Data'!$C3642, 'Picarro Output'!$I:$I, 0, 'Picarro Output'!$J:$J, 1), "")</f>
        <v/>
      </c>
    </row>
    <row r="3643" spans="2:5" x14ac:dyDescent="0.45">
      <c r="B3643" s="1"/>
      <c r="E3643" s="45" t="str">
        <f>IFERROR(AVERAGEIFS('Picarro Output'!G:G, 'Picarro Output'!$B:$B, 'Uncalibrated Data'!$C3643, 'Picarro Output'!$I:$I, 0, 'Picarro Output'!$J:$J, 1), "")</f>
        <v/>
      </c>
    </row>
    <row r="3644" spans="2:5" x14ac:dyDescent="0.45">
      <c r="B3644" s="1"/>
      <c r="E3644" s="45" t="str">
        <f>IFERROR(AVERAGEIFS('Picarro Output'!G:G, 'Picarro Output'!$B:$B, 'Uncalibrated Data'!$C3644, 'Picarro Output'!$I:$I, 0, 'Picarro Output'!$J:$J, 1), "")</f>
        <v/>
      </c>
    </row>
    <row r="3645" spans="2:5" x14ac:dyDescent="0.45">
      <c r="B3645" s="1"/>
      <c r="E3645" s="45" t="str">
        <f>IFERROR(AVERAGEIFS('Picarro Output'!G:G, 'Picarro Output'!$B:$B, 'Uncalibrated Data'!$C3645, 'Picarro Output'!$I:$I, 0, 'Picarro Output'!$J:$J, 1), "")</f>
        <v/>
      </c>
    </row>
    <row r="3646" spans="2:5" x14ac:dyDescent="0.45">
      <c r="B3646" s="1"/>
      <c r="E3646" s="45" t="str">
        <f>IFERROR(AVERAGEIFS('Picarro Output'!G:G, 'Picarro Output'!$B:$B, 'Uncalibrated Data'!$C3646, 'Picarro Output'!$I:$I, 0, 'Picarro Output'!$J:$J, 1), "")</f>
        <v/>
      </c>
    </row>
    <row r="3647" spans="2:5" x14ac:dyDescent="0.45">
      <c r="B3647" s="1"/>
      <c r="E3647" s="45" t="str">
        <f>IFERROR(AVERAGEIFS('Picarro Output'!G:G, 'Picarro Output'!$B:$B, 'Uncalibrated Data'!$C3647, 'Picarro Output'!$I:$I, 0, 'Picarro Output'!$J:$J, 1), "")</f>
        <v/>
      </c>
    </row>
    <row r="3648" spans="2:5" x14ac:dyDescent="0.45">
      <c r="B3648" s="1"/>
      <c r="E3648" s="45" t="str">
        <f>IFERROR(AVERAGEIFS('Picarro Output'!G:G, 'Picarro Output'!$B:$B, 'Uncalibrated Data'!$C3648, 'Picarro Output'!$I:$I, 0, 'Picarro Output'!$J:$J, 1), "")</f>
        <v/>
      </c>
    </row>
    <row r="3649" spans="2:5" x14ac:dyDescent="0.45">
      <c r="B3649" s="1"/>
      <c r="E3649" s="45" t="str">
        <f>IFERROR(AVERAGEIFS('Picarro Output'!G:G, 'Picarro Output'!$B:$B, 'Uncalibrated Data'!$C3649, 'Picarro Output'!$I:$I, 0, 'Picarro Output'!$J:$J, 1), "")</f>
        <v/>
      </c>
    </row>
    <row r="3650" spans="2:5" x14ac:dyDescent="0.45">
      <c r="B3650" s="1"/>
      <c r="E3650" s="45" t="str">
        <f>IFERROR(AVERAGEIFS('Picarro Output'!G:G, 'Picarro Output'!$B:$B, 'Uncalibrated Data'!$C3650, 'Picarro Output'!$I:$I, 0, 'Picarro Output'!$J:$J, 1), "")</f>
        <v/>
      </c>
    </row>
    <row r="3651" spans="2:5" x14ac:dyDescent="0.45">
      <c r="B3651" s="1"/>
      <c r="E3651" s="45" t="str">
        <f>IFERROR(AVERAGEIFS('Picarro Output'!G:G, 'Picarro Output'!$B:$B, 'Uncalibrated Data'!$C3651, 'Picarro Output'!$I:$I, 0, 'Picarro Output'!$J:$J, 1), "")</f>
        <v/>
      </c>
    </row>
    <row r="3652" spans="2:5" x14ac:dyDescent="0.45">
      <c r="B3652" s="1"/>
      <c r="E3652" s="45" t="str">
        <f>IFERROR(AVERAGEIFS('Picarro Output'!G:G, 'Picarro Output'!$B:$B, 'Uncalibrated Data'!$C3652, 'Picarro Output'!$I:$I, 0, 'Picarro Output'!$J:$J, 1), "")</f>
        <v/>
      </c>
    </row>
    <row r="3653" spans="2:5" x14ac:dyDescent="0.45">
      <c r="B3653" s="1"/>
      <c r="E3653" s="45" t="str">
        <f>IFERROR(AVERAGEIFS('Picarro Output'!G:G, 'Picarro Output'!$B:$B, 'Uncalibrated Data'!$C3653, 'Picarro Output'!$I:$I, 0, 'Picarro Output'!$J:$J, 1), "")</f>
        <v/>
      </c>
    </row>
    <row r="3654" spans="2:5" x14ac:dyDescent="0.45">
      <c r="B3654" s="1"/>
      <c r="E3654" s="45" t="str">
        <f>IFERROR(AVERAGEIFS('Picarro Output'!G:G, 'Picarro Output'!$B:$B, 'Uncalibrated Data'!$C3654, 'Picarro Output'!$I:$I, 0, 'Picarro Output'!$J:$J, 1), "")</f>
        <v/>
      </c>
    </row>
    <row r="3655" spans="2:5" x14ac:dyDescent="0.45">
      <c r="B3655" s="1"/>
      <c r="E3655" s="45" t="str">
        <f>IFERROR(AVERAGEIFS('Picarro Output'!G:G, 'Picarro Output'!$B:$B, 'Uncalibrated Data'!$C3655, 'Picarro Output'!$I:$I, 0, 'Picarro Output'!$J:$J, 1), "")</f>
        <v/>
      </c>
    </row>
    <row r="3656" spans="2:5" x14ac:dyDescent="0.45">
      <c r="B3656" s="1"/>
      <c r="E3656" s="45" t="str">
        <f>IFERROR(AVERAGEIFS('Picarro Output'!G:G, 'Picarro Output'!$B:$B, 'Uncalibrated Data'!$C3656, 'Picarro Output'!$I:$I, 0, 'Picarro Output'!$J:$J, 1), "")</f>
        <v/>
      </c>
    </row>
    <row r="3657" spans="2:5" x14ac:dyDescent="0.45">
      <c r="B3657" s="1"/>
      <c r="E3657" s="45" t="str">
        <f>IFERROR(AVERAGEIFS('Picarro Output'!G:G, 'Picarro Output'!$B:$B, 'Uncalibrated Data'!$C3657, 'Picarro Output'!$I:$I, 0, 'Picarro Output'!$J:$J, 1), "")</f>
        <v/>
      </c>
    </row>
    <row r="3658" spans="2:5" x14ac:dyDescent="0.45">
      <c r="B3658" s="1"/>
      <c r="E3658" s="45" t="str">
        <f>IFERROR(AVERAGEIFS('Picarro Output'!G:G, 'Picarro Output'!$B:$B, 'Uncalibrated Data'!$C3658, 'Picarro Output'!$I:$I, 0, 'Picarro Output'!$J:$J, 1), "")</f>
        <v/>
      </c>
    </row>
    <row r="3659" spans="2:5" x14ac:dyDescent="0.45">
      <c r="B3659" s="1"/>
      <c r="E3659" s="45" t="str">
        <f>IFERROR(AVERAGEIFS('Picarro Output'!G:G, 'Picarro Output'!$B:$B, 'Uncalibrated Data'!$C3659, 'Picarro Output'!$I:$I, 0, 'Picarro Output'!$J:$J, 1), "")</f>
        <v/>
      </c>
    </row>
    <row r="3660" spans="2:5" x14ac:dyDescent="0.45">
      <c r="B3660" s="1"/>
      <c r="E3660" s="45" t="str">
        <f>IFERROR(AVERAGEIFS('Picarro Output'!G:G, 'Picarro Output'!$B:$B, 'Uncalibrated Data'!$C3660, 'Picarro Output'!$I:$I, 0, 'Picarro Output'!$J:$J, 1), "")</f>
        <v/>
      </c>
    </row>
    <row r="3661" spans="2:5" x14ac:dyDescent="0.45">
      <c r="B3661" s="1"/>
      <c r="E3661" s="45" t="str">
        <f>IFERROR(AVERAGEIFS('Picarro Output'!G:G, 'Picarro Output'!$B:$B, 'Uncalibrated Data'!$C3661, 'Picarro Output'!$I:$I, 0, 'Picarro Output'!$J:$J, 1), "")</f>
        <v/>
      </c>
    </row>
    <row r="3662" spans="2:5" x14ac:dyDescent="0.45">
      <c r="B3662" s="1"/>
      <c r="E3662" s="45" t="str">
        <f>IFERROR(AVERAGEIFS('Picarro Output'!G:G, 'Picarro Output'!$B:$B, 'Uncalibrated Data'!$C3662, 'Picarro Output'!$I:$I, 0, 'Picarro Output'!$J:$J, 1), "")</f>
        <v/>
      </c>
    </row>
    <row r="3663" spans="2:5" x14ac:dyDescent="0.45">
      <c r="B3663" s="1"/>
      <c r="E3663" s="45" t="str">
        <f>IFERROR(AVERAGEIFS('Picarro Output'!G:G, 'Picarro Output'!$B:$B, 'Uncalibrated Data'!$C3663, 'Picarro Output'!$I:$I, 0, 'Picarro Output'!$J:$J, 1), "")</f>
        <v/>
      </c>
    </row>
    <row r="3664" spans="2:5" x14ac:dyDescent="0.45">
      <c r="B3664" s="1"/>
      <c r="E3664" s="45" t="str">
        <f>IFERROR(AVERAGEIFS('Picarro Output'!G:G, 'Picarro Output'!$B:$B, 'Uncalibrated Data'!$C3664, 'Picarro Output'!$I:$I, 0, 'Picarro Output'!$J:$J, 1), "")</f>
        <v/>
      </c>
    </row>
    <row r="3665" spans="2:5" x14ac:dyDescent="0.45">
      <c r="B3665" s="1"/>
      <c r="E3665" s="45" t="str">
        <f>IFERROR(AVERAGEIFS('Picarro Output'!G:G, 'Picarro Output'!$B:$B, 'Uncalibrated Data'!$C3665, 'Picarro Output'!$I:$I, 0, 'Picarro Output'!$J:$J, 1), "")</f>
        <v/>
      </c>
    </row>
    <row r="3666" spans="2:5" x14ac:dyDescent="0.45">
      <c r="B3666" s="1"/>
      <c r="E3666" s="45" t="str">
        <f>IFERROR(AVERAGEIFS('Picarro Output'!G:G, 'Picarro Output'!$B:$B, 'Uncalibrated Data'!$C3666, 'Picarro Output'!$I:$I, 0, 'Picarro Output'!$J:$J, 1), "")</f>
        <v/>
      </c>
    </row>
    <row r="3667" spans="2:5" x14ac:dyDescent="0.45">
      <c r="B3667" s="1"/>
      <c r="E3667" s="45" t="str">
        <f>IFERROR(AVERAGEIFS('Picarro Output'!G:G, 'Picarro Output'!$B:$B, 'Uncalibrated Data'!$C3667, 'Picarro Output'!$I:$I, 0, 'Picarro Output'!$J:$J, 1), "")</f>
        <v/>
      </c>
    </row>
    <row r="3668" spans="2:5" x14ac:dyDescent="0.45">
      <c r="B3668" s="1"/>
      <c r="E3668" s="45" t="str">
        <f>IFERROR(AVERAGEIFS('Picarro Output'!G:G, 'Picarro Output'!$B:$B, 'Uncalibrated Data'!$C3668, 'Picarro Output'!$I:$I, 0, 'Picarro Output'!$J:$J, 1), "")</f>
        <v/>
      </c>
    </row>
    <row r="3669" spans="2:5" x14ac:dyDescent="0.45">
      <c r="B3669" s="1"/>
      <c r="E3669" s="45" t="str">
        <f>IFERROR(AVERAGEIFS('Picarro Output'!G:G, 'Picarro Output'!$B:$B, 'Uncalibrated Data'!$C3669, 'Picarro Output'!$I:$I, 0, 'Picarro Output'!$J:$J, 1), "")</f>
        <v/>
      </c>
    </row>
    <row r="3670" spans="2:5" x14ac:dyDescent="0.45">
      <c r="B3670" s="1"/>
      <c r="E3670" s="45" t="str">
        <f>IFERROR(AVERAGEIFS('Picarro Output'!G:G, 'Picarro Output'!$B:$B, 'Uncalibrated Data'!$C3670, 'Picarro Output'!$I:$I, 0, 'Picarro Output'!$J:$J, 1), "")</f>
        <v/>
      </c>
    </row>
    <row r="3671" spans="2:5" x14ac:dyDescent="0.45">
      <c r="B3671" s="1"/>
      <c r="E3671" s="45" t="str">
        <f>IFERROR(AVERAGEIFS('Picarro Output'!G:G, 'Picarro Output'!$B:$B, 'Uncalibrated Data'!$C3671, 'Picarro Output'!$I:$I, 0, 'Picarro Output'!$J:$J, 1), "")</f>
        <v/>
      </c>
    </row>
    <row r="3672" spans="2:5" x14ac:dyDescent="0.45">
      <c r="B3672" s="1"/>
      <c r="E3672" s="45" t="str">
        <f>IFERROR(AVERAGEIFS('Picarro Output'!G:G, 'Picarro Output'!$B:$B, 'Uncalibrated Data'!$C3672, 'Picarro Output'!$I:$I, 0, 'Picarro Output'!$J:$J, 1), "")</f>
        <v/>
      </c>
    </row>
    <row r="3673" spans="2:5" x14ac:dyDescent="0.45">
      <c r="B3673" s="1"/>
      <c r="E3673" s="45" t="str">
        <f>IFERROR(AVERAGEIFS('Picarro Output'!G:G, 'Picarro Output'!$B:$B, 'Uncalibrated Data'!$C3673, 'Picarro Output'!$I:$I, 0, 'Picarro Output'!$J:$J, 1), "")</f>
        <v/>
      </c>
    </row>
    <row r="3674" spans="2:5" x14ac:dyDescent="0.45">
      <c r="B3674" s="1"/>
      <c r="E3674" s="45" t="str">
        <f>IFERROR(AVERAGEIFS('Picarro Output'!G:G, 'Picarro Output'!$B:$B, 'Uncalibrated Data'!$C3674, 'Picarro Output'!$I:$I, 0, 'Picarro Output'!$J:$J, 1), "")</f>
        <v/>
      </c>
    </row>
    <row r="3675" spans="2:5" x14ac:dyDescent="0.45">
      <c r="B3675" s="1"/>
      <c r="E3675" s="45" t="str">
        <f>IFERROR(AVERAGEIFS('Picarro Output'!G:G, 'Picarro Output'!$B:$B, 'Uncalibrated Data'!$C3675, 'Picarro Output'!$I:$I, 0, 'Picarro Output'!$J:$J, 1), "")</f>
        <v/>
      </c>
    </row>
    <row r="3676" spans="2:5" x14ac:dyDescent="0.45">
      <c r="B3676" s="1"/>
      <c r="E3676" s="45" t="str">
        <f>IFERROR(AVERAGEIFS('Picarro Output'!G:G, 'Picarro Output'!$B:$B, 'Uncalibrated Data'!$C3676, 'Picarro Output'!$I:$I, 0, 'Picarro Output'!$J:$J, 1), "")</f>
        <v/>
      </c>
    </row>
    <row r="3677" spans="2:5" x14ac:dyDescent="0.45">
      <c r="B3677" s="1"/>
      <c r="E3677" s="45" t="str">
        <f>IFERROR(AVERAGEIFS('Picarro Output'!G:G, 'Picarro Output'!$B:$B, 'Uncalibrated Data'!$C3677, 'Picarro Output'!$I:$I, 0, 'Picarro Output'!$J:$J, 1), "")</f>
        <v/>
      </c>
    </row>
    <row r="3678" spans="2:5" x14ac:dyDescent="0.45">
      <c r="B3678" s="1"/>
      <c r="E3678" s="45" t="str">
        <f>IFERROR(AVERAGEIFS('Picarro Output'!G:G, 'Picarro Output'!$B:$B, 'Uncalibrated Data'!$C3678, 'Picarro Output'!$I:$I, 0, 'Picarro Output'!$J:$J, 1), "")</f>
        <v/>
      </c>
    </row>
    <row r="3679" spans="2:5" x14ac:dyDescent="0.45">
      <c r="B3679" s="1"/>
      <c r="E3679" s="45" t="str">
        <f>IFERROR(AVERAGEIFS('Picarro Output'!G:G, 'Picarro Output'!$B:$B, 'Uncalibrated Data'!$C3679, 'Picarro Output'!$I:$I, 0, 'Picarro Output'!$J:$J, 1), "")</f>
        <v/>
      </c>
    </row>
    <row r="3680" spans="2:5" x14ac:dyDescent="0.45">
      <c r="B3680" s="1"/>
      <c r="E3680" s="45" t="str">
        <f>IFERROR(AVERAGEIFS('Picarro Output'!G:G, 'Picarro Output'!$B:$B, 'Uncalibrated Data'!$C3680, 'Picarro Output'!$I:$I, 0, 'Picarro Output'!$J:$J, 1), "")</f>
        <v/>
      </c>
    </row>
    <row r="3681" spans="2:5" x14ac:dyDescent="0.45">
      <c r="B3681" s="1"/>
      <c r="E3681" s="45" t="str">
        <f>IFERROR(AVERAGEIFS('Picarro Output'!G:G, 'Picarro Output'!$B:$B, 'Uncalibrated Data'!$C3681, 'Picarro Output'!$I:$I, 0, 'Picarro Output'!$J:$J, 1), "")</f>
        <v/>
      </c>
    </row>
    <row r="3682" spans="2:5" x14ac:dyDescent="0.45">
      <c r="B3682" s="1"/>
      <c r="E3682" s="45" t="str">
        <f>IFERROR(AVERAGEIFS('Picarro Output'!G:G, 'Picarro Output'!$B:$B, 'Uncalibrated Data'!$C3682, 'Picarro Output'!$I:$I, 0, 'Picarro Output'!$J:$J, 1), "")</f>
        <v/>
      </c>
    </row>
    <row r="3683" spans="2:5" x14ac:dyDescent="0.45">
      <c r="B3683" s="1"/>
      <c r="E3683" s="45" t="str">
        <f>IFERROR(AVERAGEIFS('Picarro Output'!G:G, 'Picarro Output'!$B:$B, 'Uncalibrated Data'!$C3683, 'Picarro Output'!$I:$I, 0, 'Picarro Output'!$J:$J, 1), "")</f>
        <v/>
      </c>
    </row>
    <row r="3684" spans="2:5" x14ac:dyDescent="0.45">
      <c r="B3684" s="1"/>
      <c r="E3684" s="45" t="str">
        <f>IFERROR(AVERAGEIFS('Picarro Output'!G:G, 'Picarro Output'!$B:$B, 'Uncalibrated Data'!$C3684, 'Picarro Output'!$I:$I, 0, 'Picarro Output'!$J:$J, 1), "")</f>
        <v/>
      </c>
    </row>
    <row r="3685" spans="2:5" x14ac:dyDescent="0.45">
      <c r="B3685" s="1"/>
      <c r="E3685" s="45" t="str">
        <f>IFERROR(AVERAGEIFS('Picarro Output'!G:G, 'Picarro Output'!$B:$B, 'Uncalibrated Data'!$C3685, 'Picarro Output'!$I:$I, 0, 'Picarro Output'!$J:$J, 1), "")</f>
        <v/>
      </c>
    </row>
    <row r="3686" spans="2:5" x14ac:dyDescent="0.45">
      <c r="B3686" s="1"/>
      <c r="E3686" s="45" t="str">
        <f>IFERROR(AVERAGEIFS('Picarro Output'!G:G, 'Picarro Output'!$B:$B, 'Uncalibrated Data'!$C3686, 'Picarro Output'!$I:$I, 0, 'Picarro Output'!$J:$J, 1), "")</f>
        <v/>
      </c>
    </row>
    <row r="3687" spans="2:5" x14ac:dyDescent="0.45">
      <c r="B3687" s="1"/>
      <c r="E3687" s="45" t="str">
        <f>IFERROR(AVERAGEIFS('Picarro Output'!G:G, 'Picarro Output'!$B:$B, 'Uncalibrated Data'!$C3687, 'Picarro Output'!$I:$I, 0, 'Picarro Output'!$J:$J, 1), "")</f>
        <v/>
      </c>
    </row>
    <row r="3688" spans="2:5" x14ac:dyDescent="0.45">
      <c r="B3688" s="1"/>
      <c r="E3688" s="45" t="str">
        <f>IFERROR(AVERAGEIFS('Picarro Output'!G:G, 'Picarro Output'!$B:$B, 'Uncalibrated Data'!$C3688, 'Picarro Output'!$I:$I, 0, 'Picarro Output'!$J:$J, 1), "")</f>
        <v/>
      </c>
    </row>
    <row r="3689" spans="2:5" x14ac:dyDescent="0.45">
      <c r="B3689" s="1"/>
      <c r="E3689" s="45" t="str">
        <f>IFERROR(AVERAGEIFS('Picarro Output'!G:G, 'Picarro Output'!$B:$B, 'Uncalibrated Data'!$C3689, 'Picarro Output'!$I:$I, 0, 'Picarro Output'!$J:$J, 1), "")</f>
        <v/>
      </c>
    </row>
    <row r="3690" spans="2:5" x14ac:dyDescent="0.45">
      <c r="B3690" s="1"/>
      <c r="E3690" s="45" t="str">
        <f>IFERROR(AVERAGEIFS('Picarro Output'!G:G, 'Picarro Output'!$B:$B, 'Uncalibrated Data'!$C3690, 'Picarro Output'!$I:$I, 0, 'Picarro Output'!$J:$J, 1), "")</f>
        <v/>
      </c>
    </row>
    <row r="3691" spans="2:5" x14ac:dyDescent="0.45">
      <c r="B3691" s="1"/>
      <c r="E3691" s="45" t="str">
        <f>IFERROR(AVERAGEIFS('Picarro Output'!G:G, 'Picarro Output'!$B:$B, 'Uncalibrated Data'!$C3691, 'Picarro Output'!$I:$I, 0, 'Picarro Output'!$J:$J, 1), "")</f>
        <v/>
      </c>
    </row>
    <row r="3692" spans="2:5" x14ac:dyDescent="0.45">
      <c r="B3692" s="1"/>
      <c r="E3692" s="45" t="str">
        <f>IFERROR(AVERAGEIFS('Picarro Output'!G:G, 'Picarro Output'!$B:$B, 'Uncalibrated Data'!$C3692, 'Picarro Output'!$I:$I, 0, 'Picarro Output'!$J:$J, 1), "")</f>
        <v/>
      </c>
    </row>
    <row r="3693" spans="2:5" x14ac:dyDescent="0.45">
      <c r="B3693" s="1"/>
      <c r="E3693" s="45" t="str">
        <f>IFERROR(AVERAGEIFS('Picarro Output'!G:G, 'Picarro Output'!$B:$B, 'Uncalibrated Data'!$C3693, 'Picarro Output'!$I:$I, 0, 'Picarro Output'!$J:$J, 1), "")</f>
        <v/>
      </c>
    </row>
    <row r="3694" spans="2:5" x14ac:dyDescent="0.45">
      <c r="B3694" s="1"/>
      <c r="E3694" s="45" t="str">
        <f>IFERROR(AVERAGEIFS('Picarro Output'!G:G, 'Picarro Output'!$B:$B, 'Uncalibrated Data'!$C3694, 'Picarro Output'!$I:$I, 0, 'Picarro Output'!$J:$J, 1), "")</f>
        <v/>
      </c>
    </row>
    <row r="3695" spans="2:5" x14ac:dyDescent="0.45">
      <c r="B3695" s="1"/>
      <c r="E3695" s="45" t="str">
        <f>IFERROR(AVERAGEIFS('Picarro Output'!G:G, 'Picarro Output'!$B:$B, 'Uncalibrated Data'!$C3695, 'Picarro Output'!$I:$I, 0, 'Picarro Output'!$J:$J, 1), "")</f>
        <v/>
      </c>
    </row>
    <row r="3696" spans="2:5" x14ac:dyDescent="0.45">
      <c r="B3696" s="1"/>
      <c r="E3696" s="45" t="str">
        <f>IFERROR(AVERAGEIFS('Picarro Output'!G:G, 'Picarro Output'!$B:$B, 'Uncalibrated Data'!$C3696, 'Picarro Output'!$I:$I, 0, 'Picarro Output'!$J:$J, 1), "")</f>
        <v/>
      </c>
    </row>
    <row r="3697" spans="2:5" x14ac:dyDescent="0.45">
      <c r="B3697" s="1"/>
      <c r="E3697" s="45" t="str">
        <f>IFERROR(AVERAGEIFS('Picarro Output'!G:G, 'Picarro Output'!$B:$B, 'Uncalibrated Data'!$C3697, 'Picarro Output'!$I:$I, 0, 'Picarro Output'!$J:$J, 1), "")</f>
        <v/>
      </c>
    </row>
    <row r="3698" spans="2:5" x14ac:dyDescent="0.45">
      <c r="B3698" s="1"/>
      <c r="E3698" s="45" t="str">
        <f>IFERROR(AVERAGEIFS('Picarro Output'!G:G, 'Picarro Output'!$B:$B, 'Uncalibrated Data'!$C3698, 'Picarro Output'!$I:$I, 0, 'Picarro Output'!$J:$J, 1), "")</f>
        <v/>
      </c>
    </row>
    <row r="3699" spans="2:5" x14ac:dyDescent="0.45">
      <c r="B3699" s="1"/>
      <c r="E3699" s="45" t="str">
        <f>IFERROR(AVERAGEIFS('Picarro Output'!G:G, 'Picarro Output'!$B:$B, 'Uncalibrated Data'!$C3699, 'Picarro Output'!$I:$I, 0, 'Picarro Output'!$J:$J, 1), "")</f>
        <v/>
      </c>
    </row>
    <row r="3700" spans="2:5" x14ac:dyDescent="0.45">
      <c r="B3700" s="1"/>
      <c r="E3700" s="45" t="str">
        <f>IFERROR(AVERAGEIFS('Picarro Output'!G:G, 'Picarro Output'!$B:$B, 'Uncalibrated Data'!$C3700, 'Picarro Output'!$I:$I, 0, 'Picarro Output'!$J:$J, 1), "")</f>
        <v/>
      </c>
    </row>
    <row r="3701" spans="2:5" x14ac:dyDescent="0.45">
      <c r="B3701" s="1"/>
      <c r="E3701" s="45" t="str">
        <f>IFERROR(AVERAGEIFS('Picarro Output'!G:G, 'Picarro Output'!$B:$B, 'Uncalibrated Data'!$C3701, 'Picarro Output'!$I:$I, 0, 'Picarro Output'!$J:$J, 1), "")</f>
        <v/>
      </c>
    </row>
    <row r="3702" spans="2:5" x14ac:dyDescent="0.45">
      <c r="B3702" s="1"/>
      <c r="E3702" s="45" t="str">
        <f>IFERROR(AVERAGEIFS('Picarro Output'!G:G, 'Picarro Output'!$B:$B, 'Uncalibrated Data'!$C3702, 'Picarro Output'!$I:$I, 0, 'Picarro Output'!$J:$J, 1), "")</f>
        <v/>
      </c>
    </row>
    <row r="3703" spans="2:5" x14ac:dyDescent="0.45">
      <c r="B3703" s="1"/>
      <c r="E3703" s="45" t="str">
        <f>IFERROR(AVERAGEIFS('Picarro Output'!G:G, 'Picarro Output'!$B:$B, 'Uncalibrated Data'!$C3703, 'Picarro Output'!$I:$I, 0, 'Picarro Output'!$J:$J, 1), "")</f>
        <v/>
      </c>
    </row>
    <row r="3704" spans="2:5" x14ac:dyDescent="0.45">
      <c r="B3704" s="1"/>
      <c r="E3704" s="45" t="str">
        <f>IFERROR(AVERAGEIFS('Picarro Output'!G:G, 'Picarro Output'!$B:$B, 'Uncalibrated Data'!$C3704, 'Picarro Output'!$I:$I, 0, 'Picarro Output'!$J:$J, 1), "")</f>
        <v/>
      </c>
    </row>
    <row r="3705" spans="2:5" x14ac:dyDescent="0.45">
      <c r="B3705" s="1"/>
      <c r="E3705" s="45" t="str">
        <f>IFERROR(AVERAGEIFS('Picarro Output'!G:G, 'Picarro Output'!$B:$B, 'Uncalibrated Data'!$C3705, 'Picarro Output'!$I:$I, 0, 'Picarro Output'!$J:$J, 1), "")</f>
        <v/>
      </c>
    </row>
    <row r="3706" spans="2:5" x14ac:dyDescent="0.45">
      <c r="B3706" s="1"/>
      <c r="E3706" s="45" t="str">
        <f>IFERROR(AVERAGEIFS('Picarro Output'!G:G, 'Picarro Output'!$B:$B, 'Uncalibrated Data'!$C3706, 'Picarro Output'!$I:$I, 0, 'Picarro Output'!$J:$J, 1), "")</f>
        <v/>
      </c>
    </row>
    <row r="3707" spans="2:5" x14ac:dyDescent="0.45">
      <c r="B3707" s="1"/>
      <c r="E3707" s="45" t="str">
        <f>IFERROR(AVERAGEIFS('Picarro Output'!G:G, 'Picarro Output'!$B:$B, 'Uncalibrated Data'!$C3707, 'Picarro Output'!$I:$I, 0, 'Picarro Output'!$J:$J, 1), "")</f>
        <v/>
      </c>
    </row>
    <row r="3708" spans="2:5" x14ac:dyDescent="0.45">
      <c r="B3708" s="1"/>
      <c r="E3708" s="45" t="str">
        <f>IFERROR(AVERAGEIFS('Picarro Output'!G:G, 'Picarro Output'!$B:$B, 'Uncalibrated Data'!$C3708, 'Picarro Output'!$I:$I, 0, 'Picarro Output'!$J:$J, 1), "")</f>
        <v/>
      </c>
    </row>
    <row r="3709" spans="2:5" x14ac:dyDescent="0.45">
      <c r="B3709" s="1"/>
      <c r="E3709" s="45" t="str">
        <f>IFERROR(AVERAGEIFS('Picarro Output'!G:G, 'Picarro Output'!$B:$B, 'Uncalibrated Data'!$C3709, 'Picarro Output'!$I:$I, 0, 'Picarro Output'!$J:$J, 1), "")</f>
        <v/>
      </c>
    </row>
    <row r="3710" spans="2:5" x14ac:dyDescent="0.45">
      <c r="B3710" s="1"/>
      <c r="E3710" s="45" t="str">
        <f>IFERROR(AVERAGEIFS('Picarro Output'!G:G, 'Picarro Output'!$B:$B, 'Uncalibrated Data'!$C3710, 'Picarro Output'!$I:$I, 0, 'Picarro Output'!$J:$J, 1), "")</f>
        <v/>
      </c>
    </row>
    <row r="3711" spans="2:5" x14ac:dyDescent="0.45">
      <c r="B3711" s="1"/>
      <c r="E3711" s="45" t="str">
        <f>IFERROR(AVERAGEIFS('Picarro Output'!G:G, 'Picarro Output'!$B:$B, 'Uncalibrated Data'!$C3711, 'Picarro Output'!$I:$I, 0, 'Picarro Output'!$J:$J, 1), "")</f>
        <v/>
      </c>
    </row>
    <row r="3712" spans="2:5" x14ac:dyDescent="0.45">
      <c r="B3712" s="1"/>
      <c r="E3712" s="45" t="str">
        <f>IFERROR(AVERAGEIFS('Picarro Output'!G:G, 'Picarro Output'!$B:$B, 'Uncalibrated Data'!$C3712, 'Picarro Output'!$I:$I, 0, 'Picarro Output'!$J:$J, 1), "")</f>
        <v/>
      </c>
    </row>
    <row r="3713" spans="2:5" x14ac:dyDescent="0.45">
      <c r="B3713" s="1"/>
      <c r="E3713" s="45" t="str">
        <f>IFERROR(AVERAGEIFS('Picarro Output'!G:G, 'Picarro Output'!$B:$B, 'Uncalibrated Data'!$C3713, 'Picarro Output'!$I:$I, 0, 'Picarro Output'!$J:$J, 1), "")</f>
        <v/>
      </c>
    </row>
    <row r="3714" spans="2:5" x14ac:dyDescent="0.45">
      <c r="B3714" s="1"/>
      <c r="E3714" s="45" t="str">
        <f>IFERROR(AVERAGEIFS('Picarro Output'!G:G, 'Picarro Output'!$B:$B, 'Uncalibrated Data'!$C3714, 'Picarro Output'!$I:$I, 0, 'Picarro Output'!$J:$J, 1), "")</f>
        <v/>
      </c>
    </row>
    <row r="3715" spans="2:5" x14ac:dyDescent="0.45">
      <c r="B3715" s="1"/>
      <c r="E3715" s="45" t="str">
        <f>IFERROR(AVERAGEIFS('Picarro Output'!G:G, 'Picarro Output'!$B:$B, 'Uncalibrated Data'!$C3715, 'Picarro Output'!$I:$I, 0, 'Picarro Output'!$J:$J, 1), "")</f>
        <v/>
      </c>
    </row>
    <row r="3716" spans="2:5" x14ac:dyDescent="0.45">
      <c r="B3716" s="1"/>
      <c r="E3716" s="45" t="str">
        <f>IFERROR(AVERAGEIFS('Picarro Output'!G:G, 'Picarro Output'!$B:$B, 'Uncalibrated Data'!$C3716, 'Picarro Output'!$I:$I, 0, 'Picarro Output'!$J:$J, 1), "")</f>
        <v/>
      </c>
    </row>
    <row r="3717" spans="2:5" x14ac:dyDescent="0.45">
      <c r="B3717" s="1"/>
      <c r="E3717" s="45" t="str">
        <f>IFERROR(AVERAGEIFS('Picarro Output'!G:G, 'Picarro Output'!$B:$B, 'Uncalibrated Data'!$C3717, 'Picarro Output'!$I:$I, 0, 'Picarro Output'!$J:$J, 1), "")</f>
        <v/>
      </c>
    </row>
    <row r="3718" spans="2:5" x14ac:dyDescent="0.45">
      <c r="B3718" s="1"/>
      <c r="E3718" s="45" t="str">
        <f>IFERROR(AVERAGEIFS('Picarro Output'!G:G, 'Picarro Output'!$B:$B, 'Uncalibrated Data'!$C3718, 'Picarro Output'!$I:$I, 0, 'Picarro Output'!$J:$J, 1), "")</f>
        <v/>
      </c>
    </row>
    <row r="3719" spans="2:5" x14ac:dyDescent="0.45">
      <c r="B3719" s="1"/>
      <c r="E3719" s="45" t="str">
        <f>IFERROR(AVERAGEIFS('Picarro Output'!G:G, 'Picarro Output'!$B:$B, 'Uncalibrated Data'!$C3719, 'Picarro Output'!$I:$I, 0, 'Picarro Output'!$J:$J, 1), "")</f>
        <v/>
      </c>
    </row>
    <row r="3720" spans="2:5" x14ac:dyDescent="0.45">
      <c r="B3720" s="1"/>
      <c r="E3720" s="45" t="str">
        <f>IFERROR(AVERAGEIFS('Picarro Output'!G:G, 'Picarro Output'!$B:$B, 'Uncalibrated Data'!$C3720, 'Picarro Output'!$I:$I, 0, 'Picarro Output'!$J:$J, 1), "")</f>
        <v/>
      </c>
    </row>
    <row r="3721" spans="2:5" x14ac:dyDescent="0.45">
      <c r="B3721" s="1"/>
      <c r="E3721" s="45" t="str">
        <f>IFERROR(AVERAGEIFS('Picarro Output'!G:G, 'Picarro Output'!$B:$B, 'Uncalibrated Data'!$C3721, 'Picarro Output'!$I:$I, 0, 'Picarro Output'!$J:$J, 1), "")</f>
        <v/>
      </c>
    </row>
    <row r="3722" spans="2:5" x14ac:dyDescent="0.45">
      <c r="B3722" s="1"/>
      <c r="E3722" s="45" t="str">
        <f>IFERROR(AVERAGEIFS('Picarro Output'!G:G, 'Picarro Output'!$B:$B, 'Uncalibrated Data'!$C3722, 'Picarro Output'!$I:$I, 0, 'Picarro Output'!$J:$J, 1), "")</f>
        <v/>
      </c>
    </row>
    <row r="3723" spans="2:5" x14ac:dyDescent="0.45">
      <c r="B3723" s="1"/>
      <c r="E3723" s="45" t="str">
        <f>IFERROR(AVERAGEIFS('Picarro Output'!G:G, 'Picarro Output'!$B:$B, 'Uncalibrated Data'!$C3723, 'Picarro Output'!$I:$I, 0, 'Picarro Output'!$J:$J, 1), "")</f>
        <v/>
      </c>
    </row>
    <row r="3724" spans="2:5" x14ac:dyDescent="0.45">
      <c r="B3724" s="1"/>
      <c r="E3724" s="45" t="str">
        <f>IFERROR(AVERAGEIFS('Picarro Output'!G:G, 'Picarro Output'!$B:$B, 'Uncalibrated Data'!$C3724, 'Picarro Output'!$I:$I, 0, 'Picarro Output'!$J:$J, 1), "")</f>
        <v/>
      </c>
    </row>
    <row r="3725" spans="2:5" x14ac:dyDescent="0.45">
      <c r="B3725" s="1"/>
      <c r="E3725" s="45" t="str">
        <f>IFERROR(AVERAGEIFS('Picarro Output'!G:G, 'Picarro Output'!$B:$B, 'Uncalibrated Data'!$C3725, 'Picarro Output'!$I:$I, 0, 'Picarro Output'!$J:$J, 1), "")</f>
        <v/>
      </c>
    </row>
    <row r="3726" spans="2:5" x14ac:dyDescent="0.45">
      <c r="B3726" s="1"/>
      <c r="E3726" s="45" t="str">
        <f>IFERROR(AVERAGEIFS('Picarro Output'!G:G, 'Picarro Output'!$B:$B, 'Uncalibrated Data'!$C3726, 'Picarro Output'!$I:$I, 0, 'Picarro Output'!$J:$J, 1), "")</f>
        <v/>
      </c>
    </row>
    <row r="3727" spans="2:5" x14ac:dyDescent="0.45">
      <c r="B3727" s="1"/>
      <c r="E3727" s="45" t="str">
        <f>IFERROR(AVERAGEIFS('Picarro Output'!G:G, 'Picarro Output'!$B:$B, 'Uncalibrated Data'!$C3727, 'Picarro Output'!$I:$I, 0, 'Picarro Output'!$J:$J, 1), "")</f>
        <v/>
      </c>
    </row>
    <row r="3728" spans="2:5" x14ac:dyDescent="0.45">
      <c r="B3728" s="1"/>
      <c r="E3728" s="45" t="str">
        <f>IFERROR(AVERAGEIFS('Picarro Output'!G:G, 'Picarro Output'!$B:$B, 'Uncalibrated Data'!$C3728, 'Picarro Output'!$I:$I, 0, 'Picarro Output'!$J:$J, 1), "")</f>
        <v/>
      </c>
    </row>
    <row r="3729" spans="2:5" x14ac:dyDescent="0.45">
      <c r="B3729" s="1"/>
      <c r="E3729" s="45" t="str">
        <f>IFERROR(AVERAGEIFS('Picarro Output'!G:G, 'Picarro Output'!$B:$B, 'Uncalibrated Data'!$C3729, 'Picarro Output'!$I:$I, 0, 'Picarro Output'!$J:$J, 1), "")</f>
        <v/>
      </c>
    </row>
    <row r="3730" spans="2:5" x14ac:dyDescent="0.45">
      <c r="B3730" s="1"/>
      <c r="E3730" s="45" t="str">
        <f>IFERROR(AVERAGEIFS('Picarro Output'!G:G, 'Picarro Output'!$B:$B, 'Uncalibrated Data'!$C3730, 'Picarro Output'!$I:$I, 0, 'Picarro Output'!$J:$J, 1), "")</f>
        <v/>
      </c>
    </row>
    <row r="3731" spans="2:5" x14ac:dyDescent="0.45">
      <c r="B3731" s="1"/>
      <c r="E3731" s="45" t="str">
        <f>IFERROR(AVERAGEIFS('Picarro Output'!G:G, 'Picarro Output'!$B:$B, 'Uncalibrated Data'!$C3731, 'Picarro Output'!$I:$I, 0, 'Picarro Output'!$J:$J, 1), "")</f>
        <v/>
      </c>
    </row>
    <row r="3732" spans="2:5" x14ac:dyDescent="0.45">
      <c r="B3732" s="1"/>
      <c r="E3732" s="45" t="str">
        <f>IFERROR(AVERAGEIFS('Picarro Output'!G:G, 'Picarro Output'!$B:$B, 'Uncalibrated Data'!$C3732, 'Picarro Output'!$I:$I, 0, 'Picarro Output'!$J:$J, 1), "")</f>
        <v/>
      </c>
    </row>
    <row r="3733" spans="2:5" x14ac:dyDescent="0.45">
      <c r="B3733" s="1"/>
      <c r="E3733" s="45" t="str">
        <f>IFERROR(AVERAGEIFS('Picarro Output'!G:G, 'Picarro Output'!$B:$B, 'Uncalibrated Data'!$C3733, 'Picarro Output'!$I:$I, 0, 'Picarro Output'!$J:$J, 1), "")</f>
        <v/>
      </c>
    </row>
    <row r="3734" spans="2:5" x14ac:dyDescent="0.45">
      <c r="B3734" s="1"/>
      <c r="E3734" s="45" t="str">
        <f>IFERROR(AVERAGEIFS('Picarro Output'!G:G, 'Picarro Output'!$B:$B, 'Uncalibrated Data'!$C3734, 'Picarro Output'!$I:$I, 0, 'Picarro Output'!$J:$J, 1), "")</f>
        <v/>
      </c>
    </row>
    <row r="3735" spans="2:5" x14ac:dyDescent="0.45">
      <c r="B3735" s="1"/>
      <c r="E3735" s="45" t="str">
        <f>IFERROR(AVERAGEIFS('Picarro Output'!G:G, 'Picarro Output'!$B:$B, 'Uncalibrated Data'!$C3735, 'Picarro Output'!$I:$I, 0, 'Picarro Output'!$J:$J, 1), "")</f>
        <v/>
      </c>
    </row>
    <row r="3736" spans="2:5" x14ac:dyDescent="0.45">
      <c r="B3736" s="1"/>
      <c r="E3736" s="45" t="str">
        <f>IFERROR(AVERAGEIFS('Picarro Output'!G:G, 'Picarro Output'!$B:$B, 'Uncalibrated Data'!$C3736, 'Picarro Output'!$I:$I, 0, 'Picarro Output'!$J:$J, 1), "")</f>
        <v/>
      </c>
    </row>
    <row r="3737" spans="2:5" x14ac:dyDescent="0.45">
      <c r="B3737" s="1"/>
      <c r="E3737" s="45" t="str">
        <f>IFERROR(AVERAGEIFS('Picarro Output'!G:G, 'Picarro Output'!$B:$B, 'Uncalibrated Data'!$C3737, 'Picarro Output'!$I:$I, 0, 'Picarro Output'!$J:$J, 1), "")</f>
        <v/>
      </c>
    </row>
    <row r="3738" spans="2:5" x14ac:dyDescent="0.45">
      <c r="B3738" s="1"/>
      <c r="E3738" s="45" t="str">
        <f>IFERROR(AVERAGEIFS('Picarro Output'!G:G, 'Picarro Output'!$B:$B, 'Uncalibrated Data'!$C3738, 'Picarro Output'!$I:$I, 0, 'Picarro Output'!$J:$J, 1), "")</f>
        <v/>
      </c>
    </row>
    <row r="3739" spans="2:5" x14ac:dyDescent="0.45">
      <c r="B3739" s="1"/>
      <c r="E3739" s="45" t="str">
        <f>IFERROR(AVERAGEIFS('Picarro Output'!G:G, 'Picarro Output'!$B:$B, 'Uncalibrated Data'!$C3739, 'Picarro Output'!$I:$I, 0, 'Picarro Output'!$J:$J, 1), "")</f>
        <v/>
      </c>
    </row>
    <row r="3740" spans="2:5" x14ac:dyDescent="0.45">
      <c r="B3740" s="1"/>
      <c r="E3740" s="45" t="str">
        <f>IFERROR(AVERAGEIFS('Picarro Output'!G:G, 'Picarro Output'!$B:$B, 'Uncalibrated Data'!$C3740, 'Picarro Output'!$I:$I, 0, 'Picarro Output'!$J:$J, 1), "")</f>
        <v/>
      </c>
    </row>
    <row r="3741" spans="2:5" x14ac:dyDescent="0.45">
      <c r="B3741" s="1"/>
      <c r="E3741" s="45" t="str">
        <f>IFERROR(AVERAGEIFS('Picarro Output'!G:G, 'Picarro Output'!$B:$B, 'Uncalibrated Data'!$C3741, 'Picarro Output'!$I:$I, 0, 'Picarro Output'!$J:$J, 1), "")</f>
        <v/>
      </c>
    </row>
    <row r="3742" spans="2:5" x14ac:dyDescent="0.45">
      <c r="B3742" s="1"/>
      <c r="E3742" s="45" t="str">
        <f>IFERROR(AVERAGEIFS('Picarro Output'!G:G, 'Picarro Output'!$B:$B, 'Uncalibrated Data'!$C3742, 'Picarro Output'!$I:$I, 0, 'Picarro Output'!$J:$J, 1), "")</f>
        <v/>
      </c>
    </row>
    <row r="3743" spans="2:5" x14ac:dyDescent="0.45">
      <c r="B3743" s="1"/>
      <c r="E3743" s="45" t="str">
        <f>IFERROR(AVERAGEIFS('Picarro Output'!G:G, 'Picarro Output'!$B:$B, 'Uncalibrated Data'!$C3743, 'Picarro Output'!$I:$I, 0, 'Picarro Output'!$J:$J, 1), "")</f>
        <v/>
      </c>
    </row>
    <row r="3744" spans="2:5" x14ac:dyDescent="0.45">
      <c r="B3744" s="1"/>
      <c r="E3744" s="45" t="str">
        <f>IFERROR(AVERAGEIFS('Picarro Output'!G:G, 'Picarro Output'!$B:$B, 'Uncalibrated Data'!$C3744, 'Picarro Output'!$I:$I, 0, 'Picarro Output'!$J:$J, 1), "")</f>
        <v/>
      </c>
    </row>
    <row r="3745" spans="2:5" x14ac:dyDescent="0.45">
      <c r="B3745" s="1"/>
      <c r="E3745" s="45" t="str">
        <f>IFERROR(AVERAGEIFS('Picarro Output'!G:G, 'Picarro Output'!$B:$B, 'Uncalibrated Data'!$C3745, 'Picarro Output'!$I:$I, 0, 'Picarro Output'!$J:$J, 1), "")</f>
        <v/>
      </c>
    </row>
    <row r="3746" spans="2:5" x14ac:dyDescent="0.45">
      <c r="B3746" s="1"/>
      <c r="E3746" s="45" t="str">
        <f>IFERROR(AVERAGEIFS('Picarro Output'!G:G, 'Picarro Output'!$B:$B, 'Uncalibrated Data'!$C3746, 'Picarro Output'!$I:$I, 0, 'Picarro Output'!$J:$J, 1), "")</f>
        <v/>
      </c>
    </row>
    <row r="3747" spans="2:5" x14ac:dyDescent="0.45">
      <c r="B3747" s="1"/>
      <c r="E3747" s="45" t="str">
        <f>IFERROR(AVERAGEIFS('Picarro Output'!G:G, 'Picarro Output'!$B:$B, 'Uncalibrated Data'!$C3747, 'Picarro Output'!$I:$I, 0, 'Picarro Output'!$J:$J, 1), "")</f>
        <v/>
      </c>
    </row>
    <row r="3748" spans="2:5" x14ac:dyDescent="0.45">
      <c r="B3748" s="1"/>
      <c r="E3748" s="45" t="str">
        <f>IFERROR(AVERAGEIFS('Picarro Output'!G:G, 'Picarro Output'!$B:$B, 'Uncalibrated Data'!$C3748, 'Picarro Output'!$I:$I, 0, 'Picarro Output'!$J:$J, 1), "")</f>
        <v/>
      </c>
    </row>
    <row r="3749" spans="2:5" x14ac:dyDescent="0.45">
      <c r="B3749" s="1"/>
      <c r="E3749" s="45" t="str">
        <f>IFERROR(AVERAGEIFS('Picarro Output'!G:G, 'Picarro Output'!$B:$B, 'Uncalibrated Data'!$C3749, 'Picarro Output'!$I:$I, 0, 'Picarro Output'!$J:$J, 1), "")</f>
        <v/>
      </c>
    </row>
    <row r="3750" spans="2:5" x14ac:dyDescent="0.45">
      <c r="B3750" s="1"/>
      <c r="E3750" s="45" t="str">
        <f>IFERROR(AVERAGEIFS('Picarro Output'!G:G, 'Picarro Output'!$B:$B, 'Uncalibrated Data'!$C3750, 'Picarro Output'!$I:$I, 0, 'Picarro Output'!$J:$J, 1), "")</f>
        <v/>
      </c>
    </row>
    <row r="3751" spans="2:5" x14ac:dyDescent="0.45">
      <c r="B3751" s="1"/>
      <c r="E3751" s="45" t="str">
        <f>IFERROR(AVERAGEIFS('Picarro Output'!G:G, 'Picarro Output'!$B:$B, 'Uncalibrated Data'!$C3751, 'Picarro Output'!$I:$I, 0, 'Picarro Output'!$J:$J, 1), "")</f>
        <v/>
      </c>
    </row>
    <row r="3752" spans="2:5" x14ac:dyDescent="0.45">
      <c r="B3752" s="1"/>
      <c r="E3752" s="45" t="str">
        <f>IFERROR(AVERAGEIFS('Picarro Output'!G:G, 'Picarro Output'!$B:$B, 'Uncalibrated Data'!$C3752, 'Picarro Output'!$I:$I, 0, 'Picarro Output'!$J:$J, 1), "")</f>
        <v/>
      </c>
    </row>
    <row r="3753" spans="2:5" x14ac:dyDescent="0.45">
      <c r="B3753" s="1"/>
      <c r="E3753" s="45" t="str">
        <f>IFERROR(AVERAGEIFS('Picarro Output'!G:G, 'Picarro Output'!$B:$B, 'Uncalibrated Data'!$C3753, 'Picarro Output'!$I:$I, 0, 'Picarro Output'!$J:$J, 1), "")</f>
        <v/>
      </c>
    </row>
    <row r="3754" spans="2:5" x14ac:dyDescent="0.45">
      <c r="B3754" s="1"/>
      <c r="E3754" s="45" t="str">
        <f>IFERROR(AVERAGEIFS('Picarro Output'!G:G, 'Picarro Output'!$B:$B, 'Uncalibrated Data'!$C3754, 'Picarro Output'!$I:$I, 0, 'Picarro Output'!$J:$J, 1), "")</f>
        <v/>
      </c>
    </row>
    <row r="3755" spans="2:5" x14ac:dyDescent="0.45">
      <c r="B3755" s="1"/>
      <c r="E3755" s="45" t="str">
        <f>IFERROR(AVERAGEIFS('Picarro Output'!G:G, 'Picarro Output'!$B:$B, 'Uncalibrated Data'!$C3755, 'Picarro Output'!$I:$I, 0, 'Picarro Output'!$J:$J, 1), "")</f>
        <v/>
      </c>
    </row>
    <row r="3756" spans="2:5" x14ac:dyDescent="0.45">
      <c r="B3756" s="1"/>
      <c r="E3756" s="45" t="str">
        <f>IFERROR(AVERAGEIFS('Picarro Output'!G:G, 'Picarro Output'!$B:$B, 'Uncalibrated Data'!$C3756, 'Picarro Output'!$I:$I, 0, 'Picarro Output'!$J:$J, 1), "")</f>
        <v/>
      </c>
    </row>
    <row r="3757" spans="2:5" x14ac:dyDescent="0.45">
      <c r="B3757" s="1"/>
      <c r="E3757" s="45" t="str">
        <f>IFERROR(AVERAGEIFS('Picarro Output'!G:G, 'Picarro Output'!$B:$B, 'Uncalibrated Data'!$C3757, 'Picarro Output'!$I:$I, 0, 'Picarro Output'!$J:$J, 1), "")</f>
        <v/>
      </c>
    </row>
    <row r="3758" spans="2:5" x14ac:dyDescent="0.45">
      <c r="B3758" s="1"/>
      <c r="E3758" s="45" t="str">
        <f>IFERROR(AVERAGEIFS('Picarro Output'!G:G, 'Picarro Output'!$B:$B, 'Uncalibrated Data'!$C3758, 'Picarro Output'!$I:$I, 0, 'Picarro Output'!$J:$J, 1), "")</f>
        <v/>
      </c>
    </row>
    <row r="3759" spans="2:5" x14ac:dyDescent="0.45">
      <c r="B3759" s="1"/>
      <c r="E3759" s="45" t="str">
        <f>IFERROR(AVERAGEIFS('Picarro Output'!G:G, 'Picarro Output'!$B:$B, 'Uncalibrated Data'!$C3759, 'Picarro Output'!$I:$I, 0, 'Picarro Output'!$J:$J, 1), "")</f>
        <v/>
      </c>
    </row>
    <row r="3760" spans="2:5" x14ac:dyDescent="0.45">
      <c r="B3760" s="1"/>
      <c r="E3760" s="45" t="str">
        <f>IFERROR(AVERAGEIFS('Picarro Output'!G:G, 'Picarro Output'!$B:$B, 'Uncalibrated Data'!$C3760, 'Picarro Output'!$I:$I, 0, 'Picarro Output'!$J:$J, 1), "")</f>
        <v/>
      </c>
    </row>
    <row r="3761" spans="2:5" x14ac:dyDescent="0.45">
      <c r="B3761" s="1"/>
      <c r="E3761" s="45" t="str">
        <f>IFERROR(AVERAGEIFS('Picarro Output'!G:G, 'Picarro Output'!$B:$B, 'Uncalibrated Data'!$C3761, 'Picarro Output'!$I:$I, 0, 'Picarro Output'!$J:$J, 1), "")</f>
        <v/>
      </c>
    </row>
    <row r="3762" spans="2:5" x14ac:dyDescent="0.45">
      <c r="B3762" s="1"/>
      <c r="E3762" s="45" t="str">
        <f>IFERROR(AVERAGEIFS('Picarro Output'!G:G, 'Picarro Output'!$B:$B, 'Uncalibrated Data'!$C3762, 'Picarro Output'!$I:$I, 0, 'Picarro Output'!$J:$J, 1), "")</f>
        <v/>
      </c>
    </row>
    <row r="3763" spans="2:5" x14ac:dyDescent="0.45">
      <c r="B3763" s="1"/>
      <c r="E3763" s="45" t="str">
        <f>IFERROR(AVERAGEIFS('Picarro Output'!G:G, 'Picarro Output'!$B:$B, 'Uncalibrated Data'!$C3763, 'Picarro Output'!$I:$I, 0, 'Picarro Output'!$J:$J, 1), "")</f>
        <v/>
      </c>
    </row>
    <row r="3764" spans="2:5" x14ac:dyDescent="0.45">
      <c r="B3764" s="1"/>
      <c r="E3764" s="45" t="str">
        <f>IFERROR(AVERAGEIFS('Picarro Output'!G:G, 'Picarro Output'!$B:$B, 'Uncalibrated Data'!$C3764, 'Picarro Output'!$I:$I, 0, 'Picarro Output'!$J:$J, 1), "")</f>
        <v/>
      </c>
    </row>
    <row r="3765" spans="2:5" x14ac:dyDescent="0.45">
      <c r="B3765" s="1"/>
      <c r="E3765" s="45" t="str">
        <f>IFERROR(AVERAGEIFS('Picarro Output'!G:G, 'Picarro Output'!$B:$B, 'Uncalibrated Data'!$C3765, 'Picarro Output'!$I:$I, 0, 'Picarro Output'!$J:$J, 1), "")</f>
        <v/>
      </c>
    </row>
    <row r="3766" spans="2:5" x14ac:dyDescent="0.45">
      <c r="B3766" s="1"/>
      <c r="E3766" s="45" t="str">
        <f>IFERROR(AVERAGEIFS('Picarro Output'!G:G, 'Picarro Output'!$B:$B, 'Uncalibrated Data'!$C3766, 'Picarro Output'!$I:$I, 0, 'Picarro Output'!$J:$J, 1), "")</f>
        <v/>
      </c>
    </row>
    <row r="3767" spans="2:5" x14ac:dyDescent="0.45">
      <c r="B3767" s="1"/>
      <c r="E3767" s="45" t="str">
        <f>IFERROR(AVERAGEIFS('Picarro Output'!G:G, 'Picarro Output'!$B:$B, 'Uncalibrated Data'!$C3767, 'Picarro Output'!$I:$I, 0, 'Picarro Output'!$J:$J, 1), "")</f>
        <v/>
      </c>
    </row>
    <row r="3768" spans="2:5" x14ac:dyDescent="0.45">
      <c r="B3768" s="1"/>
      <c r="E3768" s="45" t="str">
        <f>IFERROR(AVERAGEIFS('Picarro Output'!G:G, 'Picarro Output'!$B:$B, 'Uncalibrated Data'!$C3768, 'Picarro Output'!$I:$I, 0, 'Picarro Output'!$J:$J, 1), "")</f>
        <v/>
      </c>
    </row>
    <row r="3769" spans="2:5" x14ac:dyDescent="0.45">
      <c r="B3769" s="1"/>
      <c r="E3769" s="45" t="str">
        <f>IFERROR(AVERAGEIFS('Picarro Output'!G:G, 'Picarro Output'!$B:$B, 'Uncalibrated Data'!$C3769, 'Picarro Output'!$I:$I, 0, 'Picarro Output'!$J:$J, 1), "")</f>
        <v/>
      </c>
    </row>
    <row r="3770" spans="2:5" x14ac:dyDescent="0.45">
      <c r="B3770" s="1"/>
      <c r="E3770" s="45" t="str">
        <f>IFERROR(AVERAGEIFS('Picarro Output'!G:G, 'Picarro Output'!$B:$B, 'Uncalibrated Data'!$C3770, 'Picarro Output'!$I:$I, 0, 'Picarro Output'!$J:$J, 1), "")</f>
        <v/>
      </c>
    </row>
    <row r="3771" spans="2:5" x14ac:dyDescent="0.45">
      <c r="B3771" s="1"/>
      <c r="E3771" s="45" t="str">
        <f>IFERROR(AVERAGEIFS('Picarro Output'!G:G, 'Picarro Output'!$B:$B, 'Uncalibrated Data'!$C3771, 'Picarro Output'!$I:$I, 0, 'Picarro Output'!$J:$J, 1), "")</f>
        <v/>
      </c>
    </row>
    <row r="3772" spans="2:5" x14ac:dyDescent="0.45">
      <c r="B3772" s="1"/>
      <c r="E3772" s="45" t="str">
        <f>IFERROR(AVERAGEIFS('Picarro Output'!G:G, 'Picarro Output'!$B:$B, 'Uncalibrated Data'!$C3772, 'Picarro Output'!$I:$I, 0, 'Picarro Output'!$J:$J, 1), "")</f>
        <v/>
      </c>
    </row>
    <row r="3773" spans="2:5" x14ac:dyDescent="0.45">
      <c r="B3773" s="1"/>
      <c r="E3773" s="45" t="str">
        <f>IFERROR(AVERAGEIFS('Picarro Output'!G:G, 'Picarro Output'!$B:$B, 'Uncalibrated Data'!$C3773, 'Picarro Output'!$I:$I, 0, 'Picarro Output'!$J:$J, 1), "")</f>
        <v/>
      </c>
    </row>
    <row r="3774" spans="2:5" x14ac:dyDescent="0.45">
      <c r="B3774" s="1"/>
      <c r="E3774" s="45" t="str">
        <f>IFERROR(AVERAGEIFS('Picarro Output'!G:G, 'Picarro Output'!$B:$B, 'Uncalibrated Data'!$C3774, 'Picarro Output'!$I:$I, 0, 'Picarro Output'!$J:$J, 1), "")</f>
        <v/>
      </c>
    </row>
    <row r="3775" spans="2:5" x14ac:dyDescent="0.45">
      <c r="B3775" s="1"/>
      <c r="E3775" s="45" t="str">
        <f>IFERROR(AVERAGEIFS('Picarro Output'!G:G, 'Picarro Output'!$B:$B, 'Uncalibrated Data'!$C3775, 'Picarro Output'!$I:$I, 0, 'Picarro Output'!$J:$J, 1), "")</f>
        <v/>
      </c>
    </row>
    <row r="3776" spans="2:5" x14ac:dyDescent="0.45">
      <c r="B3776" s="1"/>
      <c r="E3776" s="45" t="str">
        <f>IFERROR(AVERAGEIFS('Picarro Output'!G:G, 'Picarro Output'!$B:$B, 'Uncalibrated Data'!$C3776, 'Picarro Output'!$I:$I, 0, 'Picarro Output'!$J:$J, 1), "")</f>
        <v/>
      </c>
    </row>
    <row r="3777" spans="2:5" x14ac:dyDescent="0.45">
      <c r="B3777" s="1"/>
      <c r="E3777" s="45" t="str">
        <f>IFERROR(AVERAGEIFS('Picarro Output'!G:G, 'Picarro Output'!$B:$B, 'Uncalibrated Data'!$C3777, 'Picarro Output'!$I:$I, 0, 'Picarro Output'!$J:$J, 1), "")</f>
        <v/>
      </c>
    </row>
    <row r="3778" spans="2:5" x14ac:dyDescent="0.45">
      <c r="B3778" s="1"/>
      <c r="E3778" s="45" t="str">
        <f>IFERROR(AVERAGEIFS('Picarro Output'!G:G, 'Picarro Output'!$B:$B, 'Uncalibrated Data'!$C3778, 'Picarro Output'!$I:$I, 0, 'Picarro Output'!$J:$J, 1), "")</f>
        <v/>
      </c>
    </row>
    <row r="3779" spans="2:5" x14ac:dyDescent="0.45">
      <c r="B3779" s="1"/>
      <c r="E3779" s="45" t="str">
        <f>IFERROR(AVERAGEIFS('Picarro Output'!G:G, 'Picarro Output'!$B:$B, 'Uncalibrated Data'!$C3779, 'Picarro Output'!$I:$I, 0, 'Picarro Output'!$J:$J, 1), "")</f>
        <v/>
      </c>
    </row>
    <row r="3780" spans="2:5" x14ac:dyDescent="0.45">
      <c r="B3780" s="1"/>
      <c r="E3780" s="45" t="str">
        <f>IFERROR(AVERAGEIFS('Picarro Output'!G:G, 'Picarro Output'!$B:$B, 'Uncalibrated Data'!$C3780, 'Picarro Output'!$I:$I, 0, 'Picarro Output'!$J:$J, 1), "")</f>
        <v/>
      </c>
    </row>
    <row r="3781" spans="2:5" x14ac:dyDescent="0.45">
      <c r="B3781" s="1"/>
      <c r="E3781" s="45" t="str">
        <f>IFERROR(AVERAGEIFS('Picarro Output'!G:G, 'Picarro Output'!$B:$B, 'Uncalibrated Data'!$C3781, 'Picarro Output'!$I:$I, 0, 'Picarro Output'!$J:$J, 1), "")</f>
        <v/>
      </c>
    </row>
    <row r="3782" spans="2:5" x14ac:dyDescent="0.45">
      <c r="B3782" s="1"/>
      <c r="E3782" s="45" t="str">
        <f>IFERROR(AVERAGEIFS('Picarro Output'!G:G, 'Picarro Output'!$B:$B, 'Uncalibrated Data'!$C3782, 'Picarro Output'!$I:$I, 0, 'Picarro Output'!$J:$J, 1), "")</f>
        <v/>
      </c>
    </row>
    <row r="3783" spans="2:5" x14ac:dyDescent="0.45">
      <c r="B3783" s="1"/>
      <c r="E3783" s="45" t="str">
        <f>IFERROR(AVERAGEIFS('Picarro Output'!G:G, 'Picarro Output'!$B:$B, 'Uncalibrated Data'!$C3783, 'Picarro Output'!$I:$I, 0, 'Picarro Output'!$J:$J, 1), "")</f>
        <v/>
      </c>
    </row>
    <row r="3784" spans="2:5" x14ac:dyDescent="0.45">
      <c r="B3784" s="1"/>
      <c r="E3784" s="45" t="str">
        <f>IFERROR(AVERAGEIFS('Picarro Output'!G:G, 'Picarro Output'!$B:$B, 'Uncalibrated Data'!$C3784, 'Picarro Output'!$I:$I, 0, 'Picarro Output'!$J:$J, 1), "")</f>
        <v/>
      </c>
    </row>
    <row r="3785" spans="2:5" x14ac:dyDescent="0.45">
      <c r="B3785" s="1"/>
      <c r="E3785" s="45" t="str">
        <f>IFERROR(AVERAGEIFS('Picarro Output'!G:G, 'Picarro Output'!$B:$B, 'Uncalibrated Data'!$C3785, 'Picarro Output'!$I:$I, 0, 'Picarro Output'!$J:$J, 1), "")</f>
        <v/>
      </c>
    </row>
    <row r="3786" spans="2:5" x14ac:dyDescent="0.45">
      <c r="B3786" s="1"/>
      <c r="E3786" s="45" t="str">
        <f>IFERROR(AVERAGEIFS('Picarro Output'!G:G, 'Picarro Output'!$B:$B, 'Uncalibrated Data'!$C3786, 'Picarro Output'!$I:$I, 0, 'Picarro Output'!$J:$J, 1), "")</f>
        <v/>
      </c>
    </row>
    <row r="3787" spans="2:5" x14ac:dyDescent="0.45">
      <c r="B3787" s="1"/>
      <c r="E3787" s="45" t="str">
        <f>IFERROR(AVERAGEIFS('Picarro Output'!G:G, 'Picarro Output'!$B:$B, 'Uncalibrated Data'!$C3787, 'Picarro Output'!$I:$I, 0, 'Picarro Output'!$J:$J, 1), "")</f>
        <v/>
      </c>
    </row>
    <row r="3788" spans="2:5" x14ac:dyDescent="0.45">
      <c r="B3788" s="1"/>
      <c r="E3788" s="45" t="str">
        <f>IFERROR(AVERAGEIFS('Picarro Output'!G:G, 'Picarro Output'!$B:$B, 'Uncalibrated Data'!$C3788, 'Picarro Output'!$I:$I, 0, 'Picarro Output'!$J:$J, 1), "")</f>
        <v/>
      </c>
    </row>
    <row r="3789" spans="2:5" x14ac:dyDescent="0.45">
      <c r="B3789" s="1"/>
      <c r="E3789" s="45" t="str">
        <f>IFERROR(AVERAGEIFS('Picarro Output'!G:G, 'Picarro Output'!$B:$B, 'Uncalibrated Data'!$C3789, 'Picarro Output'!$I:$I, 0, 'Picarro Output'!$J:$J, 1), "")</f>
        <v/>
      </c>
    </row>
    <row r="3790" spans="2:5" x14ac:dyDescent="0.45">
      <c r="B3790" s="1"/>
      <c r="E3790" s="45" t="str">
        <f>IFERROR(AVERAGEIFS('Picarro Output'!G:G, 'Picarro Output'!$B:$B, 'Uncalibrated Data'!$C3790, 'Picarro Output'!$I:$I, 0, 'Picarro Output'!$J:$J, 1), "")</f>
        <v/>
      </c>
    </row>
    <row r="3791" spans="2:5" x14ac:dyDescent="0.45">
      <c r="B3791" s="1"/>
      <c r="E3791" s="45" t="str">
        <f>IFERROR(AVERAGEIFS('Picarro Output'!G:G, 'Picarro Output'!$B:$B, 'Uncalibrated Data'!$C3791, 'Picarro Output'!$I:$I, 0, 'Picarro Output'!$J:$J, 1), "")</f>
        <v/>
      </c>
    </row>
    <row r="3792" spans="2:5" x14ac:dyDescent="0.45">
      <c r="B3792" s="1"/>
      <c r="E3792" s="45" t="str">
        <f>IFERROR(AVERAGEIFS('Picarro Output'!G:G, 'Picarro Output'!$B:$B, 'Uncalibrated Data'!$C3792, 'Picarro Output'!$I:$I, 0, 'Picarro Output'!$J:$J, 1), "")</f>
        <v/>
      </c>
    </row>
    <row r="3793" spans="2:5" x14ac:dyDescent="0.45">
      <c r="B3793" s="1"/>
      <c r="E3793" s="45" t="str">
        <f>IFERROR(AVERAGEIFS('Picarro Output'!G:G, 'Picarro Output'!$B:$B, 'Uncalibrated Data'!$C3793, 'Picarro Output'!$I:$I, 0, 'Picarro Output'!$J:$J, 1), "")</f>
        <v/>
      </c>
    </row>
    <row r="3794" spans="2:5" x14ac:dyDescent="0.45">
      <c r="B3794" s="1"/>
      <c r="E3794" s="45" t="str">
        <f>IFERROR(AVERAGEIFS('Picarro Output'!G:G, 'Picarro Output'!$B:$B, 'Uncalibrated Data'!$C3794, 'Picarro Output'!$I:$I, 0, 'Picarro Output'!$J:$J, 1), "")</f>
        <v/>
      </c>
    </row>
    <row r="3795" spans="2:5" x14ac:dyDescent="0.45">
      <c r="B3795" s="1"/>
      <c r="E3795" s="45" t="str">
        <f>IFERROR(AVERAGEIFS('Picarro Output'!G:G, 'Picarro Output'!$B:$B, 'Uncalibrated Data'!$C3795, 'Picarro Output'!$I:$I, 0, 'Picarro Output'!$J:$J, 1), "")</f>
        <v/>
      </c>
    </row>
    <row r="3796" spans="2:5" x14ac:dyDescent="0.45">
      <c r="B3796" s="1"/>
      <c r="E3796" s="45" t="str">
        <f>IFERROR(AVERAGEIFS('Picarro Output'!G:G, 'Picarro Output'!$B:$B, 'Uncalibrated Data'!$C3796, 'Picarro Output'!$I:$I, 0, 'Picarro Output'!$J:$J, 1), "")</f>
        <v/>
      </c>
    </row>
    <row r="3797" spans="2:5" x14ac:dyDescent="0.45">
      <c r="B3797" s="1"/>
      <c r="E3797" s="45" t="str">
        <f>IFERROR(AVERAGEIFS('Picarro Output'!G:G, 'Picarro Output'!$B:$B, 'Uncalibrated Data'!$C3797, 'Picarro Output'!$I:$I, 0, 'Picarro Output'!$J:$J, 1), "")</f>
        <v/>
      </c>
    </row>
    <row r="3798" spans="2:5" x14ac:dyDescent="0.45">
      <c r="B3798" s="1"/>
      <c r="E3798" s="45" t="str">
        <f>IFERROR(AVERAGEIFS('Picarro Output'!G:G, 'Picarro Output'!$B:$B, 'Uncalibrated Data'!$C3798, 'Picarro Output'!$I:$I, 0, 'Picarro Output'!$J:$J, 1), "")</f>
        <v/>
      </c>
    </row>
    <row r="3799" spans="2:5" x14ac:dyDescent="0.45">
      <c r="B3799" s="1"/>
      <c r="E3799" s="45" t="str">
        <f>IFERROR(AVERAGEIFS('Picarro Output'!G:G, 'Picarro Output'!$B:$B, 'Uncalibrated Data'!$C3799, 'Picarro Output'!$I:$I, 0, 'Picarro Output'!$J:$J, 1), "")</f>
        <v/>
      </c>
    </row>
    <row r="3800" spans="2:5" x14ac:dyDescent="0.45">
      <c r="B3800" s="1"/>
      <c r="E3800" s="45" t="str">
        <f>IFERROR(AVERAGEIFS('Picarro Output'!G:G, 'Picarro Output'!$B:$B, 'Uncalibrated Data'!$C3800, 'Picarro Output'!$I:$I, 0, 'Picarro Output'!$J:$J, 1), "")</f>
        <v/>
      </c>
    </row>
    <row r="3801" spans="2:5" x14ac:dyDescent="0.45">
      <c r="B3801" s="1"/>
      <c r="E3801" s="45" t="str">
        <f>IFERROR(AVERAGEIFS('Picarro Output'!G:G, 'Picarro Output'!$B:$B, 'Uncalibrated Data'!$C3801, 'Picarro Output'!$I:$I, 0, 'Picarro Output'!$J:$J, 1), "")</f>
        <v/>
      </c>
    </row>
    <row r="3802" spans="2:5" x14ac:dyDescent="0.45">
      <c r="B3802" s="1"/>
      <c r="E3802" s="45" t="str">
        <f>IFERROR(AVERAGEIFS('Picarro Output'!G:G, 'Picarro Output'!$B:$B, 'Uncalibrated Data'!$C3802, 'Picarro Output'!$I:$I, 0, 'Picarro Output'!$J:$J, 1), "")</f>
        <v/>
      </c>
    </row>
    <row r="3803" spans="2:5" x14ac:dyDescent="0.45">
      <c r="B3803" s="1"/>
      <c r="E3803" s="45" t="str">
        <f>IFERROR(AVERAGEIFS('Picarro Output'!G:G, 'Picarro Output'!$B:$B, 'Uncalibrated Data'!$C3803, 'Picarro Output'!$I:$I, 0, 'Picarro Output'!$J:$J, 1), "")</f>
        <v/>
      </c>
    </row>
    <row r="3804" spans="2:5" x14ac:dyDescent="0.45">
      <c r="B3804" s="1"/>
      <c r="E3804" s="45" t="str">
        <f>IFERROR(AVERAGEIFS('Picarro Output'!G:G, 'Picarro Output'!$B:$B, 'Uncalibrated Data'!$C3804, 'Picarro Output'!$I:$I, 0, 'Picarro Output'!$J:$J, 1), "")</f>
        <v/>
      </c>
    </row>
    <row r="3805" spans="2:5" x14ac:dyDescent="0.45">
      <c r="B3805" s="1"/>
      <c r="E3805" s="45" t="str">
        <f>IFERROR(AVERAGEIFS('Picarro Output'!G:G, 'Picarro Output'!$B:$B, 'Uncalibrated Data'!$C3805, 'Picarro Output'!$I:$I, 0, 'Picarro Output'!$J:$J, 1), "")</f>
        <v/>
      </c>
    </row>
    <row r="3806" spans="2:5" x14ac:dyDescent="0.45">
      <c r="B3806" s="1"/>
      <c r="E3806" s="45" t="str">
        <f>IFERROR(AVERAGEIFS('Picarro Output'!G:G, 'Picarro Output'!$B:$B, 'Uncalibrated Data'!$C3806, 'Picarro Output'!$I:$I, 0, 'Picarro Output'!$J:$J, 1), "")</f>
        <v/>
      </c>
    </row>
    <row r="3807" spans="2:5" x14ac:dyDescent="0.45">
      <c r="B3807" s="1"/>
      <c r="E3807" s="45" t="str">
        <f>IFERROR(AVERAGEIFS('Picarro Output'!G:G, 'Picarro Output'!$B:$B, 'Uncalibrated Data'!$C3807, 'Picarro Output'!$I:$I, 0, 'Picarro Output'!$J:$J, 1), "")</f>
        <v/>
      </c>
    </row>
    <row r="3808" spans="2:5" x14ac:dyDescent="0.45">
      <c r="B3808" s="1"/>
      <c r="E3808" s="45" t="str">
        <f>IFERROR(AVERAGEIFS('Picarro Output'!G:G, 'Picarro Output'!$B:$B, 'Uncalibrated Data'!$C3808, 'Picarro Output'!$I:$I, 0, 'Picarro Output'!$J:$J, 1), "")</f>
        <v/>
      </c>
    </row>
    <row r="3809" spans="2:5" x14ac:dyDescent="0.45">
      <c r="B3809" s="1"/>
      <c r="E3809" s="45" t="str">
        <f>IFERROR(AVERAGEIFS('Picarro Output'!G:G, 'Picarro Output'!$B:$B, 'Uncalibrated Data'!$C3809, 'Picarro Output'!$I:$I, 0, 'Picarro Output'!$J:$J, 1), "")</f>
        <v/>
      </c>
    </row>
    <row r="3810" spans="2:5" x14ac:dyDescent="0.45">
      <c r="B3810" s="1"/>
      <c r="E3810" s="45" t="str">
        <f>IFERROR(AVERAGEIFS('Picarro Output'!G:G, 'Picarro Output'!$B:$B, 'Uncalibrated Data'!$C3810, 'Picarro Output'!$I:$I, 0, 'Picarro Output'!$J:$J, 1), "")</f>
        <v/>
      </c>
    </row>
    <row r="3811" spans="2:5" x14ac:dyDescent="0.45">
      <c r="B3811" s="1"/>
      <c r="E3811" s="45" t="str">
        <f>IFERROR(AVERAGEIFS('Picarro Output'!G:G, 'Picarro Output'!$B:$B, 'Uncalibrated Data'!$C3811, 'Picarro Output'!$I:$I, 0, 'Picarro Output'!$J:$J, 1), "")</f>
        <v/>
      </c>
    </row>
    <row r="3812" spans="2:5" x14ac:dyDescent="0.45">
      <c r="B3812" s="1"/>
      <c r="E3812" s="45" t="str">
        <f>IFERROR(AVERAGEIFS('Picarro Output'!G:G, 'Picarro Output'!$B:$B, 'Uncalibrated Data'!$C3812, 'Picarro Output'!$I:$I, 0, 'Picarro Output'!$J:$J, 1), "")</f>
        <v/>
      </c>
    </row>
    <row r="3813" spans="2:5" x14ac:dyDescent="0.45">
      <c r="B3813" s="1"/>
      <c r="E3813" s="45" t="str">
        <f>IFERROR(AVERAGEIFS('Picarro Output'!G:G, 'Picarro Output'!$B:$B, 'Uncalibrated Data'!$C3813, 'Picarro Output'!$I:$I, 0, 'Picarro Output'!$J:$J, 1), "")</f>
        <v/>
      </c>
    </row>
    <row r="3814" spans="2:5" x14ac:dyDescent="0.45">
      <c r="B3814" s="1"/>
      <c r="E3814" s="45" t="str">
        <f>IFERROR(AVERAGEIFS('Picarro Output'!G:G, 'Picarro Output'!$B:$B, 'Uncalibrated Data'!$C3814, 'Picarro Output'!$I:$I, 0, 'Picarro Output'!$J:$J, 1), "")</f>
        <v/>
      </c>
    </row>
    <row r="3815" spans="2:5" x14ac:dyDescent="0.45">
      <c r="B3815" s="1"/>
      <c r="E3815" s="45" t="str">
        <f>IFERROR(AVERAGEIFS('Picarro Output'!G:G, 'Picarro Output'!$B:$B, 'Uncalibrated Data'!$C3815, 'Picarro Output'!$I:$I, 0, 'Picarro Output'!$J:$J, 1), "")</f>
        <v/>
      </c>
    </row>
    <row r="3816" spans="2:5" x14ac:dyDescent="0.45">
      <c r="B3816" s="1"/>
      <c r="E3816" s="45" t="str">
        <f>IFERROR(AVERAGEIFS('Picarro Output'!G:G, 'Picarro Output'!$B:$B, 'Uncalibrated Data'!$C3816, 'Picarro Output'!$I:$I, 0, 'Picarro Output'!$J:$J, 1), "")</f>
        <v/>
      </c>
    </row>
    <row r="3817" spans="2:5" x14ac:dyDescent="0.45">
      <c r="B3817" s="1"/>
      <c r="E3817" s="45" t="str">
        <f>IFERROR(AVERAGEIFS('Picarro Output'!G:G, 'Picarro Output'!$B:$B, 'Uncalibrated Data'!$C3817, 'Picarro Output'!$I:$I, 0, 'Picarro Output'!$J:$J, 1), "")</f>
        <v/>
      </c>
    </row>
    <row r="3818" spans="2:5" x14ac:dyDescent="0.45">
      <c r="B3818" s="1"/>
      <c r="E3818" s="45" t="str">
        <f>IFERROR(AVERAGEIFS('Picarro Output'!G:G, 'Picarro Output'!$B:$B, 'Uncalibrated Data'!$C3818, 'Picarro Output'!$I:$I, 0, 'Picarro Output'!$J:$J, 1), "")</f>
        <v/>
      </c>
    </row>
    <row r="3819" spans="2:5" x14ac:dyDescent="0.45">
      <c r="B3819" s="1"/>
      <c r="E3819" s="45" t="str">
        <f>IFERROR(AVERAGEIFS('Picarro Output'!G:G, 'Picarro Output'!$B:$B, 'Uncalibrated Data'!$C3819, 'Picarro Output'!$I:$I, 0, 'Picarro Output'!$J:$J, 1), "")</f>
        <v/>
      </c>
    </row>
    <row r="3820" spans="2:5" x14ac:dyDescent="0.45">
      <c r="B3820" s="1"/>
      <c r="E3820" s="45" t="str">
        <f>IFERROR(AVERAGEIFS('Picarro Output'!G:G, 'Picarro Output'!$B:$B, 'Uncalibrated Data'!$C3820, 'Picarro Output'!$I:$I, 0, 'Picarro Output'!$J:$J, 1), "")</f>
        <v/>
      </c>
    </row>
    <row r="3821" spans="2:5" x14ac:dyDescent="0.45">
      <c r="B3821" s="1"/>
      <c r="E3821" s="45" t="str">
        <f>IFERROR(AVERAGEIFS('Picarro Output'!G:G, 'Picarro Output'!$B:$B, 'Uncalibrated Data'!$C3821, 'Picarro Output'!$I:$I, 0, 'Picarro Output'!$J:$J, 1), "")</f>
        <v/>
      </c>
    </row>
    <row r="3822" spans="2:5" x14ac:dyDescent="0.45">
      <c r="B3822" s="1"/>
      <c r="E3822" s="45" t="str">
        <f>IFERROR(AVERAGEIFS('Picarro Output'!G:G, 'Picarro Output'!$B:$B, 'Uncalibrated Data'!$C3822, 'Picarro Output'!$I:$I, 0, 'Picarro Output'!$J:$J, 1), "")</f>
        <v/>
      </c>
    </row>
    <row r="3823" spans="2:5" x14ac:dyDescent="0.45">
      <c r="B3823" s="1"/>
      <c r="E3823" s="45" t="str">
        <f>IFERROR(AVERAGEIFS('Picarro Output'!G:G, 'Picarro Output'!$B:$B, 'Uncalibrated Data'!$C3823, 'Picarro Output'!$I:$I, 0, 'Picarro Output'!$J:$J, 1), "")</f>
        <v/>
      </c>
    </row>
    <row r="3824" spans="2:5" x14ac:dyDescent="0.45">
      <c r="B3824" s="1"/>
      <c r="E3824" s="45" t="str">
        <f>IFERROR(AVERAGEIFS('Picarro Output'!G:G, 'Picarro Output'!$B:$B, 'Uncalibrated Data'!$C3824, 'Picarro Output'!$I:$I, 0, 'Picarro Output'!$J:$J, 1), "")</f>
        <v/>
      </c>
    </row>
    <row r="3825" spans="2:5" x14ac:dyDescent="0.45">
      <c r="B3825" s="1"/>
      <c r="E3825" s="45" t="str">
        <f>IFERROR(AVERAGEIFS('Picarro Output'!G:G, 'Picarro Output'!$B:$B, 'Uncalibrated Data'!$C3825, 'Picarro Output'!$I:$I, 0, 'Picarro Output'!$J:$J, 1), "")</f>
        <v/>
      </c>
    </row>
    <row r="3826" spans="2:5" x14ac:dyDescent="0.45">
      <c r="B3826" s="1"/>
      <c r="E3826" s="45" t="str">
        <f>IFERROR(AVERAGEIFS('Picarro Output'!G:G, 'Picarro Output'!$B:$B, 'Uncalibrated Data'!$C3826, 'Picarro Output'!$I:$I, 0, 'Picarro Output'!$J:$J, 1), "")</f>
        <v/>
      </c>
    </row>
    <row r="3827" spans="2:5" x14ac:dyDescent="0.45">
      <c r="B3827" s="1"/>
      <c r="E3827" s="45" t="str">
        <f>IFERROR(AVERAGEIFS('Picarro Output'!G:G, 'Picarro Output'!$B:$B, 'Uncalibrated Data'!$C3827, 'Picarro Output'!$I:$I, 0, 'Picarro Output'!$J:$J, 1), "")</f>
        <v/>
      </c>
    </row>
    <row r="3828" spans="2:5" x14ac:dyDescent="0.45">
      <c r="B3828" s="1"/>
      <c r="E3828" s="45" t="str">
        <f>IFERROR(AVERAGEIFS('Picarro Output'!G:G, 'Picarro Output'!$B:$B, 'Uncalibrated Data'!$C3828, 'Picarro Output'!$I:$I, 0, 'Picarro Output'!$J:$J, 1), "")</f>
        <v/>
      </c>
    </row>
    <row r="3829" spans="2:5" x14ac:dyDescent="0.45">
      <c r="B3829" s="1"/>
      <c r="E3829" s="45" t="str">
        <f>IFERROR(AVERAGEIFS('Picarro Output'!G:G, 'Picarro Output'!$B:$B, 'Uncalibrated Data'!$C3829, 'Picarro Output'!$I:$I, 0, 'Picarro Output'!$J:$J, 1), "")</f>
        <v/>
      </c>
    </row>
    <row r="3830" spans="2:5" x14ac:dyDescent="0.45">
      <c r="B3830" s="1"/>
      <c r="E3830" s="45" t="str">
        <f>IFERROR(AVERAGEIFS('Picarro Output'!G:G, 'Picarro Output'!$B:$B, 'Uncalibrated Data'!$C3830, 'Picarro Output'!$I:$I, 0, 'Picarro Output'!$J:$J, 1), "")</f>
        <v/>
      </c>
    </row>
    <row r="3831" spans="2:5" x14ac:dyDescent="0.45">
      <c r="B3831" s="1"/>
      <c r="E3831" s="45" t="str">
        <f>IFERROR(AVERAGEIFS('Picarro Output'!G:G, 'Picarro Output'!$B:$B, 'Uncalibrated Data'!$C3831, 'Picarro Output'!$I:$I, 0, 'Picarro Output'!$J:$J, 1), "")</f>
        <v/>
      </c>
    </row>
    <row r="3832" spans="2:5" x14ac:dyDescent="0.45">
      <c r="B3832" s="1"/>
      <c r="E3832" s="45" t="str">
        <f>IFERROR(AVERAGEIFS('Picarro Output'!G:G, 'Picarro Output'!$B:$B, 'Uncalibrated Data'!$C3832, 'Picarro Output'!$I:$I, 0, 'Picarro Output'!$J:$J, 1), "")</f>
        <v/>
      </c>
    </row>
    <row r="3833" spans="2:5" x14ac:dyDescent="0.45">
      <c r="B3833" s="1"/>
      <c r="E3833" s="45" t="str">
        <f>IFERROR(AVERAGEIFS('Picarro Output'!G:G, 'Picarro Output'!$B:$B, 'Uncalibrated Data'!$C3833, 'Picarro Output'!$I:$I, 0, 'Picarro Output'!$J:$J, 1), "")</f>
        <v/>
      </c>
    </row>
    <row r="3834" spans="2:5" x14ac:dyDescent="0.45">
      <c r="B3834" s="1"/>
      <c r="E3834" s="45" t="str">
        <f>IFERROR(AVERAGEIFS('Picarro Output'!G:G, 'Picarro Output'!$B:$B, 'Uncalibrated Data'!$C3834, 'Picarro Output'!$I:$I, 0, 'Picarro Output'!$J:$J, 1), "")</f>
        <v/>
      </c>
    </row>
    <row r="3835" spans="2:5" x14ac:dyDescent="0.45">
      <c r="B3835" s="1"/>
      <c r="E3835" s="45" t="str">
        <f>IFERROR(AVERAGEIFS('Picarro Output'!G:G, 'Picarro Output'!$B:$B, 'Uncalibrated Data'!$C3835, 'Picarro Output'!$I:$I, 0, 'Picarro Output'!$J:$J, 1), "")</f>
        <v/>
      </c>
    </row>
    <row r="3836" spans="2:5" x14ac:dyDescent="0.45">
      <c r="B3836" s="1"/>
      <c r="E3836" s="45" t="str">
        <f>IFERROR(AVERAGEIFS('Picarro Output'!G:G, 'Picarro Output'!$B:$B, 'Uncalibrated Data'!$C3836, 'Picarro Output'!$I:$I, 0, 'Picarro Output'!$J:$J, 1), "")</f>
        <v/>
      </c>
    </row>
    <row r="3837" spans="2:5" x14ac:dyDescent="0.45">
      <c r="B3837" s="1"/>
      <c r="E3837" s="45" t="str">
        <f>IFERROR(AVERAGEIFS('Picarro Output'!G:G, 'Picarro Output'!$B:$B, 'Uncalibrated Data'!$C3837, 'Picarro Output'!$I:$I, 0, 'Picarro Output'!$J:$J, 1), "")</f>
        <v/>
      </c>
    </row>
    <row r="3838" spans="2:5" x14ac:dyDescent="0.45">
      <c r="B3838" s="1"/>
      <c r="E3838" s="45" t="str">
        <f>IFERROR(AVERAGEIFS('Picarro Output'!G:G, 'Picarro Output'!$B:$B, 'Uncalibrated Data'!$C3838, 'Picarro Output'!$I:$I, 0, 'Picarro Output'!$J:$J, 1), "")</f>
        <v/>
      </c>
    </row>
    <row r="3839" spans="2:5" x14ac:dyDescent="0.45">
      <c r="B3839" s="1"/>
      <c r="E3839" s="45" t="str">
        <f>IFERROR(AVERAGEIFS('Picarro Output'!G:G, 'Picarro Output'!$B:$B, 'Uncalibrated Data'!$C3839, 'Picarro Output'!$I:$I, 0, 'Picarro Output'!$J:$J, 1), "")</f>
        <v/>
      </c>
    </row>
    <row r="3840" spans="2:5" x14ac:dyDescent="0.45">
      <c r="B3840" s="1"/>
      <c r="E3840" s="45" t="str">
        <f>IFERROR(AVERAGEIFS('Picarro Output'!G:G, 'Picarro Output'!$B:$B, 'Uncalibrated Data'!$C3840, 'Picarro Output'!$I:$I, 0, 'Picarro Output'!$J:$J, 1), "")</f>
        <v/>
      </c>
    </row>
    <row r="3841" spans="2:5" x14ac:dyDescent="0.45">
      <c r="B3841" s="1"/>
      <c r="E3841" s="45" t="str">
        <f>IFERROR(AVERAGEIFS('Picarro Output'!G:G, 'Picarro Output'!$B:$B, 'Uncalibrated Data'!$C3841, 'Picarro Output'!$I:$I, 0, 'Picarro Output'!$J:$J, 1), "")</f>
        <v/>
      </c>
    </row>
    <row r="3842" spans="2:5" x14ac:dyDescent="0.45">
      <c r="B3842" s="1"/>
      <c r="E3842" s="45" t="str">
        <f>IFERROR(AVERAGEIFS('Picarro Output'!G:G, 'Picarro Output'!$B:$B, 'Uncalibrated Data'!$C3842, 'Picarro Output'!$I:$I, 0, 'Picarro Output'!$J:$J, 1), "")</f>
        <v/>
      </c>
    </row>
    <row r="3843" spans="2:5" x14ac:dyDescent="0.45">
      <c r="B3843" s="1"/>
      <c r="E3843" s="45" t="str">
        <f>IFERROR(AVERAGEIFS('Picarro Output'!G:G, 'Picarro Output'!$B:$B, 'Uncalibrated Data'!$C3843, 'Picarro Output'!$I:$I, 0, 'Picarro Output'!$J:$J, 1), "")</f>
        <v/>
      </c>
    </row>
    <row r="3844" spans="2:5" x14ac:dyDescent="0.45">
      <c r="B3844" s="1"/>
      <c r="E3844" s="45" t="str">
        <f>IFERROR(AVERAGEIFS('Picarro Output'!G:G, 'Picarro Output'!$B:$B, 'Uncalibrated Data'!$C3844, 'Picarro Output'!$I:$I, 0, 'Picarro Output'!$J:$J, 1), "")</f>
        <v/>
      </c>
    </row>
    <row r="3845" spans="2:5" x14ac:dyDescent="0.45">
      <c r="B3845" s="1"/>
      <c r="E3845" s="45" t="str">
        <f>IFERROR(AVERAGEIFS('Picarro Output'!G:G, 'Picarro Output'!$B:$B, 'Uncalibrated Data'!$C3845, 'Picarro Output'!$I:$I, 0, 'Picarro Output'!$J:$J, 1), "")</f>
        <v/>
      </c>
    </row>
    <row r="3846" spans="2:5" x14ac:dyDescent="0.45">
      <c r="B3846" s="1"/>
      <c r="E3846" s="45" t="str">
        <f>IFERROR(AVERAGEIFS('Picarro Output'!G:G, 'Picarro Output'!$B:$B, 'Uncalibrated Data'!$C3846, 'Picarro Output'!$I:$I, 0, 'Picarro Output'!$J:$J, 1), "")</f>
        <v/>
      </c>
    </row>
    <row r="3847" spans="2:5" x14ac:dyDescent="0.45">
      <c r="B3847" s="1"/>
      <c r="E3847" s="45" t="str">
        <f>IFERROR(AVERAGEIFS('Picarro Output'!G:G, 'Picarro Output'!$B:$B, 'Uncalibrated Data'!$C3847, 'Picarro Output'!$I:$I, 0, 'Picarro Output'!$J:$J, 1), "")</f>
        <v/>
      </c>
    </row>
    <row r="3848" spans="2:5" x14ac:dyDescent="0.45">
      <c r="B3848" s="1"/>
      <c r="E3848" s="45" t="str">
        <f>IFERROR(AVERAGEIFS('Picarro Output'!G:G, 'Picarro Output'!$B:$B, 'Uncalibrated Data'!$C3848, 'Picarro Output'!$I:$I, 0, 'Picarro Output'!$J:$J, 1), "")</f>
        <v/>
      </c>
    </row>
    <row r="3849" spans="2:5" x14ac:dyDescent="0.45">
      <c r="B3849" s="1"/>
      <c r="E3849" s="45" t="str">
        <f>IFERROR(AVERAGEIFS('Picarro Output'!G:G, 'Picarro Output'!$B:$B, 'Uncalibrated Data'!$C3849, 'Picarro Output'!$I:$I, 0, 'Picarro Output'!$J:$J, 1), "")</f>
        <v/>
      </c>
    </row>
    <row r="3850" spans="2:5" x14ac:dyDescent="0.45">
      <c r="B3850" s="1"/>
      <c r="E3850" s="45" t="str">
        <f>IFERROR(AVERAGEIFS('Picarro Output'!G:G, 'Picarro Output'!$B:$B, 'Uncalibrated Data'!$C3850, 'Picarro Output'!$I:$I, 0, 'Picarro Output'!$J:$J, 1), "")</f>
        <v/>
      </c>
    </row>
    <row r="3851" spans="2:5" x14ac:dyDescent="0.45">
      <c r="B3851" s="1"/>
      <c r="E3851" s="45" t="str">
        <f>IFERROR(AVERAGEIFS('Picarro Output'!G:G, 'Picarro Output'!$B:$B, 'Uncalibrated Data'!$C3851, 'Picarro Output'!$I:$I, 0, 'Picarro Output'!$J:$J, 1), "")</f>
        <v/>
      </c>
    </row>
    <row r="3852" spans="2:5" x14ac:dyDescent="0.45">
      <c r="B3852" s="1"/>
      <c r="E3852" s="45" t="str">
        <f>IFERROR(AVERAGEIFS('Picarro Output'!G:G, 'Picarro Output'!$B:$B, 'Uncalibrated Data'!$C3852, 'Picarro Output'!$I:$I, 0, 'Picarro Output'!$J:$J, 1), "")</f>
        <v/>
      </c>
    </row>
    <row r="3853" spans="2:5" x14ac:dyDescent="0.45">
      <c r="B3853" s="1"/>
      <c r="E3853" s="45" t="str">
        <f>IFERROR(AVERAGEIFS('Picarro Output'!G:G, 'Picarro Output'!$B:$B, 'Uncalibrated Data'!$C3853, 'Picarro Output'!$I:$I, 0, 'Picarro Output'!$J:$J, 1), "")</f>
        <v/>
      </c>
    </row>
    <row r="3854" spans="2:5" x14ac:dyDescent="0.45">
      <c r="B3854" s="1"/>
      <c r="E3854" s="45" t="str">
        <f>IFERROR(AVERAGEIFS('Picarro Output'!G:G, 'Picarro Output'!$B:$B, 'Uncalibrated Data'!$C3854, 'Picarro Output'!$I:$I, 0, 'Picarro Output'!$J:$J, 1), "")</f>
        <v/>
      </c>
    </row>
    <row r="3855" spans="2:5" x14ac:dyDescent="0.45">
      <c r="B3855" s="1"/>
      <c r="E3855" s="45" t="str">
        <f>IFERROR(AVERAGEIFS('Picarro Output'!G:G, 'Picarro Output'!$B:$B, 'Uncalibrated Data'!$C3855, 'Picarro Output'!$I:$I, 0, 'Picarro Output'!$J:$J, 1), "")</f>
        <v/>
      </c>
    </row>
    <row r="3856" spans="2:5" x14ac:dyDescent="0.45">
      <c r="B3856" s="1"/>
      <c r="E3856" s="45" t="str">
        <f>IFERROR(AVERAGEIFS('Picarro Output'!G:G, 'Picarro Output'!$B:$B, 'Uncalibrated Data'!$C3856, 'Picarro Output'!$I:$I, 0, 'Picarro Output'!$J:$J, 1), "")</f>
        <v/>
      </c>
    </row>
    <row r="3857" spans="2:5" x14ac:dyDescent="0.45">
      <c r="B3857" s="1"/>
      <c r="E3857" s="45" t="str">
        <f>IFERROR(AVERAGEIFS('Picarro Output'!G:G, 'Picarro Output'!$B:$B, 'Uncalibrated Data'!$C3857, 'Picarro Output'!$I:$I, 0, 'Picarro Output'!$J:$J, 1), "")</f>
        <v/>
      </c>
    </row>
    <row r="3858" spans="2:5" x14ac:dyDescent="0.45">
      <c r="B3858" s="1"/>
      <c r="E3858" s="45" t="str">
        <f>IFERROR(AVERAGEIFS('Picarro Output'!G:G, 'Picarro Output'!$B:$B, 'Uncalibrated Data'!$C3858, 'Picarro Output'!$I:$I, 0, 'Picarro Output'!$J:$J, 1), "")</f>
        <v/>
      </c>
    </row>
    <row r="3859" spans="2:5" x14ac:dyDescent="0.45">
      <c r="B3859" s="1"/>
      <c r="E3859" s="45" t="str">
        <f>IFERROR(AVERAGEIFS('Picarro Output'!G:G, 'Picarro Output'!$B:$B, 'Uncalibrated Data'!$C3859, 'Picarro Output'!$I:$I, 0, 'Picarro Output'!$J:$J, 1), "")</f>
        <v/>
      </c>
    </row>
    <row r="3860" spans="2:5" x14ac:dyDescent="0.45">
      <c r="B3860" s="1"/>
      <c r="E3860" s="45" t="str">
        <f>IFERROR(AVERAGEIFS('Picarro Output'!G:G, 'Picarro Output'!$B:$B, 'Uncalibrated Data'!$C3860, 'Picarro Output'!$I:$I, 0, 'Picarro Output'!$J:$J, 1), "")</f>
        <v/>
      </c>
    </row>
    <row r="3861" spans="2:5" x14ac:dyDescent="0.45">
      <c r="B3861" s="1"/>
      <c r="E3861" s="45" t="str">
        <f>IFERROR(AVERAGEIFS('Picarro Output'!G:G, 'Picarro Output'!$B:$B, 'Uncalibrated Data'!$C3861, 'Picarro Output'!$I:$I, 0, 'Picarro Output'!$J:$J, 1), "")</f>
        <v/>
      </c>
    </row>
    <row r="3862" spans="2:5" x14ac:dyDescent="0.45">
      <c r="B3862" s="1"/>
      <c r="E3862" s="45" t="str">
        <f>IFERROR(AVERAGEIFS('Picarro Output'!G:G, 'Picarro Output'!$B:$B, 'Uncalibrated Data'!$C3862, 'Picarro Output'!$I:$I, 0, 'Picarro Output'!$J:$J, 1), "")</f>
        <v/>
      </c>
    </row>
    <row r="3863" spans="2:5" x14ac:dyDescent="0.45">
      <c r="B3863" s="1"/>
      <c r="E3863" s="45" t="str">
        <f>IFERROR(AVERAGEIFS('Picarro Output'!G:G, 'Picarro Output'!$B:$B, 'Uncalibrated Data'!$C3863, 'Picarro Output'!$I:$I, 0, 'Picarro Output'!$J:$J, 1), "")</f>
        <v/>
      </c>
    </row>
    <row r="3864" spans="2:5" x14ac:dyDescent="0.45">
      <c r="B3864" s="1"/>
      <c r="E3864" s="45" t="str">
        <f>IFERROR(AVERAGEIFS('Picarro Output'!G:G, 'Picarro Output'!$B:$B, 'Uncalibrated Data'!$C3864, 'Picarro Output'!$I:$I, 0, 'Picarro Output'!$J:$J, 1), "")</f>
        <v/>
      </c>
    </row>
    <row r="3865" spans="2:5" x14ac:dyDescent="0.45">
      <c r="B3865" s="1"/>
      <c r="E3865" s="45" t="str">
        <f>IFERROR(AVERAGEIFS('Picarro Output'!G:G, 'Picarro Output'!$B:$B, 'Uncalibrated Data'!$C3865, 'Picarro Output'!$I:$I, 0, 'Picarro Output'!$J:$J, 1), "")</f>
        <v/>
      </c>
    </row>
    <row r="3866" spans="2:5" x14ac:dyDescent="0.45">
      <c r="B3866" s="1"/>
      <c r="E3866" s="45" t="str">
        <f>IFERROR(AVERAGEIFS('Picarro Output'!G:G, 'Picarro Output'!$B:$B, 'Uncalibrated Data'!$C3866, 'Picarro Output'!$I:$I, 0, 'Picarro Output'!$J:$J, 1), "")</f>
        <v/>
      </c>
    </row>
    <row r="3867" spans="2:5" x14ac:dyDescent="0.45">
      <c r="B3867" s="1"/>
      <c r="E3867" s="45" t="str">
        <f>IFERROR(AVERAGEIFS('Picarro Output'!G:G, 'Picarro Output'!$B:$B, 'Uncalibrated Data'!$C3867, 'Picarro Output'!$I:$I, 0, 'Picarro Output'!$J:$J, 1), "")</f>
        <v/>
      </c>
    </row>
    <row r="3868" spans="2:5" x14ac:dyDescent="0.45">
      <c r="B3868" s="1"/>
      <c r="E3868" s="45" t="str">
        <f>IFERROR(AVERAGEIFS('Picarro Output'!G:G, 'Picarro Output'!$B:$B, 'Uncalibrated Data'!$C3868, 'Picarro Output'!$I:$I, 0, 'Picarro Output'!$J:$J, 1), "")</f>
        <v/>
      </c>
    </row>
    <row r="3869" spans="2:5" x14ac:dyDescent="0.45">
      <c r="B3869" s="1"/>
      <c r="E3869" s="45" t="str">
        <f>IFERROR(AVERAGEIFS('Picarro Output'!G:G, 'Picarro Output'!$B:$B, 'Uncalibrated Data'!$C3869, 'Picarro Output'!$I:$I, 0, 'Picarro Output'!$J:$J, 1), "")</f>
        <v/>
      </c>
    </row>
    <row r="3870" spans="2:5" x14ac:dyDescent="0.45">
      <c r="B3870" s="1"/>
      <c r="E3870" s="45" t="str">
        <f>IFERROR(AVERAGEIFS('Picarro Output'!G:G, 'Picarro Output'!$B:$B, 'Uncalibrated Data'!$C3870, 'Picarro Output'!$I:$I, 0, 'Picarro Output'!$J:$J, 1), "")</f>
        <v/>
      </c>
    </row>
    <row r="3871" spans="2:5" x14ac:dyDescent="0.45">
      <c r="B3871" s="1"/>
      <c r="E3871" s="45" t="str">
        <f>IFERROR(AVERAGEIFS('Picarro Output'!G:G, 'Picarro Output'!$B:$B, 'Uncalibrated Data'!$C3871, 'Picarro Output'!$I:$I, 0, 'Picarro Output'!$J:$J, 1), "")</f>
        <v/>
      </c>
    </row>
    <row r="3872" spans="2:5" x14ac:dyDescent="0.45">
      <c r="B3872" s="1"/>
      <c r="E3872" s="45" t="str">
        <f>IFERROR(AVERAGEIFS('Picarro Output'!G:G, 'Picarro Output'!$B:$B, 'Uncalibrated Data'!$C3872, 'Picarro Output'!$I:$I, 0, 'Picarro Output'!$J:$J, 1), "")</f>
        <v/>
      </c>
    </row>
    <row r="3873" spans="2:5" x14ac:dyDescent="0.45">
      <c r="B3873" s="1"/>
      <c r="E3873" s="45" t="str">
        <f>IFERROR(AVERAGEIFS('Picarro Output'!G:G, 'Picarro Output'!$B:$B, 'Uncalibrated Data'!$C3873, 'Picarro Output'!$I:$I, 0, 'Picarro Output'!$J:$J, 1), "")</f>
        <v/>
      </c>
    </row>
    <row r="3874" spans="2:5" x14ac:dyDescent="0.45">
      <c r="B3874" s="1"/>
      <c r="E3874" s="45" t="str">
        <f>IFERROR(AVERAGEIFS('Picarro Output'!G:G, 'Picarro Output'!$B:$B, 'Uncalibrated Data'!$C3874, 'Picarro Output'!$I:$I, 0, 'Picarro Output'!$J:$J, 1), "")</f>
        <v/>
      </c>
    </row>
    <row r="3875" spans="2:5" x14ac:dyDescent="0.45">
      <c r="B3875" s="1"/>
      <c r="E3875" s="45" t="str">
        <f>IFERROR(AVERAGEIFS('Picarro Output'!G:G, 'Picarro Output'!$B:$B, 'Uncalibrated Data'!$C3875, 'Picarro Output'!$I:$I, 0, 'Picarro Output'!$J:$J, 1), "")</f>
        <v/>
      </c>
    </row>
    <row r="3876" spans="2:5" x14ac:dyDescent="0.45">
      <c r="B3876" s="1"/>
      <c r="E3876" s="45" t="str">
        <f>IFERROR(AVERAGEIFS('Picarro Output'!G:G, 'Picarro Output'!$B:$B, 'Uncalibrated Data'!$C3876, 'Picarro Output'!$I:$I, 0, 'Picarro Output'!$J:$J, 1), "")</f>
        <v/>
      </c>
    </row>
    <row r="3877" spans="2:5" x14ac:dyDescent="0.45">
      <c r="B3877" s="1"/>
      <c r="E3877" s="45" t="str">
        <f>IFERROR(AVERAGEIFS('Picarro Output'!G:G, 'Picarro Output'!$B:$B, 'Uncalibrated Data'!$C3877, 'Picarro Output'!$I:$I, 0, 'Picarro Output'!$J:$J, 1), "")</f>
        <v/>
      </c>
    </row>
    <row r="3878" spans="2:5" x14ac:dyDescent="0.45">
      <c r="B3878" s="1"/>
      <c r="E3878" s="45" t="str">
        <f>IFERROR(AVERAGEIFS('Picarro Output'!G:G, 'Picarro Output'!$B:$B, 'Uncalibrated Data'!$C3878, 'Picarro Output'!$I:$I, 0, 'Picarro Output'!$J:$J, 1), "")</f>
        <v/>
      </c>
    </row>
    <row r="3879" spans="2:5" x14ac:dyDescent="0.45">
      <c r="B3879" s="1"/>
      <c r="E3879" s="45" t="str">
        <f>IFERROR(AVERAGEIFS('Picarro Output'!G:G, 'Picarro Output'!$B:$B, 'Uncalibrated Data'!$C3879, 'Picarro Output'!$I:$I, 0, 'Picarro Output'!$J:$J, 1), "")</f>
        <v/>
      </c>
    </row>
    <row r="3880" spans="2:5" x14ac:dyDescent="0.45">
      <c r="B3880" s="1"/>
      <c r="E3880" s="45" t="str">
        <f>IFERROR(AVERAGEIFS('Picarro Output'!G:G, 'Picarro Output'!$B:$B, 'Uncalibrated Data'!$C3880, 'Picarro Output'!$I:$I, 0, 'Picarro Output'!$J:$J, 1), "")</f>
        <v/>
      </c>
    </row>
    <row r="3881" spans="2:5" x14ac:dyDescent="0.45">
      <c r="B3881" s="1"/>
      <c r="E3881" s="45" t="str">
        <f>IFERROR(AVERAGEIFS('Picarro Output'!G:G, 'Picarro Output'!$B:$B, 'Uncalibrated Data'!$C3881, 'Picarro Output'!$I:$I, 0, 'Picarro Output'!$J:$J, 1), "")</f>
        <v/>
      </c>
    </row>
    <row r="3882" spans="2:5" x14ac:dyDescent="0.45">
      <c r="B3882" s="1"/>
      <c r="E3882" s="45" t="str">
        <f>IFERROR(AVERAGEIFS('Picarro Output'!G:G, 'Picarro Output'!$B:$B, 'Uncalibrated Data'!$C3882, 'Picarro Output'!$I:$I, 0, 'Picarro Output'!$J:$J, 1), "")</f>
        <v/>
      </c>
    </row>
    <row r="3883" spans="2:5" x14ac:dyDescent="0.45">
      <c r="B3883" s="1"/>
      <c r="E3883" s="45" t="str">
        <f>IFERROR(AVERAGEIFS('Picarro Output'!G:G, 'Picarro Output'!$B:$B, 'Uncalibrated Data'!$C3883, 'Picarro Output'!$I:$I, 0, 'Picarro Output'!$J:$J, 1), "")</f>
        <v/>
      </c>
    </row>
    <row r="3884" spans="2:5" x14ac:dyDescent="0.45">
      <c r="B3884" s="1"/>
      <c r="E3884" s="45" t="str">
        <f>IFERROR(AVERAGEIFS('Picarro Output'!G:G, 'Picarro Output'!$B:$B, 'Uncalibrated Data'!$C3884, 'Picarro Output'!$I:$I, 0, 'Picarro Output'!$J:$J, 1), "")</f>
        <v/>
      </c>
    </row>
    <row r="3885" spans="2:5" x14ac:dyDescent="0.45">
      <c r="B3885" s="1"/>
      <c r="E3885" s="45" t="str">
        <f>IFERROR(AVERAGEIFS('Picarro Output'!G:G, 'Picarro Output'!$B:$B, 'Uncalibrated Data'!$C3885, 'Picarro Output'!$I:$I, 0, 'Picarro Output'!$J:$J, 1), "")</f>
        <v/>
      </c>
    </row>
    <row r="3886" spans="2:5" x14ac:dyDescent="0.45">
      <c r="B3886" s="1"/>
      <c r="E3886" s="45" t="str">
        <f>IFERROR(AVERAGEIFS('Picarro Output'!G:G, 'Picarro Output'!$B:$B, 'Uncalibrated Data'!$C3886, 'Picarro Output'!$I:$I, 0, 'Picarro Output'!$J:$J, 1), "")</f>
        <v/>
      </c>
    </row>
    <row r="3887" spans="2:5" x14ac:dyDescent="0.45">
      <c r="B3887" s="1"/>
      <c r="E3887" s="45" t="str">
        <f>IFERROR(AVERAGEIFS('Picarro Output'!G:G, 'Picarro Output'!$B:$B, 'Uncalibrated Data'!$C3887, 'Picarro Output'!$I:$I, 0, 'Picarro Output'!$J:$J, 1), "")</f>
        <v/>
      </c>
    </row>
    <row r="3888" spans="2:5" x14ac:dyDescent="0.45">
      <c r="B3888" s="1"/>
      <c r="E3888" s="45" t="str">
        <f>IFERROR(AVERAGEIFS('Picarro Output'!G:G, 'Picarro Output'!$B:$B, 'Uncalibrated Data'!$C3888, 'Picarro Output'!$I:$I, 0, 'Picarro Output'!$J:$J, 1), "")</f>
        <v/>
      </c>
    </row>
    <row r="3889" spans="2:5" x14ac:dyDescent="0.45">
      <c r="B3889" s="1"/>
      <c r="E3889" s="45" t="str">
        <f>IFERROR(AVERAGEIFS('Picarro Output'!G:G, 'Picarro Output'!$B:$B, 'Uncalibrated Data'!$C3889, 'Picarro Output'!$I:$I, 0, 'Picarro Output'!$J:$J, 1), "")</f>
        <v/>
      </c>
    </row>
    <row r="3890" spans="2:5" x14ac:dyDescent="0.45">
      <c r="B3890" s="1"/>
      <c r="E3890" s="45" t="str">
        <f>IFERROR(AVERAGEIFS('Picarro Output'!G:G, 'Picarro Output'!$B:$B, 'Uncalibrated Data'!$C3890, 'Picarro Output'!$I:$I, 0, 'Picarro Output'!$J:$J, 1), "")</f>
        <v/>
      </c>
    </row>
    <row r="3891" spans="2:5" x14ac:dyDescent="0.45">
      <c r="B3891" s="1"/>
      <c r="E3891" s="45" t="str">
        <f>IFERROR(AVERAGEIFS('Picarro Output'!G:G, 'Picarro Output'!$B:$B, 'Uncalibrated Data'!$C3891, 'Picarro Output'!$I:$I, 0, 'Picarro Output'!$J:$J, 1), "")</f>
        <v/>
      </c>
    </row>
    <row r="3892" spans="2:5" x14ac:dyDescent="0.45">
      <c r="B3892" s="1"/>
      <c r="E3892" s="45" t="str">
        <f>IFERROR(AVERAGEIFS('Picarro Output'!G:G, 'Picarro Output'!$B:$B, 'Uncalibrated Data'!$C3892, 'Picarro Output'!$I:$I, 0, 'Picarro Output'!$J:$J, 1), "")</f>
        <v/>
      </c>
    </row>
    <row r="3893" spans="2:5" x14ac:dyDescent="0.45">
      <c r="B3893" s="1"/>
      <c r="E3893" s="45" t="str">
        <f>IFERROR(AVERAGEIFS('Picarro Output'!G:G, 'Picarro Output'!$B:$B, 'Uncalibrated Data'!$C3893, 'Picarro Output'!$I:$I, 0, 'Picarro Output'!$J:$J, 1), "")</f>
        <v/>
      </c>
    </row>
    <row r="3894" spans="2:5" x14ac:dyDescent="0.45">
      <c r="B3894" s="1"/>
      <c r="E3894" s="45" t="str">
        <f>IFERROR(AVERAGEIFS('Picarro Output'!G:G, 'Picarro Output'!$B:$B, 'Uncalibrated Data'!$C3894, 'Picarro Output'!$I:$I, 0, 'Picarro Output'!$J:$J, 1), "")</f>
        <v/>
      </c>
    </row>
    <row r="3895" spans="2:5" x14ac:dyDescent="0.45">
      <c r="B3895" s="1"/>
      <c r="E3895" s="45" t="str">
        <f>IFERROR(AVERAGEIFS('Picarro Output'!G:G, 'Picarro Output'!$B:$B, 'Uncalibrated Data'!$C3895, 'Picarro Output'!$I:$I, 0, 'Picarro Output'!$J:$J, 1), "")</f>
        <v/>
      </c>
    </row>
    <row r="3896" spans="2:5" x14ac:dyDescent="0.45">
      <c r="B3896" s="1"/>
      <c r="E3896" s="45" t="str">
        <f>IFERROR(AVERAGEIFS('Picarro Output'!G:G, 'Picarro Output'!$B:$B, 'Uncalibrated Data'!$C3896, 'Picarro Output'!$I:$I, 0, 'Picarro Output'!$J:$J, 1), "")</f>
        <v/>
      </c>
    </row>
    <row r="3897" spans="2:5" x14ac:dyDescent="0.45">
      <c r="B3897" s="1"/>
      <c r="E3897" s="45" t="str">
        <f>IFERROR(AVERAGEIFS('Picarro Output'!G:G, 'Picarro Output'!$B:$B, 'Uncalibrated Data'!$C3897, 'Picarro Output'!$I:$I, 0, 'Picarro Output'!$J:$J, 1), "")</f>
        <v/>
      </c>
    </row>
    <row r="3898" spans="2:5" x14ac:dyDescent="0.45">
      <c r="B3898" s="1"/>
      <c r="E3898" s="45" t="str">
        <f>IFERROR(AVERAGEIFS('Picarro Output'!G:G, 'Picarro Output'!$B:$B, 'Uncalibrated Data'!$C3898, 'Picarro Output'!$I:$I, 0, 'Picarro Output'!$J:$J, 1), "")</f>
        <v/>
      </c>
    </row>
    <row r="3899" spans="2:5" x14ac:dyDescent="0.45">
      <c r="B3899" s="1"/>
      <c r="E3899" s="45" t="str">
        <f>IFERROR(AVERAGEIFS('Picarro Output'!G:G, 'Picarro Output'!$B:$B, 'Uncalibrated Data'!$C3899, 'Picarro Output'!$I:$I, 0, 'Picarro Output'!$J:$J, 1), "")</f>
        <v/>
      </c>
    </row>
    <row r="3900" spans="2:5" x14ac:dyDescent="0.45">
      <c r="B3900" s="1"/>
      <c r="E3900" s="45" t="str">
        <f>IFERROR(AVERAGEIFS('Picarro Output'!G:G, 'Picarro Output'!$B:$B, 'Uncalibrated Data'!$C3900, 'Picarro Output'!$I:$I, 0, 'Picarro Output'!$J:$J, 1), "")</f>
        <v/>
      </c>
    </row>
    <row r="3901" spans="2:5" x14ac:dyDescent="0.45">
      <c r="B3901" s="1"/>
      <c r="E3901" s="45" t="str">
        <f>IFERROR(AVERAGEIFS('Picarro Output'!G:G, 'Picarro Output'!$B:$B, 'Uncalibrated Data'!$C3901, 'Picarro Output'!$I:$I, 0, 'Picarro Output'!$J:$J, 1), "")</f>
        <v/>
      </c>
    </row>
    <row r="3902" spans="2:5" x14ac:dyDescent="0.45">
      <c r="B3902" s="1"/>
      <c r="E3902" s="45" t="str">
        <f>IFERROR(AVERAGEIFS('Picarro Output'!G:G, 'Picarro Output'!$B:$B, 'Uncalibrated Data'!$C3902, 'Picarro Output'!$I:$I, 0, 'Picarro Output'!$J:$J, 1), "")</f>
        <v/>
      </c>
    </row>
    <row r="3903" spans="2:5" x14ac:dyDescent="0.45">
      <c r="B3903" s="1"/>
      <c r="E3903" s="45" t="str">
        <f>IFERROR(AVERAGEIFS('Picarro Output'!G:G, 'Picarro Output'!$B:$B, 'Uncalibrated Data'!$C3903, 'Picarro Output'!$I:$I, 0, 'Picarro Output'!$J:$J, 1), "")</f>
        <v/>
      </c>
    </row>
    <row r="3904" spans="2:5" x14ac:dyDescent="0.45">
      <c r="B3904" s="1"/>
      <c r="E3904" s="45" t="str">
        <f>IFERROR(AVERAGEIFS('Picarro Output'!G:G, 'Picarro Output'!$B:$B, 'Uncalibrated Data'!$C3904, 'Picarro Output'!$I:$I, 0, 'Picarro Output'!$J:$J, 1), "")</f>
        <v/>
      </c>
    </row>
    <row r="3905" spans="2:5" x14ac:dyDescent="0.45">
      <c r="B3905" s="1"/>
      <c r="E3905" s="45" t="str">
        <f>IFERROR(AVERAGEIFS('Picarro Output'!G:G, 'Picarro Output'!$B:$B, 'Uncalibrated Data'!$C3905, 'Picarro Output'!$I:$I, 0, 'Picarro Output'!$J:$J, 1), "")</f>
        <v/>
      </c>
    </row>
    <row r="3906" spans="2:5" x14ac:dyDescent="0.45">
      <c r="B3906" s="1"/>
      <c r="E3906" s="45" t="str">
        <f>IFERROR(AVERAGEIFS('Picarro Output'!G:G, 'Picarro Output'!$B:$B, 'Uncalibrated Data'!$C3906, 'Picarro Output'!$I:$I, 0, 'Picarro Output'!$J:$J, 1), "")</f>
        <v/>
      </c>
    </row>
    <row r="3907" spans="2:5" x14ac:dyDescent="0.45">
      <c r="B3907" s="1"/>
      <c r="E3907" s="45" t="str">
        <f>IFERROR(AVERAGEIFS('Picarro Output'!G:G, 'Picarro Output'!$B:$B, 'Uncalibrated Data'!$C3907, 'Picarro Output'!$I:$I, 0, 'Picarro Output'!$J:$J, 1), "")</f>
        <v/>
      </c>
    </row>
    <row r="3908" spans="2:5" x14ac:dyDescent="0.45">
      <c r="B3908" s="1"/>
      <c r="E3908" s="45" t="str">
        <f>IFERROR(AVERAGEIFS('Picarro Output'!G:G, 'Picarro Output'!$B:$B, 'Uncalibrated Data'!$C3908, 'Picarro Output'!$I:$I, 0, 'Picarro Output'!$J:$J, 1), "")</f>
        <v/>
      </c>
    </row>
    <row r="3909" spans="2:5" x14ac:dyDescent="0.45">
      <c r="B3909" s="1"/>
      <c r="E3909" s="45" t="str">
        <f>IFERROR(AVERAGEIFS('Picarro Output'!G:G, 'Picarro Output'!$B:$B, 'Uncalibrated Data'!$C3909, 'Picarro Output'!$I:$I, 0, 'Picarro Output'!$J:$J, 1), "")</f>
        <v/>
      </c>
    </row>
    <row r="3910" spans="2:5" x14ac:dyDescent="0.45">
      <c r="B3910" s="1"/>
      <c r="E3910" s="45" t="str">
        <f>IFERROR(AVERAGEIFS('Picarro Output'!G:G, 'Picarro Output'!$B:$B, 'Uncalibrated Data'!$C3910, 'Picarro Output'!$I:$I, 0, 'Picarro Output'!$J:$J, 1), "")</f>
        <v/>
      </c>
    </row>
    <row r="3911" spans="2:5" x14ac:dyDescent="0.45">
      <c r="B3911" s="1"/>
      <c r="E3911" s="45" t="str">
        <f>IFERROR(AVERAGEIFS('Picarro Output'!G:G, 'Picarro Output'!$B:$B, 'Uncalibrated Data'!$C3911, 'Picarro Output'!$I:$I, 0, 'Picarro Output'!$J:$J, 1), "")</f>
        <v/>
      </c>
    </row>
    <row r="3912" spans="2:5" x14ac:dyDescent="0.45">
      <c r="B3912" s="1"/>
      <c r="E3912" s="45" t="str">
        <f>IFERROR(AVERAGEIFS('Picarro Output'!G:G, 'Picarro Output'!$B:$B, 'Uncalibrated Data'!$C3912, 'Picarro Output'!$I:$I, 0, 'Picarro Output'!$J:$J, 1), "")</f>
        <v/>
      </c>
    </row>
    <row r="3913" spans="2:5" x14ac:dyDescent="0.45">
      <c r="B3913" s="1"/>
      <c r="E3913" s="45" t="str">
        <f>IFERROR(AVERAGEIFS('Picarro Output'!G:G, 'Picarro Output'!$B:$B, 'Uncalibrated Data'!$C3913, 'Picarro Output'!$I:$I, 0, 'Picarro Output'!$J:$J, 1), "")</f>
        <v/>
      </c>
    </row>
    <row r="3914" spans="2:5" x14ac:dyDescent="0.45">
      <c r="B3914" s="1"/>
      <c r="E3914" s="45" t="str">
        <f>IFERROR(AVERAGEIFS('Picarro Output'!G:G, 'Picarro Output'!$B:$B, 'Uncalibrated Data'!$C3914, 'Picarro Output'!$I:$I, 0, 'Picarro Output'!$J:$J, 1), "")</f>
        <v/>
      </c>
    </row>
    <row r="3915" spans="2:5" x14ac:dyDescent="0.45">
      <c r="B3915" s="1"/>
      <c r="E3915" s="45" t="str">
        <f>IFERROR(AVERAGEIFS('Picarro Output'!G:G, 'Picarro Output'!$B:$B, 'Uncalibrated Data'!$C3915, 'Picarro Output'!$I:$I, 0, 'Picarro Output'!$J:$J, 1), "")</f>
        <v/>
      </c>
    </row>
    <row r="3916" spans="2:5" x14ac:dyDescent="0.45">
      <c r="B3916" s="1"/>
      <c r="E3916" s="45" t="str">
        <f>IFERROR(AVERAGEIFS('Picarro Output'!G:G, 'Picarro Output'!$B:$B, 'Uncalibrated Data'!$C3916, 'Picarro Output'!$I:$I, 0, 'Picarro Output'!$J:$J, 1), "")</f>
        <v/>
      </c>
    </row>
    <row r="3917" spans="2:5" x14ac:dyDescent="0.45">
      <c r="B3917" s="1"/>
      <c r="E3917" s="45" t="str">
        <f>IFERROR(AVERAGEIFS('Picarro Output'!G:G, 'Picarro Output'!$B:$B, 'Uncalibrated Data'!$C3917, 'Picarro Output'!$I:$I, 0, 'Picarro Output'!$J:$J, 1), "")</f>
        <v/>
      </c>
    </row>
    <row r="3918" spans="2:5" x14ac:dyDescent="0.45">
      <c r="B3918" s="1"/>
      <c r="E3918" s="45" t="str">
        <f>IFERROR(AVERAGEIFS('Picarro Output'!G:G, 'Picarro Output'!$B:$B, 'Uncalibrated Data'!$C3918, 'Picarro Output'!$I:$I, 0, 'Picarro Output'!$J:$J, 1), "")</f>
        <v/>
      </c>
    </row>
    <row r="3919" spans="2:5" x14ac:dyDescent="0.45">
      <c r="B3919" s="1"/>
      <c r="E3919" s="45" t="str">
        <f>IFERROR(AVERAGEIFS('Picarro Output'!G:G, 'Picarro Output'!$B:$B, 'Uncalibrated Data'!$C3919, 'Picarro Output'!$I:$I, 0, 'Picarro Output'!$J:$J, 1), "")</f>
        <v/>
      </c>
    </row>
    <row r="3920" spans="2:5" x14ac:dyDescent="0.45">
      <c r="B3920" s="1"/>
      <c r="E3920" s="45" t="str">
        <f>IFERROR(AVERAGEIFS('Picarro Output'!G:G, 'Picarro Output'!$B:$B, 'Uncalibrated Data'!$C3920, 'Picarro Output'!$I:$I, 0, 'Picarro Output'!$J:$J, 1), "")</f>
        <v/>
      </c>
    </row>
    <row r="3921" spans="2:5" x14ac:dyDescent="0.45">
      <c r="B3921" s="1"/>
      <c r="E3921" s="45" t="str">
        <f>IFERROR(AVERAGEIFS('Picarro Output'!G:G, 'Picarro Output'!$B:$B, 'Uncalibrated Data'!$C3921, 'Picarro Output'!$I:$I, 0, 'Picarro Output'!$J:$J, 1), "")</f>
        <v/>
      </c>
    </row>
    <row r="3922" spans="2:5" x14ac:dyDescent="0.45">
      <c r="B3922" s="1"/>
      <c r="E3922" s="45" t="str">
        <f>IFERROR(AVERAGEIFS('Picarro Output'!G:G, 'Picarro Output'!$B:$B, 'Uncalibrated Data'!$C3922, 'Picarro Output'!$I:$I, 0, 'Picarro Output'!$J:$J, 1), "")</f>
        <v/>
      </c>
    </row>
    <row r="3923" spans="2:5" x14ac:dyDescent="0.45">
      <c r="B3923" s="1"/>
      <c r="E3923" s="45" t="str">
        <f>IFERROR(AVERAGEIFS('Picarro Output'!G:G, 'Picarro Output'!$B:$B, 'Uncalibrated Data'!$C3923, 'Picarro Output'!$I:$I, 0, 'Picarro Output'!$J:$J, 1), "")</f>
        <v/>
      </c>
    </row>
    <row r="3924" spans="2:5" x14ac:dyDescent="0.45">
      <c r="B3924" s="1"/>
      <c r="E3924" s="45" t="str">
        <f>IFERROR(AVERAGEIFS('Picarro Output'!G:G, 'Picarro Output'!$B:$B, 'Uncalibrated Data'!$C3924, 'Picarro Output'!$I:$I, 0, 'Picarro Output'!$J:$J, 1), "")</f>
        <v/>
      </c>
    </row>
    <row r="3925" spans="2:5" x14ac:dyDescent="0.45">
      <c r="B3925" s="1"/>
      <c r="E3925" s="45" t="str">
        <f>IFERROR(AVERAGEIFS('Picarro Output'!G:G, 'Picarro Output'!$B:$B, 'Uncalibrated Data'!$C3925, 'Picarro Output'!$I:$I, 0, 'Picarro Output'!$J:$J, 1), "")</f>
        <v/>
      </c>
    </row>
    <row r="3926" spans="2:5" x14ac:dyDescent="0.45">
      <c r="B3926" s="1"/>
      <c r="E3926" s="45" t="str">
        <f>IFERROR(AVERAGEIFS('Picarro Output'!G:G, 'Picarro Output'!$B:$B, 'Uncalibrated Data'!$C3926, 'Picarro Output'!$I:$I, 0, 'Picarro Output'!$J:$J, 1), "")</f>
        <v/>
      </c>
    </row>
    <row r="3927" spans="2:5" x14ac:dyDescent="0.45">
      <c r="B3927" s="1"/>
      <c r="E3927" s="45" t="str">
        <f>IFERROR(AVERAGEIFS('Picarro Output'!G:G, 'Picarro Output'!$B:$B, 'Uncalibrated Data'!$C3927, 'Picarro Output'!$I:$I, 0, 'Picarro Output'!$J:$J, 1), "")</f>
        <v/>
      </c>
    </row>
    <row r="3928" spans="2:5" x14ac:dyDescent="0.45">
      <c r="B3928" s="1"/>
      <c r="E3928" s="45" t="str">
        <f>IFERROR(AVERAGEIFS('Picarro Output'!G:G, 'Picarro Output'!$B:$B, 'Uncalibrated Data'!$C3928, 'Picarro Output'!$I:$I, 0, 'Picarro Output'!$J:$J, 1), "")</f>
        <v/>
      </c>
    </row>
    <row r="3929" spans="2:5" x14ac:dyDescent="0.45">
      <c r="B3929" s="1"/>
      <c r="E3929" s="45" t="str">
        <f>IFERROR(AVERAGEIFS('Picarro Output'!G:G, 'Picarro Output'!$B:$B, 'Uncalibrated Data'!$C3929, 'Picarro Output'!$I:$I, 0, 'Picarro Output'!$J:$J, 1), "")</f>
        <v/>
      </c>
    </row>
    <row r="3930" spans="2:5" x14ac:dyDescent="0.45">
      <c r="B3930" s="1"/>
      <c r="E3930" s="45" t="str">
        <f>IFERROR(AVERAGEIFS('Picarro Output'!G:G, 'Picarro Output'!$B:$B, 'Uncalibrated Data'!$C3930, 'Picarro Output'!$I:$I, 0, 'Picarro Output'!$J:$J, 1), "")</f>
        <v/>
      </c>
    </row>
    <row r="3931" spans="2:5" x14ac:dyDescent="0.45">
      <c r="B3931" s="1"/>
      <c r="E3931" s="45" t="str">
        <f>IFERROR(AVERAGEIFS('Picarro Output'!G:G, 'Picarro Output'!$B:$B, 'Uncalibrated Data'!$C3931, 'Picarro Output'!$I:$I, 0, 'Picarro Output'!$J:$J, 1), "")</f>
        <v/>
      </c>
    </row>
    <row r="3932" spans="2:5" x14ac:dyDescent="0.45">
      <c r="B3932" s="1"/>
      <c r="E3932" s="45" t="str">
        <f>IFERROR(AVERAGEIFS('Picarro Output'!G:G, 'Picarro Output'!$B:$B, 'Uncalibrated Data'!$C3932, 'Picarro Output'!$I:$I, 0, 'Picarro Output'!$J:$J, 1), "")</f>
        <v/>
      </c>
    </row>
    <row r="3933" spans="2:5" x14ac:dyDescent="0.45">
      <c r="B3933" s="1"/>
      <c r="E3933" s="45" t="str">
        <f>IFERROR(AVERAGEIFS('Picarro Output'!G:G, 'Picarro Output'!$B:$B, 'Uncalibrated Data'!$C3933, 'Picarro Output'!$I:$I, 0, 'Picarro Output'!$J:$J, 1), "")</f>
        <v/>
      </c>
    </row>
    <row r="3934" spans="2:5" x14ac:dyDescent="0.45">
      <c r="B3934" s="1"/>
      <c r="E3934" s="45" t="str">
        <f>IFERROR(AVERAGEIFS('Picarro Output'!G:G, 'Picarro Output'!$B:$B, 'Uncalibrated Data'!$C3934, 'Picarro Output'!$I:$I, 0, 'Picarro Output'!$J:$J, 1), "")</f>
        <v/>
      </c>
    </row>
    <row r="3935" spans="2:5" x14ac:dyDescent="0.45">
      <c r="B3935" s="1"/>
      <c r="E3935" s="45" t="str">
        <f>IFERROR(AVERAGEIFS('Picarro Output'!G:G, 'Picarro Output'!$B:$B, 'Uncalibrated Data'!$C3935, 'Picarro Output'!$I:$I, 0, 'Picarro Output'!$J:$J, 1), "")</f>
        <v/>
      </c>
    </row>
    <row r="3936" spans="2:5" x14ac:dyDescent="0.45">
      <c r="B3936" s="1"/>
      <c r="E3936" s="45" t="str">
        <f>IFERROR(AVERAGEIFS('Picarro Output'!G:G, 'Picarro Output'!$B:$B, 'Uncalibrated Data'!$C3936, 'Picarro Output'!$I:$I, 0, 'Picarro Output'!$J:$J, 1), "")</f>
        <v/>
      </c>
    </row>
    <row r="3937" spans="2:5" x14ac:dyDescent="0.45">
      <c r="B3937" s="1"/>
      <c r="E3937" s="45" t="str">
        <f>IFERROR(AVERAGEIFS('Picarro Output'!G:G, 'Picarro Output'!$B:$B, 'Uncalibrated Data'!$C3937, 'Picarro Output'!$I:$I, 0, 'Picarro Output'!$J:$J, 1), "")</f>
        <v/>
      </c>
    </row>
    <row r="3938" spans="2:5" x14ac:dyDescent="0.45">
      <c r="B3938" s="1"/>
      <c r="E3938" s="45" t="str">
        <f>IFERROR(AVERAGEIFS('Picarro Output'!G:G, 'Picarro Output'!$B:$B, 'Uncalibrated Data'!$C3938, 'Picarro Output'!$I:$I, 0, 'Picarro Output'!$J:$J, 1), "")</f>
        <v/>
      </c>
    </row>
    <row r="3939" spans="2:5" x14ac:dyDescent="0.45">
      <c r="B3939" s="1"/>
      <c r="E3939" s="45" t="str">
        <f>IFERROR(AVERAGEIFS('Picarro Output'!G:G, 'Picarro Output'!$B:$B, 'Uncalibrated Data'!$C3939, 'Picarro Output'!$I:$I, 0, 'Picarro Output'!$J:$J, 1), "")</f>
        <v/>
      </c>
    </row>
    <row r="3940" spans="2:5" x14ac:dyDescent="0.45">
      <c r="B3940" s="1"/>
      <c r="E3940" s="45" t="str">
        <f>IFERROR(AVERAGEIFS('Picarro Output'!G:G, 'Picarro Output'!$B:$B, 'Uncalibrated Data'!$C3940, 'Picarro Output'!$I:$I, 0, 'Picarro Output'!$J:$J, 1), "")</f>
        <v/>
      </c>
    </row>
    <row r="3941" spans="2:5" x14ac:dyDescent="0.45">
      <c r="B3941" s="1"/>
      <c r="E3941" s="45" t="str">
        <f>IFERROR(AVERAGEIFS('Picarro Output'!G:G, 'Picarro Output'!$B:$B, 'Uncalibrated Data'!$C3941, 'Picarro Output'!$I:$I, 0, 'Picarro Output'!$J:$J, 1), "")</f>
        <v/>
      </c>
    </row>
    <row r="3942" spans="2:5" x14ac:dyDescent="0.45">
      <c r="B3942" s="1"/>
      <c r="E3942" s="45" t="str">
        <f>IFERROR(AVERAGEIFS('Picarro Output'!G:G, 'Picarro Output'!$B:$B, 'Uncalibrated Data'!$C3942, 'Picarro Output'!$I:$I, 0, 'Picarro Output'!$J:$J, 1), "")</f>
        <v/>
      </c>
    </row>
    <row r="3943" spans="2:5" x14ac:dyDescent="0.45">
      <c r="B3943" s="1"/>
      <c r="E3943" s="45" t="str">
        <f>IFERROR(AVERAGEIFS('Picarro Output'!G:G, 'Picarro Output'!$B:$B, 'Uncalibrated Data'!$C3943, 'Picarro Output'!$I:$I, 0, 'Picarro Output'!$J:$J, 1), "")</f>
        <v/>
      </c>
    </row>
    <row r="3944" spans="2:5" x14ac:dyDescent="0.45">
      <c r="B3944" s="1"/>
      <c r="E3944" s="45" t="str">
        <f>IFERROR(AVERAGEIFS('Picarro Output'!G:G, 'Picarro Output'!$B:$B, 'Uncalibrated Data'!$C3944, 'Picarro Output'!$I:$I, 0, 'Picarro Output'!$J:$J, 1), "")</f>
        <v/>
      </c>
    </row>
    <row r="3945" spans="2:5" x14ac:dyDescent="0.45">
      <c r="B3945" s="1"/>
      <c r="E3945" s="45" t="str">
        <f>IFERROR(AVERAGEIFS('Picarro Output'!G:G, 'Picarro Output'!$B:$B, 'Uncalibrated Data'!$C3945, 'Picarro Output'!$I:$I, 0, 'Picarro Output'!$J:$J, 1), "")</f>
        <v/>
      </c>
    </row>
    <row r="3946" spans="2:5" x14ac:dyDescent="0.45">
      <c r="B3946" s="1"/>
      <c r="E3946" s="45" t="str">
        <f>IFERROR(AVERAGEIFS('Picarro Output'!G:G, 'Picarro Output'!$B:$B, 'Uncalibrated Data'!$C3946, 'Picarro Output'!$I:$I, 0, 'Picarro Output'!$J:$J, 1), "")</f>
        <v/>
      </c>
    </row>
    <row r="3947" spans="2:5" x14ac:dyDescent="0.45">
      <c r="B3947" s="1"/>
      <c r="E3947" s="45" t="str">
        <f>IFERROR(AVERAGEIFS('Picarro Output'!G:G, 'Picarro Output'!$B:$B, 'Uncalibrated Data'!$C3947, 'Picarro Output'!$I:$I, 0, 'Picarro Output'!$J:$J, 1), "")</f>
        <v/>
      </c>
    </row>
    <row r="3948" spans="2:5" x14ac:dyDescent="0.45">
      <c r="B3948" s="1"/>
      <c r="E3948" s="45" t="str">
        <f>IFERROR(AVERAGEIFS('Picarro Output'!G:G, 'Picarro Output'!$B:$B, 'Uncalibrated Data'!$C3948, 'Picarro Output'!$I:$I, 0, 'Picarro Output'!$J:$J, 1), "")</f>
        <v/>
      </c>
    </row>
    <row r="3949" spans="2:5" x14ac:dyDescent="0.45">
      <c r="B3949" s="1"/>
      <c r="E3949" s="45" t="str">
        <f>IFERROR(AVERAGEIFS('Picarro Output'!G:G, 'Picarro Output'!$B:$B, 'Uncalibrated Data'!$C3949, 'Picarro Output'!$I:$I, 0, 'Picarro Output'!$J:$J, 1), "")</f>
        <v/>
      </c>
    </row>
    <row r="3950" spans="2:5" x14ac:dyDescent="0.45">
      <c r="B3950" s="1"/>
      <c r="E3950" s="45" t="str">
        <f>IFERROR(AVERAGEIFS('Picarro Output'!G:G, 'Picarro Output'!$B:$B, 'Uncalibrated Data'!$C3950, 'Picarro Output'!$I:$I, 0, 'Picarro Output'!$J:$J, 1), "")</f>
        <v/>
      </c>
    </row>
    <row r="3951" spans="2:5" x14ac:dyDescent="0.45">
      <c r="B3951" s="1"/>
      <c r="E3951" s="45" t="str">
        <f>IFERROR(AVERAGEIFS('Picarro Output'!G:G, 'Picarro Output'!$B:$B, 'Uncalibrated Data'!$C3951, 'Picarro Output'!$I:$I, 0, 'Picarro Output'!$J:$J, 1), "")</f>
        <v/>
      </c>
    </row>
    <row r="3952" spans="2:5" x14ac:dyDescent="0.45">
      <c r="B3952" s="1"/>
      <c r="E3952" s="45" t="str">
        <f>IFERROR(AVERAGEIFS('Picarro Output'!G:G, 'Picarro Output'!$B:$B, 'Uncalibrated Data'!$C3952, 'Picarro Output'!$I:$I, 0, 'Picarro Output'!$J:$J, 1), "")</f>
        <v/>
      </c>
    </row>
    <row r="3953" spans="2:5" x14ac:dyDescent="0.45">
      <c r="B3953" s="1"/>
      <c r="E3953" s="45" t="str">
        <f>IFERROR(AVERAGEIFS('Picarro Output'!G:G, 'Picarro Output'!$B:$B, 'Uncalibrated Data'!$C3953, 'Picarro Output'!$I:$I, 0, 'Picarro Output'!$J:$J, 1), "")</f>
        <v/>
      </c>
    </row>
    <row r="3954" spans="2:5" x14ac:dyDescent="0.45">
      <c r="B3954" s="1"/>
      <c r="E3954" s="45" t="str">
        <f>IFERROR(AVERAGEIFS('Picarro Output'!G:G, 'Picarro Output'!$B:$B, 'Uncalibrated Data'!$C3954, 'Picarro Output'!$I:$I, 0, 'Picarro Output'!$J:$J, 1), "")</f>
        <v/>
      </c>
    </row>
    <row r="3955" spans="2:5" x14ac:dyDescent="0.45">
      <c r="B3955" s="1"/>
      <c r="E3955" s="45" t="str">
        <f>IFERROR(AVERAGEIFS('Picarro Output'!G:G, 'Picarro Output'!$B:$B, 'Uncalibrated Data'!$C3955, 'Picarro Output'!$I:$I, 0, 'Picarro Output'!$J:$J, 1), "")</f>
        <v/>
      </c>
    </row>
    <row r="3956" spans="2:5" x14ac:dyDescent="0.45">
      <c r="B3956" s="1"/>
      <c r="E3956" s="45" t="str">
        <f>IFERROR(AVERAGEIFS('Picarro Output'!G:G, 'Picarro Output'!$B:$B, 'Uncalibrated Data'!$C3956, 'Picarro Output'!$I:$I, 0, 'Picarro Output'!$J:$J, 1), "")</f>
        <v/>
      </c>
    </row>
    <row r="3957" spans="2:5" x14ac:dyDescent="0.45">
      <c r="B3957" s="1"/>
      <c r="E3957" s="45" t="str">
        <f>IFERROR(AVERAGEIFS('Picarro Output'!G:G, 'Picarro Output'!$B:$B, 'Uncalibrated Data'!$C3957, 'Picarro Output'!$I:$I, 0, 'Picarro Output'!$J:$J, 1), "")</f>
        <v/>
      </c>
    </row>
    <row r="3958" spans="2:5" x14ac:dyDescent="0.45">
      <c r="B3958" s="1"/>
      <c r="E3958" s="45" t="str">
        <f>IFERROR(AVERAGEIFS('Picarro Output'!G:G, 'Picarro Output'!$B:$B, 'Uncalibrated Data'!$C3958, 'Picarro Output'!$I:$I, 0, 'Picarro Output'!$J:$J, 1), "")</f>
        <v/>
      </c>
    </row>
    <row r="3959" spans="2:5" x14ac:dyDescent="0.45">
      <c r="B3959" s="1"/>
      <c r="E3959" s="45" t="str">
        <f>IFERROR(AVERAGEIFS('Picarro Output'!G:G, 'Picarro Output'!$B:$B, 'Uncalibrated Data'!$C3959, 'Picarro Output'!$I:$I, 0, 'Picarro Output'!$J:$J, 1), "")</f>
        <v/>
      </c>
    </row>
    <row r="3960" spans="2:5" x14ac:dyDescent="0.45">
      <c r="B3960" s="1"/>
      <c r="E3960" s="45" t="str">
        <f>IFERROR(AVERAGEIFS('Picarro Output'!G:G, 'Picarro Output'!$B:$B, 'Uncalibrated Data'!$C3960, 'Picarro Output'!$I:$I, 0, 'Picarro Output'!$J:$J, 1), "")</f>
        <v/>
      </c>
    </row>
    <row r="3961" spans="2:5" x14ac:dyDescent="0.45">
      <c r="B3961" s="1"/>
      <c r="E3961" s="45" t="str">
        <f>IFERROR(AVERAGEIFS('Picarro Output'!G:G, 'Picarro Output'!$B:$B, 'Uncalibrated Data'!$C3961, 'Picarro Output'!$I:$I, 0, 'Picarro Output'!$J:$J, 1), "")</f>
        <v/>
      </c>
    </row>
    <row r="3962" spans="2:5" x14ac:dyDescent="0.45">
      <c r="B3962" s="1"/>
      <c r="E3962" s="45" t="str">
        <f>IFERROR(AVERAGEIFS('Picarro Output'!G:G, 'Picarro Output'!$B:$B, 'Uncalibrated Data'!$C3962, 'Picarro Output'!$I:$I, 0, 'Picarro Output'!$J:$J, 1), "")</f>
        <v/>
      </c>
    </row>
    <row r="3963" spans="2:5" x14ac:dyDescent="0.45">
      <c r="B3963" s="1"/>
      <c r="E3963" s="45" t="str">
        <f>IFERROR(AVERAGEIFS('Picarro Output'!G:G, 'Picarro Output'!$B:$B, 'Uncalibrated Data'!$C3963, 'Picarro Output'!$I:$I, 0, 'Picarro Output'!$J:$J, 1), "")</f>
        <v/>
      </c>
    </row>
    <row r="3964" spans="2:5" x14ac:dyDescent="0.45">
      <c r="B3964" s="1"/>
      <c r="E3964" s="45" t="str">
        <f>IFERROR(AVERAGEIFS('Picarro Output'!G:G, 'Picarro Output'!$B:$B, 'Uncalibrated Data'!$C3964, 'Picarro Output'!$I:$I, 0, 'Picarro Output'!$J:$J, 1), "")</f>
        <v/>
      </c>
    </row>
    <row r="3965" spans="2:5" x14ac:dyDescent="0.45">
      <c r="B3965" s="1"/>
      <c r="E3965" s="45" t="str">
        <f>IFERROR(AVERAGEIFS('Picarro Output'!G:G, 'Picarro Output'!$B:$B, 'Uncalibrated Data'!$C3965, 'Picarro Output'!$I:$I, 0, 'Picarro Output'!$J:$J, 1), "")</f>
        <v/>
      </c>
    </row>
    <row r="3966" spans="2:5" x14ac:dyDescent="0.45">
      <c r="B3966" s="1"/>
      <c r="E3966" s="45" t="str">
        <f>IFERROR(AVERAGEIFS('Picarro Output'!G:G, 'Picarro Output'!$B:$B, 'Uncalibrated Data'!$C3966, 'Picarro Output'!$I:$I, 0, 'Picarro Output'!$J:$J, 1), "")</f>
        <v/>
      </c>
    </row>
    <row r="3967" spans="2:5" x14ac:dyDescent="0.45">
      <c r="B3967" s="1"/>
      <c r="E3967" s="45" t="str">
        <f>IFERROR(AVERAGEIFS('Picarro Output'!G:G, 'Picarro Output'!$B:$B, 'Uncalibrated Data'!$C3967, 'Picarro Output'!$I:$I, 0, 'Picarro Output'!$J:$J, 1), "")</f>
        <v/>
      </c>
    </row>
    <row r="3968" spans="2:5" x14ac:dyDescent="0.45">
      <c r="B3968" s="1"/>
      <c r="E3968" s="45" t="str">
        <f>IFERROR(AVERAGEIFS('Picarro Output'!G:G, 'Picarro Output'!$B:$B, 'Uncalibrated Data'!$C3968, 'Picarro Output'!$I:$I, 0, 'Picarro Output'!$J:$J, 1), "")</f>
        <v/>
      </c>
    </row>
    <row r="3969" spans="2:5" x14ac:dyDescent="0.45">
      <c r="B3969" s="1"/>
      <c r="E3969" s="45" t="str">
        <f>IFERROR(AVERAGEIFS('Picarro Output'!G:G, 'Picarro Output'!$B:$B, 'Uncalibrated Data'!$C3969, 'Picarro Output'!$I:$I, 0, 'Picarro Output'!$J:$J, 1), "")</f>
        <v/>
      </c>
    </row>
    <row r="3970" spans="2:5" x14ac:dyDescent="0.45">
      <c r="B3970" s="1"/>
      <c r="E3970" s="45" t="str">
        <f>IFERROR(AVERAGEIFS('Picarro Output'!G:G, 'Picarro Output'!$B:$B, 'Uncalibrated Data'!$C3970, 'Picarro Output'!$I:$I, 0, 'Picarro Output'!$J:$J, 1), "")</f>
        <v/>
      </c>
    </row>
    <row r="3971" spans="2:5" x14ac:dyDescent="0.45">
      <c r="B3971" s="1"/>
      <c r="E3971" s="45" t="str">
        <f>IFERROR(AVERAGEIFS('Picarro Output'!G:G, 'Picarro Output'!$B:$B, 'Uncalibrated Data'!$C3971, 'Picarro Output'!$I:$I, 0, 'Picarro Output'!$J:$J, 1), "")</f>
        <v/>
      </c>
    </row>
    <row r="3972" spans="2:5" x14ac:dyDescent="0.45">
      <c r="B3972" s="1"/>
      <c r="E3972" s="45" t="str">
        <f>IFERROR(AVERAGEIFS('Picarro Output'!G:G, 'Picarro Output'!$B:$B, 'Uncalibrated Data'!$C3972, 'Picarro Output'!$I:$I, 0, 'Picarro Output'!$J:$J, 1), "")</f>
        <v/>
      </c>
    </row>
    <row r="3973" spans="2:5" x14ac:dyDescent="0.45">
      <c r="B3973" s="1"/>
      <c r="E3973" s="45" t="str">
        <f>IFERROR(AVERAGEIFS('Picarro Output'!G:G, 'Picarro Output'!$B:$B, 'Uncalibrated Data'!$C3973, 'Picarro Output'!$I:$I, 0, 'Picarro Output'!$J:$J, 1), "")</f>
        <v/>
      </c>
    </row>
    <row r="3974" spans="2:5" x14ac:dyDescent="0.45">
      <c r="B3974" s="1"/>
      <c r="E3974" s="45" t="str">
        <f>IFERROR(AVERAGEIFS('Picarro Output'!G:G, 'Picarro Output'!$B:$B, 'Uncalibrated Data'!$C3974, 'Picarro Output'!$I:$I, 0, 'Picarro Output'!$J:$J, 1), "")</f>
        <v/>
      </c>
    </row>
    <row r="3975" spans="2:5" x14ac:dyDescent="0.45">
      <c r="B3975" s="1"/>
      <c r="E3975" s="45" t="str">
        <f>IFERROR(AVERAGEIFS('Picarro Output'!G:G, 'Picarro Output'!$B:$B, 'Uncalibrated Data'!$C3975, 'Picarro Output'!$I:$I, 0, 'Picarro Output'!$J:$J, 1), "")</f>
        <v/>
      </c>
    </row>
    <row r="3976" spans="2:5" x14ac:dyDescent="0.45">
      <c r="B3976" s="1"/>
      <c r="E3976" s="45" t="str">
        <f>IFERROR(AVERAGEIFS('Picarro Output'!G:G, 'Picarro Output'!$B:$B, 'Uncalibrated Data'!$C3976, 'Picarro Output'!$I:$I, 0, 'Picarro Output'!$J:$J, 1), "")</f>
        <v/>
      </c>
    </row>
    <row r="3977" spans="2:5" x14ac:dyDescent="0.45">
      <c r="B3977" s="1"/>
      <c r="E3977" s="45" t="str">
        <f>IFERROR(AVERAGEIFS('Picarro Output'!G:G, 'Picarro Output'!$B:$B, 'Uncalibrated Data'!$C3977, 'Picarro Output'!$I:$I, 0, 'Picarro Output'!$J:$J, 1), "")</f>
        <v/>
      </c>
    </row>
    <row r="3978" spans="2:5" x14ac:dyDescent="0.45">
      <c r="B3978" s="1"/>
      <c r="E3978" s="45" t="str">
        <f>IFERROR(AVERAGEIFS('Picarro Output'!G:G, 'Picarro Output'!$B:$B, 'Uncalibrated Data'!$C3978, 'Picarro Output'!$I:$I, 0, 'Picarro Output'!$J:$J, 1), "")</f>
        <v/>
      </c>
    </row>
    <row r="3979" spans="2:5" x14ac:dyDescent="0.45">
      <c r="B3979" s="1"/>
      <c r="E3979" s="45" t="str">
        <f>IFERROR(AVERAGEIFS('Picarro Output'!G:G, 'Picarro Output'!$B:$B, 'Uncalibrated Data'!$C3979, 'Picarro Output'!$I:$I, 0, 'Picarro Output'!$J:$J, 1), "")</f>
        <v/>
      </c>
    </row>
    <row r="3980" spans="2:5" x14ac:dyDescent="0.45">
      <c r="B3980" s="1"/>
      <c r="E3980" s="45" t="str">
        <f>IFERROR(AVERAGEIFS('Picarro Output'!G:G, 'Picarro Output'!$B:$B, 'Uncalibrated Data'!$C3980, 'Picarro Output'!$I:$I, 0, 'Picarro Output'!$J:$J, 1), "")</f>
        <v/>
      </c>
    </row>
    <row r="3981" spans="2:5" x14ac:dyDescent="0.45">
      <c r="B3981" s="1"/>
      <c r="E3981" s="45" t="str">
        <f>IFERROR(AVERAGEIFS('Picarro Output'!G:G, 'Picarro Output'!$B:$B, 'Uncalibrated Data'!$C3981, 'Picarro Output'!$I:$I, 0, 'Picarro Output'!$J:$J, 1), "")</f>
        <v/>
      </c>
    </row>
    <row r="3982" spans="2:5" x14ac:dyDescent="0.45">
      <c r="B3982" s="1"/>
      <c r="E3982" s="45" t="str">
        <f>IFERROR(AVERAGEIFS('Picarro Output'!G:G, 'Picarro Output'!$B:$B, 'Uncalibrated Data'!$C3982, 'Picarro Output'!$I:$I, 0, 'Picarro Output'!$J:$J, 1), "")</f>
        <v/>
      </c>
    </row>
    <row r="3983" spans="2:5" x14ac:dyDescent="0.45">
      <c r="B3983" s="1"/>
      <c r="E3983" s="45" t="str">
        <f>IFERROR(AVERAGEIFS('Picarro Output'!G:G, 'Picarro Output'!$B:$B, 'Uncalibrated Data'!$C3983, 'Picarro Output'!$I:$I, 0, 'Picarro Output'!$J:$J, 1), "")</f>
        <v/>
      </c>
    </row>
    <row r="3984" spans="2:5" x14ac:dyDescent="0.45">
      <c r="B3984" s="1"/>
      <c r="E3984" s="45" t="str">
        <f>IFERROR(AVERAGEIFS('Picarro Output'!G:G, 'Picarro Output'!$B:$B, 'Uncalibrated Data'!$C3984, 'Picarro Output'!$I:$I, 0, 'Picarro Output'!$J:$J, 1), "")</f>
        <v/>
      </c>
    </row>
    <row r="3985" spans="2:5" x14ac:dyDescent="0.45">
      <c r="B3985" s="1"/>
      <c r="E3985" s="45" t="str">
        <f>IFERROR(AVERAGEIFS('Picarro Output'!G:G, 'Picarro Output'!$B:$B, 'Uncalibrated Data'!$C3985, 'Picarro Output'!$I:$I, 0, 'Picarro Output'!$J:$J, 1), "")</f>
        <v/>
      </c>
    </row>
    <row r="3986" spans="2:5" x14ac:dyDescent="0.45">
      <c r="B3986" s="1"/>
      <c r="E3986" s="45" t="str">
        <f>IFERROR(AVERAGEIFS('Picarro Output'!G:G, 'Picarro Output'!$B:$B, 'Uncalibrated Data'!$C3986, 'Picarro Output'!$I:$I, 0, 'Picarro Output'!$J:$J, 1), "")</f>
        <v/>
      </c>
    </row>
    <row r="3987" spans="2:5" x14ac:dyDescent="0.45">
      <c r="B3987" s="1"/>
      <c r="E3987" s="45" t="str">
        <f>IFERROR(AVERAGEIFS('Picarro Output'!G:G, 'Picarro Output'!$B:$B, 'Uncalibrated Data'!$C3987, 'Picarro Output'!$I:$I, 0, 'Picarro Output'!$J:$J, 1), "")</f>
        <v/>
      </c>
    </row>
    <row r="3988" spans="2:5" x14ac:dyDescent="0.45">
      <c r="B3988" s="1"/>
      <c r="E3988" s="45" t="str">
        <f>IFERROR(AVERAGEIFS('Picarro Output'!G:G, 'Picarro Output'!$B:$B, 'Uncalibrated Data'!$C3988, 'Picarro Output'!$I:$I, 0, 'Picarro Output'!$J:$J, 1), "")</f>
        <v/>
      </c>
    </row>
    <row r="3989" spans="2:5" x14ac:dyDescent="0.45">
      <c r="B3989" s="1"/>
      <c r="E3989" s="45" t="str">
        <f>IFERROR(AVERAGEIFS('Picarro Output'!G:G, 'Picarro Output'!$B:$B, 'Uncalibrated Data'!$C3989, 'Picarro Output'!$I:$I, 0, 'Picarro Output'!$J:$J, 1), "")</f>
        <v/>
      </c>
    </row>
    <row r="3990" spans="2:5" x14ac:dyDescent="0.45">
      <c r="B3990" s="1"/>
      <c r="E3990" s="45" t="str">
        <f>IFERROR(AVERAGEIFS('Picarro Output'!G:G, 'Picarro Output'!$B:$B, 'Uncalibrated Data'!$C3990, 'Picarro Output'!$I:$I, 0, 'Picarro Output'!$J:$J, 1), "")</f>
        <v/>
      </c>
    </row>
    <row r="3991" spans="2:5" x14ac:dyDescent="0.45">
      <c r="B3991" s="1"/>
      <c r="E3991" s="45" t="str">
        <f>IFERROR(AVERAGEIFS('Picarro Output'!G:G, 'Picarro Output'!$B:$B, 'Uncalibrated Data'!$C3991, 'Picarro Output'!$I:$I, 0, 'Picarro Output'!$J:$J, 1), "")</f>
        <v/>
      </c>
    </row>
    <row r="3992" spans="2:5" x14ac:dyDescent="0.45">
      <c r="B3992" s="1"/>
      <c r="E3992" s="45" t="str">
        <f>IFERROR(AVERAGEIFS('Picarro Output'!G:G, 'Picarro Output'!$B:$B, 'Uncalibrated Data'!$C3992, 'Picarro Output'!$I:$I, 0, 'Picarro Output'!$J:$J, 1), "")</f>
        <v/>
      </c>
    </row>
    <row r="3993" spans="2:5" x14ac:dyDescent="0.45">
      <c r="B3993" s="1"/>
      <c r="E3993" s="45" t="str">
        <f>IFERROR(AVERAGEIFS('Picarro Output'!G:G, 'Picarro Output'!$B:$B, 'Uncalibrated Data'!$C3993, 'Picarro Output'!$I:$I, 0, 'Picarro Output'!$J:$J, 1), "")</f>
        <v/>
      </c>
    </row>
    <row r="3994" spans="2:5" x14ac:dyDescent="0.45">
      <c r="B3994" s="1"/>
      <c r="E3994" s="45" t="str">
        <f>IFERROR(AVERAGEIFS('Picarro Output'!G:G, 'Picarro Output'!$B:$B, 'Uncalibrated Data'!$C3994, 'Picarro Output'!$I:$I, 0, 'Picarro Output'!$J:$J, 1), "")</f>
        <v/>
      </c>
    </row>
    <row r="3995" spans="2:5" x14ac:dyDescent="0.45">
      <c r="B3995" s="1"/>
      <c r="E3995" s="45" t="str">
        <f>IFERROR(AVERAGEIFS('Picarro Output'!G:G, 'Picarro Output'!$B:$B, 'Uncalibrated Data'!$C3995, 'Picarro Output'!$I:$I, 0, 'Picarro Output'!$J:$J, 1), "")</f>
        <v/>
      </c>
    </row>
    <row r="3996" spans="2:5" x14ac:dyDescent="0.45">
      <c r="B3996" s="1"/>
      <c r="E3996" s="45" t="str">
        <f>IFERROR(AVERAGEIFS('Picarro Output'!G:G, 'Picarro Output'!$B:$B, 'Uncalibrated Data'!$C3996, 'Picarro Output'!$I:$I, 0, 'Picarro Output'!$J:$J, 1), "")</f>
        <v/>
      </c>
    </row>
    <row r="3997" spans="2:5" x14ac:dyDescent="0.45">
      <c r="B3997" s="1"/>
      <c r="E3997" s="45" t="str">
        <f>IFERROR(AVERAGEIFS('Picarro Output'!G:G, 'Picarro Output'!$B:$B, 'Uncalibrated Data'!$C3997, 'Picarro Output'!$I:$I, 0, 'Picarro Output'!$J:$J, 1), "")</f>
        <v/>
      </c>
    </row>
    <row r="3998" spans="2:5" x14ac:dyDescent="0.45">
      <c r="B3998" s="1"/>
      <c r="E3998" s="45" t="str">
        <f>IFERROR(AVERAGEIFS('Picarro Output'!G:G, 'Picarro Output'!$B:$B, 'Uncalibrated Data'!$C3998, 'Picarro Output'!$I:$I, 0, 'Picarro Output'!$J:$J, 1), "")</f>
        <v/>
      </c>
    </row>
    <row r="3999" spans="2:5" x14ac:dyDescent="0.45">
      <c r="B3999" s="1"/>
      <c r="E3999" s="45" t="str">
        <f>IFERROR(AVERAGEIFS('Picarro Output'!G:G, 'Picarro Output'!$B:$B, 'Uncalibrated Data'!$C3999, 'Picarro Output'!$I:$I, 0, 'Picarro Output'!$J:$J, 1), "")</f>
        <v/>
      </c>
    </row>
    <row r="4000" spans="2:5" x14ac:dyDescent="0.45">
      <c r="B4000" s="1"/>
      <c r="E4000" s="45" t="str">
        <f>IFERROR(AVERAGEIFS('Picarro Output'!G:G, 'Picarro Output'!$B:$B, 'Uncalibrated Data'!$C4000, 'Picarro Output'!$I:$I, 0, 'Picarro Output'!$J:$J, 1), "")</f>
        <v/>
      </c>
    </row>
    <row r="4001" spans="2:5" x14ac:dyDescent="0.45">
      <c r="B4001" s="1"/>
      <c r="E4001" s="45" t="str">
        <f>IFERROR(AVERAGEIFS('Picarro Output'!G:G, 'Picarro Output'!$B:$B, 'Uncalibrated Data'!$C4001, 'Picarro Output'!$I:$I, 0, 'Picarro Output'!$J:$J, 1), "")</f>
        <v/>
      </c>
    </row>
    <row r="4002" spans="2:5" x14ac:dyDescent="0.45">
      <c r="B4002" s="1"/>
      <c r="E4002" s="45" t="str">
        <f>IFERROR(AVERAGEIFS('Picarro Output'!G:G, 'Picarro Output'!$B:$B, 'Uncalibrated Data'!$C4002, 'Picarro Output'!$I:$I, 0, 'Picarro Output'!$J:$J, 1), "")</f>
        <v/>
      </c>
    </row>
    <row r="4003" spans="2:5" x14ac:dyDescent="0.45">
      <c r="B4003" s="1"/>
      <c r="E4003" s="45" t="str">
        <f>IFERROR(AVERAGEIFS('Picarro Output'!G:G, 'Picarro Output'!$B:$B, 'Uncalibrated Data'!$C4003, 'Picarro Output'!$I:$I, 0, 'Picarro Output'!$J:$J, 1), "")</f>
        <v/>
      </c>
    </row>
    <row r="4004" spans="2:5" x14ac:dyDescent="0.45">
      <c r="B4004" s="1"/>
      <c r="E4004" s="45" t="str">
        <f>IFERROR(AVERAGEIFS('Picarro Output'!G:G, 'Picarro Output'!$B:$B, 'Uncalibrated Data'!$C4004, 'Picarro Output'!$I:$I, 0, 'Picarro Output'!$J:$J, 1), "")</f>
        <v/>
      </c>
    </row>
    <row r="4005" spans="2:5" x14ac:dyDescent="0.45">
      <c r="B4005" s="1"/>
      <c r="E4005" s="45" t="str">
        <f>IFERROR(AVERAGEIFS('Picarro Output'!G:G, 'Picarro Output'!$B:$B, 'Uncalibrated Data'!$C4005, 'Picarro Output'!$I:$I, 0, 'Picarro Output'!$J:$J, 1), "")</f>
        <v/>
      </c>
    </row>
    <row r="4006" spans="2:5" x14ac:dyDescent="0.45">
      <c r="B4006" s="1"/>
      <c r="E4006" s="45" t="str">
        <f>IFERROR(AVERAGEIFS('Picarro Output'!G:G, 'Picarro Output'!$B:$B, 'Uncalibrated Data'!$C4006, 'Picarro Output'!$I:$I, 0, 'Picarro Output'!$J:$J, 1), "")</f>
        <v/>
      </c>
    </row>
    <row r="4007" spans="2:5" x14ac:dyDescent="0.45">
      <c r="B4007" s="1"/>
      <c r="E4007" s="45" t="str">
        <f>IFERROR(AVERAGEIFS('Picarro Output'!G:G, 'Picarro Output'!$B:$B, 'Uncalibrated Data'!$C4007, 'Picarro Output'!$I:$I, 0, 'Picarro Output'!$J:$J, 1), "")</f>
        <v/>
      </c>
    </row>
    <row r="4008" spans="2:5" x14ac:dyDescent="0.45">
      <c r="B4008" s="1"/>
      <c r="E4008" s="45" t="str">
        <f>IFERROR(AVERAGEIFS('Picarro Output'!G:G, 'Picarro Output'!$B:$B, 'Uncalibrated Data'!$C4008, 'Picarro Output'!$I:$I, 0, 'Picarro Output'!$J:$J, 1), "")</f>
        <v/>
      </c>
    </row>
    <row r="4009" spans="2:5" x14ac:dyDescent="0.45">
      <c r="B4009" s="1"/>
      <c r="E4009" s="45" t="str">
        <f>IFERROR(AVERAGEIFS('Picarro Output'!G:G, 'Picarro Output'!$B:$B, 'Uncalibrated Data'!$C4009, 'Picarro Output'!$I:$I, 0, 'Picarro Output'!$J:$J, 1), "")</f>
        <v/>
      </c>
    </row>
    <row r="4010" spans="2:5" x14ac:dyDescent="0.45">
      <c r="B4010" s="1"/>
      <c r="E4010" s="45" t="str">
        <f>IFERROR(AVERAGEIFS('Picarro Output'!G:G, 'Picarro Output'!$B:$B, 'Uncalibrated Data'!$C4010, 'Picarro Output'!$I:$I, 0, 'Picarro Output'!$J:$J, 1), "")</f>
        <v/>
      </c>
    </row>
    <row r="4011" spans="2:5" x14ac:dyDescent="0.45">
      <c r="B4011" s="1"/>
      <c r="E4011" s="45" t="str">
        <f>IFERROR(AVERAGEIFS('Picarro Output'!G:G, 'Picarro Output'!$B:$B, 'Uncalibrated Data'!$C4011, 'Picarro Output'!$I:$I, 0, 'Picarro Output'!$J:$J, 1), "")</f>
        <v/>
      </c>
    </row>
    <row r="4012" spans="2:5" x14ac:dyDescent="0.45">
      <c r="B4012" s="1"/>
      <c r="E4012" s="45" t="str">
        <f>IFERROR(AVERAGEIFS('Picarro Output'!G:G, 'Picarro Output'!$B:$B, 'Uncalibrated Data'!$C4012, 'Picarro Output'!$I:$I, 0, 'Picarro Output'!$J:$J, 1), "")</f>
        <v/>
      </c>
    </row>
    <row r="4013" spans="2:5" x14ac:dyDescent="0.45">
      <c r="B4013" s="1"/>
      <c r="E4013" s="45" t="str">
        <f>IFERROR(AVERAGEIFS('Picarro Output'!G:G, 'Picarro Output'!$B:$B, 'Uncalibrated Data'!$C4013, 'Picarro Output'!$I:$I, 0, 'Picarro Output'!$J:$J, 1), "")</f>
        <v/>
      </c>
    </row>
    <row r="4014" spans="2:5" x14ac:dyDescent="0.45">
      <c r="B4014" s="1"/>
      <c r="E4014" s="45" t="str">
        <f>IFERROR(AVERAGEIFS('Picarro Output'!G:G, 'Picarro Output'!$B:$B, 'Uncalibrated Data'!$C4014, 'Picarro Output'!$I:$I, 0, 'Picarro Output'!$J:$J, 1), "")</f>
        <v/>
      </c>
    </row>
    <row r="4015" spans="2:5" x14ac:dyDescent="0.45">
      <c r="B4015" s="1"/>
      <c r="E4015" s="45" t="str">
        <f>IFERROR(AVERAGEIFS('Picarro Output'!G:G, 'Picarro Output'!$B:$B, 'Uncalibrated Data'!$C4015, 'Picarro Output'!$I:$I, 0, 'Picarro Output'!$J:$J, 1), "")</f>
        <v/>
      </c>
    </row>
    <row r="4016" spans="2:5" x14ac:dyDescent="0.45">
      <c r="B4016" s="1"/>
      <c r="E4016" s="45" t="str">
        <f>IFERROR(AVERAGEIFS('Picarro Output'!G:G, 'Picarro Output'!$B:$B, 'Uncalibrated Data'!$C4016, 'Picarro Output'!$I:$I, 0, 'Picarro Output'!$J:$J, 1), "")</f>
        <v/>
      </c>
    </row>
    <row r="4017" spans="2:5" x14ac:dyDescent="0.45">
      <c r="B4017" s="1"/>
      <c r="E4017" s="45" t="str">
        <f>IFERROR(AVERAGEIFS('Picarro Output'!G:G, 'Picarro Output'!$B:$B, 'Uncalibrated Data'!$C4017, 'Picarro Output'!$I:$I, 0, 'Picarro Output'!$J:$J, 1), "")</f>
        <v/>
      </c>
    </row>
    <row r="4018" spans="2:5" x14ac:dyDescent="0.45">
      <c r="B4018" s="1"/>
      <c r="E4018" s="45" t="str">
        <f>IFERROR(AVERAGEIFS('Picarro Output'!G:G, 'Picarro Output'!$B:$B, 'Uncalibrated Data'!$C4018, 'Picarro Output'!$I:$I, 0, 'Picarro Output'!$J:$J, 1), "")</f>
        <v/>
      </c>
    </row>
    <row r="4019" spans="2:5" x14ac:dyDescent="0.45">
      <c r="B4019" s="1"/>
      <c r="E4019" s="45" t="str">
        <f>IFERROR(AVERAGEIFS('Picarro Output'!G:G, 'Picarro Output'!$B:$B, 'Uncalibrated Data'!$C4019, 'Picarro Output'!$I:$I, 0, 'Picarro Output'!$J:$J, 1), "")</f>
        <v/>
      </c>
    </row>
    <row r="4020" spans="2:5" x14ac:dyDescent="0.45">
      <c r="B4020" s="1"/>
      <c r="E4020" s="45" t="str">
        <f>IFERROR(AVERAGEIFS('Picarro Output'!G:G, 'Picarro Output'!$B:$B, 'Uncalibrated Data'!$C4020, 'Picarro Output'!$I:$I, 0, 'Picarro Output'!$J:$J, 1), "")</f>
        <v/>
      </c>
    </row>
    <row r="4021" spans="2:5" x14ac:dyDescent="0.45">
      <c r="B4021" s="1"/>
      <c r="E4021" s="45" t="str">
        <f>IFERROR(AVERAGEIFS('Picarro Output'!G:G, 'Picarro Output'!$B:$B, 'Uncalibrated Data'!$C4021, 'Picarro Output'!$I:$I, 0, 'Picarro Output'!$J:$J, 1), "")</f>
        <v/>
      </c>
    </row>
    <row r="4022" spans="2:5" x14ac:dyDescent="0.45">
      <c r="B4022" s="1"/>
      <c r="E4022" s="45" t="str">
        <f>IFERROR(AVERAGEIFS('Picarro Output'!G:G, 'Picarro Output'!$B:$B, 'Uncalibrated Data'!$C4022, 'Picarro Output'!$I:$I, 0, 'Picarro Output'!$J:$J, 1), "")</f>
        <v/>
      </c>
    </row>
    <row r="4023" spans="2:5" x14ac:dyDescent="0.45">
      <c r="B4023" s="1"/>
      <c r="E4023" s="45" t="str">
        <f>IFERROR(AVERAGEIFS('Picarro Output'!G:G, 'Picarro Output'!$B:$B, 'Uncalibrated Data'!$C4023, 'Picarro Output'!$I:$I, 0, 'Picarro Output'!$J:$J, 1), "")</f>
        <v/>
      </c>
    </row>
    <row r="4024" spans="2:5" x14ac:dyDescent="0.45">
      <c r="B4024" s="1"/>
      <c r="E4024" s="45" t="str">
        <f>IFERROR(AVERAGEIFS('Picarro Output'!G:G, 'Picarro Output'!$B:$B, 'Uncalibrated Data'!$C4024, 'Picarro Output'!$I:$I, 0, 'Picarro Output'!$J:$J, 1), "")</f>
        <v/>
      </c>
    </row>
    <row r="4025" spans="2:5" x14ac:dyDescent="0.45">
      <c r="B4025" s="1"/>
      <c r="E4025" s="45" t="str">
        <f>IFERROR(AVERAGEIFS('Picarro Output'!G:G, 'Picarro Output'!$B:$B, 'Uncalibrated Data'!$C4025, 'Picarro Output'!$I:$I, 0, 'Picarro Output'!$J:$J, 1), "")</f>
        <v/>
      </c>
    </row>
    <row r="4026" spans="2:5" x14ac:dyDescent="0.45">
      <c r="B4026" s="1"/>
      <c r="E4026" s="45" t="str">
        <f>IFERROR(AVERAGEIFS('Picarro Output'!G:G, 'Picarro Output'!$B:$B, 'Uncalibrated Data'!$C4026, 'Picarro Output'!$I:$I, 0, 'Picarro Output'!$J:$J, 1), "")</f>
        <v/>
      </c>
    </row>
    <row r="4027" spans="2:5" x14ac:dyDescent="0.45">
      <c r="B4027" s="1"/>
      <c r="E4027" s="45" t="str">
        <f>IFERROR(AVERAGEIFS('Picarro Output'!G:G, 'Picarro Output'!$B:$B, 'Uncalibrated Data'!$C4027, 'Picarro Output'!$I:$I, 0, 'Picarro Output'!$J:$J, 1), "")</f>
        <v/>
      </c>
    </row>
    <row r="4028" spans="2:5" x14ac:dyDescent="0.45">
      <c r="B4028" s="1"/>
      <c r="E4028" s="45" t="str">
        <f>IFERROR(AVERAGEIFS('Picarro Output'!G:G, 'Picarro Output'!$B:$B, 'Uncalibrated Data'!$C4028, 'Picarro Output'!$I:$I, 0, 'Picarro Output'!$J:$J, 1), "")</f>
        <v/>
      </c>
    </row>
    <row r="4029" spans="2:5" x14ac:dyDescent="0.45">
      <c r="B4029" s="1"/>
      <c r="E4029" s="45" t="str">
        <f>IFERROR(AVERAGEIFS('Picarro Output'!G:G, 'Picarro Output'!$B:$B, 'Uncalibrated Data'!$C4029, 'Picarro Output'!$I:$I, 0, 'Picarro Output'!$J:$J, 1), "")</f>
        <v/>
      </c>
    </row>
    <row r="4030" spans="2:5" x14ac:dyDescent="0.45">
      <c r="B4030" s="1"/>
      <c r="E4030" s="45" t="str">
        <f>IFERROR(AVERAGEIFS('Picarro Output'!G:G, 'Picarro Output'!$B:$B, 'Uncalibrated Data'!$C4030, 'Picarro Output'!$I:$I, 0, 'Picarro Output'!$J:$J, 1), "")</f>
        <v/>
      </c>
    </row>
    <row r="4031" spans="2:5" x14ac:dyDescent="0.45">
      <c r="B4031" s="1"/>
      <c r="E4031" s="45" t="str">
        <f>IFERROR(AVERAGEIFS('Picarro Output'!G:G, 'Picarro Output'!$B:$B, 'Uncalibrated Data'!$C4031, 'Picarro Output'!$I:$I, 0, 'Picarro Output'!$J:$J, 1), "")</f>
        <v/>
      </c>
    </row>
    <row r="4032" spans="2:5" x14ac:dyDescent="0.45">
      <c r="B4032" s="1"/>
      <c r="E4032" s="45" t="str">
        <f>IFERROR(AVERAGEIFS('Picarro Output'!G:G, 'Picarro Output'!$B:$B, 'Uncalibrated Data'!$C4032, 'Picarro Output'!$I:$I, 0, 'Picarro Output'!$J:$J, 1), "")</f>
        <v/>
      </c>
    </row>
    <row r="4033" spans="2:5" x14ac:dyDescent="0.45">
      <c r="B4033" s="1"/>
      <c r="E4033" s="45" t="str">
        <f>IFERROR(AVERAGEIFS('Picarro Output'!G:G, 'Picarro Output'!$B:$B, 'Uncalibrated Data'!$C4033, 'Picarro Output'!$I:$I, 0, 'Picarro Output'!$J:$J, 1), "")</f>
        <v/>
      </c>
    </row>
    <row r="4034" spans="2:5" x14ac:dyDescent="0.45">
      <c r="B4034" s="1"/>
      <c r="E4034" s="45" t="str">
        <f>IFERROR(AVERAGEIFS('Picarro Output'!G:G, 'Picarro Output'!$B:$B, 'Uncalibrated Data'!$C4034, 'Picarro Output'!$I:$I, 0, 'Picarro Output'!$J:$J, 1), "")</f>
        <v/>
      </c>
    </row>
    <row r="4035" spans="2:5" x14ac:dyDescent="0.45">
      <c r="B4035" s="1"/>
      <c r="E4035" s="45" t="str">
        <f>IFERROR(AVERAGEIFS('Picarro Output'!G:G, 'Picarro Output'!$B:$B, 'Uncalibrated Data'!$C4035, 'Picarro Output'!$I:$I, 0, 'Picarro Output'!$J:$J, 1), "")</f>
        <v/>
      </c>
    </row>
    <row r="4036" spans="2:5" x14ac:dyDescent="0.45">
      <c r="B4036" s="1"/>
      <c r="E4036" s="45" t="str">
        <f>IFERROR(AVERAGEIFS('Picarro Output'!G:G, 'Picarro Output'!$B:$B, 'Uncalibrated Data'!$C4036, 'Picarro Output'!$I:$I, 0, 'Picarro Output'!$J:$J, 1), "")</f>
        <v/>
      </c>
    </row>
    <row r="4037" spans="2:5" x14ac:dyDescent="0.45">
      <c r="B4037" s="1"/>
      <c r="E4037" s="45" t="str">
        <f>IFERROR(AVERAGEIFS('Picarro Output'!G:G, 'Picarro Output'!$B:$B, 'Uncalibrated Data'!$C4037, 'Picarro Output'!$I:$I, 0, 'Picarro Output'!$J:$J, 1), "")</f>
        <v/>
      </c>
    </row>
    <row r="4038" spans="2:5" x14ac:dyDescent="0.45">
      <c r="B4038" s="1"/>
      <c r="E4038" s="45" t="str">
        <f>IFERROR(AVERAGEIFS('Picarro Output'!G:G, 'Picarro Output'!$B:$B, 'Uncalibrated Data'!$C4038, 'Picarro Output'!$I:$I, 0, 'Picarro Output'!$J:$J, 1), "")</f>
        <v/>
      </c>
    </row>
    <row r="4039" spans="2:5" x14ac:dyDescent="0.45">
      <c r="B4039" s="1"/>
      <c r="E4039" s="45" t="str">
        <f>IFERROR(AVERAGEIFS('Picarro Output'!G:G, 'Picarro Output'!$B:$B, 'Uncalibrated Data'!$C4039, 'Picarro Output'!$I:$I, 0, 'Picarro Output'!$J:$J, 1), "")</f>
        <v/>
      </c>
    </row>
    <row r="4040" spans="2:5" x14ac:dyDescent="0.45">
      <c r="B4040" s="1"/>
      <c r="E4040" s="45" t="str">
        <f>IFERROR(AVERAGEIFS('Picarro Output'!G:G, 'Picarro Output'!$B:$B, 'Uncalibrated Data'!$C4040, 'Picarro Output'!$I:$I, 0, 'Picarro Output'!$J:$J, 1), "")</f>
        <v/>
      </c>
    </row>
    <row r="4041" spans="2:5" x14ac:dyDescent="0.45">
      <c r="B4041" s="1"/>
      <c r="E4041" s="45" t="str">
        <f>IFERROR(AVERAGEIFS('Picarro Output'!G:G, 'Picarro Output'!$B:$B, 'Uncalibrated Data'!$C4041, 'Picarro Output'!$I:$I, 0, 'Picarro Output'!$J:$J, 1), "")</f>
        <v/>
      </c>
    </row>
    <row r="4042" spans="2:5" x14ac:dyDescent="0.45">
      <c r="B4042" s="1"/>
      <c r="E4042" s="45" t="str">
        <f>IFERROR(AVERAGEIFS('Picarro Output'!G:G, 'Picarro Output'!$B:$B, 'Uncalibrated Data'!$C4042, 'Picarro Output'!$I:$I, 0, 'Picarro Output'!$J:$J, 1), "")</f>
        <v/>
      </c>
    </row>
    <row r="4043" spans="2:5" x14ac:dyDescent="0.45">
      <c r="B4043" s="1"/>
      <c r="E4043" s="45" t="str">
        <f>IFERROR(AVERAGEIFS('Picarro Output'!G:G, 'Picarro Output'!$B:$B, 'Uncalibrated Data'!$C4043, 'Picarro Output'!$I:$I, 0, 'Picarro Output'!$J:$J, 1), "")</f>
        <v/>
      </c>
    </row>
    <row r="4044" spans="2:5" x14ac:dyDescent="0.45">
      <c r="B4044" s="1"/>
      <c r="E4044" s="45" t="str">
        <f>IFERROR(AVERAGEIFS('Picarro Output'!G:G, 'Picarro Output'!$B:$B, 'Uncalibrated Data'!$C4044, 'Picarro Output'!$I:$I, 0, 'Picarro Output'!$J:$J, 1), "")</f>
        <v/>
      </c>
    </row>
    <row r="4045" spans="2:5" x14ac:dyDescent="0.45">
      <c r="B4045" s="1"/>
      <c r="E4045" s="45" t="str">
        <f>IFERROR(AVERAGEIFS('Picarro Output'!G:G, 'Picarro Output'!$B:$B, 'Uncalibrated Data'!$C4045, 'Picarro Output'!$I:$I, 0, 'Picarro Output'!$J:$J, 1), "")</f>
        <v/>
      </c>
    </row>
    <row r="4046" spans="2:5" x14ac:dyDescent="0.45">
      <c r="B4046" s="1"/>
      <c r="E4046" s="45" t="str">
        <f>IFERROR(AVERAGEIFS('Picarro Output'!G:G, 'Picarro Output'!$B:$B, 'Uncalibrated Data'!$C4046, 'Picarro Output'!$I:$I, 0, 'Picarro Output'!$J:$J, 1), "")</f>
        <v/>
      </c>
    </row>
    <row r="4047" spans="2:5" x14ac:dyDescent="0.45">
      <c r="B4047" s="1"/>
      <c r="E4047" s="45" t="str">
        <f>IFERROR(AVERAGEIFS('Picarro Output'!G:G, 'Picarro Output'!$B:$B, 'Uncalibrated Data'!$C4047, 'Picarro Output'!$I:$I, 0, 'Picarro Output'!$J:$J, 1), "")</f>
        <v/>
      </c>
    </row>
    <row r="4048" spans="2:5" x14ac:dyDescent="0.45">
      <c r="B4048" s="1"/>
      <c r="E4048" s="45" t="str">
        <f>IFERROR(AVERAGEIFS('Picarro Output'!G:G, 'Picarro Output'!$B:$B, 'Uncalibrated Data'!$C4048, 'Picarro Output'!$I:$I, 0, 'Picarro Output'!$J:$J, 1), "")</f>
        <v/>
      </c>
    </row>
    <row r="4049" spans="2:5" x14ac:dyDescent="0.45">
      <c r="B4049" s="1"/>
      <c r="E4049" s="45" t="str">
        <f>IFERROR(AVERAGEIFS('Picarro Output'!G:G, 'Picarro Output'!$B:$B, 'Uncalibrated Data'!$C4049, 'Picarro Output'!$I:$I, 0, 'Picarro Output'!$J:$J, 1), "")</f>
        <v/>
      </c>
    </row>
    <row r="4050" spans="2:5" x14ac:dyDescent="0.45">
      <c r="B4050" s="1"/>
      <c r="E4050" s="45" t="str">
        <f>IFERROR(AVERAGEIFS('Picarro Output'!G:G, 'Picarro Output'!$B:$B, 'Uncalibrated Data'!$C4050, 'Picarro Output'!$I:$I, 0, 'Picarro Output'!$J:$J, 1), "")</f>
        <v/>
      </c>
    </row>
    <row r="4051" spans="2:5" x14ac:dyDescent="0.45">
      <c r="B4051" s="1"/>
      <c r="E4051" s="45" t="str">
        <f>IFERROR(AVERAGEIFS('Picarro Output'!G:G, 'Picarro Output'!$B:$B, 'Uncalibrated Data'!$C4051, 'Picarro Output'!$I:$I, 0, 'Picarro Output'!$J:$J, 1), "")</f>
        <v/>
      </c>
    </row>
    <row r="4052" spans="2:5" x14ac:dyDescent="0.45">
      <c r="B4052" s="1"/>
      <c r="E4052" s="45" t="str">
        <f>IFERROR(AVERAGEIFS('Picarro Output'!G:G, 'Picarro Output'!$B:$B, 'Uncalibrated Data'!$C4052, 'Picarro Output'!$I:$I, 0, 'Picarro Output'!$J:$J, 1), "")</f>
        <v/>
      </c>
    </row>
    <row r="4053" spans="2:5" x14ac:dyDescent="0.45">
      <c r="B4053" s="1"/>
      <c r="E4053" s="45" t="str">
        <f>IFERROR(AVERAGEIFS('Picarro Output'!G:G, 'Picarro Output'!$B:$B, 'Uncalibrated Data'!$C4053, 'Picarro Output'!$I:$I, 0, 'Picarro Output'!$J:$J, 1), "")</f>
        <v/>
      </c>
    </row>
    <row r="4054" spans="2:5" x14ac:dyDescent="0.45">
      <c r="B4054" s="1"/>
      <c r="E4054" s="45" t="str">
        <f>IFERROR(AVERAGEIFS('Picarro Output'!G:G, 'Picarro Output'!$B:$B, 'Uncalibrated Data'!$C4054, 'Picarro Output'!$I:$I, 0, 'Picarro Output'!$J:$J, 1), "")</f>
        <v/>
      </c>
    </row>
    <row r="4055" spans="2:5" x14ac:dyDescent="0.45">
      <c r="B4055" s="1"/>
      <c r="E4055" s="45" t="str">
        <f>IFERROR(AVERAGEIFS('Picarro Output'!G:G, 'Picarro Output'!$B:$B, 'Uncalibrated Data'!$C4055, 'Picarro Output'!$I:$I, 0, 'Picarro Output'!$J:$J, 1), "")</f>
        <v/>
      </c>
    </row>
    <row r="4056" spans="2:5" x14ac:dyDescent="0.45">
      <c r="B4056" s="1"/>
      <c r="E4056" s="45" t="str">
        <f>IFERROR(AVERAGEIFS('Picarro Output'!G:G, 'Picarro Output'!$B:$B, 'Uncalibrated Data'!$C4056, 'Picarro Output'!$I:$I, 0, 'Picarro Output'!$J:$J, 1), "")</f>
        <v/>
      </c>
    </row>
    <row r="4057" spans="2:5" x14ac:dyDescent="0.45">
      <c r="B4057" s="1"/>
      <c r="E4057" s="45" t="str">
        <f>IFERROR(AVERAGEIFS('Picarro Output'!G:G, 'Picarro Output'!$B:$B, 'Uncalibrated Data'!$C4057, 'Picarro Output'!$I:$I, 0, 'Picarro Output'!$J:$J, 1), "")</f>
        <v/>
      </c>
    </row>
    <row r="4058" spans="2:5" x14ac:dyDescent="0.45">
      <c r="B4058" s="1"/>
      <c r="E4058" s="45" t="str">
        <f>IFERROR(AVERAGEIFS('Picarro Output'!G:G, 'Picarro Output'!$B:$B, 'Uncalibrated Data'!$C4058, 'Picarro Output'!$I:$I, 0, 'Picarro Output'!$J:$J, 1), "")</f>
        <v/>
      </c>
    </row>
    <row r="4059" spans="2:5" x14ac:dyDescent="0.45">
      <c r="B4059" s="1"/>
      <c r="E4059" s="45" t="str">
        <f>IFERROR(AVERAGEIFS('Picarro Output'!G:G, 'Picarro Output'!$B:$B, 'Uncalibrated Data'!$C4059, 'Picarro Output'!$I:$I, 0, 'Picarro Output'!$J:$J, 1), "")</f>
        <v/>
      </c>
    </row>
    <row r="4060" spans="2:5" x14ac:dyDescent="0.45">
      <c r="B4060" s="1"/>
      <c r="E4060" s="45" t="str">
        <f>IFERROR(AVERAGEIFS('Picarro Output'!G:G, 'Picarro Output'!$B:$B, 'Uncalibrated Data'!$C4060, 'Picarro Output'!$I:$I, 0, 'Picarro Output'!$J:$J, 1), "")</f>
        <v/>
      </c>
    </row>
    <row r="4061" spans="2:5" x14ac:dyDescent="0.45">
      <c r="B4061" s="1"/>
      <c r="E4061" s="45" t="str">
        <f>IFERROR(AVERAGEIFS('Picarro Output'!G:G, 'Picarro Output'!$B:$B, 'Uncalibrated Data'!$C4061, 'Picarro Output'!$I:$I, 0, 'Picarro Output'!$J:$J, 1), "")</f>
        <v/>
      </c>
    </row>
    <row r="4062" spans="2:5" x14ac:dyDescent="0.45">
      <c r="B4062" s="1"/>
      <c r="E4062" s="45" t="str">
        <f>IFERROR(AVERAGEIFS('Picarro Output'!G:G, 'Picarro Output'!$B:$B, 'Uncalibrated Data'!$C4062, 'Picarro Output'!$I:$I, 0, 'Picarro Output'!$J:$J, 1), "")</f>
        <v/>
      </c>
    </row>
    <row r="4063" spans="2:5" x14ac:dyDescent="0.45">
      <c r="B4063" s="1"/>
      <c r="E4063" s="45" t="str">
        <f>IFERROR(AVERAGEIFS('Picarro Output'!G:G, 'Picarro Output'!$B:$B, 'Uncalibrated Data'!$C4063, 'Picarro Output'!$I:$I, 0, 'Picarro Output'!$J:$J, 1), "")</f>
        <v/>
      </c>
    </row>
    <row r="4064" spans="2:5" x14ac:dyDescent="0.45">
      <c r="B4064" s="1"/>
      <c r="E4064" s="45" t="str">
        <f>IFERROR(AVERAGEIFS('Picarro Output'!G:G, 'Picarro Output'!$B:$B, 'Uncalibrated Data'!$C4064, 'Picarro Output'!$I:$I, 0, 'Picarro Output'!$J:$J, 1), "")</f>
        <v/>
      </c>
    </row>
    <row r="4065" spans="2:5" x14ac:dyDescent="0.45">
      <c r="B4065" s="1"/>
      <c r="E4065" s="45" t="str">
        <f>IFERROR(AVERAGEIFS('Picarro Output'!G:G, 'Picarro Output'!$B:$B, 'Uncalibrated Data'!$C4065, 'Picarro Output'!$I:$I, 0, 'Picarro Output'!$J:$J, 1), "")</f>
        <v/>
      </c>
    </row>
    <row r="4066" spans="2:5" x14ac:dyDescent="0.45">
      <c r="B4066" s="1"/>
      <c r="E4066" s="45" t="str">
        <f>IFERROR(AVERAGEIFS('Picarro Output'!G:G, 'Picarro Output'!$B:$B, 'Uncalibrated Data'!$C4066, 'Picarro Output'!$I:$I, 0, 'Picarro Output'!$J:$J, 1), "")</f>
        <v/>
      </c>
    </row>
    <row r="4067" spans="2:5" x14ac:dyDescent="0.45">
      <c r="B4067" s="1"/>
      <c r="E4067" s="45" t="str">
        <f>IFERROR(AVERAGEIFS('Picarro Output'!G:G, 'Picarro Output'!$B:$B, 'Uncalibrated Data'!$C4067, 'Picarro Output'!$I:$I, 0, 'Picarro Output'!$J:$J, 1), "")</f>
        <v/>
      </c>
    </row>
    <row r="4068" spans="2:5" x14ac:dyDescent="0.45">
      <c r="B4068" s="1"/>
      <c r="E4068" s="45" t="str">
        <f>IFERROR(AVERAGEIFS('Picarro Output'!G:G, 'Picarro Output'!$B:$B, 'Uncalibrated Data'!$C4068, 'Picarro Output'!$I:$I, 0, 'Picarro Output'!$J:$J, 1), "")</f>
        <v/>
      </c>
    </row>
    <row r="4069" spans="2:5" x14ac:dyDescent="0.45">
      <c r="B4069" s="1"/>
      <c r="E4069" s="45" t="str">
        <f>IFERROR(AVERAGEIFS('Picarro Output'!G:G, 'Picarro Output'!$B:$B, 'Uncalibrated Data'!$C4069, 'Picarro Output'!$I:$I, 0, 'Picarro Output'!$J:$J, 1), "")</f>
        <v/>
      </c>
    </row>
    <row r="4070" spans="2:5" x14ac:dyDescent="0.45">
      <c r="B4070" s="1"/>
      <c r="E4070" s="45" t="str">
        <f>IFERROR(AVERAGEIFS('Picarro Output'!G:G, 'Picarro Output'!$B:$B, 'Uncalibrated Data'!$C4070, 'Picarro Output'!$I:$I, 0, 'Picarro Output'!$J:$J, 1), "")</f>
        <v/>
      </c>
    </row>
    <row r="4071" spans="2:5" x14ac:dyDescent="0.45">
      <c r="B4071" s="1"/>
      <c r="E4071" s="45" t="str">
        <f>IFERROR(AVERAGEIFS('Picarro Output'!G:G, 'Picarro Output'!$B:$B, 'Uncalibrated Data'!$C4071, 'Picarro Output'!$I:$I, 0, 'Picarro Output'!$J:$J, 1), "")</f>
        <v/>
      </c>
    </row>
    <row r="4072" spans="2:5" x14ac:dyDescent="0.45">
      <c r="B4072" s="1"/>
      <c r="E4072" s="45" t="str">
        <f>IFERROR(AVERAGEIFS('Picarro Output'!G:G, 'Picarro Output'!$B:$B, 'Uncalibrated Data'!$C4072, 'Picarro Output'!$I:$I, 0, 'Picarro Output'!$J:$J, 1), "")</f>
        <v/>
      </c>
    </row>
    <row r="4073" spans="2:5" x14ac:dyDescent="0.45">
      <c r="B4073" s="1"/>
      <c r="E4073" s="45" t="str">
        <f>IFERROR(AVERAGEIFS('Picarro Output'!G:G, 'Picarro Output'!$B:$B, 'Uncalibrated Data'!$C4073, 'Picarro Output'!$I:$I, 0, 'Picarro Output'!$J:$J, 1), "")</f>
        <v/>
      </c>
    </row>
    <row r="4074" spans="2:5" x14ac:dyDescent="0.45">
      <c r="B4074" s="1"/>
      <c r="E4074" s="45" t="str">
        <f>IFERROR(AVERAGEIFS('Picarro Output'!G:G, 'Picarro Output'!$B:$B, 'Uncalibrated Data'!$C4074, 'Picarro Output'!$I:$I, 0, 'Picarro Output'!$J:$J, 1), "")</f>
        <v/>
      </c>
    </row>
    <row r="4075" spans="2:5" x14ac:dyDescent="0.45">
      <c r="B4075" s="1"/>
      <c r="E4075" s="45" t="str">
        <f>IFERROR(AVERAGEIFS('Picarro Output'!G:G, 'Picarro Output'!$B:$B, 'Uncalibrated Data'!$C4075, 'Picarro Output'!$I:$I, 0, 'Picarro Output'!$J:$J, 1), "")</f>
        <v/>
      </c>
    </row>
    <row r="4076" spans="2:5" x14ac:dyDescent="0.45">
      <c r="B4076" s="1"/>
      <c r="E4076" s="45" t="str">
        <f>IFERROR(AVERAGEIFS('Picarro Output'!G:G, 'Picarro Output'!$B:$B, 'Uncalibrated Data'!$C4076, 'Picarro Output'!$I:$I, 0, 'Picarro Output'!$J:$J, 1), "")</f>
        <v/>
      </c>
    </row>
    <row r="4077" spans="2:5" x14ac:dyDescent="0.45">
      <c r="B4077" s="1"/>
      <c r="E4077" s="45" t="str">
        <f>IFERROR(AVERAGEIFS('Picarro Output'!G:G, 'Picarro Output'!$B:$B, 'Uncalibrated Data'!$C4077, 'Picarro Output'!$I:$I, 0, 'Picarro Output'!$J:$J, 1), "")</f>
        <v/>
      </c>
    </row>
    <row r="4078" spans="2:5" x14ac:dyDescent="0.45">
      <c r="B4078" s="1"/>
      <c r="E4078" s="45" t="str">
        <f>IFERROR(AVERAGEIFS('Picarro Output'!G:G, 'Picarro Output'!$B:$B, 'Uncalibrated Data'!$C4078, 'Picarro Output'!$I:$I, 0, 'Picarro Output'!$J:$J, 1), "")</f>
        <v/>
      </c>
    </row>
    <row r="4079" spans="2:5" x14ac:dyDescent="0.45">
      <c r="B4079" s="1"/>
      <c r="E4079" s="45" t="str">
        <f>IFERROR(AVERAGEIFS('Picarro Output'!G:G, 'Picarro Output'!$B:$B, 'Uncalibrated Data'!$C4079, 'Picarro Output'!$I:$I, 0, 'Picarro Output'!$J:$J, 1), "")</f>
        <v/>
      </c>
    </row>
    <row r="4080" spans="2:5" x14ac:dyDescent="0.45">
      <c r="B4080" s="1"/>
      <c r="E4080" s="45" t="str">
        <f>IFERROR(AVERAGEIFS('Picarro Output'!G:G, 'Picarro Output'!$B:$B, 'Uncalibrated Data'!$C4080, 'Picarro Output'!$I:$I, 0, 'Picarro Output'!$J:$J, 1), "")</f>
        <v/>
      </c>
    </row>
    <row r="4081" spans="2:5" x14ac:dyDescent="0.45">
      <c r="B4081" s="1"/>
      <c r="E4081" s="45" t="str">
        <f>IFERROR(AVERAGEIFS('Picarro Output'!G:G, 'Picarro Output'!$B:$B, 'Uncalibrated Data'!$C4081, 'Picarro Output'!$I:$I, 0, 'Picarro Output'!$J:$J, 1), "")</f>
        <v/>
      </c>
    </row>
    <row r="4082" spans="2:5" x14ac:dyDescent="0.45">
      <c r="B4082" s="1"/>
      <c r="E4082" s="45" t="str">
        <f>IFERROR(AVERAGEIFS('Picarro Output'!G:G, 'Picarro Output'!$B:$B, 'Uncalibrated Data'!$C4082, 'Picarro Output'!$I:$I, 0, 'Picarro Output'!$J:$J, 1), "")</f>
        <v/>
      </c>
    </row>
    <row r="4083" spans="2:5" x14ac:dyDescent="0.45">
      <c r="B4083" s="1"/>
      <c r="E4083" s="45" t="str">
        <f>IFERROR(AVERAGEIFS('Picarro Output'!G:G, 'Picarro Output'!$B:$B, 'Uncalibrated Data'!$C4083, 'Picarro Output'!$I:$I, 0, 'Picarro Output'!$J:$J, 1), "")</f>
        <v/>
      </c>
    </row>
    <row r="4084" spans="2:5" x14ac:dyDescent="0.45">
      <c r="B4084" s="1"/>
      <c r="E4084" s="45" t="str">
        <f>IFERROR(AVERAGEIFS('Picarro Output'!G:G, 'Picarro Output'!$B:$B, 'Uncalibrated Data'!$C4084, 'Picarro Output'!$I:$I, 0, 'Picarro Output'!$J:$J, 1), "")</f>
        <v/>
      </c>
    </row>
    <row r="4085" spans="2:5" x14ac:dyDescent="0.45">
      <c r="B4085" s="1"/>
      <c r="E4085" s="45" t="str">
        <f>IFERROR(AVERAGEIFS('Picarro Output'!G:G, 'Picarro Output'!$B:$B, 'Uncalibrated Data'!$C4085, 'Picarro Output'!$I:$I, 0, 'Picarro Output'!$J:$J, 1), "")</f>
        <v/>
      </c>
    </row>
    <row r="4086" spans="2:5" x14ac:dyDescent="0.45">
      <c r="B4086" s="1"/>
      <c r="E4086" s="45" t="str">
        <f>IFERROR(AVERAGEIFS('Picarro Output'!G:G, 'Picarro Output'!$B:$B, 'Uncalibrated Data'!$C4086, 'Picarro Output'!$I:$I, 0, 'Picarro Output'!$J:$J, 1), "")</f>
        <v/>
      </c>
    </row>
    <row r="4087" spans="2:5" x14ac:dyDescent="0.45">
      <c r="B4087" s="1"/>
      <c r="E4087" s="45" t="str">
        <f>IFERROR(AVERAGEIFS('Picarro Output'!G:G, 'Picarro Output'!$B:$B, 'Uncalibrated Data'!$C4087, 'Picarro Output'!$I:$I, 0, 'Picarro Output'!$J:$J, 1), "")</f>
        <v/>
      </c>
    </row>
    <row r="4088" spans="2:5" x14ac:dyDescent="0.45">
      <c r="B4088" s="1"/>
      <c r="E4088" s="45" t="str">
        <f>IFERROR(AVERAGEIFS('Picarro Output'!G:G, 'Picarro Output'!$B:$B, 'Uncalibrated Data'!$C4088, 'Picarro Output'!$I:$I, 0, 'Picarro Output'!$J:$J, 1), "")</f>
        <v/>
      </c>
    </row>
    <row r="4089" spans="2:5" x14ac:dyDescent="0.45">
      <c r="B4089" s="1"/>
      <c r="E4089" s="45" t="str">
        <f>IFERROR(AVERAGEIFS('Picarro Output'!G:G, 'Picarro Output'!$B:$B, 'Uncalibrated Data'!$C4089, 'Picarro Output'!$I:$I, 0, 'Picarro Output'!$J:$J, 1), "")</f>
        <v/>
      </c>
    </row>
    <row r="4090" spans="2:5" x14ac:dyDescent="0.45">
      <c r="B4090" s="1"/>
      <c r="E4090" s="45" t="str">
        <f>IFERROR(AVERAGEIFS('Picarro Output'!G:G, 'Picarro Output'!$B:$B, 'Uncalibrated Data'!$C4090, 'Picarro Output'!$I:$I, 0, 'Picarro Output'!$J:$J, 1), "")</f>
        <v/>
      </c>
    </row>
    <row r="4091" spans="2:5" x14ac:dyDescent="0.45">
      <c r="B4091" s="1"/>
      <c r="E4091" s="45" t="str">
        <f>IFERROR(AVERAGEIFS('Picarro Output'!G:G, 'Picarro Output'!$B:$B, 'Uncalibrated Data'!$C4091, 'Picarro Output'!$I:$I, 0, 'Picarro Output'!$J:$J, 1), "")</f>
        <v/>
      </c>
    </row>
    <row r="4092" spans="2:5" x14ac:dyDescent="0.45">
      <c r="B4092" s="1"/>
      <c r="E4092" s="45" t="str">
        <f>IFERROR(AVERAGEIFS('Picarro Output'!G:G, 'Picarro Output'!$B:$B, 'Uncalibrated Data'!$C4092, 'Picarro Output'!$I:$I, 0, 'Picarro Output'!$J:$J, 1), "")</f>
        <v/>
      </c>
    </row>
    <row r="4093" spans="2:5" x14ac:dyDescent="0.45">
      <c r="B4093" s="1"/>
      <c r="E4093" s="45" t="str">
        <f>IFERROR(AVERAGEIFS('Picarro Output'!G:G, 'Picarro Output'!$B:$B, 'Uncalibrated Data'!$C4093, 'Picarro Output'!$I:$I, 0, 'Picarro Output'!$J:$J, 1), "")</f>
        <v/>
      </c>
    </row>
    <row r="4094" spans="2:5" x14ac:dyDescent="0.45">
      <c r="B4094" s="1"/>
      <c r="E4094" s="45" t="str">
        <f>IFERROR(AVERAGEIFS('Picarro Output'!G:G, 'Picarro Output'!$B:$B, 'Uncalibrated Data'!$C4094, 'Picarro Output'!$I:$I, 0, 'Picarro Output'!$J:$J, 1), "")</f>
        <v/>
      </c>
    </row>
    <row r="4095" spans="2:5" x14ac:dyDescent="0.45">
      <c r="B4095" s="1"/>
      <c r="E4095" s="45" t="str">
        <f>IFERROR(AVERAGEIFS('Picarro Output'!G:G, 'Picarro Output'!$B:$B, 'Uncalibrated Data'!$C4095, 'Picarro Output'!$I:$I, 0, 'Picarro Output'!$J:$J, 1), "")</f>
        <v/>
      </c>
    </row>
    <row r="4096" spans="2:5" x14ac:dyDescent="0.45">
      <c r="B4096" s="1"/>
      <c r="E4096" s="45" t="str">
        <f>IFERROR(AVERAGEIFS('Picarro Output'!G:G, 'Picarro Output'!$B:$B, 'Uncalibrated Data'!$C4096, 'Picarro Output'!$I:$I, 0, 'Picarro Output'!$J:$J, 1), "")</f>
        <v/>
      </c>
    </row>
    <row r="4097" spans="2:5" x14ac:dyDescent="0.45">
      <c r="B4097" s="1"/>
      <c r="E4097" s="45" t="str">
        <f>IFERROR(AVERAGEIFS('Picarro Output'!G:G, 'Picarro Output'!$B:$B, 'Uncalibrated Data'!$C4097, 'Picarro Output'!$I:$I, 0, 'Picarro Output'!$J:$J, 1), "")</f>
        <v/>
      </c>
    </row>
    <row r="4098" spans="2:5" x14ac:dyDescent="0.45">
      <c r="B4098" s="1"/>
      <c r="E4098" s="45" t="str">
        <f>IFERROR(AVERAGEIFS('Picarro Output'!G:G, 'Picarro Output'!$B:$B, 'Uncalibrated Data'!$C4098, 'Picarro Output'!$I:$I, 0, 'Picarro Output'!$J:$J, 1), "")</f>
        <v/>
      </c>
    </row>
    <row r="4099" spans="2:5" x14ac:dyDescent="0.45">
      <c r="B4099" s="1"/>
      <c r="E4099" s="45" t="str">
        <f>IFERROR(AVERAGEIFS('Picarro Output'!G:G, 'Picarro Output'!$B:$B, 'Uncalibrated Data'!$C4099, 'Picarro Output'!$I:$I, 0, 'Picarro Output'!$J:$J, 1), "")</f>
        <v/>
      </c>
    </row>
    <row r="4100" spans="2:5" x14ac:dyDescent="0.45">
      <c r="B4100" s="1"/>
      <c r="E4100" s="45" t="str">
        <f>IFERROR(AVERAGEIFS('Picarro Output'!G:G, 'Picarro Output'!$B:$B, 'Uncalibrated Data'!$C4100, 'Picarro Output'!$I:$I, 0, 'Picarro Output'!$J:$J, 1), "")</f>
        <v/>
      </c>
    </row>
    <row r="4101" spans="2:5" x14ac:dyDescent="0.45">
      <c r="B4101" s="1"/>
      <c r="E4101" s="45" t="str">
        <f>IFERROR(AVERAGEIFS('Picarro Output'!G:G, 'Picarro Output'!$B:$B, 'Uncalibrated Data'!$C4101, 'Picarro Output'!$I:$I, 0, 'Picarro Output'!$J:$J, 1), "")</f>
        <v/>
      </c>
    </row>
    <row r="4102" spans="2:5" x14ac:dyDescent="0.45">
      <c r="B4102" s="1"/>
      <c r="E4102" s="45" t="str">
        <f>IFERROR(AVERAGEIFS('Picarro Output'!G:G, 'Picarro Output'!$B:$B, 'Uncalibrated Data'!$C4102, 'Picarro Output'!$I:$I, 0, 'Picarro Output'!$J:$J, 1), "")</f>
        <v/>
      </c>
    </row>
    <row r="4103" spans="2:5" x14ac:dyDescent="0.45">
      <c r="B4103" s="1"/>
      <c r="E4103" s="45" t="str">
        <f>IFERROR(AVERAGEIFS('Picarro Output'!G:G, 'Picarro Output'!$B:$B, 'Uncalibrated Data'!$C4103, 'Picarro Output'!$I:$I, 0, 'Picarro Output'!$J:$J, 1), "")</f>
        <v/>
      </c>
    </row>
    <row r="4104" spans="2:5" x14ac:dyDescent="0.45">
      <c r="B4104" s="1"/>
      <c r="E4104" s="45" t="str">
        <f>IFERROR(AVERAGEIFS('Picarro Output'!G:G, 'Picarro Output'!$B:$B, 'Uncalibrated Data'!$C4104, 'Picarro Output'!$I:$I, 0, 'Picarro Output'!$J:$J, 1), "")</f>
        <v/>
      </c>
    </row>
    <row r="4105" spans="2:5" x14ac:dyDescent="0.45">
      <c r="B4105" s="1"/>
      <c r="E4105" s="45" t="str">
        <f>IFERROR(AVERAGEIFS('Picarro Output'!G:G, 'Picarro Output'!$B:$B, 'Uncalibrated Data'!$C4105, 'Picarro Output'!$I:$I, 0, 'Picarro Output'!$J:$J, 1), "")</f>
        <v/>
      </c>
    </row>
    <row r="4106" spans="2:5" x14ac:dyDescent="0.45">
      <c r="B4106" s="1"/>
      <c r="E4106" s="45" t="str">
        <f>IFERROR(AVERAGEIFS('Picarro Output'!G:G, 'Picarro Output'!$B:$B, 'Uncalibrated Data'!$C4106, 'Picarro Output'!$I:$I, 0, 'Picarro Output'!$J:$J, 1), "")</f>
        <v/>
      </c>
    </row>
    <row r="4107" spans="2:5" x14ac:dyDescent="0.45">
      <c r="B4107" s="1"/>
      <c r="E4107" s="45" t="str">
        <f>IFERROR(AVERAGEIFS('Picarro Output'!G:G, 'Picarro Output'!$B:$B, 'Uncalibrated Data'!$C4107, 'Picarro Output'!$I:$I, 0, 'Picarro Output'!$J:$J, 1), "")</f>
        <v/>
      </c>
    </row>
    <row r="4108" spans="2:5" x14ac:dyDescent="0.45">
      <c r="B4108" s="1"/>
      <c r="E4108" s="45" t="str">
        <f>IFERROR(AVERAGEIFS('Picarro Output'!G:G, 'Picarro Output'!$B:$B, 'Uncalibrated Data'!$C4108, 'Picarro Output'!$I:$I, 0, 'Picarro Output'!$J:$J, 1), "")</f>
        <v/>
      </c>
    </row>
    <row r="4109" spans="2:5" x14ac:dyDescent="0.45">
      <c r="B4109" s="1"/>
      <c r="E4109" s="45" t="str">
        <f>IFERROR(AVERAGEIFS('Picarro Output'!G:G, 'Picarro Output'!$B:$B, 'Uncalibrated Data'!$C4109, 'Picarro Output'!$I:$I, 0, 'Picarro Output'!$J:$J, 1), "")</f>
        <v/>
      </c>
    </row>
    <row r="4110" spans="2:5" x14ac:dyDescent="0.45">
      <c r="B4110" s="1"/>
      <c r="E4110" s="45" t="str">
        <f>IFERROR(AVERAGEIFS('Picarro Output'!G:G, 'Picarro Output'!$B:$B, 'Uncalibrated Data'!$C4110, 'Picarro Output'!$I:$I, 0, 'Picarro Output'!$J:$J, 1), "")</f>
        <v/>
      </c>
    </row>
    <row r="4111" spans="2:5" x14ac:dyDescent="0.45">
      <c r="B4111" s="1"/>
      <c r="E4111" s="45" t="str">
        <f>IFERROR(AVERAGEIFS('Picarro Output'!G:G, 'Picarro Output'!$B:$B, 'Uncalibrated Data'!$C4111, 'Picarro Output'!$I:$I, 0, 'Picarro Output'!$J:$J, 1), "")</f>
        <v/>
      </c>
    </row>
    <row r="4112" spans="2:5" x14ac:dyDescent="0.45">
      <c r="B4112" s="1"/>
      <c r="E4112" s="45" t="str">
        <f>IFERROR(AVERAGEIFS('Picarro Output'!G:G, 'Picarro Output'!$B:$B, 'Uncalibrated Data'!$C4112, 'Picarro Output'!$I:$I, 0, 'Picarro Output'!$J:$J, 1), "")</f>
        <v/>
      </c>
    </row>
    <row r="4113" spans="2:5" x14ac:dyDescent="0.45">
      <c r="B4113" s="1"/>
      <c r="E4113" s="45" t="str">
        <f>IFERROR(AVERAGEIFS('Picarro Output'!G:G, 'Picarro Output'!$B:$B, 'Uncalibrated Data'!$C4113, 'Picarro Output'!$I:$I, 0, 'Picarro Output'!$J:$J, 1), "")</f>
        <v/>
      </c>
    </row>
    <row r="4114" spans="2:5" x14ac:dyDescent="0.45">
      <c r="B4114" s="1"/>
      <c r="E4114" s="45" t="str">
        <f>IFERROR(AVERAGEIFS('Picarro Output'!G:G, 'Picarro Output'!$B:$B, 'Uncalibrated Data'!$C4114, 'Picarro Output'!$I:$I, 0, 'Picarro Output'!$J:$J, 1), "")</f>
        <v/>
      </c>
    </row>
    <row r="4115" spans="2:5" x14ac:dyDescent="0.45">
      <c r="B4115" s="1"/>
      <c r="E4115" s="45" t="str">
        <f>IFERROR(AVERAGEIFS('Picarro Output'!G:G, 'Picarro Output'!$B:$B, 'Uncalibrated Data'!$C4115, 'Picarro Output'!$I:$I, 0, 'Picarro Output'!$J:$J, 1), "")</f>
        <v/>
      </c>
    </row>
    <row r="4116" spans="2:5" x14ac:dyDescent="0.45">
      <c r="B4116" s="1"/>
      <c r="E4116" s="45" t="str">
        <f>IFERROR(AVERAGEIFS('Picarro Output'!G:G, 'Picarro Output'!$B:$B, 'Uncalibrated Data'!$C4116, 'Picarro Output'!$I:$I, 0, 'Picarro Output'!$J:$J, 1), "")</f>
        <v/>
      </c>
    </row>
    <row r="4117" spans="2:5" x14ac:dyDescent="0.45">
      <c r="B4117" s="1"/>
      <c r="E4117" s="45" t="str">
        <f>IFERROR(AVERAGEIFS('Picarro Output'!G:G, 'Picarro Output'!$B:$B, 'Uncalibrated Data'!$C4117, 'Picarro Output'!$I:$I, 0, 'Picarro Output'!$J:$J, 1), "")</f>
        <v/>
      </c>
    </row>
    <row r="4118" spans="2:5" x14ac:dyDescent="0.45">
      <c r="B4118" s="1"/>
      <c r="E4118" s="45" t="str">
        <f>IFERROR(AVERAGEIFS('Picarro Output'!G:G, 'Picarro Output'!$B:$B, 'Uncalibrated Data'!$C4118, 'Picarro Output'!$I:$I, 0, 'Picarro Output'!$J:$J, 1), "")</f>
        <v/>
      </c>
    </row>
    <row r="4119" spans="2:5" x14ac:dyDescent="0.45">
      <c r="B4119" s="1"/>
      <c r="E4119" s="45" t="str">
        <f>IFERROR(AVERAGEIFS('Picarro Output'!G:G, 'Picarro Output'!$B:$B, 'Uncalibrated Data'!$C4119, 'Picarro Output'!$I:$I, 0, 'Picarro Output'!$J:$J, 1), "")</f>
        <v/>
      </c>
    </row>
    <row r="4120" spans="2:5" x14ac:dyDescent="0.45">
      <c r="B4120" s="1"/>
      <c r="E4120" s="45" t="str">
        <f>IFERROR(AVERAGEIFS('Picarro Output'!G:G, 'Picarro Output'!$B:$B, 'Uncalibrated Data'!$C4120, 'Picarro Output'!$I:$I, 0, 'Picarro Output'!$J:$J, 1), "")</f>
        <v/>
      </c>
    </row>
    <row r="4121" spans="2:5" x14ac:dyDescent="0.45">
      <c r="B4121" s="1"/>
      <c r="E4121" s="45" t="str">
        <f>IFERROR(AVERAGEIFS('Picarro Output'!G:G, 'Picarro Output'!$B:$B, 'Uncalibrated Data'!$C4121, 'Picarro Output'!$I:$I, 0, 'Picarro Output'!$J:$J, 1), "")</f>
        <v/>
      </c>
    </row>
    <row r="4122" spans="2:5" x14ac:dyDescent="0.45">
      <c r="B4122" s="1"/>
      <c r="E4122" s="45" t="str">
        <f>IFERROR(AVERAGEIFS('Picarro Output'!G:G, 'Picarro Output'!$B:$B, 'Uncalibrated Data'!$C4122, 'Picarro Output'!$I:$I, 0, 'Picarro Output'!$J:$J, 1), "")</f>
        <v/>
      </c>
    </row>
    <row r="4123" spans="2:5" x14ac:dyDescent="0.45">
      <c r="B4123" s="1"/>
      <c r="E4123" s="45" t="str">
        <f>IFERROR(AVERAGEIFS('Picarro Output'!G:G, 'Picarro Output'!$B:$B, 'Uncalibrated Data'!$C4123, 'Picarro Output'!$I:$I, 0, 'Picarro Output'!$J:$J, 1), "")</f>
        <v/>
      </c>
    </row>
    <row r="4124" spans="2:5" x14ac:dyDescent="0.45">
      <c r="B4124" s="1"/>
      <c r="E4124" s="45" t="str">
        <f>IFERROR(AVERAGEIFS('Picarro Output'!G:G, 'Picarro Output'!$B:$B, 'Uncalibrated Data'!$C4124, 'Picarro Output'!$I:$I, 0, 'Picarro Output'!$J:$J, 1), "")</f>
        <v/>
      </c>
    </row>
    <row r="4125" spans="2:5" x14ac:dyDescent="0.45">
      <c r="B4125" s="1"/>
      <c r="E4125" s="45" t="str">
        <f>IFERROR(AVERAGEIFS('Picarro Output'!G:G, 'Picarro Output'!$B:$B, 'Uncalibrated Data'!$C4125, 'Picarro Output'!$I:$I, 0, 'Picarro Output'!$J:$J, 1), "")</f>
        <v/>
      </c>
    </row>
    <row r="4126" spans="2:5" x14ac:dyDescent="0.45">
      <c r="B4126" s="1"/>
      <c r="E4126" s="45" t="str">
        <f>IFERROR(AVERAGEIFS('Picarro Output'!G:G, 'Picarro Output'!$B:$B, 'Uncalibrated Data'!$C4126, 'Picarro Output'!$I:$I, 0, 'Picarro Output'!$J:$J, 1), "")</f>
        <v/>
      </c>
    </row>
    <row r="4127" spans="2:5" x14ac:dyDescent="0.45">
      <c r="B4127" s="1"/>
      <c r="E4127" s="45" t="str">
        <f>IFERROR(AVERAGEIFS('Picarro Output'!G:G, 'Picarro Output'!$B:$B, 'Uncalibrated Data'!$C4127, 'Picarro Output'!$I:$I, 0, 'Picarro Output'!$J:$J, 1), "")</f>
        <v/>
      </c>
    </row>
    <row r="4128" spans="2:5" x14ac:dyDescent="0.45">
      <c r="B4128" s="1"/>
      <c r="E4128" s="45" t="str">
        <f>IFERROR(AVERAGEIFS('Picarro Output'!G:G, 'Picarro Output'!$B:$B, 'Uncalibrated Data'!$C4128, 'Picarro Output'!$I:$I, 0, 'Picarro Output'!$J:$J, 1), "")</f>
        <v/>
      </c>
    </row>
    <row r="4129" spans="2:5" x14ac:dyDescent="0.45">
      <c r="B4129" s="1"/>
      <c r="E4129" s="45" t="str">
        <f>IFERROR(AVERAGEIFS('Picarro Output'!G:G, 'Picarro Output'!$B:$B, 'Uncalibrated Data'!$C4129, 'Picarro Output'!$I:$I, 0, 'Picarro Output'!$J:$J, 1), "")</f>
        <v/>
      </c>
    </row>
    <row r="4130" spans="2:5" x14ac:dyDescent="0.45">
      <c r="B4130" s="1"/>
      <c r="E4130" s="45" t="str">
        <f>IFERROR(AVERAGEIFS('Picarro Output'!G:G, 'Picarro Output'!$B:$B, 'Uncalibrated Data'!$C4130, 'Picarro Output'!$I:$I, 0, 'Picarro Output'!$J:$J, 1), "")</f>
        <v/>
      </c>
    </row>
    <row r="4131" spans="2:5" x14ac:dyDescent="0.45">
      <c r="B4131" s="1"/>
      <c r="E4131" s="45" t="str">
        <f>IFERROR(AVERAGEIFS('Picarro Output'!G:G, 'Picarro Output'!$B:$B, 'Uncalibrated Data'!$C4131, 'Picarro Output'!$I:$I, 0, 'Picarro Output'!$J:$J, 1), "")</f>
        <v/>
      </c>
    </row>
    <row r="4132" spans="2:5" x14ac:dyDescent="0.45">
      <c r="B4132" s="1"/>
      <c r="E4132" s="45" t="str">
        <f>IFERROR(AVERAGEIFS('Picarro Output'!G:G, 'Picarro Output'!$B:$B, 'Uncalibrated Data'!$C4132, 'Picarro Output'!$I:$I, 0, 'Picarro Output'!$J:$J, 1), "")</f>
        <v/>
      </c>
    </row>
    <row r="4133" spans="2:5" x14ac:dyDescent="0.45">
      <c r="B4133" s="1"/>
      <c r="E4133" s="45" t="str">
        <f>IFERROR(AVERAGEIFS('Picarro Output'!G:G, 'Picarro Output'!$B:$B, 'Uncalibrated Data'!$C4133, 'Picarro Output'!$I:$I, 0, 'Picarro Output'!$J:$J, 1), "")</f>
        <v/>
      </c>
    </row>
    <row r="4134" spans="2:5" x14ac:dyDescent="0.45">
      <c r="B4134" s="1"/>
      <c r="E4134" s="45" t="str">
        <f>IFERROR(AVERAGEIFS('Picarro Output'!G:G, 'Picarro Output'!$B:$B, 'Uncalibrated Data'!$C4134, 'Picarro Output'!$I:$I, 0, 'Picarro Output'!$J:$J, 1), "")</f>
        <v/>
      </c>
    </row>
    <row r="4135" spans="2:5" x14ac:dyDescent="0.45">
      <c r="B4135" s="1"/>
      <c r="E4135" s="45" t="str">
        <f>IFERROR(AVERAGEIFS('Picarro Output'!G:G, 'Picarro Output'!$B:$B, 'Uncalibrated Data'!$C4135, 'Picarro Output'!$I:$I, 0, 'Picarro Output'!$J:$J, 1), "")</f>
        <v/>
      </c>
    </row>
    <row r="4136" spans="2:5" x14ac:dyDescent="0.45">
      <c r="B4136" s="1"/>
      <c r="E4136" s="45" t="str">
        <f>IFERROR(AVERAGEIFS('Picarro Output'!G:G, 'Picarro Output'!$B:$B, 'Uncalibrated Data'!$C4136, 'Picarro Output'!$I:$I, 0, 'Picarro Output'!$J:$J, 1), "")</f>
        <v/>
      </c>
    </row>
    <row r="4137" spans="2:5" x14ac:dyDescent="0.45">
      <c r="B4137" s="1"/>
      <c r="E4137" s="45" t="str">
        <f>IFERROR(AVERAGEIFS('Picarro Output'!G:G, 'Picarro Output'!$B:$B, 'Uncalibrated Data'!$C4137, 'Picarro Output'!$I:$I, 0, 'Picarro Output'!$J:$J, 1), "")</f>
        <v/>
      </c>
    </row>
    <row r="4138" spans="2:5" x14ac:dyDescent="0.45">
      <c r="B4138" s="1"/>
      <c r="E4138" s="45" t="str">
        <f>IFERROR(AVERAGEIFS('Picarro Output'!G:G, 'Picarro Output'!$B:$B, 'Uncalibrated Data'!$C4138, 'Picarro Output'!$I:$I, 0, 'Picarro Output'!$J:$J, 1), "")</f>
        <v/>
      </c>
    </row>
    <row r="4139" spans="2:5" x14ac:dyDescent="0.45">
      <c r="B4139" s="1"/>
      <c r="E4139" s="45" t="str">
        <f>IFERROR(AVERAGEIFS('Picarro Output'!G:G, 'Picarro Output'!$B:$B, 'Uncalibrated Data'!$C4139, 'Picarro Output'!$I:$I, 0, 'Picarro Output'!$J:$J, 1), "")</f>
        <v/>
      </c>
    </row>
    <row r="4140" spans="2:5" x14ac:dyDescent="0.45">
      <c r="B4140" s="1"/>
      <c r="E4140" s="45" t="str">
        <f>IFERROR(AVERAGEIFS('Picarro Output'!G:G, 'Picarro Output'!$B:$B, 'Uncalibrated Data'!$C4140, 'Picarro Output'!$I:$I, 0, 'Picarro Output'!$J:$J, 1), "")</f>
        <v/>
      </c>
    </row>
    <row r="4141" spans="2:5" x14ac:dyDescent="0.45">
      <c r="B4141" s="1"/>
      <c r="E4141" s="45" t="str">
        <f>IFERROR(AVERAGEIFS('Picarro Output'!G:G, 'Picarro Output'!$B:$B, 'Uncalibrated Data'!$C4141, 'Picarro Output'!$I:$I, 0, 'Picarro Output'!$J:$J, 1), "")</f>
        <v/>
      </c>
    </row>
    <row r="4142" spans="2:5" x14ac:dyDescent="0.45">
      <c r="B4142" s="1"/>
      <c r="E4142" s="45" t="str">
        <f>IFERROR(AVERAGEIFS('Picarro Output'!G:G, 'Picarro Output'!$B:$B, 'Uncalibrated Data'!$C4142, 'Picarro Output'!$I:$I, 0, 'Picarro Output'!$J:$J, 1), "")</f>
        <v/>
      </c>
    </row>
    <row r="4143" spans="2:5" x14ac:dyDescent="0.45">
      <c r="B4143" s="1"/>
      <c r="E4143" s="45" t="str">
        <f>IFERROR(AVERAGEIFS('Picarro Output'!G:G, 'Picarro Output'!$B:$B, 'Uncalibrated Data'!$C4143, 'Picarro Output'!$I:$I, 0, 'Picarro Output'!$J:$J, 1), "")</f>
        <v/>
      </c>
    </row>
    <row r="4144" spans="2:5" x14ac:dyDescent="0.45">
      <c r="B4144" s="1"/>
      <c r="E4144" s="45" t="str">
        <f>IFERROR(AVERAGEIFS('Picarro Output'!G:G, 'Picarro Output'!$B:$B, 'Uncalibrated Data'!$C4144, 'Picarro Output'!$I:$I, 0, 'Picarro Output'!$J:$J, 1), "")</f>
        <v/>
      </c>
    </row>
    <row r="4145" spans="2:5" x14ac:dyDescent="0.45">
      <c r="B4145" s="1"/>
      <c r="E4145" s="45" t="str">
        <f>IFERROR(AVERAGEIFS('Picarro Output'!G:G, 'Picarro Output'!$B:$B, 'Uncalibrated Data'!$C4145, 'Picarro Output'!$I:$I, 0, 'Picarro Output'!$J:$J, 1), "")</f>
        <v/>
      </c>
    </row>
    <row r="4146" spans="2:5" x14ac:dyDescent="0.45">
      <c r="B4146" s="1"/>
      <c r="E4146" s="45" t="str">
        <f>IFERROR(AVERAGEIFS('Picarro Output'!G:G, 'Picarro Output'!$B:$B, 'Uncalibrated Data'!$C4146, 'Picarro Output'!$I:$I, 0, 'Picarro Output'!$J:$J, 1), "")</f>
        <v/>
      </c>
    </row>
    <row r="4147" spans="2:5" x14ac:dyDescent="0.45">
      <c r="B4147" s="1"/>
      <c r="E4147" s="45" t="str">
        <f>IFERROR(AVERAGEIFS('Picarro Output'!G:G, 'Picarro Output'!$B:$B, 'Uncalibrated Data'!$C4147, 'Picarro Output'!$I:$I, 0, 'Picarro Output'!$J:$J, 1), "")</f>
        <v/>
      </c>
    </row>
    <row r="4148" spans="2:5" x14ac:dyDescent="0.45">
      <c r="B4148" s="1"/>
      <c r="E4148" s="45" t="str">
        <f>IFERROR(AVERAGEIFS('Picarro Output'!G:G, 'Picarro Output'!$B:$B, 'Uncalibrated Data'!$C4148, 'Picarro Output'!$I:$I, 0, 'Picarro Output'!$J:$J, 1), "")</f>
        <v/>
      </c>
    </row>
    <row r="4149" spans="2:5" x14ac:dyDescent="0.45">
      <c r="B4149" s="1"/>
      <c r="E4149" s="45" t="str">
        <f>IFERROR(AVERAGEIFS('Picarro Output'!G:G, 'Picarro Output'!$B:$B, 'Uncalibrated Data'!$C4149, 'Picarro Output'!$I:$I, 0, 'Picarro Output'!$J:$J, 1), "")</f>
        <v/>
      </c>
    </row>
    <row r="4150" spans="2:5" x14ac:dyDescent="0.45">
      <c r="B4150" s="1"/>
      <c r="E4150" s="45" t="str">
        <f>IFERROR(AVERAGEIFS('Picarro Output'!G:G, 'Picarro Output'!$B:$B, 'Uncalibrated Data'!$C4150, 'Picarro Output'!$I:$I, 0, 'Picarro Output'!$J:$J, 1), "")</f>
        <v/>
      </c>
    </row>
    <row r="4151" spans="2:5" x14ac:dyDescent="0.45">
      <c r="B4151" s="1"/>
      <c r="E4151" s="45" t="str">
        <f>IFERROR(AVERAGEIFS('Picarro Output'!G:G, 'Picarro Output'!$B:$B, 'Uncalibrated Data'!$C4151, 'Picarro Output'!$I:$I, 0, 'Picarro Output'!$J:$J, 1), "")</f>
        <v/>
      </c>
    </row>
    <row r="4152" spans="2:5" x14ac:dyDescent="0.45">
      <c r="B4152" s="1"/>
      <c r="E4152" s="45" t="str">
        <f>IFERROR(AVERAGEIFS('Picarro Output'!G:G, 'Picarro Output'!$B:$B, 'Uncalibrated Data'!$C4152, 'Picarro Output'!$I:$I, 0, 'Picarro Output'!$J:$J, 1), "")</f>
        <v/>
      </c>
    </row>
    <row r="4153" spans="2:5" x14ac:dyDescent="0.45">
      <c r="B4153" s="1"/>
      <c r="E4153" s="45" t="str">
        <f>IFERROR(AVERAGEIFS('Picarro Output'!G:G, 'Picarro Output'!$B:$B, 'Uncalibrated Data'!$C4153, 'Picarro Output'!$I:$I, 0, 'Picarro Output'!$J:$J, 1), "")</f>
        <v/>
      </c>
    </row>
    <row r="4154" spans="2:5" x14ac:dyDescent="0.45">
      <c r="B4154" s="1"/>
      <c r="E4154" s="45" t="str">
        <f>IFERROR(AVERAGEIFS('Picarro Output'!G:G, 'Picarro Output'!$B:$B, 'Uncalibrated Data'!$C4154, 'Picarro Output'!$I:$I, 0, 'Picarro Output'!$J:$J, 1), "")</f>
        <v/>
      </c>
    </row>
    <row r="4155" spans="2:5" x14ac:dyDescent="0.45">
      <c r="B4155" s="1"/>
      <c r="E4155" s="45" t="str">
        <f>IFERROR(AVERAGEIFS('Picarro Output'!G:G, 'Picarro Output'!$B:$B, 'Uncalibrated Data'!$C4155, 'Picarro Output'!$I:$I, 0, 'Picarro Output'!$J:$J, 1), "")</f>
        <v/>
      </c>
    </row>
    <row r="4156" spans="2:5" x14ac:dyDescent="0.45">
      <c r="B4156" s="1"/>
      <c r="E4156" s="45" t="str">
        <f>IFERROR(AVERAGEIFS('Picarro Output'!G:G, 'Picarro Output'!$B:$B, 'Uncalibrated Data'!$C4156, 'Picarro Output'!$I:$I, 0, 'Picarro Output'!$J:$J, 1), "")</f>
        <v/>
      </c>
    </row>
    <row r="4157" spans="2:5" x14ac:dyDescent="0.45">
      <c r="B4157" s="1"/>
      <c r="E4157" s="45" t="str">
        <f>IFERROR(AVERAGEIFS('Picarro Output'!G:G, 'Picarro Output'!$B:$B, 'Uncalibrated Data'!$C4157, 'Picarro Output'!$I:$I, 0, 'Picarro Output'!$J:$J, 1), "")</f>
        <v/>
      </c>
    </row>
    <row r="4158" spans="2:5" x14ac:dyDescent="0.45">
      <c r="B4158" s="1"/>
      <c r="E4158" s="45" t="str">
        <f>IFERROR(AVERAGEIFS('Picarro Output'!G:G, 'Picarro Output'!$B:$B, 'Uncalibrated Data'!$C4158, 'Picarro Output'!$I:$I, 0, 'Picarro Output'!$J:$J, 1), "")</f>
        <v/>
      </c>
    </row>
    <row r="4159" spans="2:5" x14ac:dyDescent="0.45">
      <c r="B4159" s="1"/>
      <c r="E4159" s="45" t="str">
        <f>IFERROR(AVERAGEIFS('Picarro Output'!G:G, 'Picarro Output'!$B:$B, 'Uncalibrated Data'!$C4159, 'Picarro Output'!$I:$I, 0, 'Picarro Output'!$J:$J, 1), "")</f>
        <v/>
      </c>
    </row>
    <row r="4160" spans="2:5" x14ac:dyDescent="0.45">
      <c r="B4160" s="1"/>
      <c r="E4160" s="45" t="str">
        <f>IFERROR(AVERAGEIFS('Picarro Output'!G:G, 'Picarro Output'!$B:$B, 'Uncalibrated Data'!$C4160, 'Picarro Output'!$I:$I, 0, 'Picarro Output'!$J:$J, 1), "")</f>
        <v/>
      </c>
    </row>
    <row r="4161" spans="2:5" x14ac:dyDescent="0.45">
      <c r="B4161" s="1"/>
      <c r="E4161" s="45" t="str">
        <f>IFERROR(AVERAGEIFS('Picarro Output'!G:G, 'Picarro Output'!$B:$B, 'Uncalibrated Data'!$C4161, 'Picarro Output'!$I:$I, 0, 'Picarro Output'!$J:$J, 1), "")</f>
        <v/>
      </c>
    </row>
    <row r="4162" spans="2:5" x14ac:dyDescent="0.45">
      <c r="B4162" s="1"/>
      <c r="E4162" s="45" t="str">
        <f>IFERROR(AVERAGEIFS('Picarro Output'!G:G, 'Picarro Output'!$B:$B, 'Uncalibrated Data'!$C4162, 'Picarro Output'!$I:$I, 0, 'Picarro Output'!$J:$J, 1), "")</f>
        <v/>
      </c>
    </row>
    <row r="4163" spans="2:5" x14ac:dyDescent="0.45">
      <c r="B4163" s="1"/>
      <c r="E4163" s="45" t="str">
        <f>IFERROR(AVERAGEIFS('Picarro Output'!G:G, 'Picarro Output'!$B:$B, 'Uncalibrated Data'!$C4163, 'Picarro Output'!$I:$I, 0, 'Picarro Output'!$J:$J, 1), "")</f>
        <v/>
      </c>
    </row>
    <row r="4164" spans="2:5" x14ac:dyDescent="0.45">
      <c r="B4164" s="1"/>
      <c r="E4164" s="45" t="str">
        <f>IFERROR(AVERAGEIFS('Picarro Output'!G:G, 'Picarro Output'!$B:$B, 'Uncalibrated Data'!$C4164, 'Picarro Output'!$I:$I, 0, 'Picarro Output'!$J:$J, 1), "")</f>
        <v/>
      </c>
    </row>
    <row r="4165" spans="2:5" x14ac:dyDescent="0.45">
      <c r="B4165" s="1"/>
      <c r="E4165" s="45" t="str">
        <f>IFERROR(AVERAGEIFS('Picarro Output'!G:G, 'Picarro Output'!$B:$B, 'Uncalibrated Data'!$C4165, 'Picarro Output'!$I:$I, 0, 'Picarro Output'!$J:$J, 1), "")</f>
        <v/>
      </c>
    </row>
    <row r="4166" spans="2:5" x14ac:dyDescent="0.45">
      <c r="B4166" s="1"/>
      <c r="E4166" s="45" t="str">
        <f>IFERROR(AVERAGEIFS('Picarro Output'!G:G, 'Picarro Output'!$B:$B, 'Uncalibrated Data'!$C4166, 'Picarro Output'!$I:$I, 0, 'Picarro Output'!$J:$J, 1), "")</f>
        <v/>
      </c>
    </row>
    <row r="4167" spans="2:5" x14ac:dyDescent="0.45">
      <c r="B4167" s="1"/>
      <c r="E4167" s="45" t="str">
        <f>IFERROR(AVERAGEIFS('Picarro Output'!G:G, 'Picarro Output'!$B:$B, 'Uncalibrated Data'!$C4167, 'Picarro Output'!$I:$I, 0, 'Picarro Output'!$J:$J, 1), "")</f>
        <v/>
      </c>
    </row>
    <row r="4168" spans="2:5" x14ac:dyDescent="0.45">
      <c r="B4168" s="1"/>
      <c r="E4168" s="45" t="str">
        <f>IFERROR(AVERAGEIFS('Picarro Output'!G:G, 'Picarro Output'!$B:$B, 'Uncalibrated Data'!$C4168, 'Picarro Output'!$I:$I, 0, 'Picarro Output'!$J:$J, 1), "")</f>
        <v/>
      </c>
    </row>
    <row r="4169" spans="2:5" x14ac:dyDescent="0.45">
      <c r="B4169" s="1"/>
      <c r="E4169" s="45" t="str">
        <f>IFERROR(AVERAGEIFS('Picarro Output'!G:G, 'Picarro Output'!$B:$B, 'Uncalibrated Data'!$C4169, 'Picarro Output'!$I:$I, 0, 'Picarro Output'!$J:$J, 1), "")</f>
        <v/>
      </c>
    </row>
    <row r="4170" spans="2:5" x14ac:dyDescent="0.45">
      <c r="B4170" s="1"/>
      <c r="E4170" s="45" t="str">
        <f>IFERROR(AVERAGEIFS('Picarro Output'!G:G, 'Picarro Output'!$B:$B, 'Uncalibrated Data'!$C4170, 'Picarro Output'!$I:$I, 0, 'Picarro Output'!$J:$J, 1), "")</f>
        <v/>
      </c>
    </row>
    <row r="4171" spans="2:5" x14ac:dyDescent="0.45">
      <c r="B4171" s="1"/>
      <c r="E4171" s="45" t="str">
        <f>IFERROR(AVERAGEIFS('Picarro Output'!G:G, 'Picarro Output'!$B:$B, 'Uncalibrated Data'!$C4171, 'Picarro Output'!$I:$I, 0, 'Picarro Output'!$J:$J, 1), "")</f>
        <v/>
      </c>
    </row>
    <row r="4172" spans="2:5" x14ac:dyDescent="0.45">
      <c r="B4172" s="1"/>
      <c r="E4172" s="45" t="str">
        <f>IFERROR(AVERAGEIFS('Picarro Output'!G:G, 'Picarro Output'!$B:$B, 'Uncalibrated Data'!$C4172, 'Picarro Output'!$I:$I, 0, 'Picarro Output'!$J:$J, 1), "")</f>
        <v/>
      </c>
    </row>
    <row r="4173" spans="2:5" x14ac:dyDescent="0.45">
      <c r="B4173" s="1"/>
      <c r="E4173" s="45" t="str">
        <f>IFERROR(AVERAGEIFS('Picarro Output'!G:G, 'Picarro Output'!$B:$B, 'Uncalibrated Data'!$C4173, 'Picarro Output'!$I:$I, 0, 'Picarro Output'!$J:$J, 1), "")</f>
        <v/>
      </c>
    </row>
    <row r="4174" spans="2:5" x14ac:dyDescent="0.45">
      <c r="B4174" s="1"/>
      <c r="E4174" s="45" t="str">
        <f>IFERROR(AVERAGEIFS('Picarro Output'!G:G, 'Picarro Output'!$B:$B, 'Uncalibrated Data'!$C4174, 'Picarro Output'!$I:$I, 0, 'Picarro Output'!$J:$J, 1), "")</f>
        <v/>
      </c>
    </row>
    <row r="4175" spans="2:5" x14ac:dyDescent="0.45">
      <c r="B4175" s="1"/>
      <c r="E4175" s="45" t="str">
        <f>IFERROR(AVERAGEIFS('Picarro Output'!G:G, 'Picarro Output'!$B:$B, 'Uncalibrated Data'!$C4175, 'Picarro Output'!$I:$I, 0, 'Picarro Output'!$J:$J, 1), "")</f>
        <v/>
      </c>
    </row>
    <row r="4176" spans="2:5" x14ac:dyDescent="0.45">
      <c r="B4176" s="1"/>
      <c r="E4176" s="45" t="str">
        <f>IFERROR(AVERAGEIFS('Picarro Output'!G:G, 'Picarro Output'!$B:$B, 'Uncalibrated Data'!$C4176, 'Picarro Output'!$I:$I, 0, 'Picarro Output'!$J:$J, 1), "")</f>
        <v/>
      </c>
    </row>
    <row r="4177" spans="2:5" x14ac:dyDescent="0.45">
      <c r="B4177" s="1"/>
      <c r="E4177" s="45" t="str">
        <f>IFERROR(AVERAGEIFS('Picarro Output'!G:G, 'Picarro Output'!$B:$B, 'Uncalibrated Data'!$C4177, 'Picarro Output'!$I:$I, 0, 'Picarro Output'!$J:$J, 1), "")</f>
        <v/>
      </c>
    </row>
    <row r="4178" spans="2:5" x14ac:dyDescent="0.45">
      <c r="B4178" s="1"/>
      <c r="E4178" s="45" t="str">
        <f>IFERROR(AVERAGEIFS('Picarro Output'!G:G, 'Picarro Output'!$B:$B, 'Uncalibrated Data'!$C4178, 'Picarro Output'!$I:$I, 0, 'Picarro Output'!$J:$J, 1), "")</f>
        <v/>
      </c>
    </row>
    <row r="4179" spans="2:5" x14ac:dyDescent="0.45">
      <c r="B4179" s="1"/>
      <c r="E4179" s="45" t="str">
        <f>IFERROR(AVERAGEIFS('Picarro Output'!G:G, 'Picarro Output'!$B:$B, 'Uncalibrated Data'!$C4179, 'Picarro Output'!$I:$I, 0, 'Picarro Output'!$J:$J, 1), "")</f>
        <v/>
      </c>
    </row>
    <row r="4180" spans="2:5" x14ac:dyDescent="0.45">
      <c r="B4180" s="1"/>
      <c r="E4180" s="45" t="str">
        <f>IFERROR(AVERAGEIFS('Picarro Output'!G:G, 'Picarro Output'!$B:$B, 'Uncalibrated Data'!$C4180, 'Picarro Output'!$I:$I, 0, 'Picarro Output'!$J:$J, 1), "")</f>
        <v/>
      </c>
    </row>
    <row r="4181" spans="2:5" x14ac:dyDescent="0.45">
      <c r="B4181" s="1"/>
      <c r="E4181" s="45" t="str">
        <f>IFERROR(AVERAGEIFS('Picarro Output'!G:G, 'Picarro Output'!$B:$B, 'Uncalibrated Data'!$C4181, 'Picarro Output'!$I:$I, 0, 'Picarro Output'!$J:$J, 1), "")</f>
        <v/>
      </c>
    </row>
    <row r="4182" spans="2:5" x14ac:dyDescent="0.45">
      <c r="B4182" s="1"/>
      <c r="E4182" s="45" t="str">
        <f>IFERROR(AVERAGEIFS('Picarro Output'!G:G, 'Picarro Output'!$B:$B, 'Uncalibrated Data'!$C4182, 'Picarro Output'!$I:$I, 0, 'Picarro Output'!$J:$J, 1), "")</f>
        <v/>
      </c>
    </row>
    <row r="4183" spans="2:5" x14ac:dyDescent="0.45">
      <c r="B4183" s="1"/>
      <c r="E4183" s="45" t="str">
        <f>IFERROR(AVERAGEIFS('Picarro Output'!G:G, 'Picarro Output'!$B:$B, 'Uncalibrated Data'!$C4183, 'Picarro Output'!$I:$I, 0, 'Picarro Output'!$J:$J, 1), "")</f>
        <v/>
      </c>
    </row>
    <row r="4184" spans="2:5" x14ac:dyDescent="0.45">
      <c r="B4184" s="1"/>
      <c r="E4184" s="45" t="str">
        <f>IFERROR(AVERAGEIFS('Picarro Output'!G:G, 'Picarro Output'!$B:$B, 'Uncalibrated Data'!$C4184, 'Picarro Output'!$I:$I, 0, 'Picarro Output'!$J:$J, 1), "")</f>
        <v/>
      </c>
    </row>
    <row r="4185" spans="2:5" x14ac:dyDescent="0.45">
      <c r="B4185" s="1"/>
      <c r="E4185" s="45" t="str">
        <f>IFERROR(AVERAGEIFS('Picarro Output'!G:G, 'Picarro Output'!$B:$B, 'Uncalibrated Data'!$C4185, 'Picarro Output'!$I:$I, 0, 'Picarro Output'!$J:$J, 1), "")</f>
        <v/>
      </c>
    </row>
    <row r="4186" spans="2:5" x14ac:dyDescent="0.45">
      <c r="B4186" s="1"/>
      <c r="E4186" s="45" t="str">
        <f>IFERROR(AVERAGEIFS('Picarro Output'!G:G, 'Picarro Output'!$B:$B, 'Uncalibrated Data'!$C4186, 'Picarro Output'!$I:$I, 0, 'Picarro Output'!$J:$J, 1), "")</f>
        <v/>
      </c>
    </row>
    <row r="4187" spans="2:5" x14ac:dyDescent="0.45">
      <c r="B4187" s="1"/>
      <c r="E4187" s="45" t="str">
        <f>IFERROR(AVERAGEIFS('Picarro Output'!G:G, 'Picarro Output'!$B:$B, 'Uncalibrated Data'!$C4187, 'Picarro Output'!$I:$I, 0, 'Picarro Output'!$J:$J, 1), "")</f>
        <v/>
      </c>
    </row>
    <row r="4188" spans="2:5" x14ac:dyDescent="0.45">
      <c r="B4188" s="1"/>
      <c r="E4188" s="45" t="str">
        <f>IFERROR(AVERAGEIFS('Picarro Output'!G:G, 'Picarro Output'!$B:$B, 'Uncalibrated Data'!$C4188, 'Picarro Output'!$I:$I, 0, 'Picarro Output'!$J:$J, 1), "")</f>
        <v/>
      </c>
    </row>
    <row r="4189" spans="2:5" x14ac:dyDescent="0.45">
      <c r="B4189" s="1"/>
      <c r="E4189" s="45" t="str">
        <f>IFERROR(AVERAGEIFS('Picarro Output'!G:G, 'Picarro Output'!$B:$B, 'Uncalibrated Data'!$C4189, 'Picarro Output'!$I:$I, 0, 'Picarro Output'!$J:$J, 1), "")</f>
        <v/>
      </c>
    </row>
    <row r="4190" spans="2:5" x14ac:dyDescent="0.45">
      <c r="B4190" s="1"/>
      <c r="E4190" s="45" t="str">
        <f>IFERROR(AVERAGEIFS('Picarro Output'!G:G, 'Picarro Output'!$B:$B, 'Uncalibrated Data'!$C4190, 'Picarro Output'!$I:$I, 0, 'Picarro Output'!$J:$J, 1), "")</f>
        <v/>
      </c>
    </row>
    <row r="4191" spans="2:5" x14ac:dyDescent="0.45">
      <c r="B4191" s="1"/>
      <c r="E4191" s="45" t="str">
        <f>IFERROR(AVERAGEIFS('Picarro Output'!G:G, 'Picarro Output'!$B:$B, 'Uncalibrated Data'!$C4191, 'Picarro Output'!$I:$I, 0, 'Picarro Output'!$J:$J, 1), "")</f>
        <v/>
      </c>
    </row>
    <row r="4192" spans="2:5" x14ac:dyDescent="0.45">
      <c r="B4192" s="1"/>
      <c r="E4192" s="45" t="str">
        <f>IFERROR(AVERAGEIFS('Picarro Output'!G:G, 'Picarro Output'!$B:$B, 'Uncalibrated Data'!$C4192, 'Picarro Output'!$I:$I, 0, 'Picarro Output'!$J:$J, 1), "")</f>
        <v/>
      </c>
    </row>
    <row r="4193" spans="2:5" x14ac:dyDescent="0.45">
      <c r="B4193" s="1"/>
      <c r="E4193" s="45" t="str">
        <f>IFERROR(AVERAGEIFS('Picarro Output'!G:G, 'Picarro Output'!$B:$B, 'Uncalibrated Data'!$C4193, 'Picarro Output'!$I:$I, 0, 'Picarro Output'!$J:$J, 1), "")</f>
        <v/>
      </c>
    </row>
    <row r="4194" spans="2:5" x14ac:dyDescent="0.45">
      <c r="B4194" s="1"/>
      <c r="E4194" s="45" t="str">
        <f>IFERROR(AVERAGEIFS('Picarro Output'!G:G, 'Picarro Output'!$B:$B, 'Uncalibrated Data'!$C4194, 'Picarro Output'!$I:$I, 0, 'Picarro Output'!$J:$J, 1), "")</f>
        <v/>
      </c>
    </row>
    <row r="4195" spans="2:5" x14ac:dyDescent="0.45">
      <c r="B4195" s="1"/>
      <c r="E4195" s="45" t="str">
        <f>IFERROR(AVERAGEIFS('Picarro Output'!G:G, 'Picarro Output'!$B:$B, 'Uncalibrated Data'!$C4195, 'Picarro Output'!$I:$I, 0, 'Picarro Output'!$J:$J, 1), "")</f>
        <v/>
      </c>
    </row>
    <row r="4196" spans="2:5" x14ac:dyDescent="0.45">
      <c r="B4196" s="1"/>
      <c r="E4196" s="45" t="str">
        <f>IFERROR(AVERAGEIFS('Picarro Output'!G:G, 'Picarro Output'!$B:$B, 'Uncalibrated Data'!$C4196, 'Picarro Output'!$I:$I, 0, 'Picarro Output'!$J:$J, 1), "")</f>
        <v/>
      </c>
    </row>
    <row r="4197" spans="2:5" x14ac:dyDescent="0.45">
      <c r="B4197" s="1"/>
      <c r="E4197" s="45" t="str">
        <f>IFERROR(AVERAGEIFS('Picarro Output'!G:G, 'Picarro Output'!$B:$B, 'Uncalibrated Data'!$C4197, 'Picarro Output'!$I:$I, 0, 'Picarro Output'!$J:$J, 1), "")</f>
        <v/>
      </c>
    </row>
    <row r="4198" spans="2:5" x14ac:dyDescent="0.45">
      <c r="B4198" s="1"/>
      <c r="E4198" s="45" t="str">
        <f>IFERROR(AVERAGEIFS('Picarro Output'!G:G, 'Picarro Output'!$B:$B, 'Uncalibrated Data'!$C4198, 'Picarro Output'!$I:$I, 0, 'Picarro Output'!$J:$J, 1), "")</f>
        <v/>
      </c>
    </row>
    <row r="4199" spans="2:5" x14ac:dyDescent="0.45">
      <c r="B4199" s="1"/>
      <c r="E4199" s="45" t="str">
        <f>IFERROR(AVERAGEIFS('Picarro Output'!G:G, 'Picarro Output'!$B:$B, 'Uncalibrated Data'!$C4199, 'Picarro Output'!$I:$I, 0, 'Picarro Output'!$J:$J, 1), "")</f>
        <v/>
      </c>
    </row>
    <row r="4200" spans="2:5" x14ac:dyDescent="0.45">
      <c r="B4200" s="1"/>
      <c r="E4200" s="45" t="str">
        <f>IFERROR(AVERAGEIFS('Picarro Output'!G:G, 'Picarro Output'!$B:$B, 'Uncalibrated Data'!$C4200, 'Picarro Output'!$I:$I, 0, 'Picarro Output'!$J:$J, 1), "")</f>
        <v/>
      </c>
    </row>
    <row r="4201" spans="2:5" x14ac:dyDescent="0.45">
      <c r="B4201" s="1"/>
      <c r="E4201" s="45" t="str">
        <f>IFERROR(AVERAGEIFS('Picarro Output'!G:G, 'Picarro Output'!$B:$B, 'Uncalibrated Data'!$C4201, 'Picarro Output'!$I:$I, 0, 'Picarro Output'!$J:$J, 1), "")</f>
        <v/>
      </c>
    </row>
    <row r="4202" spans="2:5" x14ac:dyDescent="0.45">
      <c r="B4202" s="1"/>
      <c r="E4202" s="45" t="str">
        <f>IFERROR(AVERAGEIFS('Picarro Output'!G:G, 'Picarro Output'!$B:$B, 'Uncalibrated Data'!$C4202, 'Picarro Output'!$I:$I, 0, 'Picarro Output'!$J:$J, 1), "")</f>
        <v/>
      </c>
    </row>
    <row r="4203" spans="2:5" x14ac:dyDescent="0.45">
      <c r="B4203" s="1"/>
      <c r="E4203" s="45" t="str">
        <f>IFERROR(AVERAGEIFS('Picarro Output'!G:G, 'Picarro Output'!$B:$B, 'Uncalibrated Data'!$C4203, 'Picarro Output'!$I:$I, 0, 'Picarro Output'!$J:$J, 1), "")</f>
        <v/>
      </c>
    </row>
    <row r="4204" spans="2:5" x14ac:dyDescent="0.45">
      <c r="B4204" s="1"/>
      <c r="E4204" s="45" t="str">
        <f>IFERROR(AVERAGEIFS('Picarro Output'!G:G, 'Picarro Output'!$B:$B, 'Uncalibrated Data'!$C4204, 'Picarro Output'!$I:$I, 0, 'Picarro Output'!$J:$J, 1), "")</f>
        <v/>
      </c>
    </row>
    <row r="4205" spans="2:5" x14ac:dyDescent="0.45">
      <c r="B4205" s="1"/>
      <c r="E4205" s="45" t="str">
        <f>IFERROR(AVERAGEIFS('Picarro Output'!G:G, 'Picarro Output'!$B:$B, 'Uncalibrated Data'!$C4205, 'Picarro Output'!$I:$I, 0, 'Picarro Output'!$J:$J, 1), "")</f>
        <v/>
      </c>
    </row>
    <row r="4206" spans="2:5" x14ac:dyDescent="0.45">
      <c r="B4206" s="1"/>
      <c r="E4206" s="45" t="str">
        <f>IFERROR(AVERAGEIFS('Picarro Output'!G:G, 'Picarro Output'!$B:$B, 'Uncalibrated Data'!$C4206, 'Picarro Output'!$I:$I, 0, 'Picarro Output'!$J:$J, 1), "")</f>
        <v/>
      </c>
    </row>
    <row r="4207" spans="2:5" x14ac:dyDescent="0.45">
      <c r="B4207" s="1"/>
      <c r="E4207" s="45" t="str">
        <f>IFERROR(AVERAGEIFS('Picarro Output'!G:G, 'Picarro Output'!$B:$B, 'Uncalibrated Data'!$C4207, 'Picarro Output'!$I:$I, 0, 'Picarro Output'!$J:$J, 1), "")</f>
        <v/>
      </c>
    </row>
    <row r="4208" spans="2:5" x14ac:dyDescent="0.45">
      <c r="B4208" s="1"/>
      <c r="E4208" s="45" t="str">
        <f>IFERROR(AVERAGEIFS('Picarro Output'!G:G, 'Picarro Output'!$B:$B, 'Uncalibrated Data'!$C4208, 'Picarro Output'!$I:$I, 0, 'Picarro Output'!$J:$J, 1), "")</f>
        <v/>
      </c>
    </row>
    <row r="4209" spans="2:5" x14ac:dyDescent="0.45">
      <c r="B4209" s="1"/>
      <c r="E4209" s="45" t="str">
        <f>IFERROR(AVERAGEIFS('Picarro Output'!G:G, 'Picarro Output'!$B:$B, 'Uncalibrated Data'!$C4209, 'Picarro Output'!$I:$I, 0, 'Picarro Output'!$J:$J, 1), "")</f>
        <v/>
      </c>
    </row>
    <row r="4210" spans="2:5" x14ac:dyDescent="0.45">
      <c r="B4210" s="1"/>
      <c r="E4210" s="45" t="str">
        <f>IFERROR(AVERAGEIFS('Picarro Output'!G:G, 'Picarro Output'!$B:$B, 'Uncalibrated Data'!$C4210, 'Picarro Output'!$I:$I, 0, 'Picarro Output'!$J:$J, 1), "")</f>
        <v/>
      </c>
    </row>
    <row r="4211" spans="2:5" x14ac:dyDescent="0.45">
      <c r="B4211" s="1"/>
      <c r="E4211" s="45" t="str">
        <f>IFERROR(AVERAGEIFS('Picarro Output'!G:G, 'Picarro Output'!$B:$B, 'Uncalibrated Data'!$C4211, 'Picarro Output'!$I:$I, 0, 'Picarro Output'!$J:$J, 1), "")</f>
        <v/>
      </c>
    </row>
    <row r="4212" spans="2:5" x14ac:dyDescent="0.45">
      <c r="B4212" s="1"/>
      <c r="E4212" s="45" t="str">
        <f>IFERROR(AVERAGEIFS('Picarro Output'!G:G, 'Picarro Output'!$B:$B, 'Uncalibrated Data'!$C4212, 'Picarro Output'!$I:$I, 0, 'Picarro Output'!$J:$J, 1), "")</f>
        <v/>
      </c>
    </row>
    <row r="4213" spans="2:5" x14ac:dyDescent="0.45">
      <c r="B4213" s="1"/>
      <c r="E4213" s="45" t="str">
        <f>IFERROR(AVERAGEIFS('Picarro Output'!G:G, 'Picarro Output'!$B:$B, 'Uncalibrated Data'!$C4213, 'Picarro Output'!$I:$I, 0, 'Picarro Output'!$J:$J, 1), "")</f>
        <v/>
      </c>
    </row>
    <row r="4214" spans="2:5" x14ac:dyDescent="0.45">
      <c r="B4214" s="1"/>
      <c r="E4214" s="45" t="str">
        <f>IFERROR(AVERAGEIFS('Picarro Output'!G:G, 'Picarro Output'!$B:$B, 'Uncalibrated Data'!$C4214, 'Picarro Output'!$I:$I, 0, 'Picarro Output'!$J:$J, 1), "")</f>
        <v/>
      </c>
    </row>
    <row r="4215" spans="2:5" x14ac:dyDescent="0.45">
      <c r="B4215" s="1"/>
      <c r="E4215" s="45" t="str">
        <f>IFERROR(AVERAGEIFS('Picarro Output'!G:G, 'Picarro Output'!$B:$B, 'Uncalibrated Data'!$C4215, 'Picarro Output'!$I:$I, 0, 'Picarro Output'!$J:$J, 1), "")</f>
        <v/>
      </c>
    </row>
    <row r="4216" spans="2:5" x14ac:dyDescent="0.45">
      <c r="B4216" s="1"/>
      <c r="E4216" s="45" t="str">
        <f>IFERROR(AVERAGEIFS('Picarro Output'!G:G, 'Picarro Output'!$B:$B, 'Uncalibrated Data'!$C4216, 'Picarro Output'!$I:$I, 0, 'Picarro Output'!$J:$J, 1), "")</f>
        <v/>
      </c>
    </row>
    <row r="4217" spans="2:5" x14ac:dyDescent="0.45">
      <c r="B4217" s="1"/>
      <c r="E4217" s="45" t="str">
        <f>IFERROR(AVERAGEIFS('Picarro Output'!G:G, 'Picarro Output'!$B:$B, 'Uncalibrated Data'!$C4217, 'Picarro Output'!$I:$I, 0, 'Picarro Output'!$J:$J, 1), "")</f>
        <v/>
      </c>
    </row>
    <row r="4218" spans="2:5" x14ac:dyDescent="0.45">
      <c r="B4218" s="1"/>
      <c r="E4218" s="45" t="str">
        <f>IFERROR(AVERAGEIFS('Picarro Output'!G:G, 'Picarro Output'!$B:$B, 'Uncalibrated Data'!$C4218, 'Picarro Output'!$I:$I, 0, 'Picarro Output'!$J:$J, 1), "")</f>
        <v/>
      </c>
    </row>
    <row r="4219" spans="2:5" x14ac:dyDescent="0.45">
      <c r="B4219" s="1"/>
      <c r="E4219" s="45" t="str">
        <f>IFERROR(AVERAGEIFS('Picarro Output'!G:G, 'Picarro Output'!$B:$B, 'Uncalibrated Data'!$C4219, 'Picarro Output'!$I:$I, 0, 'Picarro Output'!$J:$J, 1), "")</f>
        <v/>
      </c>
    </row>
    <row r="4220" spans="2:5" x14ac:dyDescent="0.45">
      <c r="B4220" s="1"/>
      <c r="E4220" s="45" t="str">
        <f>IFERROR(AVERAGEIFS('Picarro Output'!G:G, 'Picarro Output'!$B:$B, 'Uncalibrated Data'!$C4220, 'Picarro Output'!$I:$I, 0, 'Picarro Output'!$J:$J, 1), "")</f>
        <v/>
      </c>
    </row>
    <row r="4221" spans="2:5" x14ac:dyDescent="0.45">
      <c r="B4221" s="1"/>
      <c r="E4221" s="45" t="str">
        <f>IFERROR(AVERAGEIFS('Picarro Output'!G:G, 'Picarro Output'!$B:$B, 'Uncalibrated Data'!$C4221, 'Picarro Output'!$I:$I, 0, 'Picarro Output'!$J:$J, 1), "")</f>
        <v/>
      </c>
    </row>
    <row r="4222" spans="2:5" x14ac:dyDescent="0.45">
      <c r="B4222" s="1"/>
      <c r="E4222" s="45" t="str">
        <f>IFERROR(AVERAGEIFS('Picarro Output'!G:G, 'Picarro Output'!$B:$B, 'Uncalibrated Data'!$C4222, 'Picarro Output'!$I:$I, 0, 'Picarro Output'!$J:$J, 1), "")</f>
        <v/>
      </c>
    </row>
    <row r="4223" spans="2:5" x14ac:dyDescent="0.45">
      <c r="B4223" s="1"/>
      <c r="E4223" s="45" t="str">
        <f>IFERROR(AVERAGEIFS('Picarro Output'!G:G, 'Picarro Output'!$B:$B, 'Uncalibrated Data'!$C4223, 'Picarro Output'!$I:$I, 0, 'Picarro Output'!$J:$J, 1), "")</f>
        <v/>
      </c>
    </row>
    <row r="4224" spans="2:5" x14ac:dyDescent="0.45">
      <c r="B4224" s="1"/>
      <c r="E4224" s="45" t="str">
        <f>IFERROR(AVERAGEIFS('Picarro Output'!G:G, 'Picarro Output'!$B:$B, 'Uncalibrated Data'!$C4224, 'Picarro Output'!$I:$I, 0, 'Picarro Output'!$J:$J, 1), "")</f>
        <v/>
      </c>
    </row>
    <row r="4225" spans="2:5" x14ac:dyDescent="0.45">
      <c r="B4225" s="1"/>
      <c r="E4225" s="45" t="str">
        <f>IFERROR(AVERAGEIFS('Picarro Output'!G:G, 'Picarro Output'!$B:$B, 'Uncalibrated Data'!$C4225, 'Picarro Output'!$I:$I, 0, 'Picarro Output'!$J:$J, 1), "")</f>
        <v/>
      </c>
    </row>
    <row r="4226" spans="2:5" x14ac:dyDescent="0.45">
      <c r="B4226" s="1"/>
      <c r="E4226" s="45" t="str">
        <f>IFERROR(AVERAGEIFS('Picarro Output'!G:G, 'Picarro Output'!$B:$B, 'Uncalibrated Data'!$C4226, 'Picarro Output'!$I:$I, 0, 'Picarro Output'!$J:$J, 1), "")</f>
        <v/>
      </c>
    </row>
    <row r="4227" spans="2:5" x14ac:dyDescent="0.45">
      <c r="B4227" s="1"/>
      <c r="E4227" s="45" t="str">
        <f>IFERROR(AVERAGEIFS('Picarro Output'!G:G, 'Picarro Output'!$B:$B, 'Uncalibrated Data'!$C4227, 'Picarro Output'!$I:$I, 0, 'Picarro Output'!$J:$J, 1), "")</f>
        <v/>
      </c>
    </row>
    <row r="4228" spans="2:5" x14ac:dyDescent="0.45">
      <c r="B4228" s="1"/>
      <c r="E4228" s="45" t="str">
        <f>IFERROR(AVERAGEIFS('Picarro Output'!G:G, 'Picarro Output'!$B:$B, 'Uncalibrated Data'!$C4228, 'Picarro Output'!$I:$I, 0, 'Picarro Output'!$J:$J, 1), "")</f>
        <v/>
      </c>
    </row>
    <row r="4229" spans="2:5" x14ac:dyDescent="0.45">
      <c r="B4229" s="1"/>
      <c r="E4229" s="45" t="str">
        <f>IFERROR(AVERAGEIFS('Picarro Output'!G:G, 'Picarro Output'!$B:$B, 'Uncalibrated Data'!$C4229, 'Picarro Output'!$I:$I, 0, 'Picarro Output'!$J:$J, 1), "")</f>
        <v/>
      </c>
    </row>
    <row r="4230" spans="2:5" x14ac:dyDescent="0.45">
      <c r="B4230" s="1"/>
      <c r="E4230" s="45" t="str">
        <f>IFERROR(AVERAGEIFS('Picarro Output'!G:G, 'Picarro Output'!$B:$B, 'Uncalibrated Data'!$C4230, 'Picarro Output'!$I:$I, 0, 'Picarro Output'!$J:$J, 1), "")</f>
        <v/>
      </c>
    </row>
    <row r="4231" spans="2:5" x14ac:dyDescent="0.45">
      <c r="B4231" s="1"/>
      <c r="E4231" s="45" t="str">
        <f>IFERROR(AVERAGEIFS('Picarro Output'!G:G, 'Picarro Output'!$B:$B, 'Uncalibrated Data'!$C4231, 'Picarro Output'!$I:$I, 0, 'Picarro Output'!$J:$J, 1), "")</f>
        <v/>
      </c>
    </row>
    <row r="4232" spans="2:5" x14ac:dyDescent="0.45">
      <c r="B4232" s="1"/>
      <c r="E4232" s="45" t="str">
        <f>IFERROR(AVERAGEIFS('Picarro Output'!G:G, 'Picarro Output'!$B:$B, 'Uncalibrated Data'!$C4232, 'Picarro Output'!$I:$I, 0, 'Picarro Output'!$J:$J, 1), "")</f>
        <v/>
      </c>
    </row>
    <row r="4233" spans="2:5" x14ac:dyDescent="0.45">
      <c r="B4233" s="1"/>
      <c r="E4233" s="45" t="str">
        <f>IFERROR(AVERAGEIFS('Picarro Output'!G:G, 'Picarro Output'!$B:$B, 'Uncalibrated Data'!$C4233, 'Picarro Output'!$I:$I, 0, 'Picarro Output'!$J:$J, 1), "")</f>
        <v/>
      </c>
    </row>
    <row r="4234" spans="2:5" x14ac:dyDescent="0.45">
      <c r="B4234" s="1"/>
      <c r="E4234" s="45" t="str">
        <f>IFERROR(AVERAGEIFS('Picarro Output'!G:G, 'Picarro Output'!$B:$B, 'Uncalibrated Data'!$C4234, 'Picarro Output'!$I:$I, 0, 'Picarro Output'!$J:$J, 1), "")</f>
        <v/>
      </c>
    </row>
    <row r="4235" spans="2:5" x14ac:dyDescent="0.45">
      <c r="B4235" s="1"/>
      <c r="E4235" s="45" t="str">
        <f>IFERROR(AVERAGEIFS('Picarro Output'!G:G, 'Picarro Output'!$B:$B, 'Uncalibrated Data'!$C4235, 'Picarro Output'!$I:$I, 0, 'Picarro Output'!$J:$J, 1), "")</f>
        <v/>
      </c>
    </row>
    <row r="4236" spans="2:5" x14ac:dyDescent="0.45">
      <c r="B4236" s="1"/>
      <c r="E4236" s="45" t="str">
        <f>IFERROR(AVERAGEIFS('Picarro Output'!G:G, 'Picarro Output'!$B:$B, 'Uncalibrated Data'!$C4236, 'Picarro Output'!$I:$I, 0, 'Picarro Output'!$J:$J, 1), "")</f>
        <v/>
      </c>
    </row>
    <row r="4237" spans="2:5" x14ac:dyDescent="0.45">
      <c r="B4237" s="1"/>
      <c r="E4237" s="45" t="str">
        <f>IFERROR(AVERAGEIFS('Picarro Output'!G:G, 'Picarro Output'!$B:$B, 'Uncalibrated Data'!$C4237, 'Picarro Output'!$I:$I, 0, 'Picarro Output'!$J:$J, 1), "")</f>
        <v/>
      </c>
    </row>
    <row r="4238" spans="2:5" x14ac:dyDescent="0.45">
      <c r="B4238" s="1"/>
      <c r="E4238" s="45" t="str">
        <f>IFERROR(AVERAGEIFS('Picarro Output'!G:G, 'Picarro Output'!$B:$B, 'Uncalibrated Data'!$C4238, 'Picarro Output'!$I:$I, 0, 'Picarro Output'!$J:$J, 1), "")</f>
        <v/>
      </c>
    </row>
    <row r="4239" spans="2:5" x14ac:dyDescent="0.45">
      <c r="B4239" s="1"/>
      <c r="E4239" s="45" t="str">
        <f>IFERROR(AVERAGEIFS('Picarro Output'!G:G, 'Picarro Output'!$B:$B, 'Uncalibrated Data'!$C4239, 'Picarro Output'!$I:$I, 0, 'Picarro Output'!$J:$J, 1), "")</f>
        <v/>
      </c>
    </row>
    <row r="4240" spans="2:5" x14ac:dyDescent="0.45">
      <c r="B4240" s="1"/>
      <c r="E4240" s="45" t="str">
        <f>IFERROR(AVERAGEIFS('Picarro Output'!G:G, 'Picarro Output'!$B:$B, 'Uncalibrated Data'!$C4240, 'Picarro Output'!$I:$I, 0, 'Picarro Output'!$J:$J, 1), "")</f>
        <v/>
      </c>
    </row>
    <row r="4241" spans="2:5" x14ac:dyDescent="0.45">
      <c r="B4241" s="1"/>
      <c r="E4241" s="45" t="str">
        <f>IFERROR(AVERAGEIFS('Picarro Output'!G:G, 'Picarro Output'!$B:$B, 'Uncalibrated Data'!$C4241, 'Picarro Output'!$I:$I, 0, 'Picarro Output'!$J:$J, 1), "")</f>
        <v/>
      </c>
    </row>
    <row r="4242" spans="2:5" x14ac:dyDescent="0.45">
      <c r="B4242" s="1"/>
      <c r="E4242" s="45" t="str">
        <f>IFERROR(AVERAGEIFS('Picarro Output'!G:G, 'Picarro Output'!$B:$B, 'Uncalibrated Data'!$C4242, 'Picarro Output'!$I:$I, 0, 'Picarro Output'!$J:$J, 1), "")</f>
        <v/>
      </c>
    </row>
    <row r="4243" spans="2:5" x14ac:dyDescent="0.45">
      <c r="B4243" s="1"/>
      <c r="E4243" s="45" t="str">
        <f>IFERROR(AVERAGEIFS('Picarro Output'!G:G, 'Picarro Output'!$B:$B, 'Uncalibrated Data'!$C4243, 'Picarro Output'!$I:$I, 0, 'Picarro Output'!$J:$J, 1), "")</f>
        <v/>
      </c>
    </row>
    <row r="4244" spans="2:5" x14ac:dyDescent="0.45">
      <c r="B4244" s="1"/>
      <c r="E4244" s="45" t="str">
        <f>IFERROR(AVERAGEIFS('Picarro Output'!G:G, 'Picarro Output'!$B:$B, 'Uncalibrated Data'!$C4244, 'Picarro Output'!$I:$I, 0, 'Picarro Output'!$J:$J, 1), "")</f>
        <v/>
      </c>
    </row>
    <row r="4245" spans="2:5" x14ac:dyDescent="0.45">
      <c r="B4245" s="1"/>
      <c r="E4245" s="45" t="str">
        <f>IFERROR(AVERAGEIFS('Picarro Output'!G:G, 'Picarro Output'!$B:$B, 'Uncalibrated Data'!$C4245, 'Picarro Output'!$I:$I, 0, 'Picarro Output'!$J:$J, 1), "")</f>
        <v/>
      </c>
    </row>
    <row r="4246" spans="2:5" x14ac:dyDescent="0.45">
      <c r="B4246" s="1"/>
      <c r="E4246" s="45" t="str">
        <f>IFERROR(AVERAGEIFS('Picarro Output'!G:G, 'Picarro Output'!$B:$B, 'Uncalibrated Data'!$C4246, 'Picarro Output'!$I:$I, 0, 'Picarro Output'!$J:$J, 1), "")</f>
        <v/>
      </c>
    </row>
    <row r="4247" spans="2:5" x14ac:dyDescent="0.45">
      <c r="B4247" s="1"/>
      <c r="E4247" s="45" t="str">
        <f>IFERROR(AVERAGEIFS('Picarro Output'!G:G, 'Picarro Output'!$B:$B, 'Uncalibrated Data'!$C4247, 'Picarro Output'!$I:$I, 0, 'Picarro Output'!$J:$J, 1), "")</f>
        <v/>
      </c>
    </row>
    <row r="4248" spans="2:5" x14ac:dyDescent="0.45">
      <c r="B4248" s="1"/>
      <c r="E4248" s="45" t="str">
        <f>IFERROR(AVERAGEIFS('Picarro Output'!G:G, 'Picarro Output'!$B:$B, 'Uncalibrated Data'!$C4248, 'Picarro Output'!$I:$I, 0, 'Picarro Output'!$J:$J, 1), "")</f>
        <v/>
      </c>
    </row>
    <row r="4249" spans="2:5" x14ac:dyDescent="0.45">
      <c r="B4249" s="1"/>
      <c r="E4249" s="45" t="str">
        <f>IFERROR(AVERAGEIFS('Picarro Output'!G:G, 'Picarro Output'!$B:$B, 'Uncalibrated Data'!$C4249, 'Picarro Output'!$I:$I, 0, 'Picarro Output'!$J:$J, 1), "")</f>
        <v/>
      </c>
    </row>
    <row r="4250" spans="2:5" x14ac:dyDescent="0.45">
      <c r="B4250" s="1"/>
      <c r="E4250" s="45" t="str">
        <f>IFERROR(AVERAGEIFS('Picarro Output'!G:G, 'Picarro Output'!$B:$B, 'Uncalibrated Data'!$C4250, 'Picarro Output'!$I:$I, 0, 'Picarro Output'!$J:$J, 1), "")</f>
        <v/>
      </c>
    </row>
    <row r="4251" spans="2:5" x14ac:dyDescent="0.45">
      <c r="B4251" s="1"/>
      <c r="E4251" s="45" t="str">
        <f>IFERROR(AVERAGEIFS('Picarro Output'!G:G, 'Picarro Output'!$B:$B, 'Uncalibrated Data'!$C4251, 'Picarro Output'!$I:$I, 0, 'Picarro Output'!$J:$J, 1), "")</f>
        <v/>
      </c>
    </row>
    <row r="4252" spans="2:5" x14ac:dyDescent="0.45">
      <c r="B4252" s="1"/>
      <c r="E4252" s="45" t="str">
        <f>IFERROR(AVERAGEIFS('Picarro Output'!G:G, 'Picarro Output'!$B:$B, 'Uncalibrated Data'!$C4252, 'Picarro Output'!$I:$I, 0, 'Picarro Output'!$J:$J, 1), "")</f>
        <v/>
      </c>
    </row>
    <row r="4253" spans="2:5" x14ac:dyDescent="0.45">
      <c r="B4253" s="1"/>
      <c r="E4253" s="45" t="str">
        <f>IFERROR(AVERAGEIFS('Picarro Output'!G:G, 'Picarro Output'!$B:$B, 'Uncalibrated Data'!$C4253, 'Picarro Output'!$I:$I, 0, 'Picarro Output'!$J:$J, 1), "")</f>
        <v/>
      </c>
    </row>
    <row r="4254" spans="2:5" x14ac:dyDescent="0.45">
      <c r="B4254" s="1"/>
      <c r="E4254" s="45" t="str">
        <f>IFERROR(AVERAGEIFS('Picarro Output'!G:G, 'Picarro Output'!$B:$B, 'Uncalibrated Data'!$C4254, 'Picarro Output'!$I:$I, 0, 'Picarro Output'!$J:$J, 1), "")</f>
        <v/>
      </c>
    </row>
    <row r="4255" spans="2:5" x14ac:dyDescent="0.45">
      <c r="B4255" s="1"/>
      <c r="E4255" s="45" t="str">
        <f>IFERROR(AVERAGEIFS('Picarro Output'!G:G, 'Picarro Output'!$B:$B, 'Uncalibrated Data'!$C4255, 'Picarro Output'!$I:$I, 0, 'Picarro Output'!$J:$J, 1), "")</f>
        <v/>
      </c>
    </row>
    <row r="4256" spans="2:5" x14ac:dyDescent="0.45">
      <c r="B4256" s="1"/>
      <c r="E4256" s="45" t="str">
        <f>IFERROR(AVERAGEIFS('Picarro Output'!G:G, 'Picarro Output'!$B:$B, 'Uncalibrated Data'!$C4256, 'Picarro Output'!$I:$I, 0, 'Picarro Output'!$J:$J, 1), "")</f>
        <v/>
      </c>
    </row>
    <row r="4257" spans="2:5" x14ac:dyDescent="0.45">
      <c r="B4257" s="1"/>
      <c r="E4257" s="45" t="str">
        <f>IFERROR(AVERAGEIFS('Picarro Output'!G:G, 'Picarro Output'!$B:$B, 'Uncalibrated Data'!$C4257, 'Picarro Output'!$I:$I, 0, 'Picarro Output'!$J:$J, 1), "")</f>
        <v/>
      </c>
    </row>
    <row r="4258" spans="2:5" x14ac:dyDescent="0.45">
      <c r="B4258" s="1"/>
      <c r="E4258" s="45" t="str">
        <f>IFERROR(AVERAGEIFS('Picarro Output'!G:G, 'Picarro Output'!$B:$B, 'Uncalibrated Data'!$C4258, 'Picarro Output'!$I:$I, 0, 'Picarro Output'!$J:$J, 1), "")</f>
        <v/>
      </c>
    </row>
    <row r="4259" spans="2:5" x14ac:dyDescent="0.45">
      <c r="B4259" s="1"/>
      <c r="E4259" s="45" t="str">
        <f>IFERROR(AVERAGEIFS('Picarro Output'!G:G, 'Picarro Output'!$B:$B, 'Uncalibrated Data'!$C4259, 'Picarro Output'!$I:$I, 0, 'Picarro Output'!$J:$J, 1), "")</f>
        <v/>
      </c>
    </row>
    <row r="4260" spans="2:5" x14ac:dyDescent="0.45">
      <c r="B4260" s="1"/>
      <c r="E4260" s="45" t="str">
        <f>IFERROR(AVERAGEIFS('Picarro Output'!G:G, 'Picarro Output'!$B:$B, 'Uncalibrated Data'!$C4260, 'Picarro Output'!$I:$I, 0, 'Picarro Output'!$J:$J, 1), "")</f>
        <v/>
      </c>
    </row>
    <row r="4261" spans="2:5" x14ac:dyDescent="0.45">
      <c r="B4261" s="1"/>
      <c r="E4261" s="45" t="str">
        <f>IFERROR(AVERAGEIFS('Picarro Output'!G:G, 'Picarro Output'!$B:$B, 'Uncalibrated Data'!$C4261, 'Picarro Output'!$I:$I, 0, 'Picarro Output'!$J:$J, 1), "")</f>
        <v/>
      </c>
    </row>
    <row r="4262" spans="2:5" x14ac:dyDescent="0.45">
      <c r="B4262" s="1"/>
      <c r="E4262" s="45" t="str">
        <f>IFERROR(AVERAGEIFS('Picarro Output'!G:G, 'Picarro Output'!$B:$B, 'Uncalibrated Data'!$C4262, 'Picarro Output'!$I:$I, 0, 'Picarro Output'!$J:$J, 1), "")</f>
        <v/>
      </c>
    </row>
    <row r="4263" spans="2:5" x14ac:dyDescent="0.45">
      <c r="B4263" s="1"/>
      <c r="E4263" s="45" t="str">
        <f>IFERROR(AVERAGEIFS('Picarro Output'!G:G, 'Picarro Output'!$B:$B, 'Uncalibrated Data'!$C4263, 'Picarro Output'!$I:$I, 0, 'Picarro Output'!$J:$J, 1), "")</f>
        <v/>
      </c>
    </row>
    <row r="4264" spans="2:5" x14ac:dyDescent="0.45">
      <c r="B4264" s="1"/>
      <c r="E4264" s="45" t="str">
        <f>IFERROR(AVERAGEIFS('Picarro Output'!G:G, 'Picarro Output'!$B:$B, 'Uncalibrated Data'!$C4264, 'Picarro Output'!$I:$I, 0, 'Picarro Output'!$J:$J, 1), "")</f>
        <v/>
      </c>
    </row>
    <row r="4265" spans="2:5" x14ac:dyDescent="0.45">
      <c r="B4265" s="1"/>
      <c r="E4265" s="45" t="str">
        <f>IFERROR(AVERAGEIFS('Picarro Output'!G:G, 'Picarro Output'!$B:$B, 'Uncalibrated Data'!$C4265, 'Picarro Output'!$I:$I, 0, 'Picarro Output'!$J:$J, 1), "")</f>
        <v/>
      </c>
    </row>
    <row r="4266" spans="2:5" x14ac:dyDescent="0.45">
      <c r="B4266" s="1"/>
      <c r="E4266" s="45" t="str">
        <f>IFERROR(AVERAGEIFS('Picarro Output'!G:G, 'Picarro Output'!$B:$B, 'Uncalibrated Data'!$C4266, 'Picarro Output'!$I:$I, 0, 'Picarro Output'!$J:$J, 1), "")</f>
        <v/>
      </c>
    </row>
    <row r="4267" spans="2:5" x14ac:dyDescent="0.45">
      <c r="B4267" s="1"/>
      <c r="E4267" s="45" t="str">
        <f>IFERROR(AVERAGEIFS('Picarro Output'!G:G, 'Picarro Output'!$B:$B, 'Uncalibrated Data'!$C4267, 'Picarro Output'!$I:$I, 0, 'Picarro Output'!$J:$J, 1), "")</f>
        <v/>
      </c>
    </row>
    <row r="4268" spans="2:5" x14ac:dyDescent="0.45">
      <c r="B4268" s="1"/>
      <c r="E4268" s="45" t="str">
        <f>IFERROR(AVERAGEIFS('Picarro Output'!G:G, 'Picarro Output'!$B:$B, 'Uncalibrated Data'!$C4268, 'Picarro Output'!$I:$I, 0, 'Picarro Output'!$J:$J, 1), "")</f>
        <v/>
      </c>
    </row>
    <row r="4269" spans="2:5" x14ac:dyDescent="0.45">
      <c r="B4269" s="1"/>
      <c r="E4269" s="45" t="str">
        <f>IFERROR(AVERAGEIFS('Picarro Output'!G:G, 'Picarro Output'!$B:$B, 'Uncalibrated Data'!$C4269, 'Picarro Output'!$I:$I, 0, 'Picarro Output'!$J:$J, 1), "")</f>
        <v/>
      </c>
    </row>
    <row r="4270" spans="2:5" x14ac:dyDescent="0.45">
      <c r="B4270" s="1"/>
      <c r="E4270" s="45" t="str">
        <f>IFERROR(AVERAGEIFS('Picarro Output'!G:G, 'Picarro Output'!$B:$B, 'Uncalibrated Data'!$C4270, 'Picarro Output'!$I:$I, 0, 'Picarro Output'!$J:$J, 1), "")</f>
        <v/>
      </c>
    </row>
    <row r="4271" spans="2:5" x14ac:dyDescent="0.45">
      <c r="B4271" s="1"/>
      <c r="E4271" s="45" t="str">
        <f>IFERROR(AVERAGEIFS('Picarro Output'!G:G, 'Picarro Output'!$B:$B, 'Uncalibrated Data'!$C4271, 'Picarro Output'!$I:$I, 0, 'Picarro Output'!$J:$J, 1), "")</f>
        <v/>
      </c>
    </row>
    <row r="4272" spans="2:5" x14ac:dyDescent="0.45">
      <c r="B4272" s="1"/>
      <c r="E4272" s="45" t="str">
        <f>IFERROR(AVERAGEIFS('Picarro Output'!G:G, 'Picarro Output'!$B:$B, 'Uncalibrated Data'!$C4272, 'Picarro Output'!$I:$I, 0, 'Picarro Output'!$J:$J, 1), "")</f>
        <v/>
      </c>
    </row>
    <row r="4273" spans="2:5" x14ac:dyDescent="0.45">
      <c r="B4273" s="1"/>
      <c r="E4273" s="45" t="str">
        <f>IFERROR(AVERAGEIFS('Picarro Output'!G:G, 'Picarro Output'!$B:$B, 'Uncalibrated Data'!$C4273, 'Picarro Output'!$I:$I, 0, 'Picarro Output'!$J:$J, 1), "")</f>
        <v/>
      </c>
    </row>
    <row r="4274" spans="2:5" x14ac:dyDescent="0.45">
      <c r="B4274" s="1"/>
      <c r="E4274" s="45" t="str">
        <f>IFERROR(AVERAGEIFS('Picarro Output'!G:G, 'Picarro Output'!$B:$B, 'Uncalibrated Data'!$C4274, 'Picarro Output'!$I:$I, 0, 'Picarro Output'!$J:$J, 1), "")</f>
        <v/>
      </c>
    </row>
    <row r="4275" spans="2:5" x14ac:dyDescent="0.45">
      <c r="B4275" s="1"/>
      <c r="E4275" s="45" t="str">
        <f>IFERROR(AVERAGEIFS('Picarro Output'!G:G, 'Picarro Output'!$B:$B, 'Uncalibrated Data'!$C4275, 'Picarro Output'!$I:$I, 0, 'Picarro Output'!$J:$J, 1), "")</f>
        <v/>
      </c>
    </row>
    <row r="4276" spans="2:5" x14ac:dyDescent="0.45">
      <c r="B4276" s="1"/>
      <c r="E4276" s="45" t="str">
        <f>IFERROR(AVERAGEIFS('Picarro Output'!G:G, 'Picarro Output'!$B:$B, 'Uncalibrated Data'!$C4276, 'Picarro Output'!$I:$I, 0, 'Picarro Output'!$J:$J, 1), "")</f>
        <v/>
      </c>
    </row>
    <row r="4277" spans="2:5" x14ac:dyDescent="0.45">
      <c r="B4277" s="1"/>
      <c r="E4277" s="45" t="str">
        <f>IFERROR(AVERAGEIFS('Picarro Output'!G:G, 'Picarro Output'!$B:$B, 'Uncalibrated Data'!$C4277, 'Picarro Output'!$I:$I, 0, 'Picarro Output'!$J:$J, 1), "")</f>
        <v/>
      </c>
    </row>
    <row r="4278" spans="2:5" x14ac:dyDescent="0.45">
      <c r="B4278" s="1"/>
      <c r="E4278" s="45" t="str">
        <f>IFERROR(AVERAGEIFS('Picarro Output'!G:G, 'Picarro Output'!$B:$B, 'Uncalibrated Data'!$C4278, 'Picarro Output'!$I:$I, 0, 'Picarro Output'!$J:$J, 1), "")</f>
        <v/>
      </c>
    </row>
    <row r="4279" spans="2:5" x14ac:dyDescent="0.45">
      <c r="B4279" s="1"/>
      <c r="E4279" s="45" t="str">
        <f>IFERROR(AVERAGEIFS('Picarro Output'!G:G, 'Picarro Output'!$B:$B, 'Uncalibrated Data'!$C4279, 'Picarro Output'!$I:$I, 0, 'Picarro Output'!$J:$J, 1), "")</f>
        <v/>
      </c>
    </row>
    <row r="4280" spans="2:5" x14ac:dyDescent="0.45">
      <c r="B4280" s="1"/>
      <c r="E4280" s="45" t="str">
        <f>IFERROR(AVERAGEIFS('Picarro Output'!G:G, 'Picarro Output'!$B:$B, 'Uncalibrated Data'!$C4280, 'Picarro Output'!$I:$I, 0, 'Picarro Output'!$J:$J, 1), "")</f>
        <v/>
      </c>
    </row>
    <row r="4281" spans="2:5" x14ac:dyDescent="0.45">
      <c r="B4281" s="1"/>
      <c r="E4281" s="45" t="str">
        <f>IFERROR(AVERAGEIFS('Picarro Output'!G:G, 'Picarro Output'!$B:$B, 'Uncalibrated Data'!$C4281, 'Picarro Output'!$I:$I, 0, 'Picarro Output'!$J:$J, 1), "")</f>
        <v/>
      </c>
    </row>
    <row r="4282" spans="2:5" x14ac:dyDescent="0.45">
      <c r="B4282" s="1"/>
      <c r="E4282" s="45" t="str">
        <f>IFERROR(AVERAGEIFS('Picarro Output'!G:G, 'Picarro Output'!$B:$B, 'Uncalibrated Data'!$C4282, 'Picarro Output'!$I:$I, 0, 'Picarro Output'!$J:$J, 1), "")</f>
        <v/>
      </c>
    </row>
    <row r="4283" spans="2:5" x14ac:dyDescent="0.45">
      <c r="B4283" s="1"/>
      <c r="E4283" s="45" t="str">
        <f>IFERROR(AVERAGEIFS('Picarro Output'!G:G, 'Picarro Output'!$B:$B, 'Uncalibrated Data'!$C4283, 'Picarro Output'!$I:$I, 0, 'Picarro Output'!$J:$J, 1), "")</f>
        <v/>
      </c>
    </row>
    <row r="4284" spans="2:5" x14ac:dyDescent="0.45">
      <c r="B4284" s="1"/>
      <c r="E4284" s="45" t="str">
        <f>IFERROR(AVERAGEIFS('Picarro Output'!G:G, 'Picarro Output'!$B:$B, 'Uncalibrated Data'!$C4284, 'Picarro Output'!$I:$I, 0, 'Picarro Output'!$J:$J, 1), "")</f>
        <v/>
      </c>
    </row>
    <row r="4285" spans="2:5" x14ac:dyDescent="0.45">
      <c r="B4285" s="1"/>
      <c r="E4285" s="45" t="str">
        <f>IFERROR(AVERAGEIFS('Picarro Output'!G:G, 'Picarro Output'!$B:$B, 'Uncalibrated Data'!$C4285, 'Picarro Output'!$I:$I, 0, 'Picarro Output'!$J:$J, 1), "")</f>
        <v/>
      </c>
    </row>
    <row r="4286" spans="2:5" x14ac:dyDescent="0.45">
      <c r="B4286" s="1"/>
      <c r="E4286" s="45" t="str">
        <f>IFERROR(AVERAGEIFS('Picarro Output'!G:G, 'Picarro Output'!$B:$B, 'Uncalibrated Data'!$C4286, 'Picarro Output'!$I:$I, 0, 'Picarro Output'!$J:$J, 1), "")</f>
        <v/>
      </c>
    </row>
    <row r="4287" spans="2:5" x14ac:dyDescent="0.45">
      <c r="B4287" s="1"/>
      <c r="E4287" s="45" t="str">
        <f>IFERROR(AVERAGEIFS('Picarro Output'!G:G, 'Picarro Output'!$B:$B, 'Uncalibrated Data'!$C4287, 'Picarro Output'!$I:$I, 0, 'Picarro Output'!$J:$J, 1), "")</f>
        <v/>
      </c>
    </row>
    <row r="4288" spans="2:5" x14ac:dyDescent="0.45">
      <c r="B4288" s="1"/>
      <c r="E4288" s="45" t="str">
        <f>IFERROR(AVERAGEIFS('Picarro Output'!G:G, 'Picarro Output'!$B:$B, 'Uncalibrated Data'!$C4288, 'Picarro Output'!$I:$I, 0, 'Picarro Output'!$J:$J, 1), "")</f>
        <v/>
      </c>
    </row>
    <row r="4289" spans="2:5" x14ac:dyDescent="0.45">
      <c r="B4289" s="1"/>
      <c r="E4289" s="45" t="str">
        <f>IFERROR(AVERAGEIFS('Picarro Output'!G:G, 'Picarro Output'!$B:$B, 'Uncalibrated Data'!$C4289, 'Picarro Output'!$I:$I, 0, 'Picarro Output'!$J:$J, 1), "")</f>
        <v/>
      </c>
    </row>
    <row r="4290" spans="2:5" x14ac:dyDescent="0.45">
      <c r="B4290" s="1"/>
      <c r="E4290" s="45" t="str">
        <f>IFERROR(AVERAGEIFS('Picarro Output'!G:G, 'Picarro Output'!$B:$B, 'Uncalibrated Data'!$C4290, 'Picarro Output'!$I:$I, 0, 'Picarro Output'!$J:$J, 1), "")</f>
        <v/>
      </c>
    </row>
    <row r="4291" spans="2:5" x14ac:dyDescent="0.45">
      <c r="B4291" s="1"/>
      <c r="E4291" s="45" t="str">
        <f>IFERROR(AVERAGEIFS('Picarro Output'!G:G, 'Picarro Output'!$B:$B, 'Uncalibrated Data'!$C4291, 'Picarro Output'!$I:$I, 0, 'Picarro Output'!$J:$J, 1), "")</f>
        <v/>
      </c>
    </row>
    <row r="4292" spans="2:5" x14ac:dyDescent="0.45">
      <c r="B4292" s="1"/>
      <c r="E4292" s="45" t="str">
        <f>IFERROR(AVERAGEIFS('Picarro Output'!G:G, 'Picarro Output'!$B:$B, 'Uncalibrated Data'!$C4292, 'Picarro Output'!$I:$I, 0, 'Picarro Output'!$J:$J, 1), "")</f>
        <v/>
      </c>
    </row>
    <row r="4293" spans="2:5" x14ac:dyDescent="0.45">
      <c r="B4293" s="1"/>
      <c r="E4293" s="45" t="str">
        <f>IFERROR(AVERAGEIFS('Picarro Output'!G:G, 'Picarro Output'!$B:$B, 'Uncalibrated Data'!$C4293, 'Picarro Output'!$I:$I, 0, 'Picarro Output'!$J:$J, 1), "")</f>
        <v/>
      </c>
    </row>
    <row r="4294" spans="2:5" x14ac:dyDescent="0.45">
      <c r="B4294" s="1"/>
      <c r="E4294" s="45" t="str">
        <f>IFERROR(AVERAGEIFS('Picarro Output'!G:G, 'Picarro Output'!$B:$B, 'Uncalibrated Data'!$C4294, 'Picarro Output'!$I:$I, 0, 'Picarro Output'!$J:$J, 1), "")</f>
        <v/>
      </c>
    </row>
    <row r="4295" spans="2:5" x14ac:dyDescent="0.45">
      <c r="B4295" s="1"/>
      <c r="E4295" s="45" t="str">
        <f>IFERROR(AVERAGEIFS('Picarro Output'!G:G, 'Picarro Output'!$B:$B, 'Uncalibrated Data'!$C4295, 'Picarro Output'!$I:$I, 0, 'Picarro Output'!$J:$J, 1), "")</f>
        <v/>
      </c>
    </row>
    <row r="4296" spans="2:5" x14ac:dyDescent="0.45">
      <c r="B4296" s="1"/>
      <c r="E4296" s="45" t="str">
        <f>IFERROR(AVERAGEIFS('Picarro Output'!G:G, 'Picarro Output'!$B:$B, 'Uncalibrated Data'!$C4296, 'Picarro Output'!$I:$I, 0, 'Picarro Output'!$J:$J, 1), "")</f>
        <v/>
      </c>
    </row>
    <row r="4297" spans="2:5" x14ac:dyDescent="0.45">
      <c r="B4297" s="1"/>
      <c r="E4297" s="45" t="str">
        <f>IFERROR(AVERAGEIFS('Picarro Output'!G:G, 'Picarro Output'!$B:$B, 'Uncalibrated Data'!$C4297, 'Picarro Output'!$I:$I, 0, 'Picarro Output'!$J:$J, 1), "")</f>
        <v/>
      </c>
    </row>
    <row r="4298" spans="2:5" x14ac:dyDescent="0.45">
      <c r="B4298" s="1"/>
      <c r="E4298" s="45" t="str">
        <f>IFERROR(AVERAGEIFS('Picarro Output'!G:G, 'Picarro Output'!$B:$B, 'Uncalibrated Data'!$C4298, 'Picarro Output'!$I:$I, 0, 'Picarro Output'!$J:$J, 1), "")</f>
        <v/>
      </c>
    </row>
    <row r="4299" spans="2:5" x14ac:dyDescent="0.45">
      <c r="B4299" s="1"/>
      <c r="E4299" s="45" t="str">
        <f>IFERROR(AVERAGEIFS('Picarro Output'!G:G, 'Picarro Output'!$B:$B, 'Uncalibrated Data'!$C4299, 'Picarro Output'!$I:$I, 0, 'Picarro Output'!$J:$J, 1), "")</f>
        <v/>
      </c>
    </row>
    <row r="4300" spans="2:5" x14ac:dyDescent="0.45">
      <c r="B4300" s="1"/>
      <c r="E4300" s="45" t="str">
        <f>IFERROR(AVERAGEIFS('Picarro Output'!G:G, 'Picarro Output'!$B:$B, 'Uncalibrated Data'!$C4300, 'Picarro Output'!$I:$I, 0, 'Picarro Output'!$J:$J, 1), "")</f>
        <v/>
      </c>
    </row>
    <row r="4301" spans="2:5" x14ac:dyDescent="0.45">
      <c r="B4301" s="1"/>
      <c r="E4301" s="45" t="str">
        <f>IFERROR(AVERAGEIFS('Picarro Output'!G:G, 'Picarro Output'!$B:$B, 'Uncalibrated Data'!$C4301, 'Picarro Output'!$I:$I, 0, 'Picarro Output'!$J:$J, 1), "")</f>
        <v/>
      </c>
    </row>
    <row r="4302" spans="2:5" x14ac:dyDescent="0.45">
      <c r="B4302" s="1"/>
      <c r="E4302" s="45" t="str">
        <f>IFERROR(AVERAGEIFS('Picarro Output'!G:G, 'Picarro Output'!$B:$B, 'Uncalibrated Data'!$C4302, 'Picarro Output'!$I:$I, 0, 'Picarro Output'!$J:$J, 1), "")</f>
        <v/>
      </c>
    </row>
    <row r="4303" spans="2:5" x14ac:dyDescent="0.45">
      <c r="B4303" s="1"/>
      <c r="E4303" s="45" t="str">
        <f>IFERROR(AVERAGEIFS('Picarro Output'!G:G, 'Picarro Output'!$B:$B, 'Uncalibrated Data'!$C4303, 'Picarro Output'!$I:$I, 0, 'Picarro Output'!$J:$J, 1), "")</f>
        <v/>
      </c>
    </row>
    <row r="4304" spans="2:5" x14ac:dyDescent="0.45">
      <c r="B4304" s="1"/>
      <c r="E4304" s="45" t="str">
        <f>IFERROR(AVERAGEIFS('Picarro Output'!G:G, 'Picarro Output'!$B:$B, 'Uncalibrated Data'!$C4304, 'Picarro Output'!$I:$I, 0, 'Picarro Output'!$J:$J, 1), "")</f>
        <v/>
      </c>
    </row>
    <row r="4305" spans="2:5" x14ac:dyDescent="0.45">
      <c r="B4305" s="1"/>
      <c r="E4305" s="45" t="str">
        <f>IFERROR(AVERAGEIFS('Picarro Output'!G:G, 'Picarro Output'!$B:$B, 'Uncalibrated Data'!$C4305, 'Picarro Output'!$I:$I, 0, 'Picarro Output'!$J:$J, 1), "")</f>
        <v/>
      </c>
    </row>
    <row r="4306" spans="2:5" x14ac:dyDescent="0.45">
      <c r="B4306" s="1"/>
      <c r="E4306" s="45" t="str">
        <f>IFERROR(AVERAGEIFS('Picarro Output'!G:G, 'Picarro Output'!$B:$B, 'Uncalibrated Data'!$C4306, 'Picarro Output'!$I:$I, 0, 'Picarro Output'!$J:$J, 1), "")</f>
        <v/>
      </c>
    </row>
    <row r="4307" spans="2:5" x14ac:dyDescent="0.45">
      <c r="B4307" s="1"/>
      <c r="E4307" s="45" t="str">
        <f>IFERROR(AVERAGEIFS('Picarro Output'!G:G, 'Picarro Output'!$B:$B, 'Uncalibrated Data'!$C4307, 'Picarro Output'!$I:$I, 0, 'Picarro Output'!$J:$J, 1), "")</f>
        <v/>
      </c>
    </row>
    <row r="4308" spans="2:5" x14ac:dyDescent="0.45">
      <c r="B4308" s="1"/>
      <c r="E4308" s="45" t="str">
        <f>IFERROR(AVERAGEIFS('Picarro Output'!G:G, 'Picarro Output'!$B:$B, 'Uncalibrated Data'!$C4308, 'Picarro Output'!$I:$I, 0, 'Picarro Output'!$J:$J, 1), "")</f>
        <v/>
      </c>
    </row>
    <row r="4309" spans="2:5" x14ac:dyDescent="0.45">
      <c r="B4309" s="1"/>
      <c r="E4309" s="45" t="str">
        <f>IFERROR(AVERAGEIFS('Picarro Output'!G:G, 'Picarro Output'!$B:$B, 'Uncalibrated Data'!$C4309, 'Picarro Output'!$I:$I, 0, 'Picarro Output'!$J:$J, 1), "")</f>
        <v/>
      </c>
    </row>
    <row r="4310" spans="2:5" x14ac:dyDescent="0.45">
      <c r="B4310" s="1"/>
      <c r="E4310" s="45" t="str">
        <f>IFERROR(AVERAGEIFS('Picarro Output'!G:G, 'Picarro Output'!$B:$B, 'Uncalibrated Data'!$C4310, 'Picarro Output'!$I:$I, 0, 'Picarro Output'!$J:$J, 1), "")</f>
        <v/>
      </c>
    </row>
    <row r="4311" spans="2:5" x14ac:dyDescent="0.45">
      <c r="B4311" s="1"/>
      <c r="E4311" s="45" t="str">
        <f>IFERROR(AVERAGEIFS('Picarro Output'!G:G, 'Picarro Output'!$B:$B, 'Uncalibrated Data'!$C4311, 'Picarro Output'!$I:$I, 0, 'Picarro Output'!$J:$J, 1), "")</f>
        <v/>
      </c>
    </row>
    <row r="4312" spans="2:5" x14ac:dyDescent="0.45">
      <c r="B4312" s="1"/>
      <c r="E4312" s="45" t="str">
        <f>IFERROR(AVERAGEIFS('Picarro Output'!G:G, 'Picarro Output'!$B:$B, 'Uncalibrated Data'!$C4312, 'Picarro Output'!$I:$I, 0, 'Picarro Output'!$J:$J, 1), "")</f>
        <v/>
      </c>
    </row>
    <row r="4313" spans="2:5" x14ac:dyDescent="0.45">
      <c r="B4313" s="1"/>
      <c r="E4313" s="45" t="str">
        <f>IFERROR(AVERAGEIFS('Picarro Output'!G:G, 'Picarro Output'!$B:$B, 'Uncalibrated Data'!$C4313, 'Picarro Output'!$I:$I, 0, 'Picarro Output'!$J:$J, 1), "")</f>
        <v/>
      </c>
    </row>
    <row r="4314" spans="2:5" x14ac:dyDescent="0.45">
      <c r="B4314" s="1"/>
      <c r="E4314" s="45" t="str">
        <f>IFERROR(AVERAGEIFS('Picarro Output'!G:G, 'Picarro Output'!$B:$B, 'Uncalibrated Data'!$C4314, 'Picarro Output'!$I:$I, 0, 'Picarro Output'!$J:$J, 1), "")</f>
        <v/>
      </c>
    </row>
    <row r="4315" spans="2:5" x14ac:dyDescent="0.45">
      <c r="B4315" s="1"/>
      <c r="E4315" s="45" t="str">
        <f>IFERROR(AVERAGEIFS('Picarro Output'!G:G, 'Picarro Output'!$B:$B, 'Uncalibrated Data'!$C4315, 'Picarro Output'!$I:$I, 0, 'Picarro Output'!$J:$J, 1), "")</f>
        <v/>
      </c>
    </row>
    <row r="4316" spans="2:5" x14ac:dyDescent="0.45">
      <c r="B4316" s="1"/>
      <c r="E4316" s="45" t="str">
        <f>IFERROR(AVERAGEIFS('Picarro Output'!G:G, 'Picarro Output'!$B:$B, 'Uncalibrated Data'!$C4316, 'Picarro Output'!$I:$I, 0, 'Picarro Output'!$J:$J, 1), "")</f>
        <v/>
      </c>
    </row>
    <row r="4317" spans="2:5" x14ac:dyDescent="0.45">
      <c r="B4317" s="1"/>
      <c r="E4317" s="45" t="str">
        <f>IFERROR(AVERAGEIFS('Picarro Output'!G:G, 'Picarro Output'!$B:$B, 'Uncalibrated Data'!$C4317, 'Picarro Output'!$I:$I, 0, 'Picarro Output'!$J:$J, 1), "")</f>
        <v/>
      </c>
    </row>
    <row r="4318" spans="2:5" x14ac:dyDescent="0.45">
      <c r="B4318" s="1"/>
      <c r="E4318" s="45" t="str">
        <f>IFERROR(AVERAGEIFS('Picarro Output'!G:G, 'Picarro Output'!$B:$B, 'Uncalibrated Data'!$C4318, 'Picarro Output'!$I:$I, 0, 'Picarro Output'!$J:$J, 1), "")</f>
        <v/>
      </c>
    </row>
    <row r="4319" spans="2:5" x14ac:dyDescent="0.45">
      <c r="B4319" s="1"/>
      <c r="E4319" s="45" t="str">
        <f>IFERROR(AVERAGEIFS('Picarro Output'!G:G, 'Picarro Output'!$B:$B, 'Uncalibrated Data'!$C4319, 'Picarro Output'!$I:$I, 0, 'Picarro Output'!$J:$J, 1), "")</f>
        <v/>
      </c>
    </row>
    <row r="4320" spans="2:5" x14ac:dyDescent="0.45">
      <c r="B4320" s="1"/>
      <c r="E4320" s="45" t="str">
        <f>IFERROR(AVERAGEIFS('Picarro Output'!G:G, 'Picarro Output'!$B:$B, 'Uncalibrated Data'!$C4320, 'Picarro Output'!$I:$I, 0, 'Picarro Output'!$J:$J, 1), "")</f>
        <v/>
      </c>
    </row>
    <row r="4321" spans="2:5" x14ac:dyDescent="0.45">
      <c r="B4321" s="1"/>
      <c r="E4321" s="45" t="str">
        <f>IFERROR(AVERAGEIFS('Picarro Output'!G:G, 'Picarro Output'!$B:$B, 'Uncalibrated Data'!$C4321, 'Picarro Output'!$I:$I, 0, 'Picarro Output'!$J:$J, 1), "")</f>
        <v/>
      </c>
    </row>
    <row r="4322" spans="2:5" x14ac:dyDescent="0.45">
      <c r="B4322" s="1"/>
      <c r="E4322" s="45" t="str">
        <f>IFERROR(AVERAGEIFS('Picarro Output'!G:G, 'Picarro Output'!$B:$B, 'Uncalibrated Data'!$C4322, 'Picarro Output'!$I:$I, 0, 'Picarro Output'!$J:$J, 1), "")</f>
        <v/>
      </c>
    </row>
    <row r="4323" spans="2:5" x14ac:dyDescent="0.45">
      <c r="B4323" s="1"/>
      <c r="E4323" s="45" t="str">
        <f>IFERROR(AVERAGEIFS('Picarro Output'!G:G, 'Picarro Output'!$B:$B, 'Uncalibrated Data'!$C4323, 'Picarro Output'!$I:$I, 0, 'Picarro Output'!$J:$J, 1), "")</f>
        <v/>
      </c>
    </row>
    <row r="4324" spans="2:5" x14ac:dyDescent="0.45">
      <c r="B4324" s="1"/>
      <c r="E4324" s="45" t="str">
        <f>IFERROR(AVERAGEIFS('Picarro Output'!G:G, 'Picarro Output'!$B:$B, 'Uncalibrated Data'!$C4324, 'Picarro Output'!$I:$I, 0, 'Picarro Output'!$J:$J, 1), "")</f>
        <v/>
      </c>
    </row>
    <row r="4325" spans="2:5" x14ac:dyDescent="0.45">
      <c r="B4325" s="1"/>
      <c r="E4325" s="45" t="str">
        <f>IFERROR(AVERAGEIFS('Picarro Output'!G:G, 'Picarro Output'!$B:$B, 'Uncalibrated Data'!$C4325, 'Picarro Output'!$I:$I, 0, 'Picarro Output'!$J:$J, 1), "")</f>
        <v/>
      </c>
    </row>
    <row r="4326" spans="2:5" x14ac:dyDescent="0.45">
      <c r="B4326" s="1"/>
      <c r="E4326" s="45" t="str">
        <f>IFERROR(AVERAGEIFS('Picarro Output'!G:G, 'Picarro Output'!$B:$B, 'Uncalibrated Data'!$C4326, 'Picarro Output'!$I:$I, 0, 'Picarro Output'!$J:$J, 1), "")</f>
        <v/>
      </c>
    </row>
    <row r="4327" spans="2:5" x14ac:dyDescent="0.45">
      <c r="B4327" s="1"/>
      <c r="E4327" s="45" t="str">
        <f>IFERROR(AVERAGEIFS('Picarro Output'!G:G, 'Picarro Output'!$B:$B, 'Uncalibrated Data'!$C4327, 'Picarro Output'!$I:$I, 0, 'Picarro Output'!$J:$J, 1), "")</f>
        <v/>
      </c>
    </row>
    <row r="4328" spans="2:5" x14ac:dyDescent="0.45">
      <c r="B4328" s="1"/>
      <c r="E4328" s="45" t="str">
        <f>IFERROR(AVERAGEIFS('Picarro Output'!G:G, 'Picarro Output'!$B:$B, 'Uncalibrated Data'!$C4328, 'Picarro Output'!$I:$I, 0, 'Picarro Output'!$J:$J, 1), "")</f>
        <v/>
      </c>
    </row>
    <row r="4329" spans="2:5" x14ac:dyDescent="0.45">
      <c r="B4329" s="1"/>
      <c r="E4329" s="45" t="str">
        <f>IFERROR(AVERAGEIFS('Picarro Output'!G:G, 'Picarro Output'!$B:$B, 'Uncalibrated Data'!$C4329, 'Picarro Output'!$I:$I, 0, 'Picarro Output'!$J:$J, 1), "")</f>
        <v/>
      </c>
    </row>
    <row r="4330" spans="2:5" x14ac:dyDescent="0.45">
      <c r="B4330" s="1"/>
      <c r="E4330" s="45" t="str">
        <f>IFERROR(AVERAGEIFS('Picarro Output'!G:G, 'Picarro Output'!$B:$B, 'Uncalibrated Data'!$C4330, 'Picarro Output'!$I:$I, 0, 'Picarro Output'!$J:$J, 1), "")</f>
        <v/>
      </c>
    </row>
    <row r="4331" spans="2:5" x14ac:dyDescent="0.45">
      <c r="B4331" s="1"/>
      <c r="E4331" s="45" t="str">
        <f>IFERROR(AVERAGEIFS('Picarro Output'!G:G, 'Picarro Output'!$B:$B, 'Uncalibrated Data'!$C4331, 'Picarro Output'!$I:$I, 0, 'Picarro Output'!$J:$J, 1), "")</f>
        <v/>
      </c>
    </row>
    <row r="4332" spans="2:5" x14ac:dyDescent="0.45">
      <c r="B4332" s="1"/>
      <c r="E4332" s="45" t="str">
        <f>IFERROR(AVERAGEIFS('Picarro Output'!G:G, 'Picarro Output'!$B:$B, 'Uncalibrated Data'!$C4332, 'Picarro Output'!$I:$I, 0, 'Picarro Output'!$J:$J, 1), "")</f>
        <v/>
      </c>
    </row>
    <row r="4333" spans="2:5" x14ac:dyDescent="0.45">
      <c r="B4333" s="1"/>
      <c r="E4333" s="45" t="str">
        <f>IFERROR(AVERAGEIFS('Picarro Output'!G:G, 'Picarro Output'!$B:$B, 'Uncalibrated Data'!$C4333, 'Picarro Output'!$I:$I, 0, 'Picarro Output'!$J:$J, 1), "")</f>
        <v/>
      </c>
    </row>
    <row r="4334" spans="2:5" x14ac:dyDescent="0.45">
      <c r="B4334" s="1"/>
      <c r="E4334" s="45" t="str">
        <f>IFERROR(AVERAGEIFS('Picarro Output'!G:G, 'Picarro Output'!$B:$B, 'Uncalibrated Data'!$C4334, 'Picarro Output'!$I:$I, 0, 'Picarro Output'!$J:$J, 1), "")</f>
        <v/>
      </c>
    </row>
    <row r="4335" spans="2:5" x14ac:dyDescent="0.45">
      <c r="B4335" s="1"/>
      <c r="E4335" s="45" t="str">
        <f>IFERROR(AVERAGEIFS('Picarro Output'!G:G, 'Picarro Output'!$B:$B, 'Uncalibrated Data'!$C4335, 'Picarro Output'!$I:$I, 0, 'Picarro Output'!$J:$J, 1), "")</f>
        <v/>
      </c>
    </row>
    <row r="4336" spans="2:5" x14ac:dyDescent="0.45">
      <c r="B4336" s="1"/>
      <c r="E4336" s="45" t="str">
        <f>IFERROR(AVERAGEIFS('Picarro Output'!G:G, 'Picarro Output'!$B:$B, 'Uncalibrated Data'!$C4336, 'Picarro Output'!$I:$I, 0, 'Picarro Output'!$J:$J, 1), "")</f>
        <v/>
      </c>
    </row>
    <row r="4337" spans="2:5" x14ac:dyDescent="0.45">
      <c r="B4337" s="1"/>
      <c r="E4337" s="45" t="str">
        <f>IFERROR(AVERAGEIFS('Picarro Output'!G:G, 'Picarro Output'!$B:$B, 'Uncalibrated Data'!$C4337, 'Picarro Output'!$I:$I, 0, 'Picarro Output'!$J:$J, 1), "")</f>
        <v/>
      </c>
    </row>
    <row r="4338" spans="2:5" x14ac:dyDescent="0.45">
      <c r="B4338" s="1"/>
      <c r="E4338" s="45" t="str">
        <f>IFERROR(AVERAGEIFS('Picarro Output'!G:G, 'Picarro Output'!$B:$B, 'Uncalibrated Data'!$C4338, 'Picarro Output'!$I:$I, 0, 'Picarro Output'!$J:$J, 1), "")</f>
        <v/>
      </c>
    </row>
    <row r="4339" spans="2:5" x14ac:dyDescent="0.45">
      <c r="B4339" s="1"/>
      <c r="E4339" s="45" t="str">
        <f>IFERROR(AVERAGEIFS('Picarro Output'!G:G, 'Picarro Output'!$B:$B, 'Uncalibrated Data'!$C4339, 'Picarro Output'!$I:$I, 0, 'Picarro Output'!$J:$J, 1), "")</f>
        <v/>
      </c>
    </row>
    <row r="4340" spans="2:5" x14ac:dyDescent="0.45">
      <c r="B4340" s="1"/>
      <c r="E4340" s="45" t="str">
        <f>IFERROR(AVERAGEIFS('Picarro Output'!G:G, 'Picarro Output'!$B:$B, 'Uncalibrated Data'!$C4340, 'Picarro Output'!$I:$I, 0, 'Picarro Output'!$J:$J, 1), "")</f>
        <v/>
      </c>
    </row>
    <row r="4341" spans="2:5" x14ac:dyDescent="0.45">
      <c r="B4341" s="1"/>
      <c r="E4341" s="45" t="str">
        <f>IFERROR(AVERAGEIFS('Picarro Output'!G:G, 'Picarro Output'!$B:$B, 'Uncalibrated Data'!$C4341, 'Picarro Output'!$I:$I, 0, 'Picarro Output'!$J:$J, 1), "")</f>
        <v/>
      </c>
    </row>
    <row r="4342" spans="2:5" x14ac:dyDescent="0.45">
      <c r="B4342" s="1"/>
      <c r="E4342" s="45" t="str">
        <f>IFERROR(AVERAGEIFS('Picarro Output'!G:G, 'Picarro Output'!$B:$B, 'Uncalibrated Data'!$C4342, 'Picarro Output'!$I:$I, 0, 'Picarro Output'!$J:$J, 1), "")</f>
        <v/>
      </c>
    </row>
    <row r="4343" spans="2:5" x14ac:dyDescent="0.45">
      <c r="B4343" s="1"/>
      <c r="E4343" s="45" t="str">
        <f>IFERROR(AVERAGEIFS('Picarro Output'!G:G, 'Picarro Output'!$B:$B, 'Uncalibrated Data'!$C4343, 'Picarro Output'!$I:$I, 0, 'Picarro Output'!$J:$J, 1), "")</f>
        <v/>
      </c>
    </row>
    <row r="4344" spans="2:5" x14ac:dyDescent="0.45">
      <c r="B4344" s="1"/>
      <c r="E4344" s="45" t="str">
        <f>IFERROR(AVERAGEIFS('Picarro Output'!G:G, 'Picarro Output'!$B:$B, 'Uncalibrated Data'!$C4344, 'Picarro Output'!$I:$I, 0, 'Picarro Output'!$J:$J, 1), "")</f>
        <v/>
      </c>
    </row>
    <row r="4345" spans="2:5" x14ac:dyDescent="0.45">
      <c r="B4345" s="1"/>
      <c r="E4345" s="45" t="str">
        <f>IFERROR(AVERAGEIFS('Picarro Output'!G:G, 'Picarro Output'!$B:$B, 'Uncalibrated Data'!$C4345, 'Picarro Output'!$I:$I, 0, 'Picarro Output'!$J:$J, 1), "")</f>
        <v/>
      </c>
    </row>
    <row r="4346" spans="2:5" x14ac:dyDescent="0.45">
      <c r="B4346" s="1"/>
      <c r="E4346" s="45" t="str">
        <f>IFERROR(AVERAGEIFS('Picarro Output'!G:G, 'Picarro Output'!$B:$B, 'Uncalibrated Data'!$C4346, 'Picarro Output'!$I:$I, 0, 'Picarro Output'!$J:$J, 1), "")</f>
        <v/>
      </c>
    </row>
    <row r="4347" spans="2:5" x14ac:dyDescent="0.45">
      <c r="B4347" s="1"/>
      <c r="E4347" s="45" t="str">
        <f>IFERROR(AVERAGEIFS('Picarro Output'!G:G, 'Picarro Output'!$B:$B, 'Uncalibrated Data'!$C4347, 'Picarro Output'!$I:$I, 0, 'Picarro Output'!$J:$J, 1), "")</f>
        <v/>
      </c>
    </row>
    <row r="4348" spans="2:5" x14ac:dyDescent="0.45">
      <c r="B4348" s="1"/>
      <c r="E4348" s="45" t="str">
        <f>IFERROR(AVERAGEIFS('Picarro Output'!G:G, 'Picarro Output'!$B:$B, 'Uncalibrated Data'!$C4348, 'Picarro Output'!$I:$I, 0, 'Picarro Output'!$J:$J, 1), "")</f>
        <v/>
      </c>
    </row>
    <row r="4349" spans="2:5" x14ac:dyDescent="0.45">
      <c r="B4349" s="1"/>
      <c r="E4349" s="45" t="str">
        <f>IFERROR(AVERAGEIFS('Picarro Output'!G:G, 'Picarro Output'!$B:$B, 'Uncalibrated Data'!$C4349, 'Picarro Output'!$I:$I, 0, 'Picarro Output'!$J:$J, 1), "")</f>
        <v/>
      </c>
    </row>
    <row r="4350" spans="2:5" x14ac:dyDescent="0.45">
      <c r="B4350" s="1"/>
      <c r="E4350" s="45" t="str">
        <f>IFERROR(AVERAGEIFS('Picarro Output'!G:G, 'Picarro Output'!$B:$B, 'Uncalibrated Data'!$C4350, 'Picarro Output'!$I:$I, 0, 'Picarro Output'!$J:$J, 1), "")</f>
        <v/>
      </c>
    </row>
    <row r="4351" spans="2:5" x14ac:dyDescent="0.45">
      <c r="B4351" s="1"/>
      <c r="E4351" s="45" t="str">
        <f>IFERROR(AVERAGEIFS('Picarro Output'!G:G, 'Picarro Output'!$B:$B, 'Uncalibrated Data'!$C4351, 'Picarro Output'!$I:$I, 0, 'Picarro Output'!$J:$J, 1), "")</f>
        <v/>
      </c>
    </row>
    <row r="4352" spans="2:5" x14ac:dyDescent="0.45">
      <c r="B4352" s="1"/>
      <c r="E4352" s="45" t="str">
        <f>IFERROR(AVERAGEIFS('Picarro Output'!G:G, 'Picarro Output'!$B:$B, 'Uncalibrated Data'!$C4352, 'Picarro Output'!$I:$I, 0, 'Picarro Output'!$J:$J, 1), "")</f>
        <v/>
      </c>
    </row>
    <row r="4353" spans="2:5" x14ac:dyDescent="0.45">
      <c r="B4353" s="1"/>
      <c r="E4353" s="45" t="str">
        <f>IFERROR(AVERAGEIFS('Picarro Output'!G:G, 'Picarro Output'!$B:$B, 'Uncalibrated Data'!$C4353, 'Picarro Output'!$I:$I, 0, 'Picarro Output'!$J:$J, 1), "")</f>
        <v/>
      </c>
    </row>
    <row r="4354" spans="2:5" x14ac:dyDescent="0.45">
      <c r="B4354" s="1"/>
      <c r="E4354" s="45" t="str">
        <f>IFERROR(AVERAGEIFS('Picarro Output'!G:G, 'Picarro Output'!$B:$B, 'Uncalibrated Data'!$C4354, 'Picarro Output'!$I:$I, 0, 'Picarro Output'!$J:$J, 1), "")</f>
        <v/>
      </c>
    </row>
    <row r="4355" spans="2:5" x14ac:dyDescent="0.45">
      <c r="B4355" s="1"/>
      <c r="E4355" s="45" t="str">
        <f>IFERROR(AVERAGEIFS('Picarro Output'!G:G, 'Picarro Output'!$B:$B, 'Uncalibrated Data'!$C4355, 'Picarro Output'!$I:$I, 0, 'Picarro Output'!$J:$J, 1), "")</f>
        <v/>
      </c>
    </row>
    <row r="4356" spans="2:5" x14ac:dyDescent="0.45">
      <c r="B4356" s="1"/>
      <c r="E4356" s="45" t="str">
        <f>IFERROR(AVERAGEIFS('Picarro Output'!G:G, 'Picarro Output'!$B:$B, 'Uncalibrated Data'!$C4356, 'Picarro Output'!$I:$I, 0, 'Picarro Output'!$J:$J, 1), "")</f>
        <v/>
      </c>
    </row>
    <row r="4357" spans="2:5" x14ac:dyDescent="0.45">
      <c r="B4357" s="1"/>
      <c r="E4357" s="45" t="str">
        <f>IFERROR(AVERAGEIFS('Picarro Output'!G:G, 'Picarro Output'!$B:$B, 'Uncalibrated Data'!$C4357, 'Picarro Output'!$I:$I, 0, 'Picarro Output'!$J:$J, 1), "")</f>
        <v/>
      </c>
    </row>
    <row r="4358" spans="2:5" x14ac:dyDescent="0.45">
      <c r="B4358" s="1"/>
      <c r="E4358" s="45" t="str">
        <f>IFERROR(AVERAGEIFS('Picarro Output'!G:G, 'Picarro Output'!$B:$B, 'Uncalibrated Data'!$C4358, 'Picarro Output'!$I:$I, 0, 'Picarro Output'!$J:$J, 1), "")</f>
        <v/>
      </c>
    </row>
    <row r="4359" spans="2:5" x14ac:dyDescent="0.45">
      <c r="B4359" s="1"/>
      <c r="E4359" s="45" t="str">
        <f>IFERROR(AVERAGEIFS('Picarro Output'!G:G, 'Picarro Output'!$B:$B, 'Uncalibrated Data'!$C4359, 'Picarro Output'!$I:$I, 0, 'Picarro Output'!$J:$J, 1), "")</f>
        <v/>
      </c>
    </row>
    <row r="4360" spans="2:5" x14ac:dyDescent="0.45">
      <c r="B4360" s="1"/>
      <c r="E4360" s="45" t="str">
        <f>IFERROR(AVERAGEIFS('Picarro Output'!G:G, 'Picarro Output'!$B:$B, 'Uncalibrated Data'!$C4360, 'Picarro Output'!$I:$I, 0, 'Picarro Output'!$J:$J, 1), "")</f>
        <v/>
      </c>
    </row>
    <row r="4361" spans="2:5" x14ac:dyDescent="0.45">
      <c r="B4361" s="1"/>
      <c r="E4361" s="45" t="str">
        <f>IFERROR(AVERAGEIFS('Picarro Output'!G:G, 'Picarro Output'!$B:$B, 'Uncalibrated Data'!$C4361, 'Picarro Output'!$I:$I, 0, 'Picarro Output'!$J:$J, 1), "")</f>
        <v/>
      </c>
    </row>
    <row r="4362" spans="2:5" x14ac:dyDescent="0.45">
      <c r="B4362" s="1"/>
      <c r="E4362" s="45" t="str">
        <f>IFERROR(AVERAGEIFS('Picarro Output'!G:G, 'Picarro Output'!$B:$B, 'Uncalibrated Data'!$C4362, 'Picarro Output'!$I:$I, 0, 'Picarro Output'!$J:$J, 1), "")</f>
        <v/>
      </c>
    </row>
    <row r="4363" spans="2:5" x14ac:dyDescent="0.45">
      <c r="B4363" s="1"/>
      <c r="E4363" s="45" t="str">
        <f>IFERROR(AVERAGEIFS('Picarro Output'!G:G, 'Picarro Output'!$B:$B, 'Uncalibrated Data'!$C4363, 'Picarro Output'!$I:$I, 0, 'Picarro Output'!$J:$J, 1), "")</f>
        <v/>
      </c>
    </row>
    <row r="4364" spans="2:5" x14ac:dyDescent="0.45">
      <c r="B4364" s="1"/>
      <c r="E4364" s="45" t="str">
        <f>IFERROR(AVERAGEIFS('Picarro Output'!G:G, 'Picarro Output'!$B:$B, 'Uncalibrated Data'!$C4364, 'Picarro Output'!$I:$I, 0, 'Picarro Output'!$J:$J, 1), "")</f>
        <v/>
      </c>
    </row>
    <row r="4365" spans="2:5" x14ac:dyDescent="0.45">
      <c r="B4365" s="1"/>
      <c r="E4365" s="45" t="str">
        <f>IFERROR(AVERAGEIFS('Picarro Output'!G:G, 'Picarro Output'!$B:$B, 'Uncalibrated Data'!$C4365, 'Picarro Output'!$I:$I, 0, 'Picarro Output'!$J:$J, 1), "")</f>
        <v/>
      </c>
    </row>
    <row r="4366" spans="2:5" x14ac:dyDescent="0.45">
      <c r="B4366" s="1"/>
      <c r="E4366" s="45" t="str">
        <f>IFERROR(AVERAGEIFS('Picarro Output'!G:G, 'Picarro Output'!$B:$B, 'Uncalibrated Data'!$C4366, 'Picarro Output'!$I:$I, 0, 'Picarro Output'!$J:$J, 1), "")</f>
        <v/>
      </c>
    </row>
    <row r="4367" spans="2:5" x14ac:dyDescent="0.45">
      <c r="B4367" s="1"/>
      <c r="E4367" s="45" t="str">
        <f>IFERROR(AVERAGEIFS('Picarro Output'!G:G, 'Picarro Output'!$B:$B, 'Uncalibrated Data'!$C4367, 'Picarro Output'!$I:$I, 0, 'Picarro Output'!$J:$J, 1), "")</f>
        <v/>
      </c>
    </row>
    <row r="4368" spans="2:5" x14ac:dyDescent="0.45">
      <c r="B4368" s="1"/>
      <c r="E4368" s="45" t="str">
        <f>IFERROR(AVERAGEIFS('Picarro Output'!G:G, 'Picarro Output'!$B:$B, 'Uncalibrated Data'!$C4368, 'Picarro Output'!$I:$I, 0, 'Picarro Output'!$J:$J, 1), "")</f>
        <v/>
      </c>
    </row>
    <row r="4369" spans="2:5" x14ac:dyDescent="0.45">
      <c r="B4369" s="1"/>
      <c r="E4369" s="45" t="str">
        <f>IFERROR(AVERAGEIFS('Picarro Output'!G:G, 'Picarro Output'!$B:$B, 'Uncalibrated Data'!$C4369, 'Picarro Output'!$I:$I, 0, 'Picarro Output'!$J:$J, 1), "")</f>
        <v/>
      </c>
    </row>
    <row r="4370" spans="2:5" x14ac:dyDescent="0.45">
      <c r="B4370" s="1"/>
      <c r="E4370" s="45" t="str">
        <f>IFERROR(AVERAGEIFS('Picarro Output'!G:G, 'Picarro Output'!$B:$B, 'Uncalibrated Data'!$C4370, 'Picarro Output'!$I:$I, 0, 'Picarro Output'!$J:$J, 1), "")</f>
        <v/>
      </c>
    </row>
    <row r="4371" spans="2:5" x14ac:dyDescent="0.45">
      <c r="B4371" s="1"/>
      <c r="E4371" s="45" t="str">
        <f>IFERROR(AVERAGEIFS('Picarro Output'!G:G, 'Picarro Output'!$B:$B, 'Uncalibrated Data'!$C4371, 'Picarro Output'!$I:$I, 0, 'Picarro Output'!$J:$J, 1), "")</f>
        <v/>
      </c>
    </row>
    <row r="4372" spans="2:5" x14ac:dyDescent="0.45">
      <c r="B4372" s="1"/>
      <c r="E4372" s="45" t="str">
        <f>IFERROR(AVERAGEIFS('Picarro Output'!G:G, 'Picarro Output'!$B:$B, 'Uncalibrated Data'!$C4372, 'Picarro Output'!$I:$I, 0, 'Picarro Output'!$J:$J, 1), "")</f>
        <v/>
      </c>
    </row>
    <row r="4373" spans="2:5" x14ac:dyDescent="0.45">
      <c r="B4373" s="1"/>
      <c r="E4373" s="45" t="str">
        <f>IFERROR(AVERAGEIFS('Picarro Output'!G:G, 'Picarro Output'!$B:$B, 'Uncalibrated Data'!$C4373, 'Picarro Output'!$I:$I, 0, 'Picarro Output'!$J:$J, 1), "")</f>
        <v/>
      </c>
    </row>
    <row r="4374" spans="2:5" x14ac:dyDescent="0.45">
      <c r="B4374" s="1"/>
      <c r="E4374" s="45" t="str">
        <f>IFERROR(AVERAGEIFS('Picarro Output'!G:G, 'Picarro Output'!$B:$B, 'Uncalibrated Data'!$C4374, 'Picarro Output'!$I:$I, 0, 'Picarro Output'!$J:$J, 1), "")</f>
        <v/>
      </c>
    </row>
    <row r="4375" spans="2:5" x14ac:dyDescent="0.45">
      <c r="B4375" s="1"/>
      <c r="E4375" s="45" t="str">
        <f>IFERROR(AVERAGEIFS('Picarro Output'!G:G, 'Picarro Output'!$B:$B, 'Uncalibrated Data'!$C4375, 'Picarro Output'!$I:$I, 0, 'Picarro Output'!$J:$J, 1), "")</f>
        <v/>
      </c>
    </row>
    <row r="4376" spans="2:5" x14ac:dyDescent="0.45">
      <c r="B4376" s="1"/>
      <c r="E4376" s="45" t="str">
        <f>IFERROR(AVERAGEIFS('Picarro Output'!G:G, 'Picarro Output'!$B:$B, 'Uncalibrated Data'!$C4376, 'Picarro Output'!$I:$I, 0, 'Picarro Output'!$J:$J, 1), "")</f>
        <v/>
      </c>
    </row>
    <row r="4377" spans="2:5" x14ac:dyDescent="0.45">
      <c r="B4377" s="1"/>
      <c r="E4377" s="45" t="str">
        <f>IFERROR(AVERAGEIFS('Picarro Output'!G:G, 'Picarro Output'!$B:$B, 'Uncalibrated Data'!$C4377, 'Picarro Output'!$I:$I, 0, 'Picarro Output'!$J:$J, 1), "")</f>
        <v/>
      </c>
    </row>
    <row r="4378" spans="2:5" x14ac:dyDescent="0.45">
      <c r="B4378" s="1"/>
      <c r="E4378" s="45" t="str">
        <f>IFERROR(AVERAGEIFS('Picarro Output'!G:G, 'Picarro Output'!$B:$B, 'Uncalibrated Data'!$C4378, 'Picarro Output'!$I:$I, 0, 'Picarro Output'!$J:$J, 1), "")</f>
        <v/>
      </c>
    </row>
    <row r="4379" spans="2:5" x14ac:dyDescent="0.45">
      <c r="B4379" s="1"/>
      <c r="E4379" s="45" t="str">
        <f>IFERROR(AVERAGEIFS('Picarro Output'!G:G, 'Picarro Output'!$B:$B, 'Uncalibrated Data'!$C4379, 'Picarro Output'!$I:$I, 0, 'Picarro Output'!$J:$J, 1), "")</f>
        <v/>
      </c>
    </row>
    <row r="4380" spans="2:5" x14ac:dyDescent="0.45">
      <c r="B4380" s="1"/>
      <c r="E4380" s="45" t="str">
        <f>IFERROR(AVERAGEIFS('Picarro Output'!G:G, 'Picarro Output'!$B:$B, 'Uncalibrated Data'!$C4380, 'Picarro Output'!$I:$I, 0, 'Picarro Output'!$J:$J, 1), "")</f>
        <v/>
      </c>
    </row>
    <row r="4381" spans="2:5" x14ac:dyDescent="0.45">
      <c r="B4381" s="1"/>
      <c r="E4381" s="45" t="str">
        <f>IFERROR(AVERAGEIFS('Picarro Output'!G:G, 'Picarro Output'!$B:$B, 'Uncalibrated Data'!$C4381, 'Picarro Output'!$I:$I, 0, 'Picarro Output'!$J:$J, 1), "")</f>
        <v/>
      </c>
    </row>
    <row r="4382" spans="2:5" x14ac:dyDescent="0.45">
      <c r="B4382" s="1"/>
      <c r="E4382" s="45" t="str">
        <f>IFERROR(AVERAGEIFS('Picarro Output'!G:G, 'Picarro Output'!$B:$B, 'Uncalibrated Data'!$C4382, 'Picarro Output'!$I:$I, 0, 'Picarro Output'!$J:$J, 1), "")</f>
        <v/>
      </c>
    </row>
    <row r="4383" spans="2:5" x14ac:dyDescent="0.45">
      <c r="B4383" s="1"/>
      <c r="E4383" s="45" t="str">
        <f>IFERROR(AVERAGEIFS('Picarro Output'!G:G, 'Picarro Output'!$B:$B, 'Uncalibrated Data'!$C4383, 'Picarro Output'!$I:$I, 0, 'Picarro Output'!$J:$J, 1), "")</f>
        <v/>
      </c>
    </row>
    <row r="4384" spans="2:5" x14ac:dyDescent="0.45">
      <c r="B4384" s="1"/>
      <c r="E4384" s="45" t="str">
        <f>IFERROR(AVERAGEIFS('Picarro Output'!G:G, 'Picarro Output'!$B:$B, 'Uncalibrated Data'!$C4384, 'Picarro Output'!$I:$I, 0, 'Picarro Output'!$J:$J, 1), "")</f>
        <v/>
      </c>
    </row>
    <row r="4385" spans="2:5" x14ac:dyDescent="0.45">
      <c r="B4385" s="1"/>
      <c r="E4385" s="45" t="str">
        <f>IFERROR(AVERAGEIFS('Picarro Output'!G:G, 'Picarro Output'!$B:$B, 'Uncalibrated Data'!$C4385, 'Picarro Output'!$I:$I, 0, 'Picarro Output'!$J:$J, 1), "")</f>
        <v/>
      </c>
    </row>
    <row r="4386" spans="2:5" x14ac:dyDescent="0.45">
      <c r="B4386" s="1"/>
      <c r="E4386" s="45" t="str">
        <f>IFERROR(AVERAGEIFS('Picarro Output'!G:G, 'Picarro Output'!$B:$B, 'Uncalibrated Data'!$C4386, 'Picarro Output'!$I:$I, 0, 'Picarro Output'!$J:$J, 1), "")</f>
        <v/>
      </c>
    </row>
    <row r="4387" spans="2:5" x14ac:dyDescent="0.45">
      <c r="B4387" s="1"/>
      <c r="E4387" s="45" t="str">
        <f>IFERROR(AVERAGEIFS('Picarro Output'!G:G, 'Picarro Output'!$B:$B, 'Uncalibrated Data'!$C4387, 'Picarro Output'!$I:$I, 0, 'Picarro Output'!$J:$J, 1), "")</f>
        <v/>
      </c>
    </row>
    <row r="4388" spans="2:5" x14ac:dyDescent="0.45">
      <c r="B4388" s="1"/>
      <c r="E4388" s="45" t="str">
        <f>IFERROR(AVERAGEIFS('Picarro Output'!G:G, 'Picarro Output'!$B:$B, 'Uncalibrated Data'!$C4388, 'Picarro Output'!$I:$I, 0, 'Picarro Output'!$J:$J, 1), "")</f>
        <v/>
      </c>
    </row>
    <row r="4389" spans="2:5" x14ac:dyDescent="0.45">
      <c r="B4389" s="1"/>
      <c r="E4389" s="45" t="str">
        <f>IFERROR(AVERAGEIFS('Picarro Output'!G:G, 'Picarro Output'!$B:$B, 'Uncalibrated Data'!$C4389, 'Picarro Output'!$I:$I, 0, 'Picarro Output'!$J:$J, 1), "")</f>
        <v/>
      </c>
    </row>
    <row r="4390" spans="2:5" x14ac:dyDescent="0.45">
      <c r="B4390" s="1"/>
      <c r="E4390" s="45" t="str">
        <f>IFERROR(AVERAGEIFS('Picarro Output'!G:G, 'Picarro Output'!$B:$B, 'Uncalibrated Data'!$C4390, 'Picarro Output'!$I:$I, 0, 'Picarro Output'!$J:$J, 1), "")</f>
        <v/>
      </c>
    </row>
    <row r="4391" spans="2:5" x14ac:dyDescent="0.45">
      <c r="B4391" s="1"/>
      <c r="E4391" s="45" t="str">
        <f>IFERROR(AVERAGEIFS('Picarro Output'!G:G, 'Picarro Output'!$B:$B, 'Uncalibrated Data'!$C4391, 'Picarro Output'!$I:$I, 0, 'Picarro Output'!$J:$J, 1), "")</f>
        <v/>
      </c>
    </row>
    <row r="4392" spans="2:5" x14ac:dyDescent="0.45">
      <c r="B4392" s="1"/>
      <c r="E4392" s="45" t="str">
        <f>IFERROR(AVERAGEIFS('Picarro Output'!G:G, 'Picarro Output'!$B:$B, 'Uncalibrated Data'!$C4392, 'Picarro Output'!$I:$I, 0, 'Picarro Output'!$J:$J, 1), "")</f>
        <v/>
      </c>
    </row>
    <row r="4393" spans="2:5" x14ac:dyDescent="0.45">
      <c r="B4393" s="1"/>
      <c r="E4393" s="45" t="str">
        <f>IFERROR(AVERAGEIFS('Picarro Output'!G:G, 'Picarro Output'!$B:$B, 'Uncalibrated Data'!$C4393, 'Picarro Output'!$I:$I, 0, 'Picarro Output'!$J:$J, 1), "")</f>
        <v/>
      </c>
    </row>
    <row r="4394" spans="2:5" x14ac:dyDescent="0.45">
      <c r="B4394" s="1"/>
      <c r="E4394" s="45" t="str">
        <f>IFERROR(AVERAGEIFS('Picarro Output'!G:G, 'Picarro Output'!$B:$B, 'Uncalibrated Data'!$C4394, 'Picarro Output'!$I:$I, 0, 'Picarro Output'!$J:$J, 1), "")</f>
        <v/>
      </c>
    </row>
    <row r="4395" spans="2:5" x14ac:dyDescent="0.45">
      <c r="B4395" s="1"/>
      <c r="E4395" s="45" t="str">
        <f>IFERROR(AVERAGEIFS('Picarro Output'!G:G, 'Picarro Output'!$B:$B, 'Uncalibrated Data'!$C4395, 'Picarro Output'!$I:$I, 0, 'Picarro Output'!$J:$J, 1), "")</f>
        <v/>
      </c>
    </row>
    <row r="4396" spans="2:5" x14ac:dyDescent="0.45">
      <c r="B4396" s="1"/>
      <c r="E4396" s="45" t="str">
        <f>IFERROR(AVERAGEIFS('Picarro Output'!G:G, 'Picarro Output'!$B:$B, 'Uncalibrated Data'!$C4396, 'Picarro Output'!$I:$I, 0, 'Picarro Output'!$J:$J, 1), "")</f>
        <v/>
      </c>
    </row>
    <row r="4397" spans="2:5" x14ac:dyDescent="0.45">
      <c r="B4397" s="1"/>
      <c r="E4397" s="45" t="str">
        <f>IFERROR(AVERAGEIFS('Picarro Output'!G:G, 'Picarro Output'!$B:$B, 'Uncalibrated Data'!$C4397, 'Picarro Output'!$I:$I, 0, 'Picarro Output'!$J:$J, 1), "")</f>
        <v/>
      </c>
    </row>
    <row r="4398" spans="2:5" x14ac:dyDescent="0.45">
      <c r="B4398" s="1"/>
      <c r="E4398" s="45" t="str">
        <f>IFERROR(AVERAGEIFS('Picarro Output'!G:G, 'Picarro Output'!$B:$B, 'Uncalibrated Data'!$C4398, 'Picarro Output'!$I:$I, 0, 'Picarro Output'!$J:$J, 1), "")</f>
        <v/>
      </c>
    </row>
    <row r="4399" spans="2:5" x14ac:dyDescent="0.45">
      <c r="B4399" s="1"/>
      <c r="E4399" s="45" t="str">
        <f>IFERROR(AVERAGEIFS('Picarro Output'!G:G, 'Picarro Output'!$B:$B, 'Uncalibrated Data'!$C4399, 'Picarro Output'!$I:$I, 0, 'Picarro Output'!$J:$J, 1), "")</f>
        <v/>
      </c>
    </row>
    <row r="4400" spans="2:5" x14ac:dyDescent="0.45">
      <c r="B4400" s="1"/>
      <c r="E4400" s="45" t="str">
        <f>IFERROR(AVERAGEIFS('Picarro Output'!G:G, 'Picarro Output'!$B:$B, 'Uncalibrated Data'!$C4400, 'Picarro Output'!$I:$I, 0, 'Picarro Output'!$J:$J, 1), "")</f>
        <v/>
      </c>
    </row>
    <row r="4401" spans="2:5" x14ac:dyDescent="0.45">
      <c r="B4401" s="1"/>
      <c r="E4401" s="45" t="str">
        <f>IFERROR(AVERAGEIFS('Picarro Output'!G:G, 'Picarro Output'!$B:$B, 'Uncalibrated Data'!$C4401, 'Picarro Output'!$I:$I, 0, 'Picarro Output'!$J:$J, 1), "")</f>
        <v/>
      </c>
    </row>
    <row r="4402" spans="2:5" x14ac:dyDescent="0.45">
      <c r="B4402" s="1"/>
      <c r="E4402" s="45" t="str">
        <f>IFERROR(AVERAGEIFS('Picarro Output'!G:G, 'Picarro Output'!$B:$B, 'Uncalibrated Data'!$C4402, 'Picarro Output'!$I:$I, 0, 'Picarro Output'!$J:$J, 1), "")</f>
        <v/>
      </c>
    </row>
    <row r="4403" spans="2:5" x14ac:dyDescent="0.45">
      <c r="B4403" s="1"/>
      <c r="E4403" s="45" t="str">
        <f>IFERROR(AVERAGEIFS('Picarro Output'!G:G, 'Picarro Output'!$B:$B, 'Uncalibrated Data'!$C4403, 'Picarro Output'!$I:$I, 0, 'Picarro Output'!$J:$J, 1), "")</f>
        <v/>
      </c>
    </row>
    <row r="4404" spans="2:5" x14ac:dyDescent="0.45">
      <c r="B4404" s="1"/>
      <c r="E4404" s="45" t="str">
        <f>IFERROR(AVERAGEIFS('Picarro Output'!G:G, 'Picarro Output'!$B:$B, 'Uncalibrated Data'!$C4404, 'Picarro Output'!$I:$I, 0, 'Picarro Output'!$J:$J, 1), "")</f>
        <v/>
      </c>
    </row>
    <row r="4405" spans="2:5" x14ac:dyDescent="0.45">
      <c r="B4405" s="1"/>
      <c r="E4405" s="45" t="str">
        <f>IFERROR(AVERAGEIFS('Picarro Output'!G:G, 'Picarro Output'!$B:$B, 'Uncalibrated Data'!$C4405, 'Picarro Output'!$I:$I, 0, 'Picarro Output'!$J:$J, 1), "")</f>
        <v/>
      </c>
    </row>
    <row r="4406" spans="2:5" x14ac:dyDescent="0.45">
      <c r="B4406" s="1"/>
      <c r="E4406" s="45" t="str">
        <f>IFERROR(AVERAGEIFS('Picarro Output'!G:G, 'Picarro Output'!$B:$B, 'Uncalibrated Data'!$C4406, 'Picarro Output'!$I:$I, 0, 'Picarro Output'!$J:$J, 1), "")</f>
        <v/>
      </c>
    </row>
    <row r="4407" spans="2:5" x14ac:dyDescent="0.45">
      <c r="B4407" s="1"/>
      <c r="E4407" s="45" t="str">
        <f>IFERROR(AVERAGEIFS('Picarro Output'!G:G, 'Picarro Output'!$B:$B, 'Uncalibrated Data'!$C4407, 'Picarro Output'!$I:$I, 0, 'Picarro Output'!$J:$J, 1), "")</f>
        <v/>
      </c>
    </row>
    <row r="4408" spans="2:5" x14ac:dyDescent="0.45">
      <c r="B4408" s="1"/>
      <c r="E4408" s="45" t="str">
        <f>IFERROR(AVERAGEIFS('Picarro Output'!G:G, 'Picarro Output'!$B:$B, 'Uncalibrated Data'!$C4408, 'Picarro Output'!$I:$I, 0, 'Picarro Output'!$J:$J, 1), "")</f>
        <v/>
      </c>
    </row>
    <row r="4409" spans="2:5" x14ac:dyDescent="0.45">
      <c r="B4409" s="1"/>
      <c r="E4409" s="45" t="str">
        <f>IFERROR(AVERAGEIFS('Picarro Output'!G:G, 'Picarro Output'!$B:$B, 'Uncalibrated Data'!$C4409, 'Picarro Output'!$I:$I, 0, 'Picarro Output'!$J:$J, 1), "")</f>
        <v/>
      </c>
    </row>
    <row r="4410" spans="2:5" x14ac:dyDescent="0.45">
      <c r="B4410" s="1"/>
      <c r="E4410" s="45" t="str">
        <f>IFERROR(AVERAGEIFS('Picarro Output'!G:G, 'Picarro Output'!$B:$B, 'Uncalibrated Data'!$C4410, 'Picarro Output'!$I:$I, 0, 'Picarro Output'!$J:$J, 1), "")</f>
        <v/>
      </c>
    </row>
    <row r="4411" spans="2:5" x14ac:dyDescent="0.45">
      <c r="B4411" s="1"/>
      <c r="E4411" s="45" t="str">
        <f>IFERROR(AVERAGEIFS('Picarro Output'!G:G, 'Picarro Output'!$B:$B, 'Uncalibrated Data'!$C4411, 'Picarro Output'!$I:$I, 0, 'Picarro Output'!$J:$J, 1), "")</f>
        <v/>
      </c>
    </row>
    <row r="4412" spans="2:5" x14ac:dyDescent="0.45">
      <c r="B4412" s="1"/>
      <c r="E4412" s="45" t="str">
        <f>IFERROR(AVERAGEIFS('Picarro Output'!G:G, 'Picarro Output'!$B:$B, 'Uncalibrated Data'!$C4412, 'Picarro Output'!$I:$I, 0, 'Picarro Output'!$J:$J, 1), "")</f>
        <v/>
      </c>
    </row>
    <row r="4413" spans="2:5" x14ac:dyDescent="0.45">
      <c r="B4413" s="1"/>
      <c r="E4413" s="45" t="str">
        <f>IFERROR(AVERAGEIFS('Picarro Output'!G:G, 'Picarro Output'!$B:$B, 'Uncalibrated Data'!$C4413, 'Picarro Output'!$I:$I, 0, 'Picarro Output'!$J:$J, 1), "")</f>
        <v/>
      </c>
    </row>
    <row r="4414" spans="2:5" x14ac:dyDescent="0.45">
      <c r="B4414" s="1"/>
      <c r="E4414" s="45" t="str">
        <f>IFERROR(AVERAGEIFS('Picarro Output'!G:G, 'Picarro Output'!$B:$B, 'Uncalibrated Data'!$C4414, 'Picarro Output'!$I:$I, 0, 'Picarro Output'!$J:$J, 1), "")</f>
        <v/>
      </c>
    </row>
    <row r="4415" spans="2:5" x14ac:dyDescent="0.45">
      <c r="B4415" s="1"/>
      <c r="E4415" s="45" t="str">
        <f>IFERROR(AVERAGEIFS('Picarro Output'!G:G, 'Picarro Output'!$B:$B, 'Uncalibrated Data'!$C4415, 'Picarro Output'!$I:$I, 0, 'Picarro Output'!$J:$J, 1), "")</f>
        <v/>
      </c>
    </row>
    <row r="4416" spans="2:5" x14ac:dyDescent="0.45">
      <c r="B4416" s="1"/>
      <c r="E4416" s="45" t="str">
        <f>IFERROR(AVERAGEIFS('Picarro Output'!G:G, 'Picarro Output'!$B:$B, 'Uncalibrated Data'!$C4416, 'Picarro Output'!$I:$I, 0, 'Picarro Output'!$J:$J, 1), "")</f>
        <v/>
      </c>
    </row>
    <row r="4417" spans="2:5" x14ac:dyDescent="0.45">
      <c r="B4417" s="1"/>
      <c r="E4417" s="45" t="str">
        <f>IFERROR(AVERAGEIFS('Picarro Output'!G:G, 'Picarro Output'!$B:$B, 'Uncalibrated Data'!$C4417, 'Picarro Output'!$I:$I, 0, 'Picarro Output'!$J:$J, 1), "")</f>
        <v/>
      </c>
    </row>
    <row r="4418" spans="2:5" x14ac:dyDescent="0.45">
      <c r="B4418" s="1"/>
      <c r="E4418" s="45" t="str">
        <f>IFERROR(AVERAGEIFS('Picarro Output'!G:G, 'Picarro Output'!$B:$B, 'Uncalibrated Data'!$C4418, 'Picarro Output'!$I:$I, 0, 'Picarro Output'!$J:$J, 1), "")</f>
        <v/>
      </c>
    </row>
    <row r="4419" spans="2:5" x14ac:dyDescent="0.45">
      <c r="B4419" s="1"/>
      <c r="E4419" s="45" t="str">
        <f>IFERROR(AVERAGEIFS('Picarro Output'!G:G, 'Picarro Output'!$B:$B, 'Uncalibrated Data'!$C4419, 'Picarro Output'!$I:$I, 0, 'Picarro Output'!$J:$J, 1), "")</f>
        <v/>
      </c>
    </row>
    <row r="4420" spans="2:5" x14ac:dyDescent="0.45">
      <c r="B4420" s="1"/>
      <c r="E4420" s="45" t="str">
        <f>IFERROR(AVERAGEIFS('Picarro Output'!G:G, 'Picarro Output'!$B:$B, 'Uncalibrated Data'!$C4420, 'Picarro Output'!$I:$I, 0, 'Picarro Output'!$J:$J, 1), "")</f>
        <v/>
      </c>
    </row>
    <row r="4421" spans="2:5" x14ac:dyDescent="0.45">
      <c r="B4421" s="1"/>
      <c r="E4421" s="45" t="str">
        <f>IFERROR(AVERAGEIFS('Picarro Output'!G:G, 'Picarro Output'!$B:$B, 'Uncalibrated Data'!$C4421, 'Picarro Output'!$I:$I, 0, 'Picarro Output'!$J:$J, 1), "")</f>
        <v/>
      </c>
    </row>
    <row r="4422" spans="2:5" x14ac:dyDescent="0.45">
      <c r="B4422" s="1"/>
      <c r="E4422" s="45" t="str">
        <f>IFERROR(AVERAGEIFS('Picarro Output'!G:G, 'Picarro Output'!$B:$B, 'Uncalibrated Data'!$C4422, 'Picarro Output'!$I:$I, 0, 'Picarro Output'!$J:$J, 1), "")</f>
        <v/>
      </c>
    </row>
    <row r="4423" spans="2:5" x14ac:dyDescent="0.45">
      <c r="B4423" s="1"/>
      <c r="E4423" s="45" t="str">
        <f>IFERROR(AVERAGEIFS('Picarro Output'!G:G, 'Picarro Output'!$B:$B, 'Uncalibrated Data'!$C4423, 'Picarro Output'!$I:$I, 0, 'Picarro Output'!$J:$J, 1), "")</f>
        <v/>
      </c>
    </row>
    <row r="4424" spans="2:5" x14ac:dyDescent="0.45">
      <c r="B4424" s="1"/>
      <c r="E4424" s="45" t="str">
        <f>IFERROR(AVERAGEIFS('Picarro Output'!G:G, 'Picarro Output'!$B:$B, 'Uncalibrated Data'!$C4424, 'Picarro Output'!$I:$I, 0, 'Picarro Output'!$J:$J, 1), "")</f>
        <v/>
      </c>
    </row>
    <row r="4425" spans="2:5" x14ac:dyDescent="0.45">
      <c r="B4425" s="1"/>
      <c r="E4425" s="45" t="str">
        <f>IFERROR(AVERAGEIFS('Picarro Output'!G:G, 'Picarro Output'!$B:$B, 'Uncalibrated Data'!$C4425, 'Picarro Output'!$I:$I, 0, 'Picarro Output'!$J:$J, 1), "")</f>
        <v/>
      </c>
    </row>
    <row r="4426" spans="2:5" x14ac:dyDescent="0.45">
      <c r="B4426" s="1"/>
      <c r="E4426" s="45" t="str">
        <f>IFERROR(AVERAGEIFS('Picarro Output'!G:G, 'Picarro Output'!$B:$B, 'Uncalibrated Data'!$C4426, 'Picarro Output'!$I:$I, 0, 'Picarro Output'!$J:$J, 1), "")</f>
        <v/>
      </c>
    </row>
    <row r="4427" spans="2:5" x14ac:dyDescent="0.45">
      <c r="B4427" s="1"/>
      <c r="E4427" s="45" t="str">
        <f>IFERROR(AVERAGEIFS('Picarro Output'!G:G, 'Picarro Output'!$B:$B, 'Uncalibrated Data'!$C4427, 'Picarro Output'!$I:$I, 0, 'Picarro Output'!$J:$J, 1), "")</f>
        <v/>
      </c>
    </row>
    <row r="4428" spans="2:5" x14ac:dyDescent="0.45">
      <c r="B4428" s="1"/>
      <c r="E4428" s="45" t="str">
        <f>IFERROR(AVERAGEIFS('Picarro Output'!G:G, 'Picarro Output'!$B:$B, 'Uncalibrated Data'!$C4428, 'Picarro Output'!$I:$I, 0, 'Picarro Output'!$J:$J, 1), "")</f>
        <v/>
      </c>
    </row>
    <row r="4429" spans="2:5" x14ac:dyDescent="0.45">
      <c r="B4429" s="1"/>
      <c r="E4429" s="45" t="str">
        <f>IFERROR(AVERAGEIFS('Picarro Output'!G:G, 'Picarro Output'!$B:$B, 'Uncalibrated Data'!$C4429, 'Picarro Output'!$I:$I, 0, 'Picarro Output'!$J:$J, 1), "")</f>
        <v/>
      </c>
    </row>
    <row r="4430" spans="2:5" x14ac:dyDescent="0.45">
      <c r="B4430" s="1"/>
      <c r="E4430" s="45" t="str">
        <f>IFERROR(AVERAGEIFS('Picarro Output'!G:G, 'Picarro Output'!$B:$B, 'Uncalibrated Data'!$C4430, 'Picarro Output'!$I:$I, 0, 'Picarro Output'!$J:$J, 1), "")</f>
        <v/>
      </c>
    </row>
    <row r="4431" spans="2:5" x14ac:dyDescent="0.45">
      <c r="B4431" s="1"/>
      <c r="E4431" s="45" t="str">
        <f>IFERROR(AVERAGEIFS('Picarro Output'!G:G, 'Picarro Output'!$B:$B, 'Uncalibrated Data'!$C4431, 'Picarro Output'!$I:$I, 0, 'Picarro Output'!$J:$J, 1), "")</f>
        <v/>
      </c>
    </row>
    <row r="4432" spans="2:5" x14ac:dyDescent="0.45">
      <c r="B4432" s="1"/>
      <c r="E4432" s="45" t="str">
        <f>IFERROR(AVERAGEIFS('Picarro Output'!G:G, 'Picarro Output'!$B:$B, 'Uncalibrated Data'!$C4432, 'Picarro Output'!$I:$I, 0, 'Picarro Output'!$J:$J, 1), "")</f>
        <v/>
      </c>
    </row>
    <row r="4433" spans="2:5" x14ac:dyDescent="0.45">
      <c r="B4433" s="1"/>
      <c r="E4433" s="45" t="str">
        <f>IFERROR(AVERAGEIFS('Picarro Output'!G:G, 'Picarro Output'!$B:$B, 'Uncalibrated Data'!$C4433, 'Picarro Output'!$I:$I, 0, 'Picarro Output'!$J:$J, 1), "")</f>
        <v/>
      </c>
    </row>
    <row r="4434" spans="2:5" x14ac:dyDescent="0.45">
      <c r="B4434" s="1"/>
      <c r="E4434" s="45" t="str">
        <f>IFERROR(AVERAGEIFS('Picarro Output'!G:G, 'Picarro Output'!$B:$B, 'Uncalibrated Data'!$C4434, 'Picarro Output'!$I:$I, 0, 'Picarro Output'!$J:$J, 1), "")</f>
        <v/>
      </c>
    </row>
    <row r="4435" spans="2:5" x14ac:dyDescent="0.45">
      <c r="B4435" s="1"/>
      <c r="E4435" s="45" t="str">
        <f>IFERROR(AVERAGEIFS('Picarro Output'!G:G, 'Picarro Output'!$B:$B, 'Uncalibrated Data'!$C4435, 'Picarro Output'!$I:$I, 0, 'Picarro Output'!$J:$J, 1), "")</f>
        <v/>
      </c>
    </row>
    <row r="4436" spans="2:5" x14ac:dyDescent="0.45">
      <c r="B4436" s="1"/>
      <c r="E4436" s="45" t="str">
        <f>IFERROR(AVERAGEIFS('Picarro Output'!G:G, 'Picarro Output'!$B:$B, 'Uncalibrated Data'!$C4436, 'Picarro Output'!$I:$I, 0, 'Picarro Output'!$J:$J, 1), "")</f>
        <v/>
      </c>
    </row>
    <row r="4437" spans="2:5" x14ac:dyDescent="0.45">
      <c r="B4437" s="1"/>
      <c r="E4437" s="45" t="str">
        <f>IFERROR(AVERAGEIFS('Picarro Output'!G:G, 'Picarro Output'!$B:$B, 'Uncalibrated Data'!$C4437, 'Picarro Output'!$I:$I, 0, 'Picarro Output'!$J:$J, 1), "")</f>
        <v/>
      </c>
    </row>
    <row r="4438" spans="2:5" x14ac:dyDescent="0.45">
      <c r="B4438" s="1"/>
      <c r="E4438" s="45" t="str">
        <f>IFERROR(AVERAGEIFS('Picarro Output'!G:G, 'Picarro Output'!$B:$B, 'Uncalibrated Data'!$C4438, 'Picarro Output'!$I:$I, 0, 'Picarro Output'!$J:$J, 1), "")</f>
        <v/>
      </c>
    </row>
    <row r="4439" spans="2:5" x14ac:dyDescent="0.45">
      <c r="B4439" s="1"/>
      <c r="E4439" s="45" t="str">
        <f>IFERROR(AVERAGEIFS('Picarro Output'!G:G, 'Picarro Output'!$B:$B, 'Uncalibrated Data'!$C4439, 'Picarro Output'!$I:$I, 0, 'Picarro Output'!$J:$J, 1), "")</f>
        <v/>
      </c>
    </row>
    <row r="4440" spans="2:5" x14ac:dyDescent="0.45">
      <c r="B4440" s="1"/>
      <c r="E4440" s="45" t="str">
        <f>IFERROR(AVERAGEIFS('Picarro Output'!G:G, 'Picarro Output'!$B:$B, 'Uncalibrated Data'!$C4440, 'Picarro Output'!$I:$I, 0, 'Picarro Output'!$J:$J, 1), "")</f>
        <v/>
      </c>
    </row>
    <row r="4441" spans="2:5" x14ac:dyDescent="0.45">
      <c r="B4441" s="1"/>
      <c r="E4441" s="45" t="str">
        <f>IFERROR(AVERAGEIFS('Picarro Output'!G:G, 'Picarro Output'!$B:$B, 'Uncalibrated Data'!$C4441, 'Picarro Output'!$I:$I, 0, 'Picarro Output'!$J:$J, 1), "")</f>
        <v/>
      </c>
    </row>
    <row r="4442" spans="2:5" x14ac:dyDescent="0.45">
      <c r="B4442" s="1"/>
      <c r="E4442" s="45" t="str">
        <f>IFERROR(AVERAGEIFS('Picarro Output'!G:G, 'Picarro Output'!$B:$B, 'Uncalibrated Data'!$C4442, 'Picarro Output'!$I:$I, 0, 'Picarro Output'!$J:$J, 1), "")</f>
        <v/>
      </c>
    </row>
    <row r="4443" spans="2:5" x14ac:dyDescent="0.45">
      <c r="B4443" s="1"/>
      <c r="E4443" s="45" t="str">
        <f>IFERROR(AVERAGEIFS('Picarro Output'!G:G, 'Picarro Output'!$B:$B, 'Uncalibrated Data'!$C4443, 'Picarro Output'!$I:$I, 0, 'Picarro Output'!$J:$J, 1), "")</f>
        <v/>
      </c>
    </row>
    <row r="4444" spans="2:5" x14ac:dyDescent="0.45">
      <c r="B4444" s="1"/>
      <c r="E4444" s="45" t="str">
        <f>IFERROR(AVERAGEIFS('Picarro Output'!G:G, 'Picarro Output'!$B:$B, 'Uncalibrated Data'!$C4444, 'Picarro Output'!$I:$I, 0, 'Picarro Output'!$J:$J, 1), "")</f>
        <v/>
      </c>
    </row>
    <row r="4445" spans="2:5" x14ac:dyDescent="0.45">
      <c r="B4445" s="1"/>
      <c r="E4445" s="45" t="str">
        <f>IFERROR(AVERAGEIFS('Picarro Output'!G:G, 'Picarro Output'!$B:$B, 'Uncalibrated Data'!$C4445, 'Picarro Output'!$I:$I, 0, 'Picarro Output'!$J:$J, 1), "")</f>
        <v/>
      </c>
    </row>
    <row r="4446" spans="2:5" x14ac:dyDescent="0.45">
      <c r="B4446" s="1"/>
      <c r="E4446" s="45" t="str">
        <f>IFERROR(AVERAGEIFS('Picarro Output'!G:G, 'Picarro Output'!$B:$B, 'Uncalibrated Data'!$C4446, 'Picarro Output'!$I:$I, 0, 'Picarro Output'!$J:$J, 1), "")</f>
        <v/>
      </c>
    </row>
    <row r="4447" spans="2:5" x14ac:dyDescent="0.45">
      <c r="B4447" s="1"/>
      <c r="E4447" s="45" t="str">
        <f>IFERROR(AVERAGEIFS('Picarro Output'!G:G, 'Picarro Output'!$B:$B, 'Uncalibrated Data'!$C4447, 'Picarro Output'!$I:$I, 0, 'Picarro Output'!$J:$J, 1), "")</f>
        <v/>
      </c>
    </row>
    <row r="4448" spans="2:5" x14ac:dyDescent="0.45">
      <c r="B4448" s="1"/>
      <c r="E4448" s="45" t="str">
        <f>IFERROR(AVERAGEIFS('Picarro Output'!G:G, 'Picarro Output'!$B:$B, 'Uncalibrated Data'!$C4448, 'Picarro Output'!$I:$I, 0, 'Picarro Output'!$J:$J, 1), "")</f>
        <v/>
      </c>
    </row>
    <row r="4449" spans="2:5" x14ac:dyDescent="0.45">
      <c r="B4449" s="1"/>
      <c r="E4449" s="45" t="str">
        <f>IFERROR(AVERAGEIFS('Picarro Output'!G:G, 'Picarro Output'!$B:$B, 'Uncalibrated Data'!$C4449, 'Picarro Output'!$I:$I, 0, 'Picarro Output'!$J:$J, 1), "")</f>
        <v/>
      </c>
    </row>
    <row r="4450" spans="2:5" x14ac:dyDescent="0.45">
      <c r="B4450" s="1"/>
      <c r="E4450" s="45" t="str">
        <f>IFERROR(AVERAGEIFS('Picarro Output'!G:G, 'Picarro Output'!$B:$B, 'Uncalibrated Data'!$C4450, 'Picarro Output'!$I:$I, 0, 'Picarro Output'!$J:$J, 1), "")</f>
        <v/>
      </c>
    </row>
    <row r="4451" spans="2:5" x14ac:dyDescent="0.45">
      <c r="B4451" s="1"/>
      <c r="E4451" s="45" t="str">
        <f>IFERROR(AVERAGEIFS('Picarro Output'!G:G, 'Picarro Output'!$B:$B, 'Uncalibrated Data'!$C4451, 'Picarro Output'!$I:$I, 0, 'Picarro Output'!$J:$J, 1), "")</f>
        <v/>
      </c>
    </row>
    <row r="4452" spans="2:5" x14ac:dyDescent="0.45">
      <c r="B4452" s="1"/>
      <c r="E4452" s="45" t="str">
        <f>IFERROR(AVERAGEIFS('Picarro Output'!G:G, 'Picarro Output'!$B:$B, 'Uncalibrated Data'!$C4452, 'Picarro Output'!$I:$I, 0, 'Picarro Output'!$J:$J, 1), "")</f>
        <v/>
      </c>
    </row>
    <row r="4453" spans="2:5" x14ac:dyDescent="0.45">
      <c r="B4453" s="1"/>
      <c r="E4453" s="45" t="str">
        <f>IFERROR(AVERAGEIFS('Picarro Output'!G:G, 'Picarro Output'!$B:$B, 'Uncalibrated Data'!$C4453, 'Picarro Output'!$I:$I, 0, 'Picarro Output'!$J:$J, 1), "")</f>
        <v/>
      </c>
    </row>
    <row r="4454" spans="2:5" x14ac:dyDescent="0.45">
      <c r="B4454" s="1"/>
      <c r="E4454" s="45" t="str">
        <f>IFERROR(AVERAGEIFS('Picarro Output'!G:G, 'Picarro Output'!$B:$B, 'Uncalibrated Data'!$C4454, 'Picarro Output'!$I:$I, 0, 'Picarro Output'!$J:$J, 1), "")</f>
        <v/>
      </c>
    </row>
    <row r="4455" spans="2:5" x14ac:dyDescent="0.45">
      <c r="B4455" s="1"/>
      <c r="E4455" s="45" t="str">
        <f>IFERROR(AVERAGEIFS('Picarro Output'!G:G, 'Picarro Output'!$B:$B, 'Uncalibrated Data'!$C4455, 'Picarro Output'!$I:$I, 0, 'Picarro Output'!$J:$J, 1), "")</f>
        <v/>
      </c>
    </row>
    <row r="4456" spans="2:5" x14ac:dyDescent="0.45">
      <c r="B4456" s="1"/>
      <c r="E4456" s="45" t="str">
        <f>IFERROR(AVERAGEIFS('Picarro Output'!G:G, 'Picarro Output'!$B:$B, 'Uncalibrated Data'!$C4456, 'Picarro Output'!$I:$I, 0, 'Picarro Output'!$J:$J, 1), "")</f>
        <v/>
      </c>
    </row>
    <row r="4457" spans="2:5" x14ac:dyDescent="0.45">
      <c r="B4457" s="1"/>
      <c r="E4457" s="45" t="str">
        <f>IFERROR(AVERAGEIFS('Picarro Output'!G:G, 'Picarro Output'!$B:$B, 'Uncalibrated Data'!$C4457, 'Picarro Output'!$I:$I, 0, 'Picarro Output'!$J:$J, 1), "")</f>
        <v/>
      </c>
    </row>
    <row r="4458" spans="2:5" x14ac:dyDescent="0.45">
      <c r="B4458" s="1"/>
      <c r="E4458" s="45" t="str">
        <f>IFERROR(AVERAGEIFS('Picarro Output'!G:G, 'Picarro Output'!$B:$B, 'Uncalibrated Data'!$C4458, 'Picarro Output'!$I:$I, 0, 'Picarro Output'!$J:$J, 1), "")</f>
        <v/>
      </c>
    </row>
    <row r="4459" spans="2:5" x14ac:dyDescent="0.45">
      <c r="B4459" s="1"/>
      <c r="E4459" s="45" t="str">
        <f>IFERROR(AVERAGEIFS('Picarro Output'!G:G, 'Picarro Output'!$B:$B, 'Uncalibrated Data'!$C4459, 'Picarro Output'!$I:$I, 0, 'Picarro Output'!$J:$J, 1), "")</f>
        <v/>
      </c>
    </row>
    <row r="4460" spans="2:5" x14ac:dyDescent="0.45">
      <c r="B4460" s="1"/>
      <c r="E4460" s="45" t="str">
        <f>IFERROR(AVERAGEIFS('Picarro Output'!G:G, 'Picarro Output'!$B:$B, 'Uncalibrated Data'!$C4460, 'Picarro Output'!$I:$I, 0, 'Picarro Output'!$J:$J, 1), "")</f>
        <v/>
      </c>
    </row>
    <row r="4461" spans="2:5" x14ac:dyDescent="0.45">
      <c r="B4461" s="1"/>
      <c r="E4461" s="45" t="str">
        <f>IFERROR(AVERAGEIFS('Picarro Output'!G:G, 'Picarro Output'!$B:$B, 'Uncalibrated Data'!$C4461, 'Picarro Output'!$I:$I, 0, 'Picarro Output'!$J:$J, 1), "")</f>
        <v/>
      </c>
    </row>
    <row r="4462" spans="2:5" x14ac:dyDescent="0.45">
      <c r="B4462" s="1"/>
      <c r="E4462" s="45" t="str">
        <f>IFERROR(AVERAGEIFS('Picarro Output'!G:G, 'Picarro Output'!$B:$B, 'Uncalibrated Data'!$C4462, 'Picarro Output'!$I:$I, 0, 'Picarro Output'!$J:$J, 1), "")</f>
        <v/>
      </c>
    </row>
    <row r="4463" spans="2:5" x14ac:dyDescent="0.45">
      <c r="B4463" s="1"/>
      <c r="E4463" s="45" t="str">
        <f>IFERROR(AVERAGEIFS('Picarro Output'!G:G, 'Picarro Output'!$B:$B, 'Uncalibrated Data'!$C4463, 'Picarro Output'!$I:$I, 0, 'Picarro Output'!$J:$J, 1), "")</f>
        <v/>
      </c>
    </row>
    <row r="4464" spans="2:5" x14ac:dyDescent="0.45">
      <c r="B4464" s="1"/>
      <c r="E4464" s="45" t="str">
        <f>IFERROR(AVERAGEIFS('Picarro Output'!G:G, 'Picarro Output'!$B:$B, 'Uncalibrated Data'!$C4464, 'Picarro Output'!$I:$I, 0, 'Picarro Output'!$J:$J, 1), "")</f>
        <v/>
      </c>
    </row>
    <row r="4465" spans="2:5" x14ac:dyDescent="0.45">
      <c r="B4465" s="1"/>
      <c r="E4465" s="45" t="str">
        <f>IFERROR(AVERAGEIFS('Picarro Output'!G:G, 'Picarro Output'!$B:$B, 'Uncalibrated Data'!$C4465, 'Picarro Output'!$I:$I, 0, 'Picarro Output'!$J:$J, 1), "")</f>
        <v/>
      </c>
    </row>
    <row r="4466" spans="2:5" x14ac:dyDescent="0.45">
      <c r="B4466" s="1"/>
      <c r="E4466" s="45" t="str">
        <f>IFERROR(AVERAGEIFS('Picarro Output'!G:G, 'Picarro Output'!$B:$B, 'Uncalibrated Data'!$C4466, 'Picarro Output'!$I:$I, 0, 'Picarro Output'!$J:$J, 1), "")</f>
        <v/>
      </c>
    </row>
    <row r="4467" spans="2:5" x14ac:dyDescent="0.45">
      <c r="B4467" s="1"/>
      <c r="E4467" s="45" t="str">
        <f>IFERROR(AVERAGEIFS('Picarro Output'!G:G, 'Picarro Output'!$B:$B, 'Uncalibrated Data'!$C4467, 'Picarro Output'!$I:$I, 0, 'Picarro Output'!$J:$J, 1), "")</f>
        <v/>
      </c>
    </row>
    <row r="4468" spans="2:5" x14ac:dyDescent="0.45">
      <c r="B4468" s="1"/>
      <c r="E4468" s="45" t="str">
        <f>IFERROR(AVERAGEIFS('Picarro Output'!G:G, 'Picarro Output'!$B:$B, 'Uncalibrated Data'!$C4468, 'Picarro Output'!$I:$I, 0, 'Picarro Output'!$J:$J, 1), "")</f>
        <v/>
      </c>
    </row>
    <row r="4469" spans="2:5" x14ac:dyDescent="0.45">
      <c r="B4469" s="1"/>
      <c r="E4469" s="45" t="str">
        <f>IFERROR(AVERAGEIFS('Picarro Output'!G:G, 'Picarro Output'!$B:$B, 'Uncalibrated Data'!$C4469, 'Picarro Output'!$I:$I, 0, 'Picarro Output'!$J:$J, 1), "")</f>
        <v/>
      </c>
    </row>
    <row r="4470" spans="2:5" x14ac:dyDescent="0.45">
      <c r="B4470" s="1"/>
      <c r="E4470" s="45" t="str">
        <f>IFERROR(AVERAGEIFS('Picarro Output'!G:G, 'Picarro Output'!$B:$B, 'Uncalibrated Data'!$C4470, 'Picarro Output'!$I:$I, 0, 'Picarro Output'!$J:$J, 1), "")</f>
        <v/>
      </c>
    </row>
    <row r="4471" spans="2:5" x14ac:dyDescent="0.45">
      <c r="B4471" s="1"/>
      <c r="E4471" s="45" t="str">
        <f>IFERROR(AVERAGEIFS('Picarro Output'!G:G, 'Picarro Output'!$B:$B, 'Uncalibrated Data'!$C4471, 'Picarro Output'!$I:$I, 0, 'Picarro Output'!$J:$J, 1), "")</f>
        <v/>
      </c>
    </row>
    <row r="4472" spans="2:5" x14ac:dyDescent="0.45">
      <c r="B4472" s="1"/>
      <c r="E4472" s="45" t="str">
        <f>IFERROR(AVERAGEIFS('Picarro Output'!G:G, 'Picarro Output'!$B:$B, 'Uncalibrated Data'!$C4472, 'Picarro Output'!$I:$I, 0, 'Picarro Output'!$J:$J, 1), "")</f>
        <v/>
      </c>
    </row>
    <row r="4473" spans="2:5" x14ac:dyDescent="0.45">
      <c r="B4473" s="1"/>
      <c r="E4473" s="45" t="str">
        <f>IFERROR(AVERAGEIFS('Picarro Output'!G:G, 'Picarro Output'!$B:$B, 'Uncalibrated Data'!$C4473, 'Picarro Output'!$I:$I, 0, 'Picarro Output'!$J:$J, 1), "")</f>
        <v/>
      </c>
    </row>
    <row r="4474" spans="2:5" x14ac:dyDescent="0.45">
      <c r="B4474" s="1"/>
      <c r="E4474" s="45" t="str">
        <f>IFERROR(AVERAGEIFS('Picarro Output'!G:G, 'Picarro Output'!$B:$B, 'Uncalibrated Data'!$C4474, 'Picarro Output'!$I:$I, 0, 'Picarro Output'!$J:$J, 1), "")</f>
        <v/>
      </c>
    </row>
    <row r="4475" spans="2:5" x14ac:dyDescent="0.45">
      <c r="B4475" s="1"/>
      <c r="E4475" s="45" t="str">
        <f>IFERROR(AVERAGEIFS('Picarro Output'!G:G, 'Picarro Output'!$B:$B, 'Uncalibrated Data'!$C4475, 'Picarro Output'!$I:$I, 0, 'Picarro Output'!$J:$J, 1), "")</f>
        <v/>
      </c>
    </row>
    <row r="4476" spans="2:5" x14ac:dyDescent="0.45">
      <c r="B4476" s="1"/>
      <c r="E4476" s="45" t="str">
        <f>IFERROR(AVERAGEIFS('Picarro Output'!G:G, 'Picarro Output'!$B:$B, 'Uncalibrated Data'!$C4476, 'Picarro Output'!$I:$I, 0, 'Picarro Output'!$J:$J, 1), "")</f>
        <v/>
      </c>
    </row>
    <row r="4477" spans="2:5" x14ac:dyDescent="0.45">
      <c r="B4477" s="1"/>
      <c r="E4477" s="45" t="str">
        <f>IFERROR(AVERAGEIFS('Picarro Output'!G:G, 'Picarro Output'!$B:$B, 'Uncalibrated Data'!$C4477, 'Picarro Output'!$I:$I, 0, 'Picarro Output'!$J:$J, 1), "")</f>
        <v/>
      </c>
    </row>
    <row r="4478" spans="2:5" x14ac:dyDescent="0.45">
      <c r="B4478" s="1"/>
      <c r="E4478" s="45" t="str">
        <f>IFERROR(AVERAGEIFS('Picarro Output'!G:G, 'Picarro Output'!$B:$B, 'Uncalibrated Data'!$C4478, 'Picarro Output'!$I:$I, 0, 'Picarro Output'!$J:$J, 1), "")</f>
        <v/>
      </c>
    </row>
    <row r="4479" spans="2:5" x14ac:dyDescent="0.45">
      <c r="B4479" s="1"/>
      <c r="E4479" s="45" t="str">
        <f>IFERROR(AVERAGEIFS('Picarro Output'!G:G, 'Picarro Output'!$B:$B, 'Uncalibrated Data'!$C4479, 'Picarro Output'!$I:$I, 0, 'Picarro Output'!$J:$J, 1), "")</f>
        <v/>
      </c>
    </row>
    <row r="4480" spans="2:5" x14ac:dyDescent="0.45">
      <c r="B4480" s="1"/>
      <c r="E4480" s="45" t="str">
        <f>IFERROR(AVERAGEIFS('Picarro Output'!G:G, 'Picarro Output'!$B:$B, 'Uncalibrated Data'!$C4480, 'Picarro Output'!$I:$I, 0, 'Picarro Output'!$J:$J, 1), "")</f>
        <v/>
      </c>
    </row>
    <row r="4481" spans="2:5" x14ac:dyDescent="0.45">
      <c r="B4481" s="1"/>
      <c r="E4481" s="45" t="str">
        <f>IFERROR(AVERAGEIFS('Picarro Output'!G:G, 'Picarro Output'!$B:$B, 'Uncalibrated Data'!$C4481, 'Picarro Output'!$I:$I, 0, 'Picarro Output'!$J:$J, 1), "")</f>
        <v/>
      </c>
    </row>
    <row r="4482" spans="2:5" x14ac:dyDescent="0.45">
      <c r="B4482" s="1"/>
      <c r="E4482" s="45" t="str">
        <f>IFERROR(AVERAGEIFS('Picarro Output'!G:G, 'Picarro Output'!$B:$B, 'Uncalibrated Data'!$C4482, 'Picarro Output'!$I:$I, 0, 'Picarro Output'!$J:$J, 1), "")</f>
        <v/>
      </c>
    </row>
    <row r="4483" spans="2:5" x14ac:dyDescent="0.45">
      <c r="B4483" s="1"/>
      <c r="E4483" s="45" t="str">
        <f>IFERROR(AVERAGEIFS('Picarro Output'!G:G, 'Picarro Output'!$B:$B, 'Uncalibrated Data'!$C4483, 'Picarro Output'!$I:$I, 0, 'Picarro Output'!$J:$J, 1), "")</f>
        <v/>
      </c>
    </row>
    <row r="4484" spans="2:5" x14ac:dyDescent="0.45">
      <c r="B4484" s="1"/>
      <c r="E4484" s="45" t="str">
        <f>IFERROR(AVERAGEIFS('Picarro Output'!G:G, 'Picarro Output'!$B:$B, 'Uncalibrated Data'!$C4484, 'Picarro Output'!$I:$I, 0, 'Picarro Output'!$J:$J, 1), "")</f>
        <v/>
      </c>
    </row>
    <row r="4485" spans="2:5" x14ac:dyDescent="0.45">
      <c r="B4485" s="1"/>
      <c r="E4485" s="45" t="str">
        <f>IFERROR(AVERAGEIFS('Picarro Output'!G:G, 'Picarro Output'!$B:$B, 'Uncalibrated Data'!$C4485, 'Picarro Output'!$I:$I, 0, 'Picarro Output'!$J:$J, 1), "")</f>
        <v/>
      </c>
    </row>
    <row r="4486" spans="2:5" x14ac:dyDescent="0.45">
      <c r="B4486" s="1"/>
      <c r="E4486" s="45" t="str">
        <f>IFERROR(AVERAGEIFS('Picarro Output'!G:G, 'Picarro Output'!$B:$B, 'Uncalibrated Data'!$C4486, 'Picarro Output'!$I:$I, 0, 'Picarro Output'!$J:$J, 1), "")</f>
        <v/>
      </c>
    </row>
    <row r="4487" spans="2:5" x14ac:dyDescent="0.45">
      <c r="B4487" s="1"/>
      <c r="E4487" s="45" t="str">
        <f>IFERROR(AVERAGEIFS('Picarro Output'!G:G, 'Picarro Output'!$B:$B, 'Uncalibrated Data'!$C4487, 'Picarro Output'!$I:$I, 0, 'Picarro Output'!$J:$J, 1), "")</f>
        <v/>
      </c>
    </row>
    <row r="4488" spans="2:5" x14ac:dyDescent="0.45">
      <c r="B4488" s="1"/>
      <c r="E4488" s="45" t="str">
        <f>IFERROR(AVERAGEIFS('Picarro Output'!G:G, 'Picarro Output'!$B:$B, 'Uncalibrated Data'!$C4488, 'Picarro Output'!$I:$I, 0, 'Picarro Output'!$J:$J, 1), "")</f>
        <v/>
      </c>
    </row>
    <row r="4489" spans="2:5" x14ac:dyDescent="0.45">
      <c r="B4489" s="1"/>
      <c r="E4489" s="45" t="str">
        <f>IFERROR(AVERAGEIFS('Picarro Output'!G:G, 'Picarro Output'!$B:$B, 'Uncalibrated Data'!$C4489, 'Picarro Output'!$I:$I, 0, 'Picarro Output'!$J:$J, 1), "")</f>
        <v/>
      </c>
    </row>
    <row r="4490" spans="2:5" x14ac:dyDescent="0.45">
      <c r="B4490" s="1"/>
      <c r="E4490" s="45" t="str">
        <f>IFERROR(AVERAGEIFS('Picarro Output'!G:G, 'Picarro Output'!$B:$B, 'Uncalibrated Data'!$C4490, 'Picarro Output'!$I:$I, 0, 'Picarro Output'!$J:$J, 1), "")</f>
        <v/>
      </c>
    </row>
    <row r="4491" spans="2:5" x14ac:dyDescent="0.45">
      <c r="B4491" s="1"/>
      <c r="E4491" s="45" t="str">
        <f>IFERROR(AVERAGEIFS('Picarro Output'!G:G, 'Picarro Output'!$B:$B, 'Uncalibrated Data'!$C4491, 'Picarro Output'!$I:$I, 0, 'Picarro Output'!$J:$J, 1), "")</f>
        <v/>
      </c>
    </row>
    <row r="4492" spans="2:5" x14ac:dyDescent="0.45">
      <c r="B4492" s="1"/>
      <c r="E4492" s="45" t="str">
        <f>IFERROR(AVERAGEIFS('Picarro Output'!G:G, 'Picarro Output'!$B:$B, 'Uncalibrated Data'!$C4492, 'Picarro Output'!$I:$I, 0, 'Picarro Output'!$J:$J, 1), "")</f>
        <v/>
      </c>
    </row>
    <row r="4493" spans="2:5" x14ac:dyDescent="0.45">
      <c r="B4493" s="1"/>
      <c r="E4493" s="45" t="str">
        <f>IFERROR(AVERAGEIFS('Picarro Output'!G:G, 'Picarro Output'!$B:$B, 'Uncalibrated Data'!$C4493, 'Picarro Output'!$I:$I, 0, 'Picarro Output'!$J:$J, 1), "")</f>
        <v/>
      </c>
    </row>
    <row r="4494" spans="2:5" x14ac:dyDescent="0.45">
      <c r="B4494" s="1"/>
      <c r="E4494" s="45" t="str">
        <f>IFERROR(AVERAGEIFS('Picarro Output'!G:G, 'Picarro Output'!$B:$B, 'Uncalibrated Data'!$C4494, 'Picarro Output'!$I:$I, 0, 'Picarro Output'!$J:$J, 1), "")</f>
        <v/>
      </c>
    </row>
    <row r="4495" spans="2:5" x14ac:dyDescent="0.45">
      <c r="B4495" s="1"/>
      <c r="E4495" s="45" t="str">
        <f>IFERROR(AVERAGEIFS('Picarro Output'!G:G, 'Picarro Output'!$B:$B, 'Uncalibrated Data'!$C4495, 'Picarro Output'!$I:$I, 0, 'Picarro Output'!$J:$J, 1), "")</f>
        <v/>
      </c>
    </row>
    <row r="4496" spans="2:5" x14ac:dyDescent="0.45">
      <c r="B4496" s="1"/>
      <c r="E4496" s="45" t="str">
        <f>IFERROR(AVERAGEIFS('Picarro Output'!G:G, 'Picarro Output'!$B:$B, 'Uncalibrated Data'!$C4496, 'Picarro Output'!$I:$I, 0, 'Picarro Output'!$J:$J, 1), "")</f>
        <v/>
      </c>
    </row>
    <row r="4497" spans="2:5" x14ac:dyDescent="0.45">
      <c r="B4497" s="1"/>
      <c r="E4497" s="45" t="str">
        <f>IFERROR(AVERAGEIFS('Picarro Output'!G:G, 'Picarro Output'!$B:$B, 'Uncalibrated Data'!$C4497, 'Picarro Output'!$I:$I, 0, 'Picarro Output'!$J:$J, 1), "")</f>
        <v/>
      </c>
    </row>
    <row r="4498" spans="2:5" x14ac:dyDescent="0.45">
      <c r="B4498" s="1"/>
      <c r="E4498" s="45" t="str">
        <f>IFERROR(AVERAGEIFS('Picarro Output'!G:G, 'Picarro Output'!$B:$B, 'Uncalibrated Data'!$C4498, 'Picarro Output'!$I:$I, 0, 'Picarro Output'!$J:$J, 1), "")</f>
        <v/>
      </c>
    </row>
    <row r="4499" spans="2:5" x14ac:dyDescent="0.45">
      <c r="B4499" s="1"/>
      <c r="E4499" s="45" t="str">
        <f>IFERROR(AVERAGEIFS('Picarro Output'!G:G, 'Picarro Output'!$B:$B, 'Uncalibrated Data'!$C4499, 'Picarro Output'!$I:$I, 0, 'Picarro Output'!$J:$J, 1), "")</f>
        <v/>
      </c>
    </row>
    <row r="4500" spans="2:5" x14ac:dyDescent="0.45">
      <c r="B4500" s="1"/>
      <c r="E4500" s="45" t="str">
        <f>IFERROR(AVERAGEIFS('Picarro Output'!G:G, 'Picarro Output'!$B:$B, 'Uncalibrated Data'!$C4500, 'Picarro Output'!$I:$I, 0, 'Picarro Output'!$J:$J, 1), "")</f>
        <v/>
      </c>
    </row>
    <row r="4501" spans="2:5" x14ac:dyDescent="0.45">
      <c r="B4501" s="1"/>
      <c r="E4501" s="45" t="str">
        <f>IFERROR(AVERAGEIFS('Picarro Output'!G:G, 'Picarro Output'!$B:$B, 'Uncalibrated Data'!$C4501, 'Picarro Output'!$I:$I, 0, 'Picarro Output'!$J:$J, 1), "")</f>
        <v/>
      </c>
    </row>
    <row r="4502" spans="2:5" x14ac:dyDescent="0.45">
      <c r="B4502" s="1"/>
      <c r="E4502" s="45" t="str">
        <f>IFERROR(AVERAGEIFS('Picarro Output'!G:G, 'Picarro Output'!$B:$B, 'Uncalibrated Data'!$C4502, 'Picarro Output'!$I:$I, 0, 'Picarro Output'!$J:$J, 1), "")</f>
        <v/>
      </c>
    </row>
    <row r="4503" spans="2:5" x14ac:dyDescent="0.45">
      <c r="B4503" s="1"/>
      <c r="E4503" s="45" t="str">
        <f>IFERROR(AVERAGEIFS('Picarro Output'!G:G, 'Picarro Output'!$B:$B, 'Uncalibrated Data'!$C4503, 'Picarro Output'!$I:$I, 0, 'Picarro Output'!$J:$J, 1), "")</f>
        <v/>
      </c>
    </row>
    <row r="4504" spans="2:5" x14ac:dyDescent="0.45">
      <c r="B4504" s="1"/>
      <c r="E4504" s="45" t="str">
        <f>IFERROR(AVERAGEIFS('Picarro Output'!G:G, 'Picarro Output'!$B:$B, 'Uncalibrated Data'!$C4504, 'Picarro Output'!$I:$I, 0, 'Picarro Output'!$J:$J, 1), "")</f>
        <v/>
      </c>
    </row>
    <row r="4505" spans="2:5" x14ac:dyDescent="0.45">
      <c r="B4505" s="1"/>
      <c r="E4505" s="45" t="str">
        <f>IFERROR(AVERAGEIFS('Picarro Output'!G:G, 'Picarro Output'!$B:$B, 'Uncalibrated Data'!$C4505, 'Picarro Output'!$I:$I, 0, 'Picarro Output'!$J:$J, 1), "")</f>
        <v/>
      </c>
    </row>
    <row r="4506" spans="2:5" x14ac:dyDescent="0.45">
      <c r="B4506" s="1"/>
      <c r="E4506" s="45" t="str">
        <f>IFERROR(AVERAGEIFS('Picarro Output'!G:G, 'Picarro Output'!$B:$B, 'Uncalibrated Data'!$C4506, 'Picarro Output'!$I:$I, 0, 'Picarro Output'!$J:$J, 1), "")</f>
        <v/>
      </c>
    </row>
    <row r="4507" spans="2:5" x14ac:dyDescent="0.45">
      <c r="B4507" s="1"/>
      <c r="E4507" s="45" t="str">
        <f>IFERROR(AVERAGEIFS('Picarro Output'!G:G, 'Picarro Output'!$B:$B, 'Uncalibrated Data'!$C4507, 'Picarro Output'!$I:$I, 0, 'Picarro Output'!$J:$J, 1), "")</f>
        <v/>
      </c>
    </row>
    <row r="4508" spans="2:5" x14ac:dyDescent="0.45">
      <c r="B4508" s="1"/>
      <c r="E4508" s="45" t="str">
        <f>IFERROR(AVERAGEIFS('Picarro Output'!G:G, 'Picarro Output'!$B:$B, 'Uncalibrated Data'!$C4508, 'Picarro Output'!$I:$I, 0, 'Picarro Output'!$J:$J, 1), "")</f>
        <v/>
      </c>
    </row>
    <row r="4509" spans="2:5" x14ac:dyDescent="0.45">
      <c r="B4509" s="1"/>
      <c r="E4509" s="45" t="str">
        <f>IFERROR(AVERAGEIFS('Picarro Output'!G:G, 'Picarro Output'!$B:$B, 'Uncalibrated Data'!$C4509, 'Picarro Output'!$I:$I, 0, 'Picarro Output'!$J:$J, 1), "")</f>
        <v/>
      </c>
    </row>
    <row r="4510" spans="2:5" x14ac:dyDescent="0.45">
      <c r="B4510" s="1"/>
      <c r="E4510" s="45" t="str">
        <f>IFERROR(AVERAGEIFS('Picarro Output'!G:G, 'Picarro Output'!$B:$B, 'Uncalibrated Data'!$C4510, 'Picarro Output'!$I:$I, 0, 'Picarro Output'!$J:$J, 1), "")</f>
        <v/>
      </c>
    </row>
    <row r="4511" spans="2:5" x14ac:dyDescent="0.45">
      <c r="B4511" s="1"/>
      <c r="E4511" s="45" t="str">
        <f>IFERROR(AVERAGEIFS('Picarro Output'!G:G, 'Picarro Output'!$B:$B, 'Uncalibrated Data'!$C4511, 'Picarro Output'!$I:$I, 0, 'Picarro Output'!$J:$J, 1), "")</f>
        <v/>
      </c>
    </row>
    <row r="4512" spans="2:5" x14ac:dyDescent="0.45">
      <c r="B4512" s="1"/>
      <c r="E4512" s="45" t="str">
        <f>IFERROR(AVERAGEIFS('Picarro Output'!G:G, 'Picarro Output'!$B:$B, 'Uncalibrated Data'!$C4512, 'Picarro Output'!$I:$I, 0, 'Picarro Output'!$J:$J, 1), "")</f>
        <v/>
      </c>
    </row>
    <row r="4513" spans="2:5" x14ac:dyDescent="0.45">
      <c r="B4513" s="1"/>
      <c r="E4513" s="45" t="str">
        <f>IFERROR(AVERAGEIFS('Picarro Output'!G:G, 'Picarro Output'!$B:$B, 'Uncalibrated Data'!$C4513, 'Picarro Output'!$I:$I, 0, 'Picarro Output'!$J:$J, 1), "")</f>
        <v/>
      </c>
    </row>
    <row r="4514" spans="2:5" x14ac:dyDescent="0.45">
      <c r="B4514" s="1"/>
      <c r="E4514" s="45" t="str">
        <f>IFERROR(AVERAGEIFS('Picarro Output'!G:G, 'Picarro Output'!$B:$B, 'Uncalibrated Data'!$C4514, 'Picarro Output'!$I:$I, 0, 'Picarro Output'!$J:$J, 1), "")</f>
        <v/>
      </c>
    </row>
    <row r="4515" spans="2:5" x14ac:dyDescent="0.45">
      <c r="B4515" s="1"/>
      <c r="E4515" s="45" t="str">
        <f>IFERROR(AVERAGEIFS('Picarro Output'!G:G, 'Picarro Output'!$B:$B, 'Uncalibrated Data'!$C4515, 'Picarro Output'!$I:$I, 0, 'Picarro Output'!$J:$J, 1), "")</f>
        <v/>
      </c>
    </row>
    <row r="4516" spans="2:5" x14ac:dyDescent="0.45">
      <c r="B4516" s="1"/>
      <c r="E4516" s="45" t="str">
        <f>IFERROR(AVERAGEIFS('Picarro Output'!G:G, 'Picarro Output'!$B:$B, 'Uncalibrated Data'!$C4516, 'Picarro Output'!$I:$I, 0, 'Picarro Output'!$J:$J, 1), "")</f>
        <v/>
      </c>
    </row>
    <row r="4517" spans="2:5" x14ac:dyDescent="0.45">
      <c r="B4517" s="1"/>
      <c r="E4517" s="45" t="str">
        <f>IFERROR(AVERAGEIFS('Picarro Output'!G:G, 'Picarro Output'!$B:$B, 'Uncalibrated Data'!$C4517, 'Picarro Output'!$I:$I, 0, 'Picarro Output'!$J:$J, 1), "")</f>
        <v/>
      </c>
    </row>
    <row r="4518" spans="2:5" x14ac:dyDescent="0.45">
      <c r="B4518" s="1"/>
      <c r="E4518" s="45" t="str">
        <f>IFERROR(AVERAGEIFS('Picarro Output'!G:G, 'Picarro Output'!$B:$B, 'Uncalibrated Data'!$C4518, 'Picarro Output'!$I:$I, 0, 'Picarro Output'!$J:$J, 1), "")</f>
        <v/>
      </c>
    </row>
    <row r="4519" spans="2:5" x14ac:dyDescent="0.45">
      <c r="B4519" s="1"/>
      <c r="E4519" s="45" t="str">
        <f>IFERROR(AVERAGEIFS('Picarro Output'!G:G, 'Picarro Output'!$B:$B, 'Uncalibrated Data'!$C4519, 'Picarro Output'!$I:$I, 0, 'Picarro Output'!$J:$J, 1), "")</f>
        <v/>
      </c>
    </row>
    <row r="4520" spans="2:5" x14ac:dyDescent="0.45">
      <c r="B4520" s="1"/>
      <c r="E4520" s="45" t="str">
        <f>IFERROR(AVERAGEIFS('Picarro Output'!G:G, 'Picarro Output'!$B:$B, 'Uncalibrated Data'!$C4520, 'Picarro Output'!$I:$I, 0, 'Picarro Output'!$J:$J, 1), "")</f>
        <v/>
      </c>
    </row>
    <row r="4521" spans="2:5" x14ac:dyDescent="0.45">
      <c r="B4521" s="1"/>
      <c r="E4521" s="45" t="str">
        <f>IFERROR(AVERAGEIFS('Picarro Output'!G:G, 'Picarro Output'!$B:$B, 'Uncalibrated Data'!$C4521, 'Picarro Output'!$I:$I, 0, 'Picarro Output'!$J:$J, 1), "")</f>
        <v/>
      </c>
    </row>
    <row r="4522" spans="2:5" x14ac:dyDescent="0.45">
      <c r="B4522" s="1"/>
      <c r="E4522" s="45" t="str">
        <f>IFERROR(AVERAGEIFS('Picarro Output'!G:G, 'Picarro Output'!$B:$B, 'Uncalibrated Data'!$C4522, 'Picarro Output'!$I:$I, 0, 'Picarro Output'!$J:$J, 1), "")</f>
        <v/>
      </c>
    </row>
    <row r="4523" spans="2:5" x14ac:dyDescent="0.45">
      <c r="B4523" s="1"/>
      <c r="E4523" s="45" t="str">
        <f>IFERROR(AVERAGEIFS('Picarro Output'!G:G, 'Picarro Output'!$B:$B, 'Uncalibrated Data'!$C4523, 'Picarro Output'!$I:$I, 0, 'Picarro Output'!$J:$J, 1), "")</f>
        <v/>
      </c>
    </row>
    <row r="4524" spans="2:5" x14ac:dyDescent="0.45">
      <c r="B4524" s="1"/>
      <c r="E4524" s="45" t="str">
        <f>IFERROR(AVERAGEIFS('Picarro Output'!G:G, 'Picarro Output'!$B:$B, 'Uncalibrated Data'!$C4524, 'Picarro Output'!$I:$I, 0, 'Picarro Output'!$J:$J, 1), "")</f>
        <v/>
      </c>
    </row>
    <row r="4525" spans="2:5" x14ac:dyDescent="0.45">
      <c r="B4525" s="1"/>
      <c r="E4525" s="45" t="str">
        <f>IFERROR(AVERAGEIFS('Picarro Output'!G:G, 'Picarro Output'!$B:$B, 'Uncalibrated Data'!$C4525, 'Picarro Output'!$I:$I, 0, 'Picarro Output'!$J:$J, 1), "")</f>
        <v/>
      </c>
    </row>
    <row r="4526" spans="2:5" x14ac:dyDescent="0.45">
      <c r="B4526" s="1"/>
      <c r="E4526" s="45" t="str">
        <f>IFERROR(AVERAGEIFS('Picarro Output'!G:G, 'Picarro Output'!$B:$B, 'Uncalibrated Data'!$C4526, 'Picarro Output'!$I:$I, 0, 'Picarro Output'!$J:$J, 1), "")</f>
        <v/>
      </c>
    </row>
    <row r="4527" spans="2:5" x14ac:dyDescent="0.45">
      <c r="B4527" s="1"/>
      <c r="E4527" s="45" t="str">
        <f>IFERROR(AVERAGEIFS('Picarro Output'!G:G, 'Picarro Output'!$B:$B, 'Uncalibrated Data'!$C4527, 'Picarro Output'!$I:$I, 0, 'Picarro Output'!$J:$J, 1), "")</f>
        <v/>
      </c>
    </row>
    <row r="4528" spans="2:5" x14ac:dyDescent="0.45">
      <c r="B4528" s="1"/>
      <c r="E4528" s="45" t="str">
        <f>IFERROR(AVERAGEIFS('Picarro Output'!G:G, 'Picarro Output'!$B:$B, 'Uncalibrated Data'!$C4528, 'Picarro Output'!$I:$I, 0, 'Picarro Output'!$J:$J, 1), "")</f>
        <v/>
      </c>
    </row>
    <row r="4529" spans="2:5" x14ac:dyDescent="0.45">
      <c r="B4529" s="1"/>
      <c r="E4529" s="45" t="str">
        <f>IFERROR(AVERAGEIFS('Picarro Output'!G:G, 'Picarro Output'!$B:$B, 'Uncalibrated Data'!$C4529, 'Picarro Output'!$I:$I, 0, 'Picarro Output'!$J:$J, 1), "")</f>
        <v/>
      </c>
    </row>
    <row r="4530" spans="2:5" x14ac:dyDescent="0.45">
      <c r="B4530" s="1"/>
      <c r="E4530" s="45" t="str">
        <f>IFERROR(AVERAGEIFS('Picarro Output'!G:G, 'Picarro Output'!$B:$B, 'Uncalibrated Data'!$C4530, 'Picarro Output'!$I:$I, 0, 'Picarro Output'!$J:$J, 1), "")</f>
        <v/>
      </c>
    </row>
    <row r="4531" spans="2:5" x14ac:dyDescent="0.45">
      <c r="B4531" s="1"/>
      <c r="E4531" s="45" t="str">
        <f>IFERROR(AVERAGEIFS('Picarro Output'!G:G, 'Picarro Output'!$B:$B, 'Uncalibrated Data'!$C4531, 'Picarro Output'!$I:$I, 0, 'Picarro Output'!$J:$J, 1), "")</f>
        <v/>
      </c>
    </row>
    <row r="4532" spans="2:5" x14ac:dyDescent="0.45">
      <c r="B4532" s="1"/>
      <c r="E4532" s="45" t="str">
        <f>IFERROR(AVERAGEIFS('Picarro Output'!G:G, 'Picarro Output'!$B:$B, 'Uncalibrated Data'!$C4532, 'Picarro Output'!$I:$I, 0, 'Picarro Output'!$J:$J, 1), "")</f>
        <v/>
      </c>
    </row>
    <row r="4533" spans="2:5" x14ac:dyDescent="0.45">
      <c r="B4533" s="1"/>
      <c r="E4533" s="45" t="str">
        <f>IFERROR(AVERAGEIFS('Picarro Output'!G:G, 'Picarro Output'!$B:$B, 'Uncalibrated Data'!$C4533, 'Picarro Output'!$I:$I, 0, 'Picarro Output'!$J:$J, 1), "")</f>
        <v/>
      </c>
    </row>
    <row r="4534" spans="2:5" x14ac:dyDescent="0.45">
      <c r="B4534" s="1"/>
      <c r="E4534" s="45" t="str">
        <f>IFERROR(AVERAGEIFS('Picarro Output'!G:G, 'Picarro Output'!$B:$B, 'Uncalibrated Data'!$C4534, 'Picarro Output'!$I:$I, 0, 'Picarro Output'!$J:$J, 1), "")</f>
        <v/>
      </c>
    </row>
    <row r="4535" spans="2:5" x14ac:dyDescent="0.45">
      <c r="B4535" s="1"/>
      <c r="E4535" s="45" t="str">
        <f>IFERROR(AVERAGEIFS('Picarro Output'!G:G, 'Picarro Output'!$B:$B, 'Uncalibrated Data'!$C4535, 'Picarro Output'!$I:$I, 0, 'Picarro Output'!$J:$J, 1), "")</f>
        <v/>
      </c>
    </row>
    <row r="4536" spans="2:5" x14ac:dyDescent="0.45">
      <c r="B4536" s="1"/>
      <c r="E4536" s="45" t="str">
        <f>IFERROR(AVERAGEIFS('Picarro Output'!G:G, 'Picarro Output'!$B:$B, 'Uncalibrated Data'!$C4536, 'Picarro Output'!$I:$I, 0, 'Picarro Output'!$J:$J, 1), "")</f>
        <v/>
      </c>
    </row>
    <row r="4537" spans="2:5" x14ac:dyDescent="0.45">
      <c r="B4537" s="1"/>
      <c r="E4537" s="45" t="str">
        <f>IFERROR(AVERAGEIFS('Picarro Output'!G:G, 'Picarro Output'!$B:$B, 'Uncalibrated Data'!$C4537, 'Picarro Output'!$I:$I, 0, 'Picarro Output'!$J:$J, 1), "")</f>
        <v/>
      </c>
    </row>
    <row r="4538" spans="2:5" x14ac:dyDescent="0.45">
      <c r="B4538" s="1"/>
      <c r="E4538" s="45" t="str">
        <f>IFERROR(AVERAGEIFS('Picarro Output'!G:G, 'Picarro Output'!$B:$B, 'Uncalibrated Data'!$C4538, 'Picarro Output'!$I:$I, 0, 'Picarro Output'!$J:$J, 1), "")</f>
        <v/>
      </c>
    </row>
    <row r="4539" spans="2:5" x14ac:dyDescent="0.45">
      <c r="B4539" s="1"/>
      <c r="E4539" s="45" t="str">
        <f>IFERROR(AVERAGEIFS('Picarro Output'!G:G, 'Picarro Output'!$B:$B, 'Uncalibrated Data'!$C4539, 'Picarro Output'!$I:$I, 0, 'Picarro Output'!$J:$J, 1), "")</f>
        <v/>
      </c>
    </row>
    <row r="4540" spans="2:5" x14ac:dyDescent="0.45">
      <c r="B4540" s="1"/>
      <c r="E4540" s="45" t="str">
        <f>IFERROR(AVERAGEIFS('Picarro Output'!G:G, 'Picarro Output'!$B:$B, 'Uncalibrated Data'!$C4540, 'Picarro Output'!$I:$I, 0, 'Picarro Output'!$J:$J, 1), "")</f>
        <v/>
      </c>
    </row>
    <row r="4541" spans="2:5" x14ac:dyDescent="0.45">
      <c r="B4541" s="1"/>
      <c r="E4541" s="45" t="str">
        <f>IFERROR(AVERAGEIFS('Picarro Output'!G:G, 'Picarro Output'!$B:$B, 'Uncalibrated Data'!$C4541, 'Picarro Output'!$I:$I, 0, 'Picarro Output'!$J:$J, 1), "")</f>
        <v/>
      </c>
    </row>
    <row r="4542" spans="2:5" x14ac:dyDescent="0.45">
      <c r="B4542" s="1"/>
      <c r="E4542" s="45" t="str">
        <f>IFERROR(AVERAGEIFS('Picarro Output'!G:G, 'Picarro Output'!$B:$B, 'Uncalibrated Data'!$C4542, 'Picarro Output'!$I:$I, 0, 'Picarro Output'!$J:$J, 1), "")</f>
        <v/>
      </c>
    </row>
    <row r="4543" spans="2:5" x14ac:dyDescent="0.45">
      <c r="B4543" s="1"/>
      <c r="E4543" s="45" t="str">
        <f>IFERROR(AVERAGEIFS('Picarro Output'!G:G, 'Picarro Output'!$B:$B, 'Uncalibrated Data'!$C4543, 'Picarro Output'!$I:$I, 0, 'Picarro Output'!$J:$J, 1), "")</f>
        <v/>
      </c>
    </row>
    <row r="4544" spans="2:5" x14ac:dyDescent="0.45">
      <c r="B4544" s="1"/>
      <c r="E4544" s="45" t="str">
        <f>IFERROR(AVERAGEIFS('Picarro Output'!G:G, 'Picarro Output'!$B:$B, 'Uncalibrated Data'!$C4544, 'Picarro Output'!$I:$I, 0, 'Picarro Output'!$J:$J, 1), "")</f>
        <v/>
      </c>
    </row>
    <row r="4545" spans="2:5" x14ac:dyDescent="0.45">
      <c r="B4545" s="1"/>
      <c r="E4545" s="45" t="str">
        <f>IFERROR(AVERAGEIFS('Picarro Output'!G:G, 'Picarro Output'!$B:$B, 'Uncalibrated Data'!$C4545, 'Picarro Output'!$I:$I, 0, 'Picarro Output'!$J:$J, 1), "")</f>
        <v/>
      </c>
    </row>
    <row r="4546" spans="2:5" x14ac:dyDescent="0.45">
      <c r="B4546" s="1"/>
      <c r="E4546" s="45" t="str">
        <f>IFERROR(AVERAGEIFS('Picarro Output'!G:G, 'Picarro Output'!$B:$B, 'Uncalibrated Data'!$C4546, 'Picarro Output'!$I:$I, 0, 'Picarro Output'!$J:$J, 1), "")</f>
        <v/>
      </c>
    </row>
    <row r="4547" spans="2:5" x14ac:dyDescent="0.45">
      <c r="B4547" s="1"/>
      <c r="E4547" s="45" t="str">
        <f>IFERROR(AVERAGEIFS('Picarro Output'!G:G, 'Picarro Output'!$B:$B, 'Uncalibrated Data'!$C4547, 'Picarro Output'!$I:$I, 0, 'Picarro Output'!$J:$J, 1), "")</f>
        <v/>
      </c>
    </row>
    <row r="4548" spans="2:5" x14ac:dyDescent="0.45">
      <c r="B4548" s="1"/>
      <c r="E4548" s="45" t="str">
        <f>IFERROR(AVERAGEIFS('Picarro Output'!G:G, 'Picarro Output'!$B:$B, 'Uncalibrated Data'!$C4548, 'Picarro Output'!$I:$I, 0, 'Picarro Output'!$J:$J, 1), "")</f>
        <v/>
      </c>
    </row>
    <row r="4549" spans="2:5" x14ac:dyDescent="0.45">
      <c r="B4549" s="1"/>
      <c r="E4549" s="45" t="str">
        <f>IFERROR(AVERAGEIFS('Picarro Output'!G:G, 'Picarro Output'!$B:$B, 'Uncalibrated Data'!$C4549, 'Picarro Output'!$I:$I, 0, 'Picarro Output'!$J:$J, 1), "")</f>
        <v/>
      </c>
    </row>
    <row r="4550" spans="2:5" x14ac:dyDescent="0.45">
      <c r="B4550" s="1"/>
      <c r="E4550" s="45" t="str">
        <f>IFERROR(AVERAGEIFS('Picarro Output'!G:G, 'Picarro Output'!$B:$B, 'Uncalibrated Data'!$C4550, 'Picarro Output'!$I:$I, 0, 'Picarro Output'!$J:$J, 1), "")</f>
        <v/>
      </c>
    </row>
    <row r="4551" spans="2:5" x14ac:dyDescent="0.45">
      <c r="B4551" s="1"/>
      <c r="E4551" s="45" t="str">
        <f>IFERROR(AVERAGEIFS('Picarro Output'!G:G, 'Picarro Output'!$B:$B, 'Uncalibrated Data'!$C4551, 'Picarro Output'!$I:$I, 0, 'Picarro Output'!$J:$J, 1), "")</f>
        <v/>
      </c>
    </row>
    <row r="4552" spans="2:5" x14ac:dyDescent="0.45">
      <c r="B4552" s="1"/>
      <c r="E4552" s="45" t="str">
        <f>IFERROR(AVERAGEIFS('Picarro Output'!G:G, 'Picarro Output'!$B:$B, 'Uncalibrated Data'!$C4552, 'Picarro Output'!$I:$I, 0, 'Picarro Output'!$J:$J, 1), "")</f>
        <v/>
      </c>
    </row>
    <row r="4553" spans="2:5" x14ac:dyDescent="0.45">
      <c r="B4553" s="1"/>
      <c r="E4553" s="45" t="str">
        <f>IFERROR(AVERAGEIFS('Picarro Output'!G:G, 'Picarro Output'!$B:$B, 'Uncalibrated Data'!$C4553, 'Picarro Output'!$I:$I, 0, 'Picarro Output'!$J:$J, 1), "")</f>
        <v/>
      </c>
    </row>
    <row r="4554" spans="2:5" x14ac:dyDescent="0.45">
      <c r="B4554" s="1"/>
      <c r="E4554" s="45" t="str">
        <f>IFERROR(AVERAGEIFS('Picarro Output'!G:G, 'Picarro Output'!$B:$B, 'Uncalibrated Data'!$C4554, 'Picarro Output'!$I:$I, 0, 'Picarro Output'!$J:$J, 1), "")</f>
        <v/>
      </c>
    </row>
    <row r="4555" spans="2:5" x14ac:dyDescent="0.45">
      <c r="B4555" s="1"/>
      <c r="E4555" s="45" t="str">
        <f>IFERROR(AVERAGEIFS('Picarro Output'!G:G, 'Picarro Output'!$B:$B, 'Uncalibrated Data'!$C4555, 'Picarro Output'!$I:$I, 0, 'Picarro Output'!$J:$J, 1), "")</f>
        <v/>
      </c>
    </row>
    <row r="4556" spans="2:5" x14ac:dyDescent="0.45">
      <c r="B4556" s="1"/>
      <c r="E4556" s="45" t="str">
        <f>IFERROR(AVERAGEIFS('Picarro Output'!G:G, 'Picarro Output'!$B:$B, 'Uncalibrated Data'!$C4556, 'Picarro Output'!$I:$I, 0, 'Picarro Output'!$J:$J, 1), "")</f>
        <v/>
      </c>
    </row>
    <row r="4557" spans="2:5" x14ac:dyDescent="0.45">
      <c r="B4557" s="1"/>
      <c r="E4557" s="45" t="str">
        <f>IFERROR(AVERAGEIFS('Picarro Output'!G:G, 'Picarro Output'!$B:$B, 'Uncalibrated Data'!$C4557, 'Picarro Output'!$I:$I, 0, 'Picarro Output'!$J:$J, 1), "")</f>
        <v/>
      </c>
    </row>
    <row r="4558" spans="2:5" x14ac:dyDescent="0.45">
      <c r="B4558" s="1"/>
      <c r="E4558" s="45" t="str">
        <f>IFERROR(AVERAGEIFS('Picarro Output'!G:G, 'Picarro Output'!$B:$B, 'Uncalibrated Data'!$C4558, 'Picarro Output'!$I:$I, 0, 'Picarro Output'!$J:$J, 1), "")</f>
        <v/>
      </c>
    </row>
    <row r="4559" spans="2:5" x14ac:dyDescent="0.45">
      <c r="B4559" s="1"/>
      <c r="E4559" s="45" t="str">
        <f>IFERROR(AVERAGEIFS('Picarro Output'!G:G, 'Picarro Output'!$B:$B, 'Uncalibrated Data'!$C4559, 'Picarro Output'!$I:$I, 0, 'Picarro Output'!$J:$J, 1), "")</f>
        <v/>
      </c>
    </row>
    <row r="4560" spans="2:5" x14ac:dyDescent="0.45">
      <c r="B4560" s="1"/>
      <c r="E4560" s="45" t="str">
        <f>IFERROR(AVERAGEIFS('Picarro Output'!G:G, 'Picarro Output'!$B:$B, 'Uncalibrated Data'!$C4560, 'Picarro Output'!$I:$I, 0, 'Picarro Output'!$J:$J, 1), "")</f>
        <v/>
      </c>
    </row>
    <row r="4561" spans="2:5" x14ac:dyDescent="0.45">
      <c r="B4561" s="1"/>
      <c r="E4561" s="45" t="str">
        <f>IFERROR(AVERAGEIFS('Picarro Output'!G:G, 'Picarro Output'!$B:$B, 'Uncalibrated Data'!$C4561, 'Picarro Output'!$I:$I, 0, 'Picarro Output'!$J:$J, 1), "")</f>
        <v/>
      </c>
    </row>
    <row r="4562" spans="2:5" x14ac:dyDescent="0.45">
      <c r="B4562" s="1"/>
      <c r="E4562" s="45" t="str">
        <f>IFERROR(AVERAGEIFS('Picarro Output'!G:G, 'Picarro Output'!$B:$B, 'Uncalibrated Data'!$C4562, 'Picarro Output'!$I:$I, 0, 'Picarro Output'!$J:$J, 1), "")</f>
        <v/>
      </c>
    </row>
    <row r="4563" spans="2:5" x14ac:dyDescent="0.45">
      <c r="B4563" s="1"/>
      <c r="E4563" s="45" t="str">
        <f>IFERROR(AVERAGEIFS('Picarro Output'!G:G, 'Picarro Output'!$B:$B, 'Uncalibrated Data'!$C4563, 'Picarro Output'!$I:$I, 0, 'Picarro Output'!$J:$J, 1), "")</f>
        <v/>
      </c>
    </row>
    <row r="4564" spans="2:5" x14ac:dyDescent="0.45">
      <c r="B4564" s="1"/>
      <c r="E4564" s="45" t="str">
        <f>IFERROR(AVERAGEIFS('Picarro Output'!G:G, 'Picarro Output'!$B:$B, 'Uncalibrated Data'!$C4564, 'Picarro Output'!$I:$I, 0, 'Picarro Output'!$J:$J, 1), "")</f>
        <v/>
      </c>
    </row>
    <row r="4565" spans="2:5" x14ac:dyDescent="0.45">
      <c r="B4565" s="1"/>
      <c r="E4565" s="45" t="str">
        <f>IFERROR(AVERAGEIFS('Picarro Output'!G:G, 'Picarro Output'!$B:$B, 'Uncalibrated Data'!$C4565, 'Picarro Output'!$I:$I, 0, 'Picarro Output'!$J:$J, 1), "")</f>
        <v/>
      </c>
    </row>
    <row r="4566" spans="2:5" x14ac:dyDescent="0.45">
      <c r="B4566" s="1"/>
      <c r="E4566" s="45" t="str">
        <f>IFERROR(AVERAGEIFS('Picarro Output'!G:G, 'Picarro Output'!$B:$B, 'Uncalibrated Data'!$C4566, 'Picarro Output'!$I:$I, 0, 'Picarro Output'!$J:$J, 1), "")</f>
        <v/>
      </c>
    </row>
    <row r="4567" spans="2:5" x14ac:dyDescent="0.45">
      <c r="B4567" s="1"/>
      <c r="E4567" s="45" t="str">
        <f>IFERROR(AVERAGEIFS('Picarro Output'!G:G, 'Picarro Output'!$B:$B, 'Uncalibrated Data'!$C4567, 'Picarro Output'!$I:$I, 0, 'Picarro Output'!$J:$J, 1), "")</f>
        <v/>
      </c>
    </row>
    <row r="4568" spans="2:5" x14ac:dyDescent="0.45">
      <c r="B4568" s="1"/>
      <c r="E4568" s="45" t="str">
        <f>IFERROR(AVERAGEIFS('Picarro Output'!G:G, 'Picarro Output'!$B:$B, 'Uncalibrated Data'!$C4568, 'Picarro Output'!$I:$I, 0, 'Picarro Output'!$J:$J, 1), "")</f>
        <v/>
      </c>
    </row>
    <row r="4569" spans="2:5" x14ac:dyDescent="0.45">
      <c r="B4569" s="1"/>
      <c r="E4569" s="45" t="str">
        <f>IFERROR(AVERAGEIFS('Picarro Output'!G:G, 'Picarro Output'!$B:$B, 'Uncalibrated Data'!$C4569, 'Picarro Output'!$I:$I, 0, 'Picarro Output'!$J:$J, 1), "")</f>
        <v/>
      </c>
    </row>
    <row r="4570" spans="2:5" x14ac:dyDescent="0.45">
      <c r="B4570" s="1"/>
      <c r="E4570" s="45" t="str">
        <f>IFERROR(AVERAGEIFS('Picarro Output'!G:G, 'Picarro Output'!$B:$B, 'Uncalibrated Data'!$C4570, 'Picarro Output'!$I:$I, 0, 'Picarro Output'!$J:$J, 1), "")</f>
        <v/>
      </c>
    </row>
    <row r="4571" spans="2:5" x14ac:dyDescent="0.45">
      <c r="B4571" s="1"/>
      <c r="E4571" s="45" t="str">
        <f>IFERROR(AVERAGEIFS('Picarro Output'!G:G, 'Picarro Output'!$B:$B, 'Uncalibrated Data'!$C4571, 'Picarro Output'!$I:$I, 0, 'Picarro Output'!$J:$J, 1), "")</f>
        <v/>
      </c>
    </row>
    <row r="4572" spans="2:5" x14ac:dyDescent="0.45">
      <c r="B4572" s="1"/>
      <c r="E4572" s="45" t="str">
        <f>IFERROR(AVERAGEIFS('Picarro Output'!G:G, 'Picarro Output'!$B:$B, 'Uncalibrated Data'!$C4572, 'Picarro Output'!$I:$I, 0, 'Picarro Output'!$J:$J, 1), "")</f>
        <v/>
      </c>
    </row>
    <row r="4573" spans="2:5" x14ac:dyDescent="0.45">
      <c r="B4573" s="1"/>
      <c r="E4573" s="45" t="str">
        <f>IFERROR(AVERAGEIFS('Picarro Output'!G:G, 'Picarro Output'!$B:$B, 'Uncalibrated Data'!$C4573, 'Picarro Output'!$I:$I, 0, 'Picarro Output'!$J:$J, 1), "")</f>
        <v/>
      </c>
    </row>
    <row r="4574" spans="2:5" x14ac:dyDescent="0.45">
      <c r="B4574" s="1"/>
      <c r="E4574" s="45" t="str">
        <f>IFERROR(AVERAGEIFS('Picarro Output'!G:G, 'Picarro Output'!$B:$B, 'Uncalibrated Data'!$C4574, 'Picarro Output'!$I:$I, 0, 'Picarro Output'!$J:$J, 1), "")</f>
        <v/>
      </c>
    </row>
    <row r="4575" spans="2:5" x14ac:dyDescent="0.45">
      <c r="B4575" s="1"/>
      <c r="E4575" s="45" t="str">
        <f>IFERROR(AVERAGEIFS('Picarro Output'!G:G, 'Picarro Output'!$B:$B, 'Uncalibrated Data'!$C4575, 'Picarro Output'!$I:$I, 0, 'Picarro Output'!$J:$J, 1), "")</f>
        <v/>
      </c>
    </row>
    <row r="4576" spans="2:5" x14ac:dyDescent="0.45">
      <c r="B4576" s="1"/>
      <c r="E4576" s="45" t="str">
        <f>IFERROR(AVERAGEIFS('Picarro Output'!G:G, 'Picarro Output'!$B:$B, 'Uncalibrated Data'!$C4576, 'Picarro Output'!$I:$I, 0, 'Picarro Output'!$J:$J, 1), "")</f>
        <v/>
      </c>
    </row>
    <row r="4577" spans="2:5" x14ac:dyDescent="0.45">
      <c r="B4577" s="1"/>
      <c r="E4577" s="45" t="str">
        <f>IFERROR(AVERAGEIFS('Picarro Output'!G:G, 'Picarro Output'!$B:$B, 'Uncalibrated Data'!$C4577, 'Picarro Output'!$I:$I, 0, 'Picarro Output'!$J:$J, 1), "")</f>
        <v/>
      </c>
    </row>
    <row r="4578" spans="2:5" x14ac:dyDescent="0.45">
      <c r="B4578" s="1"/>
      <c r="E4578" s="45" t="str">
        <f>IFERROR(AVERAGEIFS('Picarro Output'!G:G, 'Picarro Output'!$B:$B, 'Uncalibrated Data'!$C4578, 'Picarro Output'!$I:$I, 0, 'Picarro Output'!$J:$J, 1), "")</f>
        <v/>
      </c>
    </row>
    <row r="4579" spans="2:5" x14ac:dyDescent="0.45">
      <c r="B4579" s="1"/>
      <c r="E4579" s="45" t="str">
        <f>IFERROR(AVERAGEIFS('Picarro Output'!G:G, 'Picarro Output'!$B:$B, 'Uncalibrated Data'!$C4579, 'Picarro Output'!$I:$I, 0, 'Picarro Output'!$J:$J, 1), "")</f>
        <v/>
      </c>
    </row>
    <row r="4580" spans="2:5" x14ac:dyDescent="0.45">
      <c r="B4580" s="1"/>
      <c r="E4580" s="45" t="str">
        <f>IFERROR(AVERAGEIFS('Picarro Output'!G:G, 'Picarro Output'!$B:$B, 'Uncalibrated Data'!$C4580, 'Picarro Output'!$I:$I, 0, 'Picarro Output'!$J:$J, 1), "")</f>
        <v/>
      </c>
    </row>
    <row r="4581" spans="2:5" x14ac:dyDescent="0.45">
      <c r="B4581" s="1"/>
      <c r="E4581" s="45" t="str">
        <f>IFERROR(AVERAGEIFS('Picarro Output'!G:G, 'Picarro Output'!$B:$B, 'Uncalibrated Data'!$C4581, 'Picarro Output'!$I:$I, 0, 'Picarro Output'!$J:$J, 1), "")</f>
        <v/>
      </c>
    </row>
    <row r="4582" spans="2:5" x14ac:dyDescent="0.45">
      <c r="B4582" s="1"/>
      <c r="E4582" s="45" t="str">
        <f>IFERROR(AVERAGEIFS('Picarro Output'!G:G, 'Picarro Output'!$B:$B, 'Uncalibrated Data'!$C4582, 'Picarro Output'!$I:$I, 0, 'Picarro Output'!$J:$J, 1), "")</f>
        <v/>
      </c>
    </row>
    <row r="4583" spans="2:5" x14ac:dyDescent="0.45">
      <c r="B4583" s="1"/>
      <c r="E4583" s="45" t="str">
        <f>IFERROR(AVERAGEIFS('Picarro Output'!G:G, 'Picarro Output'!$B:$B, 'Uncalibrated Data'!$C4583, 'Picarro Output'!$I:$I, 0, 'Picarro Output'!$J:$J, 1), "")</f>
        <v/>
      </c>
    </row>
    <row r="4584" spans="2:5" x14ac:dyDescent="0.45">
      <c r="B4584" s="1"/>
      <c r="E4584" s="45" t="str">
        <f>IFERROR(AVERAGEIFS('Picarro Output'!G:G, 'Picarro Output'!$B:$B, 'Uncalibrated Data'!$C4584, 'Picarro Output'!$I:$I, 0, 'Picarro Output'!$J:$J, 1), "")</f>
        <v/>
      </c>
    </row>
    <row r="4585" spans="2:5" x14ac:dyDescent="0.45">
      <c r="B4585" s="1"/>
      <c r="E4585" s="45" t="str">
        <f>IFERROR(AVERAGEIFS('Picarro Output'!G:G, 'Picarro Output'!$B:$B, 'Uncalibrated Data'!$C4585, 'Picarro Output'!$I:$I, 0, 'Picarro Output'!$J:$J, 1), "")</f>
        <v/>
      </c>
    </row>
    <row r="4586" spans="2:5" x14ac:dyDescent="0.45">
      <c r="B4586" s="1"/>
      <c r="E4586" s="45" t="str">
        <f>IFERROR(AVERAGEIFS('Picarro Output'!G:G, 'Picarro Output'!$B:$B, 'Uncalibrated Data'!$C4586, 'Picarro Output'!$I:$I, 0, 'Picarro Output'!$J:$J, 1), "")</f>
        <v/>
      </c>
    </row>
    <row r="4587" spans="2:5" x14ac:dyDescent="0.45">
      <c r="B4587" s="1"/>
      <c r="E4587" s="45" t="str">
        <f>IFERROR(AVERAGEIFS('Picarro Output'!G:G, 'Picarro Output'!$B:$B, 'Uncalibrated Data'!$C4587, 'Picarro Output'!$I:$I, 0, 'Picarro Output'!$J:$J, 1), "")</f>
        <v/>
      </c>
    </row>
    <row r="4588" spans="2:5" x14ac:dyDescent="0.45">
      <c r="B4588" s="1"/>
      <c r="E4588" s="45" t="str">
        <f>IFERROR(AVERAGEIFS('Picarro Output'!G:G, 'Picarro Output'!$B:$B, 'Uncalibrated Data'!$C4588, 'Picarro Output'!$I:$I, 0, 'Picarro Output'!$J:$J, 1), "")</f>
        <v/>
      </c>
    </row>
    <row r="4589" spans="2:5" x14ac:dyDescent="0.45">
      <c r="B4589" s="1"/>
      <c r="E4589" s="45" t="str">
        <f>IFERROR(AVERAGEIFS('Picarro Output'!G:G, 'Picarro Output'!$B:$B, 'Uncalibrated Data'!$C4589, 'Picarro Output'!$I:$I, 0, 'Picarro Output'!$J:$J, 1), "")</f>
        <v/>
      </c>
    </row>
    <row r="4590" spans="2:5" x14ac:dyDescent="0.45">
      <c r="B4590" s="1"/>
      <c r="E4590" s="45" t="str">
        <f>IFERROR(AVERAGEIFS('Picarro Output'!G:G, 'Picarro Output'!$B:$B, 'Uncalibrated Data'!$C4590, 'Picarro Output'!$I:$I, 0, 'Picarro Output'!$J:$J, 1), "")</f>
        <v/>
      </c>
    </row>
    <row r="4591" spans="2:5" x14ac:dyDescent="0.45">
      <c r="B4591" s="1"/>
      <c r="E4591" s="45" t="str">
        <f>IFERROR(AVERAGEIFS('Picarro Output'!G:G, 'Picarro Output'!$B:$B, 'Uncalibrated Data'!$C4591, 'Picarro Output'!$I:$I, 0, 'Picarro Output'!$J:$J, 1), "")</f>
        <v/>
      </c>
    </row>
    <row r="4592" spans="2:5" x14ac:dyDescent="0.45">
      <c r="B4592" s="1"/>
      <c r="E4592" s="45" t="str">
        <f>IFERROR(AVERAGEIFS('Picarro Output'!G:G, 'Picarro Output'!$B:$B, 'Uncalibrated Data'!$C4592, 'Picarro Output'!$I:$I, 0, 'Picarro Output'!$J:$J, 1), "")</f>
        <v/>
      </c>
    </row>
    <row r="4593" spans="2:5" x14ac:dyDescent="0.45">
      <c r="B4593" s="1"/>
      <c r="E4593" s="45" t="str">
        <f>IFERROR(AVERAGEIFS('Picarro Output'!G:G, 'Picarro Output'!$B:$B, 'Uncalibrated Data'!$C4593, 'Picarro Output'!$I:$I, 0, 'Picarro Output'!$J:$J, 1), "")</f>
        <v/>
      </c>
    </row>
    <row r="4594" spans="2:5" x14ac:dyDescent="0.45">
      <c r="B4594" s="1"/>
      <c r="E4594" s="45" t="str">
        <f>IFERROR(AVERAGEIFS('Picarro Output'!G:G, 'Picarro Output'!$B:$B, 'Uncalibrated Data'!$C4594, 'Picarro Output'!$I:$I, 0, 'Picarro Output'!$J:$J, 1), "")</f>
        <v/>
      </c>
    </row>
    <row r="4595" spans="2:5" x14ac:dyDescent="0.45">
      <c r="B4595" s="1"/>
      <c r="E4595" s="45" t="str">
        <f>IFERROR(AVERAGEIFS('Picarro Output'!G:G, 'Picarro Output'!$B:$B, 'Uncalibrated Data'!$C4595, 'Picarro Output'!$I:$I, 0, 'Picarro Output'!$J:$J, 1), "")</f>
        <v/>
      </c>
    </row>
    <row r="4596" spans="2:5" x14ac:dyDescent="0.45">
      <c r="B4596" s="1"/>
      <c r="E4596" s="45" t="str">
        <f>IFERROR(AVERAGEIFS('Picarro Output'!G:G, 'Picarro Output'!$B:$B, 'Uncalibrated Data'!$C4596, 'Picarro Output'!$I:$I, 0, 'Picarro Output'!$J:$J, 1), "")</f>
        <v/>
      </c>
    </row>
    <row r="4597" spans="2:5" x14ac:dyDescent="0.45">
      <c r="B4597" s="1"/>
      <c r="E4597" s="45" t="str">
        <f>IFERROR(AVERAGEIFS('Picarro Output'!G:G, 'Picarro Output'!$B:$B, 'Uncalibrated Data'!$C4597, 'Picarro Output'!$I:$I, 0, 'Picarro Output'!$J:$J, 1), "")</f>
        <v/>
      </c>
    </row>
    <row r="4598" spans="2:5" x14ac:dyDescent="0.45">
      <c r="B4598" s="1"/>
      <c r="E4598" s="45" t="str">
        <f>IFERROR(AVERAGEIFS('Picarro Output'!G:G, 'Picarro Output'!$B:$B, 'Uncalibrated Data'!$C4598, 'Picarro Output'!$I:$I, 0, 'Picarro Output'!$J:$J, 1), "")</f>
        <v/>
      </c>
    </row>
    <row r="4599" spans="2:5" x14ac:dyDescent="0.45">
      <c r="B4599" s="1"/>
      <c r="E4599" s="45" t="str">
        <f>IFERROR(AVERAGEIFS('Picarro Output'!G:G, 'Picarro Output'!$B:$B, 'Uncalibrated Data'!$C4599, 'Picarro Output'!$I:$I, 0, 'Picarro Output'!$J:$J, 1), "")</f>
        <v/>
      </c>
    </row>
    <row r="4600" spans="2:5" x14ac:dyDescent="0.45">
      <c r="B4600" s="1"/>
      <c r="E4600" s="45" t="str">
        <f>IFERROR(AVERAGEIFS('Picarro Output'!G:G, 'Picarro Output'!$B:$B, 'Uncalibrated Data'!$C4600, 'Picarro Output'!$I:$I, 0, 'Picarro Output'!$J:$J, 1), "")</f>
        <v/>
      </c>
    </row>
    <row r="4601" spans="2:5" x14ac:dyDescent="0.45">
      <c r="B4601" s="1"/>
      <c r="E4601" s="45" t="str">
        <f>IFERROR(AVERAGEIFS('Picarro Output'!G:G, 'Picarro Output'!$B:$B, 'Uncalibrated Data'!$C4601, 'Picarro Output'!$I:$I, 0, 'Picarro Output'!$J:$J, 1), "")</f>
        <v/>
      </c>
    </row>
    <row r="4602" spans="2:5" x14ac:dyDescent="0.45">
      <c r="B4602" s="1"/>
      <c r="E4602" s="45" t="str">
        <f>IFERROR(AVERAGEIFS('Picarro Output'!G:G, 'Picarro Output'!$B:$B, 'Uncalibrated Data'!$C4602, 'Picarro Output'!$I:$I, 0, 'Picarro Output'!$J:$J, 1), "")</f>
        <v/>
      </c>
    </row>
    <row r="4603" spans="2:5" x14ac:dyDescent="0.45">
      <c r="B4603" s="1"/>
      <c r="E4603" s="45" t="str">
        <f>IFERROR(AVERAGEIFS('Picarro Output'!G:G, 'Picarro Output'!$B:$B, 'Uncalibrated Data'!$C4603, 'Picarro Output'!$I:$I, 0, 'Picarro Output'!$J:$J, 1), "")</f>
        <v/>
      </c>
    </row>
    <row r="4604" spans="2:5" x14ac:dyDescent="0.45">
      <c r="B4604" s="1"/>
      <c r="E4604" s="45" t="str">
        <f>IFERROR(AVERAGEIFS('Picarro Output'!G:G, 'Picarro Output'!$B:$B, 'Uncalibrated Data'!$C4604, 'Picarro Output'!$I:$I, 0, 'Picarro Output'!$J:$J, 1), "")</f>
        <v/>
      </c>
    </row>
    <row r="4605" spans="2:5" x14ac:dyDescent="0.45">
      <c r="B4605" s="1"/>
      <c r="E4605" s="45" t="str">
        <f>IFERROR(AVERAGEIFS('Picarro Output'!G:G, 'Picarro Output'!$B:$B, 'Uncalibrated Data'!$C4605, 'Picarro Output'!$I:$I, 0, 'Picarro Output'!$J:$J, 1), "")</f>
        <v/>
      </c>
    </row>
    <row r="4606" spans="2:5" x14ac:dyDescent="0.45">
      <c r="B4606" s="1"/>
      <c r="E4606" s="45" t="str">
        <f>IFERROR(AVERAGEIFS('Picarro Output'!G:G, 'Picarro Output'!$B:$B, 'Uncalibrated Data'!$C4606, 'Picarro Output'!$I:$I, 0, 'Picarro Output'!$J:$J, 1), "")</f>
        <v/>
      </c>
    </row>
    <row r="4607" spans="2:5" x14ac:dyDescent="0.45">
      <c r="B4607" s="1"/>
      <c r="E4607" s="45" t="str">
        <f>IFERROR(AVERAGEIFS('Picarro Output'!G:G, 'Picarro Output'!$B:$B, 'Uncalibrated Data'!$C4607, 'Picarro Output'!$I:$I, 0, 'Picarro Output'!$J:$J, 1), "")</f>
        <v/>
      </c>
    </row>
    <row r="4608" spans="2:5" x14ac:dyDescent="0.45">
      <c r="B4608" s="1"/>
      <c r="E4608" s="45" t="str">
        <f>IFERROR(AVERAGEIFS('Picarro Output'!G:G, 'Picarro Output'!$B:$B, 'Uncalibrated Data'!$C4608, 'Picarro Output'!$I:$I, 0, 'Picarro Output'!$J:$J, 1), "")</f>
        <v/>
      </c>
    </row>
    <row r="4609" spans="2:5" x14ac:dyDescent="0.45">
      <c r="B4609" s="1"/>
      <c r="E4609" s="45" t="str">
        <f>IFERROR(AVERAGEIFS('Picarro Output'!G:G, 'Picarro Output'!$B:$B, 'Uncalibrated Data'!$C4609, 'Picarro Output'!$I:$I, 0, 'Picarro Output'!$J:$J, 1), "")</f>
        <v/>
      </c>
    </row>
    <row r="4610" spans="2:5" x14ac:dyDescent="0.45">
      <c r="B4610" s="1"/>
      <c r="E4610" s="45" t="str">
        <f>IFERROR(AVERAGEIFS('Picarro Output'!G:G, 'Picarro Output'!$B:$B, 'Uncalibrated Data'!$C4610, 'Picarro Output'!$I:$I, 0, 'Picarro Output'!$J:$J, 1), "")</f>
        <v/>
      </c>
    </row>
    <row r="4611" spans="2:5" x14ac:dyDescent="0.45">
      <c r="B4611" s="1"/>
      <c r="E4611" s="45" t="str">
        <f>IFERROR(AVERAGEIFS('Picarro Output'!G:G, 'Picarro Output'!$B:$B, 'Uncalibrated Data'!$C4611, 'Picarro Output'!$I:$I, 0, 'Picarro Output'!$J:$J, 1), "")</f>
        <v/>
      </c>
    </row>
    <row r="4612" spans="2:5" x14ac:dyDescent="0.45">
      <c r="B4612" s="1"/>
      <c r="E4612" s="45" t="str">
        <f>IFERROR(AVERAGEIFS('Picarro Output'!G:G, 'Picarro Output'!$B:$B, 'Uncalibrated Data'!$C4612, 'Picarro Output'!$I:$I, 0, 'Picarro Output'!$J:$J, 1), "")</f>
        <v/>
      </c>
    </row>
    <row r="4613" spans="2:5" x14ac:dyDescent="0.45">
      <c r="B4613" s="1"/>
      <c r="E4613" s="45" t="str">
        <f>IFERROR(AVERAGEIFS('Picarro Output'!G:G, 'Picarro Output'!$B:$B, 'Uncalibrated Data'!$C4613, 'Picarro Output'!$I:$I, 0, 'Picarro Output'!$J:$J, 1), "")</f>
        <v/>
      </c>
    </row>
    <row r="4614" spans="2:5" x14ac:dyDescent="0.45">
      <c r="B4614" s="1"/>
      <c r="E4614" s="45" t="str">
        <f>IFERROR(AVERAGEIFS('Picarro Output'!G:G, 'Picarro Output'!$B:$B, 'Uncalibrated Data'!$C4614, 'Picarro Output'!$I:$I, 0, 'Picarro Output'!$J:$J, 1), "")</f>
        <v/>
      </c>
    </row>
    <row r="4615" spans="2:5" x14ac:dyDescent="0.45">
      <c r="B4615" s="1"/>
      <c r="E4615" s="45" t="str">
        <f>IFERROR(AVERAGEIFS('Picarro Output'!G:G, 'Picarro Output'!$B:$B, 'Uncalibrated Data'!$C4615, 'Picarro Output'!$I:$I, 0, 'Picarro Output'!$J:$J, 1), "")</f>
        <v/>
      </c>
    </row>
    <row r="4616" spans="2:5" x14ac:dyDescent="0.45">
      <c r="B4616" s="1"/>
      <c r="E4616" s="45" t="str">
        <f>IFERROR(AVERAGEIFS('Picarro Output'!G:G, 'Picarro Output'!$B:$B, 'Uncalibrated Data'!$C4616, 'Picarro Output'!$I:$I, 0, 'Picarro Output'!$J:$J, 1), "")</f>
        <v/>
      </c>
    </row>
    <row r="4617" spans="2:5" x14ac:dyDescent="0.45">
      <c r="B4617" s="1"/>
      <c r="E4617" s="45" t="str">
        <f>IFERROR(AVERAGEIFS('Picarro Output'!G:G, 'Picarro Output'!$B:$B, 'Uncalibrated Data'!$C4617, 'Picarro Output'!$I:$I, 0, 'Picarro Output'!$J:$J, 1), "")</f>
        <v/>
      </c>
    </row>
    <row r="4618" spans="2:5" x14ac:dyDescent="0.45">
      <c r="B4618" s="1"/>
      <c r="E4618" s="45" t="str">
        <f>IFERROR(AVERAGEIFS('Picarro Output'!G:G, 'Picarro Output'!$B:$B, 'Uncalibrated Data'!$C4618, 'Picarro Output'!$I:$I, 0, 'Picarro Output'!$J:$J, 1), "")</f>
        <v/>
      </c>
    </row>
    <row r="4619" spans="2:5" x14ac:dyDescent="0.45">
      <c r="B4619" s="1"/>
      <c r="E4619" s="45" t="str">
        <f>IFERROR(AVERAGEIFS('Picarro Output'!G:G, 'Picarro Output'!$B:$B, 'Uncalibrated Data'!$C4619, 'Picarro Output'!$I:$I, 0, 'Picarro Output'!$J:$J, 1), "")</f>
        <v/>
      </c>
    </row>
    <row r="4620" spans="2:5" x14ac:dyDescent="0.45">
      <c r="B4620" s="1"/>
      <c r="E4620" s="45" t="str">
        <f>IFERROR(AVERAGEIFS('Picarro Output'!G:G, 'Picarro Output'!$B:$B, 'Uncalibrated Data'!$C4620, 'Picarro Output'!$I:$I, 0, 'Picarro Output'!$J:$J, 1), "")</f>
        <v/>
      </c>
    </row>
    <row r="4621" spans="2:5" x14ac:dyDescent="0.45">
      <c r="B4621" s="1"/>
      <c r="E4621" s="45" t="str">
        <f>IFERROR(AVERAGEIFS('Picarro Output'!G:G, 'Picarro Output'!$B:$B, 'Uncalibrated Data'!$C4621, 'Picarro Output'!$I:$I, 0, 'Picarro Output'!$J:$J, 1), "")</f>
        <v/>
      </c>
    </row>
    <row r="4622" spans="2:5" x14ac:dyDescent="0.45">
      <c r="B4622" s="1"/>
      <c r="E4622" s="45" t="str">
        <f>IFERROR(AVERAGEIFS('Picarro Output'!G:G, 'Picarro Output'!$B:$B, 'Uncalibrated Data'!$C4622, 'Picarro Output'!$I:$I, 0, 'Picarro Output'!$J:$J, 1), "")</f>
        <v/>
      </c>
    </row>
    <row r="4623" spans="2:5" x14ac:dyDescent="0.45">
      <c r="B4623" s="1"/>
      <c r="E4623" s="45" t="str">
        <f>IFERROR(AVERAGEIFS('Picarro Output'!G:G, 'Picarro Output'!$B:$B, 'Uncalibrated Data'!$C4623, 'Picarro Output'!$I:$I, 0, 'Picarro Output'!$J:$J, 1), "")</f>
        <v/>
      </c>
    </row>
    <row r="4624" spans="2:5" x14ac:dyDescent="0.45">
      <c r="B4624" s="1"/>
      <c r="E4624" s="45" t="str">
        <f>IFERROR(AVERAGEIFS('Picarro Output'!G:G, 'Picarro Output'!$B:$B, 'Uncalibrated Data'!$C4624, 'Picarro Output'!$I:$I, 0, 'Picarro Output'!$J:$J, 1), "")</f>
        <v/>
      </c>
    </row>
    <row r="4625" spans="2:5" x14ac:dyDescent="0.45">
      <c r="B4625" s="1"/>
      <c r="E4625" s="45" t="str">
        <f>IFERROR(AVERAGEIFS('Picarro Output'!G:G, 'Picarro Output'!$B:$B, 'Uncalibrated Data'!$C4625, 'Picarro Output'!$I:$I, 0, 'Picarro Output'!$J:$J, 1), "")</f>
        <v/>
      </c>
    </row>
    <row r="4626" spans="2:5" x14ac:dyDescent="0.45">
      <c r="B4626" s="1"/>
      <c r="E4626" s="45" t="str">
        <f>IFERROR(AVERAGEIFS('Picarro Output'!G:G, 'Picarro Output'!$B:$B, 'Uncalibrated Data'!$C4626, 'Picarro Output'!$I:$I, 0, 'Picarro Output'!$J:$J, 1), "")</f>
        <v/>
      </c>
    </row>
    <row r="4627" spans="2:5" x14ac:dyDescent="0.45">
      <c r="B4627" s="1"/>
      <c r="E4627" s="45" t="str">
        <f>IFERROR(AVERAGEIFS('Picarro Output'!G:G, 'Picarro Output'!$B:$B, 'Uncalibrated Data'!$C4627, 'Picarro Output'!$I:$I, 0, 'Picarro Output'!$J:$J, 1), "")</f>
        <v/>
      </c>
    </row>
    <row r="4628" spans="2:5" x14ac:dyDescent="0.45">
      <c r="B4628" s="1"/>
      <c r="E4628" s="45" t="str">
        <f>IFERROR(AVERAGEIFS('Picarro Output'!G:G, 'Picarro Output'!$B:$B, 'Uncalibrated Data'!$C4628, 'Picarro Output'!$I:$I, 0, 'Picarro Output'!$J:$J, 1), "")</f>
        <v/>
      </c>
    </row>
    <row r="4629" spans="2:5" x14ac:dyDescent="0.45">
      <c r="B4629" s="1"/>
      <c r="E4629" s="45" t="str">
        <f>IFERROR(AVERAGEIFS('Picarro Output'!G:G, 'Picarro Output'!$B:$B, 'Uncalibrated Data'!$C4629, 'Picarro Output'!$I:$I, 0, 'Picarro Output'!$J:$J, 1), "")</f>
        <v/>
      </c>
    </row>
    <row r="4630" spans="2:5" x14ac:dyDescent="0.45">
      <c r="B4630" s="1"/>
      <c r="E4630" s="45" t="str">
        <f>IFERROR(AVERAGEIFS('Picarro Output'!G:G, 'Picarro Output'!$B:$B, 'Uncalibrated Data'!$C4630, 'Picarro Output'!$I:$I, 0, 'Picarro Output'!$J:$J, 1), "")</f>
        <v/>
      </c>
    </row>
    <row r="4631" spans="2:5" x14ac:dyDescent="0.45">
      <c r="B4631" s="1"/>
      <c r="E4631" s="45" t="str">
        <f>IFERROR(AVERAGEIFS('Picarro Output'!G:G, 'Picarro Output'!$B:$B, 'Uncalibrated Data'!$C4631, 'Picarro Output'!$I:$I, 0, 'Picarro Output'!$J:$J, 1), "")</f>
        <v/>
      </c>
    </row>
    <row r="4632" spans="2:5" x14ac:dyDescent="0.45">
      <c r="B4632" s="1"/>
      <c r="E4632" s="45" t="str">
        <f>IFERROR(AVERAGEIFS('Picarro Output'!G:G, 'Picarro Output'!$B:$B, 'Uncalibrated Data'!$C4632, 'Picarro Output'!$I:$I, 0, 'Picarro Output'!$J:$J, 1), "")</f>
        <v/>
      </c>
    </row>
    <row r="4633" spans="2:5" x14ac:dyDescent="0.45">
      <c r="B4633" s="1"/>
      <c r="E4633" s="45" t="str">
        <f>IFERROR(AVERAGEIFS('Picarro Output'!G:G, 'Picarro Output'!$B:$B, 'Uncalibrated Data'!$C4633, 'Picarro Output'!$I:$I, 0, 'Picarro Output'!$J:$J, 1), "")</f>
        <v/>
      </c>
    </row>
    <row r="4634" spans="2:5" x14ac:dyDescent="0.45">
      <c r="B4634" s="1"/>
      <c r="E4634" s="45" t="str">
        <f>IFERROR(AVERAGEIFS('Picarro Output'!G:G, 'Picarro Output'!$B:$B, 'Uncalibrated Data'!$C4634, 'Picarro Output'!$I:$I, 0, 'Picarro Output'!$J:$J, 1), "")</f>
        <v/>
      </c>
    </row>
    <row r="4635" spans="2:5" x14ac:dyDescent="0.45">
      <c r="B4635" s="1"/>
      <c r="E4635" s="45" t="str">
        <f>IFERROR(AVERAGEIFS('Picarro Output'!G:G, 'Picarro Output'!$B:$B, 'Uncalibrated Data'!$C4635, 'Picarro Output'!$I:$I, 0, 'Picarro Output'!$J:$J, 1), "")</f>
        <v/>
      </c>
    </row>
    <row r="4636" spans="2:5" x14ac:dyDescent="0.45">
      <c r="B4636" s="1"/>
      <c r="E4636" s="45" t="str">
        <f>IFERROR(AVERAGEIFS('Picarro Output'!G:G, 'Picarro Output'!$B:$B, 'Uncalibrated Data'!$C4636, 'Picarro Output'!$I:$I, 0, 'Picarro Output'!$J:$J, 1), "")</f>
        <v/>
      </c>
    </row>
    <row r="4637" spans="2:5" x14ac:dyDescent="0.45">
      <c r="B4637" s="1"/>
      <c r="E4637" s="45" t="str">
        <f>IFERROR(AVERAGEIFS('Picarro Output'!G:G, 'Picarro Output'!$B:$B, 'Uncalibrated Data'!$C4637, 'Picarro Output'!$I:$I, 0, 'Picarro Output'!$J:$J, 1), "")</f>
        <v/>
      </c>
    </row>
    <row r="4638" spans="2:5" x14ac:dyDescent="0.45">
      <c r="B4638" s="1"/>
      <c r="E4638" s="45" t="str">
        <f>IFERROR(AVERAGEIFS('Picarro Output'!G:G, 'Picarro Output'!$B:$B, 'Uncalibrated Data'!$C4638, 'Picarro Output'!$I:$I, 0, 'Picarro Output'!$J:$J, 1), "")</f>
        <v/>
      </c>
    </row>
    <row r="4639" spans="2:5" x14ac:dyDescent="0.45">
      <c r="B4639" s="1"/>
      <c r="E4639" s="45" t="str">
        <f>IFERROR(AVERAGEIFS('Picarro Output'!G:G, 'Picarro Output'!$B:$B, 'Uncalibrated Data'!$C4639, 'Picarro Output'!$I:$I, 0, 'Picarro Output'!$J:$J, 1), "")</f>
        <v/>
      </c>
    </row>
    <row r="4640" spans="2:5" x14ac:dyDescent="0.45">
      <c r="B4640" s="1"/>
      <c r="E4640" s="45" t="str">
        <f>IFERROR(AVERAGEIFS('Picarro Output'!G:G, 'Picarro Output'!$B:$B, 'Uncalibrated Data'!$C4640, 'Picarro Output'!$I:$I, 0, 'Picarro Output'!$J:$J, 1), "")</f>
        <v/>
      </c>
    </row>
    <row r="4641" spans="2:5" x14ac:dyDescent="0.45">
      <c r="B4641" s="1"/>
      <c r="E4641" s="45" t="str">
        <f>IFERROR(AVERAGEIFS('Picarro Output'!G:G, 'Picarro Output'!$B:$B, 'Uncalibrated Data'!$C4641, 'Picarro Output'!$I:$I, 0, 'Picarro Output'!$J:$J, 1), "")</f>
        <v/>
      </c>
    </row>
    <row r="4642" spans="2:5" x14ac:dyDescent="0.45">
      <c r="B4642" s="1"/>
      <c r="E4642" s="45" t="str">
        <f>IFERROR(AVERAGEIFS('Picarro Output'!G:G, 'Picarro Output'!$B:$B, 'Uncalibrated Data'!$C4642, 'Picarro Output'!$I:$I, 0, 'Picarro Output'!$J:$J, 1), "")</f>
        <v/>
      </c>
    </row>
    <row r="4643" spans="2:5" x14ac:dyDescent="0.45">
      <c r="B4643" s="1"/>
      <c r="E4643" s="45" t="str">
        <f>IFERROR(AVERAGEIFS('Picarro Output'!G:G, 'Picarro Output'!$B:$B, 'Uncalibrated Data'!$C4643, 'Picarro Output'!$I:$I, 0, 'Picarro Output'!$J:$J, 1), "")</f>
        <v/>
      </c>
    </row>
    <row r="4644" spans="2:5" x14ac:dyDescent="0.45">
      <c r="B4644" s="1"/>
      <c r="E4644" s="45" t="str">
        <f>IFERROR(AVERAGEIFS('Picarro Output'!G:G, 'Picarro Output'!$B:$B, 'Uncalibrated Data'!$C4644, 'Picarro Output'!$I:$I, 0, 'Picarro Output'!$J:$J, 1), "")</f>
        <v/>
      </c>
    </row>
    <row r="4645" spans="2:5" x14ac:dyDescent="0.45">
      <c r="B4645" s="1"/>
      <c r="E4645" s="45" t="str">
        <f>IFERROR(AVERAGEIFS('Picarro Output'!G:G, 'Picarro Output'!$B:$B, 'Uncalibrated Data'!$C4645, 'Picarro Output'!$I:$I, 0, 'Picarro Output'!$J:$J, 1), "")</f>
        <v/>
      </c>
    </row>
    <row r="4646" spans="2:5" x14ac:dyDescent="0.45">
      <c r="B4646" s="1"/>
      <c r="E4646" s="45" t="str">
        <f>IFERROR(AVERAGEIFS('Picarro Output'!G:G, 'Picarro Output'!$B:$B, 'Uncalibrated Data'!$C4646, 'Picarro Output'!$I:$I, 0, 'Picarro Output'!$J:$J, 1), "")</f>
        <v/>
      </c>
    </row>
    <row r="4647" spans="2:5" x14ac:dyDescent="0.45">
      <c r="B4647" s="1"/>
      <c r="E4647" s="45" t="str">
        <f>IFERROR(AVERAGEIFS('Picarro Output'!G:G, 'Picarro Output'!$B:$B, 'Uncalibrated Data'!$C4647, 'Picarro Output'!$I:$I, 0, 'Picarro Output'!$J:$J, 1), "")</f>
        <v/>
      </c>
    </row>
    <row r="4648" spans="2:5" x14ac:dyDescent="0.45">
      <c r="B4648" s="1"/>
      <c r="E4648" s="45" t="str">
        <f>IFERROR(AVERAGEIFS('Picarro Output'!G:G, 'Picarro Output'!$B:$B, 'Uncalibrated Data'!$C4648, 'Picarro Output'!$I:$I, 0, 'Picarro Output'!$J:$J, 1), "")</f>
        <v/>
      </c>
    </row>
    <row r="4649" spans="2:5" x14ac:dyDescent="0.45">
      <c r="B4649" s="1"/>
      <c r="E4649" s="45" t="str">
        <f>IFERROR(AVERAGEIFS('Picarro Output'!G:G, 'Picarro Output'!$B:$B, 'Uncalibrated Data'!$C4649, 'Picarro Output'!$I:$I, 0, 'Picarro Output'!$J:$J, 1), "")</f>
        <v/>
      </c>
    </row>
    <row r="4650" spans="2:5" x14ac:dyDescent="0.45">
      <c r="B4650" s="1"/>
      <c r="E4650" s="45" t="str">
        <f>IFERROR(AVERAGEIFS('Picarro Output'!G:G, 'Picarro Output'!$B:$B, 'Uncalibrated Data'!$C4650, 'Picarro Output'!$I:$I, 0, 'Picarro Output'!$J:$J, 1), "")</f>
        <v/>
      </c>
    </row>
    <row r="4651" spans="2:5" x14ac:dyDescent="0.45">
      <c r="B4651" s="1"/>
      <c r="E4651" s="45" t="str">
        <f>IFERROR(AVERAGEIFS('Picarro Output'!G:G, 'Picarro Output'!$B:$B, 'Uncalibrated Data'!$C4651, 'Picarro Output'!$I:$I, 0, 'Picarro Output'!$J:$J, 1), "")</f>
        <v/>
      </c>
    </row>
    <row r="4652" spans="2:5" x14ac:dyDescent="0.45">
      <c r="B4652" s="1"/>
      <c r="E4652" s="45" t="str">
        <f>IFERROR(AVERAGEIFS('Picarro Output'!G:G, 'Picarro Output'!$B:$B, 'Uncalibrated Data'!$C4652, 'Picarro Output'!$I:$I, 0, 'Picarro Output'!$J:$J, 1), "")</f>
        <v/>
      </c>
    </row>
    <row r="4653" spans="2:5" x14ac:dyDescent="0.45">
      <c r="B4653" s="1"/>
      <c r="E4653" s="45" t="str">
        <f>IFERROR(AVERAGEIFS('Picarro Output'!G:G, 'Picarro Output'!$B:$B, 'Uncalibrated Data'!$C4653, 'Picarro Output'!$I:$I, 0, 'Picarro Output'!$J:$J, 1), "")</f>
        <v/>
      </c>
    </row>
    <row r="4654" spans="2:5" x14ac:dyDescent="0.45">
      <c r="B4654" s="1"/>
      <c r="E4654" s="45" t="str">
        <f>IFERROR(AVERAGEIFS('Picarro Output'!G:G, 'Picarro Output'!$B:$B, 'Uncalibrated Data'!$C4654, 'Picarro Output'!$I:$I, 0, 'Picarro Output'!$J:$J, 1), "")</f>
        <v/>
      </c>
    </row>
    <row r="4655" spans="2:5" x14ac:dyDescent="0.45">
      <c r="B4655" s="1"/>
      <c r="E4655" s="45" t="str">
        <f>IFERROR(AVERAGEIFS('Picarro Output'!G:G, 'Picarro Output'!$B:$B, 'Uncalibrated Data'!$C4655, 'Picarro Output'!$I:$I, 0, 'Picarro Output'!$J:$J, 1), "")</f>
        <v/>
      </c>
    </row>
    <row r="4656" spans="2:5" x14ac:dyDescent="0.45">
      <c r="B4656" s="1"/>
      <c r="E4656" s="45" t="str">
        <f>IFERROR(AVERAGEIFS('Picarro Output'!G:G, 'Picarro Output'!$B:$B, 'Uncalibrated Data'!$C4656, 'Picarro Output'!$I:$I, 0, 'Picarro Output'!$J:$J, 1), "")</f>
        <v/>
      </c>
    </row>
    <row r="4657" spans="2:5" x14ac:dyDescent="0.45">
      <c r="B4657" s="1"/>
      <c r="E4657" s="45" t="str">
        <f>IFERROR(AVERAGEIFS('Picarro Output'!G:G, 'Picarro Output'!$B:$B, 'Uncalibrated Data'!$C4657, 'Picarro Output'!$I:$I, 0, 'Picarro Output'!$J:$J, 1), "")</f>
        <v/>
      </c>
    </row>
    <row r="4658" spans="2:5" x14ac:dyDescent="0.45">
      <c r="B4658" s="1"/>
      <c r="E4658" s="45" t="str">
        <f>IFERROR(AVERAGEIFS('Picarro Output'!G:G, 'Picarro Output'!$B:$B, 'Uncalibrated Data'!$C4658, 'Picarro Output'!$I:$I, 0, 'Picarro Output'!$J:$J, 1), "")</f>
        <v/>
      </c>
    </row>
    <row r="4659" spans="2:5" x14ac:dyDescent="0.45">
      <c r="B4659" s="1"/>
      <c r="E4659" s="45" t="str">
        <f>IFERROR(AVERAGEIFS('Picarro Output'!G:G, 'Picarro Output'!$B:$B, 'Uncalibrated Data'!$C4659, 'Picarro Output'!$I:$I, 0, 'Picarro Output'!$J:$J, 1), "")</f>
        <v/>
      </c>
    </row>
    <row r="4660" spans="2:5" x14ac:dyDescent="0.45">
      <c r="B4660" s="1"/>
      <c r="E4660" s="45" t="str">
        <f>IFERROR(AVERAGEIFS('Picarro Output'!G:G, 'Picarro Output'!$B:$B, 'Uncalibrated Data'!$C4660, 'Picarro Output'!$I:$I, 0, 'Picarro Output'!$J:$J, 1), "")</f>
        <v/>
      </c>
    </row>
    <row r="4661" spans="2:5" x14ac:dyDescent="0.45">
      <c r="B4661" s="1"/>
      <c r="E4661" s="45" t="str">
        <f>IFERROR(AVERAGEIFS('Picarro Output'!G:G, 'Picarro Output'!$B:$B, 'Uncalibrated Data'!$C4661, 'Picarro Output'!$I:$I, 0, 'Picarro Output'!$J:$J, 1), "")</f>
        <v/>
      </c>
    </row>
    <row r="4662" spans="2:5" x14ac:dyDescent="0.45">
      <c r="B4662" s="1"/>
      <c r="E4662" s="45" t="str">
        <f>IFERROR(AVERAGEIFS('Picarro Output'!G:G, 'Picarro Output'!$B:$B, 'Uncalibrated Data'!$C4662, 'Picarro Output'!$I:$I, 0, 'Picarro Output'!$J:$J, 1), "")</f>
        <v/>
      </c>
    </row>
    <row r="4663" spans="2:5" x14ac:dyDescent="0.45">
      <c r="B4663" s="1"/>
      <c r="E4663" s="45" t="str">
        <f>IFERROR(AVERAGEIFS('Picarro Output'!G:G, 'Picarro Output'!$B:$B, 'Uncalibrated Data'!$C4663, 'Picarro Output'!$I:$I, 0, 'Picarro Output'!$J:$J, 1), "")</f>
        <v/>
      </c>
    </row>
    <row r="4664" spans="2:5" x14ac:dyDescent="0.45">
      <c r="B4664" s="1"/>
      <c r="E4664" s="45" t="str">
        <f>IFERROR(AVERAGEIFS('Picarro Output'!G:G, 'Picarro Output'!$B:$B, 'Uncalibrated Data'!$C4664, 'Picarro Output'!$I:$I, 0, 'Picarro Output'!$J:$J, 1), "")</f>
        <v/>
      </c>
    </row>
    <row r="4665" spans="2:5" x14ac:dyDescent="0.45">
      <c r="B4665" s="1"/>
      <c r="E4665" s="45" t="str">
        <f>IFERROR(AVERAGEIFS('Picarro Output'!G:G, 'Picarro Output'!$B:$B, 'Uncalibrated Data'!$C4665, 'Picarro Output'!$I:$I, 0, 'Picarro Output'!$J:$J, 1), "")</f>
        <v/>
      </c>
    </row>
    <row r="4666" spans="2:5" x14ac:dyDescent="0.45">
      <c r="B4666" s="1"/>
      <c r="E4666" s="45" t="str">
        <f>IFERROR(AVERAGEIFS('Picarro Output'!G:G, 'Picarro Output'!$B:$B, 'Uncalibrated Data'!$C4666, 'Picarro Output'!$I:$I, 0, 'Picarro Output'!$J:$J, 1), "")</f>
        <v/>
      </c>
    </row>
    <row r="4667" spans="2:5" x14ac:dyDescent="0.45">
      <c r="B4667" s="1"/>
      <c r="E4667" s="45" t="str">
        <f>IFERROR(AVERAGEIFS('Picarro Output'!G:G, 'Picarro Output'!$B:$B, 'Uncalibrated Data'!$C4667, 'Picarro Output'!$I:$I, 0, 'Picarro Output'!$J:$J, 1), "")</f>
        <v/>
      </c>
    </row>
    <row r="4668" spans="2:5" x14ac:dyDescent="0.45">
      <c r="B4668" s="1"/>
      <c r="E4668" s="45" t="str">
        <f>IFERROR(AVERAGEIFS('Picarro Output'!G:G, 'Picarro Output'!$B:$B, 'Uncalibrated Data'!$C4668, 'Picarro Output'!$I:$I, 0, 'Picarro Output'!$J:$J, 1), "")</f>
        <v/>
      </c>
    </row>
    <row r="4669" spans="2:5" x14ac:dyDescent="0.45">
      <c r="B4669" s="1"/>
      <c r="E4669" s="45" t="str">
        <f>IFERROR(AVERAGEIFS('Picarro Output'!G:G, 'Picarro Output'!$B:$B, 'Uncalibrated Data'!$C4669, 'Picarro Output'!$I:$I, 0, 'Picarro Output'!$J:$J, 1), "")</f>
        <v/>
      </c>
    </row>
    <row r="4670" spans="2:5" x14ac:dyDescent="0.45">
      <c r="B4670" s="1"/>
      <c r="E4670" s="45" t="str">
        <f>IFERROR(AVERAGEIFS('Picarro Output'!G:G, 'Picarro Output'!$B:$B, 'Uncalibrated Data'!$C4670, 'Picarro Output'!$I:$I, 0, 'Picarro Output'!$J:$J, 1), "")</f>
        <v/>
      </c>
    </row>
    <row r="4671" spans="2:5" x14ac:dyDescent="0.45">
      <c r="B4671" s="1"/>
      <c r="E4671" s="45" t="str">
        <f>IFERROR(AVERAGEIFS('Picarro Output'!G:G, 'Picarro Output'!$B:$B, 'Uncalibrated Data'!$C4671, 'Picarro Output'!$I:$I, 0, 'Picarro Output'!$J:$J, 1), "")</f>
        <v/>
      </c>
    </row>
    <row r="4672" spans="2:5" x14ac:dyDescent="0.45">
      <c r="B4672" s="1"/>
      <c r="E4672" s="45" t="str">
        <f>IFERROR(AVERAGEIFS('Picarro Output'!G:G, 'Picarro Output'!$B:$B, 'Uncalibrated Data'!$C4672, 'Picarro Output'!$I:$I, 0, 'Picarro Output'!$J:$J, 1), "")</f>
        <v/>
      </c>
    </row>
    <row r="4673" spans="2:5" x14ac:dyDescent="0.45">
      <c r="B4673" s="1"/>
      <c r="E4673" s="45" t="str">
        <f>IFERROR(AVERAGEIFS('Picarro Output'!G:G, 'Picarro Output'!$B:$B, 'Uncalibrated Data'!$C4673, 'Picarro Output'!$I:$I, 0, 'Picarro Output'!$J:$J, 1), "")</f>
        <v/>
      </c>
    </row>
    <row r="4674" spans="2:5" x14ac:dyDescent="0.45">
      <c r="B4674" s="1"/>
      <c r="E4674" s="45" t="str">
        <f>IFERROR(AVERAGEIFS('Picarro Output'!G:G, 'Picarro Output'!$B:$B, 'Uncalibrated Data'!$C4674, 'Picarro Output'!$I:$I, 0, 'Picarro Output'!$J:$J, 1), "")</f>
        <v/>
      </c>
    </row>
    <row r="4675" spans="2:5" x14ac:dyDescent="0.45">
      <c r="B4675" s="1"/>
      <c r="E4675" s="45" t="str">
        <f>IFERROR(AVERAGEIFS('Picarro Output'!G:G, 'Picarro Output'!$B:$B, 'Uncalibrated Data'!$C4675, 'Picarro Output'!$I:$I, 0, 'Picarro Output'!$J:$J, 1), "")</f>
        <v/>
      </c>
    </row>
    <row r="4676" spans="2:5" x14ac:dyDescent="0.45">
      <c r="B4676" s="1"/>
      <c r="E4676" s="45" t="str">
        <f>IFERROR(AVERAGEIFS('Picarro Output'!G:G, 'Picarro Output'!$B:$B, 'Uncalibrated Data'!$C4676, 'Picarro Output'!$I:$I, 0, 'Picarro Output'!$J:$J, 1), "")</f>
        <v/>
      </c>
    </row>
    <row r="4677" spans="2:5" x14ac:dyDescent="0.45">
      <c r="B4677" s="1"/>
      <c r="E4677" s="45" t="str">
        <f>IFERROR(AVERAGEIFS('Picarro Output'!G:G, 'Picarro Output'!$B:$B, 'Uncalibrated Data'!$C4677, 'Picarro Output'!$I:$I, 0, 'Picarro Output'!$J:$J, 1), "")</f>
        <v/>
      </c>
    </row>
    <row r="4678" spans="2:5" x14ac:dyDescent="0.45">
      <c r="B4678" s="1"/>
      <c r="E4678" s="45" t="str">
        <f>IFERROR(AVERAGEIFS('Picarro Output'!G:G, 'Picarro Output'!$B:$B, 'Uncalibrated Data'!$C4678, 'Picarro Output'!$I:$I, 0, 'Picarro Output'!$J:$J, 1), "")</f>
        <v/>
      </c>
    </row>
    <row r="4679" spans="2:5" x14ac:dyDescent="0.45">
      <c r="B4679" s="1"/>
      <c r="E4679" s="45" t="str">
        <f>IFERROR(AVERAGEIFS('Picarro Output'!G:G, 'Picarro Output'!$B:$B, 'Uncalibrated Data'!$C4679, 'Picarro Output'!$I:$I, 0, 'Picarro Output'!$J:$J, 1), "")</f>
        <v/>
      </c>
    </row>
    <row r="4680" spans="2:5" x14ac:dyDescent="0.45">
      <c r="B4680" s="1"/>
      <c r="E4680" s="45" t="str">
        <f>IFERROR(AVERAGEIFS('Picarro Output'!G:G, 'Picarro Output'!$B:$B, 'Uncalibrated Data'!$C4680, 'Picarro Output'!$I:$I, 0, 'Picarro Output'!$J:$J, 1), "")</f>
        <v/>
      </c>
    </row>
    <row r="4681" spans="2:5" x14ac:dyDescent="0.45">
      <c r="B4681" s="1"/>
      <c r="E4681" s="45" t="str">
        <f>IFERROR(AVERAGEIFS('Picarro Output'!G:G, 'Picarro Output'!$B:$B, 'Uncalibrated Data'!$C4681, 'Picarro Output'!$I:$I, 0, 'Picarro Output'!$J:$J, 1), "")</f>
        <v/>
      </c>
    </row>
    <row r="4682" spans="2:5" x14ac:dyDescent="0.45">
      <c r="B4682" s="1"/>
      <c r="E4682" s="45" t="str">
        <f>IFERROR(AVERAGEIFS('Picarro Output'!G:G, 'Picarro Output'!$B:$B, 'Uncalibrated Data'!$C4682, 'Picarro Output'!$I:$I, 0, 'Picarro Output'!$J:$J, 1), "")</f>
        <v/>
      </c>
    </row>
    <row r="4683" spans="2:5" x14ac:dyDescent="0.45">
      <c r="B4683" s="1"/>
      <c r="E4683" s="45" t="str">
        <f>IFERROR(AVERAGEIFS('Picarro Output'!G:G, 'Picarro Output'!$B:$B, 'Uncalibrated Data'!$C4683, 'Picarro Output'!$I:$I, 0, 'Picarro Output'!$J:$J, 1), "")</f>
        <v/>
      </c>
    </row>
    <row r="4684" spans="2:5" x14ac:dyDescent="0.45">
      <c r="B4684" s="1"/>
      <c r="E4684" s="45" t="str">
        <f>IFERROR(AVERAGEIFS('Picarro Output'!G:G, 'Picarro Output'!$B:$B, 'Uncalibrated Data'!$C4684, 'Picarro Output'!$I:$I, 0, 'Picarro Output'!$J:$J, 1), "")</f>
        <v/>
      </c>
    </row>
    <row r="4685" spans="2:5" x14ac:dyDescent="0.45">
      <c r="B4685" s="1"/>
      <c r="E4685" s="45" t="str">
        <f>IFERROR(AVERAGEIFS('Picarro Output'!G:G, 'Picarro Output'!$B:$B, 'Uncalibrated Data'!$C4685, 'Picarro Output'!$I:$I, 0, 'Picarro Output'!$J:$J, 1), "")</f>
        <v/>
      </c>
    </row>
    <row r="4686" spans="2:5" x14ac:dyDescent="0.45">
      <c r="B4686" s="1"/>
      <c r="E4686" s="45" t="str">
        <f>IFERROR(AVERAGEIFS('Picarro Output'!G:G, 'Picarro Output'!$B:$B, 'Uncalibrated Data'!$C4686, 'Picarro Output'!$I:$I, 0, 'Picarro Output'!$J:$J, 1), "")</f>
        <v/>
      </c>
    </row>
    <row r="4687" spans="2:5" x14ac:dyDescent="0.45">
      <c r="B4687" s="1"/>
      <c r="E4687" s="45" t="str">
        <f>IFERROR(AVERAGEIFS('Picarro Output'!G:G, 'Picarro Output'!$B:$B, 'Uncalibrated Data'!$C4687, 'Picarro Output'!$I:$I, 0, 'Picarro Output'!$J:$J, 1), "")</f>
        <v/>
      </c>
    </row>
    <row r="4688" spans="2:5" x14ac:dyDescent="0.45">
      <c r="B4688" s="1"/>
      <c r="E4688" s="45" t="str">
        <f>IFERROR(AVERAGEIFS('Picarro Output'!G:G, 'Picarro Output'!$B:$B, 'Uncalibrated Data'!$C4688, 'Picarro Output'!$I:$I, 0, 'Picarro Output'!$J:$J, 1), "")</f>
        <v/>
      </c>
    </row>
    <row r="4689" spans="2:5" x14ac:dyDescent="0.45">
      <c r="B4689" s="1"/>
      <c r="E4689" s="45" t="str">
        <f>IFERROR(AVERAGEIFS('Picarro Output'!G:G, 'Picarro Output'!$B:$B, 'Uncalibrated Data'!$C4689, 'Picarro Output'!$I:$I, 0, 'Picarro Output'!$J:$J, 1), "")</f>
        <v/>
      </c>
    </row>
    <row r="4690" spans="2:5" x14ac:dyDescent="0.45">
      <c r="B4690" s="1"/>
      <c r="E4690" s="45" t="str">
        <f>IFERROR(AVERAGEIFS('Picarro Output'!G:G, 'Picarro Output'!$B:$B, 'Uncalibrated Data'!$C4690, 'Picarro Output'!$I:$I, 0, 'Picarro Output'!$J:$J, 1), "")</f>
        <v/>
      </c>
    </row>
    <row r="4691" spans="2:5" x14ac:dyDescent="0.45">
      <c r="B4691" s="1"/>
      <c r="E4691" s="45" t="str">
        <f>IFERROR(AVERAGEIFS('Picarro Output'!G:G, 'Picarro Output'!$B:$B, 'Uncalibrated Data'!$C4691, 'Picarro Output'!$I:$I, 0, 'Picarro Output'!$J:$J, 1), "")</f>
        <v/>
      </c>
    </row>
    <row r="4692" spans="2:5" x14ac:dyDescent="0.45">
      <c r="B4692" s="1"/>
      <c r="E4692" s="45" t="str">
        <f>IFERROR(AVERAGEIFS('Picarro Output'!G:G, 'Picarro Output'!$B:$B, 'Uncalibrated Data'!$C4692, 'Picarro Output'!$I:$I, 0, 'Picarro Output'!$J:$J, 1), "")</f>
        <v/>
      </c>
    </row>
    <row r="4693" spans="2:5" x14ac:dyDescent="0.45">
      <c r="B4693" s="1"/>
      <c r="E4693" s="45" t="str">
        <f>IFERROR(AVERAGEIFS('Picarro Output'!G:G, 'Picarro Output'!$B:$B, 'Uncalibrated Data'!$C4693, 'Picarro Output'!$I:$I, 0, 'Picarro Output'!$J:$J, 1), "")</f>
        <v/>
      </c>
    </row>
    <row r="4694" spans="2:5" x14ac:dyDescent="0.45">
      <c r="B4694" s="1"/>
      <c r="E4694" s="45" t="str">
        <f>IFERROR(AVERAGEIFS('Picarro Output'!G:G, 'Picarro Output'!$B:$B, 'Uncalibrated Data'!$C4694, 'Picarro Output'!$I:$I, 0, 'Picarro Output'!$J:$J, 1), "")</f>
        <v/>
      </c>
    </row>
    <row r="4695" spans="2:5" x14ac:dyDescent="0.45">
      <c r="B4695" s="1"/>
      <c r="E4695" s="45" t="str">
        <f>IFERROR(AVERAGEIFS('Picarro Output'!G:G, 'Picarro Output'!$B:$B, 'Uncalibrated Data'!$C4695, 'Picarro Output'!$I:$I, 0, 'Picarro Output'!$J:$J, 1), "")</f>
        <v/>
      </c>
    </row>
    <row r="4696" spans="2:5" x14ac:dyDescent="0.45">
      <c r="B4696" s="1"/>
      <c r="E4696" s="45" t="str">
        <f>IFERROR(AVERAGEIFS('Picarro Output'!G:G, 'Picarro Output'!$B:$B, 'Uncalibrated Data'!$C4696, 'Picarro Output'!$I:$I, 0, 'Picarro Output'!$J:$J, 1), "")</f>
        <v/>
      </c>
    </row>
    <row r="4697" spans="2:5" x14ac:dyDescent="0.45">
      <c r="B4697" s="1"/>
      <c r="E4697" s="45" t="str">
        <f>IFERROR(AVERAGEIFS('Picarro Output'!G:G, 'Picarro Output'!$B:$B, 'Uncalibrated Data'!$C4697, 'Picarro Output'!$I:$I, 0, 'Picarro Output'!$J:$J, 1), "")</f>
        <v/>
      </c>
    </row>
    <row r="4698" spans="2:5" x14ac:dyDescent="0.45">
      <c r="B4698" s="1"/>
      <c r="E4698" s="45" t="str">
        <f>IFERROR(AVERAGEIFS('Picarro Output'!G:G, 'Picarro Output'!$B:$B, 'Uncalibrated Data'!$C4698, 'Picarro Output'!$I:$I, 0, 'Picarro Output'!$J:$J, 1), "")</f>
        <v/>
      </c>
    </row>
    <row r="4699" spans="2:5" x14ac:dyDescent="0.45">
      <c r="B4699" s="1"/>
      <c r="E4699" s="45" t="str">
        <f>IFERROR(AVERAGEIFS('Picarro Output'!G:G, 'Picarro Output'!$B:$B, 'Uncalibrated Data'!$C4699, 'Picarro Output'!$I:$I, 0, 'Picarro Output'!$J:$J, 1), "")</f>
        <v/>
      </c>
    </row>
    <row r="4700" spans="2:5" x14ac:dyDescent="0.45">
      <c r="B4700" s="1"/>
      <c r="E4700" s="45" t="str">
        <f>IFERROR(AVERAGEIFS('Picarro Output'!G:G, 'Picarro Output'!$B:$B, 'Uncalibrated Data'!$C4700, 'Picarro Output'!$I:$I, 0, 'Picarro Output'!$J:$J, 1), "")</f>
        <v/>
      </c>
    </row>
    <row r="4701" spans="2:5" x14ac:dyDescent="0.45">
      <c r="B4701" s="1"/>
      <c r="E4701" s="45" t="str">
        <f>IFERROR(AVERAGEIFS('Picarro Output'!G:G, 'Picarro Output'!$B:$B, 'Uncalibrated Data'!$C4701, 'Picarro Output'!$I:$I, 0, 'Picarro Output'!$J:$J, 1), "")</f>
        <v/>
      </c>
    </row>
    <row r="4702" spans="2:5" x14ac:dyDescent="0.45">
      <c r="B4702" s="1"/>
      <c r="E4702" s="45" t="str">
        <f>IFERROR(AVERAGEIFS('Picarro Output'!G:G, 'Picarro Output'!$B:$B, 'Uncalibrated Data'!$C4702, 'Picarro Output'!$I:$I, 0, 'Picarro Output'!$J:$J, 1), "")</f>
        <v/>
      </c>
    </row>
    <row r="4703" spans="2:5" x14ac:dyDescent="0.45">
      <c r="B4703" s="1"/>
      <c r="E4703" s="45" t="str">
        <f>IFERROR(AVERAGEIFS('Picarro Output'!G:G, 'Picarro Output'!$B:$B, 'Uncalibrated Data'!$C4703, 'Picarro Output'!$I:$I, 0, 'Picarro Output'!$J:$J, 1), "")</f>
        <v/>
      </c>
    </row>
    <row r="4704" spans="2:5" x14ac:dyDescent="0.45">
      <c r="B4704" s="1"/>
      <c r="E4704" s="45" t="str">
        <f>IFERROR(AVERAGEIFS('Picarro Output'!G:G, 'Picarro Output'!$B:$B, 'Uncalibrated Data'!$C4704, 'Picarro Output'!$I:$I, 0, 'Picarro Output'!$J:$J, 1), "")</f>
        <v/>
      </c>
    </row>
    <row r="4705" spans="2:5" x14ac:dyDescent="0.45">
      <c r="B4705" s="1"/>
      <c r="E4705" s="45" t="str">
        <f>IFERROR(AVERAGEIFS('Picarro Output'!G:G, 'Picarro Output'!$B:$B, 'Uncalibrated Data'!$C4705, 'Picarro Output'!$I:$I, 0, 'Picarro Output'!$J:$J, 1), "")</f>
        <v/>
      </c>
    </row>
    <row r="4706" spans="2:5" x14ac:dyDescent="0.45">
      <c r="B4706" s="1"/>
      <c r="E4706" s="45" t="str">
        <f>IFERROR(AVERAGEIFS('Picarro Output'!G:G, 'Picarro Output'!$B:$B, 'Uncalibrated Data'!$C4706, 'Picarro Output'!$I:$I, 0, 'Picarro Output'!$J:$J, 1), "")</f>
        <v/>
      </c>
    </row>
    <row r="4707" spans="2:5" x14ac:dyDescent="0.45">
      <c r="B4707" s="1"/>
      <c r="E4707" s="45" t="str">
        <f>IFERROR(AVERAGEIFS('Picarro Output'!G:G, 'Picarro Output'!$B:$B, 'Uncalibrated Data'!$C4707, 'Picarro Output'!$I:$I, 0, 'Picarro Output'!$J:$J, 1), "")</f>
        <v/>
      </c>
    </row>
    <row r="4708" spans="2:5" x14ac:dyDescent="0.45">
      <c r="B4708" s="1"/>
      <c r="E4708" s="45" t="str">
        <f>IFERROR(AVERAGEIFS('Picarro Output'!G:G, 'Picarro Output'!$B:$B, 'Uncalibrated Data'!$C4708, 'Picarro Output'!$I:$I, 0, 'Picarro Output'!$J:$J, 1), "")</f>
        <v/>
      </c>
    </row>
    <row r="4709" spans="2:5" x14ac:dyDescent="0.45">
      <c r="B4709" s="1"/>
      <c r="E4709" s="45" t="str">
        <f>IFERROR(AVERAGEIFS('Picarro Output'!G:G, 'Picarro Output'!$B:$B, 'Uncalibrated Data'!$C4709, 'Picarro Output'!$I:$I, 0, 'Picarro Output'!$J:$J, 1), "")</f>
        <v/>
      </c>
    </row>
    <row r="4710" spans="2:5" x14ac:dyDescent="0.45">
      <c r="B4710" s="1"/>
      <c r="E4710" s="45" t="str">
        <f>IFERROR(AVERAGEIFS('Picarro Output'!G:G, 'Picarro Output'!$B:$B, 'Uncalibrated Data'!$C4710, 'Picarro Output'!$I:$I, 0, 'Picarro Output'!$J:$J, 1), "")</f>
        <v/>
      </c>
    </row>
    <row r="4711" spans="2:5" x14ac:dyDescent="0.45">
      <c r="B4711" s="1"/>
      <c r="E4711" s="45" t="str">
        <f>IFERROR(AVERAGEIFS('Picarro Output'!G:G, 'Picarro Output'!$B:$B, 'Uncalibrated Data'!$C4711, 'Picarro Output'!$I:$I, 0, 'Picarro Output'!$J:$J, 1), "")</f>
        <v/>
      </c>
    </row>
    <row r="4712" spans="2:5" x14ac:dyDescent="0.45">
      <c r="B4712" s="1"/>
      <c r="E4712" s="45" t="str">
        <f>IFERROR(AVERAGEIFS('Picarro Output'!G:G, 'Picarro Output'!$B:$B, 'Uncalibrated Data'!$C4712, 'Picarro Output'!$I:$I, 0, 'Picarro Output'!$J:$J, 1), "")</f>
        <v/>
      </c>
    </row>
    <row r="4713" spans="2:5" x14ac:dyDescent="0.45">
      <c r="B4713" s="1"/>
      <c r="E4713" s="45" t="str">
        <f>IFERROR(AVERAGEIFS('Picarro Output'!G:G, 'Picarro Output'!$B:$B, 'Uncalibrated Data'!$C4713, 'Picarro Output'!$I:$I, 0, 'Picarro Output'!$J:$J, 1), "")</f>
        <v/>
      </c>
    </row>
    <row r="4714" spans="2:5" x14ac:dyDescent="0.45">
      <c r="B4714" s="1"/>
      <c r="E4714" s="45" t="str">
        <f>IFERROR(AVERAGEIFS('Picarro Output'!G:G, 'Picarro Output'!$B:$B, 'Uncalibrated Data'!$C4714, 'Picarro Output'!$I:$I, 0, 'Picarro Output'!$J:$J, 1), "")</f>
        <v/>
      </c>
    </row>
    <row r="4715" spans="2:5" x14ac:dyDescent="0.45">
      <c r="B4715" s="1"/>
      <c r="E4715" s="45" t="str">
        <f>IFERROR(AVERAGEIFS('Picarro Output'!G:G, 'Picarro Output'!$B:$B, 'Uncalibrated Data'!$C4715, 'Picarro Output'!$I:$I, 0, 'Picarro Output'!$J:$J, 1), "")</f>
        <v/>
      </c>
    </row>
    <row r="4716" spans="2:5" x14ac:dyDescent="0.45">
      <c r="B4716" s="1"/>
      <c r="E4716" s="45" t="str">
        <f>IFERROR(AVERAGEIFS('Picarro Output'!G:G, 'Picarro Output'!$B:$B, 'Uncalibrated Data'!$C4716, 'Picarro Output'!$I:$I, 0, 'Picarro Output'!$J:$J, 1), "")</f>
        <v/>
      </c>
    </row>
    <row r="4717" spans="2:5" x14ac:dyDescent="0.45">
      <c r="B4717" s="1"/>
      <c r="E4717" s="45" t="str">
        <f>IFERROR(AVERAGEIFS('Picarro Output'!G:G, 'Picarro Output'!$B:$B, 'Uncalibrated Data'!$C4717, 'Picarro Output'!$I:$I, 0, 'Picarro Output'!$J:$J, 1), "")</f>
        <v/>
      </c>
    </row>
    <row r="4718" spans="2:5" x14ac:dyDescent="0.45">
      <c r="B4718" s="1"/>
      <c r="E4718" s="45" t="str">
        <f>IFERROR(AVERAGEIFS('Picarro Output'!G:G, 'Picarro Output'!$B:$B, 'Uncalibrated Data'!$C4718, 'Picarro Output'!$I:$I, 0, 'Picarro Output'!$J:$J, 1), "")</f>
        <v/>
      </c>
    </row>
    <row r="4719" spans="2:5" x14ac:dyDescent="0.45">
      <c r="B4719" s="1"/>
      <c r="E4719" s="45" t="str">
        <f>IFERROR(AVERAGEIFS('Picarro Output'!G:G, 'Picarro Output'!$B:$B, 'Uncalibrated Data'!$C4719, 'Picarro Output'!$I:$I, 0, 'Picarro Output'!$J:$J, 1), "")</f>
        <v/>
      </c>
    </row>
    <row r="4720" spans="2:5" x14ac:dyDescent="0.45">
      <c r="B4720" s="1"/>
      <c r="E4720" s="45" t="str">
        <f>IFERROR(AVERAGEIFS('Picarro Output'!G:G, 'Picarro Output'!$B:$B, 'Uncalibrated Data'!$C4720, 'Picarro Output'!$I:$I, 0, 'Picarro Output'!$J:$J, 1), "")</f>
        <v/>
      </c>
    </row>
    <row r="4721" spans="2:5" x14ac:dyDescent="0.45">
      <c r="B4721" s="1"/>
      <c r="E4721" s="45" t="str">
        <f>IFERROR(AVERAGEIFS('Picarro Output'!G:G, 'Picarro Output'!$B:$B, 'Uncalibrated Data'!$C4721, 'Picarro Output'!$I:$I, 0, 'Picarro Output'!$J:$J, 1), "")</f>
        <v/>
      </c>
    </row>
    <row r="4722" spans="2:5" x14ac:dyDescent="0.45">
      <c r="B4722" s="1"/>
      <c r="E4722" s="45" t="str">
        <f>IFERROR(AVERAGEIFS('Picarro Output'!G:G, 'Picarro Output'!$B:$B, 'Uncalibrated Data'!$C4722, 'Picarro Output'!$I:$I, 0, 'Picarro Output'!$J:$J, 1), "")</f>
        <v/>
      </c>
    </row>
    <row r="4723" spans="2:5" x14ac:dyDescent="0.45">
      <c r="B4723" s="1"/>
      <c r="E4723" s="45" t="str">
        <f>IFERROR(AVERAGEIFS('Picarro Output'!G:G, 'Picarro Output'!$B:$B, 'Uncalibrated Data'!$C4723, 'Picarro Output'!$I:$I, 0, 'Picarro Output'!$J:$J, 1), "")</f>
        <v/>
      </c>
    </row>
    <row r="4724" spans="2:5" x14ac:dyDescent="0.45">
      <c r="B4724" s="1"/>
      <c r="E4724" s="45" t="str">
        <f>IFERROR(AVERAGEIFS('Picarro Output'!G:G, 'Picarro Output'!$B:$B, 'Uncalibrated Data'!$C4724, 'Picarro Output'!$I:$I, 0, 'Picarro Output'!$J:$J, 1), "")</f>
        <v/>
      </c>
    </row>
    <row r="4725" spans="2:5" x14ac:dyDescent="0.45">
      <c r="B4725" s="1"/>
      <c r="E4725" s="45" t="str">
        <f>IFERROR(AVERAGEIFS('Picarro Output'!G:G, 'Picarro Output'!$B:$B, 'Uncalibrated Data'!$C4725, 'Picarro Output'!$I:$I, 0, 'Picarro Output'!$J:$J, 1), "")</f>
        <v/>
      </c>
    </row>
    <row r="4726" spans="2:5" x14ac:dyDescent="0.45">
      <c r="B4726" s="1"/>
      <c r="E4726" s="45" t="str">
        <f>IFERROR(AVERAGEIFS('Picarro Output'!G:G, 'Picarro Output'!$B:$B, 'Uncalibrated Data'!$C4726, 'Picarro Output'!$I:$I, 0, 'Picarro Output'!$J:$J, 1), "")</f>
        <v/>
      </c>
    </row>
    <row r="4727" spans="2:5" x14ac:dyDescent="0.45">
      <c r="B4727" s="1"/>
      <c r="E4727" s="45" t="str">
        <f>IFERROR(AVERAGEIFS('Picarro Output'!G:G, 'Picarro Output'!$B:$B, 'Uncalibrated Data'!$C4727, 'Picarro Output'!$I:$I, 0, 'Picarro Output'!$J:$J, 1), "")</f>
        <v/>
      </c>
    </row>
    <row r="4728" spans="2:5" x14ac:dyDescent="0.45">
      <c r="B4728" s="1"/>
      <c r="E4728" s="45" t="str">
        <f>IFERROR(AVERAGEIFS('Picarro Output'!G:G, 'Picarro Output'!$B:$B, 'Uncalibrated Data'!$C4728, 'Picarro Output'!$I:$I, 0, 'Picarro Output'!$J:$J, 1), "")</f>
        <v/>
      </c>
    </row>
    <row r="4729" spans="2:5" x14ac:dyDescent="0.45">
      <c r="B4729" s="1"/>
      <c r="E4729" s="45" t="str">
        <f>IFERROR(AVERAGEIFS('Picarro Output'!G:G, 'Picarro Output'!$B:$B, 'Uncalibrated Data'!$C4729, 'Picarro Output'!$I:$I, 0, 'Picarro Output'!$J:$J, 1), "")</f>
        <v/>
      </c>
    </row>
    <row r="4730" spans="2:5" x14ac:dyDescent="0.45">
      <c r="B4730" s="1"/>
      <c r="E4730" s="45" t="str">
        <f>IFERROR(AVERAGEIFS('Picarro Output'!G:G, 'Picarro Output'!$B:$B, 'Uncalibrated Data'!$C4730, 'Picarro Output'!$I:$I, 0, 'Picarro Output'!$J:$J, 1), "")</f>
        <v/>
      </c>
    </row>
    <row r="4731" spans="2:5" x14ac:dyDescent="0.45">
      <c r="B4731" s="1"/>
      <c r="E4731" s="45" t="str">
        <f>IFERROR(AVERAGEIFS('Picarro Output'!G:G, 'Picarro Output'!$B:$B, 'Uncalibrated Data'!$C4731, 'Picarro Output'!$I:$I, 0, 'Picarro Output'!$J:$J, 1), "")</f>
        <v/>
      </c>
    </row>
    <row r="4732" spans="2:5" x14ac:dyDescent="0.45">
      <c r="B4732" s="1"/>
      <c r="E4732" s="45" t="str">
        <f>IFERROR(AVERAGEIFS('Picarro Output'!G:G, 'Picarro Output'!$B:$B, 'Uncalibrated Data'!$C4732, 'Picarro Output'!$I:$I, 0, 'Picarro Output'!$J:$J, 1), "")</f>
        <v/>
      </c>
    </row>
    <row r="4733" spans="2:5" x14ac:dyDescent="0.45">
      <c r="B4733" s="1"/>
      <c r="E4733" s="45" t="str">
        <f>IFERROR(AVERAGEIFS('Picarro Output'!G:G, 'Picarro Output'!$B:$B, 'Uncalibrated Data'!$C4733, 'Picarro Output'!$I:$I, 0, 'Picarro Output'!$J:$J, 1), "")</f>
        <v/>
      </c>
    </row>
    <row r="4734" spans="2:5" x14ac:dyDescent="0.45">
      <c r="B4734" s="1"/>
      <c r="E4734" s="45" t="str">
        <f>IFERROR(AVERAGEIFS('Picarro Output'!G:G, 'Picarro Output'!$B:$B, 'Uncalibrated Data'!$C4734, 'Picarro Output'!$I:$I, 0, 'Picarro Output'!$J:$J, 1), "")</f>
        <v/>
      </c>
    </row>
    <row r="4735" spans="2:5" x14ac:dyDescent="0.45">
      <c r="B4735" s="1"/>
      <c r="E4735" s="45" t="str">
        <f>IFERROR(AVERAGEIFS('Picarro Output'!G:G, 'Picarro Output'!$B:$B, 'Uncalibrated Data'!$C4735, 'Picarro Output'!$I:$I, 0, 'Picarro Output'!$J:$J, 1), "")</f>
        <v/>
      </c>
    </row>
    <row r="4736" spans="2:5" x14ac:dyDescent="0.45">
      <c r="B4736" s="1"/>
      <c r="E4736" s="45" t="str">
        <f>IFERROR(AVERAGEIFS('Picarro Output'!G:G, 'Picarro Output'!$B:$B, 'Uncalibrated Data'!$C4736, 'Picarro Output'!$I:$I, 0, 'Picarro Output'!$J:$J, 1), "")</f>
        <v/>
      </c>
    </row>
    <row r="4737" spans="2:5" x14ac:dyDescent="0.45">
      <c r="B4737" s="1"/>
      <c r="E4737" s="45" t="str">
        <f>IFERROR(AVERAGEIFS('Picarro Output'!G:G, 'Picarro Output'!$B:$B, 'Uncalibrated Data'!$C4737, 'Picarro Output'!$I:$I, 0, 'Picarro Output'!$J:$J, 1), "")</f>
        <v/>
      </c>
    </row>
    <row r="4738" spans="2:5" x14ac:dyDescent="0.45">
      <c r="B4738" s="1"/>
      <c r="E4738" s="45" t="str">
        <f>IFERROR(AVERAGEIFS('Picarro Output'!G:G, 'Picarro Output'!$B:$B, 'Uncalibrated Data'!$C4738, 'Picarro Output'!$I:$I, 0, 'Picarro Output'!$J:$J, 1), "")</f>
        <v/>
      </c>
    </row>
    <row r="4739" spans="2:5" x14ac:dyDescent="0.45">
      <c r="B4739" s="1"/>
      <c r="E4739" s="45" t="str">
        <f>IFERROR(AVERAGEIFS('Picarro Output'!G:G, 'Picarro Output'!$B:$B, 'Uncalibrated Data'!$C4739, 'Picarro Output'!$I:$I, 0, 'Picarro Output'!$J:$J, 1), "")</f>
        <v/>
      </c>
    </row>
    <row r="4740" spans="2:5" x14ac:dyDescent="0.45">
      <c r="B4740" s="1"/>
      <c r="E4740" s="45" t="str">
        <f>IFERROR(AVERAGEIFS('Picarro Output'!G:G, 'Picarro Output'!$B:$B, 'Uncalibrated Data'!$C4740, 'Picarro Output'!$I:$I, 0, 'Picarro Output'!$J:$J, 1), "")</f>
        <v/>
      </c>
    </row>
    <row r="4741" spans="2:5" x14ac:dyDescent="0.45">
      <c r="B4741" s="1"/>
      <c r="E4741" s="45" t="str">
        <f>IFERROR(AVERAGEIFS('Picarro Output'!G:G, 'Picarro Output'!$B:$B, 'Uncalibrated Data'!$C4741, 'Picarro Output'!$I:$I, 0, 'Picarro Output'!$J:$J, 1), "")</f>
        <v/>
      </c>
    </row>
    <row r="4742" spans="2:5" x14ac:dyDescent="0.45">
      <c r="B4742" s="1"/>
      <c r="E4742" s="45" t="str">
        <f>IFERROR(AVERAGEIFS('Picarro Output'!G:G, 'Picarro Output'!$B:$B, 'Uncalibrated Data'!$C4742, 'Picarro Output'!$I:$I, 0, 'Picarro Output'!$J:$J, 1), "")</f>
        <v/>
      </c>
    </row>
    <row r="4743" spans="2:5" x14ac:dyDescent="0.45">
      <c r="B4743" s="1"/>
      <c r="E4743" s="45" t="str">
        <f>IFERROR(AVERAGEIFS('Picarro Output'!G:G, 'Picarro Output'!$B:$B, 'Uncalibrated Data'!$C4743, 'Picarro Output'!$I:$I, 0, 'Picarro Output'!$J:$J, 1), "")</f>
        <v/>
      </c>
    </row>
    <row r="4744" spans="2:5" x14ac:dyDescent="0.45">
      <c r="B4744" s="1"/>
      <c r="E4744" s="45" t="str">
        <f>IFERROR(AVERAGEIFS('Picarro Output'!G:G, 'Picarro Output'!$B:$B, 'Uncalibrated Data'!$C4744, 'Picarro Output'!$I:$I, 0, 'Picarro Output'!$J:$J, 1), "")</f>
        <v/>
      </c>
    </row>
    <row r="4745" spans="2:5" x14ac:dyDescent="0.45">
      <c r="B4745" s="1"/>
      <c r="E4745" s="45" t="str">
        <f>IFERROR(AVERAGEIFS('Picarro Output'!G:G, 'Picarro Output'!$B:$B, 'Uncalibrated Data'!$C4745, 'Picarro Output'!$I:$I, 0, 'Picarro Output'!$J:$J, 1), "")</f>
        <v/>
      </c>
    </row>
    <row r="4746" spans="2:5" x14ac:dyDescent="0.45">
      <c r="B4746" s="1"/>
      <c r="E4746" s="45" t="str">
        <f>IFERROR(AVERAGEIFS('Picarro Output'!G:G, 'Picarro Output'!$B:$B, 'Uncalibrated Data'!$C4746, 'Picarro Output'!$I:$I, 0, 'Picarro Output'!$J:$J, 1), "")</f>
        <v/>
      </c>
    </row>
    <row r="4747" spans="2:5" x14ac:dyDescent="0.45">
      <c r="B4747" s="1"/>
      <c r="E4747" s="45" t="str">
        <f>IFERROR(AVERAGEIFS('Picarro Output'!G:G, 'Picarro Output'!$B:$B, 'Uncalibrated Data'!$C4747, 'Picarro Output'!$I:$I, 0, 'Picarro Output'!$J:$J, 1), "")</f>
        <v/>
      </c>
    </row>
    <row r="4748" spans="2:5" x14ac:dyDescent="0.45">
      <c r="B4748" s="1"/>
      <c r="E4748" s="45" t="str">
        <f>IFERROR(AVERAGEIFS('Picarro Output'!G:G, 'Picarro Output'!$B:$B, 'Uncalibrated Data'!$C4748, 'Picarro Output'!$I:$I, 0, 'Picarro Output'!$J:$J, 1), "")</f>
        <v/>
      </c>
    </row>
    <row r="4749" spans="2:5" x14ac:dyDescent="0.45">
      <c r="B4749" s="1"/>
      <c r="E4749" s="45" t="str">
        <f>IFERROR(AVERAGEIFS('Picarro Output'!G:G, 'Picarro Output'!$B:$B, 'Uncalibrated Data'!$C4749, 'Picarro Output'!$I:$I, 0, 'Picarro Output'!$J:$J, 1), "")</f>
        <v/>
      </c>
    </row>
    <row r="4750" spans="2:5" x14ac:dyDescent="0.45">
      <c r="B4750" s="1"/>
      <c r="E4750" s="45" t="str">
        <f>IFERROR(AVERAGEIFS('Picarro Output'!G:G, 'Picarro Output'!$B:$B, 'Uncalibrated Data'!$C4750, 'Picarro Output'!$I:$I, 0, 'Picarro Output'!$J:$J, 1), "")</f>
        <v/>
      </c>
    </row>
    <row r="4751" spans="2:5" x14ac:dyDescent="0.45">
      <c r="B4751" s="1"/>
      <c r="E4751" s="45" t="str">
        <f>IFERROR(AVERAGEIFS('Picarro Output'!G:G, 'Picarro Output'!$B:$B, 'Uncalibrated Data'!$C4751, 'Picarro Output'!$I:$I, 0, 'Picarro Output'!$J:$J, 1), "")</f>
        <v/>
      </c>
    </row>
    <row r="4752" spans="2:5" x14ac:dyDescent="0.45">
      <c r="B4752" s="1"/>
      <c r="E4752" s="45" t="str">
        <f>IFERROR(AVERAGEIFS('Picarro Output'!G:G, 'Picarro Output'!$B:$B, 'Uncalibrated Data'!$C4752, 'Picarro Output'!$I:$I, 0, 'Picarro Output'!$J:$J, 1), "")</f>
        <v/>
      </c>
    </row>
    <row r="4753" spans="2:5" x14ac:dyDescent="0.45">
      <c r="B4753" s="1"/>
      <c r="E4753" s="45" t="str">
        <f>IFERROR(AVERAGEIFS('Picarro Output'!G:G, 'Picarro Output'!$B:$B, 'Uncalibrated Data'!$C4753, 'Picarro Output'!$I:$I, 0, 'Picarro Output'!$J:$J, 1), "")</f>
        <v/>
      </c>
    </row>
    <row r="4754" spans="2:5" x14ac:dyDescent="0.45">
      <c r="B4754" s="1"/>
      <c r="E4754" s="45" t="str">
        <f>IFERROR(AVERAGEIFS('Picarro Output'!G:G, 'Picarro Output'!$B:$B, 'Uncalibrated Data'!$C4754, 'Picarro Output'!$I:$I, 0, 'Picarro Output'!$J:$J, 1), "")</f>
        <v/>
      </c>
    </row>
    <row r="4755" spans="2:5" x14ac:dyDescent="0.45">
      <c r="B4755" s="1"/>
      <c r="E4755" s="45" t="str">
        <f>IFERROR(AVERAGEIFS('Picarro Output'!G:G, 'Picarro Output'!$B:$B, 'Uncalibrated Data'!$C4755, 'Picarro Output'!$I:$I, 0, 'Picarro Output'!$J:$J, 1), "")</f>
        <v/>
      </c>
    </row>
    <row r="4756" spans="2:5" x14ac:dyDescent="0.45">
      <c r="B4756" s="1"/>
      <c r="E4756" s="45" t="str">
        <f>IFERROR(AVERAGEIFS('Picarro Output'!G:G, 'Picarro Output'!$B:$B, 'Uncalibrated Data'!$C4756, 'Picarro Output'!$I:$I, 0, 'Picarro Output'!$J:$J, 1), "")</f>
        <v/>
      </c>
    </row>
    <row r="4757" spans="2:5" x14ac:dyDescent="0.45">
      <c r="B4757" s="1"/>
      <c r="E4757" s="45" t="str">
        <f>IFERROR(AVERAGEIFS('Picarro Output'!G:G, 'Picarro Output'!$B:$B, 'Uncalibrated Data'!$C4757, 'Picarro Output'!$I:$I, 0, 'Picarro Output'!$J:$J, 1), "")</f>
        <v/>
      </c>
    </row>
    <row r="4758" spans="2:5" x14ac:dyDescent="0.45">
      <c r="B4758" s="1"/>
      <c r="E4758" s="45" t="str">
        <f>IFERROR(AVERAGEIFS('Picarro Output'!G:G, 'Picarro Output'!$B:$B, 'Uncalibrated Data'!$C4758, 'Picarro Output'!$I:$I, 0, 'Picarro Output'!$J:$J, 1), "")</f>
        <v/>
      </c>
    </row>
    <row r="4759" spans="2:5" x14ac:dyDescent="0.45">
      <c r="B4759" s="1"/>
      <c r="E4759" s="45" t="str">
        <f>IFERROR(AVERAGEIFS('Picarro Output'!G:G, 'Picarro Output'!$B:$B, 'Uncalibrated Data'!$C4759, 'Picarro Output'!$I:$I, 0, 'Picarro Output'!$J:$J, 1), "")</f>
        <v/>
      </c>
    </row>
    <row r="4760" spans="2:5" x14ac:dyDescent="0.45">
      <c r="B4760" s="1"/>
      <c r="E4760" s="45" t="str">
        <f>IFERROR(AVERAGEIFS('Picarro Output'!G:G, 'Picarro Output'!$B:$B, 'Uncalibrated Data'!$C4760, 'Picarro Output'!$I:$I, 0, 'Picarro Output'!$J:$J, 1), "")</f>
        <v/>
      </c>
    </row>
    <row r="4761" spans="2:5" x14ac:dyDescent="0.45">
      <c r="B4761" s="1"/>
      <c r="E4761" s="45" t="str">
        <f>IFERROR(AVERAGEIFS('Picarro Output'!G:G, 'Picarro Output'!$B:$B, 'Uncalibrated Data'!$C4761, 'Picarro Output'!$I:$I, 0, 'Picarro Output'!$J:$J, 1), "")</f>
        <v/>
      </c>
    </row>
    <row r="4762" spans="2:5" x14ac:dyDescent="0.45">
      <c r="B4762" s="1"/>
      <c r="E4762" s="45" t="str">
        <f>IFERROR(AVERAGEIFS('Picarro Output'!G:G, 'Picarro Output'!$B:$B, 'Uncalibrated Data'!$C4762, 'Picarro Output'!$I:$I, 0, 'Picarro Output'!$J:$J, 1), "")</f>
        <v/>
      </c>
    </row>
    <row r="4763" spans="2:5" x14ac:dyDescent="0.45">
      <c r="B4763" s="1"/>
      <c r="E4763" s="45" t="str">
        <f>IFERROR(AVERAGEIFS('Picarro Output'!G:G, 'Picarro Output'!$B:$B, 'Uncalibrated Data'!$C4763, 'Picarro Output'!$I:$I, 0, 'Picarro Output'!$J:$J, 1), "")</f>
        <v/>
      </c>
    </row>
    <row r="4764" spans="2:5" x14ac:dyDescent="0.45">
      <c r="B4764" s="1"/>
      <c r="E4764" s="45" t="str">
        <f>IFERROR(AVERAGEIFS('Picarro Output'!G:G, 'Picarro Output'!$B:$B, 'Uncalibrated Data'!$C4764, 'Picarro Output'!$I:$I, 0, 'Picarro Output'!$J:$J, 1), "")</f>
        <v/>
      </c>
    </row>
    <row r="4765" spans="2:5" x14ac:dyDescent="0.45">
      <c r="B4765" s="1"/>
      <c r="E4765" s="45" t="str">
        <f>IFERROR(AVERAGEIFS('Picarro Output'!G:G, 'Picarro Output'!$B:$B, 'Uncalibrated Data'!$C4765, 'Picarro Output'!$I:$I, 0, 'Picarro Output'!$J:$J, 1), "")</f>
        <v/>
      </c>
    </row>
    <row r="4766" spans="2:5" x14ac:dyDescent="0.45">
      <c r="B4766" s="1"/>
      <c r="E4766" s="45" t="str">
        <f>IFERROR(AVERAGEIFS('Picarro Output'!G:G, 'Picarro Output'!$B:$B, 'Uncalibrated Data'!$C4766, 'Picarro Output'!$I:$I, 0, 'Picarro Output'!$J:$J, 1), "")</f>
        <v/>
      </c>
    </row>
    <row r="4767" spans="2:5" x14ac:dyDescent="0.45">
      <c r="B4767" s="1"/>
      <c r="E4767" s="45" t="str">
        <f>IFERROR(AVERAGEIFS('Picarro Output'!G:G, 'Picarro Output'!$B:$B, 'Uncalibrated Data'!$C4767, 'Picarro Output'!$I:$I, 0, 'Picarro Output'!$J:$J, 1), "")</f>
        <v/>
      </c>
    </row>
    <row r="4768" spans="2:5" x14ac:dyDescent="0.45">
      <c r="B4768" s="1"/>
      <c r="E4768" s="45" t="str">
        <f>IFERROR(AVERAGEIFS('Picarro Output'!G:G, 'Picarro Output'!$B:$B, 'Uncalibrated Data'!$C4768, 'Picarro Output'!$I:$I, 0, 'Picarro Output'!$J:$J, 1), "")</f>
        <v/>
      </c>
    </row>
    <row r="4769" spans="2:5" x14ac:dyDescent="0.45">
      <c r="B4769" s="1"/>
      <c r="E4769" s="45" t="str">
        <f>IFERROR(AVERAGEIFS('Picarro Output'!G:G, 'Picarro Output'!$B:$B, 'Uncalibrated Data'!$C4769, 'Picarro Output'!$I:$I, 0, 'Picarro Output'!$J:$J, 1), "")</f>
        <v/>
      </c>
    </row>
    <row r="4770" spans="2:5" x14ac:dyDescent="0.45">
      <c r="B4770" s="1"/>
      <c r="E4770" s="45" t="str">
        <f>IFERROR(AVERAGEIFS('Picarro Output'!G:G, 'Picarro Output'!$B:$B, 'Uncalibrated Data'!$C4770, 'Picarro Output'!$I:$I, 0, 'Picarro Output'!$J:$J, 1), "")</f>
        <v/>
      </c>
    </row>
    <row r="4771" spans="2:5" x14ac:dyDescent="0.45">
      <c r="B4771" s="1"/>
      <c r="E4771" s="45" t="str">
        <f>IFERROR(AVERAGEIFS('Picarro Output'!G:G, 'Picarro Output'!$B:$B, 'Uncalibrated Data'!$C4771, 'Picarro Output'!$I:$I, 0, 'Picarro Output'!$J:$J, 1), "")</f>
        <v/>
      </c>
    </row>
    <row r="4772" spans="2:5" x14ac:dyDescent="0.45">
      <c r="B4772" s="1"/>
      <c r="E4772" s="45" t="str">
        <f>IFERROR(AVERAGEIFS('Picarro Output'!G:G, 'Picarro Output'!$B:$B, 'Uncalibrated Data'!$C4772, 'Picarro Output'!$I:$I, 0, 'Picarro Output'!$J:$J, 1), "")</f>
        <v/>
      </c>
    </row>
    <row r="4773" spans="2:5" x14ac:dyDescent="0.45">
      <c r="B4773" s="1"/>
      <c r="E4773" s="45" t="str">
        <f>IFERROR(AVERAGEIFS('Picarro Output'!G:G, 'Picarro Output'!$B:$B, 'Uncalibrated Data'!$C4773, 'Picarro Output'!$I:$I, 0, 'Picarro Output'!$J:$J, 1), "")</f>
        <v/>
      </c>
    </row>
    <row r="4774" spans="2:5" x14ac:dyDescent="0.45">
      <c r="B4774" s="1"/>
      <c r="E4774" s="45" t="str">
        <f>IFERROR(AVERAGEIFS('Picarro Output'!G:G, 'Picarro Output'!$B:$B, 'Uncalibrated Data'!$C4774, 'Picarro Output'!$I:$I, 0, 'Picarro Output'!$J:$J, 1), "")</f>
        <v/>
      </c>
    </row>
    <row r="4775" spans="2:5" x14ac:dyDescent="0.45">
      <c r="B4775" s="1"/>
      <c r="E4775" s="45" t="str">
        <f>IFERROR(AVERAGEIFS('Picarro Output'!G:G, 'Picarro Output'!$B:$B, 'Uncalibrated Data'!$C4775, 'Picarro Output'!$I:$I, 0, 'Picarro Output'!$J:$J, 1), "")</f>
        <v/>
      </c>
    </row>
    <row r="4776" spans="2:5" x14ac:dyDescent="0.45">
      <c r="B4776" s="1"/>
      <c r="E4776" s="45" t="str">
        <f>IFERROR(AVERAGEIFS('Picarro Output'!G:G, 'Picarro Output'!$B:$B, 'Uncalibrated Data'!$C4776, 'Picarro Output'!$I:$I, 0, 'Picarro Output'!$J:$J, 1), "")</f>
        <v/>
      </c>
    </row>
    <row r="4777" spans="2:5" x14ac:dyDescent="0.45">
      <c r="B4777" s="1"/>
      <c r="E4777" s="45" t="str">
        <f>IFERROR(AVERAGEIFS('Picarro Output'!G:G, 'Picarro Output'!$B:$B, 'Uncalibrated Data'!$C4777, 'Picarro Output'!$I:$I, 0, 'Picarro Output'!$J:$J, 1), "")</f>
        <v/>
      </c>
    </row>
    <row r="4778" spans="2:5" x14ac:dyDescent="0.45">
      <c r="B4778" s="1"/>
      <c r="E4778" s="45" t="str">
        <f>IFERROR(AVERAGEIFS('Picarro Output'!G:G, 'Picarro Output'!$B:$B, 'Uncalibrated Data'!$C4778, 'Picarro Output'!$I:$I, 0, 'Picarro Output'!$J:$J, 1), "")</f>
        <v/>
      </c>
    </row>
    <row r="4779" spans="2:5" x14ac:dyDescent="0.45">
      <c r="B4779" s="1"/>
      <c r="E4779" s="45" t="str">
        <f>IFERROR(AVERAGEIFS('Picarro Output'!G:G, 'Picarro Output'!$B:$B, 'Uncalibrated Data'!$C4779, 'Picarro Output'!$I:$I, 0, 'Picarro Output'!$J:$J, 1), "")</f>
        <v/>
      </c>
    </row>
    <row r="4780" spans="2:5" x14ac:dyDescent="0.45">
      <c r="B4780" s="1"/>
      <c r="E4780" s="45" t="str">
        <f>IFERROR(AVERAGEIFS('Picarro Output'!G:G, 'Picarro Output'!$B:$B, 'Uncalibrated Data'!$C4780, 'Picarro Output'!$I:$I, 0, 'Picarro Output'!$J:$J, 1), "")</f>
        <v/>
      </c>
    </row>
    <row r="4781" spans="2:5" x14ac:dyDescent="0.45">
      <c r="B4781" s="1"/>
      <c r="E4781" s="45" t="str">
        <f>IFERROR(AVERAGEIFS('Picarro Output'!G:G, 'Picarro Output'!$B:$B, 'Uncalibrated Data'!$C4781, 'Picarro Output'!$I:$I, 0, 'Picarro Output'!$J:$J, 1), "")</f>
        <v/>
      </c>
    </row>
    <row r="4782" spans="2:5" x14ac:dyDescent="0.45">
      <c r="B4782" s="1"/>
      <c r="E4782" s="45" t="str">
        <f>IFERROR(AVERAGEIFS('Picarro Output'!G:G, 'Picarro Output'!$B:$B, 'Uncalibrated Data'!$C4782, 'Picarro Output'!$I:$I, 0, 'Picarro Output'!$J:$J, 1), "")</f>
        <v/>
      </c>
    </row>
    <row r="4783" spans="2:5" x14ac:dyDescent="0.45">
      <c r="B4783" s="1"/>
      <c r="E4783" s="45" t="str">
        <f>IFERROR(AVERAGEIFS('Picarro Output'!G:G, 'Picarro Output'!$B:$B, 'Uncalibrated Data'!$C4783, 'Picarro Output'!$I:$I, 0, 'Picarro Output'!$J:$J, 1), "")</f>
        <v/>
      </c>
    </row>
    <row r="4784" spans="2:5" x14ac:dyDescent="0.45">
      <c r="B4784" s="1"/>
      <c r="E4784" s="45" t="str">
        <f>IFERROR(AVERAGEIFS('Picarro Output'!G:G, 'Picarro Output'!$B:$B, 'Uncalibrated Data'!$C4784, 'Picarro Output'!$I:$I, 0, 'Picarro Output'!$J:$J, 1), "")</f>
        <v/>
      </c>
    </row>
    <row r="4785" spans="2:5" x14ac:dyDescent="0.45">
      <c r="B4785" s="1"/>
      <c r="E4785" s="45" t="str">
        <f>IFERROR(AVERAGEIFS('Picarro Output'!G:G, 'Picarro Output'!$B:$B, 'Uncalibrated Data'!$C4785, 'Picarro Output'!$I:$I, 0, 'Picarro Output'!$J:$J, 1), "")</f>
        <v/>
      </c>
    </row>
    <row r="4786" spans="2:5" x14ac:dyDescent="0.45">
      <c r="B4786" s="1"/>
      <c r="E4786" s="45" t="str">
        <f>IFERROR(AVERAGEIFS('Picarro Output'!G:G, 'Picarro Output'!$B:$B, 'Uncalibrated Data'!$C4786, 'Picarro Output'!$I:$I, 0, 'Picarro Output'!$J:$J, 1), "")</f>
        <v/>
      </c>
    </row>
    <row r="4787" spans="2:5" x14ac:dyDescent="0.45">
      <c r="B4787" s="1"/>
      <c r="E4787" s="45" t="str">
        <f>IFERROR(AVERAGEIFS('Picarro Output'!G:G, 'Picarro Output'!$B:$B, 'Uncalibrated Data'!$C4787, 'Picarro Output'!$I:$I, 0, 'Picarro Output'!$J:$J, 1), "")</f>
        <v/>
      </c>
    </row>
    <row r="4788" spans="2:5" x14ac:dyDescent="0.45">
      <c r="B4788" s="1"/>
      <c r="E4788" s="45" t="str">
        <f>IFERROR(AVERAGEIFS('Picarro Output'!G:G, 'Picarro Output'!$B:$B, 'Uncalibrated Data'!$C4788, 'Picarro Output'!$I:$I, 0, 'Picarro Output'!$J:$J, 1), "")</f>
        <v/>
      </c>
    </row>
    <row r="4789" spans="2:5" x14ac:dyDescent="0.45">
      <c r="B4789" s="1"/>
      <c r="E4789" s="45" t="str">
        <f>IFERROR(AVERAGEIFS('Picarro Output'!G:G, 'Picarro Output'!$B:$B, 'Uncalibrated Data'!$C4789, 'Picarro Output'!$I:$I, 0, 'Picarro Output'!$J:$J, 1), "")</f>
        <v/>
      </c>
    </row>
    <row r="4790" spans="2:5" x14ac:dyDescent="0.45">
      <c r="B4790" s="1"/>
      <c r="E4790" s="45" t="str">
        <f>IFERROR(AVERAGEIFS('Picarro Output'!G:G, 'Picarro Output'!$B:$B, 'Uncalibrated Data'!$C4790, 'Picarro Output'!$I:$I, 0, 'Picarro Output'!$J:$J, 1), "")</f>
        <v/>
      </c>
    </row>
    <row r="4791" spans="2:5" x14ac:dyDescent="0.45">
      <c r="B4791" s="1"/>
      <c r="E4791" s="45" t="str">
        <f>IFERROR(AVERAGEIFS('Picarro Output'!G:G, 'Picarro Output'!$B:$B, 'Uncalibrated Data'!$C4791, 'Picarro Output'!$I:$I, 0, 'Picarro Output'!$J:$J, 1), "")</f>
        <v/>
      </c>
    </row>
    <row r="4792" spans="2:5" x14ac:dyDescent="0.45">
      <c r="B4792" s="1"/>
      <c r="E4792" s="45" t="str">
        <f>IFERROR(AVERAGEIFS('Picarro Output'!G:G, 'Picarro Output'!$B:$B, 'Uncalibrated Data'!$C4792, 'Picarro Output'!$I:$I, 0, 'Picarro Output'!$J:$J, 1), "")</f>
        <v/>
      </c>
    </row>
    <row r="4793" spans="2:5" x14ac:dyDescent="0.45">
      <c r="B4793" s="1"/>
      <c r="E4793" s="45" t="str">
        <f>IFERROR(AVERAGEIFS('Picarro Output'!G:G, 'Picarro Output'!$B:$B, 'Uncalibrated Data'!$C4793, 'Picarro Output'!$I:$I, 0, 'Picarro Output'!$J:$J, 1), "")</f>
        <v/>
      </c>
    </row>
    <row r="4794" spans="2:5" x14ac:dyDescent="0.45">
      <c r="B4794" s="1"/>
      <c r="E4794" s="45" t="str">
        <f>IFERROR(AVERAGEIFS('Picarro Output'!G:G, 'Picarro Output'!$B:$B, 'Uncalibrated Data'!$C4794, 'Picarro Output'!$I:$I, 0, 'Picarro Output'!$J:$J, 1), "")</f>
        <v/>
      </c>
    </row>
    <row r="4795" spans="2:5" x14ac:dyDescent="0.45">
      <c r="B4795" s="1"/>
      <c r="E4795" s="45" t="str">
        <f>IFERROR(AVERAGEIFS('Picarro Output'!G:G, 'Picarro Output'!$B:$B, 'Uncalibrated Data'!$C4795, 'Picarro Output'!$I:$I, 0, 'Picarro Output'!$J:$J, 1), "")</f>
        <v/>
      </c>
    </row>
    <row r="4796" spans="2:5" x14ac:dyDescent="0.45">
      <c r="B4796" s="1"/>
      <c r="E4796" s="45" t="str">
        <f>IFERROR(AVERAGEIFS('Picarro Output'!G:G, 'Picarro Output'!$B:$B, 'Uncalibrated Data'!$C4796, 'Picarro Output'!$I:$I, 0, 'Picarro Output'!$J:$J, 1), "")</f>
        <v/>
      </c>
    </row>
    <row r="4797" spans="2:5" x14ac:dyDescent="0.45">
      <c r="B4797" s="1"/>
      <c r="E4797" s="45" t="str">
        <f>IFERROR(AVERAGEIFS('Picarro Output'!G:G, 'Picarro Output'!$B:$B, 'Uncalibrated Data'!$C4797, 'Picarro Output'!$I:$I, 0, 'Picarro Output'!$J:$J, 1), "")</f>
        <v/>
      </c>
    </row>
    <row r="4798" spans="2:5" x14ac:dyDescent="0.45">
      <c r="B4798" s="1"/>
      <c r="E4798" s="45" t="str">
        <f>IFERROR(AVERAGEIFS('Picarro Output'!G:G, 'Picarro Output'!$B:$B, 'Uncalibrated Data'!$C4798, 'Picarro Output'!$I:$I, 0, 'Picarro Output'!$J:$J, 1), "")</f>
        <v/>
      </c>
    </row>
    <row r="4799" spans="2:5" x14ac:dyDescent="0.45">
      <c r="B4799" s="1"/>
      <c r="E4799" s="45" t="str">
        <f>IFERROR(AVERAGEIFS('Picarro Output'!G:G, 'Picarro Output'!$B:$B, 'Uncalibrated Data'!$C4799, 'Picarro Output'!$I:$I, 0, 'Picarro Output'!$J:$J, 1), "")</f>
        <v/>
      </c>
    </row>
    <row r="4800" spans="2:5" x14ac:dyDescent="0.45">
      <c r="B4800" s="1"/>
      <c r="E4800" s="45" t="str">
        <f>IFERROR(AVERAGEIFS('Picarro Output'!G:G, 'Picarro Output'!$B:$B, 'Uncalibrated Data'!$C4800, 'Picarro Output'!$I:$I, 0, 'Picarro Output'!$J:$J, 1), "")</f>
        <v/>
      </c>
    </row>
    <row r="4801" spans="2:5" x14ac:dyDescent="0.45">
      <c r="B4801" s="1"/>
      <c r="E4801" s="45" t="str">
        <f>IFERROR(AVERAGEIFS('Picarro Output'!G:G, 'Picarro Output'!$B:$B, 'Uncalibrated Data'!$C4801, 'Picarro Output'!$I:$I, 0, 'Picarro Output'!$J:$J, 1), "")</f>
        <v/>
      </c>
    </row>
    <row r="4802" spans="2:5" x14ac:dyDescent="0.45">
      <c r="B4802" s="1"/>
      <c r="E4802" s="45" t="str">
        <f>IFERROR(AVERAGEIFS('Picarro Output'!G:G, 'Picarro Output'!$B:$B, 'Uncalibrated Data'!$C4802, 'Picarro Output'!$I:$I, 0, 'Picarro Output'!$J:$J, 1), "")</f>
        <v/>
      </c>
    </row>
    <row r="4803" spans="2:5" x14ac:dyDescent="0.45">
      <c r="B4803" s="1"/>
      <c r="E4803" s="45" t="str">
        <f>IFERROR(AVERAGEIFS('Picarro Output'!G:G, 'Picarro Output'!$B:$B, 'Uncalibrated Data'!$C4803, 'Picarro Output'!$I:$I, 0, 'Picarro Output'!$J:$J, 1), "")</f>
        <v/>
      </c>
    </row>
    <row r="4804" spans="2:5" x14ac:dyDescent="0.45">
      <c r="B4804" s="1"/>
      <c r="E4804" s="45" t="str">
        <f>IFERROR(AVERAGEIFS('Picarro Output'!G:G, 'Picarro Output'!$B:$B, 'Uncalibrated Data'!$C4804, 'Picarro Output'!$I:$I, 0, 'Picarro Output'!$J:$J, 1), "")</f>
        <v/>
      </c>
    </row>
    <row r="4805" spans="2:5" x14ac:dyDescent="0.45">
      <c r="B4805" s="1"/>
      <c r="E4805" s="45" t="str">
        <f>IFERROR(AVERAGEIFS('Picarro Output'!G:G, 'Picarro Output'!$B:$B, 'Uncalibrated Data'!$C4805, 'Picarro Output'!$I:$I, 0, 'Picarro Output'!$J:$J, 1), "")</f>
        <v/>
      </c>
    </row>
    <row r="4806" spans="2:5" x14ac:dyDescent="0.45">
      <c r="B4806" s="1"/>
      <c r="E4806" s="45" t="str">
        <f>IFERROR(AVERAGEIFS('Picarro Output'!G:G, 'Picarro Output'!$B:$B, 'Uncalibrated Data'!$C4806, 'Picarro Output'!$I:$I, 0, 'Picarro Output'!$J:$J, 1), "")</f>
        <v/>
      </c>
    </row>
    <row r="4807" spans="2:5" x14ac:dyDescent="0.45">
      <c r="B4807" s="1"/>
      <c r="E4807" s="45" t="str">
        <f>IFERROR(AVERAGEIFS('Picarro Output'!G:G, 'Picarro Output'!$B:$B, 'Uncalibrated Data'!$C4807, 'Picarro Output'!$I:$I, 0, 'Picarro Output'!$J:$J, 1), "")</f>
        <v/>
      </c>
    </row>
    <row r="4808" spans="2:5" x14ac:dyDescent="0.45">
      <c r="B4808" s="1"/>
      <c r="E4808" s="45" t="str">
        <f>IFERROR(AVERAGEIFS('Picarro Output'!G:G, 'Picarro Output'!$B:$B, 'Uncalibrated Data'!$C4808, 'Picarro Output'!$I:$I, 0, 'Picarro Output'!$J:$J, 1), "")</f>
        <v/>
      </c>
    </row>
    <row r="4809" spans="2:5" x14ac:dyDescent="0.45">
      <c r="B4809" s="1"/>
      <c r="E4809" s="45" t="str">
        <f>IFERROR(AVERAGEIFS('Picarro Output'!G:G, 'Picarro Output'!$B:$B, 'Uncalibrated Data'!$C4809, 'Picarro Output'!$I:$I, 0, 'Picarro Output'!$J:$J, 1), "")</f>
        <v/>
      </c>
    </row>
    <row r="4810" spans="2:5" x14ac:dyDescent="0.45">
      <c r="B4810" s="1"/>
      <c r="E4810" s="45" t="str">
        <f>IFERROR(AVERAGEIFS('Picarro Output'!G:G, 'Picarro Output'!$B:$B, 'Uncalibrated Data'!$C4810, 'Picarro Output'!$I:$I, 0, 'Picarro Output'!$J:$J, 1), "")</f>
        <v/>
      </c>
    </row>
    <row r="4811" spans="2:5" x14ac:dyDescent="0.45">
      <c r="B4811" s="1"/>
      <c r="E4811" s="45" t="str">
        <f>IFERROR(AVERAGEIFS('Picarro Output'!G:G, 'Picarro Output'!$B:$B, 'Uncalibrated Data'!$C4811, 'Picarro Output'!$I:$I, 0, 'Picarro Output'!$J:$J, 1), "")</f>
        <v/>
      </c>
    </row>
    <row r="4812" spans="2:5" x14ac:dyDescent="0.45">
      <c r="B4812" s="1"/>
      <c r="E4812" s="45" t="str">
        <f>IFERROR(AVERAGEIFS('Picarro Output'!G:G, 'Picarro Output'!$B:$B, 'Uncalibrated Data'!$C4812, 'Picarro Output'!$I:$I, 0, 'Picarro Output'!$J:$J, 1), "")</f>
        <v/>
      </c>
    </row>
    <row r="4813" spans="2:5" x14ac:dyDescent="0.45">
      <c r="B4813" s="1"/>
      <c r="E4813" s="45" t="str">
        <f>IFERROR(AVERAGEIFS('Picarro Output'!G:G, 'Picarro Output'!$B:$B, 'Uncalibrated Data'!$C4813, 'Picarro Output'!$I:$I, 0, 'Picarro Output'!$J:$J, 1), "")</f>
        <v/>
      </c>
    </row>
    <row r="4814" spans="2:5" x14ac:dyDescent="0.45">
      <c r="B4814" s="1"/>
      <c r="E4814" s="45" t="str">
        <f>IFERROR(AVERAGEIFS('Picarro Output'!G:G, 'Picarro Output'!$B:$B, 'Uncalibrated Data'!$C4814, 'Picarro Output'!$I:$I, 0, 'Picarro Output'!$J:$J, 1), "")</f>
        <v/>
      </c>
    </row>
    <row r="4815" spans="2:5" x14ac:dyDescent="0.45">
      <c r="B4815" s="1"/>
      <c r="E4815" s="45" t="str">
        <f>IFERROR(AVERAGEIFS('Picarro Output'!G:G, 'Picarro Output'!$B:$B, 'Uncalibrated Data'!$C4815, 'Picarro Output'!$I:$I, 0, 'Picarro Output'!$J:$J, 1), "")</f>
        <v/>
      </c>
    </row>
    <row r="4816" spans="2:5" x14ac:dyDescent="0.45">
      <c r="B4816" s="1"/>
      <c r="E4816" s="45" t="str">
        <f>IFERROR(AVERAGEIFS('Picarro Output'!G:G, 'Picarro Output'!$B:$B, 'Uncalibrated Data'!$C4816, 'Picarro Output'!$I:$I, 0, 'Picarro Output'!$J:$J, 1), "")</f>
        <v/>
      </c>
    </row>
    <row r="4817" spans="2:5" x14ac:dyDescent="0.45">
      <c r="B4817" s="1"/>
      <c r="E4817" s="45" t="str">
        <f>IFERROR(AVERAGEIFS('Picarro Output'!G:G, 'Picarro Output'!$B:$B, 'Uncalibrated Data'!$C4817, 'Picarro Output'!$I:$I, 0, 'Picarro Output'!$J:$J, 1), "")</f>
        <v/>
      </c>
    </row>
    <row r="4818" spans="2:5" x14ac:dyDescent="0.45">
      <c r="B4818" s="1"/>
      <c r="E4818" s="45" t="str">
        <f>IFERROR(AVERAGEIFS('Picarro Output'!G:G, 'Picarro Output'!$B:$B, 'Uncalibrated Data'!$C4818, 'Picarro Output'!$I:$I, 0, 'Picarro Output'!$J:$J, 1), "")</f>
        <v/>
      </c>
    </row>
    <row r="4819" spans="2:5" x14ac:dyDescent="0.45">
      <c r="B4819" s="1"/>
      <c r="E4819" s="45" t="str">
        <f>IFERROR(AVERAGEIFS('Picarro Output'!G:G, 'Picarro Output'!$B:$B, 'Uncalibrated Data'!$C4819, 'Picarro Output'!$I:$I, 0, 'Picarro Output'!$J:$J, 1), "")</f>
        <v/>
      </c>
    </row>
    <row r="4820" spans="2:5" x14ac:dyDescent="0.45">
      <c r="B4820" s="1"/>
      <c r="E4820" s="45" t="str">
        <f>IFERROR(AVERAGEIFS('Picarro Output'!G:G, 'Picarro Output'!$B:$B, 'Uncalibrated Data'!$C4820, 'Picarro Output'!$I:$I, 0, 'Picarro Output'!$J:$J, 1), "")</f>
        <v/>
      </c>
    </row>
    <row r="4821" spans="2:5" x14ac:dyDescent="0.45">
      <c r="B4821" s="1"/>
      <c r="E4821" s="45" t="str">
        <f>IFERROR(AVERAGEIFS('Picarro Output'!G:G, 'Picarro Output'!$B:$B, 'Uncalibrated Data'!$C4821, 'Picarro Output'!$I:$I, 0, 'Picarro Output'!$J:$J, 1), "")</f>
        <v/>
      </c>
    </row>
    <row r="4822" spans="2:5" x14ac:dyDescent="0.45">
      <c r="B4822" s="1"/>
      <c r="E4822" s="45" t="str">
        <f>IFERROR(AVERAGEIFS('Picarro Output'!G:G, 'Picarro Output'!$B:$B, 'Uncalibrated Data'!$C4822, 'Picarro Output'!$I:$I, 0, 'Picarro Output'!$J:$J, 1), "")</f>
        <v/>
      </c>
    </row>
    <row r="4823" spans="2:5" x14ac:dyDescent="0.45">
      <c r="B4823" s="1"/>
      <c r="E4823" s="45" t="str">
        <f>IFERROR(AVERAGEIFS('Picarro Output'!G:G, 'Picarro Output'!$B:$B, 'Uncalibrated Data'!$C4823, 'Picarro Output'!$I:$I, 0, 'Picarro Output'!$J:$J, 1), "")</f>
        <v/>
      </c>
    </row>
    <row r="4824" spans="2:5" x14ac:dyDescent="0.45">
      <c r="B4824" s="1"/>
      <c r="E4824" s="45" t="str">
        <f>IFERROR(AVERAGEIFS('Picarro Output'!G:G, 'Picarro Output'!$B:$B, 'Uncalibrated Data'!$C4824, 'Picarro Output'!$I:$I, 0, 'Picarro Output'!$J:$J, 1), "")</f>
        <v/>
      </c>
    </row>
    <row r="4825" spans="2:5" x14ac:dyDescent="0.45">
      <c r="B4825" s="1"/>
      <c r="E4825" s="45" t="str">
        <f>IFERROR(AVERAGEIFS('Picarro Output'!G:G, 'Picarro Output'!$B:$B, 'Uncalibrated Data'!$C4825, 'Picarro Output'!$I:$I, 0, 'Picarro Output'!$J:$J, 1), "")</f>
        <v/>
      </c>
    </row>
    <row r="4826" spans="2:5" x14ac:dyDescent="0.45">
      <c r="B4826" s="1"/>
      <c r="E4826" s="45" t="str">
        <f>IFERROR(AVERAGEIFS('Picarro Output'!G:G, 'Picarro Output'!$B:$B, 'Uncalibrated Data'!$C4826, 'Picarro Output'!$I:$I, 0, 'Picarro Output'!$J:$J, 1), "")</f>
        <v/>
      </c>
    </row>
    <row r="4827" spans="2:5" x14ac:dyDescent="0.45">
      <c r="B4827" s="1"/>
      <c r="E4827" s="45" t="str">
        <f>IFERROR(AVERAGEIFS('Picarro Output'!G:G, 'Picarro Output'!$B:$B, 'Uncalibrated Data'!$C4827, 'Picarro Output'!$I:$I, 0, 'Picarro Output'!$J:$J, 1), "")</f>
        <v/>
      </c>
    </row>
    <row r="4828" spans="2:5" x14ac:dyDescent="0.45">
      <c r="B4828" s="1"/>
      <c r="E4828" s="45" t="str">
        <f>IFERROR(AVERAGEIFS('Picarro Output'!G:G, 'Picarro Output'!$B:$B, 'Uncalibrated Data'!$C4828, 'Picarro Output'!$I:$I, 0, 'Picarro Output'!$J:$J, 1), "")</f>
        <v/>
      </c>
    </row>
    <row r="4829" spans="2:5" x14ac:dyDescent="0.45">
      <c r="B4829" s="1"/>
      <c r="E4829" s="45" t="str">
        <f>IFERROR(AVERAGEIFS('Picarro Output'!G:G, 'Picarro Output'!$B:$B, 'Uncalibrated Data'!$C4829, 'Picarro Output'!$I:$I, 0, 'Picarro Output'!$J:$J, 1), "")</f>
        <v/>
      </c>
    </row>
    <row r="4830" spans="2:5" x14ac:dyDescent="0.45">
      <c r="B4830" s="1"/>
      <c r="E4830" s="45" t="str">
        <f>IFERROR(AVERAGEIFS('Picarro Output'!G:G, 'Picarro Output'!$B:$B, 'Uncalibrated Data'!$C4830, 'Picarro Output'!$I:$I, 0, 'Picarro Output'!$J:$J, 1), "")</f>
        <v/>
      </c>
    </row>
    <row r="4831" spans="2:5" x14ac:dyDescent="0.45">
      <c r="B4831" s="1"/>
      <c r="E4831" s="45" t="str">
        <f>IFERROR(AVERAGEIFS('Picarro Output'!G:G, 'Picarro Output'!$B:$B, 'Uncalibrated Data'!$C4831, 'Picarro Output'!$I:$I, 0, 'Picarro Output'!$J:$J, 1), "")</f>
        <v/>
      </c>
    </row>
    <row r="4832" spans="2:5" x14ac:dyDescent="0.45">
      <c r="B4832" s="1"/>
      <c r="E4832" s="45" t="str">
        <f>IFERROR(AVERAGEIFS('Picarro Output'!G:G, 'Picarro Output'!$B:$B, 'Uncalibrated Data'!$C4832, 'Picarro Output'!$I:$I, 0, 'Picarro Output'!$J:$J, 1), "")</f>
        <v/>
      </c>
    </row>
    <row r="4833" spans="2:5" x14ac:dyDescent="0.45">
      <c r="B4833" s="1"/>
      <c r="E4833" s="45" t="str">
        <f>IFERROR(AVERAGEIFS('Picarro Output'!G:G, 'Picarro Output'!$B:$B, 'Uncalibrated Data'!$C4833, 'Picarro Output'!$I:$I, 0, 'Picarro Output'!$J:$J, 1), "")</f>
        <v/>
      </c>
    </row>
    <row r="4834" spans="2:5" x14ac:dyDescent="0.45">
      <c r="B4834" s="1"/>
      <c r="E4834" s="45" t="str">
        <f>IFERROR(AVERAGEIFS('Picarro Output'!G:G, 'Picarro Output'!$B:$B, 'Uncalibrated Data'!$C4834, 'Picarro Output'!$I:$I, 0, 'Picarro Output'!$J:$J, 1), "")</f>
        <v/>
      </c>
    </row>
    <row r="4835" spans="2:5" x14ac:dyDescent="0.45">
      <c r="B4835" s="1"/>
      <c r="E4835" s="45" t="str">
        <f>IFERROR(AVERAGEIFS('Picarro Output'!G:G, 'Picarro Output'!$B:$B, 'Uncalibrated Data'!$C4835, 'Picarro Output'!$I:$I, 0, 'Picarro Output'!$J:$J, 1), "")</f>
        <v/>
      </c>
    </row>
    <row r="4836" spans="2:5" x14ac:dyDescent="0.45">
      <c r="B4836" s="1"/>
      <c r="E4836" s="45" t="str">
        <f>IFERROR(AVERAGEIFS('Picarro Output'!G:G, 'Picarro Output'!$B:$B, 'Uncalibrated Data'!$C4836, 'Picarro Output'!$I:$I, 0, 'Picarro Output'!$J:$J, 1), "")</f>
        <v/>
      </c>
    </row>
    <row r="4837" spans="2:5" x14ac:dyDescent="0.45">
      <c r="B4837" s="1"/>
      <c r="E4837" s="45" t="str">
        <f>IFERROR(AVERAGEIFS('Picarro Output'!G:G, 'Picarro Output'!$B:$B, 'Uncalibrated Data'!$C4837, 'Picarro Output'!$I:$I, 0, 'Picarro Output'!$J:$J, 1), "")</f>
        <v/>
      </c>
    </row>
    <row r="4838" spans="2:5" x14ac:dyDescent="0.45">
      <c r="B4838" s="1"/>
      <c r="E4838" s="45" t="str">
        <f>IFERROR(AVERAGEIFS('Picarro Output'!G:G, 'Picarro Output'!$B:$B, 'Uncalibrated Data'!$C4838, 'Picarro Output'!$I:$I, 0, 'Picarro Output'!$J:$J, 1), "")</f>
        <v/>
      </c>
    </row>
    <row r="4839" spans="2:5" x14ac:dyDescent="0.45">
      <c r="B4839" s="1"/>
      <c r="E4839" s="45" t="str">
        <f>IFERROR(AVERAGEIFS('Picarro Output'!G:G, 'Picarro Output'!$B:$B, 'Uncalibrated Data'!$C4839, 'Picarro Output'!$I:$I, 0, 'Picarro Output'!$J:$J, 1), "")</f>
        <v/>
      </c>
    </row>
    <row r="4840" spans="2:5" x14ac:dyDescent="0.45">
      <c r="B4840" s="1"/>
      <c r="E4840" s="45" t="str">
        <f>IFERROR(AVERAGEIFS('Picarro Output'!G:G, 'Picarro Output'!$B:$B, 'Uncalibrated Data'!$C4840, 'Picarro Output'!$I:$I, 0, 'Picarro Output'!$J:$J, 1), "")</f>
        <v/>
      </c>
    </row>
    <row r="4841" spans="2:5" x14ac:dyDescent="0.45">
      <c r="B4841" s="1"/>
      <c r="E4841" s="45" t="str">
        <f>IFERROR(AVERAGEIFS('Picarro Output'!G:G, 'Picarro Output'!$B:$B, 'Uncalibrated Data'!$C4841, 'Picarro Output'!$I:$I, 0, 'Picarro Output'!$J:$J, 1), "")</f>
        <v/>
      </c>
    </row>
    <row r="4842" spans="2:5" x14ac:dyDescent="0.45">
      <c r="B4842" s="1"/>
      <c r="E4842" s="45" t="str">
        <f>IFERROR(AVERAGEIFS('Picarro Output'!G:G, 'Picarro Output'!$B:$B, 'Uncalibrated Data'!$C4842, 'Picarro Output'!$I:$I, 0, 'Picarro Output'!$J:$J, 1), "")</f>
        <v/>
      </c>
    </row>
    <row r="4843" spans="2:5" x14ac:dyDescent="0.45">
      <c r="B4843" s="1"/>
      <c r="E4843" s="45" t="str">
        <f>IFERROR(AVERAGEIFS('Picarro Output'!G:G, 'Picarro Output'!$B:$B, 'Uncalibrated Data'!$C4843, 'Picarro Output'!$I:$I, 0, 'Picarro Output'!$J:$J, 1), "")</f>
        <v/>
      </c>
    </row>
    <row r="4844" spans="2:5" x14ac:dyDescent="0.45">
      <c r="B4844" s="1"/>
      <c r="E4844" s="45" t="str">
        <f>IFERROR(AVERAGEIFS('Picarro Output'!G:G, 'Picarro Output'!$B:$B, 'Uncalibrated Data'!$C4844, 'Picarro Output'!$I:$I, 0, 'Picarro Output'!$J:$J, 1), "")</f>
        <v/>
      </c>
    </row>
    <row r="4845" spans="2:5" x14ac:dyDescent="0.45">
      <c r="B4845" s="1"/>
      <c r="E4845" s="45" t="str">
        <f>IFERROR(AVERAGEIFS('Picarro Output'!G:G, 'Picarro Output'!$B:$B, 'Uncalibrated Data'!$C4845, 'Picarro Output'!$I:$I, 0, 'Picarro Output'!$J:$J, 1), "")</f>
        <v/>
      </c>
    </row>
    <row r="4846" spans="2:5" x14ac:dyDescent="0.45">
      <c r="B4846" s="1"/>
      <c r="E4846" s="45" t="str">
        <f>IFERROR(AVERAGEIFS('Picarro Output'!G:G, 'Picarro Output'!$B:$B, 'Uncalibrated Data'!$C4846, 'Picarro Output'!$I:$I, 0, 'Picarro Output'!$J:$J, 1), "")</f>
        <v/>
      </c>
    </row>
    <row r="4847" spans="2:5" x14ac:dyDescent="0.45">
      <c r="B4847" s="1"/>
      <c r="E4847" s="45" t="str">
        <f>IFERROR(AVERAGEIFS('Picarro Output'!G:G, 'Picarro Output'!$B:$B, 'Uncalibrated Data'!$C4847, 'Picarro Output'!$I:$I, 0, 'Picarro Output'!$J:$J, 1), "")</f>
        <v/>
      </c>
    </row>
    <row r="4848" spans="2:5" x14ac:dyDescent="0.45">
      <c r="B4848" s="1"/>
      <c r="E4848" s="45" t="str">
        <f>IFERROR(AVERAGEIFS('Picarro Output'!G:G, 'Picarro Output'!$B:$B, 'Uncalibrated Data'!$C4848, 'Picarro Output'!$I:$I, 0, 'Picarro Output'!$J:$J, 1), "")</f>
        <v/>
      </c>
    </row>
    <row r="4849" spans="2:5" x14ac:dyDescent="0.45">
      <c r="B4849" s="1"/>
      <c r="E4849" s="45" t="str">
        <f>IFERROR(AVERAGEIFS('Picarro Output'!G:G, 'Picarro Output'!$B:$B, 'Uncalibrated Data'!$C4849, 'Picarro Output'!$I:$I, 0, 'Picarro Output'!$J:$J, 1), "")</f>
        <v/>
      </c>
    </row>
    <row r="4850" spans="2:5" x14ac:dyDescent="0.45">
      <c r="B4850" s="1"/>
      <c r="E4850" s="45" t="str">
        <f>IFERROR(AVERAGEIFS('Picarro Output'!G:G, 'Picarro Output'!$B:$B, 'Uncalibrated Data'!$C4850, 'Picarro Output'!$I:$I, 0, 'Picarro Output'!$J:$J, 1), "")</f>
        <v/>
      </c>
    </row>
    <row r="4851" spans="2:5" x14ac:dyDescent="0.45">
      <c r="B4851" s="1"/>
      <c r="E4851" s="45" t="str">
        <f>IFERROR(AVERAGEIFS('Picarro Output'!G:G, 'Picarro Output'!$B:$B, 'Uncalibrated Data'!$C4851, 'Picarro Output'!$I:$I, 0, 'Picarro Output'!$J:$J, 1), "")</f>
        <v/>
      </c>
    </row>
    <row r="4852" spans="2:5" x14ac:dyDescent="0.45">
      <c r="B4852" s="1"/>
      <c r="E4852" s="45" t="str">
        <f>IFERROR(AVERAGEIFS('Picarro Output'!G:G, 'Picarro Output'!$B:$B, 'Uncalibrated Data'!$C4852, 'Picarro Output'!$I:$I, 0, 'Picarro Output'!$J:$J, 1), "")</f>
        <v/>
      </c>
    </row>
    <row r="4853" spans="2:5" x14ac:dyDescent="0.45">
      <c r="B4853" s="1"/>
      <c r="E4853" s="45" t="str">
        <f>IFERROR(AVERAGEIFS('Picarro Output'!G:G, 'Picarro Output'!$B:$B, 'Uncalibrated Data'!$C4853, 'Picarro Output'!$I:$I, 0, 'Picarro Output'!$J:$J, 1), "")</f>
        <v/>
      </c>
    </row>
    <row r="4854" spans="2:5" x14ac:dyDescent="0.45">
      <c r="B4854" s="1"/>
      <c r="E4854" s="45" t="str">
        <f>IFERROR(AVERAGEIFS('Picarro Output'!G:G, 'Picarro Output'!$B:$B, 'Uncalibrated Data'!$C4854, 'Picarro Output'!$I:$I, 0, 'Picarro Output'!$J:$J, 1), "")</f>
        <v/>
      </c>
    </row>
    <row r="4855" spans="2:5" x14ac:dyDescent="0.45">
      <c r="B4855" s="1"/>
      <c r="E4855" s="45" t="str">
        <f>IFERROR(AVERAGEIFS('Picarro Output'!G:G, 'Picarro Output'!$B:$B, 'Uncalibrated Data'!$C4855, 'Picarro Output'!$I:$I, 0, 'Picarro Output'!$J:$J, 1), "")</f>
        <v/>
      </c>
    </row>
    <row r="4856" spans="2:5" x14ac:dyDescent="0.45">
      <c r="B4856" s="1"/>
      <c r="E4856" s="45" t="str">
        <f>IFERROR(AVERAGEIFS('Picarro Output'!G:G, 'Picarro Output'!$B:$B, 'Uncalibrated Data'!$C4856, 'Picarro Output'!$I:$I, 0, 'Picarro Output'!$J:$J, 1), "")</f>
        <v/>
      </c>
    </row>
    <row r="4857" spans="2:5" x14ac:dyDescent="0.45">
      <c r="B4857" s="1"/>
      <c r="E4857" s="45" t="str">
        <f>IFERROR(AVERAGEIFS('Picarro Output'!G:G, 'Picarro Output'!$B:$B, 'Uncalibrated Data'!$C4857, 'Picarro Output'!$I:$I, 0, 'Picarro Output'!$J:$J, 1), "")</f>
        <v/>
      </c>
    </row>
    <row r="4858" spans="2:5" x14ac:dyDescent="0.45">
      <c r="B4858" s="1"/>
      <c r="E4858" s="45" t="str">
        <f>IFERROR(AVERAGEIFS('Picarro Output'!G:G, 'Picarro Output'!$B:$B, 'Uncalibrated Data'!$C4858, 'Picarro Output'!$I:$I, 0, 'Picarro Output'!$J:$J, 1), "")</f>
        <v/>
      </c>
    </row>
    <row r="4859" spans="2:5" x14ac:dyDescent="0.45">
      <c r="B4859" s="1"/>
      <c r="E4859" s="45" t="str">
        <f>IFERROR(AVERAGEIFS('Picarro Output'!G:G, 'Picarro Output'!$B:$B, 'Uncalibrated Data'!$C4859, 'Picarro Output'!$I:$I, 0, 'Picarro Output'!$J:$J, 1), "")</f>
        <v/>
      </c>
    </row>
    <row r="4860" spans="2:5" x14ac:dyDescent="0.45">
      <c r="B4860" s="1"/>
      <c r="E4860" s="45" t="str">
        <f>IFERROR(AVERAGEIFS('Picarro Output'!G:G, 'Picarro Output'!$B:$B, 'Uncalibrated Data'!$C4860, 'Picarro Output'!$I:$I, 0, 'Picarro Output'!$J:$J, 1), "")</f>
        <v/>
      </c>
    </row>
    <row r="4861" spans="2:5" x14ac:dyDescent="0.45">
      <c r="B4861" s="1"/>
      <c r="E4861" s="45" t="str">
        <f>IFERROR(AVERAGEIFS('Picarro Output'!G:G, 'Picarro Output'!$B:$B, 'Uncalibrated Data'!$C4861, 'Picarro Output'!$I:$I, 0, 'Picarro Output'!$J:$J, 1), "")</f>
        <v/>
      </c>
    </row>
    <row r="4862" spans="2:5" x14ac:dyDescent="0.45">
      <c r="B4862" s="1"/>
      <c r="E4862" s="45" t="str">
        <f>IFERROR(AVERAGEIFS('Picarro Output'!G:G, 'Picarro Output'!$B:$B, 'Uncalibrated Data'!$C4862, 'Picarro Output'!$I:$I, 0, 'Picarro Output'!$J:$J, 1), "")</f>
        <v/>
      </c>
    </row>
    <row r="4863" spans="2:5" x14ac:dyDescent="0.45">
      <c r="B4863" s="1"/>
      <c r="E4863" s="45" t="str">
        <f>IFERROR(AVERAGEIFS('Picarro Output'!G:G, 'Picarro Output'!$B:$B, 'Uncalibrated Data'!$C4863, 'Picarro Output'!$I:$I, 0, 'Picarro Output'!$J:$J, 1), "")</f>
        <v/>
      </c>
    </row>
    <row r="4864" spans="2:5" x14ac:dyDescent="0.45">
      <c r="B4864" s="1"/>
      <c r="E4864" s="45" t="str">
        <f>IFERROR(AVERAGEIFS('Picarro Output'!G:G, 'Picarro Output'!$B:$B, 'Uncalibrated Data'!$C4864, 'Picarro Output'!$I:$I, 0, 'Picarro Output'!$J:$J, 1), "")</f>
        <v/>
      </c>
    </row>
    <row r="4865" spans="2:5" x14ac:dyDescent="0.45">
      <c r="B4865" s="1"/>
      <c r="E4865" s="45" t="str">
        <f>IFERROR(AVERAGEIFS('Picarro Output'!G:G, 'Picarro Output'!$B:$B, 'Uncalibrated Data'!$C4865, 'Picarro Output'!$I:$I, 0, 'Picarro Output'!$J:$J, 1), "")</f>
        <v/>
      </c>
    </row>
    <row r="4866" spans="2:5" x14ac:dyDescent="0.45">
      <c r="B4866" s="1"/>
      <c r="E4866" s="45" t="str">
        <f>IFERROR(AVERAGEIFS('Picarro Output'!G:G, 'Picarro Output'!$B:$B, 'Uncalibrated Data'!$C4866, 'Picarro Output'!$I:$I, 0, 'Picarro Output'!$J:$J, 1), "")</f>
        <v/>
      </c>
    </row>
    <row r="4867" spans="2:5" x14ac:dyDescent="0.45">
      <c r="B4867" s="1"/>
      <c r="E4867" s="45" t="str">
        <f>IFERROR(AVERAGEIFS('Picarro Output'!G:G, 'Picarro Output'!$B:$B, 'Uncalibrated Data'!$C4867, 'Picarro Output'!$I:$I, 0, 'Picarro Output'!$J:$J, 1), "")</f>
        <v/>
      </c>
    </row>
    <row r="4868" spans="2:5" x14ac:dyDescent="0.45">
      <c r="B4868" s="1"/>
      <c r="E4868" s="45" t="str">
        <f>IFERROR(AVERAGEIFS('Picarro Output'!G:G, 'Picarro Output'!$B:$B, 'Uncalibrated Data'!$C4868, 'Picarro Output'!$I:$I, 0, 'Picarro Output'!$J:$J, 1), "")</f>
        <v/>
      </c>
    </row>
    <row r="4869" spans="2:5" x14ac:dyDescent="0.45">
      <c r="B4869" s="1"/>
      <c r="E4869" s="45" t="str">
        <f>IFERROR(AVERAGEIFS('Picarro Output'!G:G, 'Picarro Output'!$B:$B, 'Uncalibrated Data'!$C4869, 'Picarro Output'!$I:$I, 0, 'Picarro Output'!$J:$J, 1), "")</f>
        <v/>
      </c>
    </row>
    <row r="4870" spans="2:5" x14ac:dyDescent="0.45">
      <c r="B4870" s="1"/>
      <c r="E4870" s="45" t="str">
        <f>IFERROR(AVERAGEIFS('Picarro Output'!G:G, 'Picarro Output'!$B:$B, 'Uncalibrated Data'!$C4870, 'Picarro Output'!$I:$I, 0, 'Picarro Output'!$J:$J, 1), "")</f>
        <v/>
      </c>
    </row>
    <row r="4871" spans="2:5" x14ac:dyDescent="0.45">
      <c r="B4871" s="1"/>
      <c r="E4871" s="45" t="str">
        <f>IFERROR(AVERAGEIFS('Picarro Output'!G:G, 'Picarro Output'!$B:$B, 'Uncalibrated Data'!$C4871, 'Picarro Output'!$I:$I, 0, 'Picarro Output'!$J:$J, 1), "")</f>
        <v/>
      </c>
    </row>
    <row r="4872" spans="2:5" x14ac:dyDescent="0.45">
      <c r="B4872" s="1"/>
      <c r="E4872" s="45" t="str">
        <f>IFERROR(AVERAGEIFS('Picarro Output'!G:G, 'Picarro Output'!$B:$B, 'Uncalibrated Data'!$C4872, 'Picarro Output'!$I:$I, 0, 'Picarro Output'!$J:$J, 1), "")</f>
        <v/>
      </c>
    </row>
    <row r="4873" spans="2:5" x14ac:dyDescent="0.45">
      <c r="B4873" s="1"/>
      <c r="E4873" s="45" t="str">
        <f>IFERROR(AVERAGEIFS('Picarro Output'!G:G, 'Picarro Output'!$B:$B, 'Uncalibrated Data'!$C4873, 'Picarro Output'!$I:$I, 0, 'Picarro Output'!$J:$J, 1), "")</f>
        <v/>
      </c>
    </row>
    <row r="4874" spans="2:5" x14ac:dyDescent="0.45">
      <c r="B4874" s="1"/>
      <c r="E4874" s="45" t="str">
        <f>IFERROR(AVERAGEIFS('Picarro Output'!G:G, 'Picarro Output'!$B:$B, 'Uncalibrated Data'!$C4874, 'Picarro Output'!$I:$I, 0, 'Picarro Output'!$J:$J, 1), "")</f>
        <v/>
      </c>
    </row>
    <row r="4875" spans="2:5" x14ac:dyDescent="0.45">
      <c r="B4875" s="1"/>
      <c r="E4875" s="45" t="str">
        <f>IFERROR(AVERAGEIFS('Picarro Output'!G:G, 'Picarro Output'!$B:$B, 'Uncalibrated Data'!$C4875, 'Picarro Output'!$I:$I, 0, 'Picarro Output'!$J:$J, 1), "")</f>
        <v/>
      </c>
    </row>
    <row r="4876" spans="2:5" x14ac:dyDescent="0.45">
      <c r="B4876" s="1"/>
      <c r="E4876" s="45" t="str">
        <f>IFERROR(AVERAGEIFS('Picarro Output'!G:G, 'Picarro Output'!$B:$B, 'Uncalibrated Data'!$C4876, 'Picarro Output'!$I:$I, 0, 'Picarro Output'!$J:$J, 1), "")</f>
        <v/>
      </c>
    </row>
    <row r="4877" spans="2:5" x14ac:dyDescent="0.45">
      <c r="B4877" s="1"/>
      <c r="E4877" s="45" t="str">
        <f>IFERROR(AVERAGEIFS('Picarro Output'!G:G, 'Picarro Output'!$B:$B, 'Uncalibrated Data'!$C4877, 'Picarro Output'!$I:$I, 0, 'Picarro Output'!$J:$J, 1), "")</f>
        <v/>
      </c>
    </row>
    <row r="4878" spans="2:5" x14ac:dyDescent="0.45">
      <c r="B4878" s="1"/>
      <c r="E4878" s="45" t="str">
        <f>IFERROR(AVERAGEIFS('Picarro Output'!G:G, 'Picarro Output'!$B:$B, 'Uncalibrated Data'!$C4878, 'Picarro Output'!$I:$I, 0, 'Picarro Output'!$J:$J, 1), "")</f>
        <v/>
      </c>
    </row>
    <row r="4879" spans="2:5" x14ac:dyDescent="0.45">
      <c r="B4879" s="1"/>
      <c r="E4879" s="45" t="str">
        <f>IFERROR(AVERAGEIFS('Picarro Output'!G:G, 'Picarro Output'!$B:$B, 'Uncalibrated Data'!$C4879, 'Picarro Output'!$I:$I, 0, 'Picarro Output'!$J:$J, 1), "")</f>
        <v/>
      </c>
    </row>
    <row r="4880" spans="2:5" x14ac:dyDescent="0.45">
      <c r="B4880" s="1"/>
      <c r="E4880" s="45" t="str">
        <f>IFERROR(AVERAGEIFS('Picarro Output'!G:G, 'Picarro Output'!$B:$B, 'Uncalibrated Data'!$C4880, 'Picarro Output'!$I:$I, 0, 'Picarro Output'!$J:$J, 1), "")</f>
        <v/>
      </c>
    </row>
    <row r="4881" spans="2:5" x14ac:dyDescent="0.45">
      <c r="B4881" s="1"/>
      <c r="E4881" s="45" t="str">
        <f>IFERROR(AVERAGEIFS('Picarro Output'!G:G, 'Picarro Output'!$B:$B, 'Uncalibrated Data'!$C4881, 'Picarro Output'!$I:$I, 0, 'Picarro Output'!$J:$J, 1), "")</f>
        <v/>
      </c>
    </row>
    <row r="4882" spans="2:5" x14ac:dyDescent="0.45">
      <c r="B4882" s="1"/>
      <c r="E4882" s="45" t="str">
        <f>IFERROR(AVERAGEIFS('Picarro Output'!G:G, 'Picarro Output'!$B:$B, 'Uncalibrated Data'!$C4882, 'Picarro Output'!$I:$I, 0, 'Picarro Output'!$J:$J, 1), "")</f>
        <v/>
      </c>
    </row>
    <row r="4883" spans="2:5" x14ac:dyDescent="0.45">
      <c r="B4883" s="1"/>
      <c r="E4883" s="45" t="str">
        <f>IFERROR(AVERAGEIFS('Picarro Output'!G:G, 'Picarro Output'!$B:$B, 'Uncalibrated Data'!$C4883, 'Picarro Output'!$I:$I, 0, 'Picarro Output'!$J:$J, 1), "")</f>
        <v/>
      </c>
    </row>
    <row r="4884" spans="2:5" x14ac:dyDescent="0.45">
      <c r="B4884" s="1"/>
      <c r="E4884" s="45" t="str">
        <f>IFERROR(AVERAGEIFS('Picarro Output'!G:G, 'Picarro Output'!$B:$B, 'Uncalibrated Data'!$C4884, 'Picarro Output'!$I:$I, 0, 'Picarro Output'!$J:$J, 1), "")</f>
        <v/>
      </c>
    </row>
    <row r="4885" spans="2:5" x14ac:dyDescent="0.45">
      <c r="B4885" s="1"/>
      <c r="E4885" s="45" t="str">
        <f>IFERROR(AVERAGEIFS('Picarro Output'!G:G, 'Picarro Output'!$B:$B, 'Uncalibrated Data'!$C4885, 'Picarro Output'!$I:$I, 0, 'Picarro Output'!$J:$J, 1), "")</f>
        <v/>
      </c>
    </row>
    <row r="4886" spans="2:5" x14ac:dyDescent="0.45">
      <c r="B4886" s="1"/>
      <c r="E4886" s="45" t="str">
        <f>IFERROR(AVERAGEIFS('Picarro Output'!G:G, 'Picarro Output'!$B:$B, 'Uncalibrated Data'!$C4886, 'Picarro Output'!$I:$I, 0, 'Picarro Output'!$J:$J, 1), "")</f>
        <v/>
      </c>
    </row>
    <row r="4887" spans="2:5" x14ac:dyDescent="0.45">
      <c r="B4887" s="1"/>
      <c r="E4887" s="45" t="str">
        <f>IFERROR(AVERAGEIFS('Picarro Output'!G:G, 'Picarro Output'!$B:$B, 'Uncalibrated Data'!$C4887, 'Picarro Output'!$I:$I, 0, 'Picarro Output'!$J:$J, 1), "")</f>
        <v/>
      </c>
    </row>
    <row r="4888" spans="2:5" x14ac:dyDescent="0.45">
      <c r="B4888" s="1"/>
      <c r="E4888" s="45" t="str">
        <f>IFERROR(AVERAGEIFS('Picarro Output'!G:G, 'Picarro Output'!$B:$B, 'Uncalibrated Data'!$C4888, 'Picarro Output'!$I:$I, 0, 'Picarro Output'!$J:$J, 1), "")</f>
        <v/>
      </c>
    </row>
    <row r="4889" spans="2:5" x14ac:dyDescent="0.45">
      <c r="B4889" s="1"/>
      <c r="E4889" s="45" t="str">
        <f>IFERROR(AVERAGEIFS('Picarro Output'!G:G, 'Picarro Output'!$B:$B, 'Uncalibrated Data'!$C4889, 'Picarro Output'!$I:$I, 0, 'Picarro Output'!$J:$J, 1), "")</f>
        <v/>
      </c>
    </row>
    <row r="4890" spans="2:5" x14ac:dyDescent="0.45">
      <c r="B4890" s="1"/>
      <c r="E4890" s="45" t="str">
        <f>IFERROR(AVERAGEIFS('Picarro Output'!G:G, 'Picarro Output'!$B:$B, 'Uncalibrated Data'!$C4890, 'Picarro Output'!$I:$I, 0, 'Picarro Output'!$J:$J, 1), "")</f>
        <v/>
      </c>
    </row>
    <row r="4891" spans="2:5" x14ac:dyDescent="0.45">
      <c r="B4891" s="1"/>
      <c r="E4891" s="45" t="str">
        <f>IFERROR(AVERAGEIFS('Picarro Output'!G:G, 'Picarro Output'!$B:$B, 'Uncalibrated Data'!$C4891, 'Picarro Output'!$I:$I, 0, 'Picarro Output'!$J:$J, 1), "")</f>
        <v/>
      </c>
    </row>
    <row r="4892" spans="2:5" x14ac:dyDescent="0.45">
      <c r="B4892" s="1"/>
      <c r="E4892" s="45" t="str">
        <f>IFERROR(AVERAGEIFS('Picarro Output'!G:G, 'Picarro Output'!$B:$B, 'Uncalibrated Data'!$C4892, 'Picarro Output'!$I:$I, 0, 'Picarro Output'!$J:$J, 1), "")</f>
        <v/>
      </c>
    </row>
    <row r="4893" spans="2:5" x14ac:dyDescent="0.45">
      <c r="B4893" s="1"/>
      <c r="E4893" s="45" t="str">
        <f>IFERROR(AVERAGEIFS('Picarro Output'!G:G, 'Picarro Output'!$B:$B, 'Uncalibrated Data'!$C4893, 'Picarro Output'!$I:$I, 0, 'Picarro Output'!$J:$J, 1), "")</f>
        <v/>
      </c>
    </row>
    <row r="4894" spans="2:5" x14ac:dyDescent="0.45">
      <c r="B4894" s="1"/>
      <c r="E4894" s="45" t="str">
        <f>IFERROR(AVERAGEIFS('Picarro Output'!G:G, 'Picarro Output'!$B:$B, 'Uncalibrated Data'!$C4894, 'Picarro Output'!$I:$I, 0, 'Picarro Output'!$J:$J, 1), "")</f>
        <v/>
      </c>
    </row>
    <row r="4895" spans="2:5" x14ac:dyDescent="0.45">
      <c r="B4895" s="1"/>
      <c r="E4895" s="45" t="str">
        <f>IFERROR(AVERAGEIFS('Picarro Output'!G:G, 'Picarro Output'!$B:$B, 'Uncalibrated Data'!$C4895, 'Picarro Output'!$I:$I, 0, 'Picarro Output'!$J:$J, 1), "")</f>
        <v/>
      </c>
    </row>
    <row r="4896" spans="2:5" x14ac:dyDescent="0.45">
      <c r="B4896" s="1"/>
      <c r="E4896" s="45" t="str">
        <f>IFERROR(AVERAGEIFS('Picarro Output'!G:G, 'Picarro Output'!$B:$B, 'Uncalibrated Data'!$C4896, 'Picarro Output'!$I:$I, 0, 'Picarro Output'!$J:$J, 1), "")</f>
        <v/>
      </c>
    </row>
    <row r="4897" spans="2:5" x14ac:dyDescent="0.45">
      <c r="B4897" s="1"/>
      <c r="E4897" s="45" t="str">
        <f>IFERROR(AVERAGEIFS('Picarro Output'!G:G, 'Picarro Output'!$B:$B, 'Uncalibrated Data'!$C4897, 'Picarro Output'!$I:$I, 0, 'Picarro Output'!$J:$J, 1), "")</f>
        <v/>
      </c>
    </row>
    <row r="4898" spans="2:5" x14ac:dyDescent="0.45">
      <c r="B4898" s="1"/>
      <c r="E4898" s="45" t="str">
        <f>IFERROR(AVERAGEIFS('Picarro Output'!G:G, 'Picarro Output'!$B:$B, 'Uncalibrated Data'!$C4898, 'Picarro Output'!$I:$I, 0, 'Picarro Output'!$J:$J, 1), "")</f>
        <v/>
      </c>
    </row>
    <row r="4899" spans="2:5" x14ac:dyDescent="0.45">
      <c r="B4899" s="1"/>
      <c r="E4899" s="45" t="str">
        <f>IFERROR(AVERAGEIFS('Picarro Output'!G:G, 'Picarro Output'!$B:$B, 'Uncalibrated Data'!$C4899, 'Picarro Output'!$I:$I, 0, 'Picarro Output'!$J:$J, 1), "")</f>
        <v/>
      </c>
    </row>
    <row r="4900" spans="2:5" x14ac:dyDescent="0.45">
      <c r="B4900" s="1"/>
      <c r="E4900" s="45" t="str">
        <f>IFERROR(AVERAGEIFS('Picarro Output'!G:G, 'Picarro Output'!$B:$B, 'Uncalibrated Data'!$C4900, 'Picarro Output'!$I:$I, 0, 'Picarro Output'!$J:$J, 1), "")</f>
        <v/>
      </c>
    </row>
    <row r="4901" spans="2:5" x14ac:dyDescent="0.45">
      <c r="B4901" s="1"/>
      <c r="E4901" s="45" t="str">
        <f>IFERROR(AVERAGEIFS('Picarro Output'!G:G, 'Picarro Output'!$B:$B, 'Uncalibrated Data'!$C4901, 'Picarro Output'!$I:$I, 0, 'Picarro Output'!$J:$J, 1), "")</f>
        <v/>
      </c>
    </row>
    <row r="4902" spans="2:5" x14ac:dyDescent="0.45">
      <c r="B4902" s="1"/>
      <c r="E4902" s="45" t="str">
        <f>IFERROR(AVERAGEIFS('Picarro Output'!G:G, 'Picarro Output'!$B:$B, 'Uncalibrated Data'!$C4902, 'Picarro Output'!$I:$I, 0, 'Picarro Output'!$J:$J, 1), "")</f>
        <v/>
      </c>
    </row>
    <row r="4903" spans="2:5" x14ac:dyDescent="0.45">
      <c r="B4903" s="1"/>
      <c r="E4903" s="45" t="str">
        <f>IFERROR(AVERAGEIFS('Picarro Output'!G:G, 'Picarro Output'!$B:$B, 'Uncalibrated Data'!$C4903, 'Picarro Output'!$I:$I, 0, 'Picarro Output'!$J:$J, 1), "")</f>
        <v/>
      </c>
    </row>
    <row r="4904" spans="2:5" x14ac:dyDescent="0.45">
      <c r="B4904" s="1"/>
      <c r="E4904" s="45" t="str">
        <f>IFERROR(AVERAGEIFS('Picarro Output'!G:G, 'Picarro Output'!$B:$B, 'Uncalibrated Data'!$C4904, 'Picarro Output'!$I:$I, 0, 'Picarro Output'!$J:$J, 1), "")</f>
        <v/>
      </c>
    </row>
    <row r="4905" spans="2:5" x14ac:dyDescent="0.45">
      <c r="B4905" s="1"/>
      <c r="E4905" s="45" t="str">
        <f>IFERROR(AVERAGEIFS('Picarro Output'!G:G, 'Picarro Output'!$B:$B, 'Uncalibrated Data'!$C4905, 'Picarro Output'!$I:$I, 0, 'Picarro Output'!$J:$J, 1), "")</f>
        <v/>
      </c>
    </row>
    <row r="4906" spans="2:5" x14ac:dyDescent="0.45">
      <c r="B4906" s="1"/>
      <c r="E4906" s="45" t="str">
        <f>IFERROR(AVERAGEIFS('Picarro Output'!G:G, 'Picarro Output'!$B:$B, 'Uncalibrated Data'!$C4906, 'Picarro Output'!$I:$I, 0, 'Picarro Output'!$J:$J, 1), "")</f>
        <v/>
      </c>
    </row>
    <row r="4907" spans="2:5" x14ac:dyDescent="0.45">
      <c r="B4907" s="1"/>
      <c r="E4907" s="45" t="str">
        <f>IFERROR(AVERAGEIFS('Picarro Output'!G:G, 'Picarro Output'!$B:$B, 'Uncalibrated Data'!$C4907, 'Picarro Output'!$I:$I, 0, 'Picarro Output'!$J:$J, 1), "")</f>
        <v/>
      </c>
    </row>
    <row r="4908" spans="2:5" x14ac:dyDescent="0.45">
      <c r="B4908" s="1"/>
      <c r="E4908" s="45" t="str">
        <f>IFERROR(AVERAGEIFS('Picarro Output'!G:G, 'Picarro Output'!$B:$B, 'Uncalibrated Data'!$C4908, 'Picarro Output'!$I:$I, 0, 'Picarro Output'!$J:$J, 1), "")</f>
        <v/>
      </c>
    </row>
    <row r="4909" spans="2:5" x14ac:dyDescent="0.45">
      <c r="B4909" s="1"/>
      <c r="E4909" s="45" t="str">
        <f>IFERROR(AVERAGEIFS('Picarro Output'!G:G, 'Picarro Output'!$B:$B, 'Uncalibrated Data'!$C4909, 'Picarro Output'!$I:$I, 0, 'Picarro Output'!$J:$J, 1), "")</f>
        <v/>
      </c>
    </row>
    <row r="4910" spans="2:5" x14ac:dyDescent="0.45">
      <c r="B4910" s="1"/>
      <c r="E4910" s="45" t="str">
        <f>IFERROR(AVERAGEIFS('Picarro Output'!G:G, 'Picarro Output'!$B:$B, 'Uncalibrated Data'!$C4910, 'Picarro Output'!$I:$I, 0, 'Picarro Output'!$J:$J, 1), "")</f>
        <v/>
      </c>
    </row>
    <row r="4911" spans="2:5" x14ac:dyDescent="0.45">
      <c r="B4911" s="1"/>
      <c r="E4911" s="45" t="str">
        <f>IFERROR(AVERAGEIFS('Picarro Output'!G:G, 'Picarro Output'!$B:$B, 'Uncalibrated Data'!$C4911, 'Picarro Output'!$I:$I, 0, 'Picarro Output'!$J:$J, 1), "")</f>
        <v/>
      </c>
    </row>
    <row r="4912" spans="2:5" x14ac:dyDescent="0.45">
      <c r="B4912" s="1"/>
      <c r="E4912" s="45" t="str">
        <f>IFERROR(AVERAGEIFS('Picarro Output'!G:G, 'Picarro Output'!$B:$B, 'Uncalibrated Data'!$C4912, 'Picarro Output'!$I:$I, 0, 'Picarro Output'!$J:$J, 1), "")</f>
        <v/>
      </c>
    </row>
    <row r="4913" spans="2:5" x14ac:dyDescent="0.45">
      <c r="B4913" s="1"/>
      <c r="E4913" s="45" t="str">
        <f>IFERROR(AVERAGEIFS('Picarro Output'!G:G, 'Picarro Output'!$B:$B, 'Uncalibrated Data'!$C4913, 'Picarro Output'!$I:$I, 0, 'Picarro Output'!$J:$J, 1), "")</f>
        <v/>
      </c>
    </row>
    <row r="4914" spans="2:5" x14ac:dyDescent="0.45">
      <c r="B4914" s="1"/>
      <c r="E4914" s="45" t="str">
        <f>IFERROR(AVERAGEIFS('Picarro Output'!G:G, 'Picarro Output'!$B:$B, 'Uncalibrated Data'!$C4914, 'Picarro Output'!$I:$I, 0, 'Picarro Output'!$J:$J, 1), "")</f>
        <v/>
      </c>
    </row>
    <row r="4915" spans="2:5" x14ac:dyDescent="0.45">
      <c r="B4915" s="1"/>
      <c r="E4915" s="45" t="str">
        <f>IFERROR(AVERAGEIFS('Picarro Output'!G:G, 'Picarro Output'!$B:$B, 'Uncalibrated Data'!$C4915, 'Picarro Output'!$I:$I, 0, 'Picarro Output'!$J:$J, 1), "")</f>
        <v/>
      </c>
    </row>
    <row r="4916" spans="2:5" x14ac:dyDescent="0.45">
      <c r="B4916" s="1"/>
      <c r="E4916" s="45" t="str">
        <f>IFERROR(AVERAGEIFS('Picarro Output'!G:G, 'Picarro Output'!$B:$B, 'Uncalibrated Data'!$C4916, 'Picarro Output'!$I:$I, 0, 'Picarro Output'!$J:$J, 1), "")</f>
        <v/>
      </c>
    </row>
    <row r="4917" spans="2:5" x14ac:dyDescent="0.45">
      <c r="B4917" s="1"/>
      <c r="E4917" s="45" t="str">
        <f>IFERROR(AVERAGEIFS('Picarro Output'!G:G, 'Picarro Output'!$B:$B, 'Uncalibrated Data'!$C4917, 'Picarro Output'!$I:$I, 0, 'Picarro Output'!$J:$J, 1), "")</f>
        <v/>
      </c>
    </row>
    <row r="4918" spans="2:5" x14ac:dyDescent="0.45">
      <c r="B4918" s="1"/>
      <c r="E4918" s="45" t="str">
        <f>IFERROR(AVERAGEIFS('Picarro Output'!G:G, 'Picarro Output'!$B:$B, 'Uncalibrated Data'!$C4918, 'Picarro Output'!$I:$I, 0, 'Picarro Output'!$J:$J, 1), "")</f>
        <v/>
      </c>
    </row>
    <row r="4919" spans="2:5" x14ac:dyDescent="0.45">
      <c r="B4919" s="1"/>
      <c r="E4919" s="45" t="str">
        <f>IFERROR(AVERAGEIFS('Picarro Output'!G:G, 'Picarro Output'!$B:$B, 'Uncalibrated Data'!$C4919, 'Picarro Output'!$I:$I, 0, 'Picarro Output'!$J:$J, 1), "")</f>
        <v/>
      </c>
    </row>
    <row r="4920" spans="2:5" x14ac:dyDescent="0.45">
      <c r="B4920" s="1"/>
      <c r="E4920" s="45" t="str">
        <f>IFERROR(AVERAGEIFS('Picarro Output'!G:G, 'Picarro Output'!$B:$B, 'Uncalibrated Data'!$C4920, 'Picarro Output'!$I:$I, 0, 'Picarro Output'!$J:$J, 1), "")</f>
        <v/>
      </c>
    </row>
    <row r="4921" spans="2:5" x14ac:dyDescent="0.45">
      <c r="B4921" s="1"/>
      <c r="E4921" s="45" t="str">
        <f>IFERROR(AVERAGEIFS('Picarro Output'!G:G, 'Picarro Output'!$B:$B, 'Uncalibrated Data'!$C4921, 'Picarro Output'!$I:$I, 0, 'Picarro Output'!$J:$J, 1), "")</f>
        <v/>
      </c>
    </row>
    <row r="4922" spans="2:5" x14ac:dyDescent="0.45">
      <c r="B4922" s="1"/>
      <c r="E4922" s="45" t="str">
        <f>IFERROR(AVERAGEIFS('Picarro Output'!G:G, 'Picarro Output'!$B:$B, 'Uncalibrated Data'!$C4922, 'Picarro Output'!$I:$I, 0, 'Picarro Output'!$J:$J, 1), "")</f>
        <v/>
      </c>
    </row>
    <row r="4923" spans="2:5" x14ac:dyDescent="0.45">
      <c r="B4923" s="1"/>
      <c r="E4923" s="45" t="str">
        <f>IFERROR(AVERAGEIFS('Picarro Output'!G:G, 'Picarro Output'!$B:$B, 'Uncalibrated Data'!$C4923, 'Picarro Output'!$I:$I, 0, 'Picarro Output'!$J:$J, 1), "")</f>
        <v/>
      </c>
    </row>
    <row r="4924" spans="2:5" x14ac:dyDescent="0.45">
      <c r="B4924" s="1"/>
      <c r="E4924" s="45" t="str">
        <f>IFERROR(AVERAGEIFS('Picarro Output'!G:G, 'Picarro Output'!$B:$B, 'Uncalibrated Data'!$C4924, 'Picarro Output'!$I:$I, 0, 'Picarro Output'!$J:$J, 1), "")</f>
        <v/>
      </c>
    </row>
    <row r="4925" spans="2:5" x14ac:dyDescent="0.45">
      <c r="B4925" s="1"/>
      <c r="E4925" s="45" t="str">
        <f>IFERROR(AVERAGEIFS('Picarro Output'!G:G, 'Picarro Output'!$B:$B, 'Uncalibrated Data'!$C4925, 'Picarro Output'!$I:$I, 0, 'Picarro Output'!$J:$J, 1), "")</f>
        <v/>
      </c>
    </row>
    <row r="4926" spans="2:5" x14ac:dyDescent="0.45">
      <c r="B4926" s="1"/>
      <c r="E4926" s="45" t="str">
        <f>IFERROR(AVERAGEIFS('Picarro Output'!G:G, 'Picarro Output'!$B:$B, 'Uncalibrated Data'!$C4926, 'Picarro Output'!$I:$I, 0, 'Picarro Output'!$J:$J, 1), "")</f>
        <v/>
      </c>
    </row>
    <row r="4927" spans="2:5" x14ac:dyDescent="0.45">
      <c r="B4927" s="1"/>
      <c r="E4927" s="45" t="str">
        <f>IFERROR(AVERAGEIFS('Picarro Output'!G:G, 'Picarro Output'!$B:$B, 'Uncalibrated Data'!$C4927, 'Picarro Output'!$I:$I, 0, 'Picarro Output'!$J:$J, 1), "")</f>
        <v/>
      </c>
    </row>
    <row r="4928" spans="2:5" x14ac:dyDescent="0.45">
      <c r="B4928" s="1"/>
      <c r="E4928" s="45" t="str">
        <f>IFERROR(AVERAGEIFS('Picarro Output'!G:G, 'Picarro Output'!$B:$B, 'Uncalibrated Data'!$C4928, 'Picarro Output'!$I:$I, 0, 'Picarro Output'!$J:$J, 1), "")</f>
        <v/>
      </c>
    </row>
    <row r="4929" spans="2:5" x14ac:dyDescent="0.45">
      <c r="B4929" s="1"/>
      <c r="E4929" s="45" t="str">
        <f>IFERROR(AVERAGEIFS('Picarro Output'!G:G, 'Picarro Output'!$B:$B, 'Uncalibrated Data'!$C4929, 'Picarro Output'!$I:$I, 0, 'Picarro Output'!$J:$J, 1), "")</f>
        <v/>
      </c>
    </row>
    <row r="4930" spans="2:5" x14ac:dyDescent="0.45">
      <c r="B4930" s="1"/>
      <c r="E4930" s="45" t="str">
        <f>IFERROR(AVERAGEIFS('Picarro Output'!G:G, 'Picarro Output'!$B:$B, 'Uncalibrated Data'!$C4930, 'Picarro Output'!$I:$I, 0, 'Picarro Output'!$J:$J, 1), "")</f>
        <v/>
      </c>
    </row>
    <row r="4931" spans="2:5" x14ac:dyDescent="0.45">
      <c r="B4931" s="1"/>
      <c r="E4931" s="45" t="str">
        <f>IFERROR(AVERAGEIFS('Picarro Output'!G:G, 'Picarro Output'!$B:$B, 'Uncalibrated Data'!$C4931, 'Picarro Output'!$I:$I, 0, 'Picarro Output'!$J:$J, 1), "")</f>
        <v/>
      </c>
    </row>
    <row r="4932" spans="2:5" x14ac:dyDescent="0.45">
      <c r="B4932" s="1"/>
      <c r="E4932" s="45" t="str">
        <f>IFERROR(AVERAGEIFS('Picarro Output'!G:G, 'Picarro Output'!$B:$B, 'Uncalibrated Data'!$C4932, 'Picarro Output'!$I:$I, 0, 'Picarro Output'!$J:$J, 1), "")</f>
        <v/>
      </c>
    </row>
    <row r="4933" spans="2:5" x14ac:dyDescent="0.45">
      <c r="B4933" s="1"/>
      <c r="E4933" s="45" t="str">
        <f>IFERROR(AVERAGEIFS('Picarro Output'!G:G, 'Picarro Output'!$B:$B, 'Uncalibrated Data'!$C4933, 'Picarro Output'!$I:$I, 0, 'Picarro Output'!$J:$J, 1), "")</f>
        <v/>
      </c>
    </row>
    <row r="4934" spans="2:5" x14ac:dyDescent="0.45">
      <c r="B4934" s="1"/>
      <c r="E4934" s="45" t="str">
        <f>IFERROR(AVERAGEIFS('Picarro Output'!G:G, 'Picarro Output'!$B:$B, 'Uncalibrated Data'!$C4934, 'Picarro Output'!$I:$I, 0, 'Picarro Output'!$J:$J, 1), "")</f>
        <v/>
      </c>
    </row>
    <row r="4935" spans="2:5" x14ac:dyDescent="0.45">
      <c r="B4935" s="1"/>
      <c r="E4935" s="45" t="str">
        <f>IFERROR(AVERAGEIFS('Picarro Output'!G:G, 'Picarro Output'!$B:$B, 'Uncalibrated Data'!$C4935, 'Picarro Output'!$I:$I, 0, 'Picarro Output'!$J:$J, 1), "")</f>
        <v/>
      </c>
    </row>
    <row r="4936" spans="2:5" x14ac:dyDescent="0.45">
      <c r="B4936" s="1"/>
      <c r="E4936" s="45" t="str">
        <f>IFERROR(AVERAGEIFS('Picarro Output'!G:G, 'Picarro Output'!$B:$B, 'Uncalibrated Data'!$C4936, 'Picarro Output'!$I:$I, 0, 'Picarro Output'!$J:$J, 1), "")</f>
        <v/>
      </c>
    </row>
    <row r="4937" spans="2:5" x14ac:dyDescent="0.45">
      <c r="B4937" s="1"/>
      <c r="E4937" s="45" t="str">
        <f>IFERROR(AVERAGEIFS('Picarro Output'!G:G, 'Picarro Output'!$B:$B, 'Uncalibrated Data'!$C4937, 'Picarro Output'!$I:$I, 0, 'Picarro Output'!$J:$J, 1), "")</f>
        <v/>
      </c>
    </row>
    <row r="4938" spans="2:5" x14ac:dyDescent="0.45">
      <c r="B4938" s="1"/>
      <c r="E4938" s="45" t="str">
        <f>IFERROR(AVERAGEIFS('Picarro Output'!G:G, 'Picarro Output'!$B:$B, 'Uncalibrated Data'!$C4938, 'Picarro Output'!$I:$I, 0, 'Picarro Output'!$J:$J, 1), "")</f>
        <v/>
      </c>
    </row>
    <row r="4939" spans="2:5" x14ac:dyDescent="0.45">
      <c r="B4939" s="1"/>
      <c r="E4939" s="45" t="str">
        <f>IFERROR(AVERAGEIFS('Picarro Output'!G:G, 'Picarro Output'!$B:$B, 'Uncalibrated Data'!$C4939, 'Picarro Output'!$I:$I, 0, 'Picarro Output'!$J:$J, 1), "")</f>
        <v/>
      </c>
    </row>
    <row r="4940" spans="2:5" x14ac:dyDescent="0.45">
      <c r="B4940" s="1"/>
      <c r="E4940" s="45" t="str">
        <f>IFERROR(AVERAGEIFS('Picarro Output'!G:G, 'Picarro Output'!$B:$B, 'Uncalibrated Data'!$C4940, 'Picarro Output'!$I:$I, 0, 'Picarro Output'!$J:$J, 1), "")</f>
        <v/>
      </c>
    </row>
    <row r="4941" spans="2:5" x14ac:dyDescent="0.45">
      <c r="B4941" s="1"/>
      <c r="E4941" s="45" t="str">
        <f>IFERROR(AVERAGEIFS('Picarro Output'!G:G, 'Picarro Output'!$B:$B, 'Uncalibrated Data'!$C4941, 'Picarro Output'!$I:$I, 0, 'Picarro Output'!$J:$J, 1), "")</f>
        <v/>
      </c>
    </row>
    <row r="4942" spans="2:5" x14ac:dyDescent="0.45">
      <c r="B4942" s="1"/>
      <c r="E4942" s="45" t="str">
        <f>IFERROR(AVERAGEIFS('Picarro Output'!G:G, 'Picarro Output'!$B:$B, 'Uncalibrated Data'!$C4942, 'Picarro Output'!$I:$I, 0, 'Picarro Output'!$J:$J, 1), "")</f>
        <v/>
      </c>
    </row>
    <row r="4943" spans="2:5" x14ac:dyDescent="0.45">
      <c r="B4943" s="1"/>
      <c r="E4943" s="45" t="str">
        <f>IFERROR(AVERAGEIFS('Picarro Output'!G:G, 'Picarro Output'!$B:$B, 'Uncalibrated Data'!$C4943, 'Picarro Output'!$I:$I, 0, 'Picarro Output'!$J:$J, 1), "")</f>
        <v/>
      </c>
    </row>
    <row r="4944" spans="2:5" x14ac:dyDescent="0.45">
      <c r="B4944" s="1"/>
      <c r="E4944" s="45" t="str">
        <f>IFERROR(AVERAGEIFS('Picarro Output'!G:G, 'Picarro Output'!$B:$B, 'Uncalibrated Data'!$C4944, 'Picarro Output'!$I:$I, 0, 'Picarro Output'!$J:$J, 1), "")</f>
        <v/>
      </c>
    </row>
    <row r="4945" spans="2:5" x14ac:dyDescent="0.45">
      <c r="B4945" s="1"/>
      <c r="E4945" s="45" t="str">
        <f>IFERROR(AVERAGEIFS('Picarro Output'!G:G, 'Picarro Output'!$B:$B, 'Uncalibrated Data'!$C4945, 'Picarro Output'!$I:$I, 0, 'Picarro Output'!$J:$J, 1), "")</f>
        <v/>
      </c>
    </row>
    <row r="4946" spans="2:5" x14ac:dyDescent="0.45">
      <c r="B4946" s="1"/>
      <c r="E4946" s="45" t="str">
        <f>IFERROR(AVERAGEIFS('Picarro Output'!G:G, 'Picarro Output'!$B:$B, 'Uncalibrated Data'!$C4946, 'Picarro Output'!$I:$I, 0, 'Picarro Output'!$J:$J, 1), "")</f>
        <v/>
      </c>
    </row>
    <row r="4947" spans="2:5" x14ac:dyDescent="0.45">
      <c r="B4947" s="1"/>
      <c r="E4947" s="45" t="str">
        <f>IFERROR(AVERAGEIFS('Picarro Output'!G:G, 'Picarro Output'!$B:$B, 'Uncalibrated Data'!$C4947, 'Picarro Output'!$I:$I, 0, 'Picarro Output'!$J:$J, 1), "")</f>
        <v/>
      </c>
    </row>
    <row r="4948" spans="2:5" x14ac:dyDescent="0.45">
      <c r="B4948" s="1"/>
      <c r="E4948" s="45" t="str">
        <f>IFERROR(AVERAGEIFS('Picarro Output'!G:G, 'Picarro Output'!$B:$B, 'Uncalibrated Data'!$C4948, 'Picarro Output'!$I:$I, 0, 'Picarro Output'!$J:$J, 1), "")</f>
        <v/>
      </c>
    </row>
    <row r="4949" spans="2:5" x14ac:dyDescent="0.45">
      <c r="B4949" s="1"/>
      <c r="E4949" s="45" t="str">
        <f>IFERROR(AVERAGEIFS('Picarro Output'!G:G, 'Picarro Output'!$B:$B, 'Uncalibrated Data'!$C4949, 'Picarro Output'!$I:$I, 0, 'Picarro Output'!$J:$J, 1), "")</f>
        <v/>
      </c>
    </row>
    <row r="4950" spans="2:5" x14ac:dyDescent="0.45">
      <c r="B4950" s="1"/>
      <c r="E4950" s="45" t="str">
        <f>IFERROR(AVERAGEIFS('Picarro Output'!G:G, 'Picarro Output'!$B:$B, 'Uncalibrated Data'!$C4950, 'Picarro Output'!$I:$I, 0, 'Picarro Output'!$J:$J, 1), "")</f>
        <v/>
      </c>
    </row>
    <row r="4951" spans="2:5" x14ac:dyDescent="0.45">
      <c r="B4951" s="1"/>
      <c r="E4951" s="45" t="str">
        <f>IFERROR(AVERAGEIFS('Picarro Output'!G:G, 'Picarro Output'!$B:$B, 'Uncalibrated Data'!$C4951, 'Picarro Output'!$I:$I, 0, 'Picarro Output'!$J:$J, 1), "")</f>
        <v/>
      </c>
    </row>
    <row r="4952" spans="2:5" x14ac:dyDescent="0.45">
      <c r="B4952" s="1"/>
      <c r="E4952" s="45" t="str">
        <f>IFERROR(AVERAGEIFS('Picarro Output'!G:G, 'Picarro Output'!$B:$B, 'Uncalibrated Data'!$C4952, 'Picarro Output'!$I:$I, 0, 'Picarro Output'!$J:$J, 1), "")</f>
        <v/>
      </c>
    </row>
    <row r="4953" spans="2:5" x14ac:dyDescent="0.45">
      <c r="B4953" s="1"/>
      <c r="E4953" s="45" t="str">
        <f>IFERROR(AVERAGEIFS('Picarro Output'!G:G, 'Picarro Output'!$B:$B, 'Uncalibrated Data'!$C4953, 'Picarro Output'!$I:$I, 0, 'Picarro Output'!$J:$J, 1), "")</f>
        <v/>
      </c>
    </row>
    <row r="4954" spans="2:5" x14ac:dyDescent="0.45">
      <c r="B4954" s="1"/>
      <c r="E4954" s="45" t="str">
        <f>IFERROR(AVERAGEIFS('Picarro Output'!G:G, 'Picarro Output'!$B:$B, 'Uncalibrated Data'!$C4954, 'Picarro Output'!$I:$I, 0, 'Picarro Output'!$J:$J, 1), "")</f>
        <v/>
      </c>
    </row>
    <row r="4955" spans="2:5" x14ac:dyDescent="0.45">
      <c r="B4955" s="1"/>
      <c r="E4955" s="45" t="str">
        <f>IFERROR(AVERAGEIFS('Picarro Output'!G:G, 'Picarro Output'!$B:$B, 'Uncalibrated Data'!$C4955, 'Picarro Output'!$I:$I, 0, 'Picarro Output'!$J:$J, 1), "")</f>
        <v/>
      </c>
    </row>
    <row r="4956" spans="2:5" x14ac:dyDescent="0.45">
      <c r="B4956" s="1"/>
      <c r="E4956" s="45" t="str">
        <f>IFERROR(AVERAGEIFS('Picarro Output'!G:G, 'Picarro Output'!$B:$B, 'Uncalibrated Data'!$C4956, 'Picarro Output'!$I:$I, 0, 'Picarro Output'!$J:$J, 1), "")</f>
        <v/>
      </c>
    </row>
    <row r="4957" spans="2:5" x14ac:dyDescent="0.45">
      <c r="B4957" s="1"/>
      <c r="E4957" s="45" t="str">
        <f>IFERROR(AVERAGEIFS('Picarro Output'!G:G, 'Picarro Output'!$B:$B, 'Uncalibrated Data'!$C4957, 'Picarro Output'!$I:$I, 0, 'Picarro Output'!$J:$J, 1), "")</f>
        <v/>
      </c>
    </row>
    <row r="4958" spans="2:5" x14ac:dyDescent="0.45">
      <c r="B4958" s="1"/>
      <c r="E4958" s="45" t="str">
        <f>IFERROR(AVERAGEIFS('Picarro Output'!G:G, 'Picarro Output'!$B:$B, 'Uncalibrated Data'!$C4958, 'Picarro Output'!$I:$I, 0, 'Picarro Output'!$J:$J, 1), "")</f>
        <v/>
      </c>
    </row>
    <row r="4959" spans="2:5" x14ac:dyDescent="0.45">
      <c r="B4959" s="1"/>
      <c r="E4959" s="45" t="str">
        <f>IFERROR(AVERAGEIFS('Picarro Output'!G:G, 'Picarro Output'!$B:$B, 'Uncalibrated Data'!$C4959, 'Picarro Output'!$I:$I, 0, 'Picarro Output'!$J:$J, 1), "")</f>
        <v/>
      </c>
    </row>
    <row r="4960" spans="2:5" x14ac:dyDescent="0.45">
      <c r="B4960" s="1"/>
      <c r="E4960" s="45" t="str">
        <f>IFERROR(AVERAGEIFS('Picarro Output'!G:G, 'Picarro Output'!$B:$B, 'Uncalibrated Data'!$C4960, 'Picarro Output'!$I:$I, 0, 'Picarro Output'!$J:$J, 1), "")</f>
        <v/>
      </c>
    </row>
    <row r="4961" spans="2:5" x14ac:dyDescent="0.45">
      <c r="B4961" s="1"/>
      <c r="E4961" s="45" t="str">
        <f>IFERROR(AVERAGEIFS('Picarro Output'!G:G, 'Picarro Output'!$B:$B, 'Uncalibrated Data'!$C4961, 'Picarro Output'!$I:$I, 0, 'Picarro Output'!$J:$J, 1), "")</f>
        <v/>
      </c>
    </row>
    <row r="4962" spans="2:5" x14ac:dyDescent="0.45">
      <c r="B4962" s="1"/>
      <c r="E4962" s="45" t="str">
        <f>IFERROR(AVERAGEIFS('Picarro Output'!G:G, 'Picarro Output'!$B:$B, 'Uncalibrated Data'!$C4962, 'Picarro Output'!$I:$I, 0, 'Picarro Output'!$J:$J, 1), "")</f>
        <v/>
      </c>
    </row>
    <row r="4963" spans="2:5" x14ac:dyDescent="0.45">
      <c r="B4963" s="1"/>
      <c r="E4963" s="45" t="str">
        <f>IFERROR(AVERAGEIFS('Picarro Output'!G:G, 'Picarro Output'!$B:$B, 'Uncalibrated Data'!$C4963, 'Picarro Output'!$I:$I, 0, 'Picarro Output'!$J:$J, 1), "")</f>
        <v/>
      </c>
    </row>
    <row r="4964" spans="2:5" x14ac:dyDescent="0.45">
      <c r="B4964" s="1"/>
      <c r="E4964" s="45" t="str">
        <f>IFERROR(AVERAGEIFS('Picarro Output'!G:G, 'Picarro Output'!$B:$B, 'Uncalibrated Data'!$C4964, 'Picarro Output'!$I:$I, 0, 'Picarro Output'!$J:$J, 1), "")</f>
        <v/>
      </c>
    </row>
    <row r="4965" spans="2:5" x14ac:dyDescent="0.45">
      <c r="B4965" s="1"/>
      <c r="E4965" s="45" t="str">
        <f>IFERROR(AVERAGEIFS('Picarro Output'!G:G, 'Picarro Output'!$B:$B, 'Uncalibrated Data'!$C4965, 'Picarro Output'!$I:$I, 0, 'Picarro Output'!$J:$J, 1), "")</f>
        <v/>
      </c>
    </row>
    <row r="4966" spans="2:5" x14ac:dyDescent="0.45">
      <c r="B4966" s="1"/>
      <c r="E4966" s="45" t="str">
        <f>IFERROR(AVERAGEIFS('Picarro Output'!G:G, 'Picarro Output'!$B:$B, 'Uncalibrated Data'!$C4966, 'Picarro Output'!$I:$I, 0, 'Picarro Output'!$J:$J, 1), "")</f>
        <v/>
      </c>
    </row>
    <row r="4967" spans="2:5" x14ac:dyDescent="0.45">
      <c r="B4967" s="1"/>
      <c r="E4967" s="45" t="str">
        <f>IFERROR(AVERAGEIFS('Picarro Output'!G:G, 'Picarro Output'!$B:$B, 'Uncalibrated Data'!$C4967, 'Picarro Output'!$I:$I, 0, 'Picarro Output'!$J:$J, 1), "")</f>
        <v/>
      </c>
    </row>
    <row r="4968" spans="2:5" x14ac:dyDescent="0.45">
      <c r="B4968" s="1"/>
      <c r="E4968" s="45" t="str">
        <f>IFERROR(AVERAGEIFS('Picarro Output'!G:G, 'Picarro Output'!$B:$B, 'Uncalibrated Data'!$C4968, 'Picarro Output'!$I:$I, 0, 'Picarro Output'!$J:$J, 1), "")</f>
        <v/>
      </c>
    </row>
    <row r="4969" spans="2:5" x14ac:dyDescent="0.45">
      <c r="B4969" s="1"/>
      <c r="E4969" s="45" t="str">
        <f>IFERROR(AVERAGEIFS('Picarro Output'!G:G, 'Picarro Output'!$B:$B, 'Uncalibrated Data'!$C4969, 'Picarro Output'!$I:$I, 0, 'Picarro Output'!$J:$J, 1), "")</f>
        <v/>
      </c>
    </row>
    <row r="4970" spans="2:5" x14ac:dyDescent="0.45">
      <c r="B4970" s="1"/>
      <c r="E4970" s="45" t="str">
        <f>IFERROR(AVERAGEIFS('Picarro Output'!G:G, 'Picarro Output'!$B:$B, 'Uncalibrated Data'!$C4970, 'Picarro Output'!$I:$I, 0, 'Picarro Output'!$J:$J, 1), "")</f>
        <v/>
      </c>
    </row>
    <row r="4971" spans="2:5" x14ac:dyDescent="0.45">
      <c r="B4971" s="1"/>
      <c r="E4971" s="45" t="str">
        <f>IFERROR(AVERAGEIFS('Picarro Output'!G:G, 'Picarro Output'!$B:$B, 'Uncalibrated Data'!$C4971, 'Picarro Output'!$I:$I, 0, 'Picarro Output'!$J:$J, 1), "")</f>
        <v/>
      </c>
    </row>
    <row r="4972" spans="2:5" x14ac:dyDescent="0.45">
      <c r="B4972" s="1"/>
      <c r="E4972" s="45" t="str">
        <f>IFERROR(AVERAGEIFS('Picarro Output'!G:G, 'Picarro Output'!$B:$B, 'Uncalibrated Data'!$C4972, 'Picarro Output'!$I:$I, 0, 'Picarro Output'!$J:$J, 1), "")</f>
        <v/>
      </c>
    </row>
    <row r="4973" spans="2:5" x14ac:dyDescent="0.45">
      <c r="B4973" s="1"/>
      <c r="E4973" s="45" t="str">
        <f>IFERROR(AVERAGEIFS('Picarro Output'!G:G, 'Picarro Output'!$B:$B, 'Uncalibrated Data'!$C4973, 'Picarro Output'!$I:$I, 0, 'Picarro Output'!$J:$J, 1), "")</f>
        <v/>
      </c>
    </row>
    <row r="4974" spans="2:5" x14ac:dyDescent="0.45">
      <c r="B4974" s="1"/>
      <c r="E4974" s="45" t="str">
        <f>IFERROR(AVERAGEIFS('Picarro Output'!G:G, 'Picarro Output'!$B:$B, 'Uncalibrated Data'!$C4974, 'Picarro Output'!$I:$I, 0, 'Picarro Output'!$J:$J, 1), "")</f>
        <v/>
      </c>
    </row>
    <row r="4975" spans="2:5" x14ac:dyDescent="0.45">
      <c r="B4975" s="1"/>
      <c r="E4975" s="45" t="str">
        <f>IFERROR(AVERAGEIFS('Picarro Output'!G:G, 'Picarro Output'!$B:$B, 'Uncalibrated Data'!$C4975, 'Picarro Output'!$I:$I, 0, 'Picarro Output'!$J:$J, 1), "")</f>
        <v/>
      </c>
    </row>
    <row r="4976" spans="2:5" x14ac:dyDescent="0.45">
      <c r="B4976" s="1"/>
      <c r="E4976" s="45" t="str">
        <f>IFERROR(AVERAGEIFS('Picarro Output'!G:G, 'Picarro Output'!$B:$B, 'Uncalibrated Data'!$C4976, 'Picarro Output'!$I:$I, 0, 'Picarro Output'!$J:$J, 1), "")</f>
        <v/>
      </c>
    </row>
    <row r="4977" spans="2:5" x14ac:dyDescent="0.45">
      <c r="B4977" s="1"/>
      <c r="E4977" s="45" t="str">
        <f>IFERROR(AVERAGEIFS('Picarro Output'!G:G, 'Picarro Output'!$B:$B, 'Uncalibrated Data'!$C4977, 'Picarro Output'!$I:$I, 0, 'Picarro Output'!$J:$J, 1), "")</f>
        <v/>
      </c>
    </row>
    <row r="4978" spans="2:5" x14ac:dyDescent="0.45">
      <c r="B4978" s="1"/>
      <c r="E4978" s="45" t="str">
        <f>IFERROR(AVERAGEIFS('Picarro Output'!G:G, 'Picarro Output'!$B:$B, 'Uncalibrated Data'!$C4978, 'Picarro Output'!$I:$I, 0, 'Picarro Output'!$J:$J, 1), "")</f>
        <v/>
      </c>
    </row>
    <row r="4979" spans="2:5" x14ac:dyDescent="0.45">
      <c r="B4979" s="1"/>
      <c r="E4979" s="45" t="str">
        <f>IFERROR(AVERAGEIFS('Picarro Output'!G:G, 'Picarro Output'!$B:$B, 'Uncalibrated Data'!$C4979, 'Picarro Output'!$I:$I, 0, 'Picarro Output'!$J:$J, 1), "")</f>
        <v/>
      </c>
    </row>
    <row r="4980" spans="2:5" x14ac:dyDescent="0.45">
      <c r="B4980" s="1"/>
      <c r="E4980" s="45" t="str">
        <f>IFERROR(AVERAGEIFS('Picarro Output'!G:G, 'Picarro Output'!$B:$B, 'Uncalibrated Data'!$C4980, 'Picarro Output'!$I:$I, 0, 'Picarro Output'!$J:$J, 1), "")</f>
        <v/>
      </c>
    </row>
    <row r="4981" spans="2:5" x14ac:dyDescent="0.45">
      <c r="B4981" s="1"/>
      <c r="E4981" s="45" t="str">
        <f>IFERROR(AVERAGEIFS('Picarro Output'!G:G, 'Picarro Output'!$B:$B, 'Uncalibrated Data'!$C4981, 'Picarro Output'!$I:$I, 0, 'Picarro Output'!$J:$J, 1), "")</f>
        <v/>
      </c>
    </row>
    <row r="4982" spans="2:5" x14ac:dyDescent="0.45">
      <c r="B4982" s="1"/>
      <c r="E4982" s="45" t="str">
        <f>IFERROR(AVERAGEIFS('Picarro Output'!G:G, 'Picarro Output'!$B:$B, 'Uncalibrated Data'!$C4982, 'Picarro Output'!$I:$I, 0, 'Picarro Output'!$J:$J, 1), "")</f>
        <v/>
      </c>
    </row>
    <row r="4983" spans="2:5" x14ac:dyDescent="0.45">
      <c r="B4983" s="1"/>
      <c r="E4983" s="45" t="str">
        <f>IFERROR(AVERAGEIFS('Picarro Output'!G:G, 'Picarro Output'!$B:$B, 'Uncalibrated Data'!$C4983, 'Picarro Output'!$I:$I, 0, 'Picarro Output'!$J:$J, 1), "")</f>
        <v/>
      </c>
    </row>
    <row r="4984" spans="2:5" x14ac:dyDescent="0.45">
      <c r="B4984" s="1"/>
      <c r="E4984" s="45" t="str">
        <f>IFERROR(AVERAGEIFS('Picarro Output'!G:G, 'Picarro Output'!$B:$B, 'Uncalibrated Data'!$C4984, 'Picarro Output'!$I:$I, 0, 'Picarro Output'!$J:$J, 1), "")</f>
        <v/>
      </c>
    </row>
    <row r="4985" spans="2:5" x14ac:dyDescent="0.45">
      <c r="B4985" s="1"/>
      <c r="E4985" s="45" t="str">
        <f>IFERROR(AVERAGEIFS('Picarro Output'!G:G, 'Picarro Output'!$B:$B, 'Uncalibrated Data'!$C4985, 'Picarro Output'!$I:$I, 0, 'Picarro Output'!$J:$J, 1), "")</f>
        <v/>
      </c>
    </row>
    <row r="4986" spans="2:5" x14ac:dyDescent="0.45">
      <c r="B4986" s="1"/>
      <c r="E4986" s="45" t="str">
        <f>IFERROR(AVERAGEIFS('Picarro Output'!G:G, 'Picarro Output'!$B:$B, 'Uncalibrated Data'!$C4986, 'Picarro Output'!$I:$I, 0, 'Picarro Output'!$J:$J, 1), "")</f>
        <v/>
      </c>
    </row>
    <row r="4987" spans="2:5" x14ac:dyDescent="0.45">
      <c r="B4987" s="1"/>
      <c r="E4987" s="45" t="str">
        <f>IFERROR(AVERAGEIFS('Picarro Output'!G:G, 'Picarro Output'!$B:$B, 'Uncalibrated Data'!$C4987, 'Picarro Output'!$I:$I, 0, 'Picarro Output'!$J:$J, 1), "")</f>
        <v/>
      </c>
    </row>
    <row r="4988" spans="2:5" x14ac:dyDescent="0.45">
      <c r="B4988" s="1"/>
      <c r="E4988" s="45" t="str">
        <f>IFERROR(AVERAGEIFS('Picarro Output'!G:G, 'Picarro Output'!$B:$B, 'Uncalibrated Data'!$C4988, 'Picarro Output'!$I:$I, 0, 'Picarro Output'!$J:$J, 1), "")</f>
        <v/>
      </c>
    </row>
    <row r="4989" spans="2:5" x14ac:dyDescent="0.45">
      <c r="B4989" s="1"/>
      <c r="E4989" s="45" t="str">
        <f>IFERROR(AVERAGEIFS('Picarro Output'!G:G, 'Picarro Output'!$B:$B, 'Uncalibrated Data'!$C4989, 'Picarro Output'!$I:$I, 0, 'Picarro Output'!$J:$J, 1), "")</f>
        <v/>
      </c>
    </row>
    <row r="4990" spans="2:5" x14ac:dyDescent="0.45">
      <c r="B4990" s="1"/>
      <c r="E4990" s="45" t="str">
        <f>IFERROR(AVERAGEIFS('Picarro Output'!G:G, 'Picarro Output'!$B:$B, 'Uncalibrated Data'!$C4990, 'Picarro Output'!$I:$I, 0, 'Picarro Output'!$J:$J, 1), "")</f>
        <v/>
      </c>
    </row>
    <row r="4991" spans="2:5" x14ac:dyDescent="0.45">
      <c r="B4991" s="1"/>
      <c r="E4991" s="45" t="str">
        <f>IFERROR(AVERAGEIFS('Picarro Output'!G:G, 'Picarro Output'!$B:$B, 'Uncalibrated Data'!$C4991, 'Picarro Output'!$I:$I, 0, 'Picarro Output'!$J:$J, 1), "")</f>
        <v/>
      </c>
    </row>
    <row r="4992" spans="2:5" x14ac:dyDescent="0.45">
      <c r="B4992" s="1"/>
      <c r="E4992" s="45" t="str">
        <f>IFERROR(AVERAGEIFS('Picarro Output'!G:G, 'Picarro Output'!$B:$B, 'Uncalibrated Data'!$C4992, 'Picarro Output'!$I:$I, 0, 'Picarro Output'!$J:$J, 1), "")</f>
        <v/>
      </c>
    </row>
    <row r="4993" spans="2:5" x14ac:dyDescent="0.45">
      <c r="B4993" s="1"/>
      <c r="E4993" s="45" t="str">
        <f>IFERROR(AVERAGEIFS('Picarro Output'!G:G, 'Picarro Output'!$B:$B, 'Uncalibrated Data'!$C4993, 'Picarro Output'!$I:$I, 0, 'Picarro Output'!$J:$J, 1), "")</f>
        <v/>
      </c>
    </row>
    <row r="4994" spans="2:5" x14ac:dyDescent="0.45">
      <c r="B4994" s="1"/>
      <c r="E4994" s="45" t="str">
        <f>IFERROR(AVERAGEIFS('Picarro Output'!G:G, 'Picarro Output'!$B:$B, 'Uncalibrated Data'!$C4994, 'Picarro Output'!$I:$I, 0, 'Picarro Output'!$J:$J, 1), "")</f>
        <v/>
      </c>
    </row>
    <row r="4995" spans="2:5" x14ac:dyDescent="0.45">
      <c r="B4995" s="1"/>
      <c r="E4995" s="45" t="str">
        <f>IFERROR(AVERAGEIFS('Picarro Output'!G:G, 'Picarro Output'!$B:$B, 'Uncalibrated Data'!$C4995, 'Picarro Output'!$I:$I, 0, 'Picarro Output'!$J:$J, 1), "")</f>
        <v/>
      </c>
    </row>
    <row r="4996" spans="2:5" x14ac:dyDescent="0.45">
      <c r="B4996" s="1"/>
      <c r="E4996" s="45" t="str">
        <f>IFERROR(AVERAGEIFS('Picarro Output'!G:G, 'Picarro Output'!$B:$B, 'Uncalibrated Data'!$C4996, 'Picarro Output'!$I:$I, 0, 'Picarro Output'!$J:$J, 1), "")</f>
        <v/>
      </c>
    </row>
    <row r="4997" spans="2:5" x14ac:dyDescent="0.45">
      <c r="B4997" s="1"/>
      <c r="E4997" s="45" t="str">
        <f>IFERROR(AVERAGEIFS('Picarro Output'!G:G, 'Picarro Output'!$B:$B, 'Uncalibrated Data'!$C4997, 'Picarro Output'!$I:$I, 0, 'Picarro Output'!$J:$J, 1), "")</f>
        <v/>
      </c>
    </row>
    <row r="4998" spans="2:5" x14ac:dyDescent="0.45">
      <c r="B4998" s="1"/>
      <c r="E4998" s="45" t="str">
        <f>IFERROR(AVERAGEIFS('Picarro Output'!G:G, 'Picarro Output'!$B:$B, 'Uncalibrated Data'!$C4998, 'Picarro Output'!$I:$I, 0, 'Picarro Output'!$J:$J, 1), "")</f>
        <v/>
      </c>
    </row>
    <row r="4999" spans="2:5" x14ac:dyDescent="0.45">
      <c r="B4999" s="1"/>
      <c r="E4999" s="45" t="str">
        <f>IFERROR(AVERAGEIFS('Picarro Output'!G:G, 'Picarro Output'!$B:$B, 'Uncalibrated Data'!$C4999, 'Picarro Output'!$I:$I, 0, 'Picarro Output'!$J:$J, 1), "")</f>
        <v/>
      </c>
    </row>
    <row r="5000" spans="2:5" x14ac:dyDescent="0.45">
      <c r="B5000" s="1"/>
      <c r="E5000" s="45" t="str">
        <f>IFERROR(AVERAGEIFS('Picarro Output'!G:G, 'Picarro Output'!$B:$B, 'Uncalibrated Data'!$C5000, 'Picarro Output'!$I:$I, 0, 'Picarro Output'!$J:$J, 1), "")</f>
        <v/>
      </c>
    </row>
    <row r="5001" spans="2:5" x14ac:dyDescent="0.45">
      <c r="B5001" s="1"/>
      <c r="E5001" s="45" t="str">
        <f>IFERROR(AVERAGEIFS('Picarro Output'!G:G, 'Picarro Output'!$B:$B, 'Uncalibrated Data'!$C5001, 'Picarro Output'!$I:$I, 0, 'Picarro Output'!$J:$J, 1), "")</f>
        <v/>
      </c>
    </row>
    <row r="5002" spans="2:5" x14ac:dyDescent="0.45">
      <c r="B5002" s="1"/>
      <c r="E5002" s="45" t="str">
        <f>IFERROR(AVERAGEIFS('Picarro Output'!G:G, 'Picarro Output'!$B:$B, 'Uncalibrated Data'!$C5002, 'Picarro Output'!$I:$I, 0, 'Picarro Output'!$J:$J, 1), "")</f>
        <v/>
      </c>
    </row>
    <row r="5003" spans="2:5" x14ac:dyDescent="0.45">
      <c r="B5003" s="1"/>
      <c r="E5003" s="45" t="str">
        <f>IFERROR(AVERAGEIFS('Picarro Output'!G:G, 'Picarro Output'!$B:$B, 'Uncalibrated Data'!$C5003, 'Picarro Output'!$I:$I, 0, 'Picarro Output'!$J:$J, 1), "")</f>
        <v/>
      </c>
    </row>
    <row r="5004" spans="2:5" x14ac:dyDescent="0.45">
      <c r="B5004" s="1"/>
      <c r="E5004" s="45" t="str">
        <f>IFERROR(AVERAGEIFS('Picarro Output'!G:G, 'Picarro Output'!$B:$B, 'Uncalibrated Data'!$C5004, 'Picarro Output'!$I:$I, 0, 'Picarro Output'!$J:$J, 1), "")</f>
        <v/>
      </c>
    </row>
    <row r="5005" spans="2:5" x14ac:dyDescent="0.45">
      <c r="B5005" s="1"/>
      <c r="E5005" s="45" t="str">
        <f>IFERROR(AVERAGEIFS('Picarro Output'!G:G, 'Picarro Output'!$B:$B, 'Uncalibrated Data'!$C5005, 'Picarro Output'!$I:$I, 0, 'Picarro Output'!$J:$J, 1), "")</f>
        <v/>
      </c>
    </row>
    <row r="5006" spans="2:5" x14ac:dyDescent="0.45">
      <c r="B5006" s="1"/>
      <c r="E5006" s="45" t="str">
        <f>IFERROR(AVERAGEIFS('Picarro Output'!G:G, 'Picarro Output'!$B:$B, 'Uncalibrated Data'!$C5006, 'Picarro Output'!$I:$I, 0, 'Picarro Output'!$J:$J, 1), "")</f>
        <v/>
      </c>
    </row>
    <row r="5007" spans="2:5" x14ac:dyDescent="0.45">
      <c r="B5007" s="1"/>
      <c r="E5007" s="45" t="str">
        <f>IFERROR(AVERAGEIFS('Picarro Output'!G:G, 'Picarro Output'!$B:$B, 'Uncalibrated Data'!$C5007, 'Picarro Output'!$I:$I, 0, 'Picarro Output'!$J:$J, 1), "")</f>
        <v/>
      </c>
    </row>
    <row r="5008" spans="2:5" x14ac:dyDescent="0.45">
      <c r="B5008" s="1"/>
      <c r="E5008" s="45" t="str">
        <f>IFERROR(AVERAGEIFS('Picarro Output'!G:G, 'Picarro Output'!$B:$B, 'Uncalibrated Data'!$C5008, 'Picarro Output'!$I:$I, 0, 'Picarro Output'!$J:$J, 1), "")</f>
        <v/>
      </c>
    </row>
    <row r="5009" spans="2:5" x14ac:dyDescent="0.45">
      <c r="B5009" s="1"/>
      <c r="E5009" s="45" t="str">
        <f>IFERROR(AVERAGEIFS('Picarro Output'!G:G, 'Picarro Output'!$B:$B, 'Uncalibrated Data'!$C5009, 'Picarro Output'!$I:$I, 0, 'Picarro Output'!$J:$J, 1), "")</f>
        <v/>
      </c>
    </row>
    <row r="5010" spans="2:5" x14ac:dyDescent="0.45">
      <c r="B5010" s="1"/>
      <c r="E5010" s="45" t="str">
        <f>IFERROR(AVERAGEIFS('Picarro Output'!G:G, 'Picarro Output'!$B:$B, 'Uncalibrated Data'!$C5010, 'Picarro Output'!$I:$I, 0, 'Picarro Output'!$J:$J, 1), "")</f>
        <v/>
      </c>
    </row>
    <row r="5011" spans="2:5" x14ac:dyDescent="0.45">
      <c r="B5011" s="1"/>
      <c r="E5011" s="45" t="str">
        <f>IFERROR(AVERAGEIFS('Picarro Output'!G:G, 'Picarro Output'!$B:$B, 'Uncalibrated Data'!$C5011, 'Picarro Output'!$I:$I, 0, 'Picarro Output'!$J:$J, 1), "")</f>
        <v/>
      </c>
    </row>
    <row r="5012" spans="2:5" x14ac:dyDescent="0.45">
      <c r="B5012" s="1"/>
      <c r="E5012" s="45" t="str">
        <f>IFERROR(AVERAGEIFS('Picarro Output'!G:G, 'Picarro Output'!$B:$B, 'Uncalibrated Data'!$C5012, 'Picarro Output'!$I:$I, 0, 'Picarro Output'!$J:$J, 1), "")</f>
        <v/>
      </c>
    </row>
    <row r="5013" spans="2:5" x14ac:dyDescent="0.45">
      <c r="B5013" s="1"/>
      <c r="E5013" s="45" t="str">
        <f>IFERROR(AVERAGEIFS('Picarro Output'!G:G, 'Picarro Output'!$B:$B, 'Uncalibrated Data'!$C5013, 'Picarro Output'!$I:$I, 0, 'Picarro Output'!$J:$J, 1), "")</f>
        <v/>
      </c>
    </row>
    <row r="5014" spans="2:5" x14ac:dyDescent="0.45">
      <c r="B5014" s="1"/>
      <c r="E5014" s="45" t="str">
        <f>IFERROR(AVERAGEIFS('Picarro Output'!G:G, 'Picarro Output'!$B:$B, 'Uncalibrated Data'!$C5014, 'Picarro Output'!$I:$I, 0, 'Picarro Output'!$J:$J, 1), "")</f>
        <v/>
      </c>
    </row>
    <row r="5015" spans="2:5" x14ac:dyDescent="0.45">
      <c r="B5015" s="1"/>
      <c r="E5015" s="45" t="str">
        <f>IFERROR(AVERAGEIFS('Picarro Output'!G:G, 'Picarro Output'!$B:$B, 'Uncalibrated Data'!$C5015, 'Picarro Output'!$I:$I, 0, 'Picarro Output'!$J:$J, 1), "")</f>
        <v/>
      </c>
    </row>
    <row r="5016" spans="2:5" x14ac:dyDescent="0.45">
      <c r="B5016" s="1"/>
      <c r="E5016" s="45" t="str">
        <f>IFERROR(AVERAGEIFS('Picarro Output'!G:G, 'Picarro Output'!$B:$B, 'Uncalibrated Data'!$C5016, 'Picarro Output'!$I:$I, 0, 'Picarro Output'!$J:$J, 1), "")</f>
        <v/>
      </c>
    </row>
    <row r="5017" spans="2:5" x14ac:dyDescent="0.45">
      <c r="B5017" s="1"/>
      <c r="E5017" s="45" t="str">
        <f>IFERROR(AVERAGEIFS('Picarro Output'!G:G, 'Picarro Output'!$B:$B, 'Uncalibrated Data'!$C5017, 'Picarro Output'!$I:$I, 0, 'Picarro Output'!$J:$J, 1), "")</f>
        <v/>
      </c>
    </row>
    <row r="5018" spans="2:5" x14ac:dyDescent="0.45">
      <c r="B5018" s="1"/>
      <c r="E5018" s="45" t="str">
        <f>IFERROR(AVERAGEIFS('Picarro Output'!G:G, 'Picarro Output'!$B:$B, 'Uncalibrated Data'!$C5018, 'Picarro Output'!$I:$I, 0, 'Picarro Output'!$J:$J, 1), "")</f>
        <v/>
      </c>
    </row>
    <row r="5019" spans="2:5" x14ac:dyDescent="0.45">
      <c r="B5019" s="1"/>
      <c r="E5019" s="45" t="str">
        <f>IFERROR(AVERAGEIFS('Picarro Output'!G:G, 'Picarro Output'!$B:$B, 'Uncalibrated Data'!$C5019, 'Picarro Output'!$I:$I, 0, 'Picarro Output'!$J:$J, 1), "")</f>
        <v/>
      </c>
    </row>
    <row r="5020" spans="2:5" x14ac:dyDescent="0.45">
      <c r="B5020" s="1"/>
      <c r="E5020" s="45" t="str">
        <f>IFERROR(AVERAGEIFS('Picarro Output'!G:G, 'Picarro Output'!$B:$B, 'Uncalibrated Data'!$C5020, 'Picarro Output'!$I:$I, 0, 'Picarro Output'!$J:$J, 1), "")</f>
        <v/>
      </c>
    </row>
    <row r="5021" spans="2:5" x14ac:dyDescent="0.45">
      <c r="B5021" s="1"/>
      <c r="E5021" s="45" t="str">
        <f>IFERROR(AVERAGEIFS('Picarro Output'!G:G, 'Picarro Output'!$B:$B, 'Uncalibrated Data'!$C5021, 'Picarro Output'!$I:$I, 0, 'Picarro Output'!$J:$J, 1), "")</f>
        <v/>
      </c>
    </row>
    <row r="5022" spans="2:5" x14ac:dyDescent="0.45">
      <c r="B5022" s="1"/>
      <c r="E5022" s="45" t="str">
        <f>IFERROR(AVERAGEIFS('Picarro Output'!G:G, 'Picarro Output'!$B:$B, 'Uncalibrated Data'!$C5022, 'Picarro Output'!$I:$I, 0, 'Picarro Output'!$J:$J, 1), "")</f>
        <v/>
      </c>
    </row>
    <row r="5023" spans="2:5" x14ac:dyDescent="0.45">
      <c r="B5023" s="1"/>
      <c r="E5023" s="45" t="str">
        <f>IFERROR(AVERAGEIFS('Picarro Output'!G:G, 'Picarro Output'!$B:$B, 'Uncalibrated Data'!$C5023, 'Picarro Output'!$I:$I, 0, 'Picarro Output'!$J:$J, 1), "")</f>
        <v/>
      </c>
    </row>
    <row r="5024" spans="2:5" x14ac:dyDescent="0.45">
      <c r="B5024" s="1"/>
      <c r="E5024" s="45" t="str">
        <f>IFERROR(AVERAGEIFS('Picarro Output'!G:G, 'Picarro Output'!$B:$B, 'Uncalibrated Data'!$C5024, 'Picarro Output'!$I:$I, 0, 'Picarro Output'!$J:$J, 1), "")</f>
        <v/>
      </c>
    </row>
    <row r="5025" spans="2:5" x14ac:dyDescent="0.45">
      <c r="B5025" s="1"/>
      <c r="E5025" s="45" t="str">
        <f>IFERROR(AVERAGEIFS('Picarro Output'!G:G, 'Picarro Output'!$B:$B, 'Uncalibrated Data'!$C5025, 'Picarro Output'!$I:$I, 0, 'Picarro Output'!$J:$J, 1), "")</f>
        <v/>
      </c>
    </row>
    <row r="5026" spans="2:5" x14ac:dyDescent="0.45">
      <c r="B5026" s="1"/>
      <c r="E5026" s="45" t="str">
        <f>IFERROR(AVERAGEIFS('Picarro Output'!G:G, 'Picarro Output'!$B:$B, 'Uncalibrated Data'!$C5026, 'Picarro Output'!$I:$I, 0, 'Picarro Output'!$J:$J, 1), "")</f>
        <v/>
      </c>
    </row>
    <row r="5027" spans="2:5" x14ac:dyDescent="0.45">
      <c r="B5027" s="1"/>
      <c r="E5027" s="45" t="str">
        <f>IFERROR(AVERAGEIFS('Picarro Output'!G:G, 'Picarro Output'!$B:$B, 'Uncalibrated Data'!$C5027, 'Picarro Output'!$I:$I, 0, 'Picarro Output'!$J:$J, 1), "")</f>
        <v/>
      </c>
    </row>
    <row r="5028" spans="2:5" x14ac:dyDescent="0.45">
      <c r="B5028" s="1"/>
      <c r="E5028" s="45" t="str">
        <f>IFERROR(AVERAGEIFS('Picarro Output'!G:G, 'Picarro Output'!$B:$B, 'Uncalibrated Data'!$C5028, 'Picarro Output'!$I:$I, 0, 'Picarro Output'!$J:$J, 1), "")</f>
        <v/>
      </c>
    </row>
    <row r="5029" spans="2:5" x14ac:dyDescent="0.45">
      <c r="B5029" s="1"/>
      <c r="E5029" s="45" t="str">
        <f>IFERROR(AVERAGEIFS('Picarro Output'!G:G, 'Picarro Output'!$B:$B, 'Uncalibrated Data'!$C5029, 'Picarro Output'!$I:$I, 0, 'Picarro Output'!$J:$J, 1), "")</f>
        <v/>
      </c>
    </row>
    <row r="5030" spans="2:5" x14ac:dyDescent="0.45">
      <c r="B5030" s="1"/>
      <c r="E5030" s="45" t="str">
        <f>IFERROR(AVERAGEIFS('Picarro Output'!G:G, 'Picarro Output'!$B:$B, 'Uncalibrated Data'!$C5030, 'Picarro Output'!$I:$I, 0, 'Picarro Output'!$J:$J, 1), "")</f>
        <v/>
      </c>
    </row>
    <row r="5031" spans="2:5" x14ac:dyDescent="0.45">
      <c r="B5031" s="1"/>
      <c r="E5031" s="45" t="str">
        <f>IFERROR(AVERAGEIFS('Picarro Output'!G:G, 'Picarro Output'!$B:$B, 'Uncalibrated Data'!$C5031, 'Picarro Output'!$I:$I, 0, 'Picarro Output'!$J:$J, 1), "")</f>
        <v/>
      </c>
    </row>
    <row r="5032" spans="2:5" x14ac:dyDescent="0.45">
      <c r="B5032" s="1"/>
      <c r="E5032" s="45" t="str">
        <f>IFERROR(AVERAGEIFS('Picarro Output'!G:G, 'Picarro Output'!$B:$B, 'Uncalibrated Data'!$C5032, 'Picarro Output'!$I:$I, 0, 'Picarro Output'!$J:$J, 1), "")</f>
        <v/>
      </c>
    </row>
    <row r="5033" spans="2:5" x14ac:dyDescent="0.45">
      <c r="B5033" s="1"/>
      <c r="E5033" s="45" t="str">
        <f>IFERROR(AVERAGEIFS('Picarro Output'!G:G, 'Picarro Output'!$B:$B, 'Uncalibrated Data'!$C5033, 'Picarro Output'!$I:$I, 0, 'Picarro Output'!$J:$J, 1), "")</f>
        <v/>
      </c>
    </row>
    <row r="5034" spans="2:5" x14ac:dyDescent="0.45">
      <c r="B5034" s="1"/>
      <c r="E5034" s="45" t="str">
        <f>IFERROR(AVERAGEIFS('Picarro Output'!G:G, 'Picarro Output'!$B:$B, 'Uncalibrated Data'!$C5034, 'Picarro Output'!$I:$I, 0, 'Picarro Output'!$J:$J, 1), "")</f>
        <v/>
      </c>
    </row>
    <row r="5035" spans="2:5" x14ac:dyDescent="0.45">
      <c r="B5035" s="1"/>
      <c r="E5035" s="45" t="str">
        <f>IFERROR(AVERAGEIFS('Picarro Output'!G:G, 'Picarro Output'!$B:$B, 'Uncalibrated Data'!$C5035, 'Picarro Output'!$I:$I, 0, 'Picarro Output'!$J:$J, 1), "")</f>
        <v/>
      </c>
    </row>
    <row r="5036" spans="2:5" x14ac:dyDescent="0.45">
      <c r="B5036" s="1"/>
      <c r="E5036" s="45" t="str">
        <f>IFERROR(AVERAGEIFS('Picarro Output'!G:G, 'Picarro Output'!$B:$B, 'Uncalibrated Data'!$C5036, 'Picarro Output'!$I:$I, 0, 'Picarro Output'!$J:$J, 1), "")</f>
        <v/>
      </c>
    </row>
    <row r="5037" spans="2:5" x14ac:dyDescent="0.45">
      <c r="B5037" s="1"/>
      <c r="E5037" s="45" t="str">
        <f>IFERROR(AVERAGEIFS('Picarro Output'!G:G, 'Picarro Output'!$B:$B, 'Uncalibrated Data'!$C5037, 'Picarro Output'!$I:$I, 0, 'Picarro Output'!$J:$J, 1), "")</f>
        <v/>
      </c>
    </row>
    <row r="5038" spans="2:5" x14ac:dyDescent="0.45">
      <c r="B5038" s="1"/>
      <c r="E5038" s="45" t="str">
        <f>IFERROR(AVERAGEIFS('Picarro Output'!G:G, 'Picarro Output'!$B:$B, 'Uncalibrated Data'!$C5038, 'Picarro Output'!$I:$I, 0, 'Picarro Output'!$J:$J, 1), "")</f>
        <v/>
      </c>
    </row>
    <row r="5039" spans="2:5" x14ac:dyDescent="0.45">
      <c r="B5039" s="1"/>
      <c r="E5039" s="45" t="str">
        <f>IFERROR(AVERAGEIFS('Picarro Output'!G:G, 'Picarro Output'!$B:$B, 'Uncalibrated Data'!$C5039, 'Picarro Output'!$I:$I, 0, 'Picarro Output'!$J:$J, 1), "")</f>
        <v/>
      </c>
    </row>
    <row r="5040" spans="2:5" x14ac:dyDescent="0.45">
      <c r="B5040" s="1"/>
      <c r="E5040" s="45" t="str">
        <f>IFERROR(AVERAGEIFS('Picarro Output'!G:G, 'Picarro Output'!$B:$B, 'Uncalibrated Data'!$C5040, 'Picarro Output'!$I:$I, 0, 'Picarro Output'!$J:$J, 1), "")</f>
        <v/>
      </c>
    </row>
    <row r="5041" spans="2:5" x14ac:dyDescent="0.45">
      <c r="B5041" s="1"/>
      <c r="E5041" s="45" t="str">
        <f>IFERROR(AVERAGEIFS('Picarro Output'!G:G, 'Picarro Output'!$B:$B, 'Uncalibrated Data'!$C5041, 'Picarro Output'!$I:$I, 0, 'Picarro Output'!$J:$J, 1), "")</f>
        <v/>
      </c>
    </row>
    <row r="5042" spans="2:5" x14ac:dyDescent="0.45">
      <c r="B5042" s="1"/>
      <c r="E5042" s="45" t="str">
        <f>IFERROR(AVERAGEIFS('Picarro Output'!G:G, 'Picarro Output'!$B:$B, 'Uncalibrated Data'!$C5042, 'Picarro Output'!$I:$I, 0, 'Picarro Output'!$J:$J, 1), "")</f>
        <v/>
      </c>
    </row>
    <row r="5043" spans="2:5" x14ac:dyDescent="0.45">
      <c r="B5043" s="1"/>
      <c r="E5043" s="45" t="str">
        <f>IFERROR(AVERAGEIFS('Picarro Output'!G:G, 'Picarro Output'!$B:$B, 'Uncalibrated Data'!$C5043, 'Picarro Output'!$I:$I, 0, 'Picarro Output'!$J:$J, 1), "")</f>
        <v/>
      </c>
    </row>
    <row r="5044" spans="2:5" x14ac:dyDescent="0.45">
      <c r="B5044" s="1"/>
      <c r="E5044" s="45" t="str">
        <f>IFERROR(AVERAGEIFS('Picarro Output'!G:G, 'Picarro Output'!$B:$B, 'Uncalibrated Data'!$C5044, 'Picarro Output'!$I:$I, 0, 'Picarro Output'!$J:$J, 1), "")</f>
        <v/>
      </c>
    </row>
    <row r="5045" spans="2:5" x14ac:dyDescent="0.45">
      <c r="B5045" s="1"/>
      <c r="E5045" s="45" t="str">
        <f>IFERROR(AVERAGEIFS('Picarro Output'!G:G, 'Picarro Output'!$B:$B, 'Uncalibrated Data'!$C5045, 'Picarro Output'!$I:$I, 0, 'Picarro Output'!$J:$J, 1), "")</f>
        <v/>
      </c>
    </row>
    <row r="5046" spans="2:5" x14ac:dyDescent="0.45">
      <c r="B5046" s="1"/>
      <c r="E5046" s="45" t="str">
        <f>IFERROR(AVERAGEIFS('Picarro Output'!G:G, 'Picarro Output'!$B:$B, 'Uncalibrated Data'!$C5046, 'Picarro Output'!$I:$I, 0, 'Picarro Output'!$J:$J, 1), "")</f>
        <v/>
      </c>
    </row>
    <row r="5047" spans="2:5" x14ac:dyDescent="0.45">
      <c r="B5047" s="1"/>
      <c r="E5047" s="45" t="str">
        <f>IFERROR(AVERAGEIFS('Picarro Output'!G:G, 'Picarro Output'!$B:$B, 'Uncalibrated Data'!$C5047, 'Picarro Output'!$I:$I, 0, 'Picarro Output'!$J:$J, 1), "")</f>
        <v/>
      </c>
    </row>
    <row r="5048" spans="2:5" x14ac:dyDescent="0.45">
      <c r="B5048" s="1"/>
      <c r="E5048" s="45" t="str">
        <f>IFERROR(AVERAGEIFS('Picarro Output'!G:G, 'Picarro Output'!$B:$B, 'Uncalibrated Data'!$C5048, 'Picarro Output'!$I:$I, 0, 'Picarro Output'!$J:$J, 1), "")</f>
        <v/>
      </c>
    </row>
    <row r="5049" spans="2:5" x14ac:dyDescent="0.45">
      <c r="B5049" s="1"/>
      <c r="E5049" s="45" t="str">
        <f>IFERROR(AVERAGEIFS('Picarro Output'!G:G, 'Picarro Output'!$B:$B, 'Uncalibrated Data'!$C5049, 'Picarro Output'!$I:$I, 0, 'Picarro Output'!$J:$J, 1), "")</f>
        <v/>
      </c>
    </row>
    <row r="5050" spans="2:5" x14ac:dyDescent="0.45">
      <c r="B5050" s="1"/>
      <c r="E5050" s="45" t="str">
        <f>IFERROR(AVERAGEIFS('Picarro Output'!G:G, 'Picarro Output'!$B:$B, 'Uncalibrated Data'!$C5050, 'Picarro Output'!$I:$I, 0, 'Picarro Output'!$J:$J, 1), "")</f>
        <v/>
      </c>
    </row>
    <row r="5051" spans="2:5" x14ac:dyDescent="0.45">
      <c r="B5051" s="1"/>
      <c r="E5051" s="45" t="str">
        <f>IFERROR(AVERAGEIFS('Picarro Output'!G:G, 'Picarro Output'!$B:$B, 'Uncalibrated Data'!$C5051, 'Picarro Output'!$I:$I, 0, 'Picarro Output'!$J:$J, 1), "")</f>
        <v/>
      </c>
    </row>
    <row r="5052" spans="2:5" x14ac:dyDescent="0.45">
      <c r="B5052" s="1"/>
      <c r="E5052" s="45" t="str">
        <f>IFERROR(AVERAGEIFS('Picarro Output'!G:G, 'Picarro Output'!$B:$B, 'Uncalibrated Data'!$C5052, 'Picarro Output'!$I:$I, 0, 'Picarro Output'!$J:$J, 1), "")</f>
        <v/>
      </c>
    </row>
    <row r="5053" spans="2:5" x14ac:dyDescent="0.45">
      <c r="B5053" s="1"/>
      <c r="E5053" s="45" t="str">
        <f>IFERROR(AVERAGEIFS('Picarro Output'!G:G, 'Picarro Output'!$B:$B, 'Uncalibrated Data'!$C5053, 'Picarro Output'!$I:$I, 0, 'Picarro Output'!$J:$J, 1), "")</f>
        <v/>
      </c>
    </row>
    <row r="5054" spans="2:5" x14ac:dyDescent="0.45">
      <c r="B5054" s="1"/>
      <c r="E5054" s="45" t="str">
        <f>IFERROR(AVERAGEIFS('Picarro Output'!G:G, 'Picarro Output'!$B:$B, 'Uncalibrated Data'!$C5054, 'Picarro Output'!$I:$I, 0, 'Picarro Output'!$J:$J, 1), "")</f>
        <v/>
      </c>
    </row>
    <row r="5055" spans="2:5" x14ac:dyDescent="0.45">
      <c r="B5055" s="1"/>
      <c r="E5055" s="45" t="str">
        <f>IFERROR(AVERAGEIFS('Picarro Output'!G:G, 'Picarro Output'!$B:$B, 'Uncalibrated Data'!$C5055, 'Picarro Output'!$I:$I, 0, 'Picarro Output'!$J:$J, 1), "")</f>
        <v/>
      </c>
    </row>
    <row r="5056" spans="2:5" x14ac:dyDescent="0.45">
      <c r="B5056" s="1"/>
      <c r="E5056" s="45" t="str">
        <f>IFERROR(AVERAGEIFS('Picarro Output'!G:G, 'Picarro Output'!$B:$B, 'Uncalibrated Data'!$C5056, 'Picarro Output'!$I:$I, 0, 'Picarro Output'!$J:$J, 1), "")</f>
        <v/>
      </c>
    </row>
    <row r="5057" spans="2:5" x14ac:dyDescent="0.45">
      <c r="B5057" s="1"/>
      <c r="E5057" s="45" t="str">
        <f>IFERROR(AVERAGEIFS('Picarro Output'!G:G, 'Picarro Output'!$B:$B, 'Uncalibrated Data'!$C5057, 'Picarro Output'!$I:$I, 0, 'Picarro Output'!$J:$J, 1), "")</f>
        <v/>
      </c>
    </row>
    <row r="5058" spans="2:5" x14ac:dyDescent="0.45">
      <c r="B5058" s="1"/>
      <c r="E5058" s="45" t="str">
        <f>IFERROR(AVERAGEIFS('Picarro Output'!G:G, 'Picarro Output'!$B:$B, 'Uncalibrated Data'!$C5058, 'Picarro Output'!$I:$I, 0, 'Picarro Output'!$J:$J, 1), "")</f>
        <v/>
      </c>
    </row>
    <row r="5059" spans="2:5" x14ac:dyDescent="0.45">
      <c r="B5059" s="1"/>
      <c r="E5059" s="45" t="str">
        <f>IFERROR(AVERAGEIFS('Picarro Output'!G:G, 'Picarro Output'!$B:$B, 'Uncalibrated Data'!$C5059, 'Picarro Output'!$I:$I, 0, 'Picarro Output'!$J:$J, 1), "")</f>
        <v/>
      </c>
    </row>
    <row r="5060" spans="2:5" x14ac:dyDescent="0.45">
      <c r="B5060" s="1"/>
      <c r="E5060" s="45" t="str">
        <f>IFERROR(AVERAGEIFS('Picarro Output'!G:G, 'Picarro Output'!$B:$B, 'Uncalibrated Data'!$C5060, 'Picarro Output'!$I:$I, 0, 'Picarro Output'!$J:$J, 1), "")</f>
        <v/>
      </c>
    </row>
    <row r="5061" spans="2:5" x14ac:dyDescent="0.45">
      <c r="B5061" s="1"/>
      <c r="E5061" s="45" t="str">
        <f>IFERROR(AVERAGEIFS('Picarro Output'!G:G, 'Picarro Output'!$B:$B, 'Uncalibrated Data'!$C5061, 'Picarro Output'!$I:$I, 0, 'Picarro Output'!$J:$J, 1), "")</f>
        <v/>
      </c>
    </row>
    <row r="5062" spans="2:5" x14ac:dyDescent="0.45">
      <c r="B5062" s="1"/>
      <c r="E5062" s="45" t="str">
        <f>IFERROR(AVERAGEIFS('Picarro Output'!G:G, 'Picarro Output'!$B:$B, 'Uncalibrated Data'!$C5062, 'Picarro Output'!$I:$I, 0, 'Picarro Output'!$J:$J, 1), "")</f>
        <v/>
      </c>
    </row>
    <row r="5063" spans="2:5" x14ac:dyDescent="0.45">
      <c r="B5063" s="1"/>
      <c r="E5063" s="45" t="str">
        <f>IFERROR(AVERAGEIFS('Picarro Output'!G:G, 'Picarro Output'!$B:$B, 'Uncalibrated Data'!$C5063, 'Picarro Output'!$I:$I, 0, 'Picarro Output'!$J:$J, 1), "")</f>
        <v/>
      </c>
    </row>
    <row r="5064" spans="2:5" x14ac:dyDescent="0.45">
      <c r="B5064" s="1"/>
      <c r="E5064" s="45" t="str">
        <f>IFERROR(AVERAGEIFS('Picarro Output'!G:G, 'Picarro Output'!$B:$B, 'Uncalibrated Data'!$C5064, 'Picarro Output'!$I:$I, 0, 'Picarro Output'!$J:$J, 1), "")</f>
        <v/>
      </c>
    </row>
    <row r="5065" spans="2:5" x14ac:dyDescent="0.45">
      <c r="B5065" s="1"/>
      <c r="E5065" s="45" t="str">
        <f>IFERROR(AVERAGEIFS('Picarro Output'!G:G, 'Picarro Output'!$B:$B, 'Uncalibrated Data'!$C5065, 'Picarro Output'!$I:$I, 0, 'Picarro Output'!$J:$J, 1), "")</f>
        <v/>
      </c>
    </row>
    <row r="5066" spans="2:5" x14ac:dyDescent="0.45">
      <c r="B5066" s="1"/>
      <c r="E5066" s="45" t="str">
        <f>IFERROR(AVERAGEIFS('Picarro Output'!G:G, 'Picarro Output'!$B:$B, 'Uncalibrated Data'!$C5066, 'Picarro Output'!$I:$I, 0, 'Picarro Output'!$J:$J, 1), "")</f>
        <v/>
      </c>
    </row>
    <row r="5067" spans="2:5" x14ac:dyDescent="0.45">
      <c r="B5067" s="1"/>
      <c r="E5067" s="45" t="str">
        <f>IFERROR(AVERAGEIFS('Picarro Output'!G:G, 'Picarro Output'!$B:$B, 'Uncalibrated Data'!$C5067, 'Picarro Output'!$I:$I, 0, 'Picarro Output'!$J:$J, 1), "")</f>
        <v/>
      </c>
    </row>
    <row r="5068" spans="2:5" x14ac:dyDescent="0.45">
      <c r="B5068" s="1"/>
      <c r="E5068" s="45" t="str">
        <f>IFERROR(AVERAGEIFS('Picarro Output'!G:G, 'Picarro Output'!$B:$B, 'Uncalibrated Data'!$C5068, 'Picarro Output'!$I:$I, 0, 'Picarro Output'!$J:$J, 1), "")</f>
        <v/>
      </c>
    </row>
    <row r="5069" spans="2:5" x14ac:dyDescent="0.45">
      <c r="B5069" s="1"/>
      <c r="E5069" s="45" t="str">
        <f>IFERROR(AVERAGEIFS('Picarro Output'!G:G, 'Picarro Output'!$B:$B, 'Uncalibrated Data'!$C5069, 'Picarro Output'!$I:$I, 0, 'Picarro Output'!$J:$J, 1), "")</f>
        <v/>
      </c>
    </row>
    <row r="5070" spans="2:5" x14ac:dyDescent="0.45">
      <c r="B5070" s="1"/>
      <c r="E5070" s="45" t="str">
        <f>IFERROR(AVERAGEIFS('Picarro Output'!G:G, 'Picarro Output'!$B:$B, 'Uncalibrated Data'!$C5070, 'Picarro Output'!$I:$I, 0, 'Picarro Output'!$J:$J, 1), "")</f>
        <v/>
      </c>
    </row>
    <row r="5071" spans="2:5" x14ac:dyDescent="0.45">
      <c r="B5071" s="1"/>
      <c r="E5071" s="45" t="str">
        <f>IFERROR(AVERAGEIFS('Picarro Output'!G:G, 'Picarro Output'!$B:$B, 'Uncalibrated Data'!$C5071, 'Picarro Output'!$I:$I, 0, 'Picarro Output'!$J:$J, 1), "")</f>
        <v/>
      </c>
    </row>
    <row r="5072" spans="2:5" x14ac:dyDescent="0.45">
      <c r="B5072" s="1"/>
      <c r="E5072" s="45" t="str">
        <f>IFERROR(AVERAGEIFS('Picarro Output'!G:G, 'Picarro Output'!$B:$B, 'Uncalibrated Data'!$C5072, 'Picarro Output'!$I:$I, 0, 'Picarro Output'!$J:$J, 1), "")</f>
        <v/>
      </c>
    </row>
    <row r="5073" spans="2:5" x14ac:dyDescent="0.45">
      <c r="B5073" s="1"/>
      <c r="E5073" s="45" t="str">
        <f>IFERROR(AVERAGEIFS('Picarro Output'!G:G, 'Picarro Output'!$B:$B, 'Uncalibrated Data'!$C5073, 'Picarro Output'!$I:$I, 0, 'Picarro Output'!$J:$J, 1), "")</f>
        <v/>
      </c>
    </row>
    <row r="5074" spans="2:5" x14ac:dyDescent="0.45">
      <c r="B5074" s="1"/>
      <c r="E5074" s="45" t="str">
        <f>IFERROR(AVERAGEIFS('Picarro Output'!G:G, 'Picarro Output'!$B:$B, 'Uncalibrated Data'!$C5074, 'Picarro Output'!$I:$I, 0, 'Picarro Output'!$J:$J, 1), "")</f>
        <v/>
      </c>
    </row>
    <row r="5075" spans="2:5" x14ac:dyDescent="0.45">
      <c r="B5075" s="1"/>
      <c r="E5075" s="45" t="str">
        <f>IFERROR(AVERAGEIFS('Picarro Output'!G:G, 'Picarro Output'!$B:$B, 'Uncalibrated Data'!$C5075, 'Picarro Output'!$I:$I, 0, 'Picarro Output'!$J:$J, 1), "")</f>
        <v/>
      </c>
    </row>
    <row r="5076" spans="2:5" x14ac:dyDescent="0.45">
      <c r="B5076" s="1"/>
      <c r="E5076" s="45" t="str">
        <f>IFERROR(AVERAGEIFS('Picarro Output'!G:G, 'Picarro Output'!$B:$B, 'Uncalibrated Data'!$C5076, 'Picarro Output'!$I:$I, 0, 'Picarro Output'!$J:$J, 1), "")</f>
        <v/>
      </c>
    </row>
    <row r="5077" spans="2:5" x14ac:dyDescent="0.45">
      <c r="B5077" s="1"/>
      <c r="E5077" s="45" t="str">
        <f>IFERROR(AVERAGEIFS('Picarro Output'!G:G, 'Picarro Output'!$B:$B, 'Uncalibrated Data'!$C5077, 'Picarro Output'!$I:$I, 0, 'Picarro Output'!$J:$J, 1), "")</f>
        <v/>
      </c>
    </row>
    <row r="5078" spans="2:5" x14ac:dyDescent="0.45">
      <c r="B5078" s="1"/>
      <c r="E5078" s="45" t="str">
        <f>IFERROR(AVERAGEIFS('Picarro Output'!G:G, 'Picarro Output'!$B:$B, 'Uncalibrated Data'!$C5078, 'Picarro Output'!$I:$I, 0, 'Picarro Output'!$J:$J, 1), "")</f>
        <v/>
      </c>
    </row>
    <row r="5079" spans="2:5" x14ac:dyDescent="0.45">
      <c r="B5079" s="1"/>
      <c r="E5079" s="45" t="str">
        <f>IFERROR(AVERAGEIFS('Picarro Output'!G:G, 'Picarro Output'!$B:$B, 'Uncalibrated Data'!$C5079, 'Picarro Output'!$I:$I, 0, 'Picarro Output'!$J:$J, 1), "")</f>
        <v/>
      </c>
    </row>
    <row r="5080" spans="2:5" x14ac:dyDescent="0.45">
      <c r="B5080" s="1"/>
      <c r="E5080" s="45" t="str">
        <f>IFERROR(AVERAGEIFS('Picarro Output'!G:G, 'Picarro Output'!$B:$B, 'Uncalibrated Data'!$C5080, 'Picarro Output'!$I:$I, 0, 'Picarro Output'!$J:$J, 1), "")</f>
        <v/>
      </c>
    </row>
    <row r="5081" spans="2:5" x14ac:dyDescent="0.45">
      <c r="B5081" s="1"/>
      <c r="E5081" s="45" t="str">
        <f>IFERROR(AVERAGEIFS('Picarro Output'!G:G, 'Picarro Output'!$B:$B, 'Uncalibrated Data'!$C5081, 'Picarro Output'!$I:$I, 0, 'Picarro Output'!$J:$J, 1), "")</f>
        <v/>
      </c>
    </row>
    <row r="5082" spans="2:5" x14ac:dyDescent="0.45">
      <c r="B5082" s="1"/>
      <c r="E5082" s="45" t="str">
        <f>IFERROR(AVERAGEIFS('Picarro Output'!G:G, 'Picarro Output'!$B:$B, 'Uncalibrated Data'!$C5082, 'Picarro Output'!$I:$I, 0, 'Picarro Output'!$J:$J, 1), "")</f>
        <v/>
      </c>
    </row>
    <row r="5083" spans="2:5" x14ac:dyDescent="0.45">
      <c r="B5083" s="1"/>
      <c r="E5083" s="45" t="str">
        <f>IFERROR(AVERAGEIFS('Picarro Output'!G:G, 'Picarro Output'!$B:$B, 'Uncalibrated Data'!$C5083, 'Picarro Output'!$I:$I, 0, 'Picarro Output'!$J:$J, 1), "")</f>
        <v/>
      </c>
    </row>
    <row r="5084" spans="2:5" x14ac:dyDescent="0.45">
      <c r="B5084" s="1"/>
      <c r="E5084" s="45" t="str">
        <f>IFERROR(AVERAGEIFS('Picarro Output'!G:G, 'Picarro Output'!$B:$B, 'Uncalibrated Data'!$C5084, 'Picarro Output'!$I:$I, 0, 'Picarro Output'!$J:$J, 1), "")</f>
        <v/>
      </c>
    </row>
    <row r="5085" spans="2:5" x14ac:dyDescent="0.45">
      <c r="B5085" s="1"/>
      <c r="E5085" s="45" t="str">
        <f>IFERROR(AVERAGEIFS('Picarro Output'!G:G, 'Picarro Output'!$B:$B, 'Uncalibrated Data'!$C5085, 'Picarro Output'!$I:$I, 0, 'Picarro Output'!$J:$J, 1), "")</f>
        <v/>
      </c>
    </row>
    <row r="5086" spans="2:5" x14ac:dyDescent="0.45">
      <c r="B5086" s="1"/>
      <c r="E5086" s="45" t="str">
        <f>IFERROR(AVERAGEIFS('Picarro Output'!G:G, 'Picarro Output'!$B:$B, 'Uncalibrated Data'!$C5086, 'Picarro Output'!$I:$I, 0, 'Picarro Output'!$J:$J, 1), "")</f>
        <v/>
      </c>
    </row>
    <row r="5087" spans="2:5" x14ac:dyDescent="0.45">
      <c r="B5087" s="1"/>
      <c r="E5087" s="45" t="str">
        <f>IFERROR(AVERAGEIFS('Picarro Output'!G:G, 'Picarro Output'!$B:$B, 'Uncalibrated Data'!$C5087, 'Picarro Output'!$I:$I, 0, 'Picarro Output'!$J:$J, 1), "")</f>
        <v/>
      </c>
    </row>
    <row r="5088" spans="2:5" x14ac:dyDescent="0.45">
      <c r="B5088" s="1"/>
      <c r="E5088" s="45" t="str">
        <f>IFERROR(AVERAGEIFS('Picarro Output'!G:G, 'Picarro Output'!$B:$B, 'Uncalibrated Data'!$C5088, 'Picarro Output'!$I:$I, 0, 'Picarro Output'!$J:$J, 1), "")</f>
        <v/>
      </c>
    </row>
    <row r="5089" spans="2:5" x14ac:dyDescent="0.45">
      <c r="B5089" s="1"/>
      <c r="E5089" s="45" t="str">
        <f>IFERROR(AVERAGEIFS('Picarro Output'!G:G, 'Picarro Output'!$B:$B, 'Uncalibrated Data'!$C5089, 'Picarro Output'!$I:$I, 0, 'Picarro Output'!$J:$J, 1), "")</f>
        <v/>
      </c>
    </row>
    <row r="5090" spans="2:5" x14ac:dyDescent="0.45">
      <c r="B5090" s="1"/>
      <c r="E5090" s="45" t="str">
        <f>IFERROR(AVERAGEIFS('Picarro Output'!G:G, 'Picarro Output'!$B:$B, 'Uncalibrated Data'!$C5090, 'Picarro Output'!$I:$I, 0, 'Picarro Output'!$J:$J, 1), "")</f>
        <v/>
      </c>
    </row>
    <row r="5091" spans="2:5" x14ac:dyDescent="0.45">
      <c r="B5091" s="1"/>
      <c r="E5091" s="45" t="str">
        <f>IFERROR(AVERAGEIFS('Picarro Output'!G:G, 'Picarro Output'!$B:$B, 'Uncalibrated Data'!$C5091, 'Picarro Output'!$I:$I, 0, 'Picarro Output'!$J:$J, 1), "")</f>
        <v/>
      </c>
    </row>
    <row r="5092" spans="2:5" x14ac:dyDescent="0.45">
      <c r="B5092" s="1"/>
      <c r="E5092" s="45" t="str">
        <f>IFERROR(AVERAGEIFS('Picarro Output'!G:G, 'Picarro Output'!$B:$B, 'Uncalibrated Data'!$C5092, 'Picarro Output'!$I:$I, 0, 'Picarro Output'!$J:$J, 1), "")</f>
        <v/>
      </c>
    </row>
    <row r="5093" spans="2:5" x14ac:dyDescent="0.45">
      <c r="B5093" s="1"/>
      <c r="E5093" s="45" t="str">
        <f>IFERROR(AVERAGEIFS('Picarro Output'!G:G, 'Picarro Output'!$B:$B, 'Uncalibrated Data'!$C5093, 'Picarro Output'!$I:$I, 0, 'Picarro Output'!$J:$J, 1), "")</f>
        <v/>
      </c>
    </row>
    <row r="5094" spans="2:5" x14ac:dyDescent="0.45">
      <c r="B5094" s="1"/>
      <c r="E5094" s="45" t="str">
        <f>IFERROR(AVERAGEIFS('Picarro Output'!G:G, 'Picarro Output'!$B:$B, 'Uncalibrated Data'!$C5094, 'Picarro Output'!$I:$I, 0, 'Picarro Output'!$J:$J, 1), "")</f>
        <v/>
      </c>
    </row>
    <row r="5095" spans="2:5" x14ac:dyDescent="0.45">
      <c r="B5095" s="1"/>
      <c r="E5095" s="45" t="str">
        <f>IFERROR(AVERAGEIFS('Picarro Output'!G:G, 'Picarro Output'!$B:$B, 'Uncalibrated Data'!$C5095, 'Picarro Output'!$I:$I, 0, 'Picarro Output'!$J:$J, 1), "")</f>
        <v/>
      </c>
    </row>
    <row r="5096" spans="2:5" x14ac:dyDescent="0.45">
      <c r="B5096" s="1"/>
      <c r="E5096" s="45" t="str">
        <f>IFERROR(AVERAGEIFS('Picarro Output'!G:G, 'Picarro Output'!$B:$B, 'Uncalibrated Data'!$C5096, 'Picarro Output'!$I:$I, 0, 'Picarro Output'!$J:$J, 1), "")</f>
        <v/>
      </c>
    </row>
    <row r="5097" spans="2:5" x14ac:dyDescent="0.45">
      <c r="B5097" s="1"/>
      <c r="E5097" s="45" t="str">
        <f>IFERROR(AVERAGEIFS('Picarro Output'!G:G, 'Picarro Output'!$B:$B, 'Uncalibrated Data'!$C5097, 'Picarro Output'!$I:$I, 0, 'Picarro Output'!$J:$J, 1), "")</f>
        <v/>
      </c>
    </row>
    <row r="5098" spans="2:5" x14ac:dyDescent="0.45">
      <c r="B5098" s="1"/>
      <c r="E5098" s="45" t="str">
        <f>IFERROR(AVERAGEIFS('Picarro Output'!G:G, 'Picarro Output'!$B:$B, 'Uncalibrated Data'!$C5098, 'Picarro Output'!$I:$I, 0, 'Picarro Output'!$J:$J, 1), "")</f>
        <v/>
      </c>
    </row>
    <row r="5099" spans="2:5" x14ac:dyDescent="0.45">
      <c r="B5099" s="1"/>
      <c r="E5099" s="45" t="str">
        <f>IFERROR(AVERAGEIFS('Picarro Output'!G:G, 'Picarro Output'!$B:$B, 'Uncalibrated Data'!$C5099, 'Picarro Output'!$I:$I, 0, 'Picarro Output'!$J:$J, 1), "")</f>
        <v/>
      </c>
    </row>
    <row r="5100" spans="2:5" x14ac:dyDescent="0.45">
      <c r="B5100" s="1"/>
      <c r="E5100" s="45" t="str">
        <f>IFERROR(AVERAGEIFS('Picarro Output'!G:G, 'Picarro Output'!$B:$B, 'Uncalibrated Data'!$C5100, 'Picarro Output'!$I:$I, 0, 'Picarro Output'!$J:$J, 1), "")</f>
        <v/>
      </c>
    </row>
    <row r="5101" spans="2:5" x14ac:dyDescent="0.45">
      <c r="B5101" s="1"/>
      <c r="E5101" s="45" t="str">
        <f>IFERROR(AVERAGEIFS('Picarro Output'!G:G, 'Picarro Output'!$B:$B, 'Uncalibrated Data'!$C5101, 'Picarro Output'!$I:$I, 0, 'Picarro Output'!$J:$J, 1), "")</f>
        <v/>
      </c>
    </row>
    <row r="5102" spans="2:5" x14ac:dyDescent="0.45">
      <c r="B5102" s="1"/>
      <c r="E5102" s="45" t="str">
        <f>IFERROR(AVERAGEIFS('Picarro Output'!G:G, 'Picarro Output'!$B:$B, 'Uncalibrated Data'!$C5102, 'Picarro Output'!$I:$I, 0, 'Picarro Output'!$J:$J, 1), "")</f>
        <v/>
      </c>
    </row>
    <row r="5103" spans="2:5" x14ac:dyDescent="0.45">
      <c r="B5103" s="1"/>
      <c r="E5103" s="45" t="str">
        <f>IFERROR(AVERAGEIFS('Picarro Output'!G:G, 'Picarro Output'!$B:$B, 'Uncalibrated Data'!$C5103, 'Picarro Output'!$I:$I, 0, 'Picarro Output'!$J:$J, 1), "")</f>
        <v/>
      </c>
    </row>
    <row r="5104" spans="2:5" x14ac:dyDescent="0.45">
      <c r="B5104" s="1"/>
      <c r="E5104" s="45" t="str">
        <f>IFERROR(AVERAGEIFS('Picarro Output'!G:G, 'Picarro Output'!$B:$B, 'Uncalibrated Data'!$C5104, 'Picarro Output'!$I:$I, 0, 'Picarro Output'!$J:$J, 1), "")</f>
        <v/>
      </c>
    </row>
    <row r="5105" spans="2:5" x14ac:dyDescent="0.45">
      <c r="B5105" s="1"/>
      <c r="E5105" s="45" t="str">
        <f>IFERROR(AVERAGEIFS('Picarro Output'!G:G, 'Picarro Output'!$B:$B, 'Uncalibrated Data'!$C5105, 'Picarro Output'!$I:$I, 0, 'Picarro Output'!$J:$J, 1), "")</f>
        <v/>
      </c>
    </row>
    <row r="5106" spans="2:5" x14ac:dyDescent="0.45">
      <c r="B5106" s="1"/>
      <c r="E5106" s="45" t="str">
        <f>IFERROR(AVERAGEIFS('Picarro Output'!G:G, 'Picarro Output'!$B:$B, 'Uncalibrated Data'!$C5106, 'Picarro Output'!$I:$I, 0, 'Picarro Output'!$J:$J, 1), "")</f>
        <v/>
      </c>
    </row>
    <row r="5107" spans="2:5" x14ac:dyDescent="0.45">
      <c r="B5107" s="1"/>
      <c r="E5107" s="45" t="str">
        <f>IFERROR(AVERAGEIFS('Picarro Output'!G:G, 'Picarro Output'!$B:$B, 'Uncalibrated Data'!$C5107, 'Picarro Output'!$I:$I, 0, 'Picarro Output'!$J:$J, 1), "")</f>
        <v/>
      </c>
    </row>
    <row r="5108" spans="2:5" x14ac:dyDescent="0.45">
      <c r="B5108" s="1"/>
      <c r="E5108" s="45" t="str">
        <f>IFERROR(AVERAGEIFS('Picarro Output'!G:G, 'Picarro Output'!$B:$B, 'Uncalibrated Data'!$C5108, 'Picarro Output'!$I:$I, 0, 'Picarro Output'!$J:$J, 1), "")</f>
        <v/>
      </c>
    </row>
    <row r="5109" spans="2:5" x14ac:dyDescent="0.45">
      <c r="B5109" s="1"/>
      <c r="E5109" s="45" t="str">
        <f>IFERROR(AVERAGEIFS('Picarro Output'!G:G, 'Picarro Output'!$B:$B, 'Uncalibrated Data'!$C5109, 'Picarro Output'!$I:$I, 0, 'Picarro Output'!$J:$J, 1), "")</f>
        <v/>
      </c>
    </row>
    <row r="5110" spans="2:5" x14ac:dyDescent="0.45">
      <c r="B5110" s="1"/>
      <c r="E5110" s="45" t="str">
        <f>IFERROR(AVERAGEIFS('Picarro Output'!G:G, 'Picarro Output'!$B:$B, 'Uncalibrated Data'!$C5110, 'Picarro Output'!$I:$I, 0, 'Picarro Output'!$J:$J, 1), "")</f>
        <v/>
      </c>
    </row>
    <row r="5111" spans="2:5" x14ac:dyDescent="0.45">
      <c r="B5111" s="1"/>
      <c r="E5111" s="45" t="str">
        <f>IFERROR(AVERAGEIFS('Picarro Output'!G:G, 'Picarro Output'!$B:$B, 'Uncalibrated Data'!$C5111, 'Picarro Output'!$I:$I, 0, 'Picarro Output'!$J:$J, 1), "")</f>
        <v/>
      </c>
    </row>
    <row r="5112" spans="2:5" x14ac:dyDescent="0.45">
      <c r="B5112" s="1"/>
      <c r="E5112" s="45" t="str">
        <f>IFERROR(AVERAGEIFS('Picarro Output'!G:G, 'Picarro Output'!$B:$B, 'Uncalibrated Data'!$C5112, 'Picarro Output'!$I:$I, 0, 'Picarro Output'!$J:$J, 1), "")</f>
        <v/>
      </c>
    </row>
    <row r="5113" spans="2:5" x14ac:dyDescent="0.45">
      <c r="B5113" s="1"/>
      <c r="E5113" s="45" t="str">
        <f>IFERROR(AVERAGEIFS('Picarro Output'!G:G, 'Picarro Output'!$B:$B, 'Uncalibrated Data'!$C5113, 'Picarro Output'!$I:$I, 0, 'Picarro Output'!$J:$J, 1), "")</f>
        <v/>
      </c>
    </row>
    <row r="5114" spans="2:5" x14ac:dyDescent="0.45">
      <c r="B5114" s="1"/>
      <c r="E5114" s="45" t="str">
        <f>IFERROR(AVERAGEIFS('Picarro Output'!G:G, 'Picarro Output'!$B:$B, 'Uncalibrated Data'!$C5114, 'Picarro Output'!$I:$I, 0, 'Picarro Output'!$J:$J, 1), "")</f>
        <v/>
      </c>
    </row>
    <row r="5115" spans="2:5" x14ac:dyDescent="0.45">
      <c r="B5115" s="1"/>
      <c r="E5115" s="45" t="str">
        <f>IFERROR(AVERAGEIFS('Picarro Output'!G:G, 'Picarro Output'!$B:$B, 'Uncalibrated Data'!$C5115, 'Picarro Output'!$I:$I, 0, 'Picarro Output'!$J:$J, 1), "")</f>
        <v/>
      </c>
    </row>
    <row r="5116" spans="2:5" x14ac:dyDescent="0.45">
      <c r="B5116" s="1"/>
      <c r="E5116" s="45" t="str">
        <f>IFERROR(AVERAGEIFS('Picarro Output'!G:G, 'Picarro Output'!$B:$B, 'Uncalibrated Data'!$C5116, 'Picarro Output'!$I:$I, 0, 'Picarro Output'!$J:$J, 1), "")</f>
        <v/>
      </c>
    </row>
    <row r="5117" spans="2:5" x14ac:dyDescent="0.45">
      <c r="B5117" s="1"/>
      <c r="E5117" s="45" t="str">
        <f>IFERROR(AVERAGEIFS('Picarro Output'!G:G, 'Picarro Output'!$B:$B, 'Uncalibrated Data'!$C5117, 'Picarro Output'!$I:$I, 0, 'Picarro Output'!$J:$J, 1), "")</f>
        <v/>
      </c>
    </row>
    <row r="5118" spans="2:5" x14ac:dyDescent="0.45">
      <c r="B5118" s="1"/>
      <c r="E5118" s="45" t="str">
        <f>IFERROR(AVERAGEIFS('Picarro Output'!G:G, 'Picarro Output'!$B:$B, 'Uncalibrated Data'!$C5118, 'Picarro Output'!$I:$I, 0, 'Picarro Output'!$J:$J, 1), "")</f>
        <v/>
      </c>
    </row>
    <row r="5119" spans="2:5" x14ac:dyDescent="0.45">
      <c r="B5119" s="1"/>
      <c r="E5119" s="45" t="str">
        <f>IFERROR(AVERAGEIFS('Picarro Output'!G:G, 'Picarro Output'!$B:$B, 'Uncalibrated Data'!$C5119, 'Picarro Output'!$I:$I, 0, 'Picarro Output'!$J:$J, 1), "")</f>
        <v/>
      </c>
    </row>
    <row r="5120" spans="2:5" x14ac:dyDescent="0.45">
      <c r="B5120" s="1"/>
      <c r="E5120" s="45" t="str">
        <f>IFERROR(AVERAGEIFS('Picarro Output'!G:G, 'Picarro Output'!$B:$B, 'Uncalibrated Data'!$C5120, 'Picarro Output'!$I:$I, 0, 'Picarro Output'!$J:$J, 1), "")</f>
        <v/>
      </c>
    </row>
    <row r="5121" spans="2:5" x14ac:dyDescent="0.45">
      <c r="B5121" s="1"/>
      <c r="E5121" s="45" t="str">
        <f>IFERROR(AVERAGEIFS('Picarro Output'!G:G, 'Picarro Output'!$B:$B, 'Uncalibrated Data'!$C5121, 'Picarro Output'!$I:$I, 0, 'Picarro Output'!$J:$J, 1), "")</f>
        <v/>
      </c>
    </row>
    <row r="5122" spans="2:5" x14ac:dyDescent="0.45">
      <c r="B5122" s="1"/>
      <c r="E5122" s="45" t="str">
        <f>IFERROR(AVERAGEIFS('Picarro Output'!G:G, 'Picarro Output'!$B:$B, 'Uncalibrated Data'!$C5122, 'Picarro Output'!$I:$I, 0, 'Picarro Output'!$J:$J, 1), "")</f>
        <v/>
      </c>
    </row>
    <row r="5123" spans="2:5" x14ac:dyDescent="0.45">
      <c r="B5123" s="1"/>
      <c r="E5123" s="45" t="str">
        <f>IFERROR(AVERAGEIFS('Picarro Output'!G:G, 'Picarro Output'!$B:$B, 'Uncalibrated Data'!$C5123, 'Picarro Output'!$I:$I, 0, 'Picarro Output'!$J:$J, 1), "")</f>
        <v/>
      </c>
    </row>
    <row r="5124" spans="2:5" x14ac:dyDescent="0.45">
      <c r="B5124" s="1"/>
      <c r="E5124" s="45" t="str">
        <f>IFERROR(AVERAGEIFS('Picarro Output'!G:G, 'Picarro Output'!$B:$B, 'Uncalibrated Data'!$C5124, 'Picarro Output'!$I:$I, 0, 'Picarro Output'!$J:$J, 1), "")</f>
        <v/>
      </c>
    </row>
    <row r="5125" spans="2:5" x14ac:dyDescent="0.45">
      <c r="B5125" s="1"/>
      <c r="E5125" s="45" t="str">
        <f>IFERROR(AVERAGEIFS('Picarro Output'!G:G, 'Picarro Output'!$B:$B, 'Uncalibrated Data'!$C5125, 'Picarro Output'!$I:$I, 0, 'Picarro Output'!$J:$J, 1), "")</f>
        <v/>
      </c>
    </row>
    <row r="5126" spans="2:5" x14ac:dyDescent="0.45">
      <c r="B5126" s="1"/>
      <c r="E5126" s="45" t="str">
        <f>IFERROR(AVERAGEIFS('Picarro Output'!G:G, 'Picarro Output'!$B:$B, 'Uncalibrated Data'!$C5126, 'Picarro Output'!$I:$I, 0, 'Picarro Output'!$J:$J, 1), "")</f>
        <v/>
      </c>
    </row>
    <row r="5127" spans="2:5" x14ac:dyDescent="0.45">
      <c r="B5127" s="1"/>
      <c r="E5127" s="45" t="str">
        <f>IFERROR(AVERAGEIFS('Picarro Output'!G:G, 'Picarro Output'!$B:$B, 'Uncalibrated Data'!$C5127, 'Picarro Output'!$I:$I, 0, 'Picarro Output'!$J:$J, 1), "")</f>
        <v/>
      </c>
    </row>
    <row r="5128" spans="2:5" x14ac:dyDescent="0.45">
      <c r="B5128" s="1"/>
      <c r="E5128" s="45" t="str">
        <f>IFERROR(AVERAGEIFS('Picarro Output'!G:G, 'Picarro Output'!$B:$B, 'Uncalibrated Data'!$C5128, 'Picarro Output'!$I:$I, 0, 'Picarro Output'!$J:$J, 1), "")</f>
        <v/>
      </c>
    </row>
    <row r="5129" spans="2:5" x14ac:dyDescent="0.45">
      <c r="B5129" s="1"/>
      <c r="E5129" s="45" t="str">
        <f>IFERROR(AVERAGEIFS('Picarro Output'!G:G, 'Picarro Output'!$B:$B, 'Uncalibrated Data'!$C5129, 'Picarro Output'!$I:$I, 0, 'Picarro Output'!$J:$J, 1), "")</f>
        <v/>
      </c>
    </row>
    <row r="5130" spans="2:5" x14ac:dyDescent="0.45">
      <c r="B5130" s="1"/>
      <c r="E5130" s="45" t="str">
        <f>IFERROR(AVERAGEIFS('Picarro Output'!G:G, 'Picarro Output'!$B:$B, 'Uncalibrated Data'!$C5130, 'Picarro Output'!$I:$I, 0, 'Picarro Output'!$J:$J, 1), "")</f>
        <v/>
      </c>
    </row>
    <row r="5131" spans="2:5" x14ac:dyDescent="0.45">
      <c r="B5131" s="1"/>
      <c r="E5131" s="45" t="str">
        <f>IFERROR(AVERAGEIFS('Picarro Output'!G:G, 'Picarro Output'!$B:$B, 'Uncalibrated Data'!$C5131, 'Picarro Output'!$I:$I, 0, 'Picarro Output'!$J:$J, 1), "")</f>
        <v/>
      </c>
    </row>
    <row r="5132" spans="2:5" x14ac:dyDescent="0.45">
      <c r="B5132" s="1"/>
      <c r="E5132" s="45" t="str">
        <f>IFERROR(AVERAGEIFS('Picarro Output'!G:G, 'Picarro Output'!$B:$B, 'Uncalibrated Data'!$C5132, 'Picarro Output'!$I:$I, 0, 'Picarro Output'!$J:$J, 1), "")</f>
        <v/>
      </c>
    </row>
    <row r="5133" spans="2:5" x14ac:dyDescent="0.45">
      <c r="B5133" s="1"/>
      <c r="E5133" s="45" t="str">
        <f>IFERROR(AVERAGEIFS('Picarro Output'!G:G, 'Picarro Output'!$B:$B, 'Uncalibrated Data'!$C5133, 'Picarro Output'!$I:$I, 0, 'Picarro Output'!$J:$J, 1), "")</f>
        <v/>
      </c>
    </row>
    <row r="5134" spans="2:5" x14ac:dyDescent="0.45">
      <c r="B5134" s="1"/>
      <c r="E5134" s="45" t="str">
        <f>IFERROR(AVERAGEIFS('Picarro Output'!G:G, 'Picarro Output'!$B:$B, 'Uncalibrated Data'!$C5134, 'Picarro Output'!$I:$I, 0, 'Picarro Output'!$J:$J, 1), "")</f>
        <v/>
      </c>
    </row>
    <row r="5135" spans="2:5" x14ac:dyDescent="0.45">
      <c r="B5135" s="1"/>
      <c r="E5135" s="45" t="str">
        <f>IFERROR(AVERAGEIFS('Picarro Output'!G:G, 'Picarro Output'!$B:$B, 'Uncalibrated Data'!$C5135, 'Picarro Output'!$I:$I, 0, 'Picarro Output'!$J:$J, 1), "")</f>
        <v/>
      </c>
    </row>
    <row r="5136" spans="2:5" x14ac:dyDescent="0.45">
      <c r="B5136" s="1"/>
      <c r="E5136" s="45" t="str">
        <f>IFERROR(AVERAGEIFS('Picarro Output'!G:G, 'Picarro Output'!$B:$B, 'Uncalibrated Data'!$C5136, 'Picarro Output'!$I:$I, 0, 'Picarro Output'!$J:$J, 1), "")</f>
        <v/>
      </c>
    </row>
    <row r="5137" spans="2:5" x14ac:dyDescent="0.45">
      <c r="B5137" s="1"/>
      <c r="E5137" s="45" t="str">
        <f>IFERROR(AVERAGEIFS('Picarro Output'!G:G, 'Picarro Output'!$B:$B, 'Uncalibrated Data'!$C5137, 'Picarro Output'!$I:$I, 0, 'Picarro Output'!$J:$J, 1), "")</f>
        <v/>
      </c>
    </row>
    <row r="5138" spans="2:5" x14ac:dyDescent="0.45">
      <c r="B5138" s="1"/>
      <c r="E5138" s="45" t="str">
        <f>IFERROR(AVERAGEIFS('Picarro Output'!G:G, 'Picarro Output'!$B:$B, 'Uncalibrated Data'!$C5138, 'Picarro Output'!$I:$I, 0, 'Picarro Output'!$J:$J, 1), "")</f>
        <v/>
      </c>
    </row>
    <row r="5139" spans="2:5" x14ac:dyDescent="0.45">
      <c r="B5139" s="1"/>
      <c r="E5139" s="45" t="str">
        <f>IFERROR(AVERAGEIFS('Picarro Output'!G:G, 'Picarro Output'!$B:$B, 'Uncalibrated Data'!$C5139, 'Picarro Output'!$I:$I, 0, 'Picarro Output'!$J:$J, 1), "")</f>
        <v/>
      </c>
    </row>
    <row r="5140" spans="2:5" x14ac:dyDescent="0.45">
      <c r="B5140" s="1"/>
      <c r="E5140" s="45" t="str">
        <f>IFERROR(AVERAGEIFS('Picarro Output'!G:G, 'Picarro Output'!$B:$B, 'Uncalibrated Data'!$C5140, 'Picarro Output'!$I:$I, 0, 'Picarro Output'!$J:$J, 1), "")</f>
        <v/>
      </c>
    </row>
    <row r="5141" spans="2:5" x14ac:dyDescent="0.45">
      <c r="B5141" s="1"/>
      <c r="E5141" s="45" t="str">
        <f>IFERROR(AVERAGEIFS('Picarro Output'!G:G, 'Picarro Output'!$B:$B, 'Uncalibrated Data'!$C5141, 'Picarro Output'!$I:$I, 0, 'Picarro Output'!$J:$J, 1), "")</f>
        <v/>
      </c>
    </row>
    <row r="5142" spans="2:5" x14ac:dyDescent="0.45">
      <c r="B5142" s="1"/>
      <c r="E5142" s="45" t="str">
        <f>IFERROR(AVERAGEIFS('Picarro Output'!G:G, 'Picarro Output'!$B:$B, 'Uncalibrated Data'!$C5142, 'Picarro Output'!$I:$I, 0, 'Picarro Output'!$J:$J, 1), "")</f>
        <v/>
      </c>
    </row>
    <row r="5143" spans="2:5" x14ac:dyDescent="0.45">
      <c r="B5143" s="1"/>
      <c r="E5143" s="45" t="str">
        <f>IFERROR(AVERAGEIFS('Picarro Output'!G:G, 'Picarro Output'!$B:$B, 'Uncalibrated Data'!$C5143, 'Picarro Output'!$I:$I, 0, 'Picarro Output'!$J:$J, 1), "")</f>
        <v/>
      </c>
    </row>
    <row r="5144" spans="2:5" x14ac:dyDescent="0.45">
      <c r="B5144" s="1"/>
      <c r="E5144" s="45" t="str">
        <f>IFERROR(AVERAGEIFS('Picarro Output'!G:G, 'Picarro Output'!$B:$B, 'Uncalibrated Data'!$C5144, 'Picarro Output'!$I:$I, 0, 'Picarro Output'!$J:$J, 1), "")</f>
        <v/>
      </c>
    </row>
    <row r="5145" spans="2:5" x14ac:dyDescent="0.45">
      <c r="B5145" s="1"/>
      <c r="E5145" s="45" t="str">
        <f>IFERROR(AVERAGEIFS('Picarro Output'!G:G, 'Picarro Output'!$B:$B, 'Uncalibrated Data'!$C5145, 'Picarro Output'!$I:$I, 0, 'Picarro Output'!$J:$J, 1), "")</f>
        <v/>
      </c>
    </row>
    <row r="5146" spans="2:5" x14ac:dyDescent="0.45">
      <c r="B5146" s="1"/>
      <c r="E5146" s="45" t="str">
        <f>IFERROR(AVERAGEIFS('Picarro Output'!G:G, 'Picarro Output'!$B:$B, 'Uncalibrated Data'!$C5146, 'Picarro Output'!$I:$I, 0, 'Picarro Output'!$J:$J, 1), "")</f>
        <v/>
      </c>
    </row>
    <row r="5147" spans="2:5" x14ac:dyDescent="0.45">
      <c r="B5147" s="1"/>
      <c r="E5147" s="45" t="str">
        <f>IFERROR(AVERAGEIFS('Picarro Output'!G:G, 'Picarro Output'!$B:$B, 'Uncalibrated Data'!$C5147, 'Picarro Output'!$I:$I, 0, 'Picarro Output'!$J:$J, 1), "")</f>
        <v/>
      </c>
    </row>
    <row r="5148" spans="2:5" x14ac:dyDescent="0.45">
      <c r="B5148" s="1"/>
      <c r="E5148" s="45" t="str">
        <f>IFERROR(AVERAGEIFS('Picarro Output'!G:G, 'Picarro Output'!$B:$B, 'Uncalibrated Data'!$C5148, 'Picarro Output'!$I:$I, 0, 'Picarro Output'!$J:$J, 1), "")</f>
        <v/>
      </c>
    </row>
    <row r="5149" spans="2:5" x14ac:dyDescent="0.45">
      <c r="B5149" s="1"/>
      <c r="E5149" s="45" t="str">
        <f>IFERROR(AVERAGEIFS('Picarro Output'!G:G, 'Picarro Output'!$B:$B, 'Uncalibrated Data'!$C5149, 'Picarro Output'!$I:$I, 0, 'Picarro Output'!$J:$J, 1), "")</f>
        <v/>
      </c>
    </row>
    <row r="5150" spans="2:5" x14ac:dyDescent="0.45">
      <c r="B5150" s="1"/>
      <c r="E5150" s="45" t="str">
        <f>IFERROR(AVERAGEIFS('Picarro Output'!G:G, 'Picarro Output'!$B:$B, 'Uncalibrated Data'!$C5150, 'Picarro Output'!$I:$I, 0, 'Picarro Output'!$J:$J, 1), "")</f>
        <v/>
      </c>
    </row>
    <row r="5151" spans="2:5" x14ac:dyDescent="0.45">
      <c r="B5151" s="1"/>
      <c r="E5151" s="45" t="str">
        <f>IFERROR(AVERAGEIFS('Picarro Output'!G:G, 'Picarro Output'!$B:$B, 'Uncalibrated Data'!$C5151, 'Picarro Output'!$I:$I, 0, 'Picarro Output'!$J:$J, 1), "")</f>
        <v/>
      </c>
    </row>
    <row r="5152" spans="2:5" x14ac:dyDescent="0.45">
      <c r="B5152" s="1"/>
      <c r="E5152" s="45" t="str">
        <f>IFERROR(AVERAGEIFS('Picarro Output'!G:G, 'Picarro Output'!$B:$B, 'Uncalibrated Data'!$C5152, 'Picarro Output'!$I:$I, 0, 'Picarro Output'!$J:$J, 1), "")</f>
        <v/>
      </c>
    </row>
    <row r="5153" spans="2:5" x14ac:dyDescent="0.45">
      <c r="B5153" s="1"/>
      <c r="E5153" s="45" t="str">
        <f>IFERROR(AVERAGEIFS('Picarro Output'!G:G, 'Picarro Output'!$B:$B, 'Uncalibrated Data'!$C5153, 'Picarro Output'!$I:$I, 0, 'Picarro Output'!$J:$J, 1), "")</f>
        <v/>
      </c>
    </row>
    <row r="5154" spans="2:5" x14ac:dyDescent="0.45">
      <c r="B5154" s="1"/>
      <c r="E5154" s="45" t="str">
        <f>IFERROR(AVERAGEIFS('Picarro Output'!G:G, 'Picarro Output'!$B:$B, 'Uncalibrated Data'!$C5154, 'Picarro Output'!$I:$I, 0, 'Picarro Output'!$J:$J, 1), "")</f>
        <v/>
      </c>
    </row>
    <row r="5155" spans="2:5" x14ac:dyDescent="0.45">
      <c r="B5155" s="1"/>
      <c r="E5155" s="45" t="str">
        <f>IFERROR(AVERAGEIFS('Picarro Output'!G:G, 'Picarro Output'!$B:$B, 'Uncalibrated Data'!$C5155, 'Picarro Output'!$I:$I, 0, 'Picarro Output'!$J:$J, 1), "")</f>
        <v/>
      </c>
    </row>
    <row r="5156" spans="2:5" x14ac:dyDescent="0.45">
      <c r="B5156" s="1"/>
      <c r="E5156" s="45" t="str">
        <f>IFERROR(AVERAGEIFS('Picarro Output'!G:G, 'Picarro Output'!$B:$B, 'Uncalibrated Data'!$C5156, 'Picarro Output'!$I:$I, 0, 'Picarro Output'!$J:$J, 1), "")</f>
        <v/>
      </c>
    </row>
    <row r="5157" spans="2:5" x14ac:dyDescent="0.45">
      <c r="B5157" s="1"/>
      <c r="E5157" s="45" t="str">
        <f>IFERROR(AVERAGEIFS('Picarro Output'!G:G, 'Picarro Output'!$B:$B, 'Uncalibrated Data'!$C5157, 'Picarro Output'!$I:$I, 0, 'Picarro Output'!$J:$J, 1), "")</f>
        <v/>
      </c>
    </row>
    <row r="5158" spans="2:5" x14ac:dyDescent="0.45">
      <c r="B5158" s="1"/>
      <c r="E5158" s="45" t="str">
        <f>IFERROR(AVERAGEIFS('Picarro Output'!G:G, 'Picarro Output'!$B:$B, 'Uncalibrated Data'!$C5158, 'Picarro Output'!$I:$I, 0, 'Picarro Output'!$J:$J, 1), "")</f>
        <v/>
      </c>
    </row>
    <row r="5159" spans="2:5" x14ac:dyDescent="0.45">
      <c r="B5159" s="1"/>
      <c r="E5159" s="45" t="str">
        <f>IFERROR(AVERAGEIFS('Picarro Output'!G:G, 'Picarro Output'!$B:$B, 'Uncalibrated Data'!$C5159, 'Picarro Output'!$I:$I, 0, 'Picarro Output'!$J:$J, 1), "")</f>
        <v/>
      </c>
    </row>
    <row r="5160" spans="2:5" x14ac:dyDescent="0.45">
      <c r="B5160" s="1"/>
      <c r="E5160" s="45" t="str">
        <f>IFERROR(AVERAGEIFS('Picarro Output'!G:G, 'Picarro Output'!$B:$B, 'Uncalibrated Data'!$C5160, 'Picarro Output'!$I:$I, 0, 'Picarro Output'!$J:$J, 1), "")</f>
        <v/>
      </c>
    </row>
    <row r="5161" spans="2:5" x14ac:dyDescent="0.45">
      <c r="B5161" s="1"/>
      <c r="E5161" s="45" t="str">
        <f>IFERROR(AVERAGEIFS('Picarro Output'!G:G, 'Picarro Output'!$B:$B, 'Uncalibrated Data'!$C5161, 'Picarro Output'!$I:$I, 0, 'Picarro Output'!$J:$J, 1), "")</f>
        <v/>
      </c>
    </row>
    <row r="5162" spans="2:5" x14ac:dyDescent="0.45">
      <c r="B5162" s="1"/>
      <c r="E5162" s="45" t="str">
        <f>IFERROR(AVERAGEIFS('Picarro Output'!G:G, 'Picarro Output'!$B:$B, 'Uncalibrated Data'!$C5162, 'Picarro Output'!$I:$I, 0, 'Picarro Output'!$J:$J, 1), "")</f>
        <v/>
      </c>
    </row>
    <row r="5163" spans="2:5" x14ac:dyDescent="0.45">
      <c r="B5163" s="1"/>
      <c r="E5163" s="45" t="str">
        <f>IFERROR(AVERAGEIFS('Picarro Output'!G:G, 'Picarro Output'!$B:$B, 'Uncalibrated Data'!$C5163, 'Picarro Output'!$I:$I, 0, 'Picarro Output'!$J:$J, 1), "")</f>
        <v/>
      </c>
    </row>
    <row r="5164" spans="2:5" x14ac:dyDescent="0.45">
      <c r="B5164" s="1"/>
      <c r="E5164" s="45" t="str">
        <f>IFERROR(AVERAGEIFS('Picarro Output'!G:G, 'Picarro Output'!$B:$B, 'Uncalibrated Data'!$C5164, 'Picarro Output'!$I:$I, 0, 'Picarro Output'!$J:$J, 1), "")</f>
        <v/>
      </c>
    </row>
    <row r="5165" spans="2:5" x14ac:dyDescent="0.45">
      <c r="B5165" s="1"/>
      <c r="E5165" s="45" t="str">
        <f>IFERROR(AVERAGEIFS('Picarro Output'!G:G, 'Picarro Output'!$B:$B, 'Uncalibrated Data'!$C5165, 'Picarro Output'!$I:$I, 0, 'Picarro Output'!$J:$J, 1), "")</f>
        <v/>
      </c>
    </row>
    <row r="5166" spans="2:5" x14ac:dyDescent="0.45">
      <c r="B5166" s="1"/>
      <c r="E5166" s="45" t="str">
        <f>IFERROR(AVERAGEIFS('Picarro Output'!G:G, 'Picarro Output'!$B:$B, 'Uncalibrated Data'!$C5166, 'Picarro Output'!$I:$I, 0, 'Picarro Output'!$J:$J, 1), "")</f>
        <v/>
      </c>
    </row>
    <row r="5167" spans="2:5" x14ac:dyDescent="0.45">
      <c r="B5167" s="1"/>
      <c r="E5167" s="45" t="str">
        <f>IFERROR(AVERAGEIFS('Picarro Output'!G:G, 'Picarro Output'!$B:$B, 'Uncalibrated Data'!$C5167, 'Picarro Output'!$I:$I, 0, 'Picarro Output'!$J:$J, 1), "")</f>
        <v/>
      </c>
    </row>
    <row r="5168" spans="2:5" x14ac:dyDescent="0.45">
      <c r="B5168" s="1"/>
      <c r="E5168" s="45" t="str">
        <f>IFERROR(AVERAGEIFS('Picarro Output'!G:G, 'Picarro Output'!$B:$B, 'Uncalibrated Data'!$C5168, 'Picarro Output'!$I:$I, 0, 'Picarro Output'!$J:$J, 1), "")</f>
        <v/>
      </c>
    </row>
    <row r="5169" spans="2:5" x14ac:dyDescent="0.45">
      <c r="B5169" s="1"/>
      <c r="E5169" s="45" t="str">
        <f>IFERROR(AVERAGEIFS('Picarro Output'!G:G, 'Picarro Output'!$B:$B, 'Uncalibrated Data'!$C5169, 'Picarro Output'!$I:$I, 0, 'Picarro Output'!$J:$J, 1), "")</f>
        <v/>
      </c>
    </row>
    <row r="5170" spans="2:5" x14ac:dyDescent="0.45">
      <c r="B5170" s="1"/>
      <c r="E5170" s="45" t="str">
        <f>IFERROR(AVERAGEIFS('Picarro Output'!G:G, 'Picarro Output'!$B:$B, 'Uncalibrated Data'!$C5170, 'Picarro Output'!$I:$I, 0, 'Picarro Output'!$J:$J, 1), "")</f>
        <v/>
      </c>
    </row>
    <row r="5171" spans="2:5" x14ac:dyDescent="0.45">
      <c r="B5171" s="1"/>
      <c r="E5171" s="45" t="str">
        <f>IFERROR(AVERAGEIFS('Picarro Output'!G:G, 'Picarro Output'!$B:$B, 'Uncalibrated Data'!$C5171, 'Picarro Output'!$I:$I, 0, 'Picarro Output'!$J:$J, 1), "")</f>
        <v/>
      </c>
    </row>
    <row r="5172" spans="2:5" x14ac:dyDescent="0.45">
      <c r="B5172" s="1"/>
      <c r="E5172" s="45" t="str">
        <f>IFERROR(AVERAGEIFS('Picarro Output'!G:G, 'Picarro Output'!$B:$B, 'Uncalibrated Data'!$C5172, 'Picarro Output'!$I:$I, 0, 'Picarro Output'!$J:$J, 1), "")</f>
        <v/>
      </c>
    </row>
    <row r="5173" spans="2:5" x14ac:dyDescent="0.45">
      <c r="B5173" s="1"/>
      <c r="E5173" s="45" t="str">
        <f>IFERROR(AVERAGEIFS('Picarro Output'!G:G, 'Picarro Output'!$B:$B, 'Uncalibrated Data'!$C5173, 'Picarro Output'!$I:$I, 0, 'Picarro Output'!$J:$J, 1), "")</f>
        <v/>
      </c>
    </row>
    <row r="5174" spans="2:5" x14ac:dyDescent="0.45">
      <c r="B5174" s="1"/>
      <c r="E5174" s="45" t="str">
        <f>IFERROR(AVERAGEIFS('Picarro Output'!G:G, 'Picarro Output'!$B:$B, 'Uncalibrated Data'!$C5174, 'Picarro Output'!$I:$I, 0, 'Picarro Output'!$J:$J, 1), "")</f>
        <v/>
      </c>
    </row>
    <row r="5175" spans="2:5" x14ac:dyDescent="0.45">
      <c r="B5175" s="1"/>
      <c r="E5175" s="45" t="str">
        <f>IFERROR(AVERAGEIFS('Picarro Output'!G:G, 'Picarro Output'!$B:$B, 'Uncalibrated Data'!$C5175, 'Picarro Output'!$I:$I, 0, 'Picarro Output'!$J:$J, 1), "")</f>
        <v/>
      </c>
    </row>
    <row r="5176" spans="2:5" x14ac:dyDescent="0.45">
      <c r="B5176" s="1"/>
      <c r="E5176" s="45" t="str">
        <f>IFERROR(AVERAGEIFS('Picarro Output'!G:G, 'Picarro Output'!$B:$B, 'Uncalibrated Data'!$C5176, 'Picarro Output'!$I:$I, 0, 'Picarro Output'!$J:$J, 1), "")</f>
        <v/>
      </c>
    </row>
    <row r="5177" spans="2:5" x14ac:dyDescent="0.45">
      <c r="B5177" s="1"/>
      <c r="E5177" s="45" t="str">
        <f>IFERROR(AVERAGEIFS('Picarro Output'!G:G, 'Picarro Output'!$B:$B, 'Uncalibrated Data'!$C5177, 'Picarro Output'!$I:$I, 0, 'Picarro Output'!$J:$J, 1), "")</f>
        <v/>
      </c>
    </row>
    <row r="5178" spans="2:5" x14ac:dyDescent="0.45">
      <c r="B5178" s="1"/>
      <c r="E5178" s="45" t="str">
        <f>IFERROR(AVERAGEIFS('Picarro Output'!G:G, 'Picarro Output'!$B:$B, 'Uncalibrated Data'!$C5178, 'Picarro Output'!$I:$I, 0, 'Picarro Output'!$J:$J, 1), "")</f>
        <v/>
      </c>
    </row>
    <row r="5179" spans="2:5" x14ac:dyDescent="0.45">
      <c r="B5179" s="1"/>
      <c r="E5179" s="45" t="str">
        <f>IFERROR(AVERAGEIFS('Picarro Output'!G:G, 'Picarro Output'!$B:$B, 'Uncalibrated Data'!$C5179, 'Picarro Output'!$I:$I, 0, 'Picarro Output'!$J:$J, 1), "")</f>
        <v/>
      </c>
    </row>
    <row r="5180" spans="2:5" x14ac:dyDescent="0.45">
      <c r="B5180" s="1"/>
      <c r="E5180" s="45" t="str">
        <f>IFERROR(AVERAGEIFS('Picarro Output'!G:G, 'Picarro Output'!$B:$B, 'Uncalibrated Data'!$C5180, 'Picarro Output'!$I:$I, 0, 'Picarro Output'!$J:$J, 1), "")</f>
        <v/>
      </c>
    </row>
    <row r="5181" spans="2:5" x14ac:dyDescent="0.45">
      <c r="B5181" s="1"/>
      <c r="E5181" s="45" t="str">
        <f>IFERROR(AVERAGEIFS('Picarro Output'!G:G, 'Picarro Output'!$B:$B, 'Uncalibrated Data'!$C5181, 'Picarro Output'!$I:$I, 0, 'Picarro Output'!$J:$J, 1), "")</f>
        <v/>
      </c>
    </row>
    <row r="5182" spans="2:5" x14ac:dyDescent="0.45">
      <c r="B5182" s="1"/>
      <c r="E5182" s="45" t="str">
        <f>IFERROR(AVERAGEIFS('Picarro Output'!G:G, 'Picarro Output'!$B:$B, 'Uncalibrated Data'!$C5182, 'Picarro Output'!$I:$I, 0, 'Picarro Output'!$J:$J, 1), "")</f>
        <v/>
      </c>
    </row>
    <row r="5183" spans="2:5" x14ac:dyDescent="0.45">
      <c r="B5183" s="1"/>
      <c r="E5183" s="45" t="str">
        <f>IFERROR(AVERAGEIFS('Picarro Output'!G:G, 'Picarro Output'!$B:$B, 'Uncalibrated Data'!$C5183, 'Picarro Output'!$I:$I, 0, 'Picarro Output'!$J:$J, 1), "")</f>
        <v/>
      </c>
    </row>
    <row r="5184" spans="2:5" x14ac:dyDescent="0.45">
      <c r="B5184" s="1"/>
      <c r="E5184" s="45" t="str">
        <f>IFERROR(AVERAGEIFS('Picarro Output'!G:G, 'Picarro Output'!$B:$B, 'Uncalibrated Data'!$C5184, 'Picarro Output'!$I:$I, 0, 'Picarro Output'!$J:$J, 1), "")</f>
        <v/>
      </c>
    </row>
    <row r="5185" spans="2:5" x14ac:dyDescent="0.45">
      <c r="B5185" s="1"/>
      <c r="E5185" s="45" t="str">
        <f>IFERROR(AVERAGEIFS('Picarro Output'!G:G, 'Picarro Output'!$B:$B, 'Uncalibrated Data'!$C5185, 'Picarro Output'!$I:$I, 0, 'Picarro Output'!$J:$J, 1), "")</f>
        <v/>
      </c>
    </row>
    <row r="5186" spans="2:5" x14ac:dyDescent="0.45">
      <c r="B5186" s="1"/>
      <c r="E5186" s="45" t="str">
        <f>IFERROR(AVERAGEIFS('Picarro Output'!G:G, 'Picarro Output'!$B:$B, 'Uncalibrated Data'!$C5186, 'Picarro Output'!$I:$I, 0, 'Picarro Output'!$J:$J, 1), "")</f>
        <v/>
      </c>
    </row>
    <row r="5187" spans="2:5" x14ac:dyDescent="0.45">
      <c r="B5187" s="1"/>
      <c r="E5187" s="45" t="str">
        <f>IFERROR(AVERAGEIFS('Picarro Output'!G:G, 'Picarro Output'!$B:$B, 'Uncalibrated Data'!$C5187, 'Picarro Output'!$I:$I, 0, 'Picarro Output'!$J:$J, 1), "")</f>
        <v/>
      </c>
    </row>
    <row r="5188" spans="2:5" x14ac:dyDescent="0.45">
      <c r="B5188" s="1"/>
      <c r="E5188" s="45" t="str">
        <f>IFERROR(AVERAGEIFS('Picarro Output'!G:G, 'Picarro Output'!$B:$B, 'Uncalibrated Data'!$C5188, 'Picarro Output'!$I:$I, 0, 'Picarro Output'!$J:$J, 1), "")</f>
        <v/>
      </c>
    </row>
    <row r="5189" spans="2:5" x14ac:dyDescent="0.45">
      <c r="B5189" s="1"/>
      <c r="E5189" s="45" t="str">
        <f>IFERROR(AVERAGEIFS('Picarro Output'!G:G, 'Picarro Output'!$B:$B, 'Uncalibrated Data'!$C5189, 'Picarro Output'!$I:$I, 0, 'Picarro Output'!$J:$J, 1), "")</f>
        <v/>
      </c>
    </row>
    <row r="5190" spans="2:5" x14ac:dyDescent="0.45">
      <c r="B5190" s="1"/>
      <c r="E5190" s="45" t="str">
        <f>IFERROR(AVERAGEIFS('Picarro Output'!G:G, 'Picarro Output'!$B:$B, 'Uncalibrated Data'!$C5190, 'Picarro Output'!$I:$I, 0, 'Picarro Output'!$J:$J, 1), "")</f>
        <v/>
      </c>
    </row>
    <row r="5191" spans="2:5" x14ac:dyDescent="0.45">
      <c r="B5191" s="1"/>
      <c r="E5191" s="45" t="str">
        <f>IFERROR(AVERAGEIFS('Picarro Output'!G:G, 'Picarro Output'!$B:$B, 'Uncalibrated Data'!$C5191, 'Picarro Output'!$I:$I, 0, 'Picarro Output'!$J:$J, 1), "")</f>
        <v/>
      </c>
    </row>
    <row r="5192" spans="2:5" x14ac:dyDescent="0.45">
      <c r="B5192" s="1"/>
      <c r="E5192" s="45" t="str">
        <f>IFERROR(AVERAGEIFS('Picarro Output'!G:G, 'Picarro Output'!$B:$B, 'Uncalibrated Data'!$C5192, 'Picarro Output'!$I:$I, 0, 'Picarro Output'!$J:$J, 1), "")</f>
        <v/>
      </c>
    </row>
    <row r="5193" spans="2:5" x14ac:dyDescent="0.45">
      <c r="B5193" s="1"/>
      <c r="E5193" s="45" t="str">
        <f>IFERROR(AVERAGEIFS('Picarro Output'!G:G, 'Picarro Output'!$B:$B, 'Uncalibrated Data'!$C5193, 'Picarro Output'!$I:$I, 0, 'Picarro Output'!$J:$J, 1), "")</f>
        <v/>
      </c>
    </row>
    <row r="5194" spans="2:5" x14ac:dyDescent="0.45">
      <c r="B5194" s="1"/>
      <c r="E5194" s="45" t="str">
        <f>IFERROR(AVERAGEIFS('Picarro Output'!G:G, 'Picarro Output'!$B:$B, 'Uncalibrated Data'!$C5194, 'Picarro Output'!$I:$I, 0, 'Picarro Output'!$J:$J, 1), "")</f>
        <v/>
      </c>
    </row>
    <row r="5195" spans="2:5" x14ac:dyDescent="0.45">
      <c r="B5195" s="1"/>
      <c r="E5195" s="45" t="str">
        <f>IFERROR(AVERAGEIFS('Picarro Output'!G:G, 'Picarro Output'!$B:$B, 'Uncalibrated Data'!$C5195, 'Picarro Output'!$I:$I, 0, 'Picarro Output'!$J:$J, 1), "")</f>
        <v/>
      </c>
    </row>
    <row r="5196" spans="2:5" x14ac:dyDescent="0.45">
      <c r="B5196" s="1"/>
      <c r="E5196" s="45" t="str">
        <f>IFERROR(AVERAGEIFS('Picarro Output'!G:G, 'Picarro Output'!$B:$B, 'Uncalibrated Data'!$C5196, 'Picarro Output'!$I:$I, 0, 'Picarro Output'!$J:$J, 1), "")</f>
        <v/>
      </c>
    </row>
    <row r="5197" spans="2:5" x14ac:dyDescent="0.45">
      <c r="B5197" s="1"/>
      <c r="E5197" s="45" t="str">
        <f>IFERROR(AVERAGEIFS('Picarro Output'!G:G, 'Picarro Output'!$B:$B, 'Uncalibrated Data'!$C5197, 'Picarro Output'!$I:$I, 0, 'Picarro Output'!$J:$J, 1), "")</f>
        <v/>
      </c>
    </row>
    <row r="5198" spans="2:5" x14ac:dyDescent="0.45">
      <c r="B5198" s="1"/>
      <c r="E5198" s="45" t="str">
        <f>IFERROR(AVERAGEIFS('Picarro Output'!G:G, 'Picarro Output'!$B:$B, 'Uncalibrated Data'!$C5198, 'Picarro Output'!$I:$I, 0, 'Picarro Output'!$J:$J, 1), "")</f>
        <v/>
      </c>
    </row>
    <row r="5199" spans="2:5" x14ac:dyDescent="0.45">
      <c r="B5199" s="1"/>
      <c r="E5199" s="45" t="str">
        <f>IFERROR(AVERAGEIFS('Picarro Output'!G:G, 'Picarro Output'!$B:$B, 'Uncalibrated Data'!$C5199, 'Picarro Output'!$I:$I, 0, 'Picarro Output'!$J:$J, 1), "")</f>
        <v/>
      </c>
    </row>
    <row r="5200" spans="2:5" x14ac:dyDescent="0.45">
      <c r="B5200" s="1"/>
      <c r="E5200" s="45" t="str">
        <f>IFERROR(AVERAGEIFS('Picarro Output'!G:G, 'Picarro Output'!$B:$B, 'Uncalibrated Data'!$C5200, 'Picarro Output'!$I:$I, 0, 'Picarro Output'!$J:$J, 1), "")</f>
        <v/>
      </c>
    </row>
    <row r="5201" spans="2:5" x14ac:dyDescent="0.45">
      <c r="B5201" s="1"/>
      <c r="E5201" s="45" t="str">
        <f>IFERROR(AVERAGEIFS('Picarro Output'!G:G, 'Picarro Output'!$B:$B, 'Uncalibrated Data'!$C5201, 'Picarro Output'!$I:$I, 0, 'Picarro Output'!$J:$J, 1), "")</f>
        <v/>
      </c>
    </row>
    <row r="5202" spans="2:5" x14ac:dyDescent="0.45">
      <c r="B5202" s="1"/>
      <c r="E5202" s="45" t="str">
        <f>IFERROR(AVERAGEIFS('Picarro Output'!G:G, 'Picarro Output'!$B:$B, 'Uncalibrated Data'!$C5202, 'Picarro Output'!$I:$I, 0, 'Picarro Output'!$J:$J, 1), "")</f>
        <v/>
      </c>
    </row>
    <row r="5203" spans="2:5" x14ac:dyDescent="0.45">
      <c r="B5203" s="1"/>
      <c r="E5203" s="45" t="str">
        <f>IFERROR(AVERAGEIFS('Picarro Output'!G:G, 'Picarro Output'!$B:$B, 'Uncalibrated Data'!$C5203, 'Picarro Output'!$I:$I, 0, 'Picarro Output'!$J:$J, 1), "")</f>
        <v/>
      </c>
    </row>
    <row r="5204" spans="2:5" x14ac:dyDescent="0.45">
      <c r="B5204" s="1"/>
      <c r="E5204" s="45" t="str">
        <f>IFERROR(AVERAGEIFS('Picarro Output'!G:G, 'Picarro Output'!$B:$B, 'Uncalibrated Data'!$C5204, 'Picarro Output'!$I:$I, 0, 'Picarro Output'!$J:$J, 1), "")</f>
        <v/>
      </c>
    </row>
    <row r="5205" spans="2:5" x14ac:dyDescent="0.45">
      <c r="B5205" s="1"/>
      <c r="E5205" s="45" t="str">
        <f>IFERROR(AVERAGEIFS('Picarro Output'!G:G, 'Picarro Output'!$B:$B, 'Uncalibrated Data'!$C5205, 'Picarro Output'!$I:$I, 0, 'Picarro Output'!$J:$J, 1), "")</f>
        <v/>
      </c>
    </row>
    <row r="5206" spans="2:5" x14ac:dyDescent="0.45">
      <c r="B5206" s="1"/>
      <c r="E5206" s="45" t="str">
        <f>IFERROR(AVERAGEIFS('Picarro Output'!G:G, 'Picarro Output'!$B:$B, 'Uncalibrated Data'!$C5206, 'Picarro Output'!$I:$I, 0, 'Picarro Output'!$J:$J, 1), "")</f>
        <v/>
      </c>
    </row>
    <row r="5207" spans="2:5" x14ac:dyDescent="0.45">
      <c r="B5207" s="1"/>
      <c r="E5207" s="45" t="str">
        <f>IFERROR(AVERAGEIFS('Picarro Output'!G:G, 'Picarro Output'!$B:$B, 'Uncalibrated Data'!$C5207, 'Picarro Output'!$I:$I, 0, 'Picarro Output'!$J:$J, 1), "")</f>
        <v/>
      </c>
    </row>
    <row r="5208" spans="2:5" x14ac:dyDescent="0.45">
      <c r="B5208" s="1"/>
      <c r="E5208" s="45" t="str">
        <f>IFERROR(AVERAGEIFS('Picarro Output'!G:G, 'Picarro Output'!$B:$B, 'Uncalibrated Data'!$C5208, 'Picarro Output'!$I:$I, 0, 'Picarro Output'!$J:$J, 1), "")</f>
        <v/>
      </c>
    </row>
    <row r="5209" spans="2:5" x14ac:dyDescent="0.45">
      <c r="B5209" s="1"/>
      <c r="E5209" s="45" t="str">
        <f>IFERROR(AVERAGEIFS('Picarro Output'!G:G, 'Picarro Output'!$B:$B, 'Uncalibrated Data'!$C5209, 'Picarro Output'!$I:$I, 0, 'Picarro Output'!$J:$J, 1), "")</f>
        <v/>
      </c>
    </row>
    <row r="5210" spans="2:5" x14ac:dyDescent="0.45">
      <c r="B5210" s="1"/>
      <c r="E5210" s="45" t="str">
        <f>IFERROR(AVERAGEIFS('Picarro Output'!G:G, 'Picarro Output'!$B:$B, 'Uncalibrated Data'!$C5210, 'Picarro Output'!$I:$I, 0, 'Picarro Output'!$J:$J, 1), "")</f>
        <v/>
      </c>
    </row>
    <row r="5211" spans="2:5" x14ac:dyDescent="0.45">
      <c r="B5211" s="1"/>
      <c r="E5211" s="45" t="str">
        <f>IFERROR(AVERAGEIFS('Picarro Output'!G:G, 'Picarro Output'!$B:$B, 'Uncalibrated Data'!$C5211, 'Picarro Output'!$I:$I, 0, 'Picarro Output'!$J:$J, 1), "")</f>
        <v/>
      </c>
    </row>
    <row r="5212" spans="2:5" x14ac:dyDescent="0.45">
      <c r="B5212" s="1"/>
      <c r="E5212" s="45" t="str">
        <f>IFERROR(AVERAGEIFS('Picarro Output'!G:G, 'Picarro Output'!$B:$B, 'Uncalibrated Data'!$C5212, 'Picarro Output'!$I:$I, 0, 'Picarro Output'!$J:$J, 1), "")</f>
        <v/>
      </c>
    </row>
    <row r="5213" spans="2:5" x14ac:dyDescent="0.45">
      <c r="B5213" s="1"/>
      <c r="E5213" s="45" t="str">
        <f>IFERROR(AVERAGEIFS('Picarro Output'!G:G, 'Picarro Output'!$B:$B, 'Uncalibrated Data'!$C5213, 'Picarro Output'!$I:$I, 0, 'Picarro Output'!$J:$J, 1), "")</f>
        <v/>
      </c>
    </row>
    <row r="5214" spans="2:5" x14ac:dyDescent="0.45">
      <c r="B5214" s="1"/>
      <c r="E5214" s="45" t="str">
        <f>IFERROR(AVERAGEIFS('Picarro Output'!G:G, 'Picarro Output'!$B:$B, 'Uncalibrated Data'!$C5214, 'Picarro Output'!$I:$I, 0, 'Picarro Output'!$J:$J, 1), "")</f>
        <v/>
      </c>
    </row>
    <row r="5215" spans="2:5" x14ac:dyDescent="0.45">
      <c r="B5215" s="1"/>
      <c r="E5215" s="45" t="str">
        <f>IFERROR(AVERAGEIFS('Picarro Output'!G:G, 'Picarro Output'!$B:$B, 'Uncalibrated Data'!$C5215, 'Picarro Output'!$I:$I, 0, 'Picarro Output'!$J:$J, 1), "")</f>
        <v/>
      </c>
    </row>
    <row r="5216" spans="2:5" x14ac:dyDescent="0.45">
      <c r="B5216" s="1"/>
      <c r="E5216" s="45" t="str">
        <f>IFERROR(AVERAGEIFS('Picarro Output'!G:G, 'Picarro Output'!$B:$B, 'Uncalibrated Data'!$C5216, 'Picarro Output'!$I:$I, 0, 'Picarro Output'!$J:$J, 1), "")</f>
        <v/>
      </c>
    </row>
    <row r="5217" spans="2:5" x14ac:dyDescent="0.45">
      <c r="B5217" s="1"/>
      <c r="E5217" s="45" t="str">
        <f>IFERROR(AVERAGEIFS('Picarro Output'!G:G, 'Picarro Output'!$B:$B, 'Uncalibrated Data'!$C5217, 'Picarro Output'!$I:$I, 0, 'Picarro Output'!$J:$J, 1), "")</f>
        <v/>
      </c>
    </row>
    <row r="5218" spans="2:5" x14ac:dyDescent="0.45">
      <c r="B5218" s="1"/>
      <c r="E5218" s="45" t="str">
        <f>IFERROR(AVERAGEIFS('Picarro Output'!G:G, 'Picarro Output'!$B:$B, 'Uncalibrated Data'!$C5218, 'Picarro Output'!$I:$I, 0, 'Picarro Output'!$J:$J, 1), "")</f>
        <v/>
      </c>
    </row>
    <row r="5219" spans="2:5" x14ac:dyDescent="0.45">
      <c r="B5219" s="1"/>
      <c r="E5219" s="45" t="str">
        <f>IFERROR(AVERAGEIFS('Picarro Output'!G:G, 'Picarro Output'!$B:$B, 'Uncalibrated Data'!$C5219, 'Picarro Output'!$I:$I, 0, 'Picarro Output'!$J:$J, 1), "")</f>
        <v/>
      </c>
    </row>
    <row r="5220" spans="2:5" x14ac:dyDescent="0.45">
      <c r="B5220" s="1"/>
      <c r="E5220" s="45" t="str">
        <f>IFERROR(AVERAGEIFS('Picarro Output'!G:G, 'Picarro Output'!$B:$B, 'Uncalibrated Data'!$C5220, 'Picarro Output'!$I:$I, 0, 'Picarro Output'!$J:$J, 1), "")</f>
        <v/>
      </c>
    </row>
    <row r="5221" spans="2:5" x14ac:dyDescent="0.45">
      <c r="B5221" s="1"/>
      <c r="E5221" s="45" t="str">
        <f>IFERROR(AVERAGEIFS('Picarro Output'!G:G, 'Picarro Output'!$B:$B, 'Uncalibrated Data'!$C5221, 'Picarro Output'!$I:$I, 0, 'Picarro Output'!$J:$J, 1), "")</f>
        <v/>
      </c>
    </row>
    <row r="5222" spans="2:5" x14ac:dyDescent="0.45">
      <c r="B5222" s="1"/>
      <c r="E5222" s="45" t="str">
        <f>IFERROR(AVERAGEIFS('Picarro Output'!G:G, 'Picarro Output'!$B:$B, 'Uncalibrated Data'!$C5222, 'Picarro Output'!$I:$I, 0, 'Picarro Output'!$J:$J, 1), "")</f>
        <v/>
      </c>
    </row>
    <row r="5223" spans="2:5" x14ac:dyDescent="0.45">
      <c r="B5223" s="1"/>
      <c r="E5223" s="45" t="str">
        <f>IFERROR(AVERAGEIFS('Picarro Output'!G:G, 'Picarro Output'!$B:$B, 'Uncalibrated Data'!$C5223, 'Picarro Output'!$I:$I, 0, 'Picarro Output'!$J:$J, 1), "")</f>
        <v/>
      </c>
    </row>
    <row r="5224" spans="2:5" x14ac:dyDescent="0.45">
      <c r="B5224" s="1"/>
      <c r="E5224" s="45" t="str">
        <f>IFERROR(AVERAGEIFS('Picarro Output'!G:G, 'Picarro Output'!$B:$B, 'Uncalibrated Data'!$C5224, 'Picarro Output'!$I:$I, 0, 'Picarro Output'!$J:$J, 1), "")</f>
        <v/>
      </c>
    </row>
    <row r="5225" spans="2:5" x14ac:dyDescent="0.45">
      <c r="B5225" s="1"/>
      <c r="E5225" s="45" t="str">
        <f>IFERROR(AVERAGEIFS('Picarro Output'!G:G, 'Picarro Output'!$B:$B, 'Uncalibrated Data'!$C5225, 'Picarro Output'!$I:$I, 0, 'Picarro Output'!$J:$J, 1), "")</f>
        <v/>
      </c>
    </row>
    <row r="5226" spans="2:5" x14ac:dyDescent="0.45">
      <c r="B5226" s="1"/>
      <c r="E5226" s="45" t="str">
        <f>IFERROR(AVERAGEIFS('Picarro Output'!G:G, 'Picarro Output'!$B:$B, 'Uncalibrated Data'!$C5226, 'Picarro Output'!$I:$I, 0, 'Picarro Output'!$J:$J, 1), "")</f>
        <v/>
      </c>
    </row>
    <row r="5227" spans="2:5" x14ac:dyDescent="0.45">
      <c r="B5227" s="1"/>
      <c r="E5227" s="45" t="str">
        <f>IFERROR(AVERAGEIFS('Picarro Output'!G:G, 'Picarro Output'!$B:$B, 'Uncalibrated Data'!$C5227, 'Picarro Output'!$I:$I, 0, 'Picarro Output'!$J:$J, 1), "")</f>
        <v/>
      </c>
    </row>
    <row r="5228" spans="2:5" x14ac:dyDescent="0.45">
      <c r="B5228" s="1"/>
      <c r="E5228" s="45" t="str">
        <f>IFERROR(AVERAGEIFS('Picarro Output'!G:G, 'Picarro Output'!$B:$B, 'Uncalibrated Data'!$C5228, 'Picarro Output'!$I:$I, 0, 'Picarro Output'!$J:$J, 1), "")</f>
        <v/>
      </c>
    </row>
    <row r="5229" spans="2:5" x14ac:dyDescent="0.45">
      <c r="B5229" s="1"/>
      <c r="E5229" s="45" t="str">
        <f>IFERROR(AVERAGEIFS('Picarro Output'!G:G, 'Picarro Output'!$B:$B, 'Uncalibrated Data'!$C5229, 'Picarro Output'!$I:$I, 0, 'Picarro Output'!$J:$J, 1), "")</f>
        <v/>
      </c>
    </row>
    <row r="5230" spans="2:5" x14ac:dyDescent="0.45">
      <c r="B5230" s="1"/>
      <c r="E5230" s="45" t="str">
        <f>IFERROR(AVERAGEIFS('Picarro Output'!G:G, 'Picarro Output'!$B:$B, 'Uncalibrated Data'!$C5230, 'Picarro Output'!$I:$I, 0, 'Picarro Output'!$J:$J, 1), "")</f>
        <v/>
      </c>
    </row>
    <row r="5231" spans="2:5" x14ac:dyDescent="0.45">
      <c r="B5231" s="1"/>
      <c r="E5231" s="45" t="str">
        <f>IFERROR(AVERAGEIFS('Picarro Output'!G:G, 'Picarro Output'!$B:$B, 'Uncalibrated Data'!$C5231, 'Picarro Output'!$I:$I, 0, 'Picarro Output'!$J:$J, 1), "")</f>
        <v/>
      </c>
    </row>
    <row r="5232" spans="2:5" x14ac:dyDescent="0.45">
      <c r="B5232" s="1"/>
      <c r="E5232" s="45" t="str">
        <f>IFERROR(AVERAGEIFS('Picarro Output'!G:G, 'Picarro Output'!$B:$B, 'Uncalibrated Data'!$C5232, 'Picarro Output'!$I:$I, 0, 'Picarro Output'!$J:$J, 1), "")</f>
        <v/>
      </c>
    </row>
    <row r="5233" spans="2:5" x14ac:dyDescent="0.45">
      <c r="B5233" s="1"/>
      <c r="E5233" s="45" t="str">
        <f>IFERROR(AVERAGEIFS('Picarro Output'!G:G, 'Picarro Output'!$B:$B, 'Uncalibrated Data'!$C5233, 'Picarro Output'!$I:$I, 0, 'Picarro Output'!$J:$J, 1), "")</f>
        <v/>
      </c>
    </row>
    <row r="5234" spans="2:5" x14ac:dyDescent="0.45">
      <c r="B5234" s="1"/>
      <c r="E5234" s="45" t="str">
        <f>IFERROR(AVERAGEIFS('Picarro Output'!G:G, 'Picarro Output'!$B:$B, 'Uncalibrated Data'!$C5234, 'Picarro Output'!$I:$I, 0, 'Picarro Output'!$J:$J, 1), "")</f>
        <v/>
      </c>
    </row>
    <row r="5235" spans="2:5" x14ac:dyDescent="0.45">
      <c r="B5235" s="1"/>
      <c r="E5235" s="45" t="str">
        <f>IFERROR(AVERAGEIFS('Picarro Output'!G:G, 'Picarro Output'!$B:$B, 'Uncalibrated Data'!$C5235, 'Picarro Output'!$I:$I, 0, 'Picarro Output'!$J:$J, 1), "")</f>
        <v/>
      </c>
    </row>
    <row r="5236" spans="2:5" x14ac:dyDescent="0.45">
      <c r="B5236" s="1"/>
      <c r="E5236" s="45" t="str">
        <f>IFERROR(AVERAGEIFS('Picarro Output'!G:G, 'Picarro Output'!$B:$B, 'Uncalibrated Data'!$C5236, 'Picarro Output'!$I:$I, 0, 'Picarro Output'!$J:$J, 1), "")</f>
        <v/>
      </c>
    </row>
    <row r="5237" spans="2:5" x14ac:dyDescent="0.45">
      <c r="B5237" s="1"/>
      <c r="E5237" s="45" t="str">
        <f>IFERROR(AVERAGEIFS('Picarro Output'!G:G, 'Picarro Output'!$B:$B, 'Uncalibrated Data'!$C5237, 'Picarro Output'!$I:$I, 0, 'Picarro Output'!$J:$J, 1), "")</f>
        <v/>
      </c>
    </row>
    <row r="5238" spans="2:5" x14ac:dyDescent="0.45">
      <c r="B5238" s="1"/>
      <c r="E5238" s="45" t="str">
        <f>IFERROR(AVERAGEIFS('Picarro Output'!G:G, 'Picarro Output'!$B:$B, 'Uncalibrated Data'!$C5238, 'Picarro Output'!$I:$I, 0, 'Picarro Output'!$J:$J, 1), "")</f>
        <v/>
      </c>
    </row>
    <row r="5239" spans="2:5" x14ac:dyDescent="0.45">
      <c r="B5239" s="1"/>
      <c r="E5239" s="45" t="str">
        <f>IFERROR(AVERAGEIFS('Picarro Output'!G:G, 'Picarro Output'!$B:$B, 'Uncalibrated Data'!$C5239, 'Picarro Output'!$I:$I, 0, 'Picarro Output'!$J:$J, 1), "")</f>
        <v/>
      </c>
    </row>
    <row r="5240" spans="2:5" x14ac:dyDescent="0.45">
      <c r="B5240" s="1"/>
      <c r="E5240" s="45" t="str">
        <f>IFERROR(AVERAGEIFS('Picarro Output'!G:G, 'Picarro Output'!$B:$B, 'Uncalibrated Data'!$C5240, 'Picarro Output'!$I:$I, 0, 'Picarro Output'!$J:$J, 1), "")</f>
        <v/>
      </c>
    </row>
    <row r="5241" spans="2:5" x14ac:dyDescent="0.45">
      <c r="B5241" s="1"/>
      <c r="E5241" s="45" t="str">
        <f>IFERROR(AVERAGEIFS('Picarro Output'!G:G, 'Picarro Output'!$B:$B, 'Uncalibrated Data'!$C5241, 'Picarro Output'!$I:$I, 0, 'Picarro Output'!$J:$J, 1), "")</f>
        <v/>
      </c>
    </row>
    <row r="5242" spans="2:5" x14ac:dyDescent="0.45">
      <c r="B5242" s="1"/>
      <c r="E5242" s="45" t="str">
        <f>IFERROR(AVERAGEIFS('Picarro Output'!G:G, 'Picarro Output'!$B:$B, 'Uncalibrated Data'!$C5242, 'Picarro Output'!$I:$I, 0, 'Picarro Output'!$J:$J, 1), "")</f>
        <v/>
      </c>
    </row>
    <row r="5243" spans="2:5" x14ac:dyDescent="0.45">
      <c r="B5243" s="1"/>
      <c r="E5243" s="45" t="str">
        <f>IFERROR(AVERAGEIFS('Picarro Output'!G:G, 'Picarro Output'!$B:$B, 'Uncalibrated Data'!$C5243, 'Picarro Output'!$I:$I, 0, 'Picarro Output'!$J:$J, 1), "")</f>
        <v/>
      </c>
    </row>
    <row r="5244" spans="2:5" x14ac:dyDescent="0.45">
      <c r="B5244" s="1"/>
      <c r="E5244" s="45" t="str">
        <f>IFERROR(AVERAGEIFS('Picarro Output'!G:G, 'Picarro Output'!$B:$B, 'Uncalibrated Data'!$C5244, 'Picarro Output'!$I:$I, 0, 'Picarro Output'!$J:$J, 1), "")</f>
        <v/>
      </c>
    </row>
    <row r="5245" spans="2:5" x14ac:dyDescent="0.45">
      <c r="B5245" s="1"/>
      <c r="E5245" s="45" t="str">
        <f>IFERROR(AVERAGEIFS('Picarro Output'!G:G, 'Picarro Output'!$B:$B, 'Uncalibrated Data'!$C5245, 'Picarro Output'!$I:$I, 0, 'Picarro Output'!$J:$J, 1), "")</f>
        <v/>
      </c>
    </row>
    <row r="5246" spans="2:5" x14ac:dyDescent="0.45">
      <c r="B5246" s="1"/>
      <c r="E5246" s="45" t="str">
        <f>IFERROR(AVERAGEIFS('Picarro Output'!G:G, 'Picarro Output'!$B:$B, 'Uncalibrated Data'!$C5246, 'Picarro Output'!$I:$I, 0, 'Picarro Output'!$J:$J, 1), "")</f>
        <v/>
      </c>
    </row>
    <row r="5247" spans="2:5" x14ac:dyDescent="0.45">
      <c r="B5247" s="1"/>
      <c r="E5247" s="45" t="str">
        <f>IFERROR(AVERAGEIFS('Picarro Output'!G:G, 'Picarro Output'!$B:$B, 'Uncalibrated Data'!$C5247, 'Picarro Output'!$I:$I, 0, 'Picarro Output'!$J:$J, 1), "")</f>
        <v/>
      </c>
    </row>
    <row r="5248" spans="2:5" x14ac:dyDescent="0.45">
      <c r="B5248" s="1"/>
      <c r="E5248" s="45" t="str">
        <f>IFERROR(AVERAGEIFS('Picarro Output'!G:G, 'Picarro Output'!$B:$B, 'Uncalibrated Data'!$C5248, 'Picarro Output'!$I:$I, 0, 'Picarro Output'!$J:$J, 1), "")</f>
        <v/>
      </c>
    </row>
    <row r="5249" spans="2:5" x14ac:dyDescent="0.45">
      <c r="B5249" s="1"/>
      <c r="E5249" s="45" t="str">
        <f>IFERROR(AVERAGEIFS('Picarro Output'!G:G, 'Picarro Output'!$B:$B, 'Uncalibrated Data'!$C5249, 'Picarro Output'!$I:$I, 0, 'Picarro Output'!$J:$J, 1), "")</f>
        <v/>
      </c>
    </row>
    <row r="5250" spans="2:5" x14ac:dyDescent="0.45">
      <c r="B5250" s="1"/>
      <c r="E5250" s="45" t="str">
        <f>IFERROR(AVERAGEIFS('Picarro Output'!G:G, 'Picarro Output'!$B:$B, 'Uncalibrated Data'!$C5250, 'Picarro Output'!$I:$I, 0, 'Picarro Output'!$J:$J, 1), "")</f>
        <v/>
      </c>
    </row>
    <row r="5251" spans="2:5" x14ac:dyDescent="0.45">
      <c r="B5251" s="1"/>
      <c r="E5251" s="45" t="str">
        <f>IFERROR(AVERAGEIFS('Picarro Output'!G:G, 'Picarro Output'!$B:$B, 'Uncalibrated Data'!$C5251, 'Picarro Output'!$I:$I, 0, 'Picarro Output'!$J:$J, 1), "")</f>
        <v/>
      </c>
    </row>
    <row r="5252" spans="2:5" x14ac:dyDescent="0.45">
      <c r="B5252" s="1"/>
      <c r="E5252" s="45" t="str">
        <f>IFERROR(AVERAGEIFS('Picarro Output'!G:G, 'Picarro Output'!$B:$B, 'Uncalibrated Data'!$C5252, 'Picarro Output'!$I:$I, 0, 'Picarro Output'!$J:$J, 1), "")</f>
        <v/>
      </c>
    </row>
    <row r="5253" spans="2:5" x14ac:dyDescent="0.45">
      <c r="B5253" s="1"/>
      <c r="E5253" s="45" t="str">
        <f>IFERROR(AVERAGEIFS('Picarro Output'!G:G, 'Picarro Output'!$B:$B, 'Uncalibrated Data'!$C5253, 'Picarro Output'!$I:$I, 0, 'Picarro Output'!$J:$J, 1), "")</f>
        <v/>
      </c>
    </row>
    <row r="5254" spans="2:5" x14ac:dyDescent="0.45">
      <c r="B5254" s="1"/>
      <c r="E5254" s="45" t="str">
        <f>IFERROR(AVERAGEIFS('Picarro Output'!G:G, 'Picarro Output'!$B:$B, 'Uncalibrated Data'!$C5254, 'Picarro Output'!$I:$I, 0, 'Picarro Output'!$J:$J, 1), "")</f>
        <v/>
      </c>
    </row>
    <row r="5255" spans="2:5" x14ac:dyDescent="0.45">
      <c r="B5255" s="1"/>
      <c r="E5255" s="45" t="str">
        <f>IFERROR(AVERAGEIFS('Picarro Output'!G:G, 'Picarro Output'!$B:$B, 'Uncalibrated Data'!$C5255, 'Picarro Output'!$I:$I, 0, 'Picarro Output'!$J:$J, 1), "")</f>
        <v/>
      </c>
    </row>
    <row r="5256" spans="2:5" x14ac:dyDescent="0.45">
      <c r="B5256" s="1"/>
      <c r="E5256" s="45" t="str">
        <f>IFERROR(AVERAGEIFS('Picarro Output'!G:G, 'Picarro Output'!$B:$B, 'Uncalibrated Data'!$C5256, 'Picarro Output'!$I:$I, 0, 'Picarro Output'!$J:$J, 1), "")</f>
        <v/>
      </c>
    </row>
    <row r="5257" spans="2:5" x14ac:dyDescent="0.45">
      <c r="B5257" s="1"/>
      <c r="E5257" s="45" t="str">
        <f>IFERROR(AVERAGEIFS('Picarro Output'!G:G, 'Picarro Output'!$B:$B, 'Uncalibrated Data'!$C5257, 'Picarro Output'!$I:$I, 0, 'Picarro Output'!$J:$J, 1), "")</f>
        <v/>
      </c>
    </row>
    <row r="5258" spans="2:5" x14ac:dyDescent="0.45">
      <c r="B5258" s="1"/>
      <c r="E5258" s="45" t="str">
        <f>IFERROR(AVERAGEIFS('Picarro Output'!G:G, 'Picarro Output'!$B:$B, 'Uncalibrated Data'!$C5258, 'Picarro Output'!$I:$I, 0, 'Picarro Output'!$J:$J, 1), "")</f>
        <v/>
      </c>
    </row>
    <row r="5259" spans="2:5" x14ac:dyDescent="0.45">
      <c r="B5259" s="1"/>
      <c r="E5259" s="45" t="str">
        <f>IFERROR(AVERAGEIFS('Picarro Output'!G:G, 'Picarro Output'!$B:$B, 'Uncalibrated Data'!$C5259, 'Picarro Output'!$I:$I, 0, 'Picarro Output'!$J:$J, 1), "")</f>
        <v/>
      </c>
    </row>
    <row r="5260" spans="2:5" x14ac:dyDescent="0.45">
      <c r="B5260" s="1"/>
      <c r="E5260" s="45" t="str">
        <f>IFERROR(AVERAGEIFS('Picarro Output'!G:G, 'Picarro Output'!$B:$B, 'Uncalibrated Data'!$C5260, 'Picarro Output'!$I:$I, 0, 'Picarro Output'!$J:$J, 1), "")</f>
        <v/>
      </c>
    </row>
    <row r="5261" spans="2:5" x14ac:dyDescent="0.45">
      <c r="B5261" s="1"/>
      <c r="E5261" s="45" t="str">
        <f>IFERROR(AVERAGEIFS('Picarro Output'!G:G, 'Picarro Output'!$B:$B, 'Uncalibrated Data'!$C5261, 'Picarro Output'!$I:$I, 0, 'Picarro Output'!$J:$J, 1), "")</f>
        <v/>
      </c>
    </row>
    <row r="5262" spans="2:5" x14ac:dyDescent="0.45">
      <c r="B5262" s="1"/>
      <c r="E5262" s="45" t="str">
        <f>IFERROR(AVERAGEIFS('Picarro Output'!G:G, 'Picarro Output'!$B:$B, 'Uncalibrated Data'!$C5262, 'Picarro Output'!$I:$I, 0, 'Picarro Output'!$J:$J, 1), "")</f>
        <v/>
      </c>
    </row>
    <row r="5263" spans="2:5" x14ac:dyDescent="0.45">
      <c r="B5263" s="1"/>
      <c r="E5263" s="45" t="str">
        <f>IFERROR(AVERAGEIFS('Picarro Output'!G:G, 'Picarro Output'!$B:$B, 'Uncalibrated Data'!$C5263, 'Picarro Output'!$I:$I, 0, 'Picarro Output'!$J:$J, 1), "")</f>
        <v/>
      </c>
    </row>
    <row r="5264" spans="2:5" x14ac:dyDescent="0.45">
      <c r="B5264" s="1"/>
      <c r="E5264" s="45" t="str">
        <f>IFERROR(AVERAGEIFS('Picarro Output'!G:G, 'Picarro Output'!$B:$B, 'Uncalibrated Data'!$C5264, 'Picarro Output'!$I:$I, 0, 'Picarro Output'!$J:$J, 1), "")</f>
        <v/>
      </c>
    </row>
    <row r="5265" spans="2:5" x14ac:dyDescent="0.45">
      <c r="B5265" s="1"/>
      <c r="E5265" s="45" t="str">
        <f>IFERROR(AVERAGEIFS('Picarro Output'!G:G, 'Picarro Output'!$B:$B, 'Uncalibrated Data'!$C5265, 'Picarro Output'!$I:$I, 0, 'Picarro Output'!$J:$J, 1), "")</f>
        <v/>
      </c>
    </row>
    <row r="5266" spans="2:5" x14ac:dyDescent="0.45">
      <c r="B5266" s="1"/>
      <c r="E5266" s="45" t="str">
        <f>IFERROR(AVERAGEIFS('Picarro Output'!G:G, 'Picarro Output'!$B:$B, 'Uncalibrated Data'!$C5266, 'Picarro Output'!$I:$I, 0, 'Picarro Output'!$J:$J, 1), "")</f>
        <v/>
      </c>
    </row>
    <row r="5267" spans="2:5" x14ac:dyDescent="0.45">
      <c r="B5267" s="1"/>
      <c r="E5267" s="45" t="str">
        <f>IFERROR(AVERAGEIFS('Picarro Output'!G:G, 'Picarro Output'!$B:$B, 'Uncalibrated Data'!$C5267, 'Picarro Output'!$I:$I, 0, 'Picarro Output'!$J:$J, 1), "")</f>
        <v/>
      </c>
    </row>
    <row r="5268" spans="2:5" x14ac:dyDescent="0.45">
      <c r="B5268" s="1"/>
      <c r="E5268" s="45" t="str">
        <f>IFERROR(AVERAGEIFS('Picarro Output'!G:G, 'Picarro Output'!$B:$B, 'Uncalibrated Data'!$C5268, 'Picarro Output'!$I:$I, 0, 'Picarro Output'!$J:$J, 1), "")</f>
        <v/>
      </c>
    </row>
    <row r="5269" spans="2:5" x14ac:dyDescent="0.45">
      <c r="B5269" s="1"/>
      <c r="E5269" s="45" t="str">
        <f>IFERROR(AVERAGEIFS('Picarro Output'!G:G, 'Picarro Output'!$B:$B, 'Uncalibrated Data'!$C5269, 'Picarro Output'!$I:$I, 0, 'Picarro Output'!$J:$J, 1), "")</f>
        <v/>
      </c>
    </row>
    <row r="5270" spans="2:5" x14ac:dyDescent="0.45">
      <c r="B5270" s="1"/>
      <c r="E5270" s="45" t="str">
        <f>IFERROR(AVERAGEIFS('Picarro Output'!G:G, 'Picarro Output'!$B:$B, 'Uncalibrated Data'!$C5270, 'Picarro Output'!$I:$I, 0, 'Picarro Output'!$J:$J, 1), "")</f>
        <v/>
      </c>
    </row>
    <row r="5271" spans="2:5" x14ac:dyDescent="0.45">
      <c r="B5271" s="1"/>
      <c r="E5271" s="45" t="str">
        <f>IFERROR(AVERAGEIFS('Picarro Output'!G:G, 'Picarro Output'!$B:$B, 'Uncalibrated Data'!$C5271, 'Picarro Output'!$I:$I, 0, 'Picarro Output'!$J:$J, 1), "")</f>
        <v/>
      </c>
    </row>
    <row r="5272" spans="2:5" x14ac:dyDescent="0.45">
      <c r="B5272" s="1"/>
      <c r="E5272" s="45" t="str">
        <f>IFERROR(AVERAGEIFS('Picarro Output'!G:G, 'Picarro Output'!$B:$B, 'Uncalibrated Data'!$C5272, 'Picarro Output'!$I:$I, 0, 'Picarro Output'!$J:$J, 1), "")</f>
        <v/>
      </c>
    </row>
    <row r="5273" spans="2:5" x14ac:dyDescent="0.45">
      <c r="B5273" s="1"/>
      <c r="E5273" s="45" t="str">
        <f>IFERROR(AVERAGEIFS('Picarro Output'!G:G, 'Picarro Output'!$B:$B, 'Uncalibrated Data'!$C5273, 'Picarro Output'!$I:$I, 0, 'Picarro Output'!$J:$J, 1), "")</f>
        <v/>
      </c>
    </row>
    <row r="5274" spans="2:5" x14ac:dyDescent="0.45">
      <c r="B5274" s="1"/>
      <c r="E5274" s="45" t="str">
        <f>IFERROR(AVERAGEIFS('Picarro Output'!G:G, 'Picarro Output'!$B:$B, 'Uncalibrated Data'!$C5274, 'Picarro Output'!$I:$I, 0, 'Picarro Output'!$J:$J, 1), "")</f>
        <v/>
      </c>
    </row>
    <row r="5275" spans="2:5" x14ac:dyDescent="0.45">
      <c r="B5275" s="1"/>
      <c r="E5275" s="45" t="str">
        <f>IFERROR(AVERAGEIFS('Picarro Output'!G:G, 'Picarro Output'!$B:$B, 'Uncalibrated Data'!$C5275, 'Picarro Output'!$I:$I, 0, 'Picarro Output'!$J:$J, 1), "")</f>
        <v/>
      </c>
    </row>
    <row r="5276" spans="2:5" x14ac:dyDescent="0.45">
      <c r="B5276" s="1"/>
      <c r="E5276" s="45" t="str">
        <f>IFERROR(AVERAGEIFS('Picarro Output'!G:G, 'Picarro Output'!$B:$B, 'Uncalibrated Data'!$C5276, 'Picarro Output'!$I:$I, 0, 'Picarro Output'!$J:$J, 1), "")</f>
        <v/>
      </c>
    </row>
    <row r="5277" spans="2:5" x14ac:dyDescent="0.45">
      <c r="B5277" s="1"/>
      <c r="E5277" s="45" t="str">
        <f>IFERROR(AVERAGEIFS('Picarro Output'!G:G, 'Picarro Output'!$B:$B, 'Uncalibrated Data'!$C5277, 'Picarro Output'!$I:$I, 0, 'Picarro Output'!$J:$J, 1), "")</f>
        <v/>
      </c>
    </row>
    <row r="5278" spans="2:5" x14ac:dyDescent="0.45">
      <c r="B5278" s="1"/>
      <c r="E5278" s="45" t="str">
        <f>IFERROR(AVERAGEIFS('Picarro Output'!G:G, 'Picarro Output'!$B:$B, 'Uncalibrated Data'!$C5278, 'Picarro Output'!$I:$I, 0, 'Picarro Output'!$J:$J, 1), "")</f>
        <v/>
      </c>
    </row>
    <row r="5279" spans="2:5" x14ac:dyDescent="0.45">
      <c r="B5279" s="1"/>
      <c r="E5279" s="45" t="str">
        <f>IFERROR(AVERAGEIFS('Picarro Output'!G:G, 'Picarro Output'!$B:$B, 'Uncalibrated Data'!$C5279, 'Picarro Output'!$I:$I, 0, 'Picarro Output'!$J:$J, 1), "")</f>
        <v/>
      </c>
    </row>
    <row r="5280" spans="2:5" x14ac:dyDescent="0.45">
      <c r="B5280" s="1"/>
      <c r="E5280" s="45" t="str">
        <f>IFERROR(AVERAGEIFS('Picarro Output'!G:G, 'Picarro Output'!$B:$B, 'Uncalibrated Data'!$C5280, 'Picarro Output'!$I:$I, 0, 'Picarro Output'!$J:$J, 1), "")</f>
        <v/>
      </c>
    </row>
    <row r="5281" spans="2:5" x14ac:dyDescent="0.45">
      <c r="B5281" s="1"/>
      <c r="E5281" s="45" t="str">
        <f>IFERROR(AVERAGEIFS('Picarro Output'!G:G, 'Picarro Output'!$B:$B, 'Uncalibrated Data'!$C5281, 'Picarro Output'!$I:$I, 0, 'Picarro Output'!$J:$J, 1), "")</f>
        <v/>
      </c>
    </row>
    <row r="5282" spans="2:5" x14ac:dyDescent="0.45">
      <c r="B5282" s="1"/>
      <c r="E5282" s="45" t="str">
        <f>IFERROR(AVERAGEIFS('Picarro Output'!G:G, 'Picarro Output'!$B:$B, 'Uncalibrated Data'!$C5282, 'Picarro Output'!$I:$I, 0, 'Picarro Output'!$J:$J, 1), "")</f>
        <v/>
      </c>
    </row>
    <row r="5283" spans="2:5" x14ac:dyDescent="0.45">
      <c r="B5283" s="1"/>
      <c r="E5283" s="45" t="str">
        <f>IFERROR(AVERAGEIFS('Picarro Output'!G:G, 'Picarro Output'!$B:$B, 'Uncalibrated Data'!$C5283, 'Picarro Output'!$I:$I, 0, 'Picarro Output'!$J:$J, 1), "")</f>
        <v/>
      </c>
    </row>
    <row r="5284" spans="2:5" x14ac:dyDescent="0.45">
      <c r="B5284" s="1"/>
      <c r="E5284" s="45" t="str">
        <f>IFERROR(AVERAGEIFS('Picarro Output'!G:G, 'Picarro Output'!$B:$B, 'Uncalibrated Data'!$C5284, 'Picarro Output'!$I:$I, 0, 'Picarro Output'!$J:$J, 1), "")</f>
        <v/>
      </c>
    </row>
    <row r="5285" spans="2:5" x14ac:dyDescent="0.45">
      <c r="B5285" s="1"/>
      <c r="E5285" s="45" t="str">
        <f>IFERROR(AVERAGEIFS('Picarro Output'!G:G, 'Picarro Output'!$B:$B, 'Uncalibrated Data'!$C5285, 'Picarro Output'!$I:$I, 0, 'Picarro Output'!$J:$J, 1), "")</f>
        <v/>
      </c>
    </row>
    <row r="5286" spans="2:5" x14ac:dyDescent="0.45">
      <c r="B5286" s="1"/>
      <c r="E5286" s="45" t="str">
        <f>IFERROR(AVERAGEIFS('Picarro Output'!G:G, 'Picarro Output'!$B:$B, 'Uncalibrated Data'!$C5286, 'Picarro Output'!$I:$I, 0, 'Picarro Output'!$J:$J, 1), "")</f>
        <v/>
      </c>
    </row>
    <row r="5287" spans="2:5" x14ac:dyDescent="0.45">
      <c r="B5287" s="1"/>
      <c r="E5287" s="45" t="str">
        <f>IFERROR(AVERAGEIFS('Picarro Output'!G:G, 'Picarro Output'!$B:$B, 'Uncalibrated Data'!$C5287, 'Picarro Output'!$I:$I, 0, 'Picarro Output'!$J:$J, 1), "")</f>
        <v/>
      </c>
    </row>
    <row r="5288" spans="2:5" x14ac:dyDescent="0.45">
      <c r="B5288" s="1"/>
      <c r="E5288" s="45" t="str">
        <f>IFERROR(AVERAGEIFS('Picarro Output'!G:G, 'Picarro Output'!$B:$B, 'Uncalibrated Data'!$C5288, 'Picarro Output'!$I:$I, 0, 'Picarro Output'!$J:$J, 1), "")</f>
        <v/>
      </c>
    </row>
    <row r="5289" spans="2:5" x14ac:dyDescent="0.45">
      <c r="B5289" s="1"/>
      <c r="E5289" s="45" t="str">
        <f>IFERROR(AVERAGEIFS('Picarro Output'!G:G, 'Picarro Output'!$B:$B, 'Uncalibrated Data'!$C5289, 'Picarro Output'!$I:$I, 0, 'Picarro Output'!$J:$J, 1), "")</f>
        <v/>
      </c>
    </row>
    <row r="5290" spans="2:5" x14ac:dyDescent="0.45">
      <c r="B5290" s="1"/>
      <c r="E5290" s="45" t="str">
        <f>IFERROR(AVERAGEIFS('Picarro Output'!G:G, 'Picarro Output'!$B:$B, 'Uncalibrated Data'!$C5290, 'Picarro Output'!$I:$I, 0, 'Picarro Output'!$J:$J, 1), "")</f>
        <v/>
      </c>
    </row>
    <row r="5291" spans="2:5" x14ac:dyDescent="0.45">
      <c r="B5291" s="1"/>
      <c r="E5291" s="45" t="str">
        <f>IFERROR(AVERAGEIFS('Picarro Output'!G:G, 'Picarro Output'!$B:$B, 'Uncalibrated Data'!$C5291, 'Picarro Output'!$I:$I, 0, 'Picarro Output'!$J:$J, 1), "")</f>
        <v/>
      </c>
    </row>
    <row r="5292" spans="2:5" x14ac:dyDescent="0.45">
      <c r="B5292" s="1"/>
      <c r="E5292" s="45" t="str">
        <f>IFERROR(AVERAGEIFS('Picarro Output'!G:G, 'Picarro Output'!$B:$B, 'Uncalibrated Data'!$C5292, 'Picarro Output'!$I:$I, 0, 'Picarro Output'!$J:$J, 1), "")</f>
        <v/>
      </c>
    </row>
    <row r="5293" spans="2:5" x14ac:dyDescent="0.45">
      <c r="B5293" s="1"/>
      <c r="E5293" s="45" t="str">
        <f>IFERROR(AVERAGEIFS('Picarro Output'!G:G, 'Picarro Output'!$B:$B, 'Uncalibrated Data'!$C5293, 'Picarro Output'!$I:$I, 0, 'Picarro Output'!$J:$J, 1), "")</f>
        <v/>
      </c>
    </row>
    <row r="5294" spans="2:5" x14ac:dyDescent="0.45">
      <c r="B5294" s="1"/>
      <c r="E5294" s="45" t="str">
        <f>IFERROR(AVERAGEIFS('Picarro Output'!G:G, 'Picarro Output'!$B:$B, 'Uncalibrated Data'!$C5294, 'Picarro Output'!$I:$I, 0, 'Picarro Output'!$J:$J, 1), "")</f>
        <v/>
      </c>
    </row>
    <row r="5295" spans="2:5" x14ac:dyDescent="0.45">
      <c r="B5295" s="1"/>
      <c r="E5295" s="45" t="str">
        <f>IFERROR(AVERAGEIFS('Picarro Output'!G:G, 'Picarro Output'!$B:$B, 'Uncalibrated Data'!$C5295, 'Picarro Output'!$I:$I, 0, 'Picarro Output'!$J:$J, 1), "")</f>
        <v/>
      </c>
    </row>
    <row r="5296" spans="2:5" x14ac:dyDescent="0.45">
      <c r="B5296" s="1"/>
      <c r="E5296" s="45" t="str">
        <f>IFERROR(AVERAGEIFS('Picarro Output'!G:G, 'Picarro Output'!$B:$B, 'Uncalibrated Data'!$C5296, 'Picarro Output'!$I:$I, 0, 'Picarro Output'!$J:$J, 1), "")</f>
        <v/>
      </c>
    </row>
    <row r="5297" spans="2:5" x14ac:dyDescent="0.45">
      <c r="B5297" s="1"/>
      <c r="E5297" s="45" t="str">
        <f>IFERROR(AVERAGEIFS('Picarro Output'!G:G, 'Picarro Output'!$B:$B, 'Uncalibrated Data'!$C5297, 'Picarro Output'!$I:$I, 0, 'Picarro Output'!$J:$J, 1), "")</f>
        <v/>
      </c>
    </row>
    <row r="5298" spans="2:5" x14ac:dyDescent="0.45">
      <c r="B5298" s="1"/>
      <c r="E5298" s="45" t="str">
        <f>IFERROR(AVERAGEIFS('Picarro Output'!G:G, 'Picarro Output'!$B:$B, 'Uncalibrated Data'!$C5298, 'Picarro Output'!$I:$I, 0, 'Picarro Output'!$J:$J, 1), "")</f>
        <v/>
      </c>
    </row>
    <row r="5299" spans="2:5" x14ac:dyDescent="0.45">
      <c r="B5299" s="1"/>
      <c r="E5299" s="45" t="str">
        <f>IFERROR(AVERAGEIFS('Picarro Output'!G:G, 'Picarro Output'!$B:$B, 'Uncalibrated Data'!$C5299, 'Picarro Output'!$I:$I, 0, 'Picarro Output'!$J:$J, 1), "")</f>
        <v/>
      </c>
    </row>
    <row r="5300" spans="2:5" x14ac:dyDescent="0.45">
      <c r="B5300" s="1"/>
      <c r="E5300" s="45" t="str">
        <f>IFERROR(AVERAGEIFS('Picarro Output'!G:G, 'Picarro Output'!$B:$B, 'Uncalibrated Data'!$C5300, 'Picarro Output'!$I:$I, 0, 'Picarro Output'!$J:$J, 1), "")</f>
        <v/>
      </c>
    </row>
    <row r="5301" spans="2:5" x14ac:dyDescent="0.45">
      <c r="B5301" s="1"/>
      <c r="E5301" s="45" t="str">
        <f>IFERROR(AVERAGEIFS('Picarro Output'!G:G, 'Picarro Output'!$B:$B, 'Uncalibrated Data'!$C5301, 'Picarro Output'!$I:$I, 0, 'Picarro Output'!$J:$J, 1), "")</f>
        <v/>
      </c>
    </row>
    <row r="5302" spans="2:5" x14ac:dyDescent="0.45">
      <c r="B5302" s="1"/>
      <c r="E5302" s="45" t="str">
        <f>IFERROR(AVERAGEIFS('Picarro Output'!G:G, 'Picarro Output'!$B:$B, 'Uncalibrated Data'!$C5302, 'Picarro Output'!$I:$I, 0, 'Picarro Output'!$J:$J, 1), "")</f>
        <v/>
      </c>
    </row>
    <row r="5303" spans="2:5" x14ac:dyDescent="0.45">
      <c r="B5303" s="1"/>
      <c r="E5303" s="45" t="str">
        <f>IFERROR(AVERAGEIFS('Picarro Output'!G:G, 'Picarro Output'!$B:$B, 'Uncalibrated Data'!$C5303, 'Picarro Output'!$I:$I, 0, 'Picarro Output'!$J:$J, 1), "")</f>
        <v/>
      </c>
    </row>
    <row r="5304" spans="2:5" x14ac:dyDescent="0.45">
      <c r="B5304" s="1"/>
      <c r="E5304" s="45" t="str">
        <f>IFERROR(AVERAGEIFS('Picarro Output'!G:G, 'Picarro Output'!$B:$B, 'Uncalibrated Data'!$C5304, 'Picarro Output'!$I:$I, 0, 'Picarro Output'!$J:$J, 1), "")</f>
        <v/>
      </c>
    </row>
    <row r="5305" spans="2:5" x14ac:dyDescent="0.45">
      <c r="B5305" s="1"/>
      <c r="E5305" s="45" t="str">
        <f>IFERROR(AVERAGEIFS('Picarro Output'!G:G, 'Picarro Output'!$B:$B, 'Uncalibrated Data'!$C5305, 'Picarro Output'!$I:$I, 0, 'Picarro Output'!$J:$J, 1), "")</f>
        <v/>
      </c>
    </row>
    <row r="5306" spans="2:5" x14ac:dyDescent="0.45">
      <c r="B5306" s="1"/>
      <c r="E5306" s="45" t="str">
        <f>IFERROR(AVERAGEIFS('Picarro Output'!G:G, 'Picarro Output'!$B:$B, 'Uncalibrated Data'!$C5306, 'Picarro Output'!$I:$I, 0, 'Picarro Output'!$J:$J, 1), "")</f>
        <v/>
      </c>
    </row>
    <row r="5307" spans="2:5" x14ac:dyDescent="0.45">
      <c r="B5307" s="1"/>
      <c r="E5307" s="45" t="str">
        <f>IFERROR(AVERAGEIFS('Picarro Output'!G:G, 'Picarro Output'!$B:$B, 'Uncalibrated Data'!$C5307, 'Picarro Output'!$I:$I, 0, 'Picarro Output'!$J:$J, 1), "")</f>
        <v/>
      </c>
    </row>
    <row r="5308" spans="2:5" x14ac:dyDescent="0.45">
      <c r="B5308" s="1"/>
      <c r="E5308" s="45" t="str">
        <f>IFERROR(AVERAGEIFS('Picarro Output'!G:G, 'Picarro Output'!$B:$B, 'Uncalibrated Data'!$C5308, 'Picarro Output'!$I:$I, 0, 'Picarro Output'!$J:$J, 1), "")</f>
        <v/>
      </c>
    </row>
    <row r="5309" spans="2:5" x14ac:dyDescent="0.45">
      <c r="B5309" s="1"/>
      <c r="E5309" s="45" t="str">
        <f>IFERROR(AVERAGEIFS('Picarro Output'!G:G, 'Picarro Output'!$B:$B, 'Uncalibrated Data'!$C5309, 'Picarro Output'!$I:$I, 0, 'Picarro Output'!$J:$J, 1), "")</f>
        <v/>
      </c>
    </row>
    <row r="5310" spans="2:5" x14ac:dyDescent="0.45">
      <c r="B5310" s="1"/>
      <c r="E5310" s="45" t="str">
        <f>IFERROR(AVERAGEIFS('Picarro Output'!G:G, 'Picarro Output'!$B:$B, 'Uncalibrated Data'!$C5310, 'Picarro Output'!$I:$I, 0, 'Picarro Output'!$J:$J, 1), "")</f>
        <v/>
      </c>
    </row>
    <row r="5311" spans="2:5" x14ac:dyDescent="0.45">
      <c r="B5311" s="1"/>
      <c r="E5311" s="45" t="str">
        <f>IFERROR(AVERAGEIFS('Picarro Output'!G:G, 'Picarro Output'!$B:$B, 'Uncalibrated Data'!$C5311, 'Picarro Output'!$I:$I, 0, 'Picarro Output'!$J:$J, 1), "")</f>
        <v/>
      </c>
    </row>
    <row r="5312" spans="2:5" x14ac:dyDescent="0.45">
      <c r="B5312" s="1"/>
      <c r="E5312" s="45" t="str">
        <f>IFERROR(AVERAGEIFS('Picarro Output'!G:G, 'Picarro Output'!$B:$B, 'Uncalibrated Data'!$C5312, 'Picarro Output'!$I:$I, 0, 'Picarro Output'!$J:$J, 1), "")</f>
        <v/>
      </c>
    </row>
    <row r="5313" spans="2:5" x14ac:dyDescent="0.45">
      <c r="B5313" s="1"/>
      <c r="E5313" s="45" t="str">
        <f>IFERROR(AVERAGEIFS('Picarro Output'!G:G, 'Picarro Output'!$B:$B, 'Uncalibrated Data'!$C5313, 'Picarro Output'!$I:$I, 0, 'Picarro Output'!$J:$J, 1), "")</f>
        <v/>
      </c>
    </row>
    <row r="5314" spans="2:5" x14ac:dyDescent="0.45">
      <c r="B5314" s="1"/>
      <c r="E5314" s="45" t="str">
        <f>IFERROR(AVERAGEIFS('Picarro Output'!G:G, 'Picarro Output'!$B:$B, 'Uncalibrated Data'!$C5314, 'Picarro Output'!$I:$I, 0, 'Picarro Output'!$J:$J, 1), "")</f>
        <v/>
      </c>
    </row>
    <row r="5315" spans="2:5" x14ac:dyDescent="0.45">
      <c r="B5315" s="1"/>
      <c r="E5315" s="45" t="str">
        <f>IFERROR(AVERAGEIFS('Picarro Output'!G:G, 'Picarro Output'!$B:$B, 'Uncalibrated Data'!$C5315, 'Picarro Output'!$I:$I, 0, 'Picarro Output'!$J:$J, 1), "")</f>
        <v/>
      </c>
    </row>
    <row r="5316" spans="2:5" x14ac:dyDescent="0.45">
      <c r="B5316" s="1"/>
      <c r="E5316" s="45" t="str">
        <f>IFERROR(AVERAGEIFS('Picarro Output'!G:G, 'Picarro Output'!$B:$B, 'Uncalibrated Data'!$C5316, 'Picarro Output'!$I:$I, 0, 'Picarro Output'!$J:$J, 1), "")</f>
        <v/>
      </c>
    </row>
    <row r="5317" spans="2:5" x14ac:dyDescent="0.45">
      <c r="B5317" s="1"/>
      <c r="E5317" s="45" t="str">
        <f>IFERROR(AVERAGEIFS('Picarro Output'!G:G, 'Picarro Output'!$B:$B, 'Uncalibrated Data'!$C5317, 'Picarro Output'!$I:$I, 0, 'Picarro Output'!$J:$J, 1), "")</f>
        <v/>
      </c>
    </row>
    <row r="5318" spans="2:5" x14ac:dyDescent="0.45">
      <c r="B5318" s="1"/>
      <c r="E5318" s="45" t="str">
        <f>IFERROR(AVERAGEIFS('Picarro Output'!G:G, 'Picarro Output'!$B:$B, 'Uncalibrated Data'!$C5318, 'Picarro Output'!$I:$I, 0, 'Picarro Output'!$J:$J, 1), "")</f>
        <v/>
      </c>
    </row>
    <row r="5319" spans="2:5" x14ac:dyDescent="0.45">
      <c r="B5319" s="1"/>
      <c r="E5319" s="45" t="str">
        <f>IFERROR(AVERAGEIFS('Picarro Output'!G:G, 'Picarro Output'!$B:$B, 'Uncalibrated Data'!$C5319, 'Picarro Output'!$I:$I, 0, 'Picarro Output'!$J:$J, 1), "")</f>
        <v/>
      </c>
    </row>
    <row r="5320" spans="2:5" x14ac:dyDescent="0.45">
      <c r="B5320" s="1"/>
      <c r="E5320" s="45" t="str">
        <f>IFERROR(AVERAGEIFS('Picarro Output'!G:G, 'Picarro Output'!$B:$B, 'Uncalibrated Data'!$C5320, 'Picarro Output'!$I:$I, 0, 'Picarro Output'!$J:$J, 1), "")</f>
        <v/>
      </c>
    </row>
    <row r="5321" spans="2:5" x14ac:dyDescent="0.45">
      <c r="B5321" s="1"/>
      <c r="E5321" s="45" t="str">
        <f>IFERROR(AVERAGEIFS('Picarro Output'!G:G, 'Picarro Output'!$B:$B, 'Uncalibrated Data'!$C5321, 'Picarro Output'!$I:$I, 0, 'Picarro Output'!$J:$J, 1), "")</f>
        <v/>
      </c>
    </row>
    <row r="5322" spans="2:5" x14ac:dyDescent="0.45">
      <c r="B5322" s="1"/>
      <c r="E5322" s="45" t="str">
        <f>IFERROR(AVERAGEIFS('Picarro Output'!G:G, 'Picarro Output'!$B:$B, 'Uncalibrated Data'!$C5322, 'Picarro Output'!$I:$I, 0, 'Picarro Output'!$J:$J, 1), "")</f>
        <v/>
      </c>
    </row>
    <row r="5323" spans="2:5" x14ac:dyDescent="0.45">
      <c r="B5323" s="1"/>
      <c r="E5323" s="45" t="str">
        <f>IFERROR(AVERAGEIFS('Picarro Output'!G:G, 'Picarro Output'!$B:$B, 'Uncalibrated Data'!$C5323, 'Picarro Output'!$I:$I, 0, 'Picarro Output'!$J:$J, 1), "")</f>
        <v/>
      </c>
    </row>
    <row r="5324" spans="2:5" x14ac:dyDescent="0.45">
      <c r="B5324" s="1"/>
      <c r="E5324" s="45" t="str">
        <f>IFERROR(AVERAGEIFS('Picarro Output'!G:G, 'Picarro Output'!$B:$B, 'Uncalibrated Data'!$C5324, 'Picarro Output'!$I:$I, 0, 'Picarro Output'!$J:$J, 1), "")</f>
        <v/>
      </c>
    </row>
    <row r="5325" spans="2:5" x14ac:dyDescent="0.45">
      <c r="B5325" s="1"/>
      <c r="E5325" s="45" t="str">
        <f>IFERROR(AVERAGEIFS('Picarro Output'!G:G, 'Picarro Output'!$B:$B, 'Uncalibrated Data'!$C5325, 'Picarro Output'!$I:$I, 0, 'Picarro Output'!$J:$J, 1), "")</f>
        <v/>
      </c>
    </row>
    <row r="5326" spans="2:5" x14ac:dyDescent="0.45">
      <c r="B5326" s="1"/>
      <c r="E5326" s="45" t="str">
        <f>IFERROR(AVERAGEIFS('Picarro Output'!G:G, 'Picarro Output'!$B:$B, 'Uncalibrated Data'!$C5326, 'Picarro Output'!$I:$I, 0, 'Picarro Output'!$J:$J, 1), "")</f>
        <v/>
      </c>
    </row>
    <row r="5327" spans="2:5" x14ac:dyDescent="0.45">
      <c r="B5327" s="1"/>
      <c r="E5327" s="45" t="str">
        <f>IFERROR(AVERAGEIFS('Picarro Output'!G:G, 'Picarro Output'!$B:$B, 'Uncalibrated Data'!$C5327, 'Picarro Output'!$I:$I, 0, 'Picarro Output'!$J:$J, 1), "")</f>
        <v/>
      </c>
    </row>
    <row r="5328" spans="2:5" x14ac:dyDescent="0.45">
      <c r="B5328" s="1"/>
      <c r="E5328" s="45" t="str">
        <f>IFERROR(AVERAGEIFS('Picarro Output'!G:G, 'Picarro Output'!$B:$B, 'Uncalibrated Data'!$C5328, 'Picarro Output'!$I:$I, 0, 'Picarro Output'!$J:$J, 1), "")</f>
        <v/>
      </c>
    </row>
    <row r="5329" spans="2:5" x14ac:dyDescent="0.45">
      <c r="B5329" s="1"/>
      <c r="E5329" s="45" t="str">
        <f>IFERROR(AVERAGEIFS('Picarro Output'!G:G, 'Picarro Output'!$B:$B, 'Uncalibrated Data'!$C5329, 'Picarro Output'!$I:$I, 0, 'Picarro Output'!$J:$J, 1), "")</f>
        <v/>
      </c>
    </row>
    <row r="5330" spans="2:5" x14ac:dyDescent="0.45">
      <c r="B5330" s="1"/>
      <c r="E5330" s="45" t="str">
        <f>IFERROR(AVERAGEIFS('Picarro Output'!G:G, 'Picarro Output'!$B:$B, 'Uncalibrated Data'!$C5330, 'Picarro Output'!$I:$I, 0, 'Picarro Output'!$J:$J, 1), "")</f>
        <v/>
      </c>
    </row>
    <row r="5331" spans="2:5" x14ac:dyDescent="0.45">
      <c r="B5331" s="1"/>
      <c r="E5331" s="45" t="str">
        <f>IFERROR(AVERAGEIFS('Picarro Output'!G:G, 'Picarro Output'!$B:$B, 'Uncalibrated Data'!$C5331, 'Picarro Output'!$I:$I, 0, 'Picarro Output'!$J:$J, 1), "")</f>
        <v/>
      </c>
    </row>
    <row r="5332" spans="2:5" x14ac:dyDescent="0.45">
      <c r="B5332" s="1"/>
      <c r="E5332" s="45" t="str">
        <f>IFERROR(AVERAGEIFS('Picarro Output'!G:G, 'Picarro Output'!$B:$B, 'Uncalibrated Data'!$C5332, 'Picarro Output'!$I:$I, 0, 'Picarro Output'!$J:$J, 1), "")</f>
        <v/>
      </c>
    </row>
    <row r="5333" spans="2:5" x14ac:dyDescent="0.45">
      <c r="B5333" s="1"/>
      <c r="E5333" s="45" t="str">
        <f>IFERROR(AVERAGEIFS('Picarro Output'!G:G, 'Picarro Output'!$B:$B, 'Uncalibrated Data'!$C5333, 'Picarro Output'!$I:$I, 0, 'Picarro Output'!$J:$J, 1), "")</f>
        <v/>
      </c>
    </row>
    <row r="5334" spans="2:5" x14ac:dyDescent="0.45">
      <c r="B5334" s="1"/>
      <c r="E5334" s="45" t="str">
        <f>IFERROR(AVERAGEIFS('Picarro Output'!G:G, 'Picarro Output'!$B:$B, 'Uncalibrated Data'!$C5334, 'Picarro Output'!$I:$I, 0, 'Picarro Output'!$J:$J, 1), "")</f>
        <v/>
      </c>
    </row>
    <row r="5335" spans="2:5" x14ac:dyDescent="0.45">
      <c r="B5335" s="1"/>
      <c r="E5335" s="45" t="str">
        <f>IFERROR(AVERAGEIFS('Picarro Output'!G:G, 'Picarro Output'!$B:$B, 'Uncalibrated Data'!$C5335, 'Picarro Output'!$I:$I, 0, 'Picarro Output'!$J:$J, 1), "")</f>
        <v/>
      </c>
    </row>
    <row r="5336" spans="2:5" x14ac:dyDescent="0.45">
      <c r="B5336" s="1"/>
      <c r="E5336" s="45" t="str">
        <f>IFERROR(AVERAGEIFS('Picarro Output'!G:G, 'Picarro Output'!$B:$B, 'Uncalibrated Data'!$C5336, 'Picarro Output'!$I:$I, 0, 'Picarro Output'!$J:$J, 1), "")</f>
        <v/>
      </c>
    </row>
    <row r="5337" spans="2:5" x14ac:dyDescent="0.45">
      <c r="B5337" s="1"/>
      <c r="E5337" s="45" t="str">
        <f>IFERROR(AVERAGEIFS('Picarro Output'!G:G, 'Picarro Output'!$B:$B, 'Uncalibrated Data'!$C5337, 'Picarro Output'!$I:$I, 0, 'Picarro Output'!$J:$J, 1), "")</f>
        <v/>
      </c>
    </row>
    <row r="5338" spans="2:5" x14ac:dyDescent="0.45">
      <c r="B5338" s="1"/>
      <c r="E5338" s="45" t="str">
        <f>IFERROR(AVERAGEIFS('Picarro Output'!G:G, 'Picarro Output'!$B:$B, 'Uncalibrated Data'!$C5338, 'Picarro Output'!$I:$I, 0, 'Picarro Output'!$J:$J, 1), "")</f>
        <v/>
      </c>
    </row>
    <row r="5339" spans="2:5" x14ac:dyDescent="0.45">
      <c r="B5339" s="1"/>
      <c r="E5339" s="45" t="str">
        <f>IFERROR(AVERAGEIFS('Picarro Output'!G:G, 'Picarro Output'!$B:$B, 'Uncalibrated Data'!$C5339, 'Picarro Output'!$I:$I, 0, 'Picarro Output'!$J:$J, 1), "")</f>
        <v/>
      </c>
    </row>
    <row r="5340" spans="2:5" x14ac:dyDescent="0.45">
      <c r="B5340" s="1"/>
      <c r="E5340" s="45" t="str">
        <f>IFERROR(AVERAGEIFS('Picarro Output'!G:G, 'Picarro Output'!$B:$B, 'Uncalibrated Data'!$C5340, 'Picarro Output'!$I:$I, 0, 'Picarro Output'!$J:$J, 1), "")</f>
        <v/>
      </c>
    </row>
    <row r="5341" spans="2:5" x14ac:dyDescent="0.45">
      <c r="B5341" s="1"/>
      <c r="E5341" s="45" t="str">
        <f>IFERROR(AVERAGEIFS('Picarro Output'!G:G, 'Picarro Output'!$B:$B, 'Uncalibrated Data'!$C5341, 'Picarro Output'!$I:$I, 0, 'Picarro Output'!$J:$J, 1), "")</f>
        <v/>
      </c>
    </row>
    <row r="5342" spans="2:5" x14ac:dyDescent="0.45">
      <c r="B5342" s="1"/>
      <c r="E5342" s="45" t="str">
        <f>IFERROR(AVERAGEIFS('Picarro Output'!G:G, 'Picarro Output'!$B:$B, 'Uncalibrated Data'!$C5342, 'Picarro Output'!$I:$I, 0, 'Picarro Output'!$J:$J, 1), "")</f>
        <v/>
      </c>
    </row>
    <row r="5343" spans="2:5" x14ac:dyDescent="0.45">
      <c r="B5343" s="1"/>
      <c r="E5343" s="45" t="str">
        <f>IFERROR(AVERAGEIFS('Picarro Output'!G:G, 'Picarro Output'!$B:$B, 'Uncalibrated Data'!$C5343, 'Picarro Output'!$I:$I, 0, 'Picarro Output'!$J:$J, 1), "")</f>
        <v/>
      </c>
    </row>
    <row r="5344" spans="2:5" x14ac:dyDescent="0.45">
      <c r="B5344" s="1"/>
      <c r="E5344" s="45" t="str">
        <f>IFERROR(AVERAGEIFS('Picarro Output'!G:G, 'Picarro Output'!$B:$B, 'Uncalibrated Data'!$C5344, 'Picarro Output'!$I:$I, 0, 'Picarro Output'!$J:$J, 1), "")</f>
        <v/>
      </c>
    </row>
    <row r="5345" spans="2:5" x14ac:dyDescent="0.45">
      <c r="B5345" s="1"/>
      <c r="E5345" s="45" t="str">
        <f>IFERROR(AVERAGEIFS('Picarro Output'!G:G, 'Picarro Output'!$B:$B, 'Uncalibrated Data'!$C5345, 'Picarro Output'!$I:$I, 0, 'Picarro Output'!$J:$J, 1), "")</f>
        <v/>
      </c>
    </row>
    <row r="5346" spans="2:5" x14ac:dyDescent="0.45">
      <c r="B5346" s="1"/>
      <c r="E5346" s="45" t="str">
        <f>IFERROR(AVERAGEIFS('Picarro Output'!G:G, 'Picarro Output'!$B:$B, 'Uncalibrated Data'!$C5346, 'Picarro Output'!$I:$I, 0, 'Picarro Output'!$J:$J, 1), "")</f>
        <v/>
      </c>
    </row>
    <row r="5347" spans="2:5" x14ac:dyDescent="0.45">
      <c r="B5347" s="1"/>
      <c r="E5347" s="45" t="str">
        <f>IFERROR(AVERAGEIFS('Picarro Output'!G:G, 'Picarro Output'!$B:$B, 'Uncalibrated Data'!$C5347, 'Picarro Output'!$I:$I, 0, 'Picarro Output'!$J:$J, 1), "")</f>
        <v/>
      </c>
    </row>
    <row r="5348" spans="2:5" x14ac:dyDescent="0.45">
      <c r="B5348" s="1"/>
      <c r="E5348" s="45" t="str">
        <f>IFERROR(AVERAGEIFS('Picarro Output'!G:G, 'Picarro Output'!$B:$B, 'Uncalibrated Data'!$C5348, 'Picarro Output'!$I:$I, 0, 'Picarro Output'!$J:$J, 1), "")</f>
        <v/>
      </c>
    </row>
    <row r="5349" spans="2:5" x14ac:dyDescent="0.45">
      <c r="B5349" s="1"/>
      <c r="E5349" s="45" t="str">
        <f>IFERROR(AVERAGEIFS('Picarro Output'!G:G, 'Picarro Output'!$B:$B, 'Uncalibrated Data'!$C5349, 'Picarro Output'!$I:$I, 0, 'Picarro Output'!$J:$J, 1), "")</f>
        <v/>
      </c>
    </row>
    <row r="5350" spans="2:5" x14ac:dyDescent="0.45">
      <c r="B5350" s="1"/>
      <c r="E5350" s="45" t="str">
        <f>IFERROR(AVERAGEIFS('Picarro Output'!G:G, 'Picarro Output'!$B:$B, 'Uncalibrated Data'!$C5350, 'Picarro Output'!$I:$I, 0, 'Picarro Output'!$J:$J, 1), "")</f>
        <v/>
      </c>
    </row>
    <row r="5351" spans="2:5" x14ac:dyDescent="0.45">
      <c r="B5351" s="1"/>
      <c r="E5351" s="45" t="str">
        <f>IFERROR(AVERAGEIFS('Picarro Output'!G:G, 'Picarro Output'!$B:$B, 'Uncalibrated Data'!$C5351, 'Picarro Output'!$I:$I, 0, 'Picarro Output'!$J:$J, 1), "")</f>
        <v/>
      </c>
    </row>
    <row r="5352" spans="2:5" x14ac:dyDescent="0.45">
      <c r="B5352" s="1"/>
      <c r="E5352" s="45" t="str">
        <f>IFERROR(AVERAGEIFS('Picarro Output'!G:G, 'Picarro Output'!$B:$B, 'Uncalibrated Data'!$C5352, 'Picarro Output'!$I:$I, 0, 'Picarro Output'!$J:$J, 1), "")</f>
        <v/>
      </c>
    </row>
    <row r="5353" spans="2:5" x14ac:dyDescent="0.45">
      <c r="B5353" s="1"/>
      <c r="E5353" s="45" t="str">
        <f>IFERROR(AVERAGEIFS('Picarro Output'!G:G, 'Picarro Output'!$B:$B, 'Uncalibrated Data'!$C5353, 'Picarro Output'!$I:$I, 0, 'Picarro Output'!$J:$J, 1), "")</f>
        <v/>
      </c>
    </row>
    <row r="5354" spans="2:5" x14ac:dyDescent="0.45">
      <c r="B5354" s="1"/>
      <c r="E5354" s="45" t="str">
        <f>IFERROR(AVERAGEIFS('Picarro Output'!G:G, 'Picarro Output'!$B:$B, 'Uncalibrated Data'!$C5354, 'Picarro Output'!$I:$I, 0, 'Picarro Output'!$J:$J, 1), "")</f>
        <v/>
      </c>
    </row>
    <row r="5355" spans="2:5" x14ac:dyDescent="0.45">
      <c r="B5355" s="1"/>
      <c r="E5355" s="45" t="str">
        <f>IFERROR(AVERAGEIFS('Picarro Output'!G:G, 'Picarro Output'!$B:$B, 'Uncalibrated Data'!$C5355, 'Picarro Output'!$I:$I, 0, 'Picarro Output'!$J:$J, 1), "")</f>
        <v/>
      </c>
    </row>
    <row r="5356" spans="2:5" x14ac:dyDescent="0.45">
      <c r="B5356" s="1"/>
      <c r="E5356" s="45" t="str">
        <f>IFERROR(AVERAGEIFS('Picarro Output'!G:G, 'Picarro Output'!$B:$B, 'Uncalibrated Data'!$C5356, 'Picarro Output'!$I:$I, 0, 'Picarro Output'!$J:$J, 1), "")</f>
        <v/>
      </c>
    </row>
    <row r="5357" spans="2:5" x14ac:dyDescent="0.45">
      <c r="B5357" s="1"/>
      <c r="E5357" s="45" t="str">
        <f>IFERROR(AVERAGEIFS('Picarro Output'!G:G, 'Picarro Output'!$B:$B, 'Uncalibrated Data'!$C5357, 'Picarro Output'!$I:$I, 0, 'Picarro Output'!$J:$J, 1), "")</f>
        <v/>
      </c>
    </row>
    <row r="5358" spans="2:5" x14ac:dyDescent="0.45">
      <c r="B5358" s="1"/>
      <c r="E5358" s="45" t="str">
        <f>IFERROR(AVERAGEIFS('Picarro Output'!G:G, 'Picarro Output'!$B:$B, 'Uncalibrated Data'!$C5358, 'Picarro Output'!$I:$I, 0, 'Picarro Output'!$J:$J, 1), "")</f>
        <v/>
      </c>
    </row>
    <row r="5359" spans="2:5" x14ac:dyDescent="0.45">
      <c r="B5359" s="1"/>
      <c r="E5359" s="45" t="str">
        <f>IFERROR(AVERAGEIFS('Picarro Output'!G:G, 'Picarro Output'!$B:$B, 'Uncalibrated Data'!$C5359, 'Picarro Output'!$I:$I, 0, 'Picarro Output'!$J:$J, 1), "")</f>
        <v/>
      </c>
    </row>
    <row r="5360" spans="2:5" x14ac:dyDescent="0.45">
      <c r="B5360" s="1"/>
      <c r="E5360" s="45" t="str">
        <f>IFERROR(AVERAGEIFS('Picarro Output'!G:G, 'Picarro Output'!$B:$B, 'Uncalibrated Data'!$C5360, 'Picarro Output'!$I:$I, 0, 'Picarro Output'!$J:$J, 1), "")</f>
        <v/>
      </c>
    </row>
    <row r="5361" spans="2:5" x14ac:dyDescent="0.45">
      <c r="B5361" s="1"/>
      <c r="E5361" s="45" t="str">
        <f>IFERROR(AVERAGEIFS('Picarro Output'!G:G, 'Picarro Output'!$B:$B, 'Uncalibrated Data'!$C5361, 'Picarro Output'!$I:$I, 0, 'Picarro Output'!$J:$J, 1), "")</f>
        <v/>
      </c>
    </row>
    <row r="5362" spans="2:5" x14ac:dyDescent="0.45">
      <c r="B5362" s="1"/>
      <c r="E5362" s="45" t="str">
        <f>IFERROR(AVERAGEIFS('Picarro Output'!G:G, 'Picarro Output'!$B:$B, 'Uncalibrated Data'!$C5362, 'Picarro Output'!$I:$I, 0, 'Picarro Output'!$J:$J, 1), "")</f>
        <v/>
      </c>
    </row>
    <row r="5363" spans="2:5" x14ac:dyDescent="0.45">
      <c r="B5363" s="1"/>
      <c r="E5363" s="45" t="str">
        <f>IFERROR(AVERAGEIFS('Picarro Output'!G:G, 'Picarro Output'!$B:$B, 'Uncalibrated Data'!$C5363, 'Picarro Output'!$I:$I, 0, 'Picarro Output'!$J:$J, 1), "")</f>
        <v/>
      </c>
    </row>
    <row r="5364" spans="2:5" x14ac:dyDescent="0.45">
      <c r="B5364" s="1"/>
      <c r="E5364" s="45" t="str">
        <f>IFERROR(AVERAGEIFS('Picarro Output'!G:G, 'Picarro Output'!$B:$B, 'Uncalibrated Data'!$C5364, 'Picarro Output'!$I:$I, 0, 'Picarro Output'!$J:$J, 1), "")</f>
        <v/>
      </c>
    </row>
    <row r="5365" spans="2:5" x14ac:dyDescent="0.45">
      <c r="B5365" s="1"/>
      <c r="E5365" s="45" t="str">
        <f>IFERROR(AVERAGEIFS('Picarro Output'!G:G, 'Picarro Output'!$B:$B, 'Uncalibrated Data'!$C5365, 'Picarro Output'!$I:$I, 0, 'Picarro Output'!$J:$J, 1), "")</f>
        <v/>
      </c>
    </row>
    <row r="5366" spans="2:5" x14ac:dyDescent="0.45">
      <c r="B5366" s="1"/>
      <c r="E5366" s="45" t="str">
        <f>IFERROR(AVERAGEIFS('Picarro Output'!G:G, 'Picarro Output'!$B:$B, 'Uncalibrated Data'!$C5366, 'Picarro Output'!$I:$I, 0, 'Picarro Output'!$J:$J, 1), "")</f>
        <v/>
      </c>
    </row>
    <row r="5367" spans="2:5" x14ac:dyDescent="0.45">
      <c r="B5367" s="1"/>
      <c r="E5367" s="45" t="str">
        <f>IFERROR(AVERAGEIFS('Picarro Output'!G:G, 'Picarro Output'!$B:$B, 'Uncalibrated Data'!$C5367, 'Picarro Output'!$I:$I, 0, 'Picarro Output'!$J:$J, 1), "")</f>
        <v/>
      </c>
    </row>
    <row r="5368" spans="2:5" x14ac:dyDescent="0.45">
      <c r="B5368" s="1"/>
      <c r="E5368" s="45" t="str">
        <f>IFERROR(AVERAGEIFS('Picarro Output'!G:G, 'Picarro Output'!$B:$B, 'Uncalibrated Data'!$C5368, 'Picarro Output'!$I:$I, 0, 'Picarro Output'!$J:$J, 1), "")</f>
        <v/>
      </c>
    </row>
    <row r="5369" spans="2:5" x14ac:dyDescent="0.45">
      <c r="B5369" s="1"/>
      <c r="E5369" s="45" t="str">
        <f>IFERROR(AVERAGEIFS('Picarro Output'!G:G, 'Picarro Output'!$B:$B, 'Uncalibrated Data'!$C5369, 'Picarro Output'!$I:$I, 0, 'Picarro Output'!$J:$J, 1), "")</f>
        <v/>
      </c>
    </row>
    <row r="5370" spans="2:5" x14ac:dyDescent="0.45">
      <c r="B5370" s="1"/>
      <c r="E5370" s="45" t="str">
        <f>IFERROR(AVERAGEIFS('Picarro Output'!G:G, 'Picarro Output'!$B:$B, 'Uncalibrated Data'!$C5370, 'Picarro Output'!$I:$I, 0, 'Picarro Output'!$J:$J, 1), "")</f>
        <v/>
      </c>
    </row>
    <row r="5371" spans="2:5" x14ac:dyDescent="0.45">
      <c r="B5371" s="1"/>
      <c r="E5371" s="45" t="str">
        <f>IFERROR(AVERAGEIFS('Picarro Output'!G:G, 'Picarro Output'!$B:$B, 'Uncalibrated Data'!$C5371, 'Picarro Output'!$I:$I, 0, 'Picarro Output'!$J:$J, 1), "")</f>
        <v/>
      </c>
    </row>
    <row r="5372" spans="2:5" x14ac:dyDescent="0.45">
      <c r="B5372" s="1"/>
      <c r="E5372" s="45" t="str">
        <f>IFERROR(AVERAGEIFS('Picarro Output'!G:G, 'Picarro Output'!$B:$B, 'Uncalibrated Data'!$C5372, 'Picarro Output'!$I:$I, 0, 'Picarro Output'!$J:$J, 1), "")</f>
        <v/>
      </c>
    </row>
    <row r="5373" spans="2:5" x14ac:dyDescent="0.45">
      <c r="B5373" s="1"/>
      <c r="E5373" s="45" t="str">
        <f>IFERROR(AVERAGEIFS('Picarro Output'!G:G, 'Picarro Output'!$B:$B, 'Uncalibrated Data'!$C5373, 'Picarro Output'!$I:$I, 0, 'Picarro Output'!$J:$J, 1), "")</f>
        <v/>
      </c>
    </row>
    <row r="5374" spans="2:5" x14ac:dyDescent="0.45">
      <c r="B5374" s="1"/>
      <c r="E5374" s="45" t="str">
        <f>IFERROR(AVERAGEIFS('Picarro Output'!G:G, 'Picarro Output'!$B:$B, 'Uncalibrated Data'!$C5374, 'Picarro Output'!$I:$I, 0, 'Picarro Output'!$J:$J, 1), "")</f>
        <v/>
      </c>
    </row>
    <row r="5375" spans="2:5" x14ac:dyDescent="0.45">
      <c r="B5375" s="1"/>
      <c r="E5375" s="45" t="str">
        <f>IFERROR(AVERAGEIFS('Picarro Output'!G:G, 'Picarro Output'!$B:$B, 'Uncalibrated Data'!$C5375, 'Picarro Output'!$I:$I, 0, 'Picarro Output'!$J:$J, 1), "")</f>
        <v/>
      </c>
    </row>
    <row r="5376" spans="2:5" x14ac:dyDescent="0.45">
      <c r="B5376" s="1"/>
      <c r="E5376" s="45" t="str">
        <f>IFERROR(AVERAGEIFS('Picarro Output'!G:G, 'Picarro Output'!$B:$B, 'Uncalibrated Data'!$C5376, 'Picarro Output'!$I:$I, 0, 'Picarro Output'!$J:$J, 1), "")</f>
        <v/>
      </c>
    </row>
    <row r="5377" spans="2:5" x14ac:dyDescent="0.45">
      <c r="B5377" s="1"/>
      <c r="E5377" s="45" t="str">
        <f>IFERROR(AVERAGEIFS('Picarro Output'!G:G, 'Picarro Output'!$B:$B, 'Uncalibrated Data'!$C5377, 'Picarro Output'!$I:$I, 0, 'Picarro Output'!$J:$J, 1), "")</f>
        <v/>
      </c>
    </row>
    <row r="5378" spans="2:5" x14ac:dyDescent="0.45">
      <c r="B5378" s="1"/>
      <c r="E5378" s="45" t="str">
        <f>IFERROR(AVERAGEIFS('Picarro Output'!G:G, 'Picarro Output'!$B:$B, 'Uncalibrated Data'!$C5378, 'Picarro Output'!$I:$I, 0, 'Picarro Output'!$J:$J, 1), "")</f>
        <v/>
      </c>
    </row>
    <row r="5379" spans="2:5" x14ac:dyDescent="0.45">
      <c r="B5379" s="1"/>
      <c r="E5379" s="45" t="str">
        <f>IFERROR(AVERAGEIFS('Picarro Output'!G:G, 'Picarro Output'!$B:$B, 'Uncalibrated Data'!$C5379, 'Picarro Output'!$I:$I, 0, 'Picarro Output'!$J:$J, 1), "")</f>
        <v/>
      </c>
    </row>
    <row r="5380" spans="2:5" x14ac:dyDescent="0.45">
      <c r="B5380" s="1"/>
      <c r="E5380" s="45" t="str">
        <f>IFERROR(AVERAGEIFS('Picarro Output'!G:G, 'Picarro Output'!$B:$B, 'Uncalibrated Data'!$C5380, 'Picarro Output'!$I:$I, 0, 'Picarro Output'!$J:$J, 1), "")</f>
        <v/>
      </c>
    </row>
    <row r="5381" spans="2:5" x14ac:dyDescent="0.45">
      <c r="B5381" s="1"/>
      <c r="E5381" s="45" t="str">
        <f>IFERROR(AVERAGEIFS('Picarro Output'!G:G, 'Picarro Output'!$B:$B, 'Uncalibrated Data'!$C5381, 'Picarro Output'!$I:$I, 0, 'Picarro Output'!$J:$J, 1), "")</f>
        <v/>
      </c>
    </row>
    <row r="5382" spans="2:5" x14ac:dyDescent="0.45">
      <c r="B5382" s="1"/>
      <c r="E5382" s="45" t="str">
        <f>IFERROR(AVERAGEIFS('Picarro Output'!G:G, 'Picarro Output'!$B:$B, 'Uncalibrated Data'!$C5382, 'Picarro Output'!$I:$I, 0, 'Picarro Output'!$J:$J, 1), "")</f>
        <v/>
      </c>
    </row>
    <row r="5383" spans="2:5" x14ac:dyDescent="0.45">
      <c r="B5383" s="1"/>
      <c r="E5383" s="45" t="str">
        <f>IFERROR(AVERAGEIFS('Picarro Output'!G:G, 'Picarro Output'!$B:$B, 'Uncalibrated Data'!$C5383, 'Picarro Output'!$I:$I, 0, 'Picarro Output'!$J:$J, 1), "")</f>
        <v/>
      </c>
    </row>
    <row r="5384" spans="2:5" x14ac:dyDescent="0.45">
      <c r="B5384" s="1"/>
      <c r="E5384" s="45" t="str">
        <f>IFERROR(AVERAGEIFS('Picarro Output'!G:G, 'Picarro Output'!$B:$B, 'Uncalibrated Data'!$C5384, 'Picarro Output'!$I:$I, 0, 'Picarro Output'!$J:$J, 1), "")</f>
        <v/>
      </c>
    </row>
    <row r="5385" spans="2:5" x14ac:dyDescent="0.45">
      <c r="B5385" s="1"/>
      <c r="E5385" s="45" t="str">
        <f>IFERROR(AVERAGEIFS('Picarro Output'!G:G, 'Picarro Output'!$B:$B, 'Uncalibrated Data'!$C5385, 'Picarro Output'!$I:$I, 0, 'Picarro Output'!$J:$J, 1), "")</f>
        <v/>
      </c>
    </row>
    <row r="5386" spans="2:5" x14ac:dyDescent="0.45">
      <c r="B5386" s="1"/>
      <c r="E5386" s="45" t="str">
        <f>IFERROR(AVERAGEIFS('Picarro Output'!G:G, 'Picarro Output'!$B:$B, 'Uncalibrated Data'!$C5386, 'Picarro Output'!$I:$I, 0, 'Picarro Output'!$J:$J, 1), "")</f>
        <v/>
      </c>
    </row>
    <row r="5387" spans="2:5" x14ac:dyDescent="0.45">
      <c r="B5387" s="1"/>
      <c r="E5387" s="45" t="str">
        <f>IFERROR(AVERAGEIFS('Picarro Output'!G:G, 'Picarro Output'!$B:$B, 'Uncalibrated Data'!$C5387, 'Picarro Output'!$I:$I, 0, 'Picarro Output'!$J:$J, 1), "")</f>
        <v/>
      </c>
    </row>
    <row r="5388" spans="2:5" x14ac:dyDescent="0.45">
      <c r="B5388" s="1"/>
      <c r="E5388" s="45" t="str">
        <f>IFERROR(AVERAGEIFS('Picarro Output'!G:G, 'Picarro Output'!$B:$B, 'Uncalibrated Data'!$C5388, 'Picarro Output'!$I:$I, 0, 'Picarro Output'!$J:$J, 1), "")</f>
        <v/>
      </c>
    </row>
    <row r="5389" spans="2:5" x14ac:dyDescent="0.45">
      <c r="B5389" s="1"/>
      <c r="E5389" s="45" t="str">
        <f>IFERROR(AVERAGEIFS('Picarro Output'!G:G, 'Picarro Output'!$B:$B, 'Uncalibrated Data'!$C5389, 'Picarro Output'!$I:$I, 0, 'Picarro Output'!$J:$J, 1), "")</f>
        <v/>
      </c>
    </row>
    <row r="5390" spans="2:5" x14ac:dyDescent="0.45">
      <c r="B5390" s="1"/>
      <c r="E5390" s="45" t="str">
        <f>IFERROR(AVERAGEIFS('Picarro Output'!G:G, 'Picarro Output'!$B:$B, 'Uncalibrated Data'!$C5390, 'Picarro Output'!$I:$I, 0, 'Picarro Output'!$J:$J, 1), "")</f>
        <v/>
      </c>
    </row>
    <row r="5391" spans="2:5" x14ac:dyDescent="0.45">
      <c r="B5391" s="1"/>
      <c r="E5391" s="45" t="str">
        <f>IFERROR(AVERAGEIFS('Picarro Output'!G:G, 'Picarro Output'!$B:$B, 'Uncalibrated Data'!$C5391, 'Picarro Output'!$I:$I, 0, 'Picarro Output'!$J:$J, 1), "")</f>
        <v/>
      </c>
    </row>
    <row r="5392" spans="2:5" x14ac:dyDescent="0.45">
      <c r="B5392" s="1"/>
      <c r="E5392" s="45" t="str">
        <f>IFERROR(AVERAGEIFS('Picarro Output'!G:G, 'Picarro Output'!$B:$B, 'Uncalibrated Data'!$C5392, 'Picarro Output'!$I:$I, 0, 'Picarro Output'!$J:$J, 1), "")</f>
        <v/>
      </c>
    </row>
    <row r="5393" spans="2:5" x14ac:dyDescent="0.45">
      <c r="B5393" s="1"/>
      <c r="E5393" s="45" t="str">
        <f>IFERROR(AVERAGEIFS('Picarro Output'!G:G, 'Picarro Output'!$B:$B, 'Uncalibrated Data'!$C5393, 'Picarro Output'!$I:$I, 0, 'Picarro Output'!$J:$J, 1), "")</f>
        <v/>
      </c>
    </row>
    <row r="5394" spans="2:5" x14ac:dyDescent="0.45">
      <c r="B5394" s="1"/>
      <c r="E5394" s="45" t="str">
        <f>IFERROR(AVERAGEIFS('Picarro Output'!G:G, 'Picarro Output'!$B:$B, 'Uncalibrated Data'!$C5394, 'Picarro Output'!$I:$I, 0, 'Picarro Output'!$J:$J, 1), "")</f>
        <v/>
      </c>
    </row>
    <row r="5395" spans="2:5" x14ac:dyDescent="0.45">
      <c r="B5395" s="1"/>
      <c r="E5395" s="45" t="str">
        <f>IFERROR(AVERAGEIFS('Picarro Output'!G:G, 'Picarro Output'!$B:$B, 'Uncalibrated Data'!$C5395, 'Picarro Output'!$I:$I, 0, 'Picarro Output'!$J:$J, 1), "")</f>
        <v/>
      </c>
    </row>
    <row r="5396" spans="2:5" x14ac:dyDescent="0.45">
      <c r="B5396" s="1"/>
      <c r="E5396" s="45" t="str">
        <f>IFERROR(AVERAGEIFS('Picarro Output'!G:G, 'Picarro Output'!$B:$B, 'Uncalibrated Data'!$C5396, 'Picarro Output'!$I:$I, 0, 'Picarro Output'!$J:$J, 1), "")</f>
        <v/>
      </c>
    </row>
    <row r="5397" spans="2:5" x14ac:dyDescent="0.45">
      <c r="B5397" s="1"/>
      <c r="E5397" s="45" t="str">
        <f>IFERROR(AVERAGEIFS('Picarro Output'!G:G, 'Picarro Output'!$B:$B, 'Uncalibrated Data'!$C5397, 'Picarro Output'!$I:$I, 0, 'Picarro Output'!$J:$J, 1), "")</f>
        <v/>
      </c>
    </row>
    <row r="5398" spans="2:5" x14ac:dyDescent="0.45">
      <c r="B5398" s="1"/>
      <c r="E5398" s="45" t="str">
        <f>IFERROR(AVERAGEIFS('Picarro Output'!G:G, 'Picarro Output'!$B:$B, 'Uncalibrated Data'!$C5398, 'Picarro Output'!$I:$I, 0, 'Picarro Output'!$J:$J, 1), "")</f>
        <v/>
      </c>
    </row>
    <row r="5399" spans="2:5" x14ac:dyDescent="0.45">
      <c r="B5399" s="1"/>
      <c r="E5399" s="45" t="str">
        <f>IFERROR(AVERAGEIFS('Picarro Output'!G:G, 'Picarro Output'!$B:$B, 'Uncalibrated Data'!$C5399, 'Picarro Output'!$I:$I, 0, 'Picarro Output'!$J:$J, 1), "")</f>
        <v/>
      </c>
    </row>
    <row r="5400" spans="2:5" x14ac:dyDescent="0.45">
      <c r="B5400" s="1"/>
      <c r="E5400" s="45" t="str">
        <f>IFERROR(AVERAGEIFS('Picarro Output'!G:G, 'Picarro Output'!$B:$B, 'Uncalibrated Data'!$C5400, 'Picarro Output'!$I:$I, 0, 'Picarro Output'!$J:$J, 1), "")</f>
        <v/>
      </c>
    </row>
    <row r="5401" spans="2:5" x14ac:dyDescent="0.45">
      <c r="B5401" s="1"/>
      <c r="E5401" s="45" t="str">
        <f>IFERROR(AVERAGEIFS('Picarro Output'!G:G, 'Picarro Output'!$B:$B, 'Uncalibrated Data'!$C5401, 'Picarro Output'!$I:$I, 0, 'Picarro Output'!$J:$J, 1), "")</f>
        <v/>
      </c>
    </row>
    <row r="5402" spans="2:5" x14ac:dyDescent="0.45">
      <c r="B5402" s="1"/>
      <c r="E5402" s="45" t="str">
        <f>IFERROR(AVERAGEIFS('Picarro Output'!G:G, 'Picarro Output'!$B:$B, 'Uncalibrated Data'!$C5402, 'Picarro Output'!$I:$I, 0, 'Picarro Output'!$J:$J, 1), "")</f>
        <v/>
      </c>
    </row>
    <row r="5403" spans="2:5" x14ac:dyDescent="0.45">
      <c r="B5403" s="1"/>
      <c r="E5403" s="45" t="str">
        <f>IFERROR(AVERAGEIFS('Picarro Output'!G:G, 'Picarro Output'!$B:$B, 'Uncalibrated Data'!$C5403, 'Picarro Output'!$I:$I, 0, 'Picarro Output'!$J:$J, 1), "")</f>
        <v/>
      </c>
    </row>
    <row r="5404" spans="2:5" x14ac:dyDescent="0.45">
      <c r="B5404" s="1"/>
      <c r="E5404" s="45" t="str">
        <f>IFERROR(AVERAGEIFS('Picarro Output'!G:G, 'Picarro Output'!$B:$B, 'Uncalibrated Data'!$C5404, 'Picarro Output'!$I:$I, 0, 'Picarro Output'!$J:$J, 1), "")</f>
        <v/>
      </c>
    </row>
    <row r="5405" spans="2:5" x14ac:dyDescent="0.45">
      <c r="B5405" s="1"/>
      <c r="E5405" s="45" t="str">
        <f>IFERROR(AVERAGEIFS('Picarro Output'!G:G, 'Picarro Output'!$B:$B, 'Uncalibrated Data'!$C5405, 'Picarro Output'!$I:$I, 0, 'Picarro Output'!$J:$J, 1), "")</f>
        <v/>
      </c>
    </row>
    <row r="5406" spans="2:5" x14ac:dyDescent="0.45">
      <c r="B5406" s="1"/>
      <c r="E5406" s="45" t="str">
        <f>IFERROR(AVERAGEIFS('Picarro Output'!G:G, 'Picarro Output'!$B:$B, 'Uncalibrated Data'!$C5406, 'Picarro Output'!$I:$I, 0, 'Picarro Output'!$J:$J, 1), "")</f>
        <v/>
      </c>
    </row>
    <row r="5407" spans="2:5" x14ac:dyDescent="0.45">
      <c r="B5407" s="1"/>
      <c r="E5407" s="45" t="str">
        <f>IFERROR(AVERAGEIFS('Picarro Output'!G:G, 'Picarro Output'!$B:$B, 'Uncalibrated Data'!$C5407, 'Picarro Output'!$I:$I, 0, 'Picarro Output'!$J:$J, 1), "")</f>
        <v/>
      </c>
    </row>
    <row r="5408" spans="2:5" x14ac:dyDescent="0.45">
      <c r="B5408" s="1"/>
      <c r="E5408" s="45" t="str">
        <f>IFERROR(AVERAGEIFS('Picarro Output'!G:G, 'Picarro Output'!$B:$B, 'Uncalibrated Data'!$C5408, 'Picarro Output'!$I:$I, 0, 'Picarro Output'!$J:$J, 1), "")</f>
        <v/>
      </c>
    </row>
    <row r="5409" spans="2:5" x14ac:dyDescent="0.45">
      <c r="B5409" s="1"/>
      <c r="E5409" s="45" t="str">
        <f>IFERROR(AVERAGEIFS('Picarro Output'!G:G, 'Picarro Output'!$B:$B, 'Uncalibrated Data'!$C5409, 'Picarro Output'!$I:$I, 0, 'Picarro Output'!$J:$J, 1), "")</f>
        <v/>
      </c>
    </row>
    <row r="5410" spans="2:5" x14ac:dyDescent="0.45">
      <c r="B5410" s="1"/>
      <c r="E5410" s="45" t="str">
        <f>IFERROR(AVERAGEIFS('Picarro Output'!G:G, 'Picarro Output'!$B:$B, 'Uncalibrated Data'!$C5410, 'Picarro Output'!$I:$I, 0, 'Picarro Output'!$J:$J, 1), "")</f>
        <v/>
      </c>
    </row>
    <row r="5411" spans="2:5" x14ac:dyDescent="0.45">
      <c r="B5411" s="1"/>
      <c r="E5411" s="45" t="str">
        <f>IFERROR(AVERAGEIFS('Picarro Output'!G:G, 'Picarro Output'!$B:$B, 'Uncalibrated Data'!$C5411, 'Picarro Output'!$I:$I, 0, 'Picarro Output'!$J:$J, 1), "")</f>
        <v/>
      </c>
    </row>
    <row r="5412" spans="2:5" x14ac:dyDescent="0.45">
      <c r="B5412" s="1"/>
      <c r="E5412" s="45" t="str">
        <f>IFERROR(AVERAGEIFS('Picarro Output'!G:G, 'Picarro Output'!$B:$B, 'Uncalibrated Data'!$C5412, 'Picarro Output'!$I:$I, 0, 'Picarro Output'!$J:$J, 1), "")</f>
        <v/>
      </c>
    </row>
    <row r="5413" spans="2:5" x14ac:dyDescent="0.45">
      <c r="B5413" s="1"/>
      <c r="E5413" s="45" t="str">
        <f>IFERROR(AVERAGEIFS('Picarro Output'!G:G, 'Picarro Output'!$B:$B, 'Uncalibrated Data'!$C5413, 'Picarro Output'!$I:$I, 0, 'Picarro Output'!$J:$J, 1), "")</f>
        <v/>
      </c>
    </row>
    <row r="5414" spans="2:5" x14ac:dyDescent="0.45">
      <c r="B5414" s="1"/>
      <c r="E5414" s="45" t="str">
        <f>IFERROR(AVERAGEIFS('Picarro Output'!G:G, 'Picarro Output'!$B:$B, 'Uncalibrated Data'!$C5414, 'Picarro Output'!$I:$I, 0, 'Picarro Output'!$J:$J, 1), "")</f>
        <v/>
      </c>
    </row>
    <row r="5415" spans="2:5" x14ac:dyDescent="0.45">
      <c r="B5415" s="1"/>
      <c r="E5415" s="45" t="str">
        <f>IFERROR(AVERAGEIFS('Picarro Output'!G:G, 'Picarro Output'!$B:$B, 'Uncalibrated Data'!$C5415, 'Picarro Output'!$I:$I, 0, 'Picarro Output'!$J:$J, 1), "")</f>
        <v/>
      </c>
    </row>
    <row r="5416" spans="2:5" x14ac:dyDescent="0.45">
      <c r="B5416" s="1"/>
      <c r="E5416" s="45" t="str">
        <f>IFERROR(AVERAGEIFS('Picarro Output'!G:G, 'Picarro Output'!$B:$B, 'Uncalibrated Data'!$C5416, 'Picarro Output'!$I:$I, 0, 'Picarro Output'!$J:$J, 1), "")</f>
        <v/>
      </c>
    </row>
    <row r="5417" spans="2:5" x14ac:dyDescent="0.45">
      <c r="B5417" s="1"/>
      <c r="E5417" s="45" t="str">
        <f>IFERROR(AVERAGEIFS('Picarro Output'!G:G, 'Picarro Output'!$B:$B, 'Uncalibrated Data'!$C5417, 'Picarro Output'!$I:$I, 0, 'Picarro Output'!$J:$J, 1), "")</f>
        <v/>
      </c>
    </row>
    <row r="5418" spans="2:5" x14ac:dyDescent="0.45">
      <c r="B5418" s="1"/>
      <c r="E5418" s="45" t="str">
        <f>IFERROR(AVERAGEIFS('Picarro Output'!G:G, 'Picarro Output'!$B:$B, 'Uncalibrated Data'!$C5418, 'Picarro Output'!$I:$I, 0, 'Picarro Output'!$J:$J, 1), "")</f>
        <v/>
      </c>
    </row>
    <row r="5419" spans="2:5" x14ac:dyDescent="0.45">
      <c r="B5419" s="1"/>
      <c r="E5419" s="45" t="str">
        <f>IFERROR(AVERAGEIFS('Picarro Output'!G:G, 'Picarro Output'!$B:$B, 'Uncalibrated Data'!$C5419, 'Picarro Output'!$I:$I, 0, 'Picarro Output'!$J:$J, 1), "")</f>
        <v/>
      </c>
    </row>
    <row r="5420" spans="2:5" x14ac:dyDescent="0.45">
      <c r="B5420" s="1"/>
      <c r="E5420" s="45" t="str">
        <f>IFERROR(AVERAGEIFS('Picarro Output'!G:G, 'Picarro Output'!$B:$B, 'Uncalibrated Data'!$C5420, 'Picarro Output'!$I:$I, 0, 'Picarro Output'!$J:$J, 1), "")</f>
        <v/>
      </c>
    </row>
    <row r="5421" spans="2:5" x14ac:dyDescent="0.45">
      <c r="B5421" s="1"/>
      <c r="E5421" s="45" t="str">
        <f>IFERROR(AVERAGEIFS('Picarro Output'!G:G, 'Picarro Output'!$B:$B, 'Uncalibrated Data'!$C5421, 'Picarro Output'!$I:$I, 0, 'Picarro Output'!$J:$J, 1), "")</f>
        <v/>
      </c>
    </row>
    <row r="5422" spans="2:5" x14ac:dyDescent="0.45">
      <c r="B5422" s="1"/>
      <c r="E5422" s="45" t="str">
        <f>IFERROR(AVERAGEIFS('Picarro Output'!G:G, 'Picarro Output'!$B:$B, 'Uncalibrated Data'!$C5422, 'Picarro Output'!$I:$I, 0, 'Picarro Output'!$J:$J, 1), "")</f>
        <v/>
      </c>
    </row>
    <row r="5423" spans="2:5" x14ac:dyDescent="0.45">
      <c r="B5423" s="1"/>
      <c r="E5423" s="45" t="str">
        <f>IFERROR(AVERAGEIFS('Picarro Output'!G:G, 'Picarro Output'!$B:$B, 'Uncalibrated Data'!$C5423, 'Picarro Output'!$I:$I, 0, 'Picarro Output'!$J:$J, 1), "")</f>
        <v/>
      </c>
    </row>
    <row r="5424" spans="2:5" x14ac:dyDescent="0.45">
      <c r="B5424" s="1"/>
      <c r="E5424" s="45" t="str">
        <f>IFERROR(AVERAGEIFS('Picarro Output'!G:G, 'Picarro Output'!$B:$B, 'Uncalibrated Data'!$C5424, 'Picarro Output'!$I:$I, 0, 'Picarro Output'!$J:$J, 1), "")</f>
        <v/>
      </c>
    </row>
    <row r="5425" spans="2:5" x14ac:dyDescent="0.45">
      <c r="B5425" s="1"/>
      <c r="E5425" s="45" t="str">
        <f>IFERROR(AVERAGEIFS('Picarro Output'!G:G, 'Picarro Output'!$B:$B, 'Uncalibrated Data'!$C5425, 'Picarro Output'!$I:$I, 0, 'Picarro Output'!$J:$J, 1), "")</f>
        <v/>
      </c>
    </row>
    <row r="5426" spans="2:5" x14ac:dyDescent="0.45">
      <c r="B5426" s="1"/>
      <c r="E5426" s="45" t="str">
        <f>IFERROR(AVERAGEIFS('Picarro Output'!G:G, 'Picarro Output'!$B:$B, 'Uncalibrated Data'!$C5426, 'Picarro Output'!$I:$I, 0, 'Picarro Output'!$J:$J, 1), "")</f>
        <v/>
      </c>
    </row>
    <row r="5427" spans="2:5" x14ac:dyDescent="0.45">
      <c r="B5427" s="1"/>
      <c r="E5427" s="45" t="str">
        <f>IFERROR(AVERAGEIFS('Picarro Output'!G:G, 'Picarro Output'!$B:$B, 'Uncalibrated Data'!$C5427, 'Picarro Output'!$I:$I, 0, 'Picarro Output'!$J:$J, 1), "")</f>
        <v/>
      </c>
    </row>
    <row r="5428" spans="2:5" x14ac:dyDescent="0.45">
      <c r="B5428" s="1"/>
      <c r="E5428" s="45" t="str">
        <f>IFERROR(AVERAGEIFS('Picarro Output'!G:G, 'Picarro Output'!$B:$B, 'Uncalibrated Data'!$C5428, 'Picarro Output'!$I:$I, 0, 'Picarro Output'!$J:$J, 1), "")</f>
        <v/>
      </c>
    </row>
    <row r="5429" spans="2:5" x14ac:dyDescent="0.45">
      <c r="B5429" s="1"/>
      <c r="E5429" s="45" t="str">
        <f>IFERROR(AVERAGEIFS('Picarro Output'!G:G, 'Picarro Output'!$B:$B, 'Uncalibrated Data'!$C5429, 'Picarro Output'!$I:$I, 0, 'Picarro Output'!$J:$J, 1), "")</f>
        <v/>
      </c>
    </row>
    <row r="5430" spans="2:5" x14ac:dyDescent="0.45">
      <c r="B5430" s="1"/>
      <c r="E5430" s="45" t="str">
        <f>IFERROR(AVERAGEIFS('Picarro Output'!G:G, 'Picarro Output'!$B:$B, 'Uncalibrated Data'!$C5430, 'Picarro Output'!$I:$I, 0, 'Picarro Output'!$J:$J, 1), "")</f>
        <v/>
      </c>
    </row>
    <row r="5431" spans="2:5" x14ac:dyDescent="0.45">
      <c r="B5431" s="1"/>
      <c r="E5431" s="45" t="str">
        <f>IFERROR(AVERAGEIFS('Picarro Output'!G:G, 'Picarro Output'!$B:$B, 'Uncalibrated Data'!$C5431, 'Picarro Output'!$I:$I, 0, 'Picarro Output'!$J:$J, 1), "")</f>
        <v/>
      </c>
    </row>
    <row r="5432" spans="2:5" x14ac:dyDescent="0.45">
      <c r="B5432" s="1"/>
      <c r="E5432" s="45" t="str">
        <f>IFERROR(AVERAGEIFS('Picarro Output'!G:G, 'Picarro Output'!$B:$B, 'Uncalibrated Data'!$C5432, 'Picarro Output'!$I:$I, 0, 'Picarro Output'!$J:$J, 1), "")</f>
        <v/>
      </c>
    </row>
    <row r="5433" spans="2:5" x14ac:dyDescent="0.45">
      <c r="B5433" s="1"/>
      <c r="E5433" s="45" t="str">
        <f>IFERROR(AVERAGEIFS('Picarro Output'!G:G, 'Picarro Output'!$B:$B, 'Uncalibrated Data'!$C5433, 'Picarro Output'!$I:$I, 0, 'Picarro Output'!$J:$J, 1), "")</f>
        <v/>
      </c>
    </row>
    <row r="5434" spans="2:5" x14ac:dyDescent="0.45">
      <c r="B5434" s="1"/>
      <c r="E5434" s="45" t="str">
        <f>IFERROR(AVERAGEIFS('Picarro Output'!G:G, 'Picarro Output'!$B:$B, 'Uncalibrated Data'!$C5434, 'Picarro Output'!$I:$I, 0, 'Picarro Output'!$J:$J, 1), "")</f>
        <v/>
      </c>
    </row>
    <row r="5435" spans="2:5" x14ac:dyDescent="0.45">
      <c r="B5435" s="1"/>
      <c r="E5435" s="45" t="str">
        <f>IFERROR(AVERAGEIFS('Picarro Output'!G:G, 'Picarro Output'!$B:$B, 'Uncalibrated Data'!$C5435, 'Picarro Output'!$I:$I, 0, 'Picarro Output'!$J:$J, 1), "")</f>
        <v/>
      </c>
    </row>
    <row r="5436" spans="2:5" x14ac:dyDescent="0.45">
      <c r="B5436" s="1"/>
      <c r="E5436" s="45" t="str">
        <f>IFERROR(AVERAGEIFS('Picarro Output'!G:G, 'Picarro Output'!$B:$B, 'Uncalibrated Data'!$C5436, 'Picarro Output'!$I:$I, 0, 'Picarro Output'!$J:$J, 1), "")</f>
        <v/>
      </c>
    </row>
    <row r="5437" spans="2:5" x14ac:dyDescent="0.45">
      <c r="B5437" s="1"/>
      <c r="E5437" s="45" t="str">
        <f>IFERROR(AVERAGEIFS('Picarro Output'!G:G, 'Picarro Output'!$B:$B, 'Uncalibrated Data'!$C5437, 'Picarro Output'!$I:$I, 0, 'Picarro Output'!$J:$J, 1), "")</f>
        <v/>
      </c>
    </row>
    <row r="5438" spans="2:5" x14ac:dyDescent="0.45">
      <c r="B5438" s="1"/>
      <c r="E5438" s="45" t="str">
        <f>IFERROR(AVERAGEIFS('Picarro Output'!G:G, 'Picarro Output'!$B:$B, 'Uncalibrated Data'!$C5438, 'Picarro Output'!$I:$I, 0, 'Picarro Output'!$J:$J, 1), "")</f>
        <v/>
      </c>
    </row>
    <row r="5439" spans="2:5" x14ac:dyDescent="0.45">
      <c r="B5439" s="1"/>
      <c r="E5439" s="45" t="str">
        <f>IFERROR(AVERAGEIFS('Picarro Output'!G:G, 'Picarro Output'!$B:$B, 'Uncalibrated Data'!$C5439, 'Picarro Output'!$I:$I, 0, 'Picarro Output'!$J:$J, 1), "")</f>
        <v/>
      </c>
    </row>
    <row r="5440" spans="2:5" x14ac:dyDescent="0.45">
      <c r="B5440" s="1"/>
      <c r="E5440" s="45" t="str">
        <f>IFERROR(AVERAGEIFS('Picarro Output'!G:G, 'Picarro Output'!$B:$B, 'Uncalibrated Data'!$C5440, 'Picarro Output'!$I:$I, 0, 'Picarro Output'!$J:$J, 1), "")</f>
        <v/>
      </c>
    </row>
    <row r="5441" spans="2:5" x14ac:dyDescent="0.45">
      <c r="B5441" s="1"/>
      <c r="E5441" s="45" t="str">
        <f>IFERROR(AVERAGEIFS('Picarro Output'!G:G, 'Picarro Output'!$B:$B, 'Uncalibrated Data'!$C5441, 'Picarro Output'!$I:$I, 0, 'Picarro Output'!$J:$J, 1), "")</f>
        <v/>
      </c>
    </row>
    <row r="5442" spans="2:5" x14ac:dyDescent="0.45">
      <c r="B5442" s="1"/>
      <c r="E5442" s="45" t="str">
        <f>IFERROR(AVERAGEIFS('Picarro Output'!G:G, 'Picarro Output'!$B:$B, 'Uncalibrated Data'!$C5442, 'Picarro Output'!$I:$I, 0, 'Picarro Output'!$J:$J, 1), "")</f>
        <v/>
      </c>
    </row>
    <row r="5443" spans="2:5" x14ac:dyDescent="0.45">
      <c r="B5443" s="1"/>
      <c r="E5443" s="45" t="str">
        <f>IFERROR(AVERAGEIFS('Picarro Output'!G:G, 'Picarro Output'!$B:$B, 'Uncalibrated Data'!$C5443, 'Picarro Output'!$I:$I, 0, 'Picarro Output'!$J:$J, 1), "")</f>
        <v/>
      </c>
    </row>
    <row r="5444" spans="2:5" x14ac:dyDescent="0.45">
      <c r="B5444" s="1"/>
      <c r="E5444" s="45" t="str">
        <f>IFERROR(AVERAGEIFS('Picarro Output'!G:G, 'Picarro Output'!$B:$B, 'Uncalibrated Data'!$C5444, 'Picarro Output'!$I:$I, 0, 'Picarro Output'!$J:$J, 1), "")</f>
        <v/>
      </c>
    </row>
    <row r="5445" spans="2:5" x14ac:dyDescent="0.45">
      <c r="B5445" s="1"/>
      <c r="E5445" s="45" t="str">
        <f>IFERROR(AVERAGEIFS('Picarro Output'!G:G, 'Picarro Output'!$B:$B, 'Uncalibrated Data'!$C5445, 'Picarro Output'!$I:$I, 0, 'Picarro Output'!$J:$J, 1), "")</f>
        <v/>
      </c>
    </row>
    <row r="5446" spans="2:5" x14ac:dyDescent="0.45">
      <c r="B5446" s="1"/>
      <c r="E5446" s="45" t="str">
        <f>IFERROR(AVERAGEIFS('Picarro Output'!G:G, 'Picarro Output'!$B:$B, 'Uncalibrated Data'!$C5446, 'Picarro Output'!$I:$I, 0, 'Picarro Output'!$J:$J, 1), "")</f>
        <v/>
      </c>
    </row>
    <row r="5447" spans="2:5" x14ac:dyDescent="0.45">
      <c r="B5447" s="1"/>
      <c r="E5447" s="45" t="str">
        <f>IFERROR(AVERAGEIFS('Picarro Output'!G:G, 'Picarro Output'!$B:$B, 'Uncalibrated Data'!$C5447, 'Picarro Output'!$I:$I, 0, 'Picarro Output'!$J:$J, 1), "")</f>
        <v/>
      </c>
    </row>
    <row r="5448" spans="2:5" x14ac:dyDescent="0.45">
      <c r="B5448" s="1"/>
      <c r="E5448" s="45" t="str">
        <f>IFERROR(AVERAGEIFS('Picarro Output'!G:G, 'Picarro Output'!$B:$B, 'Uncalibrated Data'!$C5448, 'Picarro Output'!$I:$I, 0, 'Picarro Output'!$J:$J, 1), "")</f>
        <v/>
      </c>
    </row>
    <row r="5449" spans="2:5" x14ac:dyDescent="0.45">
      <c r="B5449" s="1"/>
      <c r="E5449" s="45" t="str">
        <f>IFERROR(AVERAGEIFS('Picarro Output'!G:G, 'Picarro Output'!$B:$B, 'Uncalibrated Data'!$C5449, 'Picarro Output'!$I:$I, 0, 'Picarro Output'!$J:$J, 1), "")</f>
        <v/>
      </c>
    </row>
    <row r="5450" spans="2:5" x14ac:dyDescent="0.45">
      <c r="B5450" s="1"/>
      <c r="E5450" s="45" t="str">
        <f>IFERROR(AVERAGEIFS('Picarro Output'!G:G, 'Picarro Output'!$B:$B, 'Uncalibrated Data'!$C5450, 'Picarro Output'!$I:$I, 0, 'Picarro Output'!$J:$J, 1), "")</f>
        <v/>
      </c>
    </row>
    <row r="5451" spans="2:5" x14ac:dyDescent="0.45">
      <c r="B5451" s="1"/>
      <c r="E5451" s="45" t="str">
        <f>IFERROR(AVERAGEIFS('Picarro Output'!G:G, 'Picarro Output'!$B:$B, 'Uncalibrated Data'!$C5451, 'Picarro Output'!$I:$I, 0, 'Picarro Output'!$J:$J, 1), "")</f>
        <v/>
      </c>
    </row>
    <row r="5452" spans="2:5" x14ac:dyDescent="0.45">
      <c r="B5452" s="1"/>
      <c r="E5452" s="45" t="str">
        <f>IFERROR(AVERAGEIFS('Picarro Output'!G:G, 'Picarro Output'!$B:$B, 'Uncalibrated Data'!$C5452, 'Picarro Output'!$I:$I, 0, 'Picarro Output'!$J:$J, 1), "")</f>
        <v/>
      </c>
    </row>
    <row r="5453" spans="2:5" x14ac:dyDescent="0.45">
      <c r="B5453" s="1"/>
      <c r="E5453" s="45" t="str">
        <f>IFERROR(AVERAGEIFS('Picarro Output'!G:G, 'Picarro Output'!$B:$B, 'Uncalibrated Data'!$C5453, 'Picarro Output'!$I:$I, 0, 'Picarro Output'!$J:$J, 1), "")</f>
        <v/>
      </c>
    </row>
    <row r="5454" spans="2:5" x14ac:dyDescent="0.45">
      <c r="B5454" s="1"/>
      <c r="E5454" s="45" t="str">
        <f>IFERROR(AVERAGEIFS('Picarro Output'!G:G, 'Picarro Output'!$B:$B, 'Uncalibrated Data'!$C5454, 'Picarro Output'!$I:$I, 0, 'Picarro Output'!$J:$J, 1), "")</f>
        <v/>
      </c>
    </row>
    <row r="5455" spans="2:5" x14ac:dyDescent="0.45">
      <c r="B5455" s="1"/>
      <c r="E5455" s="45" t="str">
        <f>IFERROR(AVERAGEIFS('Picarro Output'!G:G, 'Picarro Output'!$B:$B, 'Uncalibrated Data'!$C5455, 'Picarro Output'!$I:$I, 0, 'Picarro Output'!$J:$J, 1), "")</f>
        <v/>
      </c>
    </row>
    <row r="5456" spans="2:5" x14ac:dyDescent="0.45">
      <c r="B5456" s="1"/>
      <c r="E5456" s="45" t="str">
        <f>IFERROR(AVERAGEIFS('Picarro Output'!G:G, 'Picarro Output'!$B:$B, 'Uncalibrated Data'!$C5456, 'Picarro Output'!$I:$I, 0, 'Picarro Output'!$J:$J, 1), "")</f>
        <v/>
      </c>
    </row>
    <row r="5457" spans="2:5" x14ac:dyDescent="0.45">
      <c r="B5457" s="1"/>
      <c r="E5457" s="45" t="str">
        <f>IFERROR(AVERAGEIFS('Picarro Output'!G:G, 'Picarro Output'!$B:$B, 'Uncalibrated Data'!$C5457, 'Picarro Output'!$I:$I, 0, 'Picarro Output'!$J:$J, 1), "")</f>
        <v/>
      </c>
    </row>
    <row r="5458" spans="2:5" x14ac:dyDescent="0.45">
      <c r="B5458" s="1"/>
      <c r="E5458" s="45" t="str">
        <f>IFERROR(AVERAGEIFS('Picarro Output'!G:G, 'Picarro Output'!$B:$B, 'Uncalibrated Data'!$C5458, 'Picarro Output'!$I:$I, 0, 'Picarro Output'!$J:$J, 1), "")</f>
        <v/>
      </c>
    </row>
    <row r="5459" spans="2:5" x14ac:dyDescent="0.45">
      <c r="B5459" s="1"/>
      <c r="E5459" s="45" t="str">
        <f>IFERROR(AVERAGEIFS('Picarro Output'!G:G, 'Picarro Output'!$B:$B, 'Uncalibrated Data'!$C5459, 'Picarro Output'!$I:$I, 0, 'Picarro Output'!$J:$J, 1), "")</f>
        <v/>
      </c>
    </row>
    <row r="5460" spans="2:5" x14ac:dyDescent="0.45">
      <c r="B5460" s="1"/>
      <c r="E5460" s="45" t="str">
        <f>IFERROR(AVERAGEIFS('Picarro Output'!G:G, 'Picarro Output'!$B:$B, 'Uncalibrated Data'!$C5460, 'Picarro Output'!$I:$I, 0, 'Picarro Output'!$J:$J, 1), "")</f>
        <v/>
      </c>
    </row>
    <row r="5461" spans="2:5" x14ac:dyDescent="0.45">
      <c r="B5461" s="1"/>
      <c r="E5461" s="45" t="str">
        <f>IFERROR(AVERAGEIFS('Picarro Output'!G:G, 'Picarro Output'!$B:$B, 'Uncalibrated Data'!$C5461, 'Picarro Output'!$I:$I, 0, 'Picarro Output'!$J:$J, 1), "")</f>
        <v/>
      </c>
    </row>
    <row r="5462" spans="2:5" x14ac:dyDescent="0.45">
      <c r="B5462" s="1"/>
      <c r="E5462" s="45" t="str">
        <f>IFERROR(AVERAGEIFS('Picarro Output'!G:G, 'Picarro Output'!$B:$B, 'Uncalibrated Data'!$C5462, 'Picarro Output'!$I:$I, 0, 'Picarro Output'!$J:$J, 1), "")</f>
        <v/>
      </c>
    </row>
    <row r="5463" spans="2:5" x14ac:dyDescent="0.45">
      <c r="B5463" s="1"/>
      <c r="E5463" s="45" t="str">
        <f>IFERROR(AVERAGEIFS('Picarro Output'!G:G, 'Picarro Output'!$B:$B, 'Uncalibrated Data'!$C5463, 'Picarro Output'!$I:$I, 0, 'Picarro Output'!$J:$J, 1), "")</f>
        <v/>
      </c>
    </row>
    <row r="5464" spans="2:5" x14ac:dyDescent="0.45">
      <c r="B5464" s="1"/>
      <c r="E5464" s="45" t="str">
        <f>IFERROR(AVERAGEIFS('Picarro Output'!G:G, 'Picarro Output'!$B:$B, 'Uncalibrated Data'!$C5464, 'Picarro Output'!$I:$I, 0, 'Picarro Output'!$J:$J, 1), "")</f>
        <v/>
      </c>
    </row>
    <row r="5465" spans="2:5" x14ac:dyDescent="0.45">
      <c r="B5465" s="1"/>
      <c r="E5465" s="45" t="str">
        <f>IFERROR(AVERAGEIFS('Picarro Output'!G:G, 'Picarro Output'!$B:$B, 'Uncalibrated Data'!$C5465, 'Picarro Output'!$I:$I, 0, 'Picarro Output'!$J:$J, 1), "")</f>
        <v/>
      </c>
    </row>
    <row r="5466" spans="2:5" x14ac:dyDescent="0.45">
      <c r="B5466" s="1"/>
      <c r="E5466" s="45" t="str">
        <f>IFERROR(AVERAGEIFS('Picarro Output'!G:G, 'Picarro Output'!$B:$B, 'Uncalibrated Data'!$C5466, 'Picarro Output'!$I:$I, 0, 'Picarro Output'!$J:$J, 1), "")</f>
        <v/>
      </c>
    </row>
    <row r="5467" spans="2:5" x14ac:dyDescent="0.45">
      <c r="B5467" s="1"/>
      <c r="E5467" s="45" t="str">
        <f>IFERROR(AVERAGEIFS('Picarro Output'!G:G, 'Picarro Output'!$B:$B, 'Uncalibrated Data'!$C5467, 'Picarro Output'!$I:$I, 0, 'Picarro Output'!$J:$J, 1), "")</f>
        <v/>
      </c>
    </row>
    <row r="5468" spans="2:5" x14ac:dyDescent="0.45">
      <c r="B5468" s="1"/>
      <c r="E5468" s="45" t="str">
        <f>IFERROR(AVERAGEIFS('Picarro Output'!G:G, 'Picarro Output'!$B:$B, 'Uncalibrated Data'!$C5468, 'Picarro Output'!$I:$I, 0, 'Picarro Output'!$J:$J, 1), "")</f>
        <v/>
      </c>
    </row>
    <row r="5469" spans="2:5" x14ac:dyDescent="0.45">
      <c r="B5469" s="1"/>
      <c r="E5469" s="45" t="str">
        <f>IFERROR(AVERAGEIFS('Picarro Output'!G:G, 'Picarro Output'!$B:$B, 'Uncalibrated Data'!$C5469, 'Picarro Output'!$I:$I, 0, 'Picarro Output'!$J:$J, 1), "")</f>
        <v/>
      </c>
    </row>
    <row r="5470" spans="2:5" x14ac:dyDescent="0.45">
      <c r="B5470" s="1"/>
      <c r="E5470" s="45" t="str">
        <f>IFERROR(AVERAGEIFS('Picarro Output'!G:G, 'Picarro Output'!$B:$B, 'Uncalibrated Data'!$C5470, 'Picarro Output'!$I:$I, 0, 'Picarro Output'!$J:$J, 1), "")</f>
        <v/>
      </c>
    </row>
    <row r="5471" spans="2:5" x14ac:dyDescent="0.45">
      <c r="B5471" s="1"/>
      <c r="E5471" s="45" t="str">
        <f>IFERROR(AVERAGEIFS('Picarro Output'!G:G, 'Picarro Output'!$B:$B, 'Uncalibrated Data'!$C5471, 'Picarro Output'!$I:$I, 0, 'Picarro Output'!$J:$J, 1), "")</f>
        <v/>
      </c>
    </row>
    <row r="5472" spans="2:5" x14ac:dyDescent="0.45">
      <c r="B5472" s="1"/>
      <c r="E5472" s="45" t="str">
        <f>IFERROR(AVERAGEIFS('Picarro Output'!G:G, 'Picarro Output'!$B:$B, 'Uncalibrated Data'!$C5472, 'Picarro Output'!$I:$I, 0, 'Picarro Output'!$J:$J, 1), "")</f>
        <v/>
      </c>
    </row>
    <row r="5473" spans="2:5" x14ac:dyDescent="0.45">
      <c r="B5473" s="1"/>
      <c r="E5473" s="45" t="str">
        <f>IFERROR(AVERAGEIFS('Picarro Output'!G:G, 'Picarro Output'!$B:$B, 'Uncalibrated Data'!$C5473, 'Picarro Output'!$I:$I, 0, 'Picarro Output'!$J:$J, 1), "")</f>
        <v/>
      </c>
    </row>
    <row r="5474" spans="2:5" x14ac:dyDescent="0.45">
      <c r="B5474" s="1"/>
      <c r="E5474" s="45" t="str">
        <f>IFERROR(AVERAGEIFS('Picarro Output'!G:G, 'Picarro Output'!$B:$B, 'Uncalibrated Data'!$C5474, 'Picarro Output'!$I:$I, 0, 'Picarro Output'!$J:$J, 1), "")</f>
        <v/>
      </c>
    </row>
    <row r="5475" spans="2:5" x14ac:dyDescent="0.45">
      <c r="B5475" s="1"/>
      <c r="E5475" s="45" t="str">
        <f>IFERROR(AVERAGEIFS('Picarro Output'!G:G, 'Picarro Output'!$B:$B, 'Uncalibrated Data'!$C5475, 'Picarro Output'!$I:$I, 0, 'Picarro Output'!$J:$J, 1), "")</f>
        <v/>
      </c>
    </row>
    <row r="5476" spans="2:5" x14ac:dyDescent="0.45">
      <c r="B5476" s="1"/>
      <c r="E5476" s="45" t="str">
        <f>IFERROR(AVERAGEIFS('Picarro Output'!G:G, 'Picarro Output'!$B:$B, 'Uncalibrated Data'!$C5476, 'Picarro Output'!$I:$I, 0, 'Picarro Output'!$J:$J, 1), "")</f>
        <v/>
      </c>
    </row>
    <row r="5477" spans="2:5" x14ac:dyDescent="0.45">
      <c r="B5477" s="1"/>
      <c r="E5477" s="45" t="str">
        <f>IFERROR(AVERAGEIFS('Picarro Output'!G:G, 'Picarro Output'!$B:$B, 'Uncalibrated Data'!$C5477, 'Picarro Output'!$I:$I, 0, 'Picarro Output'!$J:$J, 1), "")</f>
        <v/>
      </c>
    </row>
    <row r="5478" spans="2:5" x14ac:dyDescent="0.45">
      <c r="B5478" s="1"/>
      <c r="E5478" s="45" t="str">
        <f>IFERROR(AVERAGEIFS('Picarro Output'!G:G, 'Picarro Output'!$B:$B, 'Uncalibrated Data'!$C5478, 'Picarro Output'!$I:$I, 0, 'Picarro Output'!$J:$J, 1), "")</f>
        <v/>
      </c>
    </row>
    <row r="5479" spans="2:5" x14ac:dyDescent="0.45">
      <c r="B5479" s="1"/>
      <c r="E5479" s="45" t="str">
        <f>IFERROR(AVERAGEIFS('Picarro Output'!G:G, 'Picarro Output'!$B:$B, 'Uncalibrated Data'!$C5479, 'Picarro Output'!$I:$I, 0, 'Picarro Output'!$J:$J, 1), "")</f>
        <v/>
      </c>
    </row>
    <row r="5480" spans="2:5" x14ac:dyDescent="0.45">
      <c r="B5480" s="1"/>
      <c r="E5480" s="45" t="str">
        <f>IFERROR(AVERAGEIFS('Picarro Output'!G:G, 'Picarro Output'!$B:$B, 'Uncalibrated Data'!$C5480, 'Picarro Output'!$I:$I, 0, 'Picarro Output'!$J:$J, 1), "")</f>
        <v/>
      </c>
    </row>
    <row r="5481" spans="2:5" x14ac:dyDescent="0.45">
      <c r="B5481" s="1"/>
      <c r="E5481" s="45" t="str">
        <f>IFERROR(AVERAGEIFS('Picarro Output'!G:G, 'Picarro Output'!$B:$B, 'Uncalibrated Data'!$C5481, 'Picarro Output'!$I:$I, 0, 'Picarro Output'!$J:$J, 1), "")</f>
        <v/>
      </c>
    </row>
    <row r="5482" spans="2:5" x14ac:dyDescent="0.45">
      <c r="B5482" s="1"/>
      <c r="E5482" s="45" t="str">
        <f>IFERROR(AVERAGEIFS('Picarro Output'!G:G, 'Picarro Output'!$B:$B, 'Uncalibrated Data'!$C5482, 'Picarro Output'!$I:$I, 0, 'Picarro Output'!$J:$J, 1), "")</f>
        <v/>
      </c>
    </row>
    <row r="5483" spans="2:5" x14ac:dyDescent="0.45">
      <c r="B5483" s="1"/>
      <c r="E5483" s="45" t="str">
        <f>IFERROR(AVERAGEIFS('Picarro Output'!G:G, 'Picarro Output'!$B:$B, 'Uncalibrated Data'!$C5483, 'Picarro Output'!$I:$I, 0, 'Picarro Output'!$J:$J, 1), "")</f>
        <v/>
      </c>
    </row>
    <row r="5484" spans="2:5" x14ac:dyDescent="0.45">
      <c r="B5484" s="1"/>
      <c r="E5484" s="45" t="str">
        <f>IFERROR(AVERAGEIFS('Picarro Output'!G:G, 'Picarro Output'!$B:$B, 'Uncalibrated Data'!$C5484, 'Picarro Output'!$I:$I, 0, 'Picarro Output'!$J:$J, 1), "")</f>
        <v/>
      </c>
    </row>
    <row r="5485" spans="2:5" x14ac:dyDescent="0.45">
      <c r="B5485" s="1"/>
      <c r="E5485" s="45" t="str">
        <f>IFERROR(AVERAGEIFS('Picarro Output'!G:G, 'Picarro Output'!$B:$B, 'Uncalibrated Data'!$C5485, 'Picarro Output'!$I:$I, 0, 'Picarro Output'!$J:$J, 1), "")</f>
        <v/>
      </c>
    </row>
    <row r="5486" spans="2:5" x14ac:dyDescent="0.45">
      <c r="B5486" s="1"/>
      <c r="E5486" s="45" t="str">
        <f>IFERROR(AVERAGEIFS('Picarro Output'!G:G, 'Picarro Output'!$B:$B, 'Uncalibrated Data'!$C5486, 'Picarro Output'!$I:$I, 0, 'Picarro Output'!$J:$J, 1), "")</f>
        <v/>
      </c>
    </row>
    <row r="5487" spans="2:5" x14ac:dyDescent="0.45">
      <c r="B5487" s="1"/>
      <c r="E5487" s="45" t="str">
        <f>IFERROR(AVERAGEIFS('Picarro Output'!G:G, 'Picarro Output'!$B:$B, 'Uncalibrated Data'!$C5487, 'Picarro Output'!$I:$I, 0, 'Picarro Output'!$J:$J, 1), "")</f>
        <v/>
      </c>
    </row>
    <row r="5488" spans="2:5" x14ac:dyDescent="0.45">
      <c r="B5488" s="1"/>
      <c r="E5488" s="45" t="str">
        <f>IFERROR(AVERAGEIFS('Picarro Output'!G:G, 'Picarro Output'!$B:$B, 'Uncalibrated Data'!$C5488, 'Picarro Output'!$I:$I, 0, 'Picarro Output'!$J:$J, 1), "")</f>
        <v/>
      </c>
    </row>
    <row r="5489" spans="2:5" x14ac:dyDescent="0.45">
      <c r="B5489" s="1"/>
      <c r="E5489" s="45" t="str">
        <f>IFERROR(AVERAGEIFS('Picarro Output'!G:G, 'Picarro Output'!$B:$B, 'Uncalibrated Data'!$C5489, 'Picarro Output'!$I:$I, 0, 'Picarro Output'!$J:$J, 1), "")</f>
        <v/>
      </c>
    </row>
    <row r="5490" spans="2:5" x14ac:dyDescent="0.45">
      <c r="B5490" s="1"/>
      <c r="E5490" s="45" t="str">
        <f>IFERROR(AVERAGEIFS('Picarro Output'!G:G, 'Picarro Output'!$B:$B, 'Uncalibrated Data'!$C5490, 'Picarro Output'!$I:$I, 0, 'Picarro Output'!$J:$J, 1), "")</f>
        <v/>
      </c>
    </row>
    <row r="5491" spans="2:5" x14ac:dyDescent="0.45">
      <c r="B5491" s="1"/>
      <c r="E5491" s="45" t="str">
        <f>IFERROR(AVERAGEIFS('Picarro Output'!G:G, 'Picarro Output'!$B:$B, 'Uncalibrated Data'!$C5491, 'Picarro Output'!$I:$I, 0, 'Picarro Output'!$J:$J, 1), "")</f>
        <v/>
      </c>
    </row>
    <row r="5492" spans="2:5" x14ac:dyDescent="0.45">
      <c r="B5492" s="1"/>
      <c r="E5492" s="45" t="str">
        <f>IFERROR(AVERAGEIFS('Picarro Output'!G:G, 'Picarro Output'!$B:$B, 'Uncalibrated Data'!$C5492, 'Picarro Output'!$I:$I, 0, 'Picarro Output'!$J:$J, 1), "")</f>
        <v/>
      </c>
    </row>
    <row r="5493" spans="2:5" x14ac:dyDescent="0.45">
      <c r="B5493" s="1"/>
      <c r="E5493" s="45" t="str">
        <f>IFERROR(AVERAGEIFS('Picarro Output'!G:G, 'Picarro Output'!$B:$B, 'Uncalibrated Data'!$C5493, 'Picarro Output'!$I:$I, 0, 'Picarro Output'!$J:$J, 1), "")</f>
        <v/>
      </c>
    </row>
    <row r="5494" spans="2:5" x14ac:dyDescent="0.45">
      <c r="B5494" s="1"/>
      <c r="E5494" s="45" t="str">
        <f>IFERROR(AVERAGEIFS('Picarro Output'!G:G, 'Picarro Output'!$B:$B, 'Uncalibrated Data'!$C5494, 'Picarro Output'!$I:$I, 0, 'Picarro Output'!$J:$J, 1), "")</f>
        <v/>
      </c>
    </row>
    <row r="5495" spans="2:5" x14ac:dyDescent="0.45">
      <c r="B5495" s="1"/>
      <c r="E5495" s="45" t="str">
        <f>IFERROR(AVERAGEIFS('Picarro Output'!G:G, 'Picarro Output'!$B:$B, 'Uncalibrated Data'!$C5495, 'Picarro Output'!$I:$I, 0, 'Picarro Output'!$J:$J, 1), "")</f>
        <v/>
      </c>
    </row>
    <row r="5496" spans="2:5" x14ac:dyDescent="0.45">
      <c r="B5496" s="1"/>
      <c r="E5496" s="45" t="str">
        <f>IFERROR(AVERAGEIFS('Picarro Output'!G:G, 'Picarro Output'!$B:$B, 'Uncalibrated Data'!$C5496, 'Picarro Output'!$I:$I, 0, 'Picarro Output'!$J:$J, 1), "")</f>
        <v/>
      </c>
    </row>
    <row r="5497" spans="2:5" x14ac:dyDescent="0.45">
      <c r="B5497" s="1"/>
      <c r="E5497" s="45" t="str">
        <f>IFERROR(AVERAGEIFS('Picarro Output'!G:G, 'Picarro Output'!$B:$B, 'Uncalibrated Data'!$C5497, 'Picarro Output'!$I:$I, 0, 'Picarro Output'!$J:$J, 1), "")</f>
        <v/>
      </c>
    </row>
    <row r="5498" spans="2:5" x14ac:dyDescent="0.45">
      <c r="B5498" s="1"/>
      <c r="E5498" s="45" t="str">
        <f>IFERROR(AVERAGEIFS('Picarro Output'!G:G, 'Picarro Output'!$B:$B, 'Uncalibrated Data'!$C5498, 'Picarro Output'!$I:$I, 0, 'Picarro Output'!$J:$J, 1), "")</f>
        <v/>
      </c>
    </row>
    <row r="5499" spans="2:5" x14ac:dyDescent="0.45">
      <c r="B5499" s="1"/>
      <c r="E5499" s="45" t="str">
        <f>IFERROR(AVERAGEIFS('Picarro Output'!G:G, 'Picarro Output'!$B:$B, 'Uncalibrated Data'!$C5499, 'Picarro Output'!$I:$I, 0, 'Picarro Output'!$J:$J, 1), "")</f>
        <v/>
      </c>
    </row>
    <row r="5500" spans="2:5" x14ac:dyDescent="0.45">
      <c r="B5500" s="1"/>
      <c r="E5500" s="45" t="str">
        <f>IFERROR(AVERAGEIFS('Picarro Output'!G:G, 'Picarro Output'!$B:$B, 'Uncalibrated Data'!$C5500, 'Picarro Output'!$I:$I, 0, 'Picarro Output'!$J:$J, 1), "")</f>
        <v/>
      </c>
    </row>
    <row r="5501" spans="2:5" x14ac:dyDescent="0.45">
      <c r="B5501" s="1"/>
      <c r="E5501" s="45" t="str">
        <f>IFERROR(AVERAGEIFS('Picarro Output'!G:G, 'Picarro Output'!$B:$B, 'Uncalibrated Data'!$C5501, 'Picarro Output'!$I:$I, 0, 'Picarro Output'!$J:$J, 1), "")</f>
        <v/>
      </c>
    </row>
    <row r="5502" spans="2:5" x14ac:dyDescent="0.45">
      <c r="B5502" s="1"/>
      <c r="E5502" s="45" t="str">
        <f>IFERROR(AVERAGEIFS('Picarro Output'!G:G, 'Picarro Output'!$B:$B, 'Uncalibrated Data'!$C5502, 'Picarro Output'!$I:$I, 0, 'Picarro Output'!$J:$J, 1), "")</f>
        <v/>
      </c>
    </row>
    <row r="5503" spans="2:5" x14ac:dyDescent="0.45">
      <c r="B5503" s="1"/>
      <c r="E5503" s="45" t="str">
        <f>IFERROR(AVERAGEIFS('Picarro Output'!G:G, 'Picarro Output'!$B:$B, 'Uncalibrated Data'!$C5503, 'Picarro Output'!$I:$I, 0, 'Picarro Output'!$J:$J, 1), "")</f>
        <v/>
      </c>
    </row>
    <row r="5504" spans="2:5" x14ac:dyDescent="0.45">
      <c r="B5504" s="1"/>
      <c r="E5504" s="45" t="str">
        <f>IFERROR(AVERAGEIFS('Picarro Output'!G:G, 'Picarro Output'!$B:$B, 'Uncalibrated Data'!$C5504, 'Picarro Output'!$I:$I, 0, 'Picarro Output'!$J:$J, 1), "")</f>
        <v/>
      </c>
    </row>
    <row r="5505" spans="2:5" x14ac:dyDescent="0.45">
      <c r="B5505" s="1"/>
      <c r="E5505" s="45" t="str">
        <f>IFERROR(AVERAGEIFS('Picarro Output'!G:G, 'Picarro Output'!$B:$B, 'Uncalibrated Data'!$C5505, 'Picarro Output'!$I:$I, 0, 'Picarro Output'!$J:$J, 1), "")</f>
        <v/>
      </c>
    </row>
    <row r="5506" spans="2:5" x14ac:dyDescent="0.45">
      <c r="B5506" s="1"/>
      <c r="E5506" s="45" t="str">
        <f>IFERROR(AVERAGEIFS('Picarro Output'!G:G, 'Picarro Output'!$B:$B, 'Uncalibrated Data'!$C5506, 'Picarro Output'!$I:$I, 0, 'Picarro Output'!$J:$J, 1), "")</f>
        <v/>
      </c>
    </row>
    <row r="5507" spans="2:5" x14ac:dyDescent="0.45">
      <c r="B5507" s="1"/>
      <c r="E5507" s="45" t="str">
        <f>IFERROR(AVERAGEIFS('Picarro Output'!G:G, 'Picarro Output'!$B:$B, 'Uncalibrated Data'!$C5507, 'Picarro Output'!$I:$I, 0, 'Picarro Output'!$J:$J, 1), "")</f>
        <v/>
      </c>
    </row>
    <row r="5508" spans="2:5" x14ac:dyDescent="0.45">
      <c r="B5508" s="1"/>
      <c r="E5508" s="45" t="str">
        <f>IFERROR(AVERAGEIFS('Picarro Output'!G:G, 'Picarro Output'!$B:$B, 'Uncalibrated Data'!$C5508, 'Picarro Output'!$I:$I, 0, 'Picarro Output'!$J:$J, 1), "")</f>
        <v/>
      </c>
    </row>
    <row r="5509" spans="2:5" x14ac:dyDescent="0.45">
      <c r="B5509" s="1"/>
      <c r="E5509" s="45" t="str">
        <f>IFERROR(AVERAGEIFS('Picarro Output'!G:G, 'Picarro Output'!$B:$B, 'Uncalibrated Data'!$C5509, 'Picarro Output'!$I:$I, 0, 'Picarro Output'!$J:$J, 1), "")</f>
        <v/>
      </c>
    </row>
    <row r="5510" spans="2:5" x14ac:dyDescent="0.45">
      <c r="B5510" s="1"/>
      <c r="E5510" s="45" t="str">
        <f>IFERROR(AVERAGEIFS('Picarro Output'!G:G, 'Picarro Output'!$B:$B, 'Uncalibrated Data'!$C5510, 'Picarro Output'!$I:$I, 0, 'Picarro Output'!$J:$J, 1), "")</f>
        <v/>
      </c>
    </row>
    <row r="5511" spans="2:5" x14ac:dyDescent="0.45">
      <c r="B5511" s="1"/>
      <c r="E5511" s="45" t="str">
        <f>IFERROR(AVERAGEIFS('Picarro Output'!G:G, 'Picarro Output'!$B:$B, 'Uncalibrated Data'!$C5511, 'Picarro Output'!$I:$I, 0, 'Picarro Output'!$J:$J, 1), "")</f>
        <v/>
      </c>
    </row>
    <row r="5512" spans="2:5" x14ac:dyDescent="0.45">
      <c r="B5512" s="1"/>
      <c r="E5512" s="45" t="str">
        <f>IFERROR(AVERAGEIFS('Picarro Output'!G:G, 'Picarro Output'!$B:$B, 'Uncalibrated Data'!$C5512, 'Picarro Output'!$I:$I, 0, 'Picarro Output'!$J:$J, 1), "")</f>
        <v/>
      </c>
    </row>
    <row r="5513" spans="2:5" x14ac:dyDescent="0.45">
      <c r="B5513" s="1"/>
      <c r="E5513" s="45" t="str">
        <f>IFERROR(AVERAGEIFS('Picarro Output'!G:G, 'Picarro Output'!$B:$B, 'Uncalibrated Data'!$C5513, 'Picarro Output'!$I:$I, 0, 'Picarro Output'!$J:$J, 1), "")</f>
        <v/>
      </c>
    </row>
    <row r="5514" spans="2:5" x14ac:dyDescent="0.45">
      <c r="B5514" s="1"/>
      <c r="E5514" s="45" t="str">
        <f>IFERROR(AVERAGEIFS('Picarro Output'!G:G, 'Picarro Output'!$B:$B, 'Uncalibrated Data'!$C5514, 'Picarro Output'!$I:$I, 0, 'Picarro Output'!$J:$J, 1), "")</f>
        <v/>
      </c>
    </row>
    <row r="5515" spans="2:5" x14ac:dyDescent="0.45">
      <c r="B5515" s="1"/>
      <c r="E5515" s="45" t="str">
        <f>IFERROR(AVERAGEIFS('Picarro Output'!G:G, 'Picarro Output'!$B:$B, 'Uncalibrated Data'!$C5515, 'Picarro Output'!$I:$I, 0, 'Picarro Output'!$J:$J, 1), "")</f>
        <v/>
      </c>
    </row>
    <row r="5516" spans="2:5" x14ac:dyDescent="0.45">
      <c r="B5516" s="1"/>
      <c r="E5516" s="45" t="str">
        <f>IFERROR(AVERAGEIFS('Picarro Output'!G:G, 'Picarro Output'!$B:$B, 'Uncalibrated Data'!$C5516, 'Picarro Output'!$I:$I, 0, 'Picarro Output'!$J:$J, 1), "")</f>
        <v/>
      </c>
    </row>
    <row r="5517" spans="2:5" x14ac:dyDescent="0.45">
      <c r="B5517" s="1"/>
      <c r="E5517" s="45" t="str">
        <f>IFERROR(AVERAGEIFS('Picarro Output'!G:G, 'Picarro Output'!$B:$B, 'Uncalibrated Data'!$C5517, 'Picarro Output'!$I:$I, 0, 'Picarro Output'!$J:$J, 1), "")</f>
        <v/>
      </c>
    </row>
    <row r="5518" spans="2:5" x14ac:dyDescent="0.45">
      <c r="B5518" s="1"/>
      <c r="E5518" s="45" t="str">
        <f>IFERROR(AVERAGEIFS('Picarro Output'!G:G, 'Picarro Output'!$B:$B, 'Uncalibrated Data'!$C5518, 'Picarro Output'!$I:$I, 0, 'Picarro Output'!$J:$J, 1), "")</f>
        <v/>
      </c>
    </row>
    <row r="5519" spans="2:5" x14ac:dyDescent="0.45">
      <c r="B5519" s="1"/>
      <c r="E5519" s="45" t="str">
        <f>IFERROR(AVERAGEIFS('Picarro Output'!G:G, 'Picarro Output'!$B:$B, 'Uncalibrated Data'!$C5519, 'Picarro Output'!$I:$I, 0, 'Picarro Output'!$J:$J, 1), "")</f>
        <v/>
      </c>
    </row>
    <row r="5520" spans="2:5" x14ac:dyDescent="0.45">
      <c r="B5520" s="1"/>
      <c r="E5520" s="45" t="str">
        <f>IFERROR(AVERAGEIFS('Picarro Output'!G:G, 'Picarro Output'!$B:$B, 'Uncalibrated Data'!$C5520, 'Picarro Output'!$I:$I, 0, 'Picarro Output'!$J:$J, 1), "")</f>
        <v/>
      </c>
    </row>
    <row r="5521" spans="2:5" x14ac:dyDescent="0.45">
      <c r="B5521" s="1"/>
      <c r="E5521" s="45" t="str">
        <f>IFERROR(AVERAGEIFS('Picarro Output'!G:G, 'Picarro Output'!$B:$B, 'Uncalibrated Data'!$C5521, 'Picarro Output'!$I:$I, 0, 'Picarro Output'!$J:$J, 1), "")</f>
        <v/>
      </c>
    </row>
    <row r="5522" spans="2:5" x14ac:dyDescent="0.45">
      <c r="B5522" s="1"/>
      <c r="E5522" s="45" t="str">
        <f>IFERROR(AVERAGEIFS('Picarro Output'!G:G, 'Picarro Output'!$B:$B, 'Uncalibrated Data'!$C5522, 'Picarro Output'!$I:$I, 0, 'Picarro Output'!$J:$J, 1), "")</f>
        <v/>
      </c>
    </row>
    <row r="5523" spans="2:5" x14ac:dyDescent="0.45">
      <c r="B5523" s="1"/>
      <c r="E5523" s="45" t="str">
        <f>IFERROR(AVERAGEIFS('Picarro Output'!G:G, 'Picarro Output'!$B:$B, 'Uncalibrated Data'!$C5523, 'Picarro Output'!$I:$I, 0, 'Picarro Output'!$J:$J, 1), "")</f>
        <v/>
      </c>
    </row>
    <row r="5524" spans="2:5" x14ac:dyDescent="0.45">
      <c r="B5524" s="1"/>
      <c r="E5524" s="45" t="str">
        <f>IFERROR(AVERAGEIFS('Picarro Output'!G:G, 'Picarro Output'!$B:$B, 'Uncalibrated Data'!$C5524, 'Picarro Output'!$I:$I, 0, 'Picarro Output'!$J:$J, 1), "")</f>
        <v/>
      </c>
    </row>
    <row r="5525" spans="2:5" x14ac:dyDescent="0.45">
      <c r="B5525" s="1"/>
      <c r="E5525" s="45" t="str">
        <f>IFERROR(AVERAGEIFS('Picarro Output'!G:G, 'Picarro Output'!$B:$B, 'Uncalibrated Data'!$C5525, 'Picarro Output'!$I:$I, 0, 'Picarro Output'!$J:$J, 1), "")</f>
        <v/>
      </c>
    </row>
    <row r="5526" spans="2:5" x14ac:dyDescent="0.45">
      <c r="B5526" s="1"/>
      <c r="E5526" s="45" t="str">
        <f>IFERROR(AVERAGEIFS('Picarro Output'!G:G, 'Picarro Output'!$B:$B, 'Uncalibrated Data'!$C5526, 'Picarro Output'!$I:$I, 0, 'Picarro Output'!$J:$J, 1), "")</f>
        <v/>
      </c>
    </row>
    <row r="5527" spans="2:5" x14ac:dyDescent="0.45">
      <c r="B5527" s="1"/>
      <c r="E5527" s="45" t="str">
        <f>IFERROR(AVERAGEIFS('Picarro Output'!G:G, 'Picarro Output'!$B:$B, 'Uncalibrated Data'!$C5527, 'Picarro Output'!$I:$I, 0, 'Picarro Output'!$J:$J, 1), "")</f>
        <v/>
      </c>
    </row>
    <row r="5528" spans="2:5" x14ac:dyDescent="0.45">
      <c r="B5528" s="1"/>
      <c r="E5528" s="45" t="str">
        <f>IFERROR(AVERAGEIFS('Picarro Output'!G:G, 'Picarro Output'!$B:$B, 'Uncalibrated Data'!$C5528, 'Picarro Output'!$I:$I, 0, 'Picarro Output'!$J:$J, 1), "")</f>
        <v/>
      </c>
    </row>
    <row r="5529" spans="2:5" x14ac:dyDescent="0.45">
      <c r="B5529" s="1"/>
      <c r="E5529" s="45" t="str">
        <f>IFERROR(AVERAGEIFS('Picarro Output'!G:G, 'Picarro Output'!$B:$B, 'Uncalibrated Data'!$C5529, 'Picarro Output'!$I:$I, 0, 'Picarro Output'!$J:$J, 1), "")</f>
        <v/>
      </c>
    </row>
    <row r="5530" spans="2:5" x14ac:dyDescent="0.45">
      <c r="B5530" s="1"/>
      <c r="E5530" s="45" t="str">
        <f>IFERROR(AVERAGEIFS('Picarro Output'!G:G, 'Picarro Output'!$B:$B, 'Uncalibrated Data'!$C5530, 'Picarro Output'!$I:$I, 0, 'Picarro Output'!$J:$J, 1), "")</f>
        <v/>
      </c>
    </row>
    <row r="5531" spans="2:5" x14ac:dyDescent="0.45">
      <c r="B5531" s="1"/>
      <c r="E5531" s="45" t="str">
        <f>IFERROR(AVERAGEIFS('Picarro Output'!G:G, 'Picarro Output'!$B:$B, 'Uncalibrated Data'!$C5531, 'Picarro Output'!$I:$I, 0, 'Picarro Output'!$J:$J, 1), "")</f>
        <v/>
      </c>
    </row>
    <row r="5532" spans="2:5" x14ac:dyDescent="0.45">
      <c r="B5532" s="1"/>
      <c r="E5532" s="45" t="str">
        <f>IFERROR(AVERAGEIFS('Picarro Output'!G:G, 'Picarro Output'!$B:$B, 'Uncalibrated Data'!$C5532, 'Picarro Output'!$I:$I, 0, 'Picarro Output'!$J:$J, 1), "")</f>
        <v/>
      </c>
    </row>
    <row r="5533" spans="2:5" x14ac:dyDescent="0.45">
      <c r="B5533" s="1"/>
      <c r="E5533" s="45" t="str">
        <f>IFERROR(AVERAGEIFS('Picarro Output'!G:G, 'Picarro Output'!$B:$B, 'Uncalibrated Data'!$C5533, 'Picarro Output'!$I:$I, 0, 'Picarro Output'!$J:$J, 1), "")</f>
        <v/>
      </c>
    </row>
    <row r="5534" spans="2:5" x14ac:dyDescent="0.45">
      <c r="B5534" s="1"/>
      <c r="E5534" s="45" t="str">
        <f>IFERROR(AVERAGEIFS('Picarro Output'!G:G, 'Picarro Output'!$B:$B, 'Uncalibrated Data'!$C5534, 'Picarro Output'!$I:$I, 0, 'Picarro Output'!$J:$J, 1), "")</f>
        <v/>
      </c>
    </row>
    <row r="5535" spans="2:5" x14ac:dyDescent="0.45">
      <c r="B5535" s="1"/>
      <c r="E5535" s="45" t="str">
        <f>IFERROR(AVERAGEIFS('Picarro Output'!G:G, 'Picarro Output'!$B:$B, 'Uncalibrated Data'!$C5535, 'Picarro Output'!$I:$I, 0, 'Picarro Output'!$J:$J, 1), "")</f>
        <v/>
      </c>
    </row>
    <row r="5536" spans="2:5" x14ac:dyDescent="0.45">
      <c r="B5536" s="1"/>
      <c r="E5536" s="45" t="str">
        <f>IFERROR(AVERAGEIFS('Picarro Output'!G:G, 'Picarro Output'!$B:$B, 'Uncalibrated Data'!$C5536, 'Picarro Output'!$I:$I, 0, 'Picarro Output'!$J:$J, 1), "")</f>
        <v/>
      </c>
    </row>
    <row r="5537" spans="2:5" x14ac:dyDescent="0.45">
      <c r="B5537" s="1"/>
      <c r="E5537" s="45" t="str">
        <f>IFERROR(AVERAGEIFS('Picarro Output'!G:G, 'Picarro Output'!$B:$B, 'Uncalibrated Data'!$C5537, 'Picarro Output'!$I:$I, 0, 'Picarro Output'!$J:$J, 1), "")</f>
        <v/>
      </c>
    </row>
    <row r="5538" spans="2:5" x14ac:dyDescent="0.45">
      <c r="B5538" s="1"/>
      <c r="E5538" s="45" t="str">
        <f>IFERROR(AVERAGEIFS('Picarro Output'!G:G, 'Picarro Output'!$B:$B, 'Uncalibrated Data'!$C5538, 'Picarro Output'!$I:$I, 0, 'Picarro Output'!$J:$J, 1), "")</f>
        <v/>
      </c>
    </row>
    <row r="5539" spans="2:5" x14ac:dyDescent="0.45">
      <c r="B5539" s="1"/>
      <c r="E5539" s="45" t="str">
        <f>IFERROR(AVERAGEIFS('Picarro Output'!G:G, 'Picarro Output'!$B:$B, 'Uncalibrated Data'!$C5539, 'Picarro Output'!$I:$I, 0, 'Picarro Output'!$J:$J, 1), "")</f>
        <v/>
      </c>
    </row>
    <row r="5540" spans="2:5" x14ac:dyDescent="0.45">
      <c r="B5540" s="1"/>
      <c r="E5540" s="45" t="str">
        <f>IFERROR(AVERAGEIFS('Picarro Output'!G:G, 'Picarro Output'!$B:$B, 'Uncalibrated Data'!$C5540, 'Picarro Output'!$I:$I, 0, 'Picarro Output'!$J:$J, 1), "")</f>
        <v/>
      </c>
    </row>
    <row r="5541" spans="2:5" x14ac:dyDescent="0.45">
      <c r="B5541" s="1"/>
      <c r="E5541" s="45" t="str">
        <f>IFERROR(AVERAGEIFS('Picarro Output'!G:G, 'Picarro Output'!$B:$B, 'Uncalibrated Data'!$C5541, 'Picarro Output'!$I:$I, 0, 'Picarro Output'!$J:$J, 1), "")</f>
        <v/>
      </c>
    </row>
    <row r="5542" spans="2:5" x14ac:dyDescent="0.45">
      <c r="B5542" s="1"/>
      <c r="E5542" s="45" t="str">
        <f>IFERROR(AVERAGEIFS('Picarro Output'!G:G, 'Picarro Output'!$B:$B, 'Uncalibrated Data'!$C5542, 'Picarro Output'!$I:$I, 0, 'Picarro Output'!$J:$J, 1), "")</f>
        <v/>
      </c>
    </row>
    <row r="5543" spans="2:5" x14ac:dyDescent="0.45">
      <c r="B5543" s="1"/>
      <c r="E5543" s="45" t="str">
        <f>IFERROR(AVERAGEIFS('Picarro Output'!G:G, 'Picarro Output'!$B:$B, 'Uncalibrated Data'!$C5543, 'Picarro Output'!$I:$I, 0, 'Picarro Output'!$J:$J, 1), "")</f>
        <v/>
      </c>
    </row>
    <row r="5544" spans="2:5" x14ac:dyDescent="0.45">
      <c r="B5544" s="1"/>
      <c r="E5544" s="45" t="str">
        <f>IFERROR(AVERAGEIFS('Picarro Output'!G:G, 'Picarro Output'!$B:$B, 'Uncalibrated Data'!$C5544, 'Picarro Output'!$I:$I, 0, 'Picarro Output'!$J:$J, 1), "")</f>
        <v/>
      </c>
    </row>
    <row r="5545" spans="2:5" x14ac:dyDescent="0.45">
      <c r="B5545" s="1"/>
      <c r="E5545" s="45" t="str">
        <f>IFERROR(AVERAGEIFS('Picarro Output'!G:G, 'Picarro Output'!$B:$B, 'Uncalibrated Data'!$C5545, 'Picarro Output'!$I:$I, 0, 'Picarro Output'!$J:$J, 1), "")</f>
        <v/>
      </c>
    </row>
    <row r="5546" spans="2:5" x14ac:dyDescent="0.45">
      <c r="B5546" s="1"/>
      <c r="E5546" s="45" t="str">
        <f>IFERROR(AVERAGEIFS('Picarro Output'!G:G, 'Picarro Output'!$B:$B, 'Uncalibrated Data'!$C5546, 'Picarro Output'!$I:$I, 0, 'Picarro Output'!$J:$J, 1), "")</f>
        <v/>
      </c>
    </row>
    <row r="5547" spans="2:5" x14ac:dyDescent="0.45">
      <c r="B5547" s="1"/>
      <c r="E5547" s="45" t="str">
        <f>IFERROR(AVERAGEIFS('Picarro Output'!G:G, 'Picarro Output'!$B:$B, 'Uncalibrated Data'!$C5547, 'Picarro Output'!$I:$I, 0, 'Picarro Output'!$J:$J, 1), "")</f>
        <v/>
      </c>
    </row>
    <row r="5548" spans="2:5" x14ac:dyDescent="0.45">
      <c r="B5548" s="1"/>
      <c r="E5548" s="45" t="str">
        <f>IFERROR(AVERAGEIFS('Picarro Output'!G:G, 'Picarro Output'!$B:$B, 'Uncalibrated Data'!$C5548, 'Picarro Output'!$I:$I, 0, 'Picarro Output'!$J:$J, 1), "")</f>
        <v/>
      </c>
    </row>
    <row r="5549" spans="2:5" x14ac:dyDescent="0.45">
      <c r="B5549" s="1"/>
      <c r="E5549" s="45" t="str">
        <f>IFERROR(AVERAGEIFS('Picarro Output'!G:G, 'Picarro Output'!$B:$B, 'Uncalibrated Data'!$C5549, 'Picarro Output'!$I:$I, 0, 'Picarro Output'!$J:$J, 1), "")</f>
        <v/>
      </c>
    </row>
    <row r="5550" spans="2:5" x14ac:dyDescent="0.45">
      <c r="B5550" s="1"/>
      <c r="E5550" s="45" t="str">
        <f>IFERROR(AVERAGEIFS('Picarro Output'!G:G, 'Picarro Output'!$B:$B, 'Uncalibrated Data'!$C5550, 'Picarro Output'!$I:$I, 0, 'Picarro Output'!$J:$J, 1), "")</f>
        <v/>
      </c>
    </row>
    <row r="5551" spans="2:5" x14ac:dyDescent="0.45">
      <c r="B5551" s="1"/>
      <c r="E5551" s="45" t="str">
        <f>IFERROR(AVERAGEIFS('Picarro Output'!G:G, 'Picarro Output'!$B:$B, 'Uncalibrated Data'!$C5551, 'Picarro Output'!$I:$I, 0, 'Picarro Output'!$J:$J, 1), "")</f>
        <v/>
      </c>
    </row>
    <row r="5552" spans="2:5" x14ac:dyDescent="0.45">
      <c r="B5552" s="1"/>
      <c r="E5552" s="45" t="str">
        <f>IFERROR(AVERAGEIFS('Picarro Output'!G:G, 'Picarro Output'!$B:$B, 'Uncalibrated Data'!$C5552, 'Picarro Output'!$I:$I, 0, 'Picarro Output'!$J:$J, 1), "")</f>
        <v/>
      </c>
    </row>
    <row r="5553" spans="2:5" x14ac:dyDescent="0.45">
      <c r="B5553" s="1"/>
      <c r="E5553" s="45" t="str">
        <f>IFERROR(AVERAGEIFS('Picarro Output'!G:G, 'Picarro Output'!$B:$B, 'Uncalibrated Data'!$C5553, 'Picarro Output'!$I:$I, 0, 'Picarro Output'!$J:$J, 1), "")</f>
        <v/>
      </c>
    </row>
    <row r="5554" spans="2:5" x14ac:dyDescent="0.45">
      <c r="B5554" s="1"/>
      <c r="E5554" s="45" t="str">
        <f>IFERROR(AVERAGEIFS('Picarro Output'!G:G, 'Picarro Output'!$B:$B, 'Uncalibrated Data'!$C5554, 'Picarro Output'!$I:$I, 0, 'Picarro Output'!$J:$J, 1), "")</f>
        <v/>
      </c>
    </row>
    <row r="5555" spans="2:5" x14ac:dyDescent="0.45">
      <c r="B5555" s="1"/>
      <c r="E5555" s="45" t="str">
        <f>IFERROR(AVERAGEIFS('Picarro Output'!G:G, 'Picarro Output'!$B:$B, 'Uncalibrated Data'!$C5555, 'Picarro Output'!$I:$I, 0, 'Picarro Output'!$J:$J, 1), "")</f>
        <v/>
      </c>
    </row>
    <row r="5556" spans="2:5" x14ac:dyDescent="0.45">
      <c r="B5556" s="1"/>
      <c r="E5556" s="45" t="str">
        <f>IFERROR(AVERAGEIFS('Picarro Output'!G:G, 'Picarro Output'!$B:$B, 'Uncalibrated Data'!$C5556, 'Picarro Output'!$I:$I, 0, 'Picarro Output'!$J:$J, 1), "")</f>
        <v/>
      </c>
    </row>
    <row r="5557" spans="2:5" x14ac:dyDescent="0.45">
      <c r="B5557" s="1"/>
      <c r="E5557" s="45" t="str">
        <f>IFERROR(AVERAGEIFS('Picarro Output'!G:G, 'Picarro Output'!$B:$B, 'Uncalibrated Data'!$C5557, 'Picarro Output'!$I:$I, 0, 'Picarro Output'!$J:$J, 1), "")</f>
        <v/>
      </c>
    </row>
    <row r="5558" spans="2:5" x14ac:dyDescent="0.45">
      <c r="B5558" s="1"/>
      <c r="E5558" s="45" t="str">
        <f>IFERROR(AVERAGEIFS('Picarro Output'!G:G, 'Picarro Output'!$B:$B, 'Uncalibrated Data'!$C5558, 'Picarro Output'!$I:$I, 0, 'Picarro Output'!$J:$J, 1), "")</f>
        <v/>
      </c>
    </row>
    <row r="5559" spans="2:5" x14ac:dyDescent="0.45">
      <c r="B5559" s="1"/>
      <c r="E5559" s="45" t="str">
        <f>IFERROR(AVERAGEIFS('Picarro Output'!G:G, 'Picarro Output'!$B:$B, 'Uncalibrated Data'!$C5559, 'Picarro Output'!$I:$I, 0, 'Picarro Output'!$J:$J, 1), "")</f>
        <v/>
      </c>
    </row>
    <row r="5560" spans="2:5" x14ac:dyDescent="0.45">
      <c r="B5560" s="1"/>
      <c r="E5560" s="45" t="str">
        <f>IFERROR(AVERAGEIFS('Picarro Output'!G:G, 'Picarro Output'!$B:$B, 'Uncalibrated Data'!$C5560, 'Picarro Output'!$I:$I, 0, 'Picarro Output'!$J:$J, 1), "")</f>
        <v/>
      </c>
    </row>
    <row r="5561" spans="2:5" x14ac:dyDescent="0.45">
      <c r="B5561" s="1"/>
      <c r="E5561" s="45" t="str">
        <f>IFERROR(AVERAGEIFS('Picarro Output'!G:G, 'Picarro Output'!$B:$B, 'Uncalibrated Data'!$C5561, 'Picarro Output'!$I:$I, 0, 'Picarro Output'!$J:$J, 1), "")</f>
        <v/>
      </c>
    </row>
    <row r="5562" spans="2:5" x14ac:dyDescent="0.45">
      <c r="B5562" s="1"/>
      <c r="E5562" s="45" t="str">
        <f>IFERROR(AVERAGEIFS('Picarro Output'!G:G, 'Picarro Output'!$B:$B, 'Uncalibrated Data'!$C5562, 'Picarro Output'!$I:$I, 0, 'Picarro Output'!$J:$J, 1), "")</f>
        <v/>
      </c>
    </row>
    <row r="5563" spans="2:5" x14ac:dyDescent="0.45">
      <c r="B5563" s="1"/>
      <c r="E5563" s="45" t="str">
        <f>IFERROR(AVERAGEIFS('Picarro Output'!G:G, 'Picarro Output'!$B:$B, 'Uncalibrated Data'!$C5563, 'Picarro Output'!$I:$I, 0, 'Picarro Output'!$J:$J, 1), "")</f>
        <v/>
      </c>
    </row>
    <row r="5564" spans="2:5" x14ac:dyDescent="0.45">
      <c r="B5564" s="1"/>
      <c r="E5564" s="45" t="str">
        <f>IFERROR(AVERAGEIFS('Picarro Output'!G:G, 'Picarro Output'!$B:$B, 'Uncalibrated Data'!$C5564, 'Picarro Output'!$I:$I, 0, 'Picarro Output'!$J:$J, 1), "")</f>
        <v/>
      </c>
    </row>
    <row r="5565" spans="2:5" x14ac:dyDescent="0.45">
      <c r="B5565" s="1"/>
      <c r="E5565" s="45" t="str">
        <f>IFERROR(AVERAGEIFS('Picarro Output'!G:G, 'Picarro Output'!$B:$B, 'Uncalibrated Data'!$C5565, 'Picarro Output'!$I:$I, 0, 'Picarro Output'!$J:$J, 1), "")</f>
        <v/>
      </c>
    </row>
    <row r="5566" spans="2:5" x14ac:dyDescent="0.45">
      <c r="B5566" s="1"/>
      <c r="E5566" s="45" t="str">
        <f>IFERROR(AVERAGEIFS('Picarro Output'!G:G, 'Picarro Output'!$B:$B, 'Uncalibrated Data'!$C5566, 'Picarro Output'!$I:$I, 0, 'Picarro Output'!$J:$J, 1), "")</f>
        <v/>
      </c>
    </row>
    <row r="5567" spans="2:5" x14ac:dyDescent="0.45">
      <c r="B5567" s="1"/>
      <c r="E5567" s="45" t="str">
        <f>IFERROR(AVERAGEIFS('Picarro Output'!G:G, 'Picarro Output'!$B:$B, 'Uncalibrated Data'!$C5567, 'Picarro Output'!$I:$I, 0, 'Picarro Output'!$J:$J, 1), "")</f>
        <v/>
      </c>
    </row>
    <row r="5568" spans="2:5" x14ac:dyDescent="0.45">
      <c r="B5568" s="1"/>
      <c r="E5568" s="45" t="str">
        <f>IFERROR(AVERAGEIFS('Picarro Output'!G:G, 'Picarro Output'!$B:$B, 'Uncalibrated Data'!$C5568, 'Picarro Output'!$I:$I, 0, 'Picarro Output'!$J:$J, 1), "")</f>
        <v/>
      </c>
    </row>
    <row r="5569" spans="2:5" x14ac:dyDescent="0.45">
      <c r="B5569" s="1"/>
      <c r="E5569" s="45" t="str">
        <f>IFERROR(AVERAGEIFS('Picarro Output'!G:G, 'Picarro Output'!$B:$B, 'Uncalibrated Data'!$C5569, 'Picarro Output'!$I:$I, 0, 'Picarro Output'!$J:$J, 1), "")</f>
        <v/>
      </c>
    </row>
    <row r="5570" spans="2:5" x14ac:dyDescent="0.45">
      <c r="B5570" s="1"/>
      <c r="E5570" s="45" t="str">
        <f>IFERROR(AVERAGEIFS('Picarro Output'!G:G, 'Picarro Output'!$B:$B, 'Uncalibrated Data'!$C5570, 'Picarro Output'!$I:$I, 0, 'Picarro Output'!$J:$J, 1), "")</f>
        <v/>
      </c>
    </row>
    <row r="5571" spans="2:5" x14ac:dyDescent="0.45">
      <c r="B5571" s="1"/>
      <c r="E5571" s="45" t="str">
        <f>IFERROR(AVERAGEIFS('Picarro Output'!G:G, 'Picarro Output'!$B:$B, 'Uncalibrated Data'!$C5571, 'Picarro Output'!$I:$I, 0, 'Picarro Output'!$J:$J, 1), "")</f>
        <v/>
      </c>
    </row>
    <row r="5572" spans="2:5" x14ac:dyDescent="0.45">
      <c r="B5572" s="1"/>
      <c r="E5572" s="45" t="str">
        <f>IFERROR(AVERAGEIFS('Picarro Output'!G:G, 'Picarro Output'!$B:$B, 'Uncalibrated Data'!$C5572, 'Picarro Output'!$I:$I, 0, 'Picarro Output'!$J:$J, 1), "")</f>
        <v/>
      </c>
    </row>
    <row r="5573" spans="2:5" x14ac:dyDescent="0.45">
      <c r="B5573" s="1"/>
      <c r="E5573" s="45" t="str">
        <f>IFERROR(AVERAGEIFS('Picarro Output'!G:G, 'Picarro Output'!$B:$B, 'Uncalibrated Data'!$C5573, 'Picarro Output'!$I:$I, 0, 'Picarro Output'!$J:$J, 1), "")</f>
        <v/>
      </c>
    </row>
    <row r="5574" spans="2:5" x14ac:dyDescent="0.45">
      <c r="B5574" s="1"/>
      <c r="E5574" s="45" t="str">
        <f>IFERROR(AVERAGEIFS('Picarro Output'!G:G, 'Picarro Output'!$B:$B, 'Uncalibrated Data'!$C5574, 'Picarro Output'!$I:$I, 0, 'Picarro Output'!$J:$J, 1), "")</f>
        <v/>
      </c>
    </row>
    <row r="5575" spans="2:5" x14ac:dyDescent="0.45">
      <c r="B5575" s="1"/>
      <c r="E5575" s="45" t="str">
        <f>IFERROR(AVERAGEIFS('Picarro Output'!G:G, 'Picarro Output'!$B:$B, 'Uncalibrated Data'!$C5575, 'Picarro Output'!$I:$I, 0, 'Picarro Output'!$J:$J, 1), "")</f>
        <v/>
      </c>
    </row>
    <row r="5576" spans="2:5" x14ac:dyDescent="0.45">
      <c r="B5576" s="1"/>
      <c r="E5576" s="45" t="str">
        <f>IFERROR(AVERAGEIFS('Picarro Output'!G:G, 'Picarro Output'!$B:$B, 'Uncalibrated Data'!$C5576, 'Picarro Output'!$I:$I, 0, 'Picarro Output'!$J:$J, 1), "")</f>
        <v/>
      </c>
    </row>
    <row r="5577" spans="2:5" x14ac:dyDescent="0.45">
      <c r="B5577" s="1"/>
      <c r="E5577" s="45" t="str">
        <f>IFERROR(AVERAGEIFS('Picarro Output'!G:G, 'Picarro Output'!$B:$B, 'Uncalibrated Data'!$C5577, 'Picarro Output'!$I:$I, 0, 'Picarro Output'!$J:$J, 1), "")</f>
        <v/>
      </c>
    </row>
    <row r="5578" spans="2:5" x14ac:dyDescent="0.45">
      <c r="B5578" s="1"/>
      <c r="E5578" s="45" t="str">
        <f>IFERROR(AVERAGEIFS('Picarro Output'!G:G, 'Picarro Output'!$B:$B, 'Uncalibrated Data'!$C5578, 'Picarro Output'!$I:$I, 0, 'Picarro Output'!$J:$J, 1), "")</f>
        <v/>
      </c>
    </row>
    <row r="5579" spans="2:5" x14ac:dyDescent="0.45">
      <c r="B5579" s="1"/>
      <c r="E5579" s="45" t="str">
        <f>IFERROR(AVERAGEIFS('Picarro Output'!G:G, 'Picarro Output'!$B:$B, 'Uncalibrated Data'!$C5579, 'Picarro Output'!$I:$I, 0, 'Picarro Output'!$J:$J, 1), "")</f>
        <v/>
      </c>
    </row>
    <row r="5580" spans="2:5" x14ac:dyDescent="0.45">
      <c r="B5580" s="1"/>
      <c r="E5580" s="45" t="str">
        <f>IFERROR(AVERAGEIFS('Picarro Output'!G:G, 'Picarro Output'!$B:$B, 'Uncalibrated Data'!$C5580, 'Picarro Output'!$I:$I, 0, 'Picarro Output'!$J:$J, 1), "")</f>
        <v/>
      </c>
    </row>
    <row r="5581" spans="2:5" x14ac:dyDescent="0.45">
      <c r="B5581" s="1"/>
      <c r="E5581" s="45" t="str">
        <f>IFERROR(AVERAGEIFS('Picarro Output'!G:G, 'Picarro Output'!$B:$B, 'Uncalibrated Data'!$C5581, 'Picarro Output'!$I:$I, 0, 'Picarro Output'!$J:$J, 1), "")</f>
        <v/>
      </c>
    </row>
    <row r="5582" spans="2:5" x14ac:dyDescent="0.45">
      <c r="B5582" s="1"/>
      <c r="E5582" s="45" t="str">
        <f>IFERROR(AVERAGEIFS('Picarro Output'!G:G, 'Picarro Output'!$B:$B, 'Uncalibrated Data'!$C5582, 'Picarro Output'!$I:$I, 0, 'Picarro Output'!$J:$J, 1), "")</f>
        <v/>
      </c>
    </row>
    <row r="5583" spans="2:5" x14ac:dyDescent="0.45">
      <c r="B5583" s="1"/>
      <c r="E5583" s="45" t="str">
        <f>IFERROR(AVERAGEIFS('Picarro Output'!G:G, 'Picarro Output'!$B:$B, 'Uncalibrated Data'!$C5583, 'Picarro Output'!$I:$I, 0, 'Picarro Output'!$J:$J, 1), "")</f>
        <v/>
      </c>
    </row>
    <row r="5584" spans="2:5" x14ac:dyDescent="0.45">
      <c r="B5584" s="1"/>
      <c r="E5584" s="45" t="str">
        <f>IFERROR(AVERAGEIFS('Picarro Output'!G:G, 'Picarro Output'!$B:$B, 'Uncalibrated Data'!$C5584, 'Picarro Output'!$I:$I, 0, 'Picarro Output'!$J:$J, 1), "")</f>
        <v/>
      </c>
    </row>
    <row r="5585" spans="2:5" x14ac:dyDescent="0.45">
      <c r="B5585" s="1"/>
      <c r="E5585" s="45" t="str">
        <f>IFERROR(AVERAGEIFS('Picarro Output'!G:G, 'Picarro Output'!$B:$B, 'Uncalibrated Data'!$C5585, 'Picarro Output'!$I:$I, 0, 'Picarro Output'!$J:$J, 1), "")</f>
        <v/>
      </c>
    </row>
    <row r="5586" spans="2:5" x14ac:dyDescent="0.45">
      <c r="B5586" s="1"/>
      <c r="E5586" s="45" t="str">
        <f>IFERROR(AVERAGEIFS('Picarro Output'!G:G, 'Picarro Output'!$B:$B, 'Uncalibrated Data'!$C5586, 'Picarro Output'!$I:$I, 0, 'Picarro Output'!$J:$J, 1), "")</f>
        <v/>
      </c>
    </row>
    <row r="5587" spans="2:5" x14ac:dyDescent="0.45">
      <c r="B5587" s="1"/>
      <c r="E5587" s="45" t="str">
        <f>IFERROR(AVERAGEIFS('Picarro Output'!G:G, 'Picarro Output'!$B:$B, 'Uncalibrated Data'!$C5587, 'Picarro Output'!$I:$I, 0, 'Picarro Output'!$J:$J, 1), "")</f>
        <v/>
      </c>
    </row>
    <row r="5588" spans="2:5" x14ac:dyDescent="0.45">
      <c r="B5588" s="1"/>
      <c r="E5588" s="45" t="str">
        <f>IFERROR(AVERAGEIFS('Picarro Output'!G:G, 'Picarro Output'!$B:$B, 'Uncalibrated Data'!$C5588, 'Picarro Output'!$I:$I, 0, 'Picarro Output'!$J:$J, 1), "")</f>
        <v/>
      </c>
    </row>
    <row r="5589" spans="2:5" x14ac:dyDescent="0.45">
      <c r="B5589" s="1"/>
      <c r="E5589" s="45" t="str">
        <f>IFERROR(AVERAGEIFS('Picarro Output'!G:G, 'Picarro Output'!$B:$B, 'Uncalibrated Data'!$C5589, 'Picarro Output'!$I:$I, 0, 'Picarro Output'!$J:$J, 1), "")</f>
        <v/>
      </c>
    </row>
    <row r="5590" spans="2:5" x14ac:dyDescent="0.45">
      <c r="B5590" s="1"/>
      <c r="E5590" s="45" t="str">
        <f>IFERROR(AVERAGEIFS('Picarro Output'!G:G, 'Picarro Output'!$B:$B, 'Uncalibrated Data'!$C5590, 'Picarro Output'!$I:$I, 0, 'Picarro Output'!$J:$J, 1), "")</f>
        <v/>
      </c>
    </row>
    <row r="5591" spans="2:5" x14ac:dyDescent="0.45">
      <c r="B5591" s="1"/>
      <c r="E5591" s="45" t="str">
        <f>IFERROR(AVERAGEIFS('Picarro Output'!G:G, 'Picarro Output'!$B:$B, 'Uncalibrated Data'!$C5591, 'Picarro Output'!$I:$I, 0, 'Picarro Output'!$J:$J, 1), "")</f>
        <v/>
      </c>
    </row>
    <row r="5592" spans="2:5" x14ac:dyDescent="0.45">
      <c r="B5592" s="1"/>
      <c r="E5592" s="45" t="str">
        <f>IFERROR(AVERAGEIFS('Picarro Output'!G:G, 'Picarro Output'!$B:$B, 'Uncalibrated Data'!$C5592, 'Picarro Output'!$I:$I, 0, 'Picarro Output'!$J:$J, 1), "")</f>
        <v/>
      </c>
    </row>
    <row r="5593" spans="2:5" x14ac:dyDescent="0.45">
      <c r="B5593" s="1"/>
      <c r="E5593" s="45" t="str">
        <f>IFERROR(AVERAGEIFS('Picarro Output'!G:G, 'Picarro Output'!$B:$B, 'Uncalibrated Data'!$C5593, 'Picarro Output'!$I:$I, 0, 'Picarro Output'!$J:$J, 1), "")</f>
        <v/>
      </c>
    </row>
    <row r="5594" spans="2:5" x14ac:dyDescent="0.45">
      <c r="B5594" s="1"/>
      <c r="E5594" s="45" t="str">
        <f>IFERROR(AVERAGEIFS('Picarro Output'!G:G, 'Picarro Output'!$B:$B, 'Uncalibrated Data'!$C5594, 'Picarro Output'!$I:$I, 0, 'Picarro Output'!$J:$J, 1), "")</f>
        <v/>
      </c>
    </row>
    <row r="5595" spans="2:5" x14ac:dyDescent="0.45">
      <c r="B5595" s="1"/>
      <c r="E5595" s="45" t="str">
        <f>IFERROR(AVERAGEIFS('Picarro Output'!G:G, 'Picarro Output'!$B:$B, 'Uncalibrated Data'!$C5595, 'Picarro Output'!$I:$I, 0, 'Picarro Output'!$J:$J, 1), "")</f>
        <v/>
      </c>
    </row>
    <row r="5596" spans="2:5" x14ac:dyDescent="0.45">
      <c r="B5596" s="1"/>
      <c r="E5596" s="45" t="str">
        <f>IFERROR(AVERAGEIFS('Picarro Output'!G:G, 'Picarro Output'!$B:$B, 'Uncalibrated Data'!$C5596, 'Picarro Output'!$I:$I, 0, 'Picarro Output'!$J:$J, 1), "")</f>
        <v/>
      </c>
    </row>
    <row r="5597" spans="2:5" x14ac:dyDescent="0.45">
      <c r="B5597" s="1"/>
      <c r="E5597" s="45" t="str">
        <f>IFERROR(AVERAGEIFS('Picarro Output'!G:G, 'Picarro Output'!$B:$B, 'Uncalibrated Data'!$C5597, 'Picarro Output'!$I:$I, 0, 'Picarro Output'!$J:$J, 1), "")</f>
        <v/>
      </c>
    </row>
    <row r="5598" spans="2:5" x14ac:dyDescent="0.45">
      <c r="B5598" s="1"/>
      <c r="E5598" s="45" t="str">
        <f>IFERROR(AVERAGEIFS('Picarro Output'!G:G, 'Picarro Output'!$B:$B, 'Uncalibrated Data'!$C5598, 'Picarro Output'!$I:$I, 0, 'Picarro Output'!$J:$J, 1), "")</f>
        <v/>
      </c>
    </row>
    <row r="5599" spans="2:5" x14ac:dyDescent="0.45">
      <c r="B5599" s="1"/>
      <c r="E5599" s="45" t="str">
        <f>IFERROR(AVERAGEIFS('Picarro Output'!G:G, 'Picarro Output'!$B:$B, 'Uncalibrated Data'!$C5599, 'Picarro Output'!$I:$I, 0, 'Picarro Output'!$J:$J, 1), "")</f>
        <v/>
      </c>
    </row>
    <row r="5600" spans="2:5" x14ac:dyDescent="0.45">
      <c r="B5600" s="1"/>
      <c r="E5600" s="45" t="str">
        <f>IFERROR(AVERAGEIFS('Picarro Output'!G:G, 'Picarro Output'!$B:$B, 'Uncalibrated Data'!$C5600, 'Picarro Output'!$I:$I, 0, 'Picarro Output'!$J:$J, 1), "")</f>
        <v/>
      </c>
    </row>
    <row r="5601" spans="2:5" x14ac:dyDescent="0.45">
      <c r="B5601" s="1"/>
      <c r="E5601" s="45" t="str">
        <f>IFERROR(AVERAGEIFS('Picarro Output'!G:G, 'Picarro Output'!$B:$B, 'Uncalibrated Data'!$C5601, 'Picarro Output'!$I:$I, 0, 'Picarro Output'!$J:$J, 1), "")</f>
        <v/>
      </c>
    </row>
    <row r="5602" spans="2:5" x14ac:dyDescent="0.45">
      <c r="B5602" s="1"/>
      <c r="E5602" s="45" t="str">
        <f>IFERROR(AVERAGEIFS('Picarro Output'!G:G, 'Picarro Output'!$B:$B, 'Uncalibrated Data'!$C5602, 'Picarro Output'!$I:$I, 0, 'Picarro Output'!$J:$J, 1), "")</f>
        <v/>
      </c>
    </row>
    <row r="5603" spans="2:5" x14ac:dyDescent="0.45">
      <c r="B5603" s="1"/>
      <c r="E5603" s="45" t="str">
        <f>IFERROR(AVERAGEIFS('Picarro Output'!G:G, 'Picarro Output'!$B:$B, 'Uncalibrated Data'!$C5603, 'Picarro Output'!$I:$I, 0, 'Picarro Output'!$J:$J, 1), "")</f>
        <v/>
      </c>
    </row>
    <row r="5604" spans="2:5" x14ac:dyDescent="0.45">
      <c r="B5604" s="1"/>
      <c r="E5604" s="45" t="str">
        <f>IFERROR(AVERAGEIFS('Picarro Output'!G:G, 'Picarro Output'!$B:$B, 'Uncalibrated Data'!$C5604, 'Picarro Output'!$I:$I, 0, 'Picarro Output'!$J:$J, 1), "")</f>
        <v/>
      </c>
    </row>
    <row r="5605" spans="2:5" x14ac:dyDescent="0.45">
      <c r="B5605" s="1"/>
      <c r="E5605" s="45" t="str">
        <f>IFERROR(AVERAGEIFS('Picarro Output'!G:G, 'Picarro Output'!$B:$B, 'Uncalibrated Data'!$C5605, 'Picarro Output'!$I:$I, 0, 'Picarro Output'!$J:$J, 1), "")</f>
        <v/>
      </c>
    </row>
    <row r="5606" spans="2:5" x14ac:dyDescent="0.45">
      <c r="B5606" s="1"/>
      <c r="E5606" s="45" t="str">
        <f>IFERROR(AVERAGEIFS('Picarro Output'!G:G, 'Picarro Output'!$B:$B, 'Uncalibrated Data'!$C5606, 'Picarro Output'!$I:$I, 0, 'Picarro Output'!$J:$J, 1), "")</f>
        <v/>
      </c>
    </row>
    <row r="5607" spans="2:5" x14ac:dyDescent="0.45">
      <c r="B5607" s="1"/>
      <c r="E5607" s="45" t="str">
        <f>IFERROR(AVERAGEIFS('Picarro Output'!G:G, 'Picarro Output'!$B:$B, 'Uncalibrated Data'!$C5607, 'Picarro Output'!$I:$I, 0, 'Picarro Output'!$J:$J, 1), "")</f>
        <v/>
      </c>
    </row>
    <row r="5608" spans="2:5" x14ac:dyDescent="0.45">
      <c r="B5608" s="1"/>
      <c r="E5608" s="45" t="str">
        <f>IFERROR(AVERAGEIFS('Picarro Output'!G:G, 'Picarro Output'!$B:$B, 'Uncalibrated Data'!$C5608, 'Picarro Output'!$I:$I, 0, 'Picarro Output'!$J:$J, 1), "")</f>
        <v/>
      </c>
    </row>
    <row r="5609" spans="2:5" x14ac:dyDescent="0.45">
      <c r="B5609" s="1"/>
      <c r="E5609" s="45" t="str">
        <f>IFERROR(AVERAGEIFS('Picarro Output'!G:G, 'Picarro Output'!$B:$B, 'Uncalibrated Data'!$C5609, 'Picarro Output'!$I:$I, 0, 'Picarro Output'!$J:$J, 1), "")</f>
        <v/>
      </c>
    </row>
    <row r="5610" spans="2:5" x14ac:dyDescent="0.45">
      <c r="B5610" s="1"/>
      <c r="E5610" s="45" t="str">
        <f>IFERROR(AVERAGEIFS('Picarro Output'!G:G, 'Picarro Output'!$B:$B, 'Uncalibrated Data'!$C5610, 'Picarro Output'!$I:$I, 0, 'Picarro Output'!$J:$J, 1), "")</f>
        <v/>
      </c>
    </row>
    <row r="5611" spans="2:5" x14ac:dyDescent="0.45">
      <c r="B5611" s="1"/>
      <c r="E5611" s="45" t="str">
        <f>IFERROR(AVERAGEIFS('Picarro Output'!G:G, 'Picarro Output'!$B:$B, 'Uncalibrated Data'!$C5611, 'Picarro Output'!$I:$I, 0, 'Picarro Output'!$J:$J, 1), "")</f>
        <v/>
      </c>
    </row>
    <row r="5612" spans="2:5" x14ac:dyDescent="0.45">
      <c r="B5612" s="1"/>
      <c r="E5612" s="45" t="str">
        <f>IFERROR(AVERAGEIFS('Picarro Output'!G:G, 'Picarro Output'!$B:$B, 'Uncalibrated Data'!$C5612, 'Picarro Output'!$I:$I, 0, 'Picarro Output'!$J:$J, 1), "")</f>
        <v/>
      </c>
    </row>
    <row r="5613" spans="2:5" x14ac:dyDescent="0.45">
      <c r="B5613" s="1"/>
      <c r="E5613" s="45" t="str">
        <f>IFERROR(AVERAGEIFS('Picarro Output'!G:G, 'Picarro Output'!$B:$B, 'Uncalibrated Data'!$C5613, 'Picarro Output'!$I:$I, 0, 'Picarro Output'!$J:$J, 1), "")</f>
        <v/>
      </c>
    </row>
    <row r="5614" spans="2:5" x14ac:dyDescent="0.45">
      <c r="B5614" s="1"/>
      <c r="E5614" s="45" t="str">
        <f>IFERROR(AVERAGEIFS('Picarro Output'!G:G, 'Picarro Output'!$B:$B, 'Uncalibrated Data'!$C5614, 'Picarro Output'!$I:$I, 0, 'Picarro Output'!$J:$J, 1), "")</f>
        <v/>
      </c>
    </row>
    <row r="5615" spans="2:5" x14ac:dyDescent="0.45">
      <c r="B5615" s="1"/>
      <c r="E5615" s="45" t="str">
        <f>IFERROR(AVERAGEIFS('Picarro Output'!G:G, 'Picarro Output'!$B:$B, 'Uncalibrated Data'!$C5615, 'Picarro Output'!$I:$I, 0, 'Picarro Output'!$J:$J, 1), "")</f>
        <v/>
      </c>
    </row>
    <row r="5616" spans="2:5" x14ac:dyDescent="0.45">
      <c r="B5616" s="1"/>
      <c r="E5616" s="45" t="str">
        <f>IFERROR(AVERAGEIFS('Picarro Output'!G:G, 'Picarro Output'!$B:$B, 'Uncalibrated Data'!$C5616, 'Picarro Output'!$I:$I, 0, 'Picarro Output'!$J:$J, 1), "")</f>
        <v/>
      </c>
    </row>
    <row r="5617" spans="2:5" x14ac:dyDescent="0.45">
      <c r="B5617" s="1"/>
      <c r="E5617" s="45" t="str">
        <f>IFERROR(AVERAGEIFS('Picarro Output'!G:G, 'Picarro Output'!$B:$B, 'Uncalibrated Data'!$C5617, 'Picarro Output'!$I:$I, 0, 'Picarro Output'!$J:$J, 1), "")</f>
        <v/>
      </c>
    </row>
    <row r="5618" spans="2:5" x14ac:dyDescent="0.45">
      <c r="B5618" s="1"/>
      <c r="E5618" s="45" t="str">
        <f>IFERROR(AVERAGEIFS('Picarro Output'!G:G, 'Picarro Output'!$B:$B, 'Uncalibrated Data'!$C5618, 'Picarro Output'!$I:$I, 0, 'Picarro Output'!$J:$J, 1), "")</f>
        <v/>
      </c>
    </row>
    <row r="5619" spans="2:5" x14ac:dyDescent="0.45">
      <c r="B5619" s="1"/>
      <c r="E5619" s="45" t="str">
        <f>IFERROR(AVERAGEIFS('Picarro Output'!G:G, 'Picarro Output'!$B:$B, 'Uncalibrated Data'!$C5619, 'Picarro Output'!$I:$I, 0, 'Picarro Output'!$J:$J, 1), "")</f>
        <v/>
      </c>
    </row>
    <row r="5620" spans="2:5" x14ac:dyDescent="0.45">
      <c r="B5620" s="1"/>
      <c r="E5620" s="45" t="str">
        <f>IFERROR(AVERAGEIFS('Picarro Output'!G:G, 'Picarro Output'!$B:$B, 'Uncalibrated Data'!$C5620, 'Picarro Output'!$I:$I, 0, 'Picarro Output'!$J:$J, 1), "")</f>
        <v/>
      </c>
    </row>
    <row r="5621" spans="2:5" x14ac:dyDescent="0.45">
      <c r="B5621" s="1"/>
      <c r="E5621" s="45" t="str">
        <f>IFERROR(AVERAGEIFS('Picarro Output'!G:G, 'Picarro Output'!$B:$B, 'Uncalibrated Data'!$C5621, 'Picarro Output'!$I:$I, 0, 'Picarro Output'!$J:$J, 1), "")</f>
        <v/>
      </c>
    </row>
    <row r="5622" spans="2:5" x14ac:dyDescent="0.45">
      <c r="B5622" s="1"/>
      <c r="E5622" s="45" t="str">
        <f>IFERROR(AVERAGEIFS('Picarro Output'!G:G, 'Picarro Output'!$B:$B, 'Uncalibrated Data'!$C5622, 'Picarro Output'!$I:$I, 0, 'Picarro Output'!$J:$J, 1), "")</f>
        <v/>
      </c>
    </row>
    <row r="5623" spans="2:5" x14ac:dyDescent="0.45">
      <c r="B5623" s="1"/>
      <c r="E5623" s="45" t="str">
        <f>IFERROR(AVERAGEIFS('Picarro Output'!G:G, 'Picarro Output'!$B:$B, 'Uncalibrated Data'!$C5623, 'Picarro Output'!$I:$I, 0, 'Picarro Output'!$J:$J, 1), "")</f>
        <v/>
      </c>
    </row>
    <row r="5624" spans="2:5" x14ac:dyDescent="0.45">
      <c r="B5624" s="1"/>
      <c r="E5624" s="45" t="str">
        <f>IFERROR(AVERAGEIFS('Picarro Output'!G:G, 'Picarro Output'!$B:$B, 'Uncalibrated Data'!$C5624, 'Picarro Output'!$I:$I, 0, 'Picarro Output'!$J:$J, 1), "")</f>
        <v/>
      </c>
    </row>
    <row r="5625" spans="2:5" x14ac:dyDescent="0.45">
      <c r="B5625" s="1"/>
      <c r="E5625" s="45" t="str">
        <f>IFERROR(AVERAGEIFS('Picarro Output'!G:G, 'Picarro Output'!$B:$B, 'Uncalibrated Data'!$C5625, 'Picarro Output'!$I:$I, 0, 'Picarro Output'!$J:$J, 1), "")</f>
        <v/>
      </c>
    </row>
    <row r="5626" spans="2:5" x14ac:dyDescent="0.45">
      <c r="B5626" s="1"/>
      <c r="E5626" s="45" t="str">
        <f>IFERROR(AVERAGEIFS('Picarro Output'!G:G, 'Picarro Output'!$B:$B, 'Uncalibrated Data'!$C5626, 'Picarro Output'!$I:$I, 0, 'Picarro Output'!$J:$J, 1), "")</f>
        <v/>
      </c>
    </row>
    <row r="5627" spans="2:5" x14ac:dyDescent="0.45">
      <c r="B5627" s="1"/>
      <c r="E5627" s="45" t="str">
        <f>IFERROR(AVERAGEIFS('Picarro Output'!G:G, 'Picarro Output'!$B:$B, 'Uncalibrated Data'!$C5627, 'Picarro Output'!$I:$I, 0, 'Picarro Output'!$J:$J, 1), "")</f>
        <v/>
      </c>
    </row>
    <row r="5628" spans="2:5" x14ac:dyDescent="0.45">
      <c r="B5628" s="1"/>
      <c r="E5628" s="45" t="str">
        <f>IFERROR(AVERAGEIFS('Picarro Output'!G:G, 'Picarro Output'!$B:$B, 'Uncalibrated Data'!$C5628, 'Picarro Output'!$I:$I, 0, 'Picarro Output'!$J:$J, 1), "")</f>
        <v/>
      </c>
    </row>
    <row r="5629" spans="2:5" x14ac:dyDescent="0.45">
      <c r="B5629" s="1"/>
      <c r="E5629" s="45" t="str">
        <f>IFERROR(AVERAGEIFS('Picarro Output'!G:G, 'Picarro Output'!$B:$B, 'Uncalibrated Data'!$C5629, 'Picarro Output'!$I:$I, 0, 'Picarro Output'!$J:$J, 1), "")</f>
        <v/>
      </c>
    </row>
    <row r="5630" spans="2:5" x14ac:dyDescent="0.45">
      <c r="B5630" s="1"/>
      <c r="E5630" s="45" t="str">
        <f>IFERROR(AVERAGEIFS('Picarro Output'!G:G, 'Picarro Output'!$B:$B, 'Uncalibrated Data'!$C5630, 'Picarro Output'!$I:$I, 0, 'Picarro Output'!$J:$J, 1), "")</f>
        <v/>
      </c>
    </row>
    <row r="5631" spans="2:5" x14ac:dyDescent="0.45">
      <c r="B5631" s="1"/>
      <c r="E5631" s="45" t="str">
        <f>IFERROR(AVERAGEIFS('Picarro Output'!G:G, 'Picarro Output'!$B:$B, 'Uncalibrated Data'!$C5631, 'Picarro Output'!$I:$I, 0, 'Picarro Output'!$J:$J, 1), "")</f>
        <v/>
      </c>
    </row>
    <row r="5632" spans="2:5" x14ac:dyDescent="0.45">
      <c r="B5632" s="1"/>
      <c r="E5632" s="45" t="str">
        <f>IFERROR(AVERAGEIFS('Picarro Output'!G:G, 'Picarro Output'!$B:$B, 'Uncalibrated Data'!$C5632, 'Picarro Output'!$I:$I, 0, 'Picarro Output'!$J:$J, 1), "")</f>
        <v/>
      </c>
    </row>
    <row r="5633" spans="2:5" x14ac:dyDescent="0.45">
      <c r="B5633" s="1"/>
      <c r="E5633" s="45" t="str">
        <f>IFERROR(AVERAGEIFS('Picarro Output'!G:G, 'Picarro Output'!$B:$B, 'Uncalibrated Data'!$C5633, 'Picarro Output'!$I:$I, 0, 'Picarro Output'!$J:$J, 1), "")</f>
        <v/>
      </c>
    </row>
    <row r="5634" spans="2:5" x14ac:dyDescent="0.45">
      <c r="B5634" s="1"/>
      <c r="E5634" s="45" t="str">
        <f>IFERROR(AVERAGEIFS('Picarro Output'!G:G, 'Picarro Output'!$B:$B, 'Uncalibrated Data'!$C5634, 'Picarro Output'!$I:$I, 0, 'Picarro Output'!$J:$J, 1), "")</f>
        <v/>
      </c>
    </row>
    <row r="5635" spans="2:5" x14ac:dyDescent="0.45">
      <c r="B5635" s="1"/>
      <c r="E5635" s="45" t="str">
        <f>IFERROR(AVERAGEIFS('Picarro Output'!G:G, 'Picarro Output'!$B:$B, 'Uncalibrated Data'!$C5635, 'Picarro Output'!$I:$I, 0, 'Picarro Output'!$J:$J, 1), "")</f>
        <v/>
      </c>
    </row>
    <row r="5636" spans="2:5" x14ac:dyDescent="0.45">
      <c r="B5636" s="1"/>
      <c r="E5636" s="45" t="str">
        <f>IFERROR(AVERAGEIFS('Picarro Output'!G:G, 'Picarro Output'!$B:$B, 'Uncalibrated Data'!$C5636, 'Picarro Output'!$I:$I, 0, 'Picarro Output'!$J:$J, 1), "")</f>
        <v/>
      </c>
    </row>
    <row r="5637" spans="2:5" x14ac:dyDescent="0.45">
      <c r="B5637" s="1"/>
      <c r="E5637" s="45" t="str">
        <f>IFERROR(AVERAGEIFS('Picarro Output'!G:G, 'Picarro Output'!$B:$B, 'Uncalibrated Data'!$C5637, 'Picarro Output'!$I:$I, 0, 'Picarro Output'!$J:$J, 1), "")</f>
        <v/>
      </c>
    </row>
    <row r="5638" spans="2:5" x14ac:dyDescent="0.45">
      <c r="B5638" s="1"/>
      <c r="E5638" s="45" t="str">
        <f>IFERROR(AVERAGEIFS('Picarro Output'!G:G, 'Picarro Output'!$B:$B, 'Uncalibrated Data'!$C5638, 'Picarro Output'!$I:$I, 0, 'Picarro Output'!$J:$J, 1), "")</f>
        <v/>
      </c>
    </row>
    <row r="5639" spans="2:5" x14ac:dyDescent="0.45">
      <c r="B5639" s="1"/>
      <c r="E5639" s="45" t="str">
        <f>IFERROR(AVERAGEIFS('Picarro Output'!G:G, 'Picarro Output'!$B:$B, 'Uncalibrated Data'!$C5639, 'Picarro Output'!$I:$I, 0, 'Picarro Output'!$J:$J, 1), "")</f>
        <v/>
      </c>
    </row>
    <row r="5640" spans="2:5" x14ac:dyDescent="0.45">
      <c r="B5640" s="1"/>
      <c r="E5640" s="45" t="str">
        <f>IFERROR(AVERAGEIFS('Picarro Output'!G:G, 'Picarro Output'!$B:$B, 'Uncalibrated Data'!$C5640, 'Picarro Output'!$I:$I, 0, 'Picarro Output'!$J:$J, 1), "")</f>
        <v/>
      </c>
    </row>
    <row r="5641" spans="2:5" x14ac:dyDescent="0.45">
      <c r="B5641" s="1"/>
      <c r="E5641" s="45" t="str">
        <f>IFERROR(AVERAGEIFS('Picarro Output'!G:G, 'Picarro Output'!$B:$B, 'Uncalibrated Data'!$C5641, 'Picarro Output'!$I:$I, 0, 'Picarro Output'!$J:$J, 1), "")</f>
        <v/>
      </c>
    </row>
    <row r="5642" spans="2:5" x14ac:dyDescent="0.45">
      <c r="B5642" s="1"/>
      <c r="E5642" s="45" t="str">
        <f>IFERROR(AVERAGEIFS('Picarro Output'!G:G, 'Picarro Output'!$B:$B, 'Uncalibrated Data'!$C5642, 'Picarro Output'!$I:$I, 0, 'Picarro Output'!$J:$J, 1), "")</f>
        <v/>
      </c>
    </row>
    <row r="5643" spans="2:5" x14ac:dyDescent="0.45">
      <c r="B5643" s="1"/>
      <c r="E5643" s="45" t="str">
        <f>IFERROR(AVERAGEIFS('Picarro Output'!G:G, 'Picarro Output'!$B:$B, 'Uncalibrated Data'!$C5643, 'Picarro Output'!$I:$I, 0, 'Picarro Output'!$J:$J, 1), "")</f>
        <v/>
      </c>
    </row>
    <row r="5644" spans="2:5" x14ac:dyDescent="0.45">
      <c r="B5644" s="1"/>
      <c r="E5644" s="45" t="str">
        <f>IFERROR(AVERAGEIFS('Picarro Output'!G:G, 'Picarro Output'!$B:$B, 'Uncalibrated Data'!$C5644, 'Picarro Output'!$I:$I, 0, 'Picarro Output'!$J:$J, 1), "")</f>
        <v/>
      </c>
    </row>
    <row r="5645" spans="2:5" x14ac:dyDescent="0.45">
      <c r="B5645" s="1"/>
      <c r="E5645" s="45" t="str">
        <f>IFERROR(AVERAGEIFS('Picarro Output'!G:G, 'Picarro Output'!$B:$B, 'Uncalibrated Data'!$C5645, 'Picarro Output'!$I:$I, 0, 'Picarro Output'!$J:$J, 1), "")</f>
        <v/>
      </c>
    </row>
    <row r="5646" spans="2:5" x14ac:dyDescent="0.45">
      <c r="B5646" s="1"/>
      <c r="E5646" s="45" t="str">
        <f>IFERROR(AVERAGEIFS('Picarro Output'!G:G, 'Picarro Output'!$B:$B, 'Uncalibrated Data'!$C5646, 'Picarro Output'!$I:$I, 0, 'Picarro Output'!$J:$J, 1), "")</f>
        <v/>
      </c>
    </row>
    <row r="5647" spans="2:5" x14ac:dyDescent="0.45">
      <c r="B5647" s="1"/>
      <c r="E5647" s="45" t="str">
        <f>IFERROR(AVERAGEIFS('Picarro Output'!G:G, 'Picarro Output'!$B:$B, 'Uncalibrated Data'!$C5647, 'Picarro Output'!$I:$I, 0, 'Picarro Output'!$J:$J, 1), "")</f>
        <v/>
      </c>
    </row>
    <row r="5648" spans="2:5" x14ac:dyDescent="0.45">
      <c r="B5648" s="1"/>
      <c r="E5648" s="45" t="str">
        <f>IFERROR(AVERAGEIFS('Picarro Output'!G:G, 'Picarro Output'!$B:$B, 'Uncalibrated Data'!$C5648, 'Picarro Output'!$I:$I, 0, 'Picarro Output'!$J:$J, 1), "")</f>
        <v/>
      </c>
    </row>
    <row r="5649" spans="2:5" x14ac:dyDescent="0.45">
      <c r="B5649" s="1"/>
      <c r="E5649" s="45" t="str">
        <f>IFERROR(AVERAGEIFS('Picarro Output'!G:G, 'Picarro Output'!$B:$B, 'Uncalibrated Data'!$C5649, 'Picarro Output'!$I:$I, 0, 'Picarro Output'!$J:$J, 1), "")</f>
        <v/>
      </c>
    </row>
    <row r="5650" spans="2:5" x14ac:dyDescent="0.45">
      <c r="B5650" s="1"/>
      <c r="E5650" s="45" t="str">
        <f>IFERROR(AVERAGEIFS('Picarro Output'!G:G, 'Picarro Output'!$B:$B, 'Uncalibrated Data'!$C5650, 'Picarro Output'!$I:$I, 0, 'Picarro Output'!$J:$J, 1), "")</f>
        <v/>
      </c>
    </row>
    <row r="5651" spans="2:5" x14ac:dyDescent="0.45">
      <c r="B5651" s="1"/>
      <c r="E5651" s="45" t="str">
        <f>IFERROR(AVERAGEIFS('Picarro Output'!G:G, 'Picarro Output'!$B:$B, 'Uncalibrated Data'!$C5651, 'Picarro Output'!$I:$I, 0, 'Picarro Output'!$J:$J, 1), "")</f>
        <v/>
      </c>
    </row>
    <row r="5652" spans="2:5" x14ac:dyDescent="0.45">
      <c r="B5652" s="1"/>
      <c r="E5652" s="45" t="str">
        <f>IFERROR(AVERAGEIFS('Picarro Output'!G:G, 'Picarro Output'!$B:$B, 'Uncalibrated Data'!$C5652, 'Picarro Output'!$I:$I, 0, 'Picarro Output'!$J:$J, 1), "")</f>
        <v/>
      </c>
    </row>
    <row r="5653" spans="2:5" x14ac:dyDescent="0.45">
      <c r="B5653" s="1"/>
      <c r="E5653" s="45" t="str">
        <f>IFERROR(AVERAGEIFS('Picarro Output'!G:G, 'Picarro Output'!$B:$B, 'Uncalibrated Data'!$C5653, 'Picarro Output'!$I:$I, 0, 'Picarro Output'!$J:$J, 1), "")</f>
        <v/>
      </c>
    </row>
    <row r="5654" spans="2:5" x14ac:dyDescent="0.45">
      <c r="B5654" s="1"/>
      <c r="E5654" s="45" t="str">
        <f>IFERROR(AVERAGEIFS('Picarro Output'!G:G, 'Picarro Output'!$B:$B, 'Uncalibrated Data'!$C5654, 'Picarro Output'!$I:$I, 0, 'Picarro Output'!$J:$J, 1), "")</f>
        <v/>
      </c>
    </row>
    <row r="5655" spans="2:5" x14ac:dyDescent="0.45">
      <c r="B5655" s="1"/>
      <c r="E5655" s="45" t="str">
        <f>IFERROR(AVERAGEIFS('Picarro Output'!G:G, 'Picarro Output'!$B:$B, 'Uncalibrated Data'!$C5655, 'Picarro Output'!$I:$I, 0, 'Picarro Output'!$J:$J, 1), "")</f>
        <v/>
      </c>
    </row>
    <row r="5656" spans="2:5" x14ac:dyDescent="0.45">
      <c r="B5656" s="1"/>
      <c r="E5656" s="45" t="str">
        <f>IFERROR(AVERAGEIFS('Picarro Output'!G:G, 'Picarro Output'!$B:$B, 'Uncalibrated Data'!$C5656, 'Picarro Output'!$I:$I, 0, 'Picarro Output'!$J:$J, 1), "")</f>
        <v/>
      </c>
    </row>
    <row r="5657" spans="2:5" x14ac:dyDescent="0.45">
      <c r="B5657" s="1"/>
      <c r="E5657" s="45" t="str">
        <f>IFERROR(AVERAGEIFS('Picarro Output'!G:G, 'Picarro Output'!$B:$B, 'Uncalibrated Data'!$C5657, 'Picarro Output'!$I:$I, 0, 'Picarro Output'!$J:$J, 1), "")</f>
        <v/>
      </c>
    </row>
    <row r="5658" spans="2:5" x14ac:dyDescent="0.45">
      <c r="B5658" s="1"/>
      <c r="E5658" s="45" t="str">
        <f>IFERROR(AVERAGEIFS('Picarro Output'!G:G, 'Picarro Output'!$B:$B, 'Uncalibrated Data'!$C5658, 'Picarro Output'!$I:$I, 0, 'Picarro Output'!$J:$J, 1), "")</f>
        <v/>
      </c>
    </row>
    <row r="5659" spans="2:5" x14ac:dyDescent="0.45">
      <c r="B5659" s="1"/>
      <c r="E5659" s="45" t="str">
        <f>IFERROR(AVERAGEIFS('Picarro Output'!G:G, 'Picarro Output'!$B:$B, 'Uncalibrated Data'!$C5659, 'Picarro Output'!$I:$I, 0, 'Picarro Output'!$J:$J, 1), "")</f>
        <v/>
      </c>
    </row>
    <row r="5660" spans="2:5" x14ac:dyDescent="0.45">
      <c r="B5660" s="1"/>
      <c r="E5660" s="45" t="str">
        <f>IFERROR(AVERAGEIFS('Picarro Output'!G:G, 'Picarro Output'!$B:$B, 'Uncalibrated Data'!$C5660, 'Picarro Output'!$I:$I, 0, 'Picarro Output'!$J:$J, 1), "")</f>
        <v/>
      </c>
    </row>
    <row r="5661" spans="2:5" x14ac:dyDescent="0.45">
      <c r="B5661" s="1"/>
      <c r="E5661" s="45" t="str">
        <f>IFERROR(AVERAGEIFS('Picarro Output'!G:G, 'Picarro Output'!$B:$B, 'Uncalibrated Data'!$C5661, 'Picarro Output'!$I:$I, 0, 'Picarro Output'!$J:$J, 1), "")</f>
        <v/>
      </c>
    </row>
    <row r="5662" spans="2:5" x14ac:dyDescent="0.45">
      <c r="B5662" s="1"/>
      <c r="E5662" s="45" t="str">
        <f>IFERROR(AVERAGEIFS('Picarro Output'!G:G, 'Picarro Output'!$B:$B, 'Uncalibrated Data'!$C5662, 'Picarro Output'!$I:$I, 0, 'Picarro Output'!$J:$J, 1), "")</f>
        <v/>
      </c>
    </row>
    <row r="5663" spans="2:5" x14ac:dyDescent="0.45">
      <c r="B5663" s="1"/>
      <c r="E5663" s="45" t="str">
        <f>IFERROR(AVERAGEIFS('Picarro Output'!G:G, 'Picarro Output'!$B:$B, 'Uncalibrated Data'!$C5663, 'Picarro Output'!$I:$I, 0, 'Picarro Output'!$J:$J, 1), "")</f>
        <v/>
      </c>
    </row>
    <row r="5664" spans="2:5" x14ac:dyDescent="0.45">
      <c r="B5664" s="1"/>
      <c r="E5664" s="45" t="str">
        <f>IFERROR(AVERAGEIFS('Picarro Output'!G:G, 'Picarro Output'!$B:$B, 'Uncalibrated Data'!$C5664, 'Picarro Output'!$I:$I, 0, 'Picarro Output'!$J:$J, 1), "")</f>
        <v/>
      </c>
    </row>
    <row r="5665" spans="2:5" x14ac:dyDescent="0.45">
      <c r="B5665" s="1"/>
      <c r="E5665" s="45" t="str">
        <f>IFERROR(AVERAGEIFS('Picarro Output'!G:G, 'Picarro Output'!$B:$B, 'Uncalibrated Data'!$C5665, 'Picarro Output'!$I:$I, 0, 'Picarro Output'!$J:$J, 1), "")</f>
        <v/>
      </c>
    </row>
    <row r="5666" spans="2:5" x14ac:dyDescent="0.45">
      <c r="B5666" s="1"/>
      <c r="E5666" s="45" t="str">
        <f>IFERROR(AVERAGEIFS('Picarro Output'!G:G, 'Picarro Output'!$B:$B, 'Uncalibrated Data'!$C5666, 'Picarro Output'!$I:$I, 0, 'Picarro Output'!$J:$J, 1), "")</f>
        <v/>
      </c>
    </row>
    <row r="5667" spans="2:5" x14ac:dyDescent="0.45">
      <c r="B5667" s="1"/>
      <c r="E5667" s="45" t="str">
        <f>IFERROR(AVERAGEIFS('Picarro Output'!G:G, 'Picarro Output'!$B:$B, 'Uncalibrated Data'!$C5667, 'Picarro Output'!$I:$I, 0, 'Picarro Output'!$J:$J, 1), "")</f>
        <v/>
      </c>
    </row>
    <row r="5668" spans="2:5" x14ac:dyDescent="0.45">
      <c r="B5668" s="1"/>
      <c r="E5668" s="45" t="str">
        <f>IFERROR(AVERAGEIFS('Picarro Output'!G:G, 'Picarro Output'!$B:$B, 'Uncalibrated Data'!$C5668, 'Picarro Output'!$I:$I, 0, 'Picarro Output'!$J:$J, 1), "")</f>
        <v/>
      </c>
    </row>
    <row r="5669" spans="2:5" x14ac:dyDescent="0.45">
      <c r="B5669" s="1"/>
      <c r="E5669" s="45" t="str">
        <f>IFERROR(AVERAGEIFS('Picarro Output'!G:G, 'Picarro Output'!$B:$B, 'Uncalibrated Data'!$C5669, 'Picarro Output'!$I:$I, 0, 'Picarro Output'!$J:$J, 1), "")</f>
        <v/>
      </c>
    </row>
    <row r="5670" spans="2:5" x14ac:dyDescent="0.45">
      <c r="B5670" s="1"/>
      <c r="E5670" s="45" t="str">
        <f>IFERROR(AVERAGEIFS('Picarro Output'!G:G, 'Picarro Output'!$B:$B, 'Uncalibrated Data'!$C5670, 'Picarro Output'!$I:$I, 0, 'Picarro Output'!$J:$J, 1), "")</f>
        <v/>
      </c>
    </row>
    <row r="5671" spans="2:5" x14ac:dyDescent="0.45">
      <c r="B5671" s="1"/>
      <c r="E5671" s="45" t="str">
        <f>IFERROR(AVERAGEIFS('Picarro Output'!G:G, 'Picarro Output'!$B:$B, 'Uncalibrated Data'!$C5671, 'Picarro Output'!$I:$I, 0, 'Picarro Output'!$J:$J, 1), "")</f>
        <v/>
      </c>
    </row>
    <row r="5672" spans="2:5" x14ac:dyDescent="0.45">
      <c r="B5672" s="1"/>
      <c r="E5672" s="45" t="str">
        <f>IFERROR(AVERAGEIFS('Picarro Output'!G:G, 'Picarro Output'!$B:$B, 'Uncalibrated Data'!$C5672, 'Picarro Output'!$I:$I, 0, 'Picarro Output'!$J:$J, 1), "")</f>
        <v/>
      </c>
    </row>
    <row r="5673" spans="2:5" x14ac:dyDescent="0.45">
      <c r="B5673" s="1"/>
      <c r="E5673" s="45" t="str">
        <f>IFERROR(AVERAGEIFS('Picarro Output'!G:G, 'Picarro Output'!$B:$B, 'Uncalibrated Data'!$C5673, 'Picarro Output'!$I:$I, 0, 'Picarro Output'!$J:$J, 1), "")</f>
        <v/>
      </c>
    </row>
    <row r="5674" spans="2:5" x14ac:dyDescent="0.45">
      <c r="B5674" s="1"/>
      <c r="E5674" s="45" t="str">
        <f>IFERROR(AVERAGEIFS('Picarro Output'!G:G, 'Picarro Output'!$B:$B, 'Uncalibrated Data'!$C5674, 'Picarro Output'!$I:$I, 0, 'Picarro Output'!$J:$J, 1), "")</f>
        <v/>
      </c>
    </row>
    <row r="5675" spans="2:5" x14ac:dyDescent="0.45">
      <c r="B5675" s="1"/>
      <c r="E5675" s="45" t="str">
        <f>IFERROR(AVERAGEIFS('Picarro Output'!G:G, 'Picarro Output'!$B:$B, 'Uncalibrated Data'!$C5675, 'Picarro Output'!$I:$I, 0, 'Picarro Output'!$J:$J, 1), "")</f>
        <v/>
      </c>
    </row>
    <row r="5676" spans="2:5" x14ac:dyDescent="0.45">
      <c r="B5676" s="1"/>
      <c r="E5676" s="45" t="str">
        <f>IFERROR(AVERAGEIFS('Picarro Output'!G:G, 'Picarro Output'!$B:$B, 'Uncalibrated Data'!$C5676, 'Picarro Output'!$I:$I, 0, 'Picarro Output'!$J:$J, 1), "")</f>
        <v/>
      </c>
    </row>
    <row r="5677" spans="2:5" x14ac:dyDescent="0.45">
      <c r="B5677" s="1"/>
      <c r="E5677" s="45" t="str">
        <f>IFERROR(AVERAGEIFS('Picarro Output'!G:G, 'Picarro Output'!$B:$B, 'Uncalibrated Data'!$C5677, 'Picarro Output'!$I:$I, 0, 'Picarro Output'!$J:$J, 1), "")</f>
        <v/>
      </c>
    </row>
    <row r="5678" spans="2:5" x14ac:dyDescent="0.45">
      <c r="B5678" s="1"/>
      <c r="E5678" s="45" t="str">
        <f>IFERROR(AVERAGEIFS('Picarro Output'!G:G, 'Picarro Output'!$B:$B, 'Uncalibrated Data'!$C5678, 'Picarro Output'!$I:$I, 0, 'Picarro Output'!$J:$J, 1), "")</f>
        <v/>
      </c>
    </row>
    <row r="5679" spans="2:5" x14ac:dyDescent="0.45">
      <c r="B5679" s="1"/>
      <c r="E5679" s="45" t="str">
        <f>IFERROR(AVERAGEIFS('Picarro Output'!G:G, 'Picarro Output'!$B:$B, 'Uncalibrated Data'!$C5679, 'Picarro Output'!$I:$I, 0, 'Picarro Output'!$J:$J, 1), "")</f>
        <v/>
      </c>
    </row>
    <row r="5680" spans="2:5" x14ac:dyDescent="0.45">
      <c r="B5680" s="1"/>
      <c r="E5680" s="45" t="str">
        <f>IFERROR(AVERAGEIFS('Picarro Output'!G:G, 'Picarro Output'!$B:$B, 'Uncalibrated Data'!$C5680, 'Picarro Output'!$I:$I, 0, 'Picarro Output'!$J:$J, 1), "")</f>
        <v/>
      </c>
    </row>
    <row r="5681" spans="2:5" x14ac:dyDescent="0.45">
      <c r="B5681" s="1"/>
      <c r="E5681" s="45" t="str">
        <f>IFERROR(AVERAGEIFS('Picarro Output'!G:G, 'Picarro Output'!$B:$B, 'Uncalibrated Data'!$C5681, 'Picarro Output'!$I:$I, 0, 'Picarro Output'!$J:$J, 1), "")</f>
        <v/>
      </c>
    </row>
    <row r="5682" spans="2:5" x14ac:dyDescent="0.45">
      <c r="B5682" s="1"/>
      <c r="E5682" s="45" t="str">
        <f>IFERROR(AVERAGEIFS('Picarro Output'!G:G, 'Picarro Output'!$B:$B, 'Uncalibrated Data'!$C5682, 'Picarro Output'!$I:$I, 0, 'Picarro Output'!$J:$J, 1), "")</f>
        <v/>
      </c>
    </row>
    <row r="5683" spans="2:5" x14ac:dyDescent="0.45">
      <c r="B5683" s="1"/>
      <c r="E5683" s="45" t="str">
        <f>IFERROR(AVERAGEIFS('Picarro Output'!G:G, 'Picarro Output'!$B:$B, 'Uncalibrated Data'!$C5683, 'Picarro Output'!$I:$I, 0, 'Picarro Output'!$J:$J, 1), "")</f>
        <v/>
      </c>
    </row>
    <row r="5684" spans="2:5" x14ac:dyDescent="0.45">
      <c r="B5684" s="1"/>
      <c r="E5684" s="45" t="str">
        <f>IFERROR(AVERAGEIFS('Picarro Output'!G:G, 'Picarro Output'!$B:$B, 'Uncalibrated Data'!$C5684, 'Picarro Output'!$I:$I, 0, 'Picarro Output'!$J:$J, 1), "")</f>
        <v/>
      </c>
    </row>
    <row r="5685" spans="2:5" x14ac:dyDescent="0.45">
      <c r="B5685" s="1"/>
      <c r="E5685" s="45" t="str">
        <f>IFERROR(AVERAGEIFS('Picarro Output'!G:G, 'Picarro Output'!$B:$B, 'Uncalibrated Data'!$C5685, 'Picarro Output'!$I:$I, 0, 'Picarro Output'!$J:$J, 1), "")</f>
        <v/>
      </c>
    </row>
    <row r="5686" spans="2:5" x14ac:dyDescent="0.45">
      <c r="B5686" s="1"/>
      <c r="E5686" s="45" t="str">
        <f>IFERROR(AVERAGEIFS('Picarro Output'!G:G, 'Picarro Output'!$B:$B, 'Uncalibrated Data'!$C5686, 'Picarro Output'!$I:$I, 0, 'Picarro Output'!$J:$J, 1), "")</f>
        <v/>
      </c>
    </row>
    <row r="5687" spans="2:5" x14ac:dyDescent="0.45">
      <c r="B5687" s="1"/>
      <c r="E5687" s="45" t="str">
        <f>IFERROR(AVERAGEIFS('Picarro Output'!G:G, 'Picarro Output'!$B:$B, 'Uncalibrated Data'!$C5687, 'Picarro Output'!$I:$I, 0, 'Picarro Output'!$J:$J, 1), "")</f>
        <v/>
      </c>
    </row>
    <row r="5688" spans="2:5" x14ac:dyDescent="0.45">
      <c r="B5688" s="1"/>
      <c r="E5688" s="45" t="str">
        <f>IFERROR(AVERAGEIFS('Picarro Output'!G:G, 'Picarro Output'!$B:$B, 'Uncalibrated Data'!$C5688, 'Picarro Output'!$I:$I, 0, 'Picarro Output'!$J:$J, 1), "")</f>
        <v/>
      </c>
    </row>
    <row r="5689" spans="2:5" x14ac:dyDescent="0.45">
      <c r="B5689" s="1"/>
      <c r="E5689" s="45" t="str">
        <f>IFERROR(AVERAGEIFS('Picarro Output'!G:G, 'Picarro Output'!$B:$B, 'Uncalibrated Data'!$C5689, 'Picarro Output'!$I:$I, 0, 'Picarro Output'!$J:$J, 1), "")</f>
        <v/>
      </c>
    </row>
    <row r="5690" spans="2:5" x14ac:dyDescent="0.45">
      <c r="B5690" s="1"/>
      <c r="E5690" s="45" t="str">
        <f>IFERROR(AVERAGEIFS('Picarro Output'!G:G, 'Picarro Output'!$B:$B, 'Uncalibrated Data'!$C5690, 'Picarro Output'!$I:$I, 0, 'Picarro Output'!$J:$J, 1), "")</f>
        <v/>
      </c>
    </row>
    <row r="5691" spans="2:5" x14ac:dyDescent="0.45">
      <c r="B5691" s="1"/>
      <c r="E5691" s="45" t="str">
        <f>IFERROR(AVERAGEIFS('Picarro Output'!G:G, 'Picarro Output'!$B:$B, 'Uncalibrated Data'!$C5691, 'Picarro Output'!$I:$I, 0, 'Picarro Output'!$J:$J, 1), "")</f>
        <v/>
      </c>
    </row>
    <row r="5692" spans="2:5" x14ac:dyDescent="0.45">
      <c r="B5692" s="1"/>
      <c r="E5692" s="45" t="str">
        <f>IFERROR(AVERAGEIFS('Picarro Output'!G:G, 'Picarro Output'!$B:$B, 'Uncalibrated Data'!$C5692, 'Picarro Output'!$I:$I, 0, 'Picarro Output'!$J:$J, 1), "")</f>
        <v/>
      </c>
    </row>
    <row r="5693" spans="2:5" x14ac:dyDescent="0.45">
      <c r="B5693" s="1"/>
      <c r="E5693" s="45" t="str">
        <f>IFERROR(AVERAGEIFS('Picarro Output'!G:G, 'Picarro Output'!$B:$B, 'Uncalibrated Data'!$C5693, 'Picarro Output'!$I:$I, 0, 'Picarro Output'!$J:$J, 1), "")</f>
        <v/>
      </c>
    </row>
    <row r="5694" spans="2:5" x14ac:dyDescent="0.45">
      <c r="B5694" s="1"/>
      <c r="E5694" s="45" t="str">
        <f>IFERROR(AVERAGEIFS('Picarro Output'!G:G, 'Picarro Output'!$B:$B, 'Uncalibrated Data'!$C5694, 'Picarro Output'!$I:$I, 0, 'Picarro Output'!$J:$J, 1), "")</f>
        <v/>
      </c>
    </row>
    <row r="5695" spans="2:5" x14ac:dyDescent="0.45">
      <c r="B5695" s="1"/>
      <c r="E5695" s="45" t="str">
        <f>IFERROR(AVERAGEIFS('Picarro Output'!G:G, 'Picarro Output'!$B:$B, 'Uncalibrated Data'!$C5695, 'Picarro Output'!$I:$I, 0, 'Picarro Output'!$J:$J, 1), "")</f>
        <v/>
      </c>
    </row>
    <row r="5696" spans="2:5" x14ac:dyDescent="0.45">
      <c r="B5696" s="1"/>
      <c r="E5696" s="45" t="str">
        <f>IFERROR(AVERAGEIFS('Picarro Output'!G:G, 'Picarro Output'!$B:$B, 'Uncalibrated Data'!$C5696, 'Picarro Output'!$I:$I, 0, 'Picarro Output'!$J:$J, 1), "")</f>
        <v/>
      </c>
    </row>
    <row r="5697" spans="2:5" x14ac:dyDescent="0.45">
      <c r="B5697" s="1"/>
      <c r="E5697" s="45" t="str">
        <f>IFERROR(AVERAGEIFS('Picarro Output'!G:G, 'Picarro Output'!$B:$B, 'Uncalibrated Data'!$C5697, 'Picarro Output'!$I:$I, 0, 'Picarro Output'!$J:$J, 1), "")</f>
        <v/>
      </c>
    </row>
    <row r="5698" spans="2:5" x14ac:dyDescent="0.45">
      <c r="B5698" s="1"/>
      <c r="E5698" s="45" t="str">
        <f>IFERROR(AVERAGEIFS('Picarro Output'!G:G, 'Picarro Output'!$B:$B, 'Uncalibrated Data'!$C5698, 'Picarro Output'!$I:$I, 0, 'Picarro Output'!$J:$J, 1), "")</f>
        <v/>
      </c>
    </row>
    <row r="5699" spans="2:5" x14ac:dyDescent="0.45">
      <c r="B5699" s="1"/>
      <c r="E5699" s="45" t="str">
        <f>IFERROR(AVERAGEIFS('Picarro Output'!G:G, 'Picarro Output'!$B:$B, 'Uncalibrated Data'!$C5699, 'Picarro Output'!$I:$I, 0, 'Picarro Output'!$J:$J, 1), "")</f>
        <v/>
      </c>
    </row>
    <row r="5700" spans="2:5" x14ac:dyDescent="0.45">
      <c r="B5700" s="1"/>
      <c r="E5700" s="45" t="str">
        <f>IFERROR(AVERAGEIFS('Picarro Output'!G:G, 'Picarro Output'!$B:$B, 'Uncalibrated Data'!$C5700, 'Picarro Output'!$I:$I, 0, 'Picarro Output'!$J:$J, 1), "")</f>
        <v/>
      </c>
    </row>
    <row r="5701" spans="2:5" x14ac:dyDescent="0.45">
      <c r="B5701" s="1"/>
      <c r="E5701" s="45" t="str">
        <f>IFERROR(AVERAGEIFS('Picarro Output'!G:G, 'Picarro Output'!$B:$B, 'Uncalibrated Data'!$C5701, 'Picarro Output'!$I:$I, 0, 'Picarro Output'!$J:$J, 1), "")</f>
        <v/>
      </c>
    </row>
    <row r="5702" spans="2:5" x14ac:dyDescent="0.45">
      <c r="B5702" s="1"/>
      <c r="E5702" s="45" t="str">
        <f>IFERROR(AVERAGEIFS('Picarro Output'!G:G, 'Picarro Output'!$B:$B, 'Uncalibrated Data'!$C5702, 'Picarro Output'!$I:$I, 0, 'Picarro Output'!$J:$J, 1), "")</f>
        <v/>
      </c>
    </row>
    <row r="5703" spans="2:5" x14ac:dyDescent="0.45">
      <c r="B5703" s="1"/>
      <c r="E5703" s="45" t="str">
        <f>IFERROR(AVERAGEIFS('Picarro Output'!G:G, 'Picarro Output'!$B:$B, 'Uncalibrated Data'!$C5703, 'Picarro Output'!$I:$I, 0, 'Picarro Output'!$J:$J, 1), "")</f>
        <v/>
      </c>
    </row>
    <row r="5704" spans="2:5" x14ac:dyDescent="0.45">
      <c r="B5704" s="1"/>
      <c r="E5704" s="45" t="str">
        <f>IFERROR(AVERAGEIFS('Picarro Output'!G:G, 'Picarro Output'!$B:$B, 'Uncalibrated Data'!$C5704, 'Picarro Output'!$I:$I, 0, 'Picarro Output'!$J:$J, 1), "")</f>
        <v/>
      </c>
    </row>
    <row r="5705" spans="2:5" x14ac:dyDescent="0.45">
      <c r="B5705" s="1"/>
      <c r="E5705" s="45" t="str">
        <f>IFERROR(AVERAGEIFS('Picarro Output'!G:G, 'Picarro Output'!$B:$B, 'Uncalibrated Data'!$C5705, 'Picarro Output'!$I:$I, 0, 'Picarro Output'!$J:$J, 1), "")</f>
        <v/>
      </c>
    </row>
    <row r="5706" spans="2:5" x14ac:dyDescent="0.45">
      <c r="B5706" s="1"/>
      <c r="E5706" s="45" t="str">
        <f>IFERROR(AVERAGEIFS('Picarro Output'!G:G, 'Picarro Output'!$B:$B, 'Uncalibrated Data'!$C5706, 'Picarro Output'!$I:$I, 0, 'Picarro Output'!$J:$J, 1), "")</f>
        <v/>
      </c>
    </row>
    <row r="5707" spans="2:5" x14ac:dyDescent="0.45">
      <c r="B5707" s="1"/>
      <c r="E5707" s="45" t="str">
        <f>IFERROR(AVERAGEIFS('Picarro Output'!G:G, 'Picarro Output'!$B:$B, 'Uncalibrated Data'!$C5707, 'Picarro Output'!$I:$I, 0, 'Picarro Output'!$J:$J, 1), "")</f>
        <v/>
      </c>
    </row>
    <row r="5708" spans="2:5" x14ac:dyDescent="0.45">
      <c r="B5708" s="1"/>
      <c r="E5708" s="45" t="str">
        <f>IFERROR(AVERAGEIFS('Picarro Output'!G:G, 'Picarro Output'!$B:$B, 'Uncalibrated Data'!$C5708, 'Picarro Output'!$I:$I, 0, 'Picarro Output'!$J:$J, 1), "")</f>
        <v/>
      </c>
    </row>
    <row r="5709" spans="2:5" x14ac:dyDescent="0.45">
      <c r="B5709" s="1"/>
      <c r="E5709" s="45" t="str">
        <f>IFERROR(AVERAGEIFS('Picarro Output'!G:G, 'Picarro Output'!$B:$B, 'Uncalibrated Data'!$C5709, 'Picarro Output'!$I:$I, 0, 'Picarro Output'!$J:$J, 1), "")</f>
        <v/>
      </c>
    </row>
    <row r="5710" spans="2:5" x14ac:dyDescent="0.45">
      <c r="B5710" s="1"/>
      <c r="E5710" s="45" t="str">
        <f>IFERROR(AVERAGEIFS('Picarro Output'!G:G, 'Picarro Output'!$B:$B, 'Uncalibrated Data'!$C5710, 'Picarro Output'!$I:$I, 0, 'Picarro Output'!$J:$J, 1), "")</f>
        <v/>
      </c>
    </row>
    <row r="5711" spans="2:5" x14ac:dyDescent="0.45">
      <c r="B5711" s="1"/>
      <c r="E5711" s="45" t="str">
        <f>IFERROR(AVERAGEIFS('Picarro Output'!G:G, 'Picarro Output'!$B:$B, 'Uncalibrated Data'!$C5711, 'Picarro Output'!$I:$I, 0, 'Picarro Output'!$J:$J, 1), "")</f>
        <v/>
      </c>
    </row>
    <row r="5712" spans="2:5" x14ac:dyDescent="0.45">
      <c r="B5712" s="1"/>
      <c r="E5712" s="45" t="str">
        <f>IFERROR(AVERAGEIFS('Picarro Output'!G:G, 'Picarro Output'!$B:$B, 'Uncalibrated Data'!$C5712, 'Picarro Output'!$I:$I, 0, 'Picarro Output'!$J:$J, 1), "")</f>
        <v/>
      </c>
    </row>
    <row r="5713" spans="2:5" x14ac:dyDescent="0.45">
      <c r="B5713" s="1"/>
      <c r="E5713" s="45" t="str">
        <f>IFERROR(AVERAGEIFS('Picarro Output'!G:G, 'Picarro Output'!$B:$B, 'Uncalibrated Data'!$C5713, 'Picarro Output'!$I:$I, 0, 'Picarro Output'!$J:$J, 1), "")</f>
        <v/>
      </c>
    </row>
    <row r="5714" spans="2:5" x14ac:dyDescent="0.45">
      <c r="B5714" s="1"/>
      <c r="E5714" s="45" t="str">
        <f>IFERROR(AVERAGEIFS('Picarro Output'!G:G, 'Picarro Output'!$B:$B, 'Uncalibrated Data'!$C5714, 'Picarro Output'!$I:$I, 0, 'Picarro Output'!$J:$J, 1), "")</f>
        <v/>
      </c>
    </row>
    <row r="5715" spans="2:5" x14ac:dyDescent="0.45">
      <c r="B5715" s="1"/>
      <c r="E5715" s="45" t="str">
        <f>IFERROR(AVERAGEIFS('Picarro Output'!G:G, 'Picarro Output'!$B:$B, 'Uncalibrated Data'!$C5715, 'Picarro Output'!$I:$I, 0, 'Picarro Output'!$J:$J, 1), "")</f>
        <v/>
      </c>
    </row>
    <row r="5716" spans="2:5" x14ac:dyDescent="0.45">
      <c r="B5716" s="1"/>
      <c r="E5716" s="45" t="str">
        <f>IFERROR(AVERAGEIFS('Picarro Output'!G:G, 'Picarro Output'!$B:$B, 'Uncalibrated Data'!$C5716, 'Picarro Output'!$I:$I, 0, 'Picarro Output'!$J:$J, 1), "")</f>
        <v/>
      </c>
    </row>
    <row r="5717" spans="2:5" x14ac:dyDescent="0.45">
      <c r="B5717" s="1"/>
      <c r="E5717" s="45" t="str">
        <f>IFERROR(AVERAGEIFS('Picarro Output'!G:G, 'Picarro Output'!$B:$B, 'Uncalibrated Data'!$C5717, 'Picarro Output'!$I:$I, 0, 'Picarro Output'!$J:$J, 1), "")</f>
        <v/>
      </c>
    </row>
    <row r="5718" spans="2:5" x14ac:dyDescent="0.45">
      <c r="B5718" s="1"/>
      <c r="E5718" s="45" t="str">
        <f>IFERROR(AVERAGEIFS('Picarro Output'!G:G, 'Picarro Output'!$B:$B, 'Uncalibrated Data'!$C5718, 'Picarro Output'!$I:$I, 0, 'Picarro Output'!$J:$J, 1), "")</f>
        <v/>
      </c>
    </row>
    <row r="5719" spans="2:5" x14ac:dyDescent="0.45">
      <c r="B5719" s="1"/>
      <c r="E5719" s="45" t="str">
        <f>IFERROR(AVERAGEIFS('Picarro Output'!G:G, 'Picarro Output'!$B:$B, 'Uncalibrated Data'!$C5719, 'Picarro Output'!$I:$I, 0, 'Picarro Output'!$J:$J, 1), "")</f>
        <v/>
      </c>
    </row>
    <row r="5720" spans="2:5" x14ac:dyDescent="0.45">
      <c r="B5720" s="1"/>
      <c r="E5720" s="45" t="str">
        <f>IFERROR(AVERAGEIFS('Picarro Output'!G:G, 'Picarro Output'!$B:$B, 'Uncalibrated Data'!$C5720, 'Picarro Output'!$I:$I, 0, 'Picarro Output'!$J:$J, 1), "")</f>
        <v/>
      </c>
    </row>
    <row r="5721" spans="2:5" x14ac:dyDescent="0.45">
      <c r="B5721" s="1"/>
      <c r="E5721" s="45" t="str">
        <f>IFERROR(AVERAGEIFS('Picarro Output'!G:G, 'Picarro Output'!$B:$B, 'Uncalibrated Data'!$C5721, 'Picarro Output'!$I:$I, 0, 'Picarro Output'!$J:$J, 1), "")</f>
        <v/>
      </c>
    </row>
    <row r="5722" spans="2:5" x14ac:dyDescent="0.45">
      <c r="B5722" s="1"/>
      <c r="E5722" s="45" t="str">
        <f>IFERROR(AVERAGEIFS('Picarro Output'!G:G, 'Picarro Output'!$B:$B, 'Uncalibrated Data'!$C5722, 'Picarro Output'!$I:$I, 0, 'Picarro Output'!$J:$J, 1), "")</f>
        <v/>
      </c>
    </row>
    <row r="5723" spans="2:5" x14ac:dyDescent="0.45">
      <c r="B5723" s="1"/>
      <c r="E5723" s="45" t="str">
        <f>IFERROR(AVERAGEIFS('Picarro Output'!G:G, 'Picarro Output'!$B:$B, 'Uncalibrated Data'!$C5723, 'Picarro Output'!$I:$I, 0, 'Picarro Output'!$J:$J, 1), "")</f>
        <v/>
      </c>
    </row>
    <row r="5724" spans="2:5" x14ac:dyDescent="0.45">
      <c r="B5724" s="1"/>
      <c r="E5724" s="45" t="str">
        <f>IFERROR(AVERAGEIFS('Picarro Output'!G:G, 'Picarro Output'!$B:$B, 'Uncalibrated Data'!$C5724, 'Picarro Output'!$I:$I, 0, 'Picarro Output'!$J:$J, 1), "")</f>
        <v/>
      </c>
    </row>
    <row r="5725" spans="2:5" x14ac:dyDescent="0.45">
      <c r="B5725" s="1"/>
      <c r="E5725" s="45" t="str">
        <f>IFERROR(AVERAGEIFS('Picarro Output'!G:G, 'Picarro Output'!$B:$B, 'Uncalibrated Data'!$C5725, 'Picarro Output'!$I:$I, 0, 'Picarro Output'!$J:$J, 1), "")</f>
        <v/>
      </c>
    </row>
    <row r="5726" spans="2:5" x14ac:dyDescent="0.45">
      <c r="B5726" s="1"/>
      <c r="E5726" s="45" t="str">
        <f>IFERROR(AVERAGEIFS('Picarro Output'!G:G, 'Picarro Output'!$B:$B, 'Uncalibrated Data'!$C5726, 'Picarro Output'!$I:$I, 0, 'Picarro Output'!$J:$J, 1), "")</f>
        <v/>
      </c>
    </row>
    <row r="5727" spans="2:5" x14ac:dyDescent="0.45">
      <c r="B5727" s="1"/>
      <c r="E5727" s="45" t="str">
        <f>IFERROR(AVERAGEIFS('Picarro Output'!G:G, 'Picarro Output'!$B:$B, 'Uncalibrated Data'!$C5727, 'Picarro Output'!$I:$I, 0, 'Picarro Output'!$J:$J, 1), "")</f>
        <v/>
      </c>
    </row>
    <row r="5728" spans="2:5" x14ac:dyDescent="0.45">
      <c r="B5728" s="1"/>
      <c r="E5728" s="45" t="str">
        <f>IFERROR(AVERAGEIFS('Picarro Output'!G:G, 'Picarro Output'!$B:$B, 'Uncalibrated Data'!$C5728, 'Picarro Output'!$I:$I, 0, 'Picarro Output'!$J:$J, 1), "")</f>
        <v/>
      </c>
    </row>
    <row r="5729" spans="2:5" x14ac:dyDescent="0.45">
      <c r="B5729" s="1"/>
      <c r="E5729" s="45" t="str">
        <f>IFERROR(AVERAGEIFS('Picarro Output'!G:G, 'Picarro Output'!$B:$B, 'Uncalibrated Data'!$C5729, 'Picarro Output'!$I:$I, 0, 'Picarro Output'!$J:$J, 1), "")</f>
        <v/>
      </c>
    </row>
    <row r="5730" spans="2:5" x14ac:dyDescent="0.45">
      <c r="B5730" s="1"/>
      <c r="E5730" s="45" t="str">
        <f>IFERROR(AVERAGEIFS('Picarro Output'!G:G, 'Picarro Output'!$B:$B, 'Uncalibrated Data'!$C5730, 'Picarro Output'!$I:$I, 0, 'Picarro Output'!$J:$J, 1), "")</f>
        <v/>
      </c>
    </row>
    <row r="5731" spans="2:5" x14ac:dyDescent="0.45">
      <c r="B5731" s="1"/>
      <c r="E5731" s="45" t="str">
        <f>IFERROR(AVERAGEIFS('Picarro Output'!G:G, 'Picarro Output'!$B:$B, 'Uncalibrated Data'!$C5731, 'Picarro Output'!$I:$I, 0, 'Picarro Output'!$J:$J, 1), "")</f>
        <v/>
      </c>
    </row>
    <row r="5732" spans="2:5" x14ac:dyDescent="0.45">
      <c r="B5732" s="1"/>
      <c r="E5732" s="45" t="str">
        <f>IFERROR(AVERAGEIFS('Picarro Output'!G:G, 'Picarro Output'!$B:$B, 'Uncalibrated Data'!$C5732, 'Picarro Output'!$I:$I, 0, 'Picarro Output'!$J:$J, 1), "")</f>
        <v/>
      </c>
    </row>
    <row r="5733" spans="2:5" x14ac:dyDescent="0.45">
      <c r="B5733" s="1"/>
      <c r="E5733" s="45" t="str">
        <f>IFERROR(AVERAGEIFS('Picarro Output'!G:G, 'Picarro Output'!$B:$B, 'Uncalibrated Data'!$C5733, 'Picarro Output'!$I:$I, 0, 'Picarro Output'!$J:$J, 1), "")</f>
        <v/>
      </c>
    </row>
    <row r="5734" spans="2:5" x14ac:dyDescent="0.45">
      <c r="B5734" s="1"/>
      <c r="E5734" s="45" t="str">
        <f>IFERROR(AVERAGEIFS('Picarro Output'!G:G, 'Picarro Output'!$B:$B, 'Uncalibrated Data'!$C5734, 'Picarro Output'!$I:$I, 0, 'Picarro Output'!$J:$J, 1), "")</f>
        <v/>
      </c>
    </row>
    <row r="5735" spans="2:5" x14ac:dyDescent="0.45">
      <c r="B5735" s="1"/>
      <c r="E5735" s="45" t="str">
        <f>IFERROR(AVERAGEIFS('Picarro Output'!G:G, 'Picarro Output'!$B:$B, 'Uncalibrated Data'!$C5735, 'Picarro Output'!$I:$I, 0, 'Picarro Output'!$J:$J, 1), "")</f>
        <v/>
      </c>
    </row>
    <row r="5736" spans="2:5" x14ac:dyDescent="0.45">
      <c r="B5736" s="1"/>
      <c r="E5736" s="45" t="str">
        <f>IFERROR(AVERAGEIFS('Picarro Output'!G:G, 'Picarro Output'!$B:$B, 'Uncalibrated Data'!$C5736, 'Picarro Output'!$I:$I, 0, 'Picarro Output'!$J:$J, 1), "")</f>
        <v/>
      </c>
    </row>
    <row r="5737" spans="2:5" x14ac:dyDescent="0.45">
      <c r="B5737" s="1"/>
      <c r="E5737" s="45" t="str">
        <f>IFERROR(AVERAGEIFS('Picarro Output'!G:G, 'Picarro Output'!$B:$B, 'Uncalibrated Data'!$C5737, 'Picarro Output'!$I:$I, 0, 'Picarro Output'!$J:$J, 1), "")</f>
        <v/>
      </c>
    </row>
    <row r="5738" spans="2:5" x14ac:dyDescent="0.45">
      <c r="B5738" s="1"/>
      <c r="E5738" s="45" t="str">
        <f>IFERROR(AVERAGEIFS('Picarro Output'!G:G, 'Picarro Output'!$B:$B, 'Uncalibrated Data'!$C5738, 'Picarro Output'!$I:$I, 0, 'Picarro Output'!$J:$J, 1), "")</f>
        <v/>
      </c>
    </row>
    <row r="5739" spans="2:5" x14ac:dyDescent="0.45">
      <c r="B5739" s="1"/>
      <c r="E5739" s="45" t="str">
        <f>IFERROR(AVERAGEIFS('Picarro Output'!G:G, 'Picarro Output'!$B:$B, 'Uncalibrated Data'!$C5739, 'Picarro Output'!$I:$I, 0, 'Picarro Output'!$J:$J, 1), "")</f>
        <v/>
      </c>
    </row>
    <row r="5740" spans="2:5" x14ac:dyDescent="0.45">
      <c r="B5740" s="1"/>
      <c r="E5740" s="45" t="str">
        <f>IFERROR(AVERAGEIFS('Picarro Output'!G:G, 'Picarro Output'!$B:$B, 'Uncalibrated Data'!$C5740, 'Picarro Output'!$I:$I, 0, 'Picarro Output'!$J:$J, 1), "")</f>
        <v/>
      </c>
    </row>
    <row r="5741" spans="2:5" x14ac:dyDescent="0.45">
      <c r="B5741" s="1"/>
      <c r="E5741" s="45" t="str">
        <f>IFERROR(AVERAGEIFS('Picarro Output'!G:G, 'Picarro Output'!$B:$B, 'Uncalibrated Data'!$C5741, 'Picarro Output'!$I:$I, 0, 'Picarro Output'!$J:$J, 1), "")</f>
        <v/>
      </c>
    </row>
    <row r="5742" spans="2:5" x14ac:dyDescent="0.45">
      <c r="B5742" s="1"/>
      <c r="E5742" s="45" t="str">
        <f>IFERROR(AVERAGEIFS('Picarro Output'!G:G, 'Picarro Output'!$B:$B, 'Uncalibrated Data'!$C5742, 'Picarro Output'!$I:$I, 0, 'Picarro Output'!$J:$J, 1), "")</f>
        <v/>
      </c>
    </row>
    <row r="5743" spans="2:5" x14ac:dyDescent="0.45">
      <c r="B5743" s="1"/>
      <c r="E5743" s="45" t="str">
        <f>IFERROR(AVERAGEIFS('Picarro Output'!G:G, 'Picarro Output'!$B:$B, 'Uncalibrated Data'!$C5743, 'Picarro Output'!$I:$I, 0, 'Picarro Output'!$J:$J, 1), "")</f>
        <v/>
      </c>
    </row>
    <row r="5744" spans="2:5" x14ac:dyDescent="0.45">
      <c r="B5744" s="1"/>
      <c r="E5744" s="45" t="str">
        <f>IFERROR(AVERAGEIFS('Picarro Output'!G:G, 'Picarro Output'!$B:$B, 'Uncalibrated Data'!$C5744, 'Picarro Output'!$I:$I, 0, 'Picarro Output'!$J:$J, 1), "")</f>
        <v/>
      </c>
    </row>
    <row r="5745" spans="2:5" x14ac:dyDescent="0.45">
      <c r="B5745" s="1"/>
      <c r="E5745" s="45" t="str">
        <f>IFERROR(AVERAGEIFS('Picarro Output'!G:G, 'Picarro Output'!$B:$B, 'Uncalibrated Data'!$C5745, 'Picarro Output'!$I:$I, 0, 'Picarro Output'!$J:$J, 1), "")</f>
        <v/>
      </c>
    </row>
    <row r="5746" spans="2:5" x14ac:dyDescent="0.45">
      <c r="B5746" s="1"/>
      <c r="E5746" s="45" t="str">
        <f>IFERROR(AVERAGEIFS('Picarro Output'!G:G, 'Picarro Output'!$B:$B, 'Uncalibrated Data'!$C5746, 'Picarro Output'!$I:$I, 0, 'Picarro Output'!$J:$J, 1), "")</f>
        <v/>
      </c>
    </row>
    <row r="5747" spans="2:5" x14ac:dyDescent="0.45">
      <c r="B5747" s="1"/>
      <c r="E5747" s="45" t="str">
        <f>IFERROR(AVERAGEIFS('Picarro Output'!G:G, 'Picarro Output'!$B:$B, 'Uncalibrated Data'!$C5747, 'Picarro Output'!$I:$I, 0, 'Picarro Output'!$J:$J, 1), "")</f>
        <v/>
      </c>
    </row>
    <row r="5748" spans="2:5" x14ac:dyDescent="0.45">
      <c r="B5748" s="1"/>
      <c r="E5748" s="45" t="str">
        <f>IFERROR(AVERAGEIFS('Picarro Output'!G:G, 'Picarro Output'!$B:$B, 'Uncalibrated Data'!$C5748, 'Picarro Output'!$I:$I, 0, 'Picarro Output'!$J:$J, 1), "")</f>
        <v/>
      </c>
    </row>
    <row r="5749" spans="2:5" x14ac:dyDescent="0.45">
      <c r="B5749" s="1"/>
      <c r="E5749" s="45" t="str">
        <f>IFERROR(AVERAGEIFS('Picarro Output'!G:G, 'Picarro Output'!$B:$B, 'Uncalibrated Data'!$C5749, 'Picarro Output'!$I:$I, 0, 'Picarro Output'!$J:$J, 1), "")</f>
        <v/>
      </c>
    </row>
    <row r="5750" spans="2:5" x14ac:dyDescent="0.45">
      <c r="B5750" s="1"/>
      <c r="E5750" s="45" t="str">
        <f>IFERROR(AVERAGEIFS('Picarro Output'!G:G, 'Picarro Output'!$B:$B, 'Uncalibrated Data'!$C5750, 'Picarro Output'!$I:$I, 0, 'Picarro Output'!$J:$J, 1), "")</f>
        <v/>
      </c>
    </row>
    <row r="5751" spans="2:5" x14ac:dyDescent="0.45">
      <c r="B5751" s="1"/>
      <c r="E5751" s="45" t="str">
        <f>IFERROR(AVERAGEIFS('Picarro Output'!G:G, 'Picarro Output'!$B:$B, 'Uncalibrated Data'!$C5751, 'Picarro Output'!$I:$I, 0, 'Picarro Output'!$J:$J, 1), "")</f>
        <v/>
      </c>
    </row>
    <row r="5752" spans="2:5" x14ac:dyDescent="0.45">
      <c r="B5752" s="1"/>
      <c r="E5752" s="45" t="str">
        <f>IFERROR(AVERAGEIFS('Picarro Output'!G:G, 'Picarro Output'!$B:$B, 'Uncalibrated Data'!$C5752, 'Picarro Output'!$I:$I, 0, 'Picarro Output'!$J:$J, 1), "")</f>
        <v/>
      </c>
    </row>
    <row r="5753" spans="2:5" x14ac:dyDescent="0.45">
      <c r="B5753" s="1"/>
      <c r="E5753" s="45" t="str">
        <f>IFERROR(AVERAGEIFS('Picarro Output'!G:G, 'Picarro Output'!$B:$B, 'Uncalibrated Data'!$C5753, 'Picarro Output'!$I:$I, 0, 'Picarro Output'!$J:$J, 1), "")</f>
        <v/>
      </c>
    </row>
    <row r="5754" spans="2:5" x14ac:dyDescent="0.45">
      <c r="B5754" s="1"/>
      <c r="E5754" s="45" t="str">
        <f>IFERROR(AVERAGEIFS('Picarro Output'!G:G, 'Picarro Output'!$B:$B, 'Uncalibrated Data'!$C5754, 'Picarro Output'!$I:$I, 0, 'Picarro Output'!$J:$J, 1), "")</f>
        <v/>
      </c>
    </row>
    <row r="5755" spans="2:5" x14ac:dyDescent="0.45">
      <c r="B5755" s="1"/>
      <c r="E5755" s="45" t="str">
        <f>IFERROR(AVERAGEIFS('Picarro Output'!G:G, 'Picarro Output'!$B:$B, 'Uncalibrated Data'!$C5755, 'Picarro Output'!$I:$I, 0, 'Picarro Output'!$J:$J, 1), "")</f>
        <v/>
      </c>
    </row>
    <row r="5756" spans="2:5" x14ac:dyDescent="0.45">
      <c r="B5756" s="1"/>
      <c r="E5756" s="45" t="str">
        <f>IFERROR(AVERAGEIFS('Picarro Output'!G:G, 'Picarro Output'!$B:$B, 'Uncalibrated Data'!$C5756, 'Picarro Output'!$I:$I, 0, 'Picarro Output'!$J:$J, 1), "")</f>
        <v/>
      </c>
    </row>
    <row r="5757" spans="2:5" x14ac:dyDescent="0.45">
      <c r="B5757" s="1"/>
      <c r="E5757" s="45" t="str">
        <f>IFERROR(AVERAGEIFS('Picarro Output'!G:G, 'Picarro Output'!$B:$B, 'Uncalibrated Data'!$C5757, 'Picarro Output'!$I:$I, 0, 'Picarro Output'!$J:$J, 1), "")</f>
        <v/>
      </c>
    </row>
    <row r="5758" spans="2:5" x14ac:dyDescent="0.45">
      <c r="B5758" s="1"/>
      <c r="E5758" s="45" t="str">
        <f>IFERROR(AVERAGEIFS('Picarro Output'!G:G, 'Picarro Output'!$B:$B, 'Uncalibrated Data'!$C5758, 'Picarro Output'!$I:$I, 0, 'Picarro Output'!$J:$J, 1), "")</f>
        <v/>
      </c>
    </row>
    <row r="5759" spans="2:5" x14ac:dyDescent="0.45">
      <c r="B5759" s="1"/>
      <c r="E5759" s="45" t="str">
        <f>IFERROR(AVERAGEIFS('Picarro Output'!G:G, 'Picarro Output'!$B:$B, 'Uncalibrated Data'!$C5759, 'Picarro Output'!$I:$I, 0, 'Picarro Output'!$J:$J, 1), "")</f>
        <v/>
      </c>
    </row>
    <row r="5760" spans="2:5" x14ac:dyDescent="0.45">
      <c r="B5760" s="1"/>
      <c r="E5760" s="45" t="str">
        <f>IFERROR(AVERAGEIFS('Picarro Output'!G:G, 'Picarro Output'!$B:$B, 'Uncalibrated Data'!$C5760, 'Picarro Output'!$I:$I, 0, 'Picarro Output'!$J:$J, 1), "")</f>
        <v/>
      </c>
    </row>
    <row r="5761" spans="2:5" x14ac:dyDescent="0.45">
      <c r="B5761" s="1"/>
      <c r="E5761" s="45" t="str">
        <f>IFERROR(AVERAGEIFS('Picarro Output'!G:G, 'Picarro Output'!$B:$B, 'Uncalibrated Data'!$C5761, 'Picarro Output'!$I:$I, 0, 'Picarro Output'!$J:$J, 1), "")</f>
        <v/>
      </c>
    </row>
    <row r="5762" spans="2:5" x14ac:dyDescent="0.45">
      <c r="B5762" s="1"/>
      <c r="E5762" s="45" t="str">
        <f>IFERROR(AVERAGEIFS('Picarro Output'!G:G, 'Picarro Output'!$B:$B, 'Uncalibrated Data'!$C5762, 'Picarro Output'!$I:$I, 0, 'Picarro Output'!$J:$J, 1), "")</f>
        <v/>
      </c>
    </row>
    <row r="5763" spans="2:5" x14ac:dyDescent="0.45">
      <c r="B5763" s="1"/>
      <c r="E5763" s="45" t="str">
        <f>IFERROR(AVERAGEIFS('Picarro Output'!G:G, 'Picarro Output'!$B:$B, 'Uncalibrated Data'!$C5763, 'Picarro Output'!$I:$I, 0, 'Picarro Output'!$J:$J, 1), "")</f>
        <v/>
      </c>
    </row>
    <row r="5764" spans="2:5" x14ac:dyDescent="0.45">
      <c r="B5764" s="1"/>
      <c r="E5764" s="45" t="str">
        <f>IFERROR(AVERAGEIFS('Picarro Output'!G:G, 'Picarro Output'!$B:$B, 'Uncalibrated Data'!$C5764, 'Picarro Output'!$I:$I, 0, 'Picarro Output'!$J:$J, 1), "")</f>
        <v/>
      </c>
    </row>
    <row r="5765" spans="2:5" x14ac:dyDescent="0.45">
      <c r="B5765" s="1"/>
      <c r="E5765" s="45" t="str">
        <f>IFERROR(AVERAGEIFS('Picarro Output'!G:G, 'Picarro Output'!$B:$B, 'Uncalibrated Data'!$C5765, 'Picarro Output'!$I:$I, 0, 'Picarro Output'!$J:$J, 1), "")</f>
        <v/>
      </c>
    </row>
    <row r="5766" spans="2:5" x14ac:dyDescent="0.45">
      <c r="B5766" s="1"/>
      <c r="E5766" s="45" t="str">
        <f>IFERROR(AVERAGEIFS('Picarro Output'!G:G, 'Picarro Output'!$B:$B, 'Uncalibrated Data'!$C5766, 'Picarro Output'!$I:$I, 0, 'Picarro Output'!$J:$J, 1), "")</f>
        <v/>
      </c>
    </row>
    <row r="5767" spans="2:5" x14ac:dyDescent="0.45">
      <c r="B5767" s="1"/>
      <c r="E5767" s="45" t="str">
        <f>IFERROR(AVERAGEIFS('Picarro Output'!G:G, 'Picarro Output'!$B:$B, 'Uncalibrated Data'!$C5767, 'Picarro Output'!$I:$I, 0, 'Picarro Output'!$J:$J, 1), "")</f>
        <v/>
      </c>
    </row>
    <row r="5768" spans="2:5" x14ac:dyDescent="0.45">
      <c r="B5768" s="1"/>
      <c r="E5768" s="45" t="str">
        <f>IFERROR(AVERAGEIFS('Picarro Output'!G:G, 'Picarro Output'!$B:$B, 'Uncalibrated Data'!$C5768, 'Picarro Output'!$I:$I, 0, 'Picarro Output'!$J:$J, 1), "")</f>
        <v/>
      </c>
    </row>
    <row r="5769" spans="2:5" x14ac:dyDescent="0.45">
      <c r="B5769" s="1"/>
      <c r="E5769" s="45" t="str">
        <f>IFERROR(AVERAGEIFS('Picarro Output'!G:G, 'Picarro Output'!$B:$B, 'Uncalibrated Data'!$C5769, 'Picarro Output'!$I:$I, 0, 'Picarro Output'!$J:$J, 1), "")</f>
        <v/>
      </c>
    </row>
    <row r="5770" spans="2:5" x14ac:dyDescent="0.45">
      <c r="B5770" s="1"/>
      <c r="E5770" s="45" t="str">
        <f>IFERROR(AVERAGEIFS('Picarro Output'!G:G, 'Picarro Output'!$B:$B, 'Uncalibrated Data'!$C5770, 'Picarro Output'!$I:$I, 0, 'Picarro Output'!$J:$J, 1), "")</f>
        <v/>
      </c>
    </row>
    <row r="5771" spans="2:5" x14ac:dyDescent="0.45">
      <c r="B5771" s="1"/>
      <c r="E5771" s="45" t="str">
        <f>IFERROR(AVERAGEIFS('Picarro Output'!G:G, 'Picarro Output'!$B:$B, 'Uncalibrated Data'!$C5771, 'Picarro Output'!$I:$I, 0, 'Picarro Output'!$J:$J, 1), "")</f>
        <v/>
      </c>
    </row>
    <row r="5772" spans="2:5" x14ac:dyDescent="0.45">
      <c r="B5772" s="1"/>
      <c r="E5772" s="45" t="str">
        <f>IFERROR(AVERAGEIFS('Picarro Output'!G:G, 'Picarro Output'!$B:$B, 'Uncalibrated Data'!$C5772, 'Picarro Output'!$I:$I, 0, 'Picarro Output'!$J:$J, 1), "")</f>
        <v/>
      </c>
    </row>
    <row r="5773" spans="2:5" x14ac:dyDescent="0.45">
      <c r="B5773" s="1"/>
      <c r="E5773" s="45" t="str">
        <f>IFERROR(AVERAGEIFS('Picarro Output'!G:G, 'Picarro Output'!$B:$B, 'Uncalibrated Data'!$C5773, 'Picarro Output'!$I:$I, 0, 'Picarro Output'!$J:$J, 1), "")</f>
        <v/>
      </c>
    </row>
    <row r="5774" spans="2:5" x14ac:dyDescent="0.45">
      <c r="B5774" s="1"/>
      <c r="E5774" s="45" t="str">
        <f>IFERROR(AVERAGEIFS('Picarro Output'!G:G, 'Picarro Output'!$B:$B, 'Uncalibrated Data'!$C5774, 'Picarro Output'!$I:$I, 0, 'Picarro Output'!$J:$J, 1), "")</f>
        <v/>
      </c>
    </row>
    <row r="5775" spans="2:5" x14ac:dyDescent="0.45">
      <c r="B5775" s="1"/>
      <c r="E5775" s="45" t="str">
        <f>IFERROR(AVERAGEIFS('Picarro Output'!G:G, 'Picarro Output'!$B:$B, 'Uncalibrated Data'!$C5775, 'Picarro Output'!$I:$I, 0, 'Picarro Output'!$J:$J, 1), "")</f>
        <v/>
      </c>
    </row>
    <row r="5776" spans="2:5" x14ac:dyDescent="0.45">
      <c r="B5776" s="1"/>
      <c r="E5776" s="45" t="str">
        <f>IFERROR(AVERAGEIFS('Picarro Output'!G:G, 'Picarro Output'!$B:$B, 'Uncalibrated Data'!$C5776, 'Picarro Output'!$I:$I, 0, 'Picarro Output'!$J:$J, 1), "")</f>
        <v/>
      </c>
    </row>
    <row r="5777" spans="2:5" x14ac:dyDescent="0.45">
      <c r="B5777" s="1"/>
      <c r="E5777" s="45" t="str">
        <f>IFERROR(AVERAGEIFS('Picarro Output'!G:G, 'Picarro Output'!$B:$B, 'Uncalibrated Data'!$C5777, 'Picarro Output'!$I:$I, 0, 'Picarro Output'!$J:$J, 1), "")</f>
        <v/>
      </c>
    </row>
    <row r="5778" spans="2:5" x14ac:dyDescent="0.45">
      <c r="B5778" s="1"/>
      <c r="E5778" s="45" t="str">
        <f>IFERROR(AVERAGEIFS('Picarro Output'!G:G, 'Picarro Output'!$B:$B, 'Uncalibrated Data'!$C5778, 'Picarro Output'!$I:$I, 0, 'Picarro Output'!$J:$J, 1), "")</f>
        <v/>
      </c>
    </row>
    <row r="5779" spans="2:5" x14ac:dyDescent="0.45">
      <c r="B5779" s="1"/>
      <c r="E5779" s="45" t="str">
        <f>IFERROR(AVERAGEIFS('Picarro Output'!G:G, 'Picarro Output'!$B:$B, 'Uncalibrated Data'!$C5779, 'Picarro Output'!$I:$I, 0, 'Picarro Output'!$J:$J, 1), "")</f>
        <v/>
      </c>
    </row>
    <row r="5780" spans="2:5" x14ac:dyDescent="0.45">
      <c r="B5780" s="1"/>
      <c r="E5780" s="45" t="str">
        <f>IFERROR(AVERAGEIFS('Picarro Output'!G:G, 'Picarro Output'!$B:$B, 'Uncalibrated Data'!$C5780, 'Picarro Output'!$I:$I, 0, 'Picarro Output'!$J:$J, 1), "")</f>
        <v/>
      </c>
    </row>
    <row r="5781" spans="2:5" x14ac:dyDescent="0.45">
      <c r="B5781" s="1"/>
      <c r="E5781" s="45" t="str">
        <f>IFERROR(AVERAGEIFS('Picarro Output'!G:G, 'Picarro Output'!$B:$B, 'Uncalibrated Data'!$C5781, 'Picarro Output'!$I:$I, 0, 'Picarro Output'!$J:$J, 1), "")</f>
        <v/>
      </c>
    </row>
    <row r="5782" spans="2:5" x14ac:dyDescent="0.45">
      <c r="B5782" s="1"/>
      <c r="E5782" s="45" t="str">
        <f>IFERROR(AVERAGEIFS('Picarro Output'!G:G, 'Picarro Output'!$B:$B, 'Uncalibrated Data'!$C5782, 'Picarro Output'!$I:$I, 0, 'Picarro Output'!$J:$J, 1), "")</f>
        <v/>
      </c>
    </row>
    <row r="5783" spans="2:5" x14ac:dyDescent="0.45">
      <c r="B5783" s="1"/>
      <c r="E5783" s="45" t="str">
        <f>IFERROR(AVERAGEIFS('Picarro Output'!G:G, 'Picarro Output'!$B:$B, 'Uncalibrated Data'!$C5783, 'Picarro Output'!$I:$I, 0, 'Picarro Output'!$J:$J, 1), "")</f>
        <v/>
      </c>
    </row>
    <row r="5784" spans="2:5" x14ac:dyDescent="0.45">
      <c r="B5784" s="1"/>
      <c r="E5784" s="45" t="str">
        <f>IFERROR(AVERAGEIFS('Picarro Output'!G:G, 'Picarro Output'!$B:$B, 'Uncalibrated Data'!$C5784, 'Picarro Output'!$I:$I, 0, 'Picarro Output'!$J:$J, 1), "")</f>
        <v/>
      </c>
    </row>
    <row r="5785" spans="2:5" x14ac:dyDescent="0.45">
      <c r="B5785" s="1"/>
      <c r="E5785" s="45" t="str">
        <f>IFERROR(AVERAGEIFS('Picarro Output'!G:G, 'Picarro Output'!$B:$B, 'Uncalibrated Data'!$C5785, 'Picarro Output'!$I:$I, 0, 'Picarro Output'!$J:$J, 1), "")</f>
        <v/>
      </c>
    </row>
    <row r="5786" spans="2:5" x14ac:dyDescent="0.45">
      <c r="B5786" s="1"/>
      <c r="E5786" s="45" t="str">
        <f>IFERROR(AVERAGEIFS('Picarro Output'!G:G, 'Picarro Output'!$B:$B, 'Uncalibrated Data'!$C5786, 'Picarro Output'!$I:$I, 0, 'Picarro Output'!$J:$J, 1), "")</f>
        <v/>
      </c>
    </row>
    <row r="5787" spans="2:5" x14ac:dyDescent="0.45">
      <c r="B5787" s="1"/>
      <c r="E5787" s="45" t="str">
        <f>IFERROR(AVERAGEIFS('Picarro Output'!G:G, 'Picarro Output'!$B:$B, 'Uncalibrated Data'!$C5787, 'Picarro Output'!$I:$I, 0, 'Picarro Output'!$J:$J, 1), "")</f>
        <v/>
      </c>
    </row>
    <row r="5788" spans="2:5" x14ac:dyDescent="0.45">
      <c r="B5788" s="1"/>
      <c r="E5788" s="45" t="str">
        <f>IFERROR(AVERAGEIFS('Picarro Output'!G:G, 'Picarro Output'!$B:$B, 'Uncalibrated Data'!$C5788, 'Picarro Output'!$I:$I, 0, 'Picarro Output'!$J:$J, 1), "")</f>
        <v/>
      </c>
    </row>
    <row r="5789" spans="2:5" x14ac:dyDescent="0.45">
      <c r="B5789" s="1"/>
      <c r="E5789" s="45" t="str">
        <f>IFERROR(AVERAGEIFS('Picarro Output'!G:G, 'Picarro Output'!$B:$B, 'Uncalibrated Data'!$C5789, 'Picarro Output'!$I:$I, 0, 'Picarro Output'!$J:$J, 1), "")</f>
        <v/>
      </c>
    </row>
    <row r="5790" spans="2:5" x14ac:dyDescent="0.45">
      <c r="B5790" s="1"/>
      <c r="E5790" s="45" t="str">
        <f>IFERROR(AVERAGEIFS('Picarro Output'!G:G, 'Picarro Output'!$B:$B, 'Uncalibrated Data'!$C5790, 'Picarro Output'!$I:$I, 0, 'Picarro Output'!$J:$J, 1), "")</f>
        <v/>
      </c>
    </row>
    <row r="5791" spans="2:5" x14ac:dyDescent="0.45">
      <c r="B5791" s="1"/>
      <c r="E5791" s="45" t="str">
        <f>IFERROR(AVERAGEIFS('Picarro Output'!G:G, 'Picarro Output'!$B:$B, 'Uncalibrated Data'!$C5791, 'Picarro Output'!$I:$I, 0, 'Picarro Output'!$J:$J, 1), "")</f>
        <v/>
      </c>
    </row>
    <row r="5792" spans="2:5" x14ac:dyDescent="0.45">
      <c r="B5792" s="1"/>
      <c r="E5792" s="45" t="str">
        <f>IFERROR(AVERAGEIFS('Picarro Output'!G:G, 'Picarro Output'!$B:$B, 'Uncalibrated Data'!$C5792, 'Picarro Output'!$I:$I, 0, 'Picarro Output'!$J:$J, 1), "")</f>
        <v/>
      </c>
    </row>
    <row r="5793" spans="2:5" x14ac:dyDescent="0.45">
      <c r="B5793" s="1"/>
      <c r="E5793" s="45" t="str">
        <f>IFERROR(AVERAGEIFS('Picarro Output'!G:G, 'Picarro Output'!$B:$B, 'Uncalibrated Data'!$C5793, 'Picarro Output'!$I:$I, 0, 'Picarro Output'!$J:$J, 1), "")</f>
        <v/>
      </c>
    </row>
    <row r="5794" spans="2:5" x14ac:dyDescent="0.45">
      <c r="B5794" s="1"/>
      <c r="E5794" s="45" t="str">
        <f>IFERROR(AVERAGEIFS('Picarro Output'!G:G, 'Picarro Output'!$B:$B, 'Uncalibrated Data'!$C5794, 'Picarro Output'!$I:$I, 0, 'Picarro Output'!$J:$J, 1), "")</f>
        <v/>
      </c>
    </row>
    <row r="5795" spans="2:5" x14ac:dyDescent="0.45">
      <c r="B5795" s="1"/>
      <c r="E5795" s="45" t="str">
        <f>IFERROR(AVERAGEIFS('Picarro Output'!G:G, 'Picarro Output'!$B:$B, 'Uncalibrated Data'!$C5795, 'Picarro Output'!$I:$I, 0, 'Picarro Output'!$J:$J, 1), "")</f>
        <v/>
      </c>
    </row>
    <row r="5796" spans="2:5" x14ac:dyDescent="0.45">
      <c r="B5796" s="1"/>
      <c r="E5796" s="45" t="str">
        <f>IFERROR(AVERAGEIFS('Picarro Output'!G:G, 'Picarro Output'!$B:$B, 'Uncalibrated Data'!$C5796, 'Picarro Output'!$I:$I, 0, 'Picarro Output'!$J:$J, 1), "")</f>
        <v/>
      </c>
    </row>
    <row r="5797" spans="2:5" x14ac:dyDescent="0.45">
      <c r="B5797" s="1"/>
      <c r="E5797" s="45" t="str">
        <f>IFERROR(AVERAGEIFS('Picarro Output'!G:G, 'Picarro Output'!$B:$B, 'Uncalibrated Data'!$C5797, 'Picarro Output'!$I:$I, 0, 'Picarro Output'!$J:$J, 1), "")</f>
        <v/>
      </c>
    </row>
    <row r="5798" spans="2:5" x14ac:dyDescent="0.45">
      <c r="B5798" s="1"/>
      <c r="E5798" s="45" t="str">
        <f>IFERROR(AVERAGEIFS('Picarro Output'!G:G, 'Picarro Output'!$B:$B, 'Uncalibrated Data'!$C5798, 'Picarro Output'!$I:$I, 0, 'Picarro Output'!$J:$J, 1), "")</f>
        <v/>
      </c>
    </row>
    <row r="5799" spans="2:5" x14ac:dyDescent="0.45">
      <c r="B5799" s="1"/>
      <c r="E5799" s="45" t="str">
        <f>IFERROR(AVERAGEIFS('Picarro Output'!G:G, 'Picarro Output'!$B:$B, 'Uncalibrated Data'!$C5799, 'Picarro Output'!$I:$I, 0, 'Picarro Output'!$J:$J, 1), "")</f>
        <v/>
      </c>
    </row>
    <row r="5800" spans="2:5" x14ac:dyDescent="0.45">
      <c r="B5800" s="1"/>
      <c r="E5800" s="45" t="str">
        <f>IFERROR(AVERAGEIFS('Picarro Output'!G:G, 'Picarro Output'!$B:$B, 'Uncalibrated Data'!$C5800, 'Picarro Output'!$I:$I, 0, 'Picarro Output'!$J:$J, 1), "")</f>
        <v/>
      </c>
    </row>
    <row r="5801" spans="2:5" x14ac:dyDescent="0.45">
      <c r="B5801" s="1"/>
      <c r="E5801" s="45" t="str">
        <f>IFERROR(AVERAGEIFS('Picarro Output'!G:G, 'Picarro Output'!$B:$B, 'Uncalibrated Data'!$C5801, 'Picarro Output'!$I:$I, 0, 'Picarro Output'!$J:$J, 1), "")</f>
        <v/>
      </c>
    </row>
    <row r="5802" spans="2:5" x14ac:dyDescent="0.45">
      <c r="B5802" s="1"/>
      <c r="E5802" s="45" t="str">
        <f>IFERROR(AVERAGEIFS('Picarro Output'!G:G, 'Picarro Output'!$B:$B, 'Uncalibrated Data'!$C5802, 'Picarro Output'!$I:$I, 0, 'Picarro Output'!$J:$J, 1), "")</f>
        <v/>
      </c>
    </row>
    <row r="5803" spans="2:5" x14ac:dyDescent="0.45">
      <c r="B5803" s="1"/>
      <c r="E5803" s="45" t="str">
        <f>IFERROR(AVERAGEIFS('Picarro Output'!G:G, 'Picarro Output'!$B:$B, 'Uncalibrated Data'!$C5803, 'Picarro Output'!$I:$I, 0, 'Picarro Output'!$J:$J, 1), "")</f>
        <v/>
      </c>
    </row>
    <row r="5804" spans="2:5" x14ac:dyDescent="0.45">
      <c r="B5804" s="1"/>
      <c r="E5804" s="45" t="str">
        <f>IFERROR(AVERAGEIFS('Picarro Output'!G:G, 'Picarro Output'!$B:$B, 'Uncalibrated Data'!$C5804, 'Picarro Output'!$I:$I, 0, 'Picarro Output'!$J:$J, 1), "")</f>
        <v/>
      </c>
    </row>
    <row r="5805" spans="2:5" x14ac:dyDescent="0.45">
      <c r="B5805" s="1"/>
      <c r="E5805" s="45" t="str">
        <f>IFERROR(AVERAGEIFS('Picarro Output'!G:G, 'Picarro Output'!$B:$B, 'Uncalibrated Data'!$C5805, 'Picarro Output'!$I:$I, 0, 'Picarro Output'!$J:$J, 1), "")</f>
        <v/>
      </c>
    </row>
    <row r="5806" spans="2:5" x14ac:dyDescent="0.45">
      <c r="B5806" s="1"/>
      <c r="E5806" s="45" t="str">
        <f>IFERROR(AVERAGEIFS('Picarro Output'!G:G, 'Picarro Output'!$B:$B, 'Uncalibrated Data'!$C5806, 'Picarro Output'!$I:$I, 0, 'Picarro Output'!$J:$J, 1), "")</f>
        <v/>
      </c>
    </row>
    <row r="5807" spans="2:5" x14ac:dyDescent="0.45">
      <c r="B5807" s="1"/>
      <c r="E5807" s="45" t="str">
        <f>IFERROR(AVERAGEIFS('Picarro Output'!G:G, 'Picarro Output'!$B:$B, 'Uncalibrated Data'!$C5807, 'Picarro Output'!$I:$I, 0, 'Picarro Output'!$J:$J, 1), "")</f>
        <v/>
      </c>
    </row>
    <row r="5808" spans="2:5" x14ac:dyDescent="0.45">
      <c r="B5808" s="1"/>
      <c r="E5808" s="45" t="str">
        <f>IFERROR(AVERAGEIFS('Picarro Output'!G:G, 'Picarro Output'!$B:$B, 'Uncalibrated Data'!$C5808, 'Picarro Output'!$I:$I, 0, 'Picarro Output'!$J:$J, 1), "")</f>
        <v/>
      </c>
    </row>
    <row r="5809" spans="2:5" x14ac:dyDescent="0.45">
      <c r="B5809" s="1"/>
      <c r="E5809" s="45" t="str">
        <f>IFERROR(AVERAGEIFS('Picarro Output'!G:G, 'Picarro Output'!$B:$B, 'Uncalibrated Data'!$C5809, 'Picarro Output'!$I:$I, 0, 'Picarro Output'!$J:$J, 1), "")</f>
        <v/>
      </c>
    </row>
    <row r="5810" spans="2:5" x14ac:dyDescent="0.45">
      <c r="B5810" s="1"/>
      <c r="E5810" s="45" t="str">
        <f>IFERROR(AVERAGEIFS('Picarro Output'!G:G, 'Picarro Output'!$B:$B, 'Uncalibrated Data'!$C5810, 'Picarro Output'!$I:$I, 0, 'Picarro Output'!$J:$J, 1), "")</f>
        <v/>
      </c>
    </row>
    <row r="5811" spans="2:5" x14ac:dyDescent="0.45">
      <c r="B5811" s="1"/>
      <c r="E5811" s="45" t="str">
        <f>IFERROR(AVERAGEIFS('Picarro Output'!G:G, 'Picarro Output'!$B:$B, 'Uncalibrated Data'!$C5811, 'Picarro Output'!$I:$I, 0, 'Picarro Output'!$J:$J, 1), "")</f>
        <v/>
      </c>
    </row>
    <row r="5812" spans="2:5" x14ac:dyDescent="0.45">
      <c r="B5812" s="1"/>
      <c r="E5812" s="45" t="str">
        <f>IFERROR(AVERAGEIFS('Picarro Output'!G:G, 'Picarro Output'!$B:$B, 'Uncalibrated Data'!$C5812, 'Picarro Output'!$I:$I, 0, 'Picarro Output'!$J:$J, 1), "")</f>
        <v/>
      </c>
    </row>
    <row r="5813" spans="2:5" x14ac:dyDescent="0.45">
      <c r="B5813" s="1"/>
      <c r="E5813" s="45" t="str">
        <f>IFERROR(AVERAGEIFS('Picarro Output'!G:G, 'Picarro Output'!$B:$B, 'Uncalibrated Data'!$C5813, 'Picarro Output'!$I:$I, 0, 'Picarro Output'!$J:$J, 1), "")</f>
        <v/>
      </c>
    </row>
    <row r="5814" spans="2:5" x14ac:dyDescent="0.45">
      <c r="B5814" s="1"/>
      <c r="E5814" s="45" t="str">
        <f>IFERROR(AVERAGEIFS('Picarro Output'!G:G, 'Picarro Output'!$B:$B, 'Uncalibrated Data'!$C5814, 'Picarro Output'!$I:$I, 0, 'Picarro Output'!$J:$J, 1), "")</f>
        <v/>
      </c>
    </row>
    <row r="5815" spans="2:5" x14ac:dyDescent="0.45">
      <c r="B5815" s="1"/>
      <c r="E5815" s="45" t="str">
        <f>IFERROR(AVERAGEIFS('Picarro Output'!G:G, 'Picarro Output'!$B:$B, 'Uncalibrated Data'!$C5815, 'Picarro Output'!$I:$I, 0, 'Picarro Output'!$J:$J, 1), "")</f>
        <v/>
      </c>
    </row>
    <row r="5816" spans="2:5" x14ac:dyDescent="0.45">
      <c r="B5816" s="1"/>
      <c r="E5816" s="45" t="str">
        <f>IFERROR(AVERAGEIFS('Picarro Output'!G:G, 'Picarro Output'!$B:$B, 'Uncalibrated Data'!$C5816, 'Picarro Output'!$I:$I, 0, 'Picarro Output'!$J:$J, 1), "")</f>
        <v/>
      </c>
    </row>
    <row r="5817" spans="2:5" x14ac:dyDescent="0.45">
      <c r="B5817" s="1"/>
      <c r="E5817" s="45" t="str">
        <f>IFERROR(AVERAGEIFS('Picarro Output'!G:G, 'Picarro Output'!$B:$B, 'Uncalibrated Data'!$C5817, 'Picarro Output'!$I:$I, 0, 'Picarro Output'!$J:$J, 1), "")</f>
        <v/>
      </c>
    </row>
    <row r="5818" spans="2:5" x14ac:dyDescent="0.45">
      <c r="B5818" s="1"/>
      <c r="E5818" s="45" t="str">
        <f>IFERROR(AVERAGEIFS('Picarro Output'!G:G, 'Picarro Output'!$B:$B, 'Uncalibrated Data'!$C5818, 'Picarro Output'!$I:$I, 0, 'Picarro Output'!$J:$J, 1), "")</f>
        <v/>
      </c>
    </row>
    <row r="5819" spans="2:5" x14ac:dyDescent="0.45">
      <c r="B5819" s="1"/>
      <c r="E5819" s="45" t="str">
        <f>IFERROR(AVERAGEIFS('Picarro Output'!G:G, 'Picarro Output'!$B:$B, 'Uncalibrated Data'!$C5819, 'Picarro Output'!$I:$I, 0, 'Picarro Output'!$J:$J, 1), "")</f>
        <v/>
      </c>
    </row>
    <row r="5820" spans="2:5" x14ac:dyDescent="0.45">
      <c r="B5820" s="1"/>
      <c r="E5820" s="45" t="str">
        <f>IFERROR(AVERAGEIFS('Picarro Output'!G:G, 'Picarro Output'!$B:$B, 'Uncalibrated Data'!$C5820, 'Picarro Output'!$I:$I, 0, 'Picarro Output'!$J:$J, 1), "")</f>
        <v/>
      </c>
    </row>
    <row r="5821" spans="2:5" x14ac:dyDescent="0.45">
      <c r="B5821" s="1"/>
      <c r="E5821" s="45" t="str">
        <f>IFERROR(AVERAGEIFS('Picarro Output'!G:G, 'Picarro Output'!$B:$B, 'Uncalibrated Data'!$C5821, 'Picarro Output'!$I:$I, 0, 'Picarro Output'!$J:$J, 1), "")</f>
        <v/>
      </c>
    </row>
    <row r="5822" spans="2:5" x14ac:dyDescent="0.45">
      <c r="B5822" s="1"/>
      <c r="E5822" s="45" t="str">
        <f>IFERROR(AVERAGEIFS('Picarro Output'!G:G, 'Picarro Output'!$B:$B, 'Uncalibrated Data'!$C5822, 'Picarro Output'!$I:$I, 0, 'Picarro Output'!$J:$J, 1), "")</f>
        <v/>
      </c>
    </row>
    <row r="5823" spans="2:5" x14ac:dyDescent="0.45">
      <c r="B5823" s="1"/>
      <c r="E5823" s="45" t="str">
        <f>IFERROR(AVERAGEIFS('Picarro Output'!G:G, 'Picarro Output'!$B:$B, 'Uncalibrated Data'!$C5823, 'Picarro Output'!$I:$I, 0, 'Picarro Output'!$J:$J, 1), "")</f>
        <v/>
      </c>
    </row>
    <row r="5824" spans="2:5" x14ac:dyDescent="0.45">
      <c r="B5824" s="1"/>
      <c r="E5824" s="45" t="str">
        <f>IFERROR(AVERAGEIFS('Picarro Output'!G:G, 'Picarro Output'!$B:$B, 'Uncalibrated Data'!$C5824, 'Picarro Output'!$I:$I, 0, 'Picarro Output'!$J:$J, 1), "")</f>
        <v/>
      </c>
    </row>
    <row r="5825" spans="2:5" x14ac:dyDescent="0.45">
      <c r="B5825" s="1"/>
      <c r="E5825" s="45" t="str">
        <f>IFERROR(AVERAGEIFS('Picarro Output'!G:G, 'Picarro Output'!$B:$B, 'Uncalibrated Data'!$C5825, 'Picarro Output'!$I:$I, 0, 'Picarro Output'!$J:$J, 1), "")</f>
        <v/>
      </c>
    </row>
    <row r="5826" spans="2:5" x14ac:dyDescent="0.45">
      <c r="B5826" s="1"/>
      <c r="E5826" s="45" t="str">
        <f>IFERROR(AVERAGEIFS('Picarro Output'!G:G, 'Picarro Output'!$B:$B, 'Uncalibrated Data'!$C5826, 'Picarro Output'!$I:$I, 0, 'Picarro Output'!$J:$J, 1), "")</f>
        <v/>
      </c>
    </row>
    <row r="5827" spans="2:5" x14ac:dyDescent="0.45">
      <c r="B5827" s="1"/>
      <c r="E5827" s="45" t="str">
        <f>IFERROR(AVERAGEIFS('Picarro Output'!G:G, 'Picarro Output'!$B:$B, 'Uncalibrated Data'!$C5827, 'Picarro Output'!$I:$I, 0, 'Picarro Output'!$J:$J, 1), "")</f>
        <v/>
      </c>
    </row>
    <row r="5828" spans="2:5" x14ac:dyDescent="0.45">
      <c r="B5828" s="1"/>
      <c r="E5828" s="45" t="str">
        <f>IFERROR(AVERAGEIFS('Picarro Output'!G:G, 'Picarro Output'!$B:$B, 'Uncalibrated Data'!$C5828, 'Picarro Output'!$I:$I, 0, 'Picarro Output'!$J:$J, 1), "")</f>
        <v/>
      </c>
    </row>
    <row r="5829" spans="2:5" x14ac:dyDescent="0.45">
      <c r="B5829" s="1"/>
      <c r="E5829" s="45" t="str">
        <f>IFERROR(AVERAGEIFS('Picarro Output'!G:G, 'Picarro Output'!$B:$B, 'Uncalibrated Data'!$C5829, 'Picarro Output'!$I:$I, 0, 'Picarro Output'!$J:$J, 1), "")</f>
        <v/>
      </c>
    </row>
    <row r="5830" spans="2:5" x14ac:dyDescent="0.45">
      <c r="B5830" s="1"/>
      <c r="E5830" s="45" t="str">
        <f>IFERROR(AVERAGEIFS('Picarro Output'!G:G, 'Picarro Output'!$B:$B, 'Uncalibrated Data'!$C5830, 'Picarro Output'!$I:$I, 0, 'Picarro Output'!$J:$J, 1), "")</f>
        <v/>
      </c>
    </row>
    <row r="5831" spans="2:5" x14ac:dyDescent="0.45">
      <c r="B5831" s="1"/>
      <c r="E5831" s="45" t="str">
        <f>IFERROR(AVERAGEIFS('Picarro Output'!G:G, 'Picarro Output'!$B:$B, 'Uncalibrated Data'!$C5831, 'Picarro Output'!$I:$I, 0, 'Picarro Output'!$J:$J, 1), "")</f>
        <v/>
      </c>
    </row>
    <row r="5832" spans="2:5" x14ac:dyDescent="0.45">
      <c r="B5832" s="1"/>
      <c r="E5832" s="45" t="str">
        <f>IFERROR(AVERAGEIFS('Picarro Output'!G:G, 'Picarro Output'!$B:$B, 'Uncalibrated Data'!$C5832, 'Picarro Output'!$I:$I, 0, 'Picarro Output'!$J:$J, 1), "")</f>
        <v/>
      </c>
    </row>
    <row r="5833" spans="2:5" x14ac:dyDescent="0.45">
      <c r="B5833" s="1"/>
      <c r="E5833" s="45" t="str">
        <f>IFERROR(AVERAGEIFS('Picarro Output'!G:G, 'Picarro Output'!$B:$B, 'Uncalibrated Data'!$C5833, 'Picarro Output'!$I:$I, 0, 'Picarro Output'!$J:$J, 1), "")</f>
        <v/>
      </c>
    </row>
    <row r="5834" spans="2:5" x14ac:dyDescent="0.45">
      <c r="B5834" s="1"/>
      <c r="E5834" s="45" t="str">
        <f>IFERROR(AVERAGEIFS('Picarro Output'!G:G, 'Picarro Output'!$B:$B, 'Uncalibrated Data'!$C5834, 'Picarro Output'!$I:$I, 0, 'Picarro Output'!$J:$J, 1), "")</f>
        <v/>
      </c>
    </row>
    <row r="5835" spans="2:5" x14ac:dyDescent="0.45">
      <c r="B5835" s="1"/>
      <c r="E5835" s="45" t="str">
        <f>IFERROR(AVERAGEIFS('Picarro Output'!G:G, 'Picarro Output'!$B:$B, 'Uncalibrated Data'!$C5835, 'Picarro Output'!$I:$I, 0, 'Picarro Output'!$J:$J, 1), "")</f>
        <v/>
      </c>
    </row>
    <row r="5836" spans="2:5" x14ac:dyDescent="0.45">
      <c r="B5836" s="1"/>
      <c r="E5836" s="45" t="str">
        <f>IFERROR(AVERAGEIFS('Picarro Output'!G:G, 'Picarro Output'!$B:$B, 'Uncalibrated Data'!$C5836, 'Picarro Output'!$I:$I, 0, 'Picarro Output'!$J:$J, 1), "")</f>
        <v/>
      </c>
    </row>
    <row r="5837" spans="2:5" x14ac:dyDescent="0.45">
      <c r="B5837" s="1"/>
      <c r="E5837" s="45" t="str">
        <f>IFERROR(AVERAGEIFS('Picarro Output'!G:G, 'Picarro Output'!$B:$B, 'Uncalibrated Data'!$C5837, 'Picarro Output'!$I:$I, 0, 'Picarro Output'!$J:$J, 1), "")</f>
        <v/>
      </c>
    </row>
    <row r="5838" spans="2:5" x14ac:dyDescent="0.45">
      <c r="B5838" s="1"/>
      <c r="E5838" s="45" t="str">
        <f>IFERROR(AVERAGEIFS('Picarro Output'!G:G, 'Picarro Output'!$B:$B, 'Uncalibrated Data'!$C5838, 'Picarro Output'!$I:$I, 0, 'Picarro Output'!$J:$J, 1), "")</f>
        <v/>
      </c>
    </row>
    <row r="5839" spans="2:5" x14ac:dyDescent="0.45">
      <c r="B5839" s="1"/>
      <c r="E5839" s="45" t="str">
        <f>IFERROR(AVERAGEIFS('Picarro Output'!G:G, 'Picarro Output'!$B:$B, 'Uncalibrated Data'!$C5839, 'Picarro Output'!$I:$I, 0, 'Picarro Output'!$J:$J, 1), "")</f>
        <v/>
      </c>
    </row>
    <row r="5840" spans="2:5" x14ac:dyDescent="0.45">
      <c r="B5840" s="1"/>
      <c r="E5840" s="45" t="str">
        <f>IFERROR(AVERAGEIFS('Picarro Output'!G:G, 'Picarro Output'!$B:$B, 'Uncalibrated Data'!$C5840, 'Picarro Output'!$I:$I, 0, 'Picarro Output'!$J:$J, 1), "")</f>
        <v/>
      </c>
    </row>
    <row r="5841" spans="2:5" x14ac:dyDescent="0.45">
      <c r="B5841" s="1"/>
      <c r="E5841" s="45" t="str">
        <f>IFERROR(AVERAGEIFS('Picarro Output'!G:G, 'Picarro Output'!$B:$B, 'Uncalibrated Data'!$C5841, 'Picarro Output'!$I:$I, 0, 'Picarro Output'!$J:$J, 1), "")</f>
        <v/>
      </c>
    </row>
    <row r="5842" spans="2:5" x14ac:dyDescent="0.45">
      <c r="B5842" s="1"/>
      <c r="E5842" s="45" t="str">
        <f>IFERROR(AVERAGEIFS('Picarro Output'!G:G, 'Picarro Output'!$B:$B, 'Uncalibrated Data'!$C5842, 'Picarro Output'!$I:$I, 0, 'Picarro Output'!$J:$J, 1), "")</f>
        <v/>
      </c>
    </row>
    <row r="5843" spans="2:5" x14ac:dyDescent="0.45">
      <c r="B5843" s="1"/>
      <c r="E5843" s="45" t="str">
        <f>IFERROR(AVERAGEIFS('Picarro Output'!G:G, 'Picarro Output'!$B:$B, 'Uncalibrated Data'!$C5843, 'Picarro Output'!$I:$I, 0, 'Picarro Output'!$J:$J, 1), "")</f>
        <v/>
      </c>
    </row>
    <row r="5844" spans="2:5" x14ac:dyDescent="0.45">
      <c r="B5844" s="1"/>
      <c r="E5844" s="45" t="str">
        <f>IFERROR(AVERAGEIFS('Picarro Output'!G:G, 'Picarro Output'!$B:$B, 'Uncalibrated Data'!$C5844, 'Picarro Output'!$I:$I, 0, 'Picarro Output'!$J:$J, 1), "")</f>
        <v/>
      </c>
    </row>
    <row r="5845" spans="2:5" x14ac:dyDescent="0.45">
      <c r="B5845" s="1"/>
      <c r="E5845" s="45" t="str">
        <f>IFERROR(AVERAGEIFS('Picarro Output'!G:G, 'Picarro Output'!$B:$B, 'Uncalibrated Data'!$C5845, 'Picarro Output'!$I:$I, 0, 'Picarro Output'!$J:$J, 1), "")</f>
        <v/>
      </c>
    </row>
    <row r="5846" spans="2:5" x14ac:dyDescent="0.45">
      <c r="B5846" s="1"/>
      <c r="E5846" s="45" t="str">
        <f>IFERROR(AVERAGEIFS('Picarro Output'!G:G, 'Picarro Output'!$B:$B, 'Uncalibrated Data'!$C5846, 'Picarro Output'!$I:$I, 0, 'Picarro Output'!$J:$J, 1), "")</f>
        <v/>
      </c>
    </row>
    <row r="5847" spans="2:5" x14ac:dyDescent="0.45">
      <c r="B5847" s="1"/>
      <c r="E5847" s="45" t="str">
        <f>IFERROR(AVERAGEIFS('Picarro Output'!G:G, 'Picarro Output'!$B:$B, 'Uncalibrated Data'!$C5847, 'Picarro Output'!$I:$I, 0, 'Picarro Output'!$J:$J, 1), "")</f>
        <v/>
      </c>
    </row>
    <row r="5848" spans="2:5" x14ac:dyDescent="0.45">
      <c r="B5848" s="1"/>
      <c r="E5848" s="45" t="str">
        <f>IFERROR(AVERAGEIFS('Picarro Output'!G:G, 'Picarro Output'!$B:$B, 'Uncalibrated Data'!$C5848, 'Picarro Output'!$I:$I, 0, 'Picarro Output'!$J:$J, 1), "")</f>
        <v/>
      </c>
    </row>
    <row r="5849" spans="2:5" x14ac:dyDescent="0.45">
      <c r="B5849" s="1"/>
      <c r="E5849" s="45" t="str">
        <f>IFERROR(AVERAGEIFS('Picarro Output'!G:G, 'Picarro Output'!$B:$B, 'Uncalibrated Data'!$C5849, 'Picarro Output'!$I:$I, 0, 'Picarro Output'!$J:$J, 1), "")</f>
        <v/>
      </c>
    </row>
    <row r="5850" spans="2:5" x14ac:dyDescent="0.45">
      <c r="B5850" s="1"/>
      <c r="E5850" s="45" t="str">
        <f>IFERROR(AVERAGEIFS('Picarro Output'!G:G, 'Picarro Output'!$B:$B, 'Uncalibrated Data'!$C5850, 'Picarro Output'!$I:$I, 0, 'Picarro Output'!$J:$J, 1), "")</f>
        <v/>
      </c>
    </row>
    <row r="5851" spans="2:5" x14ac:dyDescent="0.45">
      <c r="B5851" s="1"/>
      <c r="E5851" s="45" t="str">
        <f>IFERROR(AVERAGEIFS('Picarro Output'!G:G, 'Picarro Output'!$B:$B, 'Uncalibrated Data'!$C5851, 'Picarro Output'!$I:$I, 0, 'Picarro Output'!$J:$J, 1), "")</f>
        <v/>
      </c>
    </row>
    <row r="5852" spans="2:5" x14ac:dyDescent="0.45">
      <c r="B5852" s="1"/>
      <c r="E5852" s="45" t="str">
        <f>IFERROR(AVERAGEIFS('Picarro Output'!G:G, 'Picarro Output'!$B:$B, 'Uncalibrated Data'!$C5852, 'Picarro Output'!$I:$I, 0, 'Picarro Output'!$J:$J, 1), "")</f>
        <v/>
      </c>
    </row>
    <row r="5853" spans="2:5" x14ac:dyDescent="0.45">
      <c r="B5853" s="1"/>
      <c r="E5853" s="45" t="str">
        <f>IFERROR(AVERAGEIFS('Picarro Output'!G:G, 'Picarro Output'!$B:$B, 'Uncalibrated Data'!$C5853, 'Picarro Output'!$I:$I, 0, 'Picarro Output'!$J:$J, 1), "")</f>
        <v/>
      </c>
    </row>
    <row r="5854" spans="2:5" x14ac:dyDescent="0.45">
      <c r="B5854" s="1"/>
      <c r="E5854" s="45" t="str">
        <f>IFERROR(AVERAGEIFS('Picarro Output'!G:G, 'Picarro Output'!$B:$B, 'Uncalibrated Data'!$C5854, 'Picarro Output'!$I:$I, 0, 'Picarro Output'!$J:$J, 1), "")</f>
        <v/>
      </c>
    </row>
    <row r="5855" spans="2:5" x14ac:dyDescent="0.45">
      <c r="B5855" s="1"/>
      <c r="E5855" s="45" t="str">
        <f>IFERROR(AVERAGEIFS('Picarro Output'!G:G, 'Picarro Output'!$B:$B, 'Uncalibrated Data'!$C5855, 'Picarro Output'!$I:$I, 0, 'Picarro Output'!$J:$J, 1), "")</f>
        <v/>
      </c>
    </row>
    <row r="5856" spans="2:5" x14ac:dyDescent="0.45">
      <c r="B5856" s="1"/>
      <c r="E5856" s="45" t="str">
        <f>IFERROR(AVERAGEIFS('Picarro Output'!G:G, 'Picarro Output'!$B:$B, 'Uncalibrated Data'!$C5856, 'Picarro Output'!$I:$I, 0, 'Picarro Output'!$J:$J, 1), "")</f>
        <v/>
      </c>
    </row>
    <row r="5857" spans="2:5" x14ac:dyDescent="0.45">
      <c r="B5857" s="1"/>
      <c r="E5857" s="45" t="str">
        <f>IFERROR(AVERAGEIFS('Picarro Output'!G:G, 'Picarro Output'!$B:$B, 'Uncalibrated Data'!$C5857, 'Picarro Output'!$I:$I, 0, 'Picarro Output'!$J:$J, 1), "")</f>
        <v/>
      </c>
    </row>
    <row r="5858" spans="2:5" x14ac:dyDescent="0.45">
      <c r="B5858" s="1"/>
      <c r="E5858" s="45" t="str">
        <f>IFERROR(AVERAGEIFS('Picarro Output'!G:G, 'Picarro Output'!$B:$B, 'Uncalibrated Data'!$C5858, 'Picarro Output'!$I:$I, 0, 'Picarro Output'!$J:$J, 1), "")</f>
        <v/>
      </c>
    </row>
    <row r="5859" spans="2:5" x14ac:dyDescent="0.45">
      <c r="B5859" s="1"/>
      <c r="E5859" s="45" t="str">
        <f>IFERROR(AVERAGEIFS('Picarro Output'!G:G, 'Picarro Output'!$B:$B, 'Uncalibrated Data'!$C5859, 'Picarro Output'!$I:$I, 0, 'Picarro Output'!$J:$J, 1), "")</f>
        <v/>
      </c>
    </row>
    <row r="5860" spans="2:5" x14ac:dyDescent="0.45">
      <c r="B5860" s="1"/>
      <c r="E5860" s="45" t="str">
        <f>IFERROR(AVERAGEIFS('Picarro Output'!G:G, 'Picarro Output'!$B:$B, 'Uncalibrated Data'!$C5860, 'Picarro Output'!$I:$I, 0, 'Picarro Output'!$J:$J, 1), "")</f>
        <v/>
      </c>
    </row>
    <row r="5861" spans="2:5" x14ac:dyDescent="0.45">
      <c r="B5861" s="1"/>
      <c r="E5861" s="45" t="str">
        <f>IFERROR(AVERAGEIFS('Picarro Output'!G:G, 'Picarro Output'!$B:$B, 'Uncalibrated Data'!$C5861, 'Picarro Output'!$I:$I, 0, 'Picarro Output'!$J:$J, 1), "")</f>
        <v/>
      </c>
    </row>
    <row r="5862" spans="2:5" x14ac:dyDescent="0.45">
      <c r="B5862" s="1"/>
      <c r="E5862" s="45" t="str">
        <f>IFERROR(AVERAGEIFS('Picarro Output'!G:G, 'Picarro Output'!$B:$B, 'Uncalibrated Data'!$C5862, 'Picarro Output'!$I:$I, 0, 'Picarro Output'!$J:$J, 1), "")</f>
        <v/>
      </c>
    </row>
    <row r="5863" spans="2:5" x14ac:dyDescent="0.45">
      <c r="B5863" s="1"/>
      <c r="E5863" s="45" t="str">
        <f>IFERROR(AVERAGEIFS('Picarro Output'!G:G, 'Picarro Output'!$B:$B, 'Uncalibrated Data'!$C5863, 'Picarro Output'!$I:$I, 0, 'Picarro Output'!$J:$J, 1), "")</f>
        <v/>
      </c>
    </row>
    <row r="5864" spans="2:5" x14ac:dyDescent="0.45">
      <c r="B5864" s="1"/>
      <c r="E5864" s="45" t="str">
        <f>IFERROR(AVERAGEIFS('Picarro Output'!G:G, 'Picarro Output'!$B:$B, 'Uncalibrated Data'!$C5864, 'Picarro Output'!$I:$I, 0, 'Picarro Output'!$J:$J, 1), "")</f>
        <v/>
      </c>
    </row>
    <row r="5865" spans="2:5" x14ac:dyDescent="0.45">
      <c r="B5865" s="1"/>
      <c r="E5865" s="45" t="str">
        <f>IFERROR(AVERAGEIFS('Picarro Output'!G:G, 'Picarro Output'!$B:$B, 'Uncalibrated Data'!$C5865, 'Picarro Output'!$I:$I, 0, 'Picarro Output'!$J:$J, 1), "")</f>
        <v/>
      </c>
    </row>
    <row r="5866" spans="2:5" x14ac:dyDescent="0.45">
      <c r="B5866" s="1"/>
      <c r="E5866" s="45" t="str">
        <f>IFERROR(AVERAGEIFS('Picarro Output'!G:G, 'Picarro Output'!$B:$B, 'Uncalibrated Data'!$C5866, 'Picarro Output'!$I:$I, 0, 'Picarro Output'!$J:$J, 1), "")</f>
        <v/>
      </c>
    </row>
    <row r="5867" spans="2:5" x14ac:dyDescent="0.45">
      <c r="B5867" s="1"/>
      <c r="E5867" s="45" t="str">
        <f>IFERROR(AVERAGEIFS('Picarro Output'!G:G, 'Picarro Output'!$B:$B, 'Uncalibrated Data'!$C5867, 'Picarro Output'!$I:$I, 0, 'Picarro Output'!$J:$J, 1), "")</f>
        <v/>
      </c>
    </row>
    <row r="5868" spans="2:5" x14ac:dyDescent="0.45">
      <c r="B5868" s="1"/>
      <c r="E5868" s="45" t="str">
        <f>IFERROR(AVERAGEIFS('Picarro Output'!G:G, 'Picarro Output'!$B:$B, 'Uncalibrated Data'!$C5868, 'Picarro Output'!$I:$I, 0, 'Picarro Output'!$J:$J, 1), "")</f>
        <v/>
      </c>
    </row>
    <row r="5869" spans="2:5" x14ac:dyDescent="0.45">
      <c r="B5869" s="1"/>
      <c r="E5869" s="45" t="str">
        <f>IFERROR(AVERAGEIFS('Picarro Output'!G:G, 'Picarro Output'!$B:$B, 'Uncalibrated Data'!$C5869, 'Picarro Output'!$I:$I, 0, 'Picarro Output'!$J:$J, 1), "")</f>
        <v/>
      </c>
    </row>
    <row r="5870" spans="2:5" x14ac:dyDescent="0.45">
      <c r="B5870" s="1"/>
      <c r="E5870" s="45" t="str">
        <f>IFERROR(AVERAGEIFS('Picarro Output'!G:G, 'Picarro Output'!$B:$B, 'Uncalibrated Data'!$C5870, 'Picarro Output'!$I:$I, 0, 'Picarro Output'!$J:$J, 1), "")</f>
        <v/>
      </c>
    </row>
    <row r="5871" spans="2:5" x14ac:dyDescent="0.45">
      <c r="B5871" s="1"/>
      <c r="E5871" s="45" t="str">
        <f>IFERROR(AVERAGEIFS('Picarro Output'!G:G, 'Picarro Output'!$B:$B, 'Uncalibrated Data'!$C5871, 'Picarro Output'!$I:$I, 0, 'Picarro Output'!$J:$J, 1), "")</f>
        <v/>
      </c>
    </row>
    <row r="5872" spans="2:5" x14ac:dyDescent="0.45">
      <c r="B5872" s="1"/>
      <c r="E5872" s="45" t="str">
        <f>IFERROR(AVERAGEIFS('Picarro Output'!G:G, 'Picarro Output'!$B:$B, 'Uncalibrated Data'!$C5872, 'Picarro Output'!$I:$I, 0, 'Picarro Output'!$J:$J, 1), "")</f>
        <v/>
      </c>
    </row>
    <row r="5873" spans="2:5" x14ac:dyDescent="0.45">
      <c r="B5873" s="1"/>
      <c r="E5873" s="45" t="str">
        <f>IFERROR(AVERAGEIFS('Picarro Output'!G:G, 'Picarro Output'!$B:$B, 'Uncalibrated Data'!$C5873, 'Picarro Output'!$I:$I, 0, 'Picarro Output'!$J:$J, 1), "")</f>
        <v/>
      </c>
    </row>
    <row r="5874" spans="2:5" x14ac:dyDescent="0.45">
      <c r="B5874" s="1"/>
      <c r="E5874" s="45" t="str">
        <f>IFERROR(AVERAGEIFS('Picarro Output'!G:G, 'Picarro Output'!$B:$B, 'Uncalibrated Data'!$C5874, 'Picarro Output'!$I:$I, 0, 'Picarro Output'!$J:$J, 1), "")</f>
        <v/>
      </c>
    </row>
    <row r="5875" spans="2:5" x14ac:dyDescent="0.45">
      <c r="B5875" s="1"/>
      <c r="E5875" s="45" t="str">
        <f>IFERROR(AVERAGEIFS('Picarro Output'!G:G, 'Picarro Output'!$B:$B, 'Uncalibrated Data'!$C5875, 'Picarro Output'!$I:$I, 0, 'Picarro Output'!$J:$J, 1), "")</f>
        <v/>
      </c>
    </row>
    <row r="5876" spans="2:5" x14ac:dyDescent="0.45">
      <c r="B5876" s="1"/>
      <c r="E5876" s="45" t="str">
        <f>IFERROR(AVERAGEIFS('Picarro Output'!G:G, 'Picarro Output'!$B:$B, 'Uncalibrated Data'!$C5876, 'Picarro Output'!$I:$I, 0, 'Picarro Output'!$J:$J, 1), "")</f>
        <v/>
      </c>
    </row>
    <row r="5877" spans="2:5" x14ac:dyDescent="0.45">
      <c r="B5877" s="1"/>
      <c r="E5877" s="45" t="str">
        <f>IFERROR(AVERAGEIFS('Picarro Output'!G:G, 'Picarro Output'!$B:$B, 'Uncalibrated Data'!$C5877, 'Picarro Output'!$I:$I, 0, 'Picarro Output'!$J:$J, 1), "")</f>
        <v/>
      </c>
    </row>
    <row r="5878" spans="2:5" x14ac:dyDescent="0.45">
      <c r="B5878" s="1"/>
      <c r="E5878" s="45" t="str">
        <f>IFERROR(AVERAGEIFS('Picarro Output'!G:G, 'Picarro Output'!$B:$B, 'Uncalibrated Data'!$C5878, 'Picarro Output'!$I:$I, 0, 'Picarro Output'!$J:$J, 1), "")</f>
        <v/>
      </c>
    </row>
    <row r="5879" spans="2:5" x14ac:dyDescent="0.45">
      <c r="B5879" s="1"/>
      <c r="E5879" s="45" t="str">
        <f>IFERROR(AVERAGEIFS('Picarro Output'!G:G, 'Picarro Output'!$B:$B, 'Uncalibrated Data'!$C5879, 'Picarro Output'!$I:$I, 0, 'Picarro Output'!$J:$J, 1), "")</f>
        <v/>
      </c>
    </row>
    <row r="5880" spans="2:5" x14ac:dyDescent="0.45">
      <c r="B5880" s="1"/>
      <c r="E5880" s="45" t="str">
        <f>IFERROR(AVERAGEIFS('Picarro Output'!G:G, 'Picarro Output'!$B:$B, 'Uncalibrated Data'!$C5880, 'Picarro Output'!$I:$I, 0, 'Picarro Output'!$J:$J, 1), "")</f>
        <v/>
      </c>
    </row>
    <row r="5881" spans="2:5" x14ac:dyDescent="0.45">
      <c r="B5881" s="1"/>
      <c r="E5881" s="45" t="str">
        <f>IFERROR(AVERAGEIFS('Picarro Output'!G:G, 'Picarro Output'!$B:$B, 'Uncalibrated Data'!$C5881, 'Picarro Output'!$I:$I, 0, 'Picarro Output'!$J:$J, 1), "")</f>
        <v/>
      </c>
    </row>
    <row r="5882" spans="2:5" x14ac:dyDescent="0.45">
      <c r="B5882" s="1"/>
      <c r="E5882" s="45" t="str">
        <f>IFERROR(AVERAGEIFS('Picarro Output'!G:G, 'Picarro Output'!$B:$B, 'Uncalibrated Data'!$C5882, 'Picarro Output'!$I:$I, 0, 'Picarro Output'!$J:$J, 1), "")</f>
        <v/>
      </c>
    </row>
    <row r="5883" spans="2:5" x14ac:dyDescent="0.45">
      <c r="B5883" s="1"/>
      <c r="E5883" s="45" t="str">
        <f>IFERROR(AVERAGEIFS('Picarro Output'!G:G, 'Picarro Output'!$B:$B, 'Uncalibrated Data'!$C5883, 'Picarro Output'!$I:$I, 0, 'Picarro Output'!$J:$J, 1), "")</f>
        <v/>
      </c>
    </row>
    <row r="5884" spans="2:5" x14ac:dyDescent="0.45">
      <c r="B5884" s="1"/>
      <c r="E5884" s="45" t="str">
        <f>IFERROR(AVERAGEIFS('Picarro Output'!G:G, 'Picarro Output'!$B:$B, 'Uncalibrated Data'!$C5884, 'Picarro Output'!$I:$I, 0, 'Picarro Output'!$J:$J, 1), "")</f>
        <v/>
      </c>
    </row>
    <row r="5885" spans="2:5" x14ac:dyDescent="0.45">
      <c r="B5885" s="1"/>
      <c r="E5885" s="45" t="str">
        <f>IFERROR(AVERAGEIFS('Picarro Output'!G:G, 'Picarro Output'!$B:$B, 'Uncalibrated Data'!$C5885, 'Picarro Output'!$I:$I, 0, 'Picarro Output'!$J:$J, 1), "")</f>
        <v/>
      </c>
    </row>
    <row r="5886" spans="2:5" x14ac:dyDescent="0.45">
      <c r="B5886" s="1"/>
      <c r="E5886" s="45" t="str">
        <f>IFERROR(AVERAGEIFS('Picarro Output'!G:G, 'Picarro Output'!$B:$B, 'Uncalibrated Data'!$C5886, 'Picarro Output'!$I:$I, 0, 'Picarro Output'!$J:$J, 1), "")</f>
        <v/>
      </c>
    </row>
    <row r="5887" spans="2:5" x14ac:dyDescent="0.45">
      <c r="B5887" s="1"/>
      <c r="E5887" s="45" t="str">
        <f>IFERROR(AVERAGEIFS('Picarro Output'!G:G, 'Picarro Output'!$B:$B, 'Uncalibrated Data'!$C5887, 'Picarro Output'!$I:$I, 0, 'Picarro Output'!$J:$J, 1), "")</f>
        <v/>
      </c>
    </row>
    <row r="5888" spans="2:5" x14ac:dyDescent="0.45">
      <c r="B5888" s="1"/>
      <c r="E5888" s="45" t="str">
        <f>IFERROR(AVERAGEIFS('Picarro Output'!G:G, 'Picarro Output'!$B:$B, 'Uncalibrated Data'!$C5888, 'Picarro Output'!$I:$I, 0, 'Picarro Output'!$J:$J, 1), "")</f>
        <v/>
      </c>
    </row>
    <row r="5889" spans="2:5" x14ac:dyDescent="0.45">
      <c r="B5889" s="1"/>
      <c r="E5889" s="45" t="str">
        <f>IFERROR(AVERAGEIFS('Picarro Output'!G:G, 'Picarro Output'!$B:$B, 'Uncalibrated Data'!$C5889, 'Picarro Output'!$I:$I, 0, 'Picarro Output'!$J:$J, 1), "")</f>
        <v/>
      </c>
    </row>
    <row r="5890" spans="2:5" x14ac:dyDescent="0.45">
      <c r="B5890" s="1"/>
      <c r="E5890" s="45" t="str">
        <f>IFERROR(AVERAGEIFS('Picarro Output'!G:G, 'Picarro Output'!$B:$B, 'Uncalibrated Data'!$C5890, 'Picarro Output'!$I:$I, 0, 'Picarro Output'!$J:$J, 1), "")</f>
        <v/>
      </c>
    </row>
    <row r="5891" spans="2:5" x14ac:dyDescent="0.45">
      <c r="B5891" s="1"/>
      <c r="E5891" s="45" t="str">
        <f>IFERROR(AVERAGEIFS('Picarro Output'!G:G, 'Picarro Output'!$B:$B, 'Uncalibrated Data'!$C5891, 'Picarro Output'!$I:$I, 0, 'Picarro Output'!$J:$J, 1), "")</f>
        <v/>
      </c>
    </row>
    <row r="5892" spans="2:5" x14ac:dyDescent="0.45">
      <c r="B5892" s="1"/>
      <c r="E5892" s="45" t="str">
        <f>IFERROR(AVERAGEIFS('Picarro Output'!G:G, 'Picarro Output'!$B:$B, 'Uncalibrated Data'!$C5892, 'Picarro Output'!$I:$I, 0, 'Picarro Output'!$J:$J, 1), "")</f>
        <v/>
      </c>
    </row>
    <row r="5893" spans="2:5" x14ac:dyDescent="0.45">
      <c r="B5893" s="1"/>
      <c r="E5893" s="45" t="str">
        <f>IFERROR(AVERAGEIFS('Picarro Output'!G:G, 'Picarro Output'!$B:$B, 'Uncalibrated Data'!$C5893, 'Picarro Output'!$I:$I, 0, 'Picarro Output'!$J:$J, 1), "")</f>
        <v/>
      </c>
    </row>
    <row r="5894" spans="2:5" x14ac:dyDescent="0.45">
      <c r="B5894" s="1"/>
      <c r="E5894" s="45" t="str">
        <f>IFERROR(AVERAGEIFS('Picarro Output'!G:G, 'Picarro Output'!$B:$B, 'Uncalibrated Data'!$C5894, 'Picarro Output'!$I:$I, 0, 'Picarro Output'!$J:$J, 1), "")</f>
        <v/>
      </c>
    </row>
    <row r="5895" spans="2:5" x14ac:dyDescent="0.45">
      <c r="B5895" s="1"/>
      <c r="E5895" s="45" t="str">
        <f>IFERROR(AVERAGEIFS('Picarro Output'!G:G, 'Picarro Output'!$B:$B, 'Uncalibrated Data'!$C5895, 'Picarro Output'!$I:$I, 0, 'Picarro Output'!$J:$J, 1), "")</f>
        <v/>
      </c>
    </row>
    <row r="5896" spans="2:5" x14ac:dyDescent="0.45">
      <c r="B5896" s="1"/>
      <c r="E5896" s="45" t="str">
        <f>IFERROR(AVERAGEIFS('Picarro Output'!G:G, 'Picarro Output'!$B:$B, 'Uncalibrated Data'!$C5896, 'Picarro Output'!$I:$I, 0, 'Picarro Output'!$J:$J, 1), "")</f>
        <v/>
      </c>
    </row>
    <row r="5897" spans="2:5" x14ac:dyDescent="0.45">
      <c r="B5897" s="1"/>
      <c r="E5897" s="45" t="str">
        <f>IFERROR(AVERAGEIFS('Picarro Output'!G:G, 'Picarro Output'!$B:$B, 'Uncalibrated Data'!$C5897, 'Picarro Output'!$I:$I, 0, 'Picarro Output'!$J:$J, 1), "")</f>
        <v/>
      </c>
    </row>
    <row r="5898" spans="2:5" x14ac:dyDescent="0.45">
      <c r="B5898" s="1"/>
      <c r="E5898" s="45" t="str">
        <f>IFERROR(AVERAGEIFS('Picarro Output'!G:G, 'Picarro Output'!$B:$B, 'Uncalibrated Data'!$C5898, 'Picarro Output'!$I:$I, 0, 'Picarro Output'!$J:$J, 1), "")</f>
        <v/>
      </c>
    </row>
    <row r="5899" spans="2:5" x14ac:dyDescent="0.45">
      <c r="B5899" s="1"/>
      <c r="E5899" s="45" t="str">
        <f>IFERROR(AVERAGEIFS('Picarro Output'!G:G, 'Picarro Output'!$B:$B, 'Uncalibrated Data'!$C5899, 'Picarro Output'!$I:$I, 0, 'Picarro Output'!$J:$J, 1), "")</f>
        <v/>
      </c>
    </row>
    <row r="5900" spans="2:5" x14ac:dyDescent="0.45">
      <c r="B5900" s="1"/>
      <c r="E5900" s="45" t="str">
        <f>IFERROR(AVERAGEIFS('Picarro Output'!G:G, 'Picarro Output'!$B:$B, 'Uncalibrated Data'!$C5900, 'Picarro Output'!$I:$I, 0, 'Picarro Output'!$J:$J, 1), "")</f>
        <v/>
      </c>
    </row>
    <row r="5901" spans="2:5" x14ac:dyDescent="0.45">
      <c r="B5901" s="1"/>
      <c r="E5901" s="45" t="str">
        <f>IFERROR(AVERAGEIFS('Picarro Output'!G:G, 'Picarro Output'!$B:$B, 'Uncalibrated Data'!$C5901, 'Picarro Output'!$I:$I, 0, 'Picarro Output'!$J:$J, 1), "")</f>
        <v/>
      </c>
    </row>
    <row r="5902" spans="2:5" x14ac:dyDescent="0.45">
      <c r="B5902" s="1"/>
      <c r="E5902" s="45" t="str">
        <f>IFERROR(AVERAGEIFS('Picarro Output'!G:G, 'Picarro Output'!$B:$B, 'Uncalibrated Data'!$C5902, 'Picarro Output'!$I:$I, 0, 'Picarro Output'!$J:$J, 1), "")</f>
        <v/>
      </c>
    </row>
    <row r="5903" spans="2:5" x14ac:dyDescent="0.45">
      <c r="B5903" s="1"/>
      <c r="E5903" s="45" t="str">
        <f>IFERROR(AVERAGEIFS('Picarro Output'!G:G, 'Picarro Output'!$B:$B, 'Uncalibrated Data'!$C5903, 'Picarro Output'!$I:$I, 0, 'Picarro Output'!$J:$J, 1), "")</f>
        <v/>
      </c>
    </row>
    <row r="5904" spans="2:5" x14ac:dyDescent="0.45">
      <c r="B5904" s="1"/>
      <c r="E5904" s="45" t="str">
        <f>IFERROR(AVERAGEIFS('Picarro Output'!G:G, 'Picarro Output'!$B:$B, 'Uncalibrated Data'!$C5904, 'Picarro Output'!$I:$I, 0, 'Picarro Output'!$J:$J, 1), "")</f>
        <v/>
      </c>
    </row>
    <row r="5905" spans="2:5" x14ac:dyDescent="0.45">
      <c r="B5905" s="1"/>
      <c r="E5905" s="45" t="str">
        <f>IFERROR(AVERAGEIFS('Picarro Output'!G:G, 'Picarro Output'!$B:$B, 'Uncalibrated Data'!$C5905, 'Picarro Output'!$I:$I, 0, 'Picarro Output'!$J:$J, 1), "")</f>
        <v/>
      </c>
    </row>
    <row r="5906" spans="2:5" x14ac:dyDescent="0.45">
      <c r="B5906" s="1"/>
      <c r="E5906" s="45" t="str">
        <f>IFERROR(AVERAGEIFS('Picarro Output'!G:G, 'Picarro Output'!$B:$B, 'Uncalibrated Data'!$C5906, 'Picarro Output'!$I:$I, 0, 'Picarro Output'!$J:$J, 1), "")</f>
        <v/>
      </c>
    </row>
    <row r="5907" spans="2:5" x14ac:dyDescent="0.45">
      <c r="B5907" s="1"/>
      <c r="E5907" s="45" t="str">
        <f>IFERROR(AVERAGEIFS('Picarro Output'!G:G, 'Picarro Output'!$B:$B, 'Uncalibrated Data'!$C5907, 'Picarro Output'!$I:$I, 0, 'Picarro Output'!$J:$J, 1), "")</f>
        <v/>
      </c>
    </row>
    <row r="5908" spans="2:5" x14ac:dyDescent="0.45">
      <c r="B5908" s="1"/>
      <c r="E5908" s="45" t="str">
        <f>IFERROR(AVERAGEIFS('Picarro Output'!G:G, 'Picarro Output'!$B:$B, 'Uncalibrated Data'!$C5908, 'Picarro Output'!$I:$I, 0, 'Picarro Output'!$J:$J, 1), "")</f>
        <v/>
      </c>
    </row>
    <row r="5909" spans="2:5" x14ac:dyDescent="0.45">
      <c r="B5909" s="1"/>
      <c r="E5909" s="45" t="str">
        <f>IFERROR(AVERAGEIFS('Picarro Output'!G:G, 'Picarro Output'!$B:$B, 'Uncalibrated Data'!$C5909, 'Picarro Output'!$I:$I, 0, 'Picarro Output'!$J:$J, 1), "")</f>
        <v/>
      </c>
    </row>
    <row r="5910" spans="2:5" x14ac:dyDescent="0.45">
      <c r="B5910" s="1"/>
      <c r="E5910" s="45" t="str">
        <f>IFERROR(AVERAGEIFS('Picarro Output'!G:G, 'Picarro Output'!$B:$B, 'Uncalibrated Data'!$C5910, 'Picarro Output'!$I:$I, 0, 'Picarro Output'!$J:$J, 1), "")</f>
        <v/>
      </c>
    </row>
    <row r="5911" spans="2:5" x14ac:dyDescent="0.45">
      <c r="B5911" s="1"/>
      <c r="E5911" s="45" t="str">
        <f>IFERROR(AVERAGEIFS('Picarro Output'!G:G, 'Picarro Output'!$B:$B, 'Uncalibrated Data'!$C5911, 'Picarro Output'!$I:$I, 0, 'Picarro Output'!$J:$J, 1), "")</f>
        <v/>
      </c>
    </row>
    <row r="5912" spans="2:5" x14ac:dyDescent="0.45">
      <c r="B5912" s="1"/>
      <c r="E5912" s="45" t="str">
        <f>IFERROR(AVERAGEIFS('Picarro Output'!G:G, 'Picarro Output'!$B:$B, 'Uncalibrated Data'!$C5912, 'Picarro Output'!$I:$I, 0, 'Picarro Output'!$J:$J, 1), "")</f>
        <v/>
      </c>
    </row>
    <row r="5913" spans="2:5" x14ac:dyDescent="0.45">
      <c r="B5913" s="1"/>
      <c r="E5913" s="45" t="str">
        <f>IFERROR(AVERAGEIFS('Picarro Output'!G:G, 'Picarro Output'!$B:$B, 'Uncalibrated Data'!$C5913, 'Picarro Output'!$I:$I, 0, 'Picarro Output'!$J:$J, 1), "")</f>
        <v/>
      </c>
    </row>
    <row r="5914" spans="2:5" x14ac:dyDescent="0.45">
      <c r="B5914" s="1"/>
      <c r="E5914" s="45" t="str">
        <f>IFERROR(AVERAGEIFS('Picarro Output'!G:G, 'Picarro Output'!$B:$B, 'Uncalibrated Data'!$C5914, 'Picarro Output'!$I:$I, 0, 'Picarro Output'!$J:$J, 1), "")</f>
        <v/>
      </c>
    </row>
    <row r="5915" spans="2:5" x14ac:dyDescent="0.45">
      <c r="B5915" s="1"/>
      <c r="E5915" s="45" t="str">
        <f>IFERROR(AVERAGEIFS('Picarro Output'!G:G, 'Picarro Output'!$B:$B, 'Uncalibrated Data'!$C5915, 'Picarro Output'!$I:$I, 0, 'Picarro Output'!$J:$J, 1), "")</f>
        <v/>
      </c>
    </row>
    <row r="5916" spans="2:5" x14ac:dyDescent="0.45">
      <c r="B5916" s="1"/>
      <c r="E5916" s="45" t="str">
        <f>IFERROR(AVERAGEIFS('Picarro Output'!G:G, 'Picarro Output'!$B:$B, 'Uncalibrated Data'!$C5916, 'Picarro Output'!$I:$I, 0, 'Picarro Output'!$J:$J, 1), "")</f>
        <v/>
      </c>
    </row>
    <row r="5917" spans="2:5" x14ac:dyDescent="0.45">
      <c r="B5917" s="1"/>
      <c r="E5917" s="45" t="str">
        <f>IFERROR(AVERAGEIFS('Picarro Output'!G:G, 'Picarro Output'!$B:$B, 'Uncalibrated Data'!$C5917, 'Picarro Output'!$I:$I, 0, 'Picarro Output'!$J:$J, 1), "")</f>
        <v/>
      </c>
    </row>
    <row r="5918" spans="2:5" x14ac:dyDescent="0.45">
      <c r="B5918" s="1"/>
      <c r="E5918" s="45" t="str">
        <f>IFERROR(AVERAGEIFS('Picarro Output'!G:G, 'Picarro Output'!$B:$B, 'Uncalibrated Data'!$C5918, 'Picarro Output'!$I:$I, 0, 'Picarro Output'!$J:$J, 1), "")</f>
        <v/>
      </c>
    </row>
    <row r="5919" spans="2:5" x14ac:dyDescent="0.45">
      <c r="B5919" s="1"/>
      <c r="E5919" s="45" t="str">
        <f>IFERROR(AVERAGEIFS('Picarro Output'!G:G, 'Picarro Output'!$B:$B, 'Uncalibrated Data'!$C5919, 'Picarro Output'!$I:$I, 0, 'Picarro Output'!$J:$J, 1), "")</f>
        <v/>
      </c>
    </row>
    <row r="5920" spans="2:5" x14ac:dyDescent="0.45">
      <c r="B5920" s="1"/>
      <c r="E5920" s="45" t="str">
        <f>IFERROR(AVERAGEIFS('Picarro Output'!G:G, 'Picarro Output'!$B:$B, 'Uncalibrated Data'!$C5920, 'Picarro Output'!$I:$I, 0, 'Picarro Output'!$J:$J, 1), "")</f>
        <v/>
      </c>
    </row>
    <row r="5921" spans="2:5" x14ac:dyDescent="0.45">
      <c r="B5921" s="1"/>
      <c r="E5921" s="45" t="str">
        <f>IFERROR(AVERAGEIFS('Picarro Output'!G:G, 'Picarro Output'!$B:$B, 'Uncalibrated Data'!$C5921, 'Picarro Output'!$I:$I, 0, 'Picarro Output'!$J:$J, 1), "")</f>
        <v/>
      </c>
    </row>
    <row r="5922" spans="2:5" x14ac:dyDescent="0.45">
      <c r="B5922" s="1"/>
      <c r="E5922" s="45" t="str">
        <f>IFERROR(AVERAGEIFS('Picarro Output'!G:G, 'Picarro Output'!$B:$B, 'Uncalibrated Data'!$C5922, 'Picarro Output'!$I:$I, 0, 'Picarro Output'!$J:$J, 1), "")</f>
        <v/>
      </c>
    </row>
    <row r="5923" spans="2:5" x14ac:dyDescent="0.45">
      <c r="B5923" s="1"/>
      <c r="E5923" s="45" t="str">
        <f>IFERROR(AVERAGEIFS('Picarro Output'!G:G, 'Picarro Output'!$B:$B, 'Uncalibrated Data'!$C5923, 'Picarro Output'!$I:$I, 0, 'Picarro Output'!$J:$J, 1), "")</f>
        <v/>
      </c>
    </row>
    <row r="5924" spans="2:5" x14ac:dyDescent="0.45">
      <c r="B5924" s="1"/>
      <c r="E5924" s="45" t="str">
        <f>IFERROR(AVERAGEIFS('Picarro Output'!G:G, 'Picarro Output'!$B:$B, 'Uncalibrated Data'!$C5924, 'Picarro Output'!$I:$I, 0, 'Picarro Output'!$J:$J, 1), "")</f>
        <v/>
      </c>
    </row>
    <row r="5925" spans="2:5" x14ac:dyDescent="0.45">
      <c r="B5925" s="1"/>
      <c r="E5925" s="45" t="str">
        <f>IFERROR(AVERAGEIFS('Picarro Output'!G:G, 'Picarro Output'!$B:$B, 'Uncalibrated Data'!$C5925, 'Picarro Output'!$I:$I, 0, 'Picarro Output'!$J:$J, 1), "")</f>
        <v/>
      </c>
    </row>
    <row r="5926" spans="2:5" x14ac:dyDescent="0.45">
      <c r="B5926" s="1"/>
      <c r="E5926" s="45" t="str">
        <f>IFERROR(AVERAGEIFS('Picarro Output'!G:G, 'Picarro Output'!$B:$B, 'Uncalibrated Data'!$C5926, 'Picarro Output'!$I:$I, 0, 'Picarro Output'!$J:$J, 1), "")</f>
        <v/>
      </c>
    </row>
    <row r="5927" spans="2:5" x14ac:dyDescent="0.45">
      <c r="B5927" s="1"/>
      <c r="E5927" s="45" t="str">
        <f>IFERROR(AVERAGEIFS('Picarro Output'!G:G, 'Picarro Output'!$B:$B, 'Uncalibrated Data'!$C5927, 'Picarro Output'!$I:$I, 0, 'Picarro Output'!$J:$J, 1), "")</f>
        <v/>
      </c>
    </row>
    <row r="5928" spans="2:5" x14ac:dyDescent="0.45">
      <c r="B5928" s="1"/>
      <c r="E5928" s="45" t="str">
        <f>IFERROR(AVERAGEIFS('Picarro Output'!G:G, 'Picarro Output'!$B:$B, 'Uncalibrated Data'!$C5928, 'Picarro Output'!$I:$I, 0, 'Picarro Output'!$J:$J, 1), "")</f>
        <v/>
      </c>
    </row>
    <row r="5929" spans="2:5" x14ac:dyDescent="0.45">
      <c r="B5929" s="1"/>
      <c r="E5929" s="45" t="str">
        <f>IFERROR(AVERAGEIFS('Picarro Output'!G:G, 'Picarro Output'!$B:$B, 'Uncalibrated Data'!$C5929, 'Picarro Output'!$I:$I, 0, 'Picarro Output'!$J:$J, 1), "")</f>
        <v/>
      </c>
    </row>
    <row r="5930" spans="2:5" x14ac:dyDescent="0.45">
      <c r="B5930" s="1"/>
      <c r="E5930" s="45" t="str">
        <f>IFERROR(AVERAGEIFS('Picarro Output'!G:G, 'Picarro Output'!$B:$B, 'Uncalibrated Data'!$C5930, 'Picarro Output'!$I:$I, 0, 'Picarro Output'!$J:$J, 1), "")</f>
        <v/>
      </c>
    </row>
    <row r="5931" spans="2:5" x14ac:dyDescent="0.45">
      <c r="B5931" s="1"/>
      <c r="E5931" s="45" t="str">
        <f>IFERROR(AVERAGEIFS('Picarro Output'!G:G, 'Picarro Output'!$B:$B, 'Uncalibrated Data'!$C5931, 'Picarro Output'!$I:$I, 0, 'Picarro Output'!$J:$J, 1), "")</f>
        <v/>
      </c>
    </row>
    <row r="5932" spans="2:5" x14ac:dyDescent="0.45">
      <c r="B5932" s="1"/>
      <c r="E5932" s="45" t="str">
        <f>IFERROR(AVERAGEIFS('Picarro Output'!G:G, 'Picarro Output'!$B:$B, 'Uncalibrated Data'!$C5932, 'Picarro Output'!$I:$I, 0, 'Picarro Output'!$J:$J, 1), "")</f>
        <v/>
      </c>
    </row>
    <row r="5933" spans="2:5" x14ac:dyDescent="0.45">
      <c r="B5933" s="1"/>
      <c r="E5933" s="45" t="str">
        <f>IFERROR(AVERAGEIFS('Picarro Output'!G:G, 'Picarro Output'!$B:$B, 'Uncalibrated Data'!$C5933, 'Picarro Output'!$I:$I, 0, 'Picarro Output'!$J:$J, 1), "")</f>
        <v/>
      </c>
    </row>
    <row r="5934" spans="2:5" x14ac:dyDescent="0.45">
      <c r="B5934" s="1"/>
      <c r="E5934" s="45" t="str">
        <f>IFERROR(AVERAGEIFS('Picarro Output'!G:G, 'Picarro Output'!$B:$B, 'Uncalibrated Data'!$C5934, 'Picarro Output'!$I:$I, 0, 'Picarro Output'!$J:$J, 1), "")</f>
        <v/>
      </c>
    </row>
    <row r="5935" spans="2:5" x14ac:dyDescent="0.45">
      <c r="B5935" s="1"/>
      <c r="E5935" s="45" t="str">
        <f>IFERROR(AVERAGEIFS('Picarro Output'!G:G, 'Picarro Output'!$B:$B, 'Uncalibrated Data'!$C5935, 'Picarro Output'!$I:$I, 0, 'Picarro Output'!$J:$J, 1), "")</f>
        <v/>
      </c>
    </row>
    <row r="5936" spans="2:5" x14ac:dyDescent="0.45">
      <c r="B5936" s="1"/>
      <c r="E5936" s="45" t="str">
        <f>IFERROR(AVERAGEIFS('Picarro Output'!G:G, 'Picarro Output'!$B:$B, 'Uncalibrated Data'!$C5936, 'Picarro Output'!$I:$I, 0, 'Picarro Output'!$J:$J, 1), "")</f>
        <v/>
      </c>
    </row>
    <row r="5937" spans="2:5" x14ac:dyDescent="0.45">
      <c r="B5937" s="1"/>
      <c r="E5937" s="45" t="str">
        <f>IFERROR(AVERAGEIFS('Picarro Output'!G:G, 'Picarro Output'!$B:$B, 'Uncalibrated Data'!$C5937, 'Picarro Output'!$I:$I, 0, 'Picarro Output'!$J:$J, 1), "")</f>
        <v/>
      </c>
    </row>
    <row r="5938" spans="2:5" x14ac:dyDescent="0.45">
      <c r="B5938" s="1"/>
      <c r="E5938" s="45" t="str">
        <f>IFERROR(AVERAGEIFS('Picarro Output'!G:G, 'Picarro Output'!$B:$B, 'Uncalibrated Data'!$C5938, 'Picarro Output'!$I:$I, 0, 'Picarro Output'!$J:$J, 1), "")</f>
        <v/>
      </c>
    </row>
    <row r="5939" spans="2:5" x14ac:dyDescent="0.45">
      <c r="B5939" s="1"/>
      <c r="E5939" s="45" t="str">
        <f>IFERROR(AVERAGEIFS('Picarro Output'!G:G, 'Picarro Output'!$B:$B, 'Uncalibrated Data'!$C5939, 'Picarro Output'!$I:$I, 0, 'Picarro Output'!$J:$J, 1), "")</f>
        <v/>
      </c>
    </row>
    <row r="5940" spans="2:5" x14ac:dyDescent="0.45">
      <c r="B5940" s="1"/>
      <c r="E5940" s="45" t="str">
        <f>IFERROR(AVERAGEIFS('Picarro Output'!G:G, 'Picarro Output'!$B:$B, 'Uncalibrated Data'!$C5940, 'Picarro Output'!$I:$I, 0, 'Picarro Output'!$J:$J, 1), "")</f>
        <v/>
      </c>
    </row>
    <row r="5941" spans="2:5" x14ac:dyDescent="0.45">
      <c r="B5941" s="1"/>
      <c r="E5941" s="45" t="str">
        <f>IFERROR(AVERAGEIFS('Picarro Output'!G:G, 'Picarro Output'!$B:$B, 'Uncalibrated Data'!$C5941, 'Picarro Output'!$I:$I, 0, 'Picarro Output'!$J:$J, 1), "")</f>
        <v/>
      </c>
    </row>
    <row r="5942" spans="2:5" x14ac:dyDescent="0.45">
      <c r="B5942" s="1"/>
      <c r="E5942" s="45" t="str">
        <f>IFERROR(AVERAGEIFS('Picarro Output'!G:G, 'Picarro Output'!$B:$B, 'Uncalibrated Data'!$C5942, 'Picarro Output'!$I:$I, 0, 'Picarro Output'!$J:$J, 1), "")</f>
        <v/>
      </c>
    </row>
    <row r="5943" spans="2:5" x14ac:dyDescent="0.45">
      <c r="B5943" s="1"/>
      <c r="E5943" s="45" t="str">
        <f>IFERROR(AVERAGEIFS('Picarro Output'!G:G, 'Picarro Output'!$B:$B, 'Uncalibrated Data'!$C5943, 'Picarro Output'!$I:$I, 0, 'Picarro Output'!$J:$J, 1), "")</f>
        <v/>
      </c>
    </row>
    <row r="5944" spans="2:5" x14ac:dyDescent="0.45">
      <c r="B5944" s="1"/>
      <c r="E5944" s="45" t="str">
        <f>IFERROR(AVERAGEIFS('Picarro Output'!G:G, 'Picarro Output'!$B:$B, 'Uncalibrated Data'!$C5944, 'Picarro Output'!$I:$I, 0, 'Picarro Output'!$J:$J, 1), "")</f>
        <v/>
      </c>
    </row>
    <row r="5945" spans="2:5" x14ac:dyDescent="0.45">
      <c r="B5945" s="1"/>
      <c r="E5945" s="45" t="str">
        <f>IFERROR(AVERAGEIFS('Picarro Output'!G:G, 'Picarro Output'!$B:$B, 'Uncalibrated Data'!$C5945, 'Picarro Output'!$I:$I, 0, 'Picarro Output'!$J:$J, 1), "")</f>
        <v/>
      </c>
    </row>
    <row r="5946" spans="2:5" x14ac:dyDescent="0.45">
      <c r="B5946" s="1"/>
      <c r="E5946" s="45" t="str">
        <f>IFERROR(AVERAGEIFS('Picarro Output'!G:G, 'Picarro Output'!$B:$B, 'Uncalibrated Data'!$C5946, 'Picarro Output'!$I:$I, 0, 'Picarro Output'!$J:$J, 1), "")</f>
        <v/>
      </c>
    </row>
    <row r="5947" spans="2:5" x14ac:dyDescent="0.45">
      <c r="B5947" s="1"/>
      <c r="E5947" s="45" t="str">
        <f>IFERROR(AVERAGEIFS('Picarro Output'!G:G, 'Picarro Output'!$B:$B, 'Uncalibrated Data'!$C5947, 'Picarro Output'!$I:$I, 0, 'Picarro Output'!$J:$J, 1), "")</f>
        <v/>
      </c>
    </row>
    <row r="5948" spans="2:5" x14ac:dyDescent="0.45">
      <c r="B5948" s="1"/>
      <c r="E5948" s="45" t="str">
        <f>IFERROR(AVERAGEIFS('Picarro Output'!G:G, 'Picarro Output'!$B:$B, 'Uncalibrated Data'!$C5948, 'Picarro Output'!$I:$I, 0, 'Picarro Output'!$J:$J, 1), "")</f>
        <v/>
      </c>
    </row>
    <row r="5949" spans="2:5" x14ac:dyDescent="0.45">
      <c r="B5949" s="1"/>
      <c r="E5949" s="45" t="str">
        <f>IFERROR(AVERAGEIFS('Picarro Output'!G:G, 'Picarro Output'!$B:$B, 'Uncalibrated Data'!$C5949, 'Picarro Output'!$I:$I, 0, 'Picarro Output'!$J:$J, 1), "")</f>
        <v/>
      </c>
    </row>
    <row r="5950" spans="2:5" x14ac:dyDescent="0.45">
      <c r="B5950" s="1"/>
      <c r="E5950" s="45" t="str">
        <f>IFERROR(AVERAGEIFS('Picarro Output'!G:G, 'Picarro Output'!$B:$B, 'Uncalibrated Data'!$C5950, 'Picarro Output'!$I:$I, 0, 'Picarro Output'!$J:$J, 1), "")</f>
        <v/>
      </c>
    </row>
    <row r="5951" spans="2:5" x14ac:dyDescent="0.45">
      <c r="B5951" s="1"/>
      <c r="E5951" s="45" t="str">
        <f>IFERROR(AVERAGEIFS('Picarro Output'!G:G, 'Picarro Output'!$B:$B, 'Uncalibrated Data'!$C5951, 'Picarro Output'!$I:$I, 0, 'Picarro Output'!$J:$J, 1), "")</f>
        <v/>
      </c>
    </row>
    <row r="5952" spans="2:5" x14ac:dyDescent="0.45">
      <c r="B5952" s="1"/>
      <c r="E5952" s="45" t="str">
        <f>IFERROR(AVERAGEIFS('Picarro Output'!G:G, 'Picarro Output'!$B:$B, 'Uncalibrated Data'!$C5952, 'Picarro Output'!$I:$I, 0, 'Picarro Output'!$J:$J, 1), "")</f>
        <v/>
      </c>
    </row>
    <row r="5953" spans="2:5" x14ac:dyDescent="0.45">
      <c r="B5953" s="1"/>
      <c r="E5953" s="45" t="str">
        <f>IFERROR(AVERAGEIFS('Picarro Output'!G:G, 'Picarro Output'!$B:$B, 'Uncalibrated Data'!$C5953, 'Picarro Output'!$I:$I, 0, 'Picarro Output'!$J:$J, 1), "")</f>
        <v/>
      </c>
    </row>
    <row r="5954" spans="2:5" x14ac:dyDescent="0.45">
      <c r="B5954" s="1"/>
      <c r="E5954" s="45" t="str">
        <f>IFERROR(AVERAGEIFS('Picarro Output'!G:G, 'Picarro Output'!$B:$B, 'Uncalibrated Data'!$C5954, 'Picarro Output'!$I:$I, 0, 'Picarro Output'!$J:$J, 1), "")</f>
        <v/>
      </c>
    </row>
    <row r="5955" spans="2:5" x14ac:dyDescent="0.45">
      <c r="B5955" s="1"/>
      <c r="E5955" s="45" t="str">
        <f>IFERROR(AVERAGEIFS('Picarro Output'!G:G, 'Picarro Output'!$B:$B, 'Uncalibrated Data'!$C5955, 'Picarro Output'!$I:$I, 0, 'Picarro Output'!$J:$J, 1), "")</f>
        <v/>
      </c>
    </row>
    <row r="5956" spans="2:5" x14ac:dyDescent="0.45">
      <c r="B5956" s="1"/>
      <c r="E5956" s="45" t="str">
        <f>IFERROR(AVERAGEIFS('Picarro Output'!G:G, 'Picarro Output'!$B:$B, 'Uncalibrated Data'!$C5956, 'Picarro Output'!$I:$I, 0, 'Picarro Output'!$J:$J, 1), "")</f>
        <v/>
      </c>
    </row>
    <row r="5957" spans="2:5" x14ac:dyDescent="0.45">
      <c r="B5957" s="1"/>
      <c r="E5957" s="45" t="str">
        <f>IFERROR(AVERAGEIFS('Picarro Output'!G:G, 'Picarro Output'!$B:$B, 'Uncalibrated Data'!$C5957, 'Picarro Output'!$I:$I, 0, 'Picarro Output'!$J:$J, 1), "")</f>
        <v/>
      </c>
    </row>
    <row r="5958" spans="2:5" x14ac:dyDescent="0.45">
      <c r="B5958" s="1"/>
      <c r="E5958" s="45" t="str">
        <f>IFERROR(AVERAGEIFS('Picarro Output'!G:G, 'Picarro Output'!$B:$B, 'Uncalibrated Data'!$C5958, 'Picarro Output'!$I:$I, 0, 'Picarro Output'!$J:$J, 1), "")</f>
        <v/>
      </c>
    </row>
    <row r="5959" spans="2:5" x14ac:dyDescent="0.45">
      <c r="B5959" s="1"/>
      <c r="E5959" s="45" t="str">
        <f>IFERROR(AVERAGEIFS('Picarro Output'!G:G, 'Picarro Output'!$B:$B, 'Uncalibrated Data'!$C5959, 'Picarro Output'!$I:$I, 0, 'Picarro Output'!$J:$J, 1), "")</f>
        <v/>
      </c>
    </row>
    <row r="5960" spans="2:5" x14ac:dyDescent="0.45">
      <c r="B5960" s="1"/>
      <c r="E5960" s="45" t="str">
        <f>IFERROR(AVERAGEIFS('Picarro Output'!G:G, 'Picarro Output'!$B:$B, 'Uncalibrated Data'!$C5960, 'Picarro Output'!$I:$I, 0, 'Picarro Output'!$J:$J, 1), "")</f>
        <v/>
      </c>
    </row>
    <row r="5961" spans="2:5" x14ac:dyDescent="0.45">
      <c r="B5961" s="1"/>
      <c r="E5961" s="45" t="str">
        <f>IFERROR(AVERAGEIFS('Picarro Output'!G:G, 'Picarro Output'!$B:$B, 'Uncalibrated Data'!$C5961, 'Picarro Output'!$I:$I, 0, 'Picarro Output'!$J:$J, 1), "")</f>
        <v/>
      </c>
    </row>
    <row r="5962" spans="2:5" x14ac:dyDescent="0.45">
      <c r="B5962" s="1"/>
      <c r="E5962" s="45" t="str">
        <f>IFERROR(AVERAGEIFS('Picarro Output'!G:G, 'Picarro Output'!$B:$B, 'Uncalibrated Data'!$C5962, 'Picarro Output'!$I:$I, 0, 'Picarro Output'!$J:$J, 1), "")</f>
        <v/>
      </c>
    </row>
    <row r="5963" spans="2:5" x14ac:dyDescent="0.45">
      <c r="B5963" s="1"/>
      <c r="E5963" s="45" t="str">
        <f>IFERROR(AVERAGEIFS('Picarro Output'!G:G, 'Picarro Output'!$B:$B, 'Uncalibrated Data'!$C5963, 'Picarro Output'!$I:$I, 0, 'Picarro Output'!$J:$J, 1), "")</f>
        <v/>
      </c>
    </row>
    <row r="5964" spans="2:5" x14ac:dyDescent="0.45">
      <c r="B5964" s="1"/>
      <c r="E5964" s="45" t="str">
        <f>IFERROR(AVERAGEIFS('Picarro Output'!G:G, 'Picarro Output'!$B:$B, 'Uncalibrated Data'!$C5964, 'Picarro Output'!$I:$I, 0, 'Picarro Output'!$J:$J, 1), "")</f>
        <v/>
      </c>
    </row>
    <row r="5965" spans="2:5" x14ac:dyDescent="0.45">
      <c r="B5965" s="1"/>
      <c r="E5965" s="45" t="str">
        <f>IFERROR(AVERAGEIFS('Picarro Output'!G:G, 'Picarro Output'!$B:$B, 'Uncalibrated Data'!$C5965, 'Picarro Output'!$I:$I, 0, 'Picarro Output'!$J:$J, 1), "")</f>
        <v/>
      </c>
    </row>
    <row r="5966" spans="2:5" x14ac:dyDescent="0.45">
      <c r="B5966" s="1"/>
      <c r="E5966" s="45" t="str">
        <f>IFERROR(AVERAGEIFS('Picarro Output'!G:G, 'Picarro Output'!$B:$B, 'Uncalibrated Data'!$C5966, 'Picarro Output'!$I:$I, 0, 'Picarro Output'!$J:$J, 1), "")</f>
        <v/>
      </c>
    </row>
    <row r="5967" spans="2:5" x14ac:dyDescent="0.45">
      <c r="B5967" s="1"/>
      <c r="E5967" s="45" t="str">
        <f>IFERROR(AVERAGEIFS('Picarro Output'!G:G, 'Picarro Output'!$B:$B, 'Uncalibrated Data'!$C5967, 'Picarro Output'!$I:$I, 0, 'Picarro Output'!$J:$J, 1), "")</f>
        <v/>
      </c>
    </row>
    <row r="5968" spans="2:5" x14ac:dyDescent="0.45">
      <c r="B5968" s="1"/>
      <c r="E5968" s="45" t="str">
        <f>IFERROR(AVERAGEIFS('Picarro Output'!G:G, 'Picarro Output'!$B:$B, 'Uncalibrated Data'!$C5968, 'Picarro Output'!$I:$I, 0, 'Picarro Output'!$J:$J, 1), "")</f>
        <v/>
      </c>
    </row>
    <row r="5969" spans="2:5" x14ac:dyDescent="0.45">
      <c r="B5969" s="1"/>
      <c r="E5969" s="45" t="str">
        <f>IFERROR(AVERAGEIFS('Picarro Output'!G:G, 'Picarro Output'!$B:$B, 'Uncalibrated Data'!$C5969, 'Picarro Output'!$I:$I, 0, 'Picarro Output'!$J:$J, 1), "")</f>
        <v/>
      </c>
    </row>
    <row r="5970" spans="2:5" x14ac:dyDescent="0.45">
      <c r="B5970" s="1"/>
      <c r="E5970" s="45" t="str">
        <f>IFERROR(AVERAGEIFS('Picarro Output'!G:G, 'Picarro Output'!$B:$B, 'Uncalibrated Data'!$C5970, 'Picarro Output'!$I:$I, 0, 'Picarro Output'!$J:$J, 1), "")</f>
        <v/>
      </c>
    </row>
    <row r="5971" spans="2:5" x14ac:dyDescent="0.45">
      <c r="B5971" s="1"/>
      <c r="E5971" s="45" t="str">
        <f>IFERROR(AVERAGEIFS('Picarro Output'!G:G, 'Picarro Output'!$B:$B, 'Uncalibrated Data'!$C5971, 'Picarro Output'!$I:$I, 0, 'Picarro Output'!$J:$J, 1), "")</f>
        <v/>
      </c>
    </row>
    <row r="5972" spans="2:5" x14ac:dyDescent="0.45">
      <c r="B5972" s="1"/>
      <c r="E5972" s="45" t="str">
        <f>IFERROR(AVERAGEIFS('Picarro Output'!G:G, 'Picarro Output'!$B:$B, 'Uncalibrated Data'!$C5972, 'Picarro Output'!$I:$I, 0, 'Picarro Output'!$J:$J, 1), "")</f>
        <v/>
      </c>
    </row>
    <row r="5973" spans="2:5" x14ac:dyDescent="0.45">
      <c r="B5973" s="1"/>
      <c r="E5973" s="45" t="str">
        <f>IFERROR(AVERAGEIFS('Picarro Output'!G:G, 'Picarro Output'!$B:$B, 'Uncalibrated Data'!$C5973, 'Picarro Output'!$I:$I, 0, 'Picarro Output'!$J:$J, 1), "")</f>
        <v/>
      </c>
    </row>
    <row r="5974" spans="2:5" x14ac:dyDescent="0.45">
      <c r="B5974" s="1"/>
      <c r="E5974" s="45" t="str">
        <f>IFERROR(AVERAGEIFS('Picarro Output'!G:G, 'Picarro Output'!$B:$B, 'Uncalibrated Data'!$C5974, 'Picarro Output'!$I:$I, 0, 'Picarro Output'!$J:$J, 1), "")</f>
        <v/>
      </c>
    </row>
    <row r="5975" spans="2:5" x14ac:dyDescent="0.45">
      <c r="B5975" s="1"/>
      <c r="E5975" s="45" t="str">
        <f>IFERROR(AVERAGEIFS('Picarro Output'!G:G, 'Picarro Output'!$B:$B, 'Uncalibrated Data'!$C5975, 'Picarro Output'!$I:$I, 0, 'Picarro Output'!$J:$J, 1), "")</f>
        <v/>
      </c>
    </row>
    <row r="5976" spans="2:5" x14ac:dyDescent="0.45">
      <c r="B5976" s="1"/>
      <c r="E5976" s="45" t="str">
        <f>IFERROR(AVERAGEIFS('Picarro Output'!G:G, 'Picarro Output'!$B:$B, 'Uncalibrated Data'!$C5976, 'Picarro Output'!$I:$I, 0, 'Picarro Output'!$J:$J, 1), "")</f>
        <v/>
      </c>
    </row>
    <row r="5977" spans="2:5" x14ac:dyDescent="0.45">
      <c r="B5977" s="1"/>
      <c r="E5977" s="45" t="str">
        <f>IFERROR(AVERAGEIFS('Picarro Output'!G:G, 'Picarro Output'!$B:$B, 'Uncalibrated Data'!$C5977, 'Picarro Output'!$I:$I, 0, 'Picarro Output'!$J:$J, 1), "")</f>
        <v/>
      </c>
    </row>
    <row r="5978" spans="2:5" x14ac:dyDescent="0.45">
      <c r="B5978" s="1"/>
      <c r="E5978" s="45" t="str">
        <f>IFERROR(AVERAGEIFS('Picarro Output'!G:G, 'Picarro Output'!$B:$B, 'Uncalibrated Data'!$C5978, 'Picarro Output'!$I:$I, 0, 'Picarro Output'!$J:$J, 1), "")</f>
        <v/>
      </c>
    </row>
    <row r="5979" spans="2:5" x14ac:dyDescent="0.45">
      <c r="B5979" s="1"/>
      <c r="E5979" s="45" t="str">
        <f>IFERROR(AVERAGEIFS('Picarro Output'!G:G, 'Picarro Output'!$B:$B, 'Uncalibrated Data'!$C5979, 'Picarro Output'!$I:$I, 0, 'Picarro Output'!$J:$J, 1), "")</f>
        <v/>
      </c>
    </row>
    <row r="5980" spans="2:5" x14ac:dyDescent="0.45">
      <c r="B5980" s="1"/>
      <c r="E5980" s="45" t="str">
        <f>IFERROR(AVERAGEIFS('Picarro Output'!G:G, 'Picarro Output'!$B:$B, 'Uncalibrated Data'!$C5980, 'Picarro Output'!$I:$I, 0, 'Picarro Output'!$J:$J, 1), "")</f>
        <v/>
      </c>
    </row>
    <row r="5981" spans="2:5" x14ac:dyDescent="0.45">
      <c r="B5981" s="1"/>
      <c r="E5981" s="45" t="str">
        <f>IFERROR(AVERAGEIFS('Picarro Output'!G:G, 'Picarro Output'!$B:$B, 'Uncalibrated Data'!$C5981, 'Picarro Output'!$I:$I, 0, 'Picarro Output'!$J:$J, 1), "")</f>
        <v/>
      </c>
    </row>
    <row r="5982" spans="2:5" x14ac:dyDescent="0.45">
      <c r="B5982" s="1"/>
      <c r="E5982" s="45" t="str">
        <f>IFERROR(AVERAGEIFS('Picarro Output'!G:G, 'Picarro Output'!$B:$B, 'Uncalibrated Data'!$C5982, 'Picarro Output'!$I:$I, 0, 'Picarro Output'!$J:$J, 1), "")</f>
        <v/>
      </c>
    </row>
    <row r="5983" spans="2:5" x14ac:dyDescent="0.45">
      <c r="B5983" s="1"/>
      <c r="E5983" s="45" t="str">
        <f>IFERROR(AVERAGEIFS('Picarro Output'!G:G, 'Picarro Output'!$B:$B, 'Uncalibrated Data'!$C5983, 'Picarro Output'!$I:$I, 0, 'Picarro Output'!$J:$J, 1), "")</f>
        <v/>
      </c>
    </row>
    <row r="5984" spans="2:5" x14ac:dyDescent="0.45">
      <c r="B5984" s="1"/>
      <c r="E5984" s="45" t="str">
        <f>IFERROR(AVERAGEIFS('Picarro Output'!G:G, 'Picarro Output'!$B:$B, 'Uncalibrated Data'!$C5984, 'Picarro Output'!$I:$I, 0, 'Picarro Output'!$J:$J, 1), "")</f>
        <v/>
      </c>
    </row>
    <row r="5985" spans="2:5" x14ac:dyDescent="0.45">
      <c r="B5985" s="1"/>
      <c r="E5985" s="45" t="str">
        <f>IFERROR(AVERAGEIFS('Picarro Output'!G:G, 'Picarro Output'!$B:$B, 'Uncalibrated Data'!$C5985, 'Picarro Output'!$I:$I, 0, 'Picarro Output'!$J:$J, 1), "")</f>
        <v/>
      </c>
    </row>
    <row r="5986" spans="2:5" x14ac:dyDescent="0.45">
      <c r="B5986" s="1"/>
      <c r="E5986" s="45" t="str">
        <f>IFERROR(AVERAGEIFS('Picarro Output'!G:G, 'Picarro Output'!$B:$B, 'Uncalibrated Data'!$C5986, 'Picarro Output'!$I:$I, 0, 'Picarro Output'!$J:$J, 1), "")</f>
        <v/>
      </c>
    </row>
    <row r="5987" spans="2:5" x14ac:dyDescent="0.45">
      <c r="B5987" s="1"/>
      <c r="E5987" s="45" t="str">
        <f>IFERROR(AVERAGEIFS('Picarro Output'!G:G, 'Picarro Output'!$B:$B, 'Uncalibrated Data'!$C5987, 'Picarro Output'!$I:$I, 0, 'Picarro Output'!$J:$J, 1), "")</f>
        <v/>
      </c>
    </row>
    <row r="5988" spans="2:5" x14ac:dyDescent="0.45">
      <c r="B5988" s="1"/>
      <c r="E5988" s="45" t="str">
        <f>IFERROR(AVERAGEIFS('Picarro Output'!G:G, 'Picarro Output'!$B:$B, 'Uncalibrated Data'!$C5988, 'Picarro Output'!$I:$I, 0, 'Picarro Output'!$J:$J, 1), "")</f>
        <v/>
      </c>
    </row>
    <row r="5989" spans="2:5" x14ac:dyDescent="0.45">
      <c r="B5989" s="1"/>
      <c r="E5989" s="45" t="str">
        <f>IFERROR(AVERAGEIFS('Picarro Output'!G:G, 'Picarro Output'!$B:$B, 'Uncalibrated Data'!$C5989, 'Picarro Output'!$I:$I, 0, 'Picarro Output'!$J:$J, 1), "")</f>
        <v/>
      </c>
    </row>
    <row r="5990" spans="2:5" x14ac:dyDescent="0.45">
      <c r="B5990" s="1"/>
      <c r="E5990" s="45" t="str">
        <f>IFERROR(AVERAGEIFS('Picarro Output'!G:G, 'Picarro Output'!$B:$B, 'Uncalibrated Data'!$C5990, 'Picarro Output'!$I:$I, 0, 'Picarro Output'!$J:$J, 1), "")</f>
        <v/>
      </c>
    </row>
    <row r="5991" spans="2:5" x14ac:dyDescent="0.45">
      <c r="B5991" s="1"/>
      <c r="E5991" s="45" t="str">
        <f>IFERROR(AVERAGEIFS('Picarro Output'!G:G, 'Picarro Output'!$B:$B, 'Uncalibrated Data'!$C5991, 'Picarro Output'!$I:$I, 0, 'Picarro Output'!$J:$J, 1), "")</f>
        <v/>
      </c>
    </row>
    <row r="5992" spans="2:5" x14ac:dyDescent="0.45">
      <c r="B5992" s="1"/>
      <c r="E5992" s="45" t="str">
        <f>IFERROR(AVERAGEIFS('Picarro Output'!G:G, 'Picarro Output'!$B:$B, 'Uncalibrated Data'!$C5992, 'Picarro Output'!$I:$I, 0, 'Picarro Output'!$J:$J, 1), "")</f>
        <v/>
      </c>
    </row>
    <row r="5993" spans="2:5" x14ac:dyDescent="0.45">
      <c r="B5993" s="1"/>
      <c r="E5993" s="45" t="str">
        <f>IFERROR(AVERAGEIFS('Picarro Output'!G:G, 'Picarro Output'!$B:$B, 'Uncalibrated Data'!$C5993, 'Picarro Output'!$I:$I, 0, 'Picarro Output'!$J:$J, 1), "")</f>
        <v/>
      </c>
    </row>
    <row r="5994" spans="2:5" x14ac:dyDescent="0.45">
      <c r="B5994" s="1"/>
      <c r="E5994" s="45" t="str">
        <f>IFERROR(AVERAGEIFS('Picarro Output'!G:G, 'Picarro Output'!$B:$B, 'Uncalibrated Data'!$C5994, 'Picarro Output'!$I:$I, 0, 'Picarro Output'!$J:$J, 1), "")</f>
        <v/>
      </c>
    </row>
    <row r="5995" spans="2:5" x14ac:dyDescent="0.45">
      <c r="B5995" s="1"/>
      <c r="E5995" s="45" t="str">
        <f>IFERROR(AVERAGEIFS('Picarro Output'!G:G, 'Picarro Output'!$B:$B, 'Uncalibrated Data'!$C5995, 'Picarro Output'!$I:$I, 0, 'Picarro Output'!$J:$J, 1), "")</f>
        <v/>
      </c>
    </row>
    <row r="5996" spans="2:5" x14ac:dyDescent="0.45">
      <c r="B5996" s="1"/>
      <c r="E5996" s="45" t="str">
        <f>IFERROR(AVERAGEIFS('Picarro Output'!G:G, 'Picarro Output'!$B:$B, 'Uncalibrated Data'!$C5996, 'Picarro Output'!$I:$I, 0, 'Picarro Output'!$J:$J, 1), "")</f>
        <v/>
      </c>
    </row>
    <row r="5997" spans="2:5" x14ac:dyDescent="0.45">
      <c r="B5997" s="1"/>
      <c r="E5997" s="45" t="str">
        <f>IFERROR(AVERAGEIFS('Picarro Output'!G:G, 'Picarro Output'!$B:$B, 'Uncalibrated Data'!$C5997, 'Picarro Output'!$I:$I, 0, 'Picarro Output'!$J:$J, 1), "")</f>
        <v/>
      </c>
    </row>
    <row r="5998" spans="2:5" x14ac:dyDescent="0.45">
      <c r="B5998" s="1"/>
      <c r="E5998" s="45" t="str">
        <f>IFERROR(AVERAGEIFS('Picarro Output'!G:G, 'Picarro Output'!$B:$B, 'Uncalibrated Data'!$C5998, 'Picarro Output'!$I:$I, 0, 'Picarro Output'!$J:$J, 1), "")</f>
        <v/>
      </c>
    </row>
    <row r="5999" spans="2:5" x14ac:dyDescent="0.45">
      <c r="B5999" s="1"/>
      <c r="E5999" s="45" t="str">
        <f>IFERROR(AVERAGEIFS('Picarro Output'!G:G, 'Picarro Output'!$B:$B, 'Uncalibrated Data'!$C5999, 'Picarro Output'!$I:$I, 0, 'Picarro Output'!$J:$J, 1), "")</f>
        <v/>
      </c>
    </row>
    <row r="6000" spans="2:5" x14ac:dyDescent="0.45">
      <c r="B6000" s="1"/>
      <c r="E6000" s="45" t="str">
        <f>IFERROR(AVERAGEIFS('Picarro Output'!G:G, 'Picarro Output'!$B:$B, 'Uncalibrated Data'!$C6000, 'Picarro Output'!$I:$I, 0, 'Picarro Output'!$J:$J, 1), "")</f>
        <v/>
      </c>
    </row>
    <row r="6001" spans="2:5" x14ac:dyDescent="0.45">
      <c r="B6001" s="1"/>
      <c r="E6001" s="45" t="str">
        <f>IFERROR(AVERAGEIFS('Picarro Output'!G:G, 'Picarro Output'!$B:$B, 'Uncalibrated Data'!$C6001, 'Picarro Output'!$I:$I, 0, 'Picarro Output'!$J:$J, 1), "")</f>
        <v/>
      </c>
    </row>
    <row r="6002" spans="2:5" x14ac:dyDescent="0.45">
      <c r="B6002" s="1"/>
      <c r="E6002" s="45" t="str">
        <f>IFERROR(AVERAGEIFS('Picarro Output'!G:G, 'Picarro Output'!$B:$B, 'Uncalibrated Data'!$C6002, 'Picarro Output'!$I:$I, 0, 'Picarro Output'!$J:$J, 1), "")</f>
        <v/>
      </c>
    </row>
    <row r="6003" spans="2:5" x14ac:dyDescent="0.45">
      <c r="B6003" s="1"/>
      <c r="E6003" s="45" t="str">
        <f>IFERROR(AVERAGEIFS('Picarro Output'!G:G, 'Picarro Output'!$B:$B, 'Uncalibrated Data'!$C6003, 'Picarro Output'!$I:$I, 0, 'Picarro Output'!$J:$J, 1), "")</f>
        <v/>
      </c>
    </row>
    <row r="6004" spans="2:5" x14ac:dyDescent="0.45">
      <c r="B6004" s="1"/>
      <c r="E6004" s="45" t="str">
        <f>IFERROR(AVERAGEIFS('Picarro Output'!G:G, 'Picarro Output'!$B:$B, 'Uncalibrated Data'!$C6004, 'Picarro Output'!$I:$I, 0, 'Picarro Output'!$J:$J, 1), "")</f>
        <v/>
      </c>
    </row>
    <row r="6005" spans="2:5" x14ac:dyDescent="0.45">
      <c r="B6005" s="1"/>
      <c r="E6005" s="45" t="str">
        <f>IFERROR(AVERAGEIFS('Picarro Output'!G:G, 'Picarro Output'!$B:$B, 'Uncalibrated Data'!$C6005, 'Picarro Output'!$I:$I, 0, 'Picarro Output'!$J:$J, 1), "")</f>
        <v/>
      </c>
    </row>
    <row r="6006" spans="2:5" x14ac:dyDescent="0.45">
      <c r="B6006" s="1"/>
      <c r="E6006" s="45" t="str">
        <f>IFERROR(AVERAGEIFS('Picarro Output'!G:G, 'Picarro Output'!$B:$B, 'Uncalibrated Data'!$C6006, 'Picarro Output'!$I:$I, 0, 'Picarro Output'!$J:$J, 1), "")</f>
        <v/>
      </c>
    </row>
    <row r="6007" spans="2:5" x14ac:dyDescent="0.45">
      <c r="B6007" s="1"/>
      <c r="E6007" s="45" t="str">
        <f>IFERROR(AVERAGEIFS('Picarro Output'!G:G, 'Picarro Output'!$B:$B, 'Uncalibrated Data'!$C6007, 'Picarro Output'!$I:$I, 0, 'Picarro Output'!$J:$J, 1), "")</f>
        <v/>
      </c>
    </row>
    <row r="6008" spans="2:5" x14ac:dyDescent="0.45">
      <c r="B6008" s="1"/>
      <c r="E6008" s="45" t="str">
        <f>IFERROR(AVERAGEIFS('Picarro Output'!G:G, 'Picarro Output'!$B:$B, 'Uncalibrated Data'!$C6008, 'Picarro Output'!$I:$I, 0, 'Picarro Output'!$J:$J, 1), "")</f>
        <v/>
      </c>
    </row>
    <row r="6009" spans="2:5" x14ac:dyDescent="0.45">
      <c r="B6009" s="1"/>
      <c r="E6009" s="45" t="str">
        <f>IFERROR(AVERAGEIFS('Picarro Output'!G:G, 'Picarro Output'!$B:$B, 'Uncalibrated Data'!$C6009, 'Picarro Output'!$I:$I, 0, 'Picarro Output'!$J:$J, 1), "")</f>
        <v/>
      </c>
    </row>
    <row r="6010" spans="2:5" x14ac:dyDescent="0.45">
      <c r="B6010" s="1"/>
      <c r="E6010" s="45" t="str">
        <f>IFERROR(AVERAGEIFS('Picarro Output'!G:G, 'Picarro Output'!$B:$B, 'Uncalibrated Data'!$C6010, 'Picarro Output'!$I:$I, 0, 'Picarro Output'!$J:$J, 1), "")</f>
        <v/>
      </c>
    </row>
    <row r="6011" spans="2:5" x14ac:dyDescent="0.45">
      <c r="B6011" s="1"/>
      <c r="E6011" s="45" t="str">
        <f>IFERROR(AVERAGEIFS('Picarro Output'!G:G, 'Picarro Output'!$B:$B, 'Uncalibrated Data'!$C6011, 'Picarro Output'!$I:$I, 0, 'Picarro Output'!$J:$J, 1), "")</f>
        <v/>
      </c>
    </row>
    <row r="6012" spans="2:5" x14ac:dyDescent="0.45">
      <c r="B6012" s="1"/>
      <c r="E6012" s="45" t="str">
        <f>IFERROR(AVERAGEIFS('Picarro Output'!G:G, 'Picarro Output'!$B:$B, 'Uncalibrated Data'!$C6012, 'Picarro Output'!$I:$I, 0, 'Picarro Output'!$J:$J, 1), "")</f>
        <v/>
      </c>
    </row>
    <row r="6013" spans="2:5" x14ac:dyDescent="0.45">
      <c r="B6013" s="1"/>
      <c r="E6013" s="45" t="str">
        <f>IFERROR(AVERAGEIFS('Picarro Output'!G:G, 'Picarro Output'!$B:$B, 'Uncalibrated Data'!$C6013, 'Picarro Output'!$I:$I, 0, 'Picarro Output'!$J:$J, 1), "")</f>
        <v/>
      </c>
    </row>
    <row r="6014" spans="2:5" x14ac:dyDescent="0.45">
      <c r="B6014" s="1"/>
      <c r="E6014" s="45" t="str">
        <f>IFERROR(AVERAGEIFS('Picarro Output'!G:G, 'Picarro Output'!$B:$B, 'Uncalibrated Data'!$C6014, 'Picarro Output'!$I:$I, 0, 'Picarro Output'!$J:$J, 1), "")</f>
        <v/>
      </c>
    </row>
    <row r="6015" spans="2:5" x14ac:dyDescent="0.45">
      <c r="B6015" s="1"/>
      <c r="E6015" s="45" t="str">
        <f>IFERROR(AVERAGEIFS('Picarro Output'!G:G, 'Picarro Output'!$B:$B, 'Uncalibrated Data'!$C6015, 'Picarro Output'!$I:$I, 0, 'Picarro Output'!$J:$J, 1), "")</f>
        <v/>
      </c>
    </row>
    <row r="6016" spans="2:5" x14ac:dyDescent="0.45">
      <c r="B6016" s="1"/>
      <c r="E6016" s="45" t="str">
        <f>IFERROR(AVERAGEIFS('Picarro Output'!G:G, 'Picarro Output'!$B:$B, 'Uncalibrated Data'!$C6016, 'Picarro Output'!$I:$I, 0, 'Picarro Output'!$J:$J, 1), "")</f>
        <v/>
      </c>
    </row>
    <row r="6017" spans="2:5" x14ac:dyDescent="0.45">
      <c r="B6017" s="1"/>
      <c r="E6017" s="45" t="str">
        <f>IFERROR(AVERAGEIFS('Picarro Output'!G:G, 'Picarro Output'!$B:$B, 'Uncalibrated Data'!$C6017, 'Picarro Output'!$I:$I, 0, 'Picarro Output'!$J:$J, 1), "")</f>
        <v/>
      </c>
    </row>
    <row r="6018" spans="2:5" x14ac:dyDescent="0.45">
      <c r="B6018" s="1"/>
      <c r="E6018" s="45" t="str">
        <f>IFERROR(AVERAGEIFS('Picarro Output'!G:G, 'Picarro Output'!$B:$B, 'Uncalibrated Data'!$C6018, 'Picarro Output'!$I:$I, 0, 'Picarro Output'!$J:$J, 1), "")</f>
        <v/>
      </c>
    </row>
    <row r="6019" spans="2:5" x14ac:dyDescent="0.45">
      <c r="B6019" s="1"/>
      <c r="E6019" s="45" t="str">
        <f>IFERROR(AVERAGEIFS('Picarro Output'!G:G, 'Picarro Output'!$B:$B, 'Uncalibrated Data'!$C6019, 'Picarro Output'!$I:$I, 0, 'Picarro Output'!$J:$J, 1), "")</f>
        <v/>
      </c>
    </row>
    <row r="6020" spans="2:5" x14ac:dyDescent="0.45">
      <c r="B6020" s="1"/>
      <c r="E6020" s="45" t="str">
        <f>IFERROR(AVERAGEIFS('Picarro Output'!G:G, 'Picarro Output'!$B:$B, 'Uncalibrated Data'!$C6020, 'Picarro Output'!$I:$I, 0, 'Picarro Output'!$J:$J, 1), "")</f>
        <v/>
      </c>
    </row>
    <row r="6021" spans="2:5" x14ac:dyDescent="0.45">
      <c r="B6021" s="1"/>
      <c r="E6021" s="45" t="str">
        <f>IFERROR(AVERAGEIFS('Picarro Output'!G:G, 'Picarro Output'!$B:$B, 'Uncalibrated Data'!$C6021, 'Picarro Output'!$I:$I, 0, 'Picarro Output'!$J:$J, 1), "")</f>
        <v/>
      </c>
    </row>
    <row r="6022" spans="2:5" x14ac:dyDescent="0.45">
      <c r="B6022" s="1"/>
      <c r="E6022" s="45" t="str">
        <f>IFERROR(AVERAGEIFS('Picarro Output'!G:G, 'Picarro Output'!$B:$B, 'Uncalibrated Data'!$C6022, 'Picarro Output'!$I:$I, 0, 'Picarro Output'!$J:$J, 1), "")</f>
        <v/>
      </c>
    </row>
    <row r="6023" spans="2:5" x14ac:dyDescent="0.45">
      <c r="B6023" s="1"/>
      <c r="E6023" s="45" t="str">
        <f>IFERROR(AVERAGEIFS('Picarro Output'!G:G, 'Picarro Output'!$B:$B, 'Uncalibrated Data'!$C6023, 'Picarro Output'!$I:$I, 0, 'Picarro Output'!$J:$J, 1), "")</f>
        <v/>
      </c>
    </row>
    <row r="6024" spans="2:5" x14ac:dyDescent="0.45">
      <c r="B6024" s="1"/>
      <c r="E6024" s="45" t="str">
        <f>IFERROR(AVERAGEIFS('Picarro Output'!G:G, 'Picarro Output'!$B:$B, 'Uncalibrated Data'!$C6024, 'Picarro Output'!$I:$I, 0, 'Picarro Output'!$J:$J, 1), "")</f>
        <v/>
      </c>
    </row>
    <row r="6025" spans="2:5" x14ac:dyDescent="0.45">
      <c r="B6025" s="1"/>
      <c r="E6025" s="45" t="str">
        <f>IFERROR(AVERAGEIFS('Picarro Output'!G:G, 'Picarro Output'!$B:$B, 'Uncalibrated Data'!$C6025, 'Picarro Output'!$I:$I, 0, 'Picarro Output'!$J:$J, 1), "")</f>
        <v/>
      </c>
    </row>
    <row r="6026" spans="2:5" x14ac:dyDescent="0.45">
      <c r="B6026" s="1"/>
      <c r="E6026" s="45" t="str">
        <f>IFERROR(AVERAGEIFS('Picarro Output'!G:G, 'Picarro Output'!$B:$B, 'Uncalibrated Data'!$C6026, 'Picarro Output'!$I:$I, 0, 'Picarro Output'!$J:$J, 1), "")</f>
        <v/>
      </c>
    </row>
    <row r="6027" spans="2:5" x14ac:dyDescent="0.45">
      <c r="B6027" s="1"/>
      <c r="E6027" s="45" t="str">
        <f>IFERROR(AVERAGEIFS('Picarro Output'!G:G, 'Picarro Output'!$B:$B, 'Uncalibrated Data'!$C6027, 'Picarro Output'!$I:$I, 0, 'Picarro Output'!$J:$J, 1), "")</f>
        <v/>
      </c>
    </row>
    <row r="6028" spans="2:5" x14ac:dyDescent="0.45">
      <c r="B6028" s="1"/>
      <c r="E6028" s="45" t="str">
        <f>IFERROR(AVERAGEIFS('Picarro Output'!G:G, 'Picarro Output'!$B:$B, 'Uncalibrated Data'!$C6028, 'Picarro Output'!$I:$I, 0, 'Picarro Output'!$J:$J, 1), "")</f>
        <v/>
      </c>
    </row>
    <row r="6029" spans="2:5" x14ac:dyDescent="0.45">
      <c r="B6029" s="1"/>
      <c r="E6029" s="45" t="str">
        <f>IFERROR(AVERAGEIFS('Picarro Output'!G:G, 'Picarro Output'!$B:$B, 'Uncalibrated Data'!$C6029, 'Picarro Output'!$I:$I, 0, 'Picarro Output'!$J:$J, 1), "")</f>
        <v/>
      </c>
    </row>
    <row r="6030" spans="2:5" x14ac:dyDescent="0.45">
      <c r="B6030" s="1"/>
      <c r="E6030" s="45" t="str">
        <f>IFERROR(AVERAGEIFS('Picarro Output'!G:G, 'Picarro Output'!$B:$B, 'Uncalibrated Data'!$C6030, 'Picarro Output'!$I:$I, 0, 'Picarro Output'!$J:$J, 1), "")</f>
        <v/>
      </c>
    </row>
    <row r="6031" spans="2:5" x14ac:dyDescent="0.45">
      <c r="B6031" s="1"/>
      <c r="E6031" s="45" t="str">
        <f>IFERROR(AVERAGEIFS('Picarro Output'!G:G, 'Picarro Output'!$B:$B, 'Uncalibrated Data'!$C6031, 'Picarro Output'!$I:$I, 0, 'Picarro Output'!$J:$J, 1), "")</f>
        <v/>
      </c>
    </row>
    <row r="6032" spans="2:5" x14ac:dyDescent="0.45">
      <c r="B6032" s="1"/>
      <c r="E6032" s="45" t="str">
        <f>IFERROR(AVERAGEIFS('Picarro Output'!G:G, 'Picarro Output'!$B:$B, 'Uncalibrated Data'!$C6032, 'Picarro Output'!$I:$I, 0, 'Picarro Output'!$J:$J, 1), "")</f>
        <v/>
      </c>
    </row>
    <row r="6033" spans="2:5" x14ac:dyDescent="0.45">
      <c r="B6033" s="1"/>
      <c r="E6033" s="45" t="str">
        <f>IFERROR(AVERAGEIFS('Picarro Output'!G:G, 'Picarro Output'!$B:$B, 'Uncalibrated Data'!$C6033, 'Picarro Output'!$I:$I, 0, 'Picarro Output'!$J:$J, 1), "")</f>
        <v/>
      </c>
    </row>
    <row r="6034" spans="2:5" x14ac:dyDescent="0.45">
      <c r="B6034" s="1"/>
      <c r="E6034" s="45" t="str">
        <f>IFERROR(AVERAGEIFS('Picarro Output'!G:G, 'Picarro Output'!$B:$B, 'Uncalibrated Data'!$C6034, 'Picarro Output'!$I:$I, 0, 'Picarro Output'!$J:$J, 1), "")</f>
        <v/>
      </c>
    </row>
    <row r="6035" spans="2:5" x14ac:dyDescent="0.45">
      <c r="B6035" s="1"/>
      <c r="E6035" s="45" t="str">
        <f>IFERROR(AVERAGEIFS('Picarro Output'!G:G, 'Picarro Output'!$B:$B, 'Uncalibrated Data'!$C6035, 'Picarro Output'!$I:$I, 0, 'Picarro Output'!$J:$J, 1), "")</f>
        <v/>
      </c>
    </row>
    <row r="6036" spans="2:5" x14ac:dyDescent="0.45">
      <c r="B6036" s="1"/>
      <c r="E6036" s="45" t="str">
        <f>IFERROR(AVERAGEIFS('Picarro Output'!G:G, 'Picarro Output'!$B:$B, 'Uncalibrated Data'!$C6036, 'Picarro Output'!$I:$I, 0, 'Picarro Output'!$J:$J, 1), "")</f>
        <v/>
      </c>
    </row>
    <row r="6037" spans="2:5" x14ac:dyDescent="0.45">
      <c r="B6037" s="1"/>
      <c r="E6037" s="45" t="str">
        <f>IFERROR(AVERAGEIFS('Picarro Output'!G:G, 'Picarro Output'!$B:$B, 'Uncalibrated Data'!$C6037, 'Picarro Output'!$I:$I, 0, 'Picarro Output'!$J:$J, 1), "")</f>
        <v/>
      </c>
    </row>
    <row r="6038" spans="2:5" x14ac:dyDescent="0.45">
      <c r="B6038" s="1"/>
      <c r="E6038" s="45" t="str">
        <f>IFERROR(AVERAGEIFS('Picarro Output'!G:G, 'Picarro Output'!$B:$B, 'Uncalibrated Data'!$C6038, 'Picarro Output'!$I:$I, 0, 'Picarro Output'!$J:$J, 1), "")</f>
        <v/>
      </c>
    </row>
    <row r="6039" spans="2:5" x14ac:dyDescent="0.45">
      <c r="B6039" s="1"/>
      <c r="E6039" s="45" t="str">
        <f>IFERROR(AVERAGEIFS('Picarro Output'!G:G, 'Picarro Output'!$B:$B, 'Uncalibrated Data'!$C6039, 'Picarro Output'!$I:$I, 0, 'Picarro Output'!$J:$J, 1), "")</f>
        <v/>
      </c>
    </row>
    <row r="6040" spans="2:5" x14ac:dyDescent="0.45">
      <c r="B6040" s="1"/>
      <c r="E6040" s="45" t="str">
        <f>IFERROR(AVERAGEIFS('Picarro Output'!G:G, 'Picarro Output'!$B:$B, 'Uncalibrated Data'!$C6040, 'Picarro Output'!$I:$I, 0, 'Picarro Output'!$J:$J, 1), "")</f>
        <v/>
      </c>
    </row>
    <row r="6041" spans="2:5" x14ac:dyDescent="0.45">
      <c r="B6041" s="1"/>
      <c r="E6041" s="45" t="str">
        <f>IFERROR(AVERAGEIFS('Picarro Output'!G:G, 'Picarro Output'!$B:$B, 'Uncalibrated Data'!$C6041, 'Picarro Output'!$I:$I, 0, 'Picarro Output'!$J:$J, 1), "")</f>
        <v/>
      </c>
    </row>
    <row r="6042" spans="2:5" x14ac:dyDescent="0.45">
      <c r="B6042" s="1"/>
      <c r="E6042" s="45" t="str">
        <f>IFERROR(AVERAGEIFS('Picarro Output'!G:G, 'Picarro Output'!$B:$B, 'Uncalibrated Data'!$C6042, 'Picarro Output'!$I:$I, 0, 'Picarro Output'!$J:$J, 1), "")</f>
        <v/>
      </c>
    </row>
    <row r="6043" spans="2:5" x14ac:dyDescent="0.45">
      <c r="B6043" s="1"/>
      <c r="E6043" s="45" t="str">
        <f>IFERROR(AVERAGEIFS('Picarro Output'!G:G, 'Picarro Output'!$B:$B, 'Uncalibrated Data'!$C6043, 'Picarro Output'!$I:$I, 0, 'Picarro Output'!$J:$J, 1), "")</f>
        <v/>
      </c>
    </row>
    <row r="6044" spans="2:5" x14ac:dyDescent="0.45">
      <c r="B6044" s="1"/>
      <c r="E6044" s="45" t="str">
        <f>IFERROR(AVERAGEIFS('Picarro Output'!G:G, 'Picarro Output'!$B:$B, 'Uncalibrated Data'!$C6044, 'Picarro Output'!$I:$I, 0, 'Picarro Output'!$J:$J, 1), "")</f>
        <v/>
      </c>
    </row>
    <row r="6045" spans="2:5" x14ac:dyDescent="0.45">
      <c r="B6045" s="1"/>
      <c r="E6045" s="45" t="str">
        <f>IFERROR(AVERAGEIFS('Picarro Output'!G:G, 'Picarro Output'!$B:$B, 'Uncalibrated Data'!$C6045, 'Picarro Output'!$I:$I, 0, 'Picarro Output'!$J:$J, 1), "")</f>
        <v/>
      </c>
    </row>
    <row r="6046" spans="2:5" x14ac:dyDescent="0.45">
      <c r="B6046" s="1"/>
      <c r="E6046" s="45" t="str">
        <f>IFERROR(AVERAGEIFS('Picarro Output'!G:G, 'Picarro Output'!$B:$B, 'Uncalibrated Data'!$C6046, 'Picarro Output'!$I:$I, 0, 'Picarro Output'!$J:$J, 1), "")</f>
        <v/>
      </c>
    </row>
    <row r="6047" spans="2:5" x14ac:dyDescent="0.45">
      <c r="B6047" s="1"/>
      <c r="E6047" s="45" t="str">
        <f>IFERROR(AVERAGEIFS('Picarro Output'!G:G, 'Picarro Output'!$B:$B, 'Uncalibrated Data'!$C6047, 'Picarro Output'!$I:$I, 0, 'Picarro Output'!$J:$J, 1), "")</f>
        <v/>
      </c>
    </row>
    <row r="6048" spans="2:5" x14ac:dyDescent="0.45">
      <c r="B6048" s="1"/>
      <c r="E6048" s="45" t="str">
        <f>IFERROR(AVERAGEIFS('Picarro Output'!G:G, 'Picarro Output'!$B:$B, 'Uncalibrated Data'!$C6048, 'Picarro Output'!$I:$I, 0, 'Picarro Output'!$J:$J, 1), "")</f>
        <v/>
      </c>
    </row>
    <row r="6049" spans="2:5" x14ac:dyDescent="0.45">
      <c r="B6049" s="1"/>
      <c r="E6049" s="45" t="str">
        <f>IFERROR(AVERAGEIFS('Picarro Output'!G:G, 'Picarro Output'!$B:$B, 'Uncalibrated Data'!$C6049, 'Picarro Output'!$I:$I, 0, 'Picarro Output'!$J:$J, 1), "")</f>
        <v/>
      </c>
    </row>
    <row r="6050" spans="2:5" x14ac:dyDescent="0.45">
      <c r="B6050" s="1"/>
      <c r="E6050" s="45" t="str">
        <f>IFERROR(AVERAGEIFS('Picarro Output'!G:G, 'Picarro Output'!$B:$B, 'Uncalibrated Data'!$C6050, 'Picarro Output'!$I:$I, 0, 'Picarro Output'!$J:$J, 1), "")</f>
        <v/>
      </c>
    </row>
    <row r="6051" spans="2:5" x14ac:dyDescent="0.45">
      <c r="B6051" s="1"/>
      <c r="E6051" s="45" t="str">
        <f>IFERROR(AVERAGEIFS('Picarro Output'!G:G, 'Picarro Output'!$B:$B, 'Uncalibrated Data'!$C6051, 'Picarro Output'!$I:$I, 0, 'Picarro Output'!$J:$J, 1), "")</f>
        <v/>
      </c>
    </row>
    <row r="6052" spans="2:5" x14ac:dyDescent="0.45">
      <c r="B6052" s="1"/>
      <c r="E6052" s="45" t="str">
        <f>IFERROR(AVERAGEIFS('Picarro Output'!G:G, 'Picarro Output'!$B:$B, 'Uncalibrated Data'!$C6052, 'Picarro Output'!$I:$I, 0, 'Picarro Output'!$J:$J, 1), "")</f>
        <v/>
      </c>
    </row>
    <row r="6053" spans="2:5" x14ac:dyDescent="0.45">
      <c r="B6053" s="1"/>
      <c r="E6053" s="45" t="str">
        <f>IFERROR(AVERAGEIFS('Picarro Output'!G:G, 'Picarro Output'!$B:$B, 'Uncalibrated Data'!$C6053, 'Picarro Output'!$I:$I, 0, 'Picarro Output'!$J:$J, 1), "")</f>
        <v/>
      </c>
    </row>
    <row r="6054" spans="2:5" x14ac:dyDescent="0.45">
      <c r="B6054" s="1"/>
      <c r="E6054" s="45" t="str">
        <f>IFERROR(AVERAGEIFS('Picarro Output'!G:G, 'Picarro Output'!$B:$B, 'Uncalibrated Data'!$C6054, 'Picarro Output'!$I:$I, 0, 'Picarro Output'!$J:$J, 1), "")</f>
        <v/>
      </c>
    </row>
    <row r="6055" spans="2:5" x14ac:dyDescent="0.45">
      <c r="B6055" s="1"/>
      <c r="E6055" s="45" t="str">
        <f>IFERROR(AVERAGEIFS('Picarro Output'!G:G, 'Picarro Output'!$B:$B, 'Uncalibrated Data'!$C6055, 'Picarro Output'!$I:$I, 0, 'Picarro Output'!$J:$J, 1), "")</f>
        <v/>
      </c>
    </row>
    <row r="6056" spans="2:5" x14ac:dyDescent="0.45">
      <c r="B6056" s="1"/>
      <c r="E6056" s="45" t="str">
        <f>IFERROR(AVERAGEIFS('Picarro Output'!G:G, 'Picarro Output'!$B:$B, 'Uncalibrated Data'!$C6056, 'Picarro Output'!$I:$I, 0, 'Picarro Output'!$J:$J, 1), "")</f>
        <v/>
      </c>
    </row>
    <row r="6057" spans="2:5" x14ac:dyDescent="0.45">
      <c r="B6057" s="1"/>
      <c r="E6057" s="45" t="str">
        <f>IFERROR(AVERAGEIFS('Picarro Output'!G:G, 'Picarro Output'!$B:$B, 'Uncalibrated Data'!$C6057, 'Picarro Output'!$I:$I, 0, 'Picarro Output'!$J:$J, 1), "")</f>
        <v/>
      </c>
    </row>
    <row r="6058" spans="2:5" x14ac:dyDescent="0.45">
      <c r="B6058" s="1"/>
      <c r="E6058" s="45" t="str">
        <f>IFERROR(AVERAGEIFS('Picarro Output'!G:G, 'Picarro Output'!$B:$B, 'Uncalibrated Data'!$C6058, 'Picarro Output'!$I:$I, 0, 'Picarro Output'!$J:$J, 1), "")</f>
        <v/>
      </c>
    </row>
    <row r="6059" spans="2:5" x14ac:dyDescent="0.45">
      <c r="B6059" s="1"/>
      <c r="E6059" s="45" t="str">
        <f>IFERROR(AVERAGEIFS('Picarro Output'!G:G, 'Picarro Output'!$B:$B, 'Uncalibrated Data'!$C6059, 'Picarro Output'!$I:$I, 0, 'Picarro Output'!$J:$J, 1), "")</f>
        <v/>
      </c>
    </row>
    <row r="6060" spans="2:5" x14ac:dyDescent="0.45">
      <c r="B6060" s="1"/>
      <c r="E6060" s="45" t="str">
        <f>IFERROR(AVERAGEIFS('Picarro Output'!G:G, 'Picarro Output'!$B:$B, 'Uncalibrated Data'!$C6060, 'Picarro Output'!$I:$I, 0, 'Picarro Output'!$J:$J, 1), "")</f>
        <v/>
      </c>
    </row>
    <row r="6061" spans="2:5" x14ac:dyDescent="0.45">
      <c r="B6061" s="1"/>
      <c r="E6061" s="45" t="str">
        <f>IFERROR(AVERAGEIFS('Picarro Output'!G:G, 'Picarro Output'!$B:$B, 'Uncalibrated Data'!$C6061, 'Picarro Output'!$I:$I, 0, 'Picarro Output'!$J:$J, 1), "")</f>
        <v/>
      </c>
    </row>
    <row r="6062" spans="2:5" x14ac:dyDescent="0.45">
      <c r="B6062" s="1"/>
      <c r="E6062" s="45" t="str">
        <f>IFERROR(AVERAGEIFS('Picarro Output'!G:G, 'Picarro Output'!$B:$B, 'Uncalibrated Data'!$C6062, 'Picarro Output'!$I:$I, 0, 'Picarro Output'!$J:$J, 1), "")</f>
        <v/>
      </c>
    </row>
    <row r="6063" spans="2:5" x14ac:dyDescent="0.45">
      <c r="B6063" s="1"/>
      <c r="E6063" s="45" t="str">
        <f>IFERROR(AVERAGEIFS('Picarro Output'!G:G, 'Picarro Output'!$B:$B, 'Uncalibrated Data'!$C6063, 'Picarro Output'!$I:$I, 0, 'Picarro Output'!$J:$J, 1), "")</f>
        <v/>
      </c>
    </row>
    <row r="6064" spans="2:5" x14ac:dyDescent="0.45">
      <c r="B6064" s="1"/>
      <c r="E6064" s="45" t="str">
        <f>IFERROR(AVERAGEIFS('Picarro Output'!G:G, 'Picarro Output'!$B:$B, 'Uncalibrated Data'!$C6064, 'Picarro Output'!$I:$I, 0, 'Picarro Output'!$J:$J, 1), "")</f>
        <v/>
      </c>
    </row>
    <row r="6065" spans="2:5" x14ac:dyDescent="0.45">
      <c r="B6065" s="1"/>
      <c r="E6065" s="45" t="str">
        <f>IFERROR(AVERAGEIFS('Picarro Output'!G:G, 'Picarro Output'!$B:$B, 'Uncalibrated Data'!$C6065, 'Picarro Output'!$I:$I, 0, 'Picarro Output'!$J:$J, 1), "")</f>
        <v/>
      </c>
    </row>
    <row r="6066" spans="2:5" x14ac:dyDescent="0.45">
      <c r="B6066" s="1"/>
      <c r="E6066" s="45" t="str">
        <f>IFERROR(AVERAGEIFS('Picarro Output'!G:G, 'Picarro Output'!$B:$B, 'Uncalibrated Data'!$C6066, 'Picarro Output'!$I:$I, 0, 'Picarro Output'!$J:$J, 1), "")</f>
        <v/>
      </c>
    </row>
    <row r="6067" spans="2:5" x14ac:dyDescent="0.45">
      <c r="B6067" s="1"/>
      <c r="E6067" s="45" t="str">
        <f>IFERROR(AVERAGEIFS('Picarro Output'!G:G, 'Picarro Output'!$B:$B, 'Uncalibrated Data'!$C6067, 'Picarro Output'!$I:$I, 0, 'Picarro Output'!$J:$J, 1), "")</f>
        <v/>
      </c>
    </row>
    <row r="6068" spans="2:5" x14ac:dyDescent="0.45">
      <c r="B6068" s="1"/>
      <c r="E6068" s="45" t="str">
        <f>IFERROR(AVERAGEIFS('Picarro Output'!G:G, 'Picarro Output'!$B:$B, 'Uncalibrated Data'!$C6068, 'Picarro Output'!$I:$I, 0, 'Picarro Output'!$J:$J, 1), "")</f>
        <v/>
      </c>
    </row>
    <row r="6069" spans="2:5" x14ac:dyDescent="0.45">
      <c r="B6069" s="1"/>
      <c r="E6069" s="45" t="str">
        <f>IFERROR(AVERAGEIFS('Picarro Output'!G:G, 'Picarro Output'!$B:$B, 'Uncalibrated Data'!$C6069, 'Picarro Output'!$I:$I, 0, 'Picarro Output'!$J:$J, 1), "")</f>
        <v/>
      </c>
    </row>
    <row r="6070" spans="2:5" x14ac:dyDescent="0.45">
      <c r="B6070" s="1"/>
      <c r="E6070" s="45" t="str">
        <f>IFERROR(AVERAGEIFS('Picarro Output'!G:G, 'Picarro Output'!$B:$B, 'Uncalibrated Data'!$C6070, 'Picarro Output'!$I:$I, 0, 'Picarro Output'!$J:$J, 1), "")</f>
        <v/>
      </c>
    </row>
    <row r="6071" spans="2:5" x14ac:dyDescent="0.45">
      <c r="B6071" s="1"/>
      <c r="E6071" s="45" t="str">
        <f>IFERROR(AVERAGEIFS('Picarro Output'!G:G, 'Picarro Output'!$B:$B, 'Uncalibrated Data'!$C6071, 'Picarro Output'!$I:$I, 0, 'Picarro Output'!$J:$J, 1), "")</f>
        <v/>
      </c>
    </row>
    <row r="6072" spans="2:5" x14ac:dyDescent="0.45">
      <c r="B6072" s="1"/>
      <c r="E6072" s="45" t="str">
        <f>IFERROR(AVERAGEIFS('Picarro Output'!G:G, 'Picarro Output'!$B:$B, 'Uncalibrated Data'!$C6072, 'Picarro Output'!$I:$I, 0, 'Picarro Output'!$J:$J, 1), "")</f>
        <v/>
      </c>
    </row>
    <row r="6073" spans="2:5" x14ac:dyDescent="0.45">
      <c r="B6073" s="1"/>
      <c r="E6073" s="45" t="str">
        <f>IFERROR(AVERAGEIFS('Picarro Output'!G:G, 'Picarro Output'!$B:$B, 'Uncalibrated Data'!$C6073, 'Picarro Output'!$I:$I, 0, 'Picarro Output'!$J:$J, 1), "")</f>
        <v/>
      </c>
    </row>
    <row r="6074" spans="2:5" x14ac:dyDescent="0.45">
      <c r="B6074" s="1"/>
      <c r="E6074" s="45" t="str">
        <f>IFERROR(AVERAGEIFS('Picarro Output'!G:G, 'Picarro Output'!$B:$B, 'Uncalibrated Data'!$C6074, 'Picarro Output'!$I:$I, 0, 'Picarro Output'!$J:$J, 1), "")</f>
        <v/>
      </c>
    </row>
    <row r="6075" spans="2:5" x14ac:dyDescent="0.45">
      <c r="B6075" s="1"/>
      <c r="E6075" s="45" t="str">
        <f>IFERROR(AVERAGEIFS('Picarro Output'!G:G, 'Picarro Output'!$B:$B, 'Uncalibrated Data'!$C6075, 'Picarro Output'!$I:$I, 0, 'Picarro Output'!$J:$J, 1), "")</f>
        <v/>
      </c>
    </row>
    <row r="6076" spans="2:5" x14ac:dyDescent="0.45">
      <c r="B6076" s="1"/>
      <c r="E6076" s="45" t="str">
        <f>IFERROR(AVERAGEIFS('Picarro Output'!G:G, 'Picarro Output'!$B:$B, 'Uncalibrated Data'!$C6076, 'Picarro Output'!$I:$I, 0, 'Picarro Output'!$J:$J, 1), "")</f>
        <v/>
      </c>
    </row>
    <row r="6077" spans="2:5" x14ac:dyDescent="0.45">
      <c r="B6077" s="1"/>
      <c r="E6077" s="45" t="str">
        <f>IFERROR(AVERAGEIFS('Picarro Output'!G:G, 'Picarro Output'!$B:$B, 'Uncalibrated Data'!$C6077, 'Picarro Output'!$I:$I, 0, 'Picarro Output'!$J:$J, 1), "")</f>
        <v/>
      </c>
    </row>
    <row r="6078" spans="2:5" x14ac:dyDescent="0.45">
      <c r="B6078" s="1"/>
      <c r="E6078" s="45" t="str">
        <f>IFERROR(AVERAGEIFS('Picarro Output'!G:G, 'Picarro Output'!$B:$B, 'Uncalibrated Data'!$C6078, 'Picarro Output'!$I:$I, 0, 'Picarro Output'!$J:$J, 1), "")</f>
        <v/>
      </c>
    </row>
    <row r="6079" spans="2:5" x14ac:dyDescent="0.45">
      <c r="B6079" s="1"/>
      <c r="E6079" s="45" t="str">
        <f>IFERROR(AVERAGEIFS('Picarro Output'!G:G, 'Picarro Output'!$B:$B, 'Uncalibrated Data'!$C6079, 'Picarro Output'!$I:$I, 0, 'Picarro Output'!$J:$J, 1), "")</f>
        <v/>
      </c>
    </row>
    <row r="6080" spans="2:5" x14ac:dyDescent="0.45">
      <c r="B6080" s="1"/>
      <c r="E6080" s="45" t="str">
        <f>IFERROR(AVERAGEIFS('Picarro Output'!G:G, 'Picarro Output'!$B:$B, 'Uncalibrated Data'!$C6080, 'Picarro Output'!$I:$I, 0, 'Picarro Output'!$J:$J, 1), "")</f>
        <v/>
      </c>
    </row>
    <row r="6081" spans="2:5" x14ac:dyDescent="0.45">
      <c r="B6081" s="1"/>
      <c r="E6081" s="45" t="str">
        <f>IFERROR(AVERAGEIFS('Picarro Output'!G:G, 'Picarro Output'!$B:$B, 'Uncalibrated Data'!$C6081, 'Picarro Output'!$I:$I, 0, 'Picarro Output'!$J:$J, 1), "")</f>
        <v/>
      </c>
    </row>
    <row r="6082" spans="2:5" x14ac:dyDescent="0.45">
      <c r="B6082" s="1"/>
      <c r="E6082" s="45" t="str">
        <f>IFERROR(AVERAGEIFS('Picarro Output'!G:G, 'Picarro Output'!$B:$B, 'Uncalibrated Data'!$C6082, 'Picarro Output'!$I:$I, 0, 'Picarro Output'!$J:$J, 1), "")</f>
        <v/>
      </c>
    </row>
    <row r="6083" spans="2:5" x14ac:dyDescent="0.45">
      <c r="B6083" s="1"/>
      <c r="E6083" s="45" t="str">
        <f>IFERROR(AVERAGEIFS('Picarro Output'!G:G, 'Picarro Output'!$B:$B, 'Uncalibrated Data'!$C6083, 'Picarro Output'!$I:$I, 0, 'Picarro Output'!$J:$J, 1), "")</f>
        <v/>
      </c>
    </row>
    <row r="6084" spans="2:5" x14ac:dyDescent="0.45">
      <c r="B6084" s="1"/>
      <c r="E6084" s="45" t="str">
        <f>IFERROR(AVERAGEIFS('Picarro Output'!G:G, 'Picarro Output'!$B:$B, 'Uncalibrated Data'!$C6084, 'Picarro Output'!$I:$I, 0, 'Picarro Output'!$J:$J, 1), "")</f>
        <v/>
      </c>
    </row>
    <row r="6085" spans="2:5" x14ac:dyDescent="0.45">
      <c r="B6085" s="1"/>
      <c r="E6085" s="45" t="str">
        <f>IFERROR(AVERAGEIFS('Picarro Output'!G:G, 'Picarro Output'!$B:$B, 'Uncalibrated Data'!$C6085, 'Picarro Output'!$I:$I, 0, 'Picarro Output'!$J:$J, 1), "")</f>
        <v/>
      </c>
    </row>
    <row r="6086" spans="2:5" x14ac:dyDescent="0.45">
      <c r="B6086" s="1"/>
      <c r="E6086" s="45" t="str">
        <f>IFERROR(AVERAGEIFS('Picarro Output'!G:G, 'Picarro Output'!$B:$B, 'Uncalibrated Data'!$C6086, 'Picarro Output'!$I:$I, 0, 'Picarro Output'!$J:$J, 1), "")</f>
        <v/>
      </c>
    </row>
    <row r="6087" spans="2:5" x14ac:dyDescent="0.45">
      <c r="B6087" s="1"/>
      <c r="E6087" s="45" t="str">
        <f>IFERROR(AVERAGEIFS('Picarro Output'!G:G, 'Picarro Output'!$B:$B, 'Uncalibrated Data'!$C6087, 'Picarro Output'!$I:$I, 0, 'Picarro Output'!$J:$J, 1), "")</f>
        <v/>
      </c>
    </row>
    <row r="6088" spans="2:5" x14ac:dyDescent="0.45">
      <c r="B6088" s="1"/>
      <c r="E6088" s="45" t="str">
        <f>IFERROR(AVERAGEIFS('Picarro Output'!G:G, 'Picarro Output'!$B:$B, 'Uncalibrated Data'!$C6088, 'Picarro Output'!$I:$I, 0, 'Picarro Output'!$J:$J, 1), "")</f>
        <v/>
      </c>
    </row>
    <row r="6089" spans="2:5" x14ac:dyDescent="0.45">
      <c r="B6089" s="1"/>
      <c r="E6089" s="45" t="str">
        <f>IFERROR(AVERAGEIFS('Picarro Output'!G:G, 'Picarro Output'!$B:$B, 'Uncalibrated Data'!$C6089, 'Picarro Output'!$I:$I, 0, 'Picarro Output'!$J:$J, 1), "")</f>
        <v/>
      </c>
    </row>
    <row r="6090" spans="2:5" x14ac:dyDescent="0.45">
      <c r="B6090" s="1"/>
      <c r="E6090" s="45" t="str">
        <f>IFERROR(AVERAGEIFS('Picarro Output'!G:G, 'Picarro Output'!$B:$B, 'Uncalibrated Data'!$C6090, 'Picarro Output'!$I:$I, 0, 'Picarro Output'!$J:$J, 1), "")</f>
        <v/>
      </c>
    </row>
    <row r="6091" spans="2:5" x14ac:dyDescent="0.45">
      <c r="B6091" s="1"/>
      <c r="E6091" s="45" t="str">
        <f>IFERROR(AVERAGEIFS('Picarro Output'!G:G, 'Picarro Output'!$B:$B, 'Uncalibrated Data'!$C6091, 'Picarro Output'!$I:$I, 0, 'Picarro Output'!$J:$J, 1), "")</f>
        <v/>
      </c>
    </row>
    <row r="6092" spans="2:5" x14ac:dyDescent="0.45">
      <c r="B6092" s="1"/>
      <c r="E6092" s="45" t="str">
        <f>IFERROR(AVERAGEIFS('Picarro Output'!G:G, 'Picarro Output'!$B:$B, 'Uncalibrated Data'!$C6092, 'Picarro Output'!$I:$I, 0, 'Picarro Output'!$J:$J, 1), "")</f>
        <v/>
      </c>
    </row>
    <row r="6093" spans="2:5" x14ac:dyDescent="0.45">
      <c r="B6093" s="1"/>
      <c r="E6093" s="45" t="str">
        <f>IFERROR(AVERAGEIFS('Picarro Output'!G:G, 'Picarro Output'!$B:$B, 'Uncalibrated Data'!$C6093, 'Picarro Output'!$I:$I, 0, 'Picarro Output'!$J:$J, 1), "")</f>
        <v/>
      </c>
    </row>
    <row r="6094" spans="2:5" x14ac:dyDescent="0.45">
      <c r="B6094" s="1"/>
      <c r="E6094" s="45" t="str">
        <f>IFERROR(AVERAGEIFS('Picarro Output'!G:G, 'Picarro Output'!$B:$B, 'Uncalibrated Data'!$C6094, 'Picarro Output'!$I:$I, 0, 'Picarro Output'!$J:$J, 1), "")</f>
        <v/>
      </c>
    </row>
    <row r="6095" spans="2:5" x14ac:dyDescent="0.45">
      <c r="B6095" s="1"/>
      <c r="E6095" s="45" t="str">
        <f>IFERROR(AVERAGEIFS('Picarro Output'!G:G, 'Picarro Output'!$B:$B, 'Uncalibrated Data'!$C6095, 'Picarro Output'!$I:$I, 0, 'Picarro Output'!$J:$J, 1), "")</f>
        <v/>
      </c>
    </row>
    <row r="6096" spans="2:5" x14ac:dyDescent="0.45">
      <c r="B6096" s="1"/>
      <c r="E6096" s="45" t="str">
        <f>IFERROR(AVERAGEIFS('Picarro Output'!G:G, 'Picarro Output'!$B:$B, 'Uncalibrated Data'!$C6096, 'Picarro Output'!$I:$I, 0, 'Picarro Output'!$J:$J, 1), "")</f>
        <v/>
      </c>
    </row>
    <row r="6097" spans="2:5" x14ac:dyDescent="0.45">
      <c r="B6097" s="1"/>
      <c r="E6097" s="45" t="str">
        <f>IFERROR(AVERAGEIFS('Picarro Output'!G:G, 'Picarro Output'!$B:$B, 'Uncalibrated Data'!$C6097, 'Picarro Output'!$I:$I, 0, 'Picarro Output'!$J:$J, 1), "")</f>
        <v/>
      </c>
    </row>
    <row r="6098" spans="2:5" x14ac:dyDescent="0.45">
      <c r="B6098" s="1"/>
      <c r="E6098" s="45" t="str">
        <f>IFERROR(AVERAGEIFS('Picarro Output'!G:G, 'Picarro Output'!$B:$B, 'Uncalibrated Data'!$C6098, 'Picarro Output'!$I:$I, 0, 'Picarro Output'!$J:$J, 1), "")</f>
        <v/>
      </c>
    </row>
    <row r="6099" spans="2:5" x14ac:dyDescent="0.45">
      <c r="B6099" s="1"/>
      <c r="E6099" s="45" t="str">
        <f>IFERROR(AVERAGEIFS('Picarro Output'!G:G, 'Picarro Output'!$B:$B, 'Uncalibrated Data'!$C6099, 'Picarro Output'!$I:$I, 0, 'Picarro Output'!$J:$J, 1), "")</f>
        <v/>
      </c>
    </row>
    <row r="6100" spans="2:5" x14ac:dyDescent="0.45">
      <c r="B6100" s="1"/>
      <c r="E6100" s="45" t="str">
        <f>IFERROR(AVERAGEIFS('Picarro Output'!G:G, 'Picarro Output'!$B:$B, 'Uncalibrated Data'!$C6100, 'Picarro Output'!$I:$I, 0, 'Picarro Output'!$J:$J, 1), "")</f>
        <v/>
      </c>
    </row>
    <row r="6101" spans="2:5" x14ac:dyDescent="0.45">
      <c r="B6101" s="1"/>
      <c r="E6101" s="45" t="str">
        <f>IFERROR(AVERAGEIFS('Picarro Output'!G:G, 'Picarro Output'!$B:$B, 'Uncalibrated Data'!$C6101, 'Picarro Output'!$I:$I, 0, 'Picarro Output'!$J:$J, 1), "")</f>
        <v/>
      </c>
    </row>
    <row r="6102" spans="2:5" x14ac:dyDescent="0.45">
      <c r="B6102" s="1"/>
      <c r="E6102" s="45" t="str">
        <f>IFERROR(AVERAGEIFS('Picarro Output'!G:G, 'Picarro Output'!$B:$B, 'Uncalibrated Data'!$C6102, 'Picarro Output'!$I:$I, 0, 'Picarro Output'!$J:$J, 1), "")</f>
        <v/>
      </c>
    </row>
    <row r="6103" spans="2:5" x14ac:dyDescent="0.45">
      <c r="B6103" s="1"/>
      <c r="E6103" s="45" t="str">
        <f>IFERROR(AVERAGEIFS('Picarro Output'!G:G, 'Picarro Output'!$B:$B, 'Uncalibrated Data'!$C6103, 'Picarro Output'!$I:$I, 0, 'Picarro Output'!$J:$J, 1), "")</f>
        <v/>
      </c>
    </row>
    <row r="6104" spans="2:5" x14ac:dyDescent="0.45">
      <c r="B6104" s="1"/>
      <c r="E6104" s="45" t="str">
        <f>IFERROR(AVERAGEIFS('Picarro Output'!G:G, 'Picarro Output'!$B:$B, 'Uncalibrated Data'!$C6104, 'Picarro Output'!$I:$I, 0, 'Picarro Output'!$J:$J, 1), "")</f>
        <v/>
      </c>
    </row>
    <row r="6105" spans="2:5" x14ac:dyDescent="0.45">
      <c r="B6105" s="1"/>
      <c r="E6105" s="45" t="str">
        <f>IFERROR(AVERAGEIFS('Picarro Output'!G:G, 'Picarro Output'!$B:$B, 'Uncalibrated Data'!$C6105, 'Picarro Output'!$I:$I, 0, 'Picarro Output'!$J:$J, 1), "")</f>
        <v/>
      </c>
    </row>
    <row r="6106" spans="2:5" x14ac:dyDescent="0.45">
      <c r="B6106" s="1"/>
      <c r="E6106" s="45" t="str">
        <f>IFERROR(AVERAGEIFS('Picarro Output'!G:G, 'Picarro Output'!$B:$B, 'Uncalibrated Data'!$C6106, 'Picarro Output'!$I:$I, 0, 'Picarro Output'!$J:$J, 1), "")</f>
        <v/>
      </c>
    </row>
    <row r="6107" spans="2:5" x14ac:dyDescent="0.45">
      <c r="B6107" s="1"/>
      <c r="E6107" s="45" t="str">
        <f>IFERROR(AVERAGEIFS('Picarro Output'!G:G, 'Picarro Output'!$B:$B, 'Uncalibrated Data'!$C6107, 'Picarro Output'!$I:$I, 0, 'Picarro Output'!$J:$J, 1), "")</f>
        <v/>
      </c>
    </row>
    <row r="6108" spans="2:5" x14ac:dyDescent="0.45">
      <c r="B6108" s="1"/>
      <c r="E6108" s="45" t="str">
        <f>IFERROR(AVERAGEIFS('Picarro Output'!G:G, 'Picarro Output'!$B:$B, 'Uncalibrated Data'!$C6108, 'Picarro Output'!$I:$I, 0, 'Picarro Output'!$J:$J, 1), "")</f>
        <v/>
      </c>
    </row>
    <row r="6109" spans="2:5" x14ac:dyDescent="0.45">
      <c r="B6109" s="1"/>
      <c r="E6109" s="45" t="str">
        <f>IFERROR(AVERAGEIFS('Picarro Output'!G:G, 'Picarro Output'!$B:$B, 'Uncalibrated Data'!$C6109, 'Picarro Output'!$I:$I, 0, 'Picarro Output'!$J:$J, 1), "")</f>
        <v/>
      </c>
    </row>
    <row r="6110" spans="2:5" x14ac:dyDescent="0.45">
      <c r="B6110" s="1"/>
      <c r="E6110" s="45" t="str">
        <f>IFERROR(AVERAGEIFS('Picarro Output'!G:G, 'Picarro Output'!$B:$B, 'Uncalibrated Data'!$C6110, 'Picarro Output'!$I:$I, 0, 'Picarro Output'!$J:$J, 1), "")</f>
        <v/>
      </c>
    </row>
    <row r="6111" spans="2:5" x14ac:dyDescent="0.45">
      <c r="B6111" s="1"/>
      <c r="E6111" s="45" t="str">
        <f>IFERROR(AVERAGEIFS('Picarro Output'!G:G, 'Picarro Output'!$B:$B, 'Uncalibrated Data'!$C6111, 'Picarro Output'!$I:$I, 0, 'Picarro Output'!$J:$J, 1), "")</f>
        <v/>
      </c>
    </row>
    <row r="6112" spans="2:5" x14ac:dyDescent="0.45">
      <c r="B6112" s="1"/>
      <c r="E6112" s="45" t="str">
        <f>IFERROR(AVERAGEIFS('Picarro Output'!G:G, 'Picarro Output'!$B:$B, 'Uncalibrated Data'!$C6112, 'Picarro Output'!$I:$I, 0, 'Picarro Output'!$J:$J, 1), "")</f>
        <v/>
      </c>
    </row>
    <row r="6113" spans="2:5" x14ac:dyDescent="0.45">
      <c r="B6113" s="1"/>
      <c r="E6113" s="45" t="str">
        <f>IFERROR(AVERAGEIFS('Picarro Output'!G:G, 'Picarro Output'!$B:$B, 'Uncalibrated Data'!$C6113, 'Picarro Output'!$I:$I, 0, 'Picarro Output'!$J:$J, 1), "")</f>
        <v/>
      </c>
    </row>
    <row r="6114" spans="2:5" x14ac:dyDescent="0.45">
      <c r="B6114" s="1"/>
      <c r="E6114" s="45" t="str">
        <f>IFERROR(AVERAGEIFS('Picarro Output'!G:G, 'Picarro Output'!$B:$B, 'Uncalibrated Data'!$C6114, 'Picarro Output'!$I:$I, 0, 'Picarro Output'!$J:$J, 1), "")</f>
        <v/>
      </c>
    </row>
    <row r="6115" spans="2:5" x14ac:dyDescent="0.45">
      <c r="B6115" s="1"/>
      <c r="E6115" s="45" t="str">
        <f>IFERROR(AVERAGEIFS('Picarro Output'!G:G, 'Picarro Output'!$B:$B, 'Uncalibrated Data'!$C6115, 'Picarro Output'!$I:$I, 0, 'Picarro Output'!$J:$J, 1), "")</f>
        <v/>
      </c>
    </row>
    <row r="6116" spans="2:5" x14ac:dyDescent="0.45">
      <c r="B6116" s="1"/>
      <c r="E6116" s="45" t="str">
        <f>IFERROR(AVERAGEIFS('Picarro Output'!G:G, 'Picarro Output'!$B:$B, 'Uncalibrated Data'!$C6116, 'Picarro Output'!$I:$I, 0, 'Picarro Output'!$J:$J, 1), "")</f>
        <v/>
      </c>
    </row>
    <row r="6117" spans="2:5" x14ac:dyDescent="0.45">
      <c r="B6117" s="1"/>
      <c r="E6117" s="45" t="str">
        <f>IFERROR(AVERAGEIFS('Picarro Output'!G:G, 'Picarro Output'!$B:$B, 'Uncalibrated Data'!$C6117, 'Picarro Output'!$I:$I, 0, 'Picarro Output'!$J:$J, 1), "")</f>
        <v/>
      </c>
    </row>
    <row r="6118" spans="2:5" x14ac:dyDescent="0.45">
      <c r="B6118" s="1"/>
      <c r="E6118" s="45" t="str">
        <f>IFERROR(AVERAGEIFS('Picarro Output'!G:G, 'Picarro Output'!$B:$B, 'Uncalibrated Data'!$C6118, 'Picarro Output'!$I:$I, 0, 'Picarro Output'!$J:$J, 1), "")</f>
        <v/>
      </c>
    </row>
    <row r="6119" spans="2:5" x14ac:dyDescent="0.45">
      <c r="B6119" s="1"/>
      <c r="E6119" s="45" t="str">
        <f>IFERROR(AVERAGEIFS('Picarro Output'!G:G, 'Picarro Output'!$B:$B, 'Uncalibrated Data'!$C6119, 'Picarro Output'!$I:$I, 0, 'Picarro Output'!$J:$J, 1), "")</f>
        <v/>
      </c>
    </row>
    <row r="6120" spans="2:5" x14ac:dyDescent="0.45">
      <c r="B6120" s="1"/>
      <c r="E6120" s="45" t="str">
        <f>IFERROR(AVERAGEIFS('Picarro Output'!G:G, 'Picarro Output'!$B:$B, 'Uncalibrated Data'!$C6120, 'Picarro Output'!$I:$I, 0, 'Picarro Output'!$J:$J, 1), "")</f>
        <v/>
      </c>
    </row>
    <row r="6121" spans="2:5" x14ac:dyDescent="0.45">
      <c r="B6121" s="1"/>
      <c r="E6121" s="45" t="str">
        <f>IFERROR(AVERAGEIFS('Picarro Output'!G:G, 'Picarro Output'!$B:$B, 'Uncalibrated Data'!$C6121, 'Picarro Output'!$I:$I, 0, 'Picarro Output'!$J:$J, 1), "")</f>
        <v/>
      </c>
    </row>
    <row r="6122" spans="2:5" x14ac:dyDescent="0.45">
      <c r="B6122" s="1"/>
      <c r="E6122" s="45" t="str">
        <f>IFERROR(AVERAGEIFS('Picarro Output'!G:G, 'Picarro Output'!$B:$B, 'Uncalibrated Data'!$C6122, 'Picarro Output'!$I:$I, 0, 'Picarro Output'!$J:$J, 1), "")</f>
        <v/>
      </c>
    </row>
    <row r="6123" spans="2:5" x14ac:dyDescent="0.45">
      <c r="B6123" s="1"/>
      <c r="E6123" s="45" t="str">
        <f>IFERROR(AVERAGEIFS('Picarro Output'!G:G, 'Picarro Output'!$B:$B, 'Uncalibrated Data'!$C6123, 'Picarro Output'!$I:$I, 0, 'Picarro Output'!$J:$J, 1), "")</f>
        <v/>
      </c>
    </row>
    <row r="6124" spans="2:5" x14ac:dyDescent="0.45">
      <c r="B6124" s="1"/>
      <c r="E6124" s="45" t="str">
        <f>IFERROR(AVERAGEIFS('Picarro Output'!G:G, 'Picarro Output'!$B:$B, 'Uncalibrated Data'!$C6124, 'Picarro Output'!$I:$I, 0, 'Picarro Output'!$J:$J, 1), "")</f>
        <v/>
      </c>
    </row>
    <row r="6125" spans="2:5" x14ac:dyDescent="0.45">
      <c r="B6125" s="1"/>
      <c r="E6125" s="45" t="str">
        <f>IFERROR(AVERAGEIFS('Picarro Output'!G:G, 'Picarro Output'!$B:$B, 'Uncalibrated Data'!$C6125, 'Picarro Output'!$I:$I, 0, 'Picarro Output'!$J:$J, 1), "")</f>
        <v/>
      </c>
    </row>
    <row r="6126" spans="2:5" x14ac:dyDescent="0.45">
      <c r="B6126" s="1"/>
      <c r="E6126" s="45" t="str">
        <f>IFERROR(AVERAGEIFS('Picarro Output'!G:G, 'Picarro Output'!$B:$B, 'Uncalibrated Data'!$C6126, 'Picarro Output'!$I:$I, 0, 'Picarro Output'!$J:$J, 1), "")</f>
        <v/>
      </c>
    </row>
    <row r="6127" spans="2:5" x14ac:dyDescent="0.45">
      <c r="B6127" s="1"/>
      <c r="E6127" s="45" t="str">
        <f>IFERROR(AVERAGEIFS('Picarro Output'!G:G, 'Picarro Output'!$B:$B, 'Uncalibrated Data'!$C6127, 'Picarro Output'!$I:$I, 0, 'Picarro Output'!$J:$J, 1), "")</f>
        <v/>
      </c>
    </row>
    <row r="6128" spans="2:5" x14ac:dyDescent="0.45">
      <c r="B6128" s="1"/>
      <c r="E6128" s="45" t="str">
        <f>IFERROR(AVERAGEIFS('Picarro Output'!G:G, 'Picarro Output'!$B:$B, 'Uncalibrated Data'!$C6128, 'Picarro Output'!$I:$I, 0, 'Picarro Output'!$J:$J, 1), "")</f>
        <v/>
      </c>
    </row>
    <row r="6129" spans="2:5" x14ac:dyDescent="0.45">
      <c r="B6129" s="1"/>
      <c r="E6129" s="45" t="str">
        <f>IFERROR(AVERAGEIFS('Picarro Output'!G:G, 'Picarro Output'!$B:$B, 'Uncalibrated Data'!$C6129, 'Picarro Output'!$I:$I, 0, 'Picarro Output'!$J:$J, 1), "")</f>
        <v/>
      </c>
    </row>
    <row r="6130" spans="2:5" x14ac:dyDescent="0.45">
      <c r="B6130" s="1"/>
      <c r="E6130" s="45" t="str">
        <f>IFERROR(AVERAGEIFS('Picarro Output'!G:G, 'Picarro Output'!$B:$B, 'Uncalibrated Data'!$C6130, 'Picarro Output'!$I:$I, 0, 'Picarro Output'!$J:$J, 1), "")</f>
        <v/>
      </c>
    </row>
    <row r="6131" spans="2:5" x14ac:dyDescent="0.45">
      <c r="B6131" s="1"/>
      <c r="E6131" s="45" t="str">
        <f>IFERROR(AVERAGEIFS('Picarro Output'!G:G, 'Picarro Output'!$B:$B, 'Uncalibrated Data'!$C6131, 'Picarro Output'!$I:$I, 0, 'Picarro Output'!$J:$J, 1), "")</f>
        <v/>
      </c>
    </row>
    <row r="6132" spans="2:5" x14ac:dyDescent="0.45">
      <c r="B6132" s="1"/>
      <c r="E6132" s="45" t="str">
        <f>IFERROR(AVERAGEIFS('Picarro Output'!G:G, 'Picarro Output'!$B:$B, 'Uncalibrated Data'!$C6132, 'Picarro Output'!$I:$I, 0, 'Picarro Output'!$J:$J, 1), "")</f>
        <v/>
      </c>
    </row>
    <row r="6133" spans="2:5" x14ac:dyDescent="0.45">
      <c r="B6133" s="1"/>
      <c r="E6133" s="45" t="str">
        <f>IFERROR(AVERAGEIFS('Picarro Output'!G:G, 'Picarro Output'!$B:$B, 'Uncalibrated Data'!$C6133, 'Picarro Output'!$I:$I, 0, 'Picarro Output'!$J:$J, 1), "")</f>
        <v/>
      </c>
    </row>
    <row r="6134" spans="2:5" x14ac:dyDescent="0.45">
      <c r="B6134" s="1"/>
      <c r="E6134" s="45" t="str">
        <f>IFERROR(AVERAGEIFS('Picarro Output'!G:G, 'Picarro Output'!$B:$B, 'Uncalibrated Data'!$C6134, 'Picarro Output'!$I:$I, 0, 'Picarro Output'!$J:$J, 1), "")</f>
        <v/>
      </c>
    </row>
    <row r="6135" spans="2:5" x14ac:dyDescent="0.45">
      <c r="B6135" s="1"/>
      <c r="E6135" s="45" t="str">
        <f>IFERROR(AVERAGEIFS('Picarro Output'!G:G, 'Picarro Output'!$B:$B, 'Uncalibrated Data'!$C6135, 'Picarro Output'!$I:$I, 0, 'Picarro Output'!$J:$J, 1), "")</f>
        <v/>
      </c>
    </row>
    <row r="6136" spans="2:5" x14ac:dyDescent="0.45">
      <c r="B6136" s="1"/>
      <c r="E6136" s="45" t="str">
        <f>IFERROR(AVERAGEIFS('Picarro Output'!G:G, 'Picarro Output'!$B:$B, 'Uncalibrated Data'!$C6136, 'Picarro Output'!$I:$I, 0, 'Picarro Output'!$J:$J, 1), "")</f>
        <v/>
      </c>
    </row>
    <row r="6137" spans="2:5" x14ac:dyDescent="0.45">
      <c r="B6137" s="1"/>
      <c r="E6137" s="45" t="str">
        <f>IFERROR(AVERAGEIFS('Picarro Output'!G:G, 'Picarro Output'!$B:$B, 'Uncalibrated Data'!$C6137, 'Picarro Output'!$I:$I, 0, 'Picarro Output'!$J:$J, 1), "")</f>
        <v/>
      </c>
    </row>
    <row r="6138" spans="2:5" x14ac:dyDescent="0.45">
      <c r="B6138" s="1"/>
      <c r="E6138" s="45" t="str">
        <f>IFERROR(AVERAGEIFS('Picarro Output'!G:G, 'Picarro Output'!$B:$B, 'Uncalibrated Data'!$C6138, 'Picarro Output'!$I:$I, 0, 'Picarro Output'!$J:$J, 1), "")</f>
        <v/>
      </c>
    </row>
    <row r="6139" spans="2:5" x14ac:dyDescent="0.45">
      <c r="B6139" s="1"/>
      <c r="E6139" s="45" t="str">
        <f>IFERROR(AVERAGEIFS('Picarro Output'!G:G, 'Picarro Output'!$B:$B, 'Uncalibrated Data'!$C6139, 'Picarro Output'!$I:$I, 0, 'Picarro Output'!$J:$J, 1), "")</f>
        <v/>
      </c>
    </row>
    <row r="6140" spans="2:5" x14ac:dyDescent="0.45">
      <c r="B6140" s="1"/>
      <c r="E6140" s="45" t="str">
        <f>IFERROR(AVERAGEIFS('Picarro Output'!G:G, 'Picarro Output'!$B:$B, 'Uncalibrated Data'!$C6140, 'Picarro Output'!$I:$I, 0, 'Picarro Output'!$J:$J, 1), "")</f>
        <v/>
      </c>
    </row>
    <row r="6141" spans="2:5" x14ac:dyDescent="0.45">
      <c r="B6141" s="1"/>
      <c r="E6141" s="45" t="str">
        <f>IFERROR(AVERAGEIFS('Picarro Output'!G:G, 'Picarro Output'!$B:$B, 'Uncalibrated Data'!$C6141, 'Picarro Output'!$I:$I, 0, 'Picarro Output'!$J:$J, 1), "")</f>
        <v/>
      </c>
    </row>
    <row r="6142" spans="2:5" x14ac:dyDescent="0.45">
      <c r="B6142" s="1"/>
      <c r="E6142" s="45" t="str">
        <f>IFERROR(AVERAGEIFS('Picarro Output'!G:G, 'Picarro Output'!$B:$B, 'Uncalibrated Data'!$C6142, 'Picarro Output'!$I:$I, 0, 'Picarro Output'!$J:$J, 1), "")</f>
        <v/>
      </c>
    </row>
    <row r="6143" spans="2:5" x14ac:dyDescent="0.45">
      <c r="B6143" s="1"/>
      <c r="E6143" s="45" t="str">
        <f>IFERROR(AVERAGEIFS('Picarro Output'!G:G, 'Picarro Output'!$B:$B, 'Uncalibrated Data'!$C6143, 'Picarro Output'!$I:$I, 0, 'Picarro Output'!$J:$J, 1), "")</f>
        <v/>
      </c>
    </row>
    <row r="6144" spans="2:5" x14ac:dyDescent="0.45">
      <c r="B6144" s="1"/>
      <c r="E6144" s="45" t="str">
        <f>IFERROR(AVERAGEIFS('Picarro Output'!G:G, 'Picarro Output'!$B:$B, 'Uncalibrated Data'!$C6144, 'Picarro Output'!$I:$I, 0, 'Picarro Output'!$J:$J, 1), "")</f>
        <v/>
      </c>
    </row>
    <row r="6145" spans="2:5" x14ac:dyDescent="0.45">
      <c r="B6145" s="1"/>
      <c r="E6145" s="45" t="str">
        <f>IFERROR(AVERAGEIFS('Picarro Output'!G:G, 'Picarro Output'!$B:$B, 'Uncalibrated Data'!$C6145, 'Picarro Output'!$I:$I, 0, 'Picarro Output'!$J:$J, 1), "")</f>
        <v/>
      </c>
    </row>
    <row r="6146" spans="2:5" x14ac:dyDescent="0.45">
      <c r="B6146" s="1"/>
      <c r="E6146" s="45" t="str">
        <f>IFERROR(AVERAGEIFS('Picarro Output'!G:G, 'Picarro Output'!$B:$B, 'Uncalibrated Data'!$C6146, 'Picarro Output'!$I:$I, 0, 'Picarro Output'!$J:$J, 1), "")</f>
        <v/>
      </c>
    </row>
    <row r="6147" spans="2:5" x14ac:dyDescent="0.45">
      <c r="B6147" s="1"/>
      <c r="E6147" s="45" t="str">
        <f>IFERROR(AVERAGEIFS('Picarro Output'!G:G, 'Picarro Output'!$B:$B, 'Uncalibrated Data'!$C6147, 'Picarro Output'!$I:$I, 0, 'Picarro Output'!$J:$J, 1), "")</f>
        <v/>
      </c>
    </row>
    <row r="6148" spans="2:5" x14ac:dyDescent="0.45">
      <c r="B6148" s="1"/>
      <c r="E6148" s="45" t="str">
        <f>IFERROR(AVERAGEIFS('Picarro Output'!G:G, 'Picarro Output'!$B:$B, 'Uncalibrated Data'!$C6148, 'Picarro Output'!$I:$I, 0, 'Picarro Output'!$J:$J, 1), "")</f>
        <v/>
      </c>
    </row>
    <row r="6149" spans="2:5" x14ac:dyDescent="0.45">
      <c r="B6149" s="1"/>
      <c r="E6149" s="45" t="str">
        <f>IFERROR(AVERAGEIFS('Picarro Output'!G:G, 'Picarro Output'!$B:$B, 'Uncalibrated Data'!$C6149, 'Picarro Output'!$I:$I, 0, 'Picarro Output'!$J:$J, 1), "")</f>
        <v/>
      </c>
    </row>
    <row r="6150" spans="2:5" x14ac:dyDescent="0.45">
      <c r="B6150" s="1"/>
      <c r="E6150" s="45" t="str">
        <f>IFERROR(AVERAGEIFS('Picarro Output'!G:G, 'Picarro Output'!$B:$B, 'Uncalibrated Data'!$C6150, 'Picarro Output'!$I:$I, 0, 'Picarro Output'!$J:$J, 1), "")</f>
        <v/>
      </c>
    </row>
    <row r="6151" spans="2:5" x14ac:dyDescent="0.45">
      <c r="B6151" s="1"/>
      <c r="E6151" s="45" t="str">
        <f>IFERROR(AVERAGEIFS('Picarro Output'!G:G, 'Picarro Output'!$B:$B, 'Uncalibrated Data'!$C6151, 'Picarro Output'!$I:$I, 0, 'Picarro Output'!$J:$J, 1), "")</f>
        <v/>
      </c>
    </row>
    <row r="6152" spans="2:5" x14ac:dyDescent="0.45">
      <c r="B6152" s="1"/>
      <c r="E6152" s="45" t="str">
        <f>IFERROR(AVERAGEIFS('Picarro Output'!G:G, 'Picarro Output'!$B:$B, 'Uncalibrated Data'!$C6152, 'Picarro Output'!$I:$I, 0, 'Picarro Output'!$J:$J, 1), "")</f>
        <v/>
      </c>
    </row>
    <row r="6153" spans="2:5" x14ac:dyDescent="0.45">
      <c r="B6153" s="1"/>
      <c r="E6153" s="45" t="str">
        <f>IFERROR(AVERAGEIFS('Picarro Output'!G:G, 'Picarro Output'!$B:$B, 'Uncalibrated Data'!$C6153, 'Picarro Output'!$I:$I, 0, 'Picarro Output'!$J:$J, 1), "")</f>
        <v/>
      </c>
    </row>
    <row r="6154" spans="2:5" x14ac:dyDescent="0.45">
      <c r="B6154" s="1"/>
      <c r="E6154" s="45" t="str">
        <f>IFERROR(AVERAGEIFS('Picarro Output'!G:G, 'Picarro Output'!$B:$B, 'Uncalibrated Data'!$C6154, 'Picarro Output'!$I:$I, 0, 'Picarro Output'!$J:$J, 1), "")</f>
        <v/>
      </c>
    </row>
    <row r="6155" spans="2:5" x14ac:dyDescent="0.45">
      <c r="B6155" s="1"/>
      <c r="E6155" s="45" t="str">
        <f>IFERROR(AVERAGEIFS('Picarro Output'!G:G, 'Picarro Output'!$B:$B, 'Uncalibrated Data'!$C6155, 'Picarro Output'!$I:$I, 0, 'Picarro Output'!$J:$J, 1), "")</f>
        <v/>
      </c>
    </row>
    <row r="6156" spans="2:5" x14ac:dyDescent="0.45">
      <c r="B6156" s="1"/>
      <c r="E6156" s="45" t="str">
        <f>IFERROR(AVERAGEIFS('Picarro Output'!G:G, 'Picarro Output'!$B:$B, 'Uncalibrated Data'!$C6156, 'Picarro Output'!$I:$I, 0, 'Picarro Output'!$J:$J, 1), "")</f>
        <v/>
      </c>
    </row>
    <row r="6157" spans="2:5" x14ac:dyDescent="0.45">
      <c r="B6157" s="1"/>
      <c r="E6157" s="45" t="str">
        <f>IFERROR(AVERAGEIFS('Picarro Output'!G:G, 'Picarro Output'!$B:$B, 'Uncalibrated Data'!$C6157, 'Picarro Output'!$I:$I, 0, 'Picarro Output'!$J:$J, 1), "")</f>
        <v/>
      </c>
    </row>
    <row r="6158" spans="2:5" x14ac:dyDescent="0.45">
      <c r="B6158" s="1"/>
      <c r="E6158" s="45" t="str">
        <f>IFERROR(AVERAGEIFS('Picarro Output'!G:G, 'Picarro Output'!$B:$B, 'Uncalibrated Data'!$C6158, 'Picarro Output'!$I:$I, 0, 'Picarro Output'!$J:$J, 1), "")</f>
        <v/>
      </c>
    </row>
    <row r="6159" spans="2:5" x14ac:dyDescent="0.45">
      <c r="B6159" s="1"/>
      <c r="E6159" s="45" t="str">
        <f>IFERROR(AVERAGEIFS('Picarro Output'!G:G, 'Picarro Output'!$B:$B, 'Uncalibrated Data'!$C6159, 'Picarro Output'!$I:$I, 0, 'Picarro Output'!$J:$J, 1), "")</f>
        <v/>
      </c>
    </row>
    <row r="6160" spans="2:5" x14ac:dyDescent="0.45">
      <c r="B6160" s="1"/>
      <c r="E6160" s="45" t="str">
        <f>IFERROR(AVERAGEIFS('Picarro Output'!G:G, 'Picarro Output'!$B:$B, 'Uncalibrated Data'!$C6160, 'Picarro Output'!$I:$I, 0, 'Picarro Output'!$J:$J, 1), "")</f>
        <v/>
      </c>
    </row>
    <row r="6161" spans="2:5" x14ac:dyDescent="0.45">
      <c r="B6161" s="1"/>
      <c r="E6161" s="45" t="str">
        <f>IFERROR(AVERAGEIFS('Picarro Output'!G:G, 'Picarro Output'!$B:$B, 'Uncalibrated Data'!$C6161, 'Picarro Output'!$I:$I, 0, 'Picarro Output'!$J:$J, 1), "")</f>
        <v/>
      </c>
    </row>
    <row r="6162" spans="2:5" x14ac:dyDescent="0.45">
      <c r="B6162" s="1"/>
      <c r="E6162" s="45" t="str">
        <f>IFERROR(AVERAGEIFS('Picarro Output'!G:G, 'Picarro Output'!$B:$B, 'Uncalibrated Data'!$C6162, 'Picarro Output'!$I:$I, 0, 'Picarro Output'!$J:$J, 1), "")</f>
        <v/>
      </c>
    </row>
    <row r="6163" spans="2:5" x14ac:dyDescent="0.45">
      <c r="B6163" s="1"/>
      <c r="E6163" s="45" t="str">
        <f>IFERROR(AVERAGEIFS('Picarro Output'!G:G, 'Picarro Output'!$B:$B, 'Uncalibrated Data'!$C6163, 'Picarro Output'!$I:$I, 0, 'Picarro Output'!$J:$J, 1), "")</f>
        <v/>
      </c>
    </row>
    <row r="6164" spans="2:5" x14ac:dyDescent="0.45">
      <c r="B6164" s="1"/>
      <c r="E6164" s="45" t="str">
        <f>IFERROR(AVERAGEIFS('Picarro Output'!G:G, 'Picarro Output'!$B:$B, 'Uncalibrated Data'!$C6164, 'Picarro Output'!$I:$I, 0, 'Picarro Output'!$J:$J, 1), "")</f>
        <v/>
      </c>
    </row>
    <row r="6165" spans="2:5" x14ac:dyDescent="0.45">
      <c r="B6165" s="1"/>
      <c r="E6165" s="45" t="str">
        <f>IFERROR(AVERAGEIFS('Picarro Output'!G:G, 'Picarro Output'!$B:$B, 'Uncalibrated Data'!$C6165, 'Picarro Output'!$I:$I, 0, 'Picarro Output'!$J:$J, 1), "")</f>
        <v/>
      </c>
    </row>
    <row r="6166" spans="2:5" x14ac:dyDescent="0.45">
      <c r="B6166" s="1"/>
      <c r="E6166" s="45" t="str">
        <f>IFERROR(AVERAGEIFS('Picarro Output'!G:G, 'Picarro Output'!$B:$B, 'Uncalibrated Data'!$C6166, 'Picarro Output'!$I:$I, 0, 'Picarro Output'!$J:$J, 1), "")</f>
        <v/>
      </c>
    </row>
    <row r="6167" spans="2:5" x14ac:dyDescent="0.45">
      <c r="B6167" s="1"/>
      <c r="E6167" s="45" t="str">
        <f>IFERROR(AVERAGEIFS('Picarro Output'!G:G, 'Picarro Output'!$B:$B, 'Uncalibrated Data'!$C6167, 'Picarro Output'!$I:$I, 0, 'Picarro Output'!$J:$J, 1), "")</f>
        <v/>
      </c>
    </row>
    <row r="6168" spans="2:5" x14ac:dyDescent="0.45">
      <c r="B6168" s="1"/>
      <c r="E6168" s="45" t="str">
        <f>IFERROR(AVERAGEIFS('Picarro Output'!G:G, 'Picarro Output'!$B:$B, 'Uncalibrated Data'!$C6168, 'Picarro Output'!$I:$I, 0, 'Picarro Output'!$J:$J, 1), "")</f>
        <v/>
      </c>
    </row>
    <row r="6169" spans="2:5" x14ac:dyDescent="0.45">
      <c r="B6169" s="1"/>
      <c r="E6169" s="45" t="str">
        <f>IFERROR(AVERAGEIFS('Picarro Output'!G:G, 'Picarro Output'!$B:$B, 'Uncalibrated Data'!$C6169, 'Picarro Output'!$I:$I, 0, 'Picarro Output'!$J:$J, 1), "")</f>
        <v/>
      </c>
    </row>
    <row r="6170" spans="2:5" x14ac:dyDescent="0.45">
      <c r="B6170" s="1"/>
      <c r="E6170" s="45" t="str">
        <f>IFERROR(AVERAGEIFS('Picarro Output'!G:G, 'Picarro Output'!$B:$B, 'Uncalibrated Data'!$C6170, 'Picarro Output'!$I:$I, 0, 'Picarro Output'!$J:$J, 1), "")</f>
        <v/>
      </c>
    </row>
    <row r="6171" spans="2:5" x14ac:dyDescent="0.45">
      <c r="B6171" s="1"/>
      <c r="E6171" s="45" t="str">
        <f>IFERROR(AVERAGEIFS('Picarro Output'!G:G, 'Picarro Output'!$B:$B, 'Uncalibrated Data'!$C6171, 'Picarro Output'!$I:$I, 0, 'Picarro Output'!$J:$J, 1), "")</f>
        <v/>
      </c>
    </row>
    <row r="6172" spans="2:5" x14ac:dyDescent="0.45">
      <c r="B6172" s="1"/>
      <c r="E6172" s="45" t="str">
        <f>IFERROR(AVERAGEIFS('Picarro Output'!G:G, 'Picarro Output'!$B:$B, 'Uncalibrated Data'!$C6172, 'Picarro Output'!$I:$I, 0, 'Picarro Output'!$J:$J, 1), "")</f>
        <v/>
      </c>
    </row>
    <row r="6173" spans="2:5" x14ac:dyDescent="0.45">
      <c r="B6173" s="1"/>
      <c r="E6173" s="45" t="str">
        <f>IFERROR(AVERAGEIFS('Picarro Output'!G:G, 'Picarro Output'!$B:$B, 'Uncalibrated Data'!$C6173, 'Picarro Output'!$I:$I, 0, 'Picarro Output'!$J:$J, 1), "")</f>
        <v/>
      </c>
    </row>
    <row r="6174" spans="2:5" x14ac:dyDescent="0.45">
      <c r="B6174" s="1"/>
      <c r="E6174" s="45" t="str">
        <f>IFERROR(AVERAGEIFS('Picarro Output'!G:G, 'Picarro Output'!$B:$B, 'Uncalibrated Data'!$C6174, 'Picarro Output'!$I:$I, 0, 'Picarro Output'!$J:$J, 1), "")</f>
        <v/>
      </c>
    </row>
    <row r="6175" spans="2:5" x14ac:dyDescent="0.45">
      <c r="B6175" s="1"/>
      <c r="E6175" s="45" t="str">
        <f>IFERROR(AVERAGEIFS('Picarro Output'!G:G, 'Picarro Output'!$B:$B, 'Uncalibrated Data'!$C6175, 'Picarro Output'!$I:$I, 0, 'Picarro Output'!$J:$J, 1), "")</f>
        <v/>
      </c>
    </row>
    <row r="6176" spans="2:5" x14ac:dyDescent="0.45">
      <c r="B6176" s="1"/>
      <c r="E6176" s="45" t="str">
        <f>IFERROR(AVERAGEIFS('Picarro Output'!G:G, 'Picarro Output'!$B:$B, 'Uncalibrated Data'!$C6176, 'Picarro Output'!$I:$I, 0, 'Picarro Output'!$J:$J, 1), "")</f>
        <v/>
      </c>
    </row>
    <row r="6177" spans="2:5" x14ac:dyDescent="0.45">
      <c r="B6177" s="1"/>
      <c r="E6177" s="45" t="str">
        <f>IFERROR(AVERAGEIFS('Picarro Output'!G:G, 'Picarro Output'!$B:$B, 'Uncalibrated Data'!$C6177, 'Picarro Output'!$I:$I, 0, 'Picarro Output'!$J:$J, 1), "")</f>
        <v/>
      </c>
    </row>
    <row r="6178" spans="2:5" x14ac:dyDescent="0.45">
      <c r="B6178" s="1"/>
      <c r="E6178" s="45" t="str">
        <f>IFERROR(AVERAGEIFS('Picarro Output'!G:G, 'Picarro Output'!$B:$B, 'Uncalibrated Data'!$C6178, 'Picarro Output'!$I:$I, 0, 'Picarro Output'!$J:$J, 1), "")</f>
        <v/>
      </c>
    </row>
    <row r="6179" spans="2:5" x14ac:dyDescent="0.45">
      <c r="B6179" s="1"/>
      <c r="E6179" s="45" t="str">
        <f>IFERROR(AVERAGEIFS('Picarro Output'!G:G, 'Picarro Output'!$B:$B, 'Uncalibrated Data'!$C6179, 'Picarro Output'!$I:$I, 0, 'Picarro Output'!$J:$J, 1), "")</f>
        <v/>
      </c>
    </row>
    <row r="6180" spans="2:5" x14ac:dyDescent="0.45">
      <c r="B6180" s="1"/>
      <c r="E6180" s="45" t="str">
        <f>IFERROR(AVERAGEIFS('Picarro Output'!G:G, 'Picarro Output'!$B:$B, 'Uncalibrated Data'!$C6180, 'Picarro Output'!$I:$I, 0, 'Picarro Output'!$J:$J, 1), "")</f>
        <v/>
      </c>
    </row>
    <row r="6181" spans="2:5" x14ac:dyDescent="0.45">
      <c r="B6181" s="1"/>
      <c r="E6181" s="45" t="str">
        <f>IFERROR(AVERAGEIFS('Picarro Output'!G:G, 'Picarro Output'!$B:$B, 'Uncalibrated Data'!$C6181, 'Picarro Output'!$I:$I, 0, 'Picarro Output'!$J:$J, 1), "")</f>
        <v/>
      </c>
    </row>
    <row r="6182" spans="2:5" x14ac:dyDescent="0.45">
      <c r="B6182" s="1"/>
      <c r="E6182" s="45" t="str">
        <f>IFERROR(AVERAGEIFS('Picarro Output'!G:G, 'Picarro Output'!$B:$B, 'Uncalibrated Data'!$C6182, 'Picarro Output'!$I:$I, 0, 'Picarro Output'!$J:$J, 1), "")</f>
        <v/>
      </c>
    </row>
    <row r="6183" spans="2:5" x14ac:dyDescent="0.45">
      <c r="B6183" s="1"/>
      <c r="E6183" s="45" t="str">
        <f>IFERROR(AVERAGEIFS('Picarro Output'!G:G, 'Picarro Output'!$B:$B, 'Uncalibrated Data'!$C6183, 'Picarro Output'!$I:$I, 0, 'Picarro Output'!$J:$J, 1), "")</f>
        <v/>
      </c>
    </row>
    <row r="6184" spans="2:5" x14ac:dyDescent="0.45">
      <c r="B6184" s="1"/>
      <c r="E6184" s="45" t="str">
        <f>IFERROR(AVERAGEIFS('Picarro Output'!G:G, 'Picarro Output'!$B:$B, 'Uncalibrated Data'!$C6184, 'Picarro Output'!$I:$I, 0, 'Picarro Output'!$J:$J, 1), "")</f>
        <v/>
      </c>
    </row>
    <row r="6185" spans="2:5" x14ac:dyDescent="0.45">
      <c r="B6185" s="1"/>
      <c r="E6185" s="45" t="str">
        <f>IFERROR(AVERAGEIFS('Picarro Output'!G:G, 'Picarro Output'!$B:$B, 'Uncalibrated Data'!$C6185, 'Picarro Output'!$I:$I, 0, 'Picarro Output'!$J:$J, 1), "")</f>
        <v/>
      </c>
    </row>
    <row r="6186" spans="2:5" x14ac:dyDescent="0.45">
      <c r="B6186" s="1"/>
      <c r="E6186" s="45" t="str">
        <f>IFERROR(AVERAGEIFS('Picarro Output'!G:G, 'Picarro Output'!$B:$B, 'Uncalibrated Data'!$C6186, 'Picarro Output'!$I:$I, 0, 'Picarro Output'!$J:$J, 1), "")</f>
        <v/>
      </c>
    </row>
    <row r="6187" spans="2:5" x14ac:dyDescent="0.45">
      <c r="B6187" s="1"/>
      <c r="E6187" s="45" t="str">
        <f>IFERROR(AVERAGEIFS('Picarro Output'!G:G, 'Picarro Output'!$B:$B, 'Uncalibrated Data'!$C6187, 'Picarro Output'!$I:$I, 0, 'Picarro Output'!$J:$J, 1), "")</f>
        <v/>
      </c>
    </row>
    <row r="6188" spans="2:5" x14ac:dyDescent="0.45">
      <c r="B6188" s="1"/>
      <c r="E6188" s="45" t="str">
        <f>IFERROR(AVERAGEIFS('Picarro Output'!G:G, 'Picarro Output'!$B:$B, 'Uncalibrated Data'!$C6188, 'Picarro Output'!$I:$I, 0, 'Picarro Output'!$J:$J, 1), "")</f>
        <v/>
      </c>
    </row>
    <row r="6189" spans="2:5" x14ac:dyDescent="0.45">
      <c r="B6189" s="1"/>
      <c r="E6189" s="45" t="str">
        <f>IFERROR(AVERAGEIFS('Picarro Output'!G:G, 'Picarro Output'!$B:$B, 'Uncalibrated Data'!$C6189, 'Picarro Output'!$I:$I, 0, 'Picarro Output'!$J:$J, 1), "")</f>
        <v/>
      </c>
    </row>
    <row r="6190" spans="2:5" x14ac:dyDescent="0.45">
      <c r="B6190" s="1"/>
      <c r="E6190" s="45" t="str">
        <f>IFERROR(AVERAGEIFS('Picarro Output'!G:G, 'Picarro Output'!$B:$B, 'Uncalibrated Data'!$C6190, 'Picarro Output'!$I:$I, 0, 'Picarro Output'!$J:$J, 1), "")</f>
        <v/>
      </c>
    </row>
    <row r="6191" spans="2:5" x14ac:dyDescent="0.45">
      <c r="B6191" s="1"/>
      <c r="E6191" s="45" t="str">
        <f>IFERROR(AVERAGEIFS('Picarro Output'!G:G, 'Picarro Output'!$B:$B, 'Uncalibrated Data'!$C6191, 'Picarro Output'!$I:$I, 0, 'Picarro Output'!$J:$J, 1), "")</f>
        <v/>
      </c>
    </row>
    <row r="6192" spans="2:5" x14ac:dyDescent="0.45">
      <c r="B6192" s="1"/>
      <c r="E6192" s="45" t="str">
        <f>IFERROR(AVERAGEIFS('Picarro Output'!G:G, 'Picarro Output'!$B:$B, 'Uncalibrated Data'!$C6192, 'Picarro Output'!$I:$I, 0, 'Picarro Output'!$J:$J, 1), "")</f>
        <v/>
      </c>
    </row>
    <row r="6193" spans="2:5" x14ac:dyDescent="0.45">
      <c r="B6193" s="1"/>
      <c r="E6193" s="45" t="str">
        <f>IFERROR(AVERAGEIFS('Picarro Output'!G:G, 'Picarro Output'!$B:$B, 'Uncalibrated Data'!$C6193, 'Picarro Output'!$I:$I, 0, 'Picarro Output'!$J:$J, 1), "")</f>
        <v/>
      </c>
    </row>
    <row r="6194" spans="2:5" x14ac:dyDescent="0.45">
      <c r="B6194" s="1"/>
      <c r="E6194" s="45" t="str">
        <f>IFERROR(AVERAGEIFS('Picarro Output'!G:G, 'Picarro Output'!$B:$B, 'Uncalibrated Data'!$C6194, 'Picarro Output'!$I:$I, 0, 'Picarro Output'!$J:$J, 1), "")</f>
        <v/>
      </c>
    </row>
    <row r="6195" spans="2:5" x14ac:dyDescent="0.45">
      <c r="B6195" s="1"/>
      <c r="E6195" s="45" t="str">
        <f>IFERROR(AVERAGEIFS('Picarro Output'!G:G, 'Picarro Output'!$B:$B, 'Uncalibrated Data'!$C6195, 'Picarro Output'!$I:$I, 0, 'Picarro Output'!$J:$J, 1), "")</f>
        <v/>
      </c>
    </row>
    <row r="6196" spans="2:5" x14ac:dyDescent="0.45">
      <c r="B6196" s="1"/>
      <c r="E6196" s="45" t="str">
        <f>IFERROR(AVERAGEIFS('Picarro Output'!G:G, 'Picarro Output'!$B:$B, 'Uncalibrated Data'!$C6196, 'Picarro Output'!$I:$I, 0, 'Picarro Output'!$J:$J, 1), "")</f>
        <v/>
      </c>
    </row>
    <row r="6197" spans="2:5" x14ac:dyDescent="0.45">
      <c r="B6197" s="1"/>
      <c r="E6197" s="45" t="str">
        <f>IFERROR(AVERAGEIFS('Picarro Output'!G:G, 'Picarro Output'!$B:$B, 'Uncalibrated Data'!$C6197, 'Picarro Output'!$I:$I, 0, 'Picarro Output'!$J:$J, 1), "")</f>
        <v/>
      </c>
    </row>
    <row r="6198" spans="2:5" x14ac:dyDescent="0.45">
      <c r="B6198" s="1"/>
      <c r="E6198" s="45" t="str">
        <f>IFERROR(AVERAGEIFS('Picarro Output'!G:G, 'Picarro Output'!$B:$B, 'Uncalibrated Data'!$C6198, 'Picarro Output'!$I:$I, 0, 'Picarro Output'!$J:$J, 1), "")</f>
        <v/>
      </c>
    </row>
    <row r="6199" spans="2:5" x14ac:dyDescent="0.45">
      <c r="B6199" s="1"/>
      <c r="E6199" s="45" t="str">
        <f>IFERROR(AVERAGEIFS('Picarro Output'!G:G, 'Picarro Output'!$B:$B, 'Uncalibrated Data'!$C6199, 'Picarro Output'!$I:$I, 0, 'Picarro Output'!$J:$J, 1), "")</f>
        <v/>
      </c>
    </row>
    <row r="6200" spans="2:5" x14ac:dyDescent="0.45">
      <c r="B6200" s="1"/>
      <c r="E6200" s="45" t="str">
        <f>IFERROR(AVERAGEIFS('Picarro Output'!G:G, 'Picarro Output'!$B:$B, 'Uncalibrated Data'!$C6200, 'Picarro Output'!$I:$I, 0, 'Picarro Output'!$J:$J, 1), "")</f>
        <v/>
      </c>
    </row>
    <row r="6201" spans="2:5" x14ac:dyDescent="0.45">
      <c r="B6201" s="1"/>
      <c r="E6201" s="45" t="str">
        <f>IFERROR(AVERAGEIFS('Picarro Output'!G:G, 'Picarro Output'!$B:$B, 'Uncalibrated Data'!$C6201, 'Picarro Output'!$I:$I, 0, 'Picarro Output'!$J:$J, 1), "")</f>
        <v/>
      </c>
    </row>
    <row r="6202" spans="2:5" x14ac:dyDescent="0.45">
      <c r="B6202" s="1"/>
      <c r="E6202" s="45" t="str">
        <f>IFERROR(AVERAGEIFS('Picarro Output'!G:G, 'Picarro Output'!$B:$B, 'Uncalibrated Data'!$C6202, 'Picarro Output'!$I:$I, 0, 'Picarro Output'!$J:$J, 1), "")</f>
        <v/>
      </c>
    </row>
    <row r="6203" spans="2:5" x14ac:dyDescent="0.45">
      <c r="B6203" s="1"/>
      <c r="E6203" s="45" t="str">
        <f>IFERROR(AVERAGEIFS('Picarro Output'!G:G, 'Picarro Output'!$B:$B, 'Uncalibrated Data'!$C6203, 'Picarro Output'!$I:$I, 0, 'Picarro Output'!$J:$J, 1), "")</f>
        <v/>
      </c>
    </row>
    <row r="6204" spans="2:5" x14ac:dyDescent="0.45">
      <c r="B6204" s="1"/>
      <c r="E6204" s="45" t="str">
        <f>IFERROR(AVERAGEIFS('Picarro Output'!G:G, 'Picarro Output'!$B:$B, 'Uncalibrated Data'!$C6204, 'Picarro Output'!$I:$I, 0, 'Picarro Output'!$J:$J, 1), "")</f>
        <v/>
      </c>
    </row>
    <row r="6205" spans="2:5" x14ac:dyDescent="0.45">
      <c r="B6205" s="1"/>
      <c r="E6205" s="45" t="str">
        <f>IFERROR(AVERAGEIFS('Picarro Output'!G:G, 'Picarro Output'!$B:$B, 'Uncalibrated Data'!$C6205, 'Picarro Output'!$I:$I, 0, 'Picarro Output'!$J:$J, 1), "")</f>
        <v/>
      </c>
    </row>
    <row r="6206" spans="2:5" x14ac:dyDescent="0.45">
      <c r="B6206" s="1"/>
      <c r="E6206" s="45" t="str">
        <f>IFERROR(AVERAGEIFS('Picarro Output'!G:G, 'Picarro Output'!$B:$B, 'Uncalibrated Data'!$C6206, 'Picarro Output'!$I:$I, 0, 'Picarro Output'!$J:$J, 1), "")</f>
        <v/>
      </c>
    </row>
    <row r="6207" spans="2:5" x14ac:dyDescent="0.45">
      <c r="B6207" s="1"/>
      <c r="E6207" s="45" t="str">
        <f>IFERROR(AVERAGEIFS('Picarro Output'!G:G, 'Picarro Output'!$B:$B, 'Uncalibrated Data'!$C6207, 'Picarro Output'!$I:$I, 0, 'Picarro Output'!$J:$J, 1), "")</f>
        <v/>
      </c>
    </row>
    <row r="6208" spans="2:5" x14ac:dyDescent="0.45">
      <c r="B6208" s="1"/>
      <c r="E6208" s="45" t="str">
        <f>IFERROR(AVERAGEIFS('Picarro Output'!G:G, 'Picarro Output'!$B:$B, 'Uncalibrated Data'!$C6208, 'Picarro Output'!$I:$I, 0, 'Picarro Output'!$J:$J, 1), "")</f>
        <v/>
      </c>
    </row>
    <row r="6209" spans="2:5" x14ac:dyDescent="0.45">
      <c r="B6209" s="1"/>
      <c r="E6209" s="45" t="str">
        <f>IFERROR(AVERAGEIFS('Picarro Output'!G:G, 'Picarro Output'!$B:$B, 'Uncalibrated Data'!$C6209, 'Picarro Output'!$I:$I, 0, 'Picarro Output'!$J:$J, 1), "")</f>
        <v/>
      </c>
    </row>
    <row r="6210" spans="2:5" x14ac:dyDescent="0.45">
      <c r="B6210" s="1"/>
      <c r="E6210" s="45" t="str">
        <f>IFERROR(AVERAGEIFS('Picarro Output'!G:G, 'Picarro Output'!$B:$B, 'Uncalibrated Data'!$C6210, 'Picarro Output'!$I:$I, 0, 'Picarro Output'!$J:$J, 1), "")</f>
        <v/>
      </c>
    </row>
    <row r="6211" spans="2:5" x14ac:dyDescent="0.45">
      <c r="B6211" s="1"/>
      <c r="E6211" s="45" t="str">
        <f>IFERROR(AVERAGEIFS('Picarro Output'!G:G, 'Picarro Output'!$B:$B, 'Uncalibrated Data'!$C6211, 'Picarro Output'!$I:$I, 0, 'Picarro Output'!$J:$J, 1), "")</f>
        <v/>
      </c>
    </row>
    <row r="6212" spans="2:5" x14ac:dyDescent="0.45">
      <c r="B6212" s="1"/>
      <c r="E6212" s="45" t="str">
        <f>IFERROR(AVERAGEIFS('Picarro Output'!G:G, 'Picarro Output'!$B:$B, 'Uncalibrated Data'!$C6212, 'Picarro Output'!$I:$I, 0, 'Picarro Output'!$J:$J, 1), "")</f>
        <v/>
      </c>
    </row>
    <row r="6213" spans="2:5" x14ac:dyDescent="0.45">
      <c r="B6213" s="1"/>
      <c r="E6213" s="45" t="str">
        <f>IFERROR(AVERAGEIFS('Picarro Output'!G:G, 'Picarro Output'!$B:$B, 'Uncalibrated Data'!$C6213, 'Picarro Output'!$I:$I, 0, 'Picarro Output'!$J:$J, 1), "")</f>
        <v/>
      </c>
    </row>
    <row r="6214" spans="2:5" x14ac:dyDescent="0.45">
      <c r="B6214" s="1"/>
      <c r="E6214" s="45" t="str">
        <f>IFERROR(AVERAGEIFS('Picarro Output'!G:G, 'Picarro Output'!$B:$B, 'Uncalibrated Data'!$C6214, 'Picarro Output'!$I:$I, 0, 'Picarro Output'!$J:$J, 1), "")</f>
        <v/>
      </c>
    </row>
    <row r="6215" spans="2:5" x14ac:dyDescent="0.45">
      <c r="B6215" s="1"/>
      <c r="E6215" s="45" t="str">
        <f>IFERROR(AVERAGEIFS('Picarro Output'!G:G, 'Picarro Output'!$B:$B, 'Uncalibrated Data'!$C6215, 'Picarro Output'!$I:$I, 0, 'Picarro Output'!$J:$J, 1), "")</f>
        <v/>
      </c>
    </row>
    <row r="6216" spans="2:5" x14ac:dyDescent="0.45">
      <c r="B6216" s="1"/>
      <c r="E6216" s="45" t="str">
        <f>IFERROR(AVERAGEIFS('Picarro Output'!G:G, 'Picarro Output'!$B:$B, 'Uncalibrated Data'!$C6216, 'Picarro Output'!$I:$I, 0, 'Picarro Output'!$J:$J, 1), "")</f>
        <v/>
      </c>
    </row>
    <row r="6217" spans="2:5" x14ac:dyDescent="0.45">
      <c r="B6217" s="1"/>
      <c r="E6217" s="45" t="str">
        <f>IFERROR(AVERAGEIFS('Picarro Output'!G:G, 'Picarro Output'!$B:$B, 'Uncalibrated Data'!$C6217, 'Picarro Output'!$I:$I, 0, 'Picarro Output'!$J:$J, 1), "")</f>
        <v/>
      </c>
    </row>
    <row r="6218" spans="2:5" x14ac:dyDescent="0.45">
      <c r="B6218" s="1"/>
      <c r="E6218" s="45" t="str">
        <f>IFERROR(AVERAGEIFS('Picarro Output'!G:G, 'Picarro Output'!$B:$B, 'Uncalibrated Data'!$C6218, 'Picarro Output'!$I:$I, 0, 'Picarro Output'!$J:$J, 1), "")</f>
        <v/>
      </c>
    </row>
    <row r="6219" spans="2:5" x14ac:dyDescent="0.45">
      <c r="B6219" s="1"/>
      <c r="E6219" s="45" t="str">
        <f>IFERROR(AVERAGEIFS('Picarro Output'!G:G, 'Picarro Output'!$B:$B, 'Uncalibrated Data'!$C6219, 'Picarro Output'!$I:$I, 0, 'Picarro Output'!$J:$J, 1), "")</f>
        <v/>
      </c>
    </row>
    <row r="6220" spans="2:5" x14ac:dyDescent="0.45">
      <c r="B6220" s="1"/>
      <c r="E6220" s="45" t="str">
        <f>IFERROR(AVERAGEIFS('Picarro Output'!G:G, 'Picarro Output'!$B:$B, 'Uncalibrated Data'!$C6220, 'Picarro Output'!$I:$I, 0, 'Picarro Output'!$J:$J, 1), "")</f>
        <v/>
      </c>
    </row>
    <row r="6221" spans="2:5" x14ac:dyDescent="0.45">
      <c r="B6221" s="1"/>
      <c r="E6221" s="45" t="str">
        <f>IFERROR(AVERAGEIFS('Picarro Output'!G:G, 'Picarro Output'!$B:$B, 'Uncalibrated Data'!$C6221, 'Picarro Output'!$I:$I, 0, 'Picarro Output'!$J:$J, 1), "")</f>
        <v/>
      </c>
    </row>
    <row r="6222" spans="2:5" x14ac:dyDescent="0.45">
      <c r="B6222" s="1"/>
      <c r="E6222" s="45" t="str">
        <f>IFERROR(AVERAGEIFS('Picarro Output'!G:G, 'Picarro Output'!$B:$B, 'Uncalibrated Data'!$C6222, 'Picarro Output'!$I:$I, 0, 'Picarro Output'!$J:$J, 1), "")</f>
        <v/>
      </c>
    </row>
    <row r="6223" spans="2:5" x14ac:dyDescent="0.45">
      <c r="B6223" s="1"/>
      <c r="E6223" s="45" t="str">
        <f>IFERROR(AVERAGEIFS('Picarro Output'!G:G, 'Picarro Output'!$B:$B, 'Uncalibrated Data'!$C6223, 'Picarro Output'!$I:$I, 0, 'Picarro Output'!$J:$J, 1), "")</f>
        <v/>
      </c>
    </row>
    <row r="6224" spans="2:5" x14ac:dyDescent="0.45">
      <c r="B6224" s="1"/>
      <c r="E6224" s="45" t="str">
        <f>IFERROR(AVERAGEIFS('Picarro Output'!G:G, 'Picarro Output'!$B:$B, 'Uncalibrated Data'!$C6224, 'Picarro Output'!$I:$I, 0, 'Picarro Output'!$J:$J, 1), "")</f>
        <v/>
      </c>
    </row>
    <row r="6225" spans="2:5" x14ac:dyDescent="0.45">
      <c r="B6225" s="1"/>
      <c r="E6225" s="45" t="str">
        <f>IFERROR(AVERAGEIFS('Picarro Output'!G:G, 'Picarro Output'!$B:$B, 'Uncalibrated Data'!$C6225, 'Picarro Output'!$I:$I, 0, 'Picarro Output'!$J:$J, 1), "")</f>
        <v/>
      </c>
    </row>
    <row r="6226" spans="2:5" x14ac:dyDescent="0.45">
      <c r="B6226" s="1"/>
      <c r="E6226" s="45" t="str">
        <f>IFERROR(AVERAGEIFS('Picarro Output'!G:G, 'Picarro Output'!$B:$B, 'Uncalibrated Data'!$C6226, 'Picarro Output'!$I:$I, 0, 'Picarro Output'!$J:$J, 1), "")</f>
        <v/>
      </c>
    </row>
    <row r="6227" spans="2:5" x14ac:dyDescent="0.45">
      <c r="B6227" s="1"/>
      <c r="E6227" s="45" t="str">
        <f>IFERROR(AVERAGEIFS('Picarro Output'!G:G, 'Picarro Output'!$B:$B, 'Uncalibrated Data'!$C6227, 'Picarro Output'!$I:$I, 0, 'Picarro Output'!$J:$J, 1), "")</f>
        <v/>
      </c>
    </row>
    <row r="6228" spans="2:5" x14ac:dyDescent="0.45">
      <c r="B6228" s="1"/>
      <c r="E6228" s="45" t="str">
        <f>IFERROR(AVERAGEIFS('Picarro Output'!G:G, 'Picarro Output'!$B:$B, 'Uncalibrated Data'!$C6228, 'Picarro Output'!$I:$I, 0, 'Picarro Output'!$J:$J, 1), "")</f>
        <v/>
      </c>
    </row>
    <row r="6229" spans="2:5" x14ac:dyDescent="0.45">
      <c r="B6229" s="1"/>
      <c r="E6229" s="45" t="str">
        <f>IFERROR(AVERAGEIFS('Picarro Output'!G:G, 'Picarro Output'!$B:$B, 'Uncalibrated Data'!$C6229, 'Picarro Output'!$I:$I, 0, 'Picarro Output'!$J:$J, 1), "")</f>
        <v/>
      </c>
    </row>
    <row r="6230" spans="2:5" x14ac:dyDescent="0.45">
      <c r="B6230" s="1"/>
      <c r="E6230" s="45" t="str">
        <f>IFERROR(AVERAGEIFS('Picarro Output'!G:G, 'Picarro Output'!$B:$B, 'Uncalibrated Data'!$C6230, 'Picarro Output'!$I:$I, 0, 'Picarro Output'!$J:$J, 1), "")</f>
        <v/>
      </c>
    </row>
    <row r="6231" spans="2:5" x14ac:dyDescent="0.45">
      <c r="B6231" s="1"/>
      <c r="E6231" s="45" t="str">
        <f>IFERROR(AVERAGEIFS('Picarro Output'!G:G, 'Picarro Output'!$B:$B, 'Uncalibrated Data'!$C6231, 'Picarro Output'!$I:$I, 0, 'Picarro Output'!$J:$J, 1), "")</f>
        <v/>
      </c>
    </row>
    <row r="6232" spans="2:5" x14ac:dyDescent="0.45">
      <c r="B6232" s="1"/>
      <c r="E6232" s="45" t="str">
        <f>IFERROR(AVERAGEIFS('Picarro Output'!G:G, 'Picarro Output'!$B:$B, 'Uncalibrated Data'!$C6232, 'Picarro Output'!$I:$I, 0, 'Picarro Output'!$J:$J, 1), "")</f>
        <v/>
      </c>
    </row>
    <row r="6233" spans="2:5" x14ac:dyDescent="0.45">
      <c r="B6233" s="1"/>
      <c r="E6233" s="45" t="str">
        <f>IFERROR(AVERAGEIFS('Picarro Output'!G:G, 'Picarro Output'!$B:$B, 'Uncalibrated Data'!$C6233, 'Picarro Output'!$I:$I, 0, 'Picarro Output'!$J:$J, 1), "")</f>
        <v/>
      </c>
    </row>
    <row r="6234" spans="2:5" x14ac:dyDescent="0.45">
      <c r="B6234" s="1"/>
      <c r="E6234" s="45" t="str">
        <f>IFERROR(AVERAGEIFS('Picarro Output'!G:G, 'Picarro Output'!$B:$B, 'Uncalibrated Data'!$C6234, 'Picarro Output'!$I:$I, 0, 'Picarro Output'!$J:$J, 1), "")</f>
        <v/>
      </c>
    </row>
    <row r="6235" spans="2:5" x14ac:dyDescent="0.45">
      <c r="B6235" s="1"/>
      <c r="E6235" s="45" t="str">
        <f>IFERROR(AVERAGEIFS('Picarro Output'!G:G, 'Picarro Output'!$B:$B, 'Uncalibrated Data'!$C6235, 'Picarro Output'!$I:$I, 0, 'Picarro Output'!$J:$J, 1), "")</f>
        <v/>
      </c>
    </row>
    <row r="6236" spans="2:5" x14ac:dyDescent="0.45">
      <c r="B6236" s="1"/>
      <c r="E6236" s="45" t="str">
        <f>IFERROR(AVERAGEIFS('Picarro Output'!G:G, 'Picarro Output'!$B:$B, 'Uncalibrated Data'!$C6236, 'Picarro Output'!$I:$I, 0, 'Picarro Output'!$J:$J, 1), "")</f>
        <v/>
      </c>
    </row>
    <row r="6237" spans="2:5" x14ac:dyDescent="0.45">
      <c r="B6237" s="1"/>
      <c r="E6237" s="45" t="str">
        <f>IFERROR(AVERAGEIFS('Picarro Output'!G:G, 'Picarro Output'!$B:$B, 'Uncalibrated Data'!$C6237, 'Picarro Output'!$I:$I, 0, 'Picarro Output'!$J:$J, 1), "")</f>
        <v/>
      </c>
    </row>
    <row r="6238" spans="2:5" x14ac:dyDescent="0.45">
      <c r="B6238" s="1"/>
      <c r="E6238" s="45" t="str">
        <f>IFERROR(AVERAGEIFS('Picarro Output'!G:G, 'Picarro Output'!$B:$B, 'Uncalibrated Data'!$C6238, 'Picarro Output'!$I:$I, 0, 'Picarro Output'!$J:$J, 1), "")</f>
        <v/>
      </c>
    </row>
    <row r="6239" spans="2:5" x14ac:dyDescent="0.45">
      <c r="B6239" s="1"/>
      <c r="E6239" s="45" t="str">
        <f>IFERROR(AVERAGEIFS('Picarro Output'!G:G, 'Picarro Output'!$B:$B, 'Uncalibrated Data'!$C6239, 'Picarro Output'!$I:$I, 0, 'Picarro Output'!$J:$J, 1), "")</f>
        <v/>
      </c>
    </row>
    <row r="6240" spans="2:5" x14ac:dyDescent="0.45">
      <c r="B6240" s="1"/>
      <c r="E6240" s="45" t="str">
        <f>IFERROR(AVERAGEIFS('Picarro Output'!G:G, 'Picarro Output'!$B:$B, 'Uncalibrated Data'!$C6240, 'Picarro Output'!$I:$I, 0, 'Picarro Output'!$J:$J, 1), "")</f>
        <v/>
      </c>
    </row>
    <row r="6241" spans="2:5" x14ac:dyDescent="0.45">
      <c r="B6241" s="1"/>
      <c r="E6241" s="45" t="str">
        <f>IFERROR(AVERAGEIFS('Picarro Output'!G:G, 'Picarro Output'!$B:$B, 'Uncalibrated Data'!$C6241, 'Picarro Output'!$I:$I, 0, 'Picarro Output'!$J:$J, 1), "")</f>
        <v/>
      </c>
    </row>
    <row r="6242" spans="2:5" x14ac:dyDescent="0.45">
      <c r="B6242" s="1"/>
      <c r="E6242" s="45" t="str">
        <f>IFERROR(AVERAGEIFS('Picarro Output'!G:G, 'Picarro Output'!$B:$B, 'Uncalibrated Data'!$C6242, 'Picarro Output'!$I:$I, 0, 'Picarro Output'!$J:$J, 1), "")</f>
        <v/>
      </c>
    </row>
    <row r="6243" spans="2:5" x14ac:dyDescent="0.45">
      <c r="B6243" s="1"/>
      <c r="E6243" s="45" t="str">
        <f>IFERROR(AVERAGEIFS('Picarro Output'!G:G, 'Picarro Output'!$B:$B, 'Uncalibrated Data'!$C6243, 'Picarro Output'!$I:$I, 0, 'Picarro Output'!$J:$J, 1), "")</f>
        <v/>
      </c>
    </row>
    <row r="6244" spans="2:5" x14ac:dyDescent="0.45">
      <c r="B6244" s="1"/>
      <c r="E6244" s="45" t="str">
        <f>IFERROR(AVERAGEIFS('Picarro Output'!G:G, 'Picarro Output'!$B:$B, 'Uncalibrated Data'!$C6244, 'Picarro Output'!$I:$I, 0, 'Picarro Output'!$J:$J, 1), "")</f>
        <v/>
      </c>
    </row>
    <row r="6245" spans="2:5" x14ac:dyDescent="0.45">
      <c r="B6245" s="1"/>
      <c r="E6245" s="45" t="str">
        <f>IFERROR(AVERAGEIFS('Picarro Output'!G:G, 'Picarro Output'!$B:$B, 'Uncalibrated Data'!$C6245, 'Picarro Output'!$I:$I, 0, 'Picarro Output'!$J:$J, 1), "")</f>
        <v/>
      </c>
    </row>
    <row r="6246" spans="2:5" x14ac:dyDescent="0.45">
      <c r="B6246" s="1"/>
      <c r="E6246" s="45" t="str">
        <f>IFERROR(AVERAGEIFS('Picarro Output'!G:G, 'Picarro Output'!$B:$B, 'Uncalibrated Data'!$C6246, 'Picarro Output'!$I:$I, 0, 'Picarro Output'!$J:$J, 1), "")</f>
        <v/>
      </c>
    </row>
    <row r="6247" spans="2:5" x14ac:dyDescent="0.45">
      <c r="B6247" s="1"/>
      <c r="E6247" s="45" t="str">
        <f>IFERROR(AVERAGEIFS('Picarro Output'!G:G, 'Picarro Output'!$B:$B, 'Uncalibrated Data'!$C6247, 'Picarro Output'!$I:$I, 0, 'Picarro Output'!$J:$J, 1), "")</f>
        <v/>
      </c>
    </row>
    <row r="6248" spans="2:5" x14ac:dyDescent="0.45">
      <c r="B6248" s="1"/>
      <c r="E6248" s="45" t="str">
        <f>IFERROR(AVERAGEIFS('Picarro Output'!G:G, 'Picarro Output'!$B:$B, 'Uncalibrated Data'!$C6248, 'Picarro Output'!$I:$I, 0, 'Picarro Output'!$J:$J, 1), "")</f>
        <v/>
      </c>
    </row>
    <row r="6249" spans="2:5" x14ac:dyDescent="0.45">
      <c r="B6249" s="1"/>
      <c r="E6249" s="45" t="str">
        <f>IFERROR(AVERAGEIFS('Picarro Output'!G:G, 'Picarro Output'!$B:$B, 'Uncalibrated Data'!$C6249, 'Picarro Output'!$I:$I, 0, 'Picarro Output'!$J:$J, 1), "")</f>
        <v/>
      </c>
    </row>
    <row r="6250" spans="2:5" x14ac:dyDescent="0.45">
      <c r="B6250" s="1"/>
      <c r="E6250" s="45" t="str">
        <f>IFERROR(AVERAGEIFS('Picarro Output'!G:G, 'Picarro Output'!$B:$B, 'Uncalibrated Data'!$C6250, 'Picarro Output'!$I:$I, 0, 'Picarro Output'!$J:$J, 1), "")</f>
        <v/>
      </c>
    </row>
    <row r="6251" spans="2:5" x14ac:dyDescent="0.45">
      <c r="B6251" s="1"/>
      <c r="E6251" s="45" t="str">
        <f>IFERROR(AVERAGEIFS('Picarro Output'!G:G, 'Picarro Output'!$B:$B, 'Uncalibrated Data'!$C6251, 'Picarro Output'!$I:$I, 0, 'Picarro Output'!$J:$J, 1), "")</f>
        <v/>
      </c>
    </row>
    <row r="6252" spans="2:5" x14ac:dyDescent="0.45">
      <c r="B6252" s="1"/>
      <c r="E6252" s="45" t="str">
        <f>IFERROR(AVERAGEIFS('Picarro Output'!G:G, 'Picarro Output'!$B:$B, 'Uncalibrated Data'!$C6252, 'Picarro Output'!$I:$I, 0, 'Picarro Output'!$J:$J, 1), "")</f>
        <v/>
      </c>
    </row>
    <row r="6253" spans="2:5" x14ac:dyDescent="0.45">
      <c r="B6253" s="1"/>
      <c r="E6253" s="45" t="str">
        <f>IFERROR(AVERAGEIFS('Picarro Output'!G:G, 'Picarro Output'!$B:$B, 'Uncalibrated Data'!$C6253, 'Picarro Output'!$I:$I, 0, 'Picarro Output'!$J:$J, 1), "")</f>
        <v/>
      </c>
    </row>
    <row r="6254" spans="2:5" x14ac:dyDescent="0.45">
      <c r="B6254" s="1"/>
      <c r="E6254" s="45" t="str">
        <f>IFERROR(AVERAGEIFS('Picarro Output'!G:G, 'Picarro Output'!$B:$B, 'Uncalibrated Data'!$C6254, 'Picarro Output'!$I:$I, 0, 'Picarro Output'!$J:$J, 1), "")</f>
        <v/>
      </c>
    </row>
    <row r="6255" spans="2:5" x14ac:dyDescent="0.45">
      <c r="B6255" s="1"/>
      <c r="E6255" s="45" t="str">
        <f>IFERROR(AVERAGEIFS('Picarro Output'!G:G, 'Picarro Output'!$B:$B, 'Uncalibrated Data'!$C6255, 'Picarro Output'!$I:$I, 0, 'Picarro Output'!$J:$J, 1), "")</f>
        <v/>
      </c>
    </row>
    <row r="6256" spans="2:5" x14ac:dyDescent="0.45">
      <c r="B6256" s="1"/>
      <c r="E6256" s="45" t="str">
        <f>IFERROR(AVERAGEIFS('Picarro Output'!G:G, 'Picarro Output'!$B:$B, 'Uncalibrated Data'!$C6256, 'Picarro Output'!$I:$I, 0, 'Picarro Output'!$J:$J, 1), "")</f>
        <v/>
      </c>
    </row>
    <row r="6257" spans="2:5" x14ac:dyDescent="0.45">
      <c r="B6257" s="1"/>
      <c r="E6257" s="45" t="str">
        <f>IFERROR(AVERAGEIFS('Picarro Output'!G:G, 'Picarro Output'!$B:$B, 'Uncalibrated Data'!$C6257, 'Picarro Output'!$I:$I, 0, 'Picarro Output'!$J:$J, 1), "")</f>
        <v/>
      </c>
    </row>
    <row r="6258" spans="2:5" x14ac:dyDescent="0.45">
      <c r="B6258" s="1"/>
      <c r="E6258" s="45" t="str">
        <f>IFERROR(AVERAGEIFS('Picarro Output'!G:G, 'Picarro Output'!$B:$B, 'Uncalibrated Data'!$C6258, 'Picarro Output'!$I:$I, 0, 'Picarro Output'!$J:$J, 1), "")</f>
        <v/>
      </c>
    </row>
    <row r="6259" spans="2:5" x14ac:dyDescent="0.45">
      <c r="B6259" s="1"/>
      <c r="E6259" s="45" t="str">
        <f>IFERROR(AVERAGEIFS('Picarro Output'!G:G, 'Picarro Output'!$B:$B, 'Uncalibrated Data'!$C6259, 'Picarro Output'!$I:$I, 0, 'Picarro Output'!$J:$J, 1), "")</f>
        <v/>
      </c>
    </row>
    <row r="6260" spans="2:5" x14ac:dyDescent="0.45">
      <c r="B6260" s="1"/>
      <c r="E6260" s="45" t="str">
        <f>IFERROR(AVERAGEIFS('Picarro Output'!G:G, 'Picarro Output'!$B:$B, 'Uncalibrated Data'!$C6260, 'Picarro Output'!$I:$I, 0, 'Picarro Output'!$J:$J, 1), "")</f>
        <v/>
      </c>
    </row>
    <row r="6261" spans="2:5" x14ac:dyDescent="0.45">
      <c r="B6261" s="1"/>
      <c r="E6261" s="45" t="str">
        <f>IFERROR(AVERAGEIFS('Picarro Output'!G:G, 'Picarro Output'!$B:$B, 'Uncalibrated Data'!$C6261, 'Picarro Output'!$I:$I, 0, 'Picarro Output'!$J:$J, 1), "")</f>
        <v/>
      </c>
    </row>
    <row r="6262" spans="2:5" x14ac:dyDescent="0.45">
      <c r="B6262" s="1"/>
      <c r="E6262" s="45" t="str">
        <f>IFERROR(AVERAGEIFS('Picarro Output'!G:G, 'Picarro Output'!$B:$B, 'Uncalibrated Data'!$C6262, 'Picarro Output'!$I:$I, 0, 'Picarro Output'!$J:$J, 1), "")</f>
        <v/>
      </c>
    </row>
    <row r="6263" spans="2:5" x14ac:dyDescent="0.45">
      <c r="B6263" s="1"/>
      <c r="E6263" s="45" t="str">
        <f>IFERROR(AVERAGEIFS('Picarro Output'!G:G, 'Picarro Output'!$B:$B, 'Uncalibrated Data'!$C6263, 'Picarro Output'!$I:$I, 0, 'Picarro Output'!$J:$J, 1), "")</f>
        <v/>
      </c>
    </row>
    <row r="6264" spans="2:5" x14ac:dyDescent="0.45">
      <c r="B6264" s="1"/>
      <c r="E6264" s="45" t="str">
        <f>IFERROR(AVERAGEIFS('Picarro Output'!G:G, 'Picarro Output'!$B:$B, 'Uncalibrated Data'!$C6264, 'Picarro Output'!$I:$I, 0, 'Picarro Output'!$J:$J, 1), "")</f>
        <v/>
      </c>
    </row>
    <row r="6265" spans="2:5" x14ac:dyDescent="0.45">
      <c r="B6265" s="1"/>
      <c r="E6265" s="45" t="str">
        <f>IFERROR(AVERAGEIFS('Picarro Output'!G:G, 'Picarro Output'!$B:$B, 'Uncalibrated Data'!$C6265, 'Picarro Output'!$I:$I, 0, 'Picarro Output'!$J:$J, 1), "")</f>
        <v/>
      </c>
    </row>
    <row r="6266" spans="2:5" x14ac:dyDescent="0.45">
      <c r="B6266" s="1"/>
      <c r="E6266" s="45" t="str">
        <f>IFERROR(AVERAGEIFS('Picarro Output'!G:G, 'Picarro Output'!$B:$B, 'Uncalibrated Data'!$C6266, 'Picarro Output'!$I:$I, 0, 'Picarro Output'!$J:$J, 1), "")</f>
        <v/>
      </c>
    </row>
    <row r="6267" spans="2:5" x14ac:dyDescent="0.45">
      <c r="B6267" s="1"/>
      <c r="E6267" s="45" t="str">
        <f>IFERROR(AVERAGEIFS('Picarro Output'!G:G, 'Picarro Output'!$B:$B, 'Uncalibrated Data'!$C6267, 'Picarro Output'!$I:$I, 0, 'Picarro Output'!$J:$J, 1), "")</f>
        <v/>
      </c>
    </row>
    <row r="6268" spans="2:5" x14ac:dyDescent="0.45">
      <c r="B6268" s="1"/>
      <c r="E6268" s="45" t="str">
        <f>IFERROR(AVERAGEIFS('Picarro Output'!G:G, 'Picarro Output'!$B:$B, 'Uncalibrated Data'!$C6268, 'Picarro Output'!$I:$I, 0, 'Picarro Output'!$J:$J, 1), "")</f>
        <v/>
      </c>
    </row>
    <row r="6269" spans="2:5" x14ac:dyDescent="0.45">
      <c r="B6269" s="1"/>
      <c r="E6269" s="45" t="str">
        <f>IFERROR(AVERAGEIFS('Picarro Output'!G:G, 'Picarro Output'!$B:$B, 'Uncalibrated Data'!$C6269, 'Picarro Output'!$I:$I, 0, 'Picarro Output'!$J:$J, 1), "")</f>
        <v/>
      </c>
    </row>
    <row r="6270" spans="2:5" x14ac:dyDescent="0.45">
      <c r="B6270" s="1"/>
      <c r="E6270" s="45" t="str">
        <f>IFERROR(AVERAGEIFS('Picarro Output'!G:G, 'Picarro Output'!$B:$B, 'Uncalibrated Data'!$C6270, 'Picarro Output'!$I:$I, 0, 'Picarro Output'!$J:$J, 1), "")</f>
        <v/>
      </c>
    </row>
    <row r="6271" spans="2:5" x14ac:dyDescent="0.45">
      <c r="B6271" s="1"/>
      <c r="E6271" s="45" t="str">
        <f>IFERROR(AVERAGEIFS('Picarro Output'!G:G, 'Picarro Output'!$B:$B, 'Uncalibrated Data'!$C6271, 'Picarro Output'!$I:$I, 0, 'Picarro Output'!$J:$J, 1), "")</f>
        <v/>
      </c>
    </row>
    <row r="6272" spans="2:5" x14ac:dyDescent="0.45">
      <c r="B6272" s="1"/>
      <c r="E6272" s="45" t="str">
        <f>IFERROR(AVERAGEIFS('Picarro Output'!G:G, 'Picarro Output'!$B:$B, 'Uncalibrated Data'!$C6272, 'Picarro Output'!$I:$I, 0, 'Picarro Output'!$J:$J, 1), "")</f>
        <v/>
      </c>
    </row>
    <row r="6273" spans="2:5" x14ac:dyDescent="0.45">
      <c r="B6273" s="1"/>
      <c r="E6273" s="45" t="str">
        <f>IFERROR(AVERAGEIFS('Picarro Output'!G:G, 'Picarro Output'!$B:$B, 'Uncalibrated Data'!$C6273, 'Picarro Output'!$I:$I, 0, 'Picarro Output'!$J:$J, 1), "")</f>
        <v/>
      </c>
    </row>
    <row r="6274" spans="2:5" x14ac:dyDescent="0.45">
      <c r="B6274" s="1"/>
      <c r="E6274" s="45" t="str">
        <f>IFERROR(AVERAGEIFS('Picarro Output'!G:G, 'Picarro Output'!$B:$B, 'Uncalibrated Data'!$C6274, 'Picarro Output'!$I:$I, 0, 'Picarro Output'!$J:$J, 1), "")</f>
        <v/>
      </c>
    </row>
    <row r="6275" spans="2:5" x14ac:dyDescent="0.45">
      <c r="B6275" s="1"/>
      <c r="E6275" s="45" t="str">
        <f>IFERROR(AVERAGEIFS('Picarro Output'!G:G, 'Picarro Output'!$B:$B, 'Uncalibrated Data'!$C6275, 'Picarro Output'!$I:$I, 0, 'Picarro Output'!$J:$J, 1), "")</f>
        <v/>
      </c>
    </row>
    <row r="6276" spans="2:5" x14ac:dyDescent="0.45">
      <c r="B6276" s="1"/>
      <c r="E6276" s="45" t="str">
        <f>IFERROR(AVERAGEIFS('Picarro Output'!G:G, 'Picarro Output'!$B:$B, 'Uncalibrated Data'!$C6276, 'Picarro Output'!$I:$I, 0, 'Picarro Output'!$J:$J, 1), "")</f>
        <v/>
      </c>
    </row>
    <row r="6277" spans="2:5" x14ac:dyDescent="0.45">
      <c r="B6277" s="1"/>
      <c r="E6277" s="45" t="str">
        <f>IFERROR(AVERAGEIFS('Picarro Output'!G:G, 'Picarro Output'!$B:$B, 'Uncalibrated Data'!$C6277, 'Picarro Output'!$I:$I, 0, 'Picarro Output'!$J:$J, 1), "")</f>
        <v/>
      </c>
    </row>
    <row r="6278" spans="2:5" x14ac:dyDescent="0.45">
      <c r="B6278" s="1"/>
      <c r="E6278" s="45" t="str">
        <f>IFERROR(AVERAGEIFS('Picarro Output'!G:G, 'Picarro Output'!$B:$B, 'Uncalibrated Data'!$C6278, 'Picarro Output'!$I:$I, 0, 'Picarro Output'!$J:$J, 1), "")</f>
        <v/>
      </c>
    </row>
    <row r="6279" spans="2:5" x14ac:dyDescent="0.45">
      <c r="B6279" s="1"/>
      <c r="E6279" s="45" t="str">
        <f>IFERROR(AVERAGEIFS('Picarro Output'!G:G, 'Picarro Output'!$B:$B, 'Uncalibrated Data'!$C6279, 'Picarro Output'!$I:$I, 0, 'Picarro Output'!$J:$J, 1), "")</f>
        <v/>
      </c>
    </row>
    <row r="6280" spans="2:5" x14ac:dyDescent="0.45">
      <c r="B6280" s="1"/>
      <c r="E6280" s="45" t="str">
        <f>IFERROR(AVERAGEIFS('Picarro Output'!G:G, 'Picarro Output'!$B:$B, 'Uncalibrated Data'!$C6280, 'Picarro Output'!$I:$I, 0, 'Picarro Output'!$J:$J, 1), "")</f>
        <v/>
      </c>
    </row>
    <row r="6281" spans="2:5" x14ac:dyDescent="0.45">
      <c r="B6281" s="1"/>
      <c r="E6281" s="45" t="str">
        <f>IFERROR(AVERAGEIFS('Picarro Output'!G:G, 'Picarro Output'!$B:$B, 'Uncalibrated Data'!$C6281, 'Picarro Output'!$I:$I, 0, 'Picarro Output'!$J:$J, 1), "")</f>
        <v/>
      </c>
    </row>
    <row r="6282" spans="2:5" x14ac:dyDescent="0.45">
      <c r="B6282" s="1"/>
      <c r="E6282" s="45" t="str">
        <f>IFERROR(AVERAGEIFS('Picarro Output'!G:G, 'Picarro Output'!$B:$B, 'Uncalibrated Data'!$C6282, 'Picarro Output'!$I:$I, 0, 'Picarro Output'!$J:$J, 1), "")</f>
        <v/>
      </c>
    </row>
    <row r="6283" spans="2:5" x14ac:dyDescent="0.45">
      <c r="B6283" s="1"/>
      <c r="E6283" s="45" t="str">
        <f>IFERROR(AVERAGEIFS('Picarro Output'!G:G, 'Picarro Output'!$B:$B, 'Uncalibrated Data'!$C6283, 'Picarro Output'!$I:$I, 0, 'Picarro Output'!$J:$J, 1), "")</f>
        <v/>
      </c>
    </row>
    <row r="6284" spans="2:5" x14ac:dyDescent="0.45">
      <c r="B6284" s="1"/>
      <c r="E6284" s="45" t="str">
        <f>IFERROR(AVERAGEIFS('Picarro Output'!G:G, 'Picarro Output'!$B:$B, 'Uncalibrated Data'!$C6284, 'Picarro Output'!$I:$I, 0, 'Picarro Output'!$J:$J, 1), "")</f>
        <v/>
      </c>
    </row>
    <row r="6285" spans="2:5" x14ac:dyDescent="0.45">
      <c r="B6285" s="1"/>
      <c r="E6285" s="45" t="str">
        <f>IFERROR(AVERAGEIFS('Picarro Output'!G:G, 'Picarro Output'!$B:$B, 'Uncalibrated Data'!$C6285, 'Picarro Output'!$I:$I, 0, 'Picarro Output'!$J:$J, 1), "")</f>
        <v/>
      </c>
    </row>
    <row r="6286" spans="2:5" x14ac:dyDescent="0.45">
      <c r="B6286" s="1"/>
      <c r="E6286" s="45" t="str">
        <f>IFERROR(AVERAGEIFS('Picarro Output'!G:G, 'Picarro Output'!$B:$B, 'Uncalibrated Data'!$C6286, 'Picarro Output'!$I:$I, 0, 'Picarro Output'!$J:$J, 1), "")</f>
        <v/>
      </c>
    </row>
    <row r="6287" spans="2:5" x14ac:dyDescent="0.45">
      <c r="B6287" s="1"/>
      <c r="E6287" s="45" t="str">
        <f>IFERROR(AVERAGEIFS('Picarro Output'!G:G, 'Picarro Output'!$B:$B, 'Uncalibrated Data'!$C6287, 'Picarro Output'!$I:$I, 0, 'Picarro Output'!$J:$J, 1), "")</f>
        <v/>
      </c>
    </row>
    <row r="6288" spans="2:5" x14ac:dyDescent="0.45">
      <c r="B6288" s="1"/>
      <c r="E6288" s="45" t="str">
        <f>IFERROR(AVERAGEIFS('Picarro Output'!G:G, 'Picarro Output'!$B:$B, 'Uncalibrated Data'!$C6288, 'Picarro Output'!$I:$I, 0, 'Picarro Output'!$J:$J, 1), "")</f>
        <v/>
      </c>
    </row>
    <row r="6289" spans="2:5" x14ac:dyDescent="0.45">
      <c r="B6289" s="1"/>
      <c r="E6289" s="45" t="str">
        <f>IFERROR(AVERAGEIFS('Picarro Output'!G:G, 'Picarro Output'!$B:$B, 'Uncalibrated Data'!$C6289, 'Picarro Output'!$I:$I, 0, 'Picarro Output'!$J:$J, 1), "")</f>
        <v/>
      </c>
    </row>
    <row r="6290" spans="2:5" x14ac:dyDescent="0.45">
      <c r="B6290" s="1"/>
      <c r="E6290" s="45" t="str">
        <f>IFERROR(AVERAGEIFS('Picarro Output'!G:G, 'Picarro Output'!$B:$B, 'Uncalibrated Data'!$C6290, 'Picarro Output'!$I:$I, 0, 'Picarro Output'!$J:$J, 1), "")</f>
        <v/>
      </c>
    </row>
    <row r="6291" spans="2:5" x14ac:dyDescent="0.45">
      <c r="B6291" s="1"/>
      <c r="E6291" s="45" t="str">
        <f>IFERROR(AVERAGEIFS('Picarro Output'!G:G, 'Picarro Output'!$B:$B, 'Uncalibrated Data'!$C6291, 'Picarro Output'!$I:$I, 0, 'Picarro Output'!$J:$J, 1), "")</f>
        <v/>
      </c>
    </row>
    <row r="6292" spans="2:5" x14ac:dyDescent="0.45">
      <c r="B6292" s="1"/>
      <c r="E6292" s="45" t="str">
        <f>IFERROR(AVERAGEIFS('Picarro Output'!G:G, 'Picarro Output'!$B:$B, 'Uncalibrated Data'!$C6292, 'Picarro Output'!$I:$I, 0, 'Picarro Output'!$J:$J, 1), "")</f>
        <v/>
      </c>
    </row>
    <row r="6293" spans="2:5" x14ac:dyDescent="0.45">
      <c r="B6293" s="1"/>
      <c r="E6293" s="45" t="str">
        <f>IFERROR(AVERAGEIFS('Picarro Output'!G:G, 'Picarro Output'!$B:$B, 'Uncalibrated Data'!$C6293, 'Picarro Output'!$I:$I, 0, 'Picarro Output'!$J:$J, 1), "")</f>
        <v/>
      </c>
    </row>
    <row r="6294" spans="2:5" x14ac:dyDescent="0.45">
      <c r="B6294" s="1"/>
      <c r="E6294" s="45" t="str">
        <f>IFERROR(AVERAGEIFS('Picarro Output'!G:G, 'Picarro Output'!$B:$B, 'Uncalibrated Data'!$C6294, 'Picarro Output'!$I:$I, 0, 'Picarro Output'!$J:$J, 1), "")</f>
        <v/>
      </c>
    </row>
    <row r="6295" spans="2:5" x14ac:dyDescent="0.45">
      <c r="B6295" s="1"/>
      <c r="E6295" s="45" t="str">
        <f>IFERROR(AVERAGEIFS('Picarro Output'!G:G, 'Picarro Output'!$B:$B, 'Uncalibrated Data'!$C6295, 'Picarro Output'!$I:$I, 0, 'Picarro Output'!$J:$J, 1), "")</f>
        <v/>
      </c>
    </row>
    <row r="6296" spans="2:5" x14ac:dyDescent="0.45">
      <c r="B6296" s="1"/>
      <c r="E6296" s="45" t="str">
        <f>IFERROR(AVERAGEIFS('Picarro Output'!G:G, 'Picarro Output'!$B:$B, 'Uncalibrated Data'!$C6296, 'Picarro Output'!$I:$I, 0, 'Picarro Output'!$J:$J, 1), "")</f>
        <v/>
      </c>
    </row>
    <row r="6297" spans="2:5" x14ac:dyDescent="0.45">
      <c r="B6297" s="1"/>
      <c r="E6297" s="45" t="str">
        <f>IFERROR(AVERAGEIFS('Picarro Output'!G:G, 'Picarro Output'!$B:$B, 'Uncalibrated Data'!$C6297, 'Picarro Output'!$I:$I, 0, 'Picarro Output'!$J:$J, 1), "")</f>
        <v/>
      </c>
    </row>
    <row r="6298" spans="2:5" x14ac:dyDescent="0.45">
      <c r="B6298" s="1"/>
      <c r="E6298" s="45" t="str">
        <f>IFERROR(AVERAGEIFS('Picarro Output'!G:G, 'Picarro Output'!$B:$B, 'Uncalibrated Data'!$C6298, 'Picarro Output'!$I:$I, 0, 'Picarro Output'!$J:$J, 1), "")</f>
        <v/>
      </c>
    </row>
    <row r="6299" spans="2:5" x14ac:dyDescent="0.45">
      <c r="B6299" s="1"/>
      <c r="E6299" s="45" t="str">
        <f>IFERROR(AVERAGEIFS('Picarro Output'!G:G, 'Picarro Output'!$B:$B, 'Uncalibrated Data'!$C6299, 'Picarro Output'!$I:$I, 0, 'Picarro Output'!$J:$J, 1), "")</f>
        <v/>
      </c>
    </row>
    <row r="6300" spans="2:5" x14ac:dyDescent="0.45">
      <c r="B6300" s="1"/>
      <c r="E6300" s="45" t="str">
        <f>IFERROR(AVERAGEIFS('Picarro Output'!G:G, 'Picarro Output'!$B:$B, 'Uncalibrated Data'!$C6300, 'Picarro Output'!$I:$I, 0, 'Picarro Output'!$J:$J, 1), "")</f>
        <v/>
      </c>
    </row>
    <row r="6301" spans="2:5" x14ac:dyDescent="0.45">
      <c r="B6301" s="1"/>
      <c r="E6301" s="45" t="str">
        <f>IFERROR(AVERAGEIFS('Picarro Output'!G:G, 'Picarro Output'!$B:$B, 'Uncalibrated Data'!$C6301, 'Picarro Output'!$I:$I, 0, 'Picarro Output'!$J:$J, 1), "")</f>
        <v/>
      </c>
    </row>
    <row r="6302" spans="2:5" x14ac:dyDescent="0.45">
      <c r="B6302" s="1"/>
      <c r="E6302" s="45" t="str">
        <f>IFERROR(AVERAGEIFS('Picarro Output'!G:G, 'Picarro Output'!$B:$B, 'Uncalibrated Data'!$C6302, 'Picarro Output'!$I:$I, 0, 'Picarro Output'!$J:$J, 1), "")</f>
        <v/>
      </c>
    </row>
    <row r="6303" spans="2:5" x14ac:dyDescent="0.45">
      <c r="B6303" s="1"/>
      <c r="E6303" s="45" t="str">
        <f>IFERROR(AVERAGEIFS('Picarro Output'!G:G, 'Picarro Output'!$B:$B, 'Uncalibrated Data'!$C6303, 'Picarro Output'!$I:$I, 0, 'Picarro Output'!$J:$J, 1), "")</f>
        <v/>
      </c>
    </row>
    <row r="6304" spans="2:5" x14ac:dyDescent="0.45">
      <c r="B6304" s="1"/>
      <c r="E6304" s="45" t="str">
        <f>IFERROR(AVERAGEIFS('Picarro Output'!G:G, 'Picarro Output'!$B:$B, 'Uncalibrated Data'!$C6304, 'Picarro Output'!$I:$I, 0, 'Picarro Output'!$J:$J, 1), "")</f>
        <v/>
      </c>
    </row>
    <row r="6305" spans="2:5" x14ac:dyDescent="0.45">
      <c r="B6305" s="1"/>
      <c r="E6305" s="45" t="str">
        <f>IFERROR(AVERAGEIFS('Picarro Output'!G:G, 'Picarro Output'!$B:$B, 'Uncalibrated Data'!$C6305, 'Picarro Output'!$I:$I, 0, 'Picarro Output'!$J:$J, 1), "")</f>
        <v/>
      </c>
    </row>
    <row r="6306" spans="2:5" x14ac:dyDescent="0.45">
      <c r="B6306" s="1"/>
      <c r="E6306" s="45" t="str">
        <f>IFERROR(AVERAGEIFS('Picarro Output'!G:G, 'Picarro Output'!$B:$B, 'Uncalibrated Data'!$C6306, 'Picarro Output'!$I:$I, 0, 'Picarro Output'!$J:$J, 1), "")</f>
        <v/>
      </c>
    </row>
    <row r="6307" spans="2:5" x14ac:dyDescent="0.45">
      <c r="B6307" s="1"/>
      <c r="E6307" s="45" t="str">
        <f>IFERROR(AVERAGEIFS('Picarro Output'!G:G, 'Picarro Output'!$B:$B, 'Uncalibrated Data'!$C6307, 'Picarro Output'!$I:$I, 0, 'Picarro Output'!$J:$J, 1), "")</f>
        <v/>
      </c>
    </row>
    <row r="6308" spans="2:5" x14ac:dyDescent="0.45">
      <c r="B6308" s="1"/>
      <c r="E6308" s="45" t="str">
        <f>IFERROR(AVERAGEIFS('Picarro Output'!G:G, 'Picarro Output'!$B:$B, 'Uncalibrated Data'!$C6308, 'Picarro Output'!$I:$I, 0, 'Picarro Output'!$J:$J, 1), "")</f>
        <v/>
      </c>
    </row>
    <row r="6309" spans="2:5" x14ac:dyDescent="0.45">
      <c r="B6309" s="1"/>
      <c r="E6309" s="45" t="str">
        <f>IFERROR(AVERAGEIFS('Picarro Output'!G:G, 'Picarro Output'!$B:$B, 'Uncalibrated Data'!$C6309, 'Picarro Output'!$I:$I, 0, 'Picarro Output'!$J:$J, 1), "")</f>
        <v/>
      </c>
    </row>
    <row r="6310" spans="2:5" x14ac:dyDescent="0.45">
      <c r="B6310" s="1"/>
      <c r="E6310" s="45" t="str">
        <f>IFERROR(AVERAGEIFS('Picarro Output'!G:G, 'Picarro Output'!$B:$B, 'Uncalibrated Data'!$C6310, 'Picarro Output'!$I:$I, 0, 'Picarro Output'!$J:$J, 1), "")</f>
        <v/>
      </c>
    </row>
    <row r="6311" spans="2:5" x14ac:dyDescent="0.45">
      <c r="B6311" s="1"/>
      <c r="E6311" s="45" t="str">
        <f>IFERROR(AVERAGEIFS('Picarro Output'!G:G, 'Picarro Output'!$B:$B, 'Uncalibrated Data'!$C6311, 'Picarro Output'!$I:$I, 0, 'Picarro Output'!$J:$J, 1), "")</f>
        <v/>
      </c>
    </row>
    <row r="6312" spans="2:5" x14ac:dyDescent="0.45">
      <c r="B6312" s="1"/>
      <c r="E6312" s="45" t="str">
        <f>IFERROR(AVERAGEIFS('Picarro Output'!G:G, 'Picarro Output'!$B:$B, 'Uncalibrated Data'!$C6312, 'Picarro Output'!$I:$I, 0, 'Picarro Output'!$J:$J, 1), "")</f>
        <v/>
      </c>
    </row>
    <row r="6313" spans="2:5" x14ac:dyDescent="0.45">
      <c r="B6313" s="1"/>
      <c r="E6313" s="45" t="str">
        <f>IFERROR(AVERAGEIFS('Picarro Output'!G:G, 'Picarro Output'!$B:$B, 'Uncalibrated Data'!$C6313, 'Picarro Output'!$I:$I, 0, 'Picarro Output'!$J:$J, 1), "")</f>
        <v/>
      </c>
    </row>
    <row r="6314" spans="2:5" x14ac:dyDescent="0.45">
      <c r="B6314" s="1"/>
      <c r="E6314" s="45" t="str">
        <f>IFERROR(AVERAGEIFS('Picarro Output'!G:G, 'Picarro Output'!$B:$B, 'Uncalibrated Data'!$C6314, 'Picarro Output'!$I:$I, 0, 'Picarro Output'!$J:$J, 1), "")</f>
        <v/>
      </c>
    </row>
    <row r="6315" spans="2:5" x14ac:dyDescent="0.45">
      <c r="B6315" s="1"/>
      <c r="E6315" s="45" t="str">
        <f>IFERROR(AVERAGEIFS('Picarro Output'!G:G, 'Picarro Output'!$B:$B, 'Uncalibrated Data'!$C6315, 'Picarro Output'!$I:$I, 0, 'Picarro Output'!$J:$J, 1), "")</f>
        <v/>
      </c>
    </row>
    <row r="6316" spans="2:5" x14ac:dyDescent="0.45">
      <c r="B6316" s="1"/>
      <c r="E6316" s="45" t="str">
        <f>IFERROR(AVERAGEIFS('Picarro Output'!G:G, 'Picarro Output'!$B:$B, 'Uncalibrated Data'!$C6316, 'Picarro Output'!$I:$I, 0, 'Picarro Output'!$J:$J, 1), "")</f>
        <v/>
      </c>
    </row>
    <row r="6317" spans="2:5" x14ac:dyDescent="0.45">
      <c r="B6317" s="1"/>
      <c r="E6317" s="45" t="str">
        <f>IFERROR(AVERAGEIFS('Picarro Output'!G:G, 'Picarro Output'!$B:$B, 'Uncalibrated Data'!$C6317, 'Picarro Output'!$I:$I, 0, 'Picarro Output'!$J:$J, 1), "")</f>
        <v/>
      </c>
    </row>
    <row r="6318" spans="2:5" x14ac:dyDescent="0.45">
      <c r="B6318" s="1"/>
      <c r="E6318" s="45" t="str">
        <f>IFERROR(AVERAGEIFS('Picarro Output'!G:G, 'Picarro Output'!$B:$B, 'Uncalibrated Data'!$C6318, 'Picarro Output'!$I:$I, 0, 'Picarro Output'!$J:$J, 1), "")</f>
        <v/>
      </c>
    </row>
    <row r="6319" spans="2:5" x14ac:dyDescent="0.45">
      <c r="B6319" s="1"/>
      <c r="E6319" s="45" t="str">
        <f>IFERROR(AVERAGEIFS('Picarro Output'!G:G, 'Picarro Output'!$B:$B, 'Uncalibrated Data'!$C6319, 'Picarro Output'!$I:$I, 0, 'Picarro Output'!$J:$J, 1), "")</f>
        <v/>
      </c>
    </row>
    <row r="6320" spans="2:5" x14ac:dyDescent="0.45">
      <c r="B6320" s="1"/>
      <c r="E6320" s="45" t="str">
        <f>IFERROR(AVERAGEIFS('Picarro Output'!G:G, 'Picarro Output'!$B:$B, 'Uncalibrated Data'!$C6320, 'Picarro Output'!$I:$I, 0, 'Picarro Output'!$J:$J, 1), "")</f>
        <v/>
      </c>
    </row>
    <row r="6321" spans="2:5" x14ac:dyDescent="0.45">
      <c r="B6321" s="1"/>
      <c r="E6321" s="45" t="str">
        <f>IFERROR(AVERAGEIFS('Picarro Output'!G:G, 'Picarro Output'!$B:$B, 'Uncalibrated Data'!$C6321, 'Picarro Output'!$I:$I, 0, 'Picarro Output'!$J:$J, 1), "")</f>
        <v/>
      </c>
    </row>
    <row r="6322" spans="2:5" x14ac:dyDescent="0.45">
      <c r="B6322" s="1"/>
      <c r="E6322" s="45" t="str">
        <f>IFERROR(AVERAGEIFS('Picarro Output'!G:G, 'Picarro Output'!$B:$B, 'Uncalibrated Data'!$C6322, 'Picarro Output'!$I:$I, 0, 'Picarro Output'!$J:$J, 1), "")</f>
        <v/>
      </c>
    </row>
    <row r="6323" spans="2:5" x14ac:dyDescent="0.45">
      <c r="B6323" s="1"/>
      <c r="E6323" s="45" t="str">
        <f>IFERROR(AVERAGEIFS('Picarro Output'!G:G, 'Picarro Output'!$B:$B, 'Uncalibrated Data'!$C6323, 'Picarro Output'!$I:$I, 0, 'Picarro Output'!$J:$J, 1), "")</f>
        <v/>
      </c>
    </row>
    <row r="6324" spans="2:5" x14ac:dyDescent="0.45">
      <c r="B6324" s="1"/>
      <c r="E6324" s="45" t="str">
        <f>IFERROR(AVERAGEIFS('Picarro Output'!G:G, 'Picarro Output'!$B:$B, 'Uncalibrated Data'!$C6324, 'Picarro Output'!$I:$I, 0, 'Picarro Output'!$J:$J, 1), "")</f>
        <v/>
      </c>
    </row>
    <row r="6325" spans="2:5" x14ac:dyDescent="0.45">
      <c r="B6325" s="1"/>
      <c r="E6325" s="45" t="str">
        <f>IFERROR(AVERAGEIFS('Picarro Output'!G:G, 'Picarro Output'!$B:$B, 'Uncalibrated Data'!$C6325, 'Picarro Output'!$I:$I, 0, 'Picarro Output'!$J:$J, 1), "")</f>
        <v/>
      </c>
    </row>
    <row r="6326" spans="2:5" x14ac:dyDescent="0.45">
      <c r="B6326" s="1"/>
      <c r="E6326" s="45" t="str">
        <f>IFERROR(AVERAGEIFS('Picarro Output'!G:G, 'Picarro Output'!$B:$B, 'Uncalibrated Data'!$C6326, 'Picarro Output'!$I:$I, 0, 'Picarro Output'!$J:$J, 1), "")</f>
        <v/>
      </c>
    </row>
    <row r="6327" spans="2:5" x14ac:dyDescent="0.45">
      <c r="B6327" s="1"/>
      <c r="E6327" s="45" t="str">
        <f>IFERROR(AVERAGEIFS('Picarro Output'!G:G, 'Picarro Output'!$B:$B, 'Uncalibrated Data'!$C6327, 'Picarro Output'!$I:$I, 0, 'Picarro Output'!$J:$J, 1), "")</f>
        <v/>
      </c>
    </row>
    <row r="6328" spans="2:5" x14ac:dyDescent="0.45">
      <c r="B6328" s="1"/>
      <c r="E6328" s="45" t="str">
        <f>IFERROR(AVERAGEIFS('Picarro Output'!G:G, 'Picarro Output'!$B:$B, 'Uncalibrated Data'!$C6328, 'Picarro Output'!$I:$I, 0, 'Picarro Output'!$J:$J, 1), "")</f>
        <v/>
      </c>
    </row>
    <row r="6329" spans="2:5" x14ac:dyDescent="0.45">
      <c r="B6329" s="1"/>
      <c r="E6329" s="45" t="str">
        <f>IFERROR(AVERAGEIFS('Picarro Output'!G:G, 'Picarro Output'!$B:$B, 'Uncalibrated Data'!$C6329, 'Picarro Output'!$I:$I, 0, 'Picarro Output'!$J:$J, 1), "")</f>
        <v/>
      </c>
    </row>
    <row r="6330" spans="2:5" x14ac:dyDescent="0.45">
      <c r="B6330" s="1"/>
      <c r="E6330" s="45" t="str">
        <f>IFERROR(AVERAGEIFS('Picarro Output'!G:G, 'Picarro Output'!$B:$B, 'Uncalibrated Data'!$C6330, 'Picarro Output'!$I:$I, 0, 'Picarro Output'!$J:$J, 1), "")</f>
        <v/>
      </c>
    </row>
    <row r="6331" spans="2:5" x14ac:dyDescent="0.45">
      <c r="B6331" s="1"/>
      <c r="E6331" s="45" t="str">
        <f>IFERROR(AVERAGEIFS('Picarro Output'!G:G, 'Picarro Output'!$B:$B, 'Uncalibrated Data'!$C6331, 'Picarro Output'!$I:$I, 0, 'Picarro Output'!$J:$J, 1), "")</f>
        <v/>
      </c>
    </row>
    <row r="6332" spans="2:5" x14ac:dyDescent="0.45">
      <c r="B6332" s="1"/>
      <c r="E6332" s="45" t="str">
        <f>IFERROR(AVERAGEIFS('Picarro Output'!G:G, 'Picarro Output'!$B:$B, 'Uncalibrated Data'!$C6332, 'Picarro Output'!$I:$I, 0, 'Picarro Output'!$J:$J, 1), "")</f>
        <v/>
      </c>
    </row>
    <row r="6333" spans="2:5" x14ac:dyDescent="0.45">
      <c r="B6333" s="1"/>
      <c r="E6333" s="45" t="str">
        <f>IFERROR(AVERAGEIFS('Picarro Output'!G:G, 'Picarro Output'!$B:$B, 'Uncalibrated Data'!$C6333, 'Picarro Output'!$I:$I, 0, 'Picarro Output'!$J:$J, 1), "")</f>
        <v/>
      </c>
    </row>
    <row r="6334" spans="2:5" x14ac:dyDescent="0.45">
      <c r="B6334" s="1"/>
      <c r="E6334" s="45" t="str">
        <f>IFERROR(AVERAGEIFS('Picarro Output'!G:G, 'Picarro Output'!$B:$B, 'Uncalibrated Data'!$C6334, 'Picarro Output'!$I:$I, 0, 'Picarro Output'!$J:$J, 1), "")</f>
        <v/>
      </c>
    </row>
    <row r="6335" spans="2:5" x14ac:dyDescent="0.45">
      <c r="B6335" s="1"/>
      <c r="E6335" s="45" t="str">
        <f>IFERROR(AVERAGEIFS('Picarro Output'!G:G, 'Picarro Output'!$B:$B, 'Uncalibrated Data'!$C6335, 'Picarro Output'!$I:$I, 0, 'Picarro Output'!$J:$J, 1), "")</f>
        <v/>
      </c>
    </row>
    <row r="6336" spans="2:5" x14ac:dyDescent="0.45">
      <c r="B6336" s="1"/>
      <c r="E6336" s="45" t="str">
        <f>IFERROR(AVERAGEIFS('Picarro Output'!G:G, 'Picarro Output'!$B:$B, 'Uncalibrated Data'!$C6336, 'Picarro Output'!$I:$I, 0, 'Picarro Output'!$J:$J, 1), "")</f>
        <v/>
      </c>
    </row>
    <row r="6337" spans="2:5" x14ac:dyDescent="0.45">
      <c r="B6337" s="1"/>
      <c r="E6337" s="45" t="str">
        <f>IFERROR(AVERAGEIFS('Picarro Output'!G:G, 'Picarro Output'!$B:$B, 'Uncalibrated Data'!$C6337, 'Picarro Output'!$I:$I, 0, 'Picarro Output'!$J:$J, 1), "")</f>
        <v/>
      </c>
    </row>
    <row r="6338" spans="2:5" x14ac:dyDescent="0.45">
      <c r="B6338" s="1"/>
      <c r="E6338" s="45" t="str">
        <f>IFERROR(AVERAGEIFS('Picarro Output'!G:G, 'Picarro Output'!$B:$B, 'Uncalibrated Data'!$C6338, 'Picarro Output'!$I:$I, 0, 'Picarro Output'!$J:$J, 1), "")</f>
        <v/>
      </c>
    </row>
    <row r="6339" spans="2:5" x14ac:dyDescent="0.45">
      <c r="B6339" s="1"/>
      <c r="E6339" s="45" t="str">
        <f>IFERROR(AVERAGEIFS('Picarro Output'!G:G, 'Picarro Output'!$B:$B, 'Uncalibrated Data'!$C6339, 'Picarro Output'!$I:$I, 0, 'Picarro Output'!$J:$J, 1), "")</f>
        <v/>
      </c>
    </row>
    <row r="6340" spans="2:5" x14ac:dyDescent="0.45">
      <c r="B6340" s="1"/>
      <c r="E6340" s="45" t="str">
        <f>IFERROR(AVERAGEIFS('Picarro Output'!G:G, 'Picarro Output'!$B:$B, 'Uncalibrated Data'!$C6340, 'Picarro Output'!$I:$I, 0, 'Picarro Output'!$J:$J, 1), "")</f>
        <v/>
      </c>
    </row>
    <row r="6341" spans="2:5" x14ac:dyDescent="0.45">
      <c r="B6341" s="1"/>
      <c r="E6341" s="45" t="str">
        <f>IFERROR(AVERAGEIFS('Picarro Output'!G:G, 'Picarro Output'!$B:$B, 'Uncalibrated Data'!$C6341, 'Picarro Output'!$I:$I, 0, 'Picarro Output'!$J:$J, 1), "")</f>
        <v/>
      </c>
    </row>
    <row r="6342" spans="2:5" x14ac:dyDescent="0.45">
      <c r="B6342" s="1"/>
      <c r="E6342" s="45" t="str">
        <f>IFERROR(AVERAGEIFS('Picarro Output'!G:G, 'Picarro Output'!$B:$B, 'Uncalibrated Data'!$C6342, 'Picarro Output'!$I:$I, 0, 'Picarro Output'!$J:$J, 1), "")</f>
        <v/>
      </c>
    </row>
    <row r="6343" spans="2:5" x14ac:dyDescent="0.45">
      <c r="B6343" s="1"/>
      <c r="E6343" s="45" t="str">
        <f>IFERROR(AVERAGEIFS('Picarro Output'!G:G, 'Picarro Output'!$B:$B, 'Uncalibrated Data'!$C6343, 'Picarro Output'!$I:$I, 0, 'Picarro Output'!$J:$J, 1), "")</f>
        <v/>
      </c>
    </row>
    <row r="6344" spans="2:5" x14ac:dyDescent="0.45">
      <c r="B6344" s="1"/>
      <c r="E6344" s="45" t="str">
        <f>IFERROR(AVERAGEIFS('Picarro Output'!G:G, 'Picarro Output'!$B:$B, 'Uncalibrated Data'!$C6344, 'Picarro Output'!$I:$I, 0, 'Picarro Output'!$J:$J, 1), "")</f>
        <v/>
      </c>
    </row>
    <row r="6345" spans="2:5" x14ac:dyDescent="0.45">
      <c r="B6345" s="1"/>
      <c r="E6345" s="45" t="str">
        <f>IFERROR(AVERAGEIFS('Picarro Output'!G:G, 'Picarro Output'!$B:$B, 'Uncalibrated Data'!$C6345, 'Picarro Output'!$I:$I, 0, 'Picarro Output'!$J:$J, 1), "")</f>
        <v/>
      </c>
    </row>
    <row r="6346" spans="2:5" x14ac:dyDescent="0.45">
      <c r="B6346" s="1"/>
      <c r="E6346" s="45" t="str">
        <f>IFERROR(AVERAGEIFS('Picarro Output'!G:G, 'Picarro Output'!$B:$B, 'Uncalibrated Data'!$C6346, 'Picarro Output'!$I:$I, 0, 'Picarro Output'!$J:$J, 1), "")</f>
        <v/>
      </c>
    </row>
    <row r="6347" spans="2:5" x14ac:dyDescent="0.45">
      <c r="B6347" s="1"/>
      <c r="E6347" s="45" t="str">
        <f>IFERROR(AVERAGEIFS('Picarro Output'!G:G, 'Picarro Output'!$B:$B, 'Uncalibrated Data'!$C6347, 'Picarro Output'!$I:$I, 0, 'Picarro Output'!$J:$J, 1), "")</f>
        <v/>
      </c>
    </row>
    <row r="6348" spans="2:5" x14ac:dyDescent="0.45">
      <c r="B6348" s="1"/>
      <c r="E6348" s="45" t="str">
        <f>IFERROR(AVERAGEIFS('Picarro Output'!G:G, 'Picarro Output'!$B:$B, 'Uncalibrated Data'!$C6348, 'Picarro Output'!$I:$I, 0, 'Picarro Output'!$J:$J, 1), "")</f>
        <v/>
      </c>
    </row>
    <row r="6349" spans="2:5" x14ac:dyDescent="0.45">
      <c r="B6349" s="1"/>
      <c r="E6349" s="45" t="str">
        <f>IFERROR(AVERAGEIFS('Picarro Output'!G:G, 'Picarro Output'!$B:$B, 'Uncalibrated Data'!$C6349, 'Picarro Output'!$I:$I, 0, 'Picarro Output'!$J:$J, 1), "")</f>
        <v/>
      </c>
    </row>
    <row r="6350" spans="2:5" x14ac:dyDescent="0.45">
      <c r="B6350" s="1"/>
      <c r="E6350" s="45" t="str">
        <f>IFERROR(AVERAGEIFS('Picarro Output'!G:G, 'Picarro Output'!$B:$B, 'Uncalibrated Data'!$C6350, 'Picarro Output'!$I:$I, 0, 'Picarro Output'!$J:$J, 1), "")</f>
        <v/>
      </c>
    </row>
    <row r="6351" spans="2:5" x14ac:dyDescent="0.45">
      <c r="B6351" s="1"/>
      <c r="E6351" s="45" t="str">
        <f>IFERROR(AVERAGEIFS('Picarro Output'!G:G, 'Picarro Output'!$B:$B, 'Uncalibrated Data'!$C6351, 'Picarro Output'!$I:$I, 0, 'Picarro Output'!$J:$J, 1), "")</f>
        <v/>
      </c>
    </row>
    <row r="6352" spans="2:5" x14ac:dyDescent="0.45">
      <c r="B6352" s="1"/>
      <c r="E6352" s="45" t="str">
        <f>IFERROR(AVERAGEIFS('Picarro Output'!G:G, 'Picarro Output'!$B:$B, 'Uncalibrated Data'!$C6352, 'Picarro Output'!$I:$I, 0, 'Picarro Output'!$J:$J, 1), "")</f>
        <v/>
      </c>
    </row>
    <row r="6353" spans="2:5" x14ac:dyDescent="0.45">
      <c r="B6353" s="1"/>
      <c r="E6353" s="45" t="str">
        <f>IFERROR(AVERAGEIFS('Picarro Output'!G:G, 'Picarro Output'!$B:$B, 'Uncalibrated Data'!$C6353, 'Picarro Output'!$I:$I, 0, 'Picarro Output'!$J:$J, 1), "")</f>
        <v/>
      </c>
    </row>
    <row r="6354" spans="2:5" x14ac:dyDescent="0.45">
      <c r="B6354" s="1"/>
      <c r="E6354" s="45" t="str">
        <f>IFERROR(AVERAGEIFS('Picarro Output'!G:G, 'Picarro Output'!$B:$B, 'Uncalibrated Data'!$C6354, 'Picarro Output'!$I:$I, 0, 'Picarro Output'!$J:$J, 1), "")</f>
        <v/>
      </c>
    </row>
    <row r="6355" spans="2:5" x14ac:dyDescent="0.45">
      <c r="B6355" s="1"/>
      <c r="E6355" s="45" t="str">
        <f>IFERROR(AVERAGEIFS('Picarro Output'!G:G, 'Picarro Output'!$B:$B, 'Uncalibrated Data'!$C6355, 'Picarro Output'!$I:$I, 0, 'Picarro Output'!$J:$J, 1), "")</f>
        <v/>
      </c>
    </row>
    <row r="6356" spans="2:5" x14ac:dyDescent="0.45">
      <c r="B6356" s="1"/>
      <c r="E6356" s="45" t="str">
        <f>IFERROR(AVERAGEIFS('Picarro Output'!G:G, 'Picarro Output'!$B:$B, 'Uncalibrated Data'!$C6356, 'Picarro Output'!$I:$I, 0, 'Picarro Output'!$J:$J, 1), "")</f>
        <v/>
      </c>
    </row>
    <row r="6357" spans="2:5" x14ac:dyDescent="0.45">
      <c r="B6357" s="1"/>
      <c r="E6357" s="45" t="str">
        <f>IFERROR(AVERAGEIFS('Picarro Output'!G:G, 'Picarro Output'!$B:$B, 'Uncalibrated Data'!$C6357, 'Picarro Output'!$I:$I, 0, 'Picarro Output'!$J:$J, 1), "")</f>
        <v/>
      </c>
    </row>
    <row r="6358" spans="2:5" x14ac:dyDescent="0.45">
      <c r="B6358" s="1"/>
      <c r="E6358" s="45" t="str">
        <f>IFERROR(AVERAGEIFS('Picarro Output'!G:G, 'Picarro Output'!$B:$B, 'Uncalibrated Data'!$C6358, 'Picarro Output'!$I:$I, 0, 'Picarro Output'!$J:$J, 1), "")</f>
        <v/>
      </c>
    </row>
    <row r="6359" spans="2:5" x14ac:dyDescent="0.45">
      <c r="B6359" s="1"/>
      <c r="E6359" s="45" t="str">
        <f>IFERROR(AVERAGEIFS('Picarro Output'!G:G, 'Picarro Output'!$B:$B, 'Uncalibrated Data'!$C6359, 'Picarro Output'!$I:$I, 0, 'Picarro Output'!$J:$J, 1), "")</f>
        <v/>
      </c>
    </row>
    <row r="6360" spans="2:5" x14ac:dyDescent="0.45">
      <c r="B6360" s="1"/>
      <c r="E6360" s="45" t="str">
        <f>IFERROR(AVERAGEIFS('Picarro Output'!G:G, 'Picarro Output'!$B:$B, 'Uncalibrated Data'!$C6360, 'Picarro Output'!$I:$I, 0, 'Picarro Output'!$J:$J, 1), "")</f>
        <v/>
      </c>
    </row>
    <row r="6361" spans="2:5" x14ac:dyDescent="0.45">
      <c r="B6361" s="1"/>
      <c r="E6361" s="45" t="str">
        <f>IFERROR(AVERAGEIFS('Picarro Output'!G:G, 'Picarro Output'!$B:$B, 'Uncalibrated Data'!$C6361, 'Picarro Output'!$I:$I, 0, 'Picarro Output'!$J:$J, 1), "")</f>
        <v/>
      </c>
    </row>
    <row r="6362" spans="2:5" x14ac:dyDescent="0.45">
      <c r="B6362" s="1"/>
      <c r="E6362" s="45" t="str">
        <f>IFERROR(AVERAGEIFS('Picarro Output'!G:G, 'Picarro Output'!$B:$B, 'Uncalibrated Data'!$C6362, 'Picarro Output'!$I:$I, 0, 'Picarro Output'!$J:$J, 1), "")</f>
        <v/>
      </c>
    </row>
    <row r="6363" spans="2:5" x14ac:dyDescent="0.45">
      <c r="B6363" s="1"/>
      <c r="E6363" s="45" t="str">
        <f>IFERROR(AVERAGEIFS('Picarro Output'!G:G, 'Picarro Output'!$B:$B, 'Uncalibrated Data'!$C6363, 'Picarro Output'!$I:$I, 0, 'Picarro Output'!$J:$J, 1), "")</f>
        <v/>
      </c>
    </row>
    <row r="6364" spans="2:5" x14ac:dyDescent="0.45">
      <c r="B6364" s="1"/>
      <c r="E6364" s="45" t="str">
        <f>IFERROR(AVERAGEIFS('Picarro Output'!G:G, 'Picarro Output'!$B:$B, 'Uncalibrated Data'!$C6364, 'Picarro Output'!$I:$I, 0, 'Picarro Output'!$J:$J, 1), "")</f>
        <v/>
      </c>
    </row>
    <row r="6365" spans="2:5" x14ac:dyDescent="0.45">
      <c r="B6365" s="1"/>
      <c r="E6365" s="45" t="str">
        <f>IFERROR(AVERAGEIFS('Picarro Output'!G:G, 'Picarro Output'!$B:$B, 'Uncalibrated Data'!$C6365, 'Picarro Output'!$I:$I, 0, 'Picarro Output'!$J:$J, 1), "")</f>
        <v/>
      </c>
    </row>
    <row r="6366" spans="2:5" x14ac:dyDescent="0.45">
      <c r="B6366" s="1"/>
      <c r="E6366" s="45" t="str">
        <f>IFERROR(AVERAGEIFS('Picarro Output'!G:G, 'Picarro Output'!$B:$B, 'Uncalibrated Data'!$C6366, 'Picarro Output'!$I:$I, 0, 'Picarro Output'!$J:$J, 1), "")</f>
        <v/>
      </c>
    </row>
    <row r="6367" spans="2:5" x14ac:dyDescent="0.45">
      <c r="B6367" s="1"/>
      <c r="E6367" s="45" t="str">
        <f>IFERROR(AVERAGEIFS('Picarro Output'!G:G, 'Picarro Output'!$B:$B, 'Uncalibrated Data'!$C6367, 'Picarro Output'!$I:$I, 0, 'Picarro Output'!$J:$J, 1), "")</f>
        <v/>
      </c>
    </row>
    <row r="6368" spans="2:5" x14ac:dyDescent="0.45">
      <c r="B6368" s="1"/>
      <c r="E6368" s="45" t="str">
        <f>IFERROR(AVERAGEIFS('Picarro Output'!G:G, 'Picarro Output'!$B:$B, 'Uncalibrated Data'!$C6368, 'Picarro Output'!$I:$I, 0, 'Picarro Output'!$J:$J, 1), "")</f>
        <v/>
      </c>
    </row>
    <row r="6369" spans="2:5" x14ac:dyDescent="0.45">
      <c r="B6369" s="1"/>
      <c r="E6369" s="45" t="str">
        <f>IFERROR(AVERAGEIFS('Picarro Output'!G:G, 'Picarro Output'!$B:$B, 'Uncalibrated Data'!$C6369, 'Picarro Output'!$I:$I, 0, 'Picarro Output'!$J:$J, 1), "")</f>
        <v/>
      </c>
    </row>
    <row r="6370" spans="2:5" x14ac:dyDescent="0.45">
      <c r="B6370" s="1"/>
      <c r="E6370" s="45" t="str">
        <f>IFERROR(AVERAGEIFS('Picarro Output'!G:G, 'Picarro Output'!$B:$B, 'Uncalibrated Data'!$C6370, 'Picarro Output'!$I:$I, 0, 'Picarro Output'!$J:$J, 1), "")</f>
        <v/>
      </c>
    </row>
    <row r="6371" spans="2:5" x14ac:dyDescent="0.45">
      <c r="B6371" s="1"/>
      <c r="E6371" s="45" t="str">
        <f>IFERROR(AVERAGEIFS('Picarro Output'!G:G, 'Picarro Output'!$B:$B, 'Uncalibrated Data'!$C6371, 'Picarro Output'!$I:$I, 0, 'Picarro Output'!$J:$J, 1), "")</f>
        <v/>
      </c>
    </row>
    <row r="6372" spans="2:5" x14ac:dyDescent="0.45">
      <c r="B6372" s="1"/>
      <c r="E6372" s="45" t="str">
        <f>IFERROR(AVERAGEIFS('Picarro Output'!G:G, 'Picarro Output'!$B:$B, 'Uncalibrated Data'!$C6372, 'Picarro Output'!$I:$I, 0, 'Picarro Output'!$J:$J, 1), "")</f>
        <v/>
      </c>
    </row>
    <row r="6373" spans="2:5" x14ac:dyDescent="0.45">
      <c r="B6373" s="1"/>
      <c r="E6373" s="45" t="str">
        <f>IFERROR(AVERAGEIFS('Picarro Output'!G:G, 'Picarro Output'!$B:$B, 'Uncalibrated Data'!$C6373, 'Picarro Output'!$I:$I, 0, 'Picarro Output'!$J:$J, 1), "")</f>
        <v/>
      </c>
    </row>
    <row r="6374" spans="2:5" x14ac:dyDescent="0.45">
      <c r="B6374" s="1"/>
      <c r="E6374" s="45" t="str">
        <f>IFERROR(AVERAGEIFS('Picarro Output'!G:G, 'Picarro Output'!$B:$B, 'Uncalibrated Data'!$C6374, 'Picarro Output'!$I:$I, 0, 'Picarro Output'!$J:$J, 1), "")</f>
        <v/>
      </c>
    </row>
    <row r="6375" spans="2:5" x14ac:dyDescent="0.45">
      <c r="B6375" s="1"/>
      <c r="E6375" s="45" t="str">
        <f>IFERROR(AVERAGEIFS('Picarro Output'!G:G, 'Picarro Output'!$B:$B, 'Uncalibrated Data'!$C6375, 'Picarro Output'!$I:$I, 0, 'Picarro Output'!$J:$J, 1), "")</f>
        <v/>
      </c>
    </row>
    <row r="6376" spans="2:5" x14ac:dyDescent="0.45">
      <c r="B6376" s="1"/>
      <c r="E6376" s="45" t="str">
        <f>IFERROR(AVERAGEIFS('Picarro Output'!G:G, 'Picarro Output'!$B:$B, 'Uncalibrated Data'!$C6376, 'Picarro Output'!$I:$I, 0, 'Picarro Output'!$J:$J, 1), "")</f>
        <v/>
      </c>
    </row>
    <row r="6377" spans="2:5" x14ac:dyDescent="0.45">
      <c r="B6377" s="1"/>
      <c r="E6377" s="45" t="str">
        <f>IFERROR(AVERAGEIFS('Picarro Output'!G:G, 'Picarro Output'!$B:$B, 'Uncalibrated Data'!$C6377, 'Picarro Output'!$I:$I, 0, 'Picarro Output'!$J:$J, 1), "")</f>
        <v/>
      </c>
    </row>
    <row r="6378" spans="2:5" x14ac:dyDescent="0.45">
      <c r="B6378" s="1"/>
      <c r="E6378" s="45" t="str">
        <f>IFERROR(AVERAGEIFS('Picarro Output'!G:G, 'Picarro Output'!$B:$B, 'Uncalibrated Data'!$C6378, 'Picarro Output'!$I:$I, 0, 'Picarro Output'!$J:$J, 1), "")</f>
        <v/>
      </c>
    </row>
    <row r="6379" spans="2:5" x14ac:dyDescent="0.45">
      <c r="B6379" s="1"/>
      <c r="E6379" s="45" t="str">
        <f>IFERROR(AVERAGEIFS('Picarro Output'!G:G, 'Picarro Output'!$B:$B, 'Uncalibrated Data'!$C6379, 'Picarro Output'!$I:$I, 0, 'Picarro Output'!$J:$J, 1), "")</f>
        <v/>
      </c>
    </row>
    <row r="6380" spans="2:5" x14ac:dyDescent="0.45">
      <c r="B6380" s="1"/>
      <c r="E6380" s="45" t="str">
        <f>IFERROR(AVERAGEIFS('Picarro Output'!G:G, 'Picarro Output'!$B:$B, 'Uncalibrated Data'!$C6380, 'Picarro Output'!$I:$I, 0, 'Picarro Output'!$J:$J, 1), "")</f>
        <v/>
      </c>
    </row>
    <row r="6381" spans="2:5" x14ac:dyDescent="0.45">
      <c r="B6381" s="1"/>
      <c r="E6381" s="45" t="str">
        <f>IFERROR(AVERAGEIFS('Picarro Output'!G:G, 'Picarro Output'!$B:$B, 'Uncalibrated Data'!$C6381, 'Picarro Output'!$I:$I, 0, 'Picarro Output'!$J:$J, 1), "")</f>
        <v/>
      </c>
    </row>
    <row r="6382" spans="2:5" x14ac:dyDescent="0.45">
      <c r="B6382" s="1"/>
      <c r="E6382" s="45" t="str">
        <f>IFERROR(AVERAGEIFS('Picarro Output'!G:G, 'Picarro Output'!$B:$B, 'Uncalibrated Data'!$C6382, 'Picarro Output'!$I:$I, 0, 'Picarro Output'!$J:$J, 1), "")</f>
        <v/>
      </c>
    </row>
    <row r="6383" spans="2:5" x14ac:dyDescent="0.45">
      <c r="B6383" s="1"/>
      <c r="E6383" s="45" t="str">
        <f>IFERROR(AVERAGEIFS('Picarro Output'!G:G, 'Picarro Output'!$B:$B, 'Uncalibrated Data'!$C6383, 'Picarro Output'!$I:$I, 0, 'Picarro Output'!$J:$J, 1), "")</f>
        <v/>
      </c>
    </row>
    <row r="6384" spans="2:5" x14ac:dyDescent="0.45">
      <c r="B6384" s="1"/>
      <c r="E6384" s="45" t="str">
        <f>IFERROR(AVERAGEIFS('Picarro Output'!G:G, 'Picarro Output'!$B:$B, 'Uncalibrated Data'!$C6384, 'Picarro Output'!$I:$I, 0, 'Picarro Output'!$J:$J, 1), "")</f>
        <v/>
      </c>
    </row>
    <row r="6385" spans="2:5" x14ac:dyDescent="0.45">
      <c r="B6385" s="1"/>
      <c r="E6385" s="45" t="str">
        <f>IFERROR(AVERAGEIFS('Picarro Output'!G:G, 'Picarro Output'!$B:$B, 'Uncalibrated Data'!$C6385, 'Picarro Output'!$I:$I, 0, 'Picarro Output'!$J:$J, 1), "")</f>
        <v/>
      </c>
    </row>
    <row r="6386" spans="2:5" x14ac:dyDescent="0.45">
      <c r="B6386" s="1"/>
      <c r="E6386" s="45" t="str">
        <f>IFERROR(AVERAGEIFS('Picarro Output'!G:G, 'Picarro Output'!$B:$B, 'Uncalibrated Data'!$C6386, 'Picarro Output'!$I:$I, 0, 'Picarro Output'!$J:$J, 1), "")</f>
        <v/>
      </c>
    </row>
    <row r="6387" spans="2:5" x14ac:dyDescent="0.45">
      <c r="B6387" s="1"/>
      <c r="E6387" s="45" t="str">
        <f>IFERROR(AVERAGEIFS('Picarro Output'!G:G, 'Picarro Output'!$B:$B, 'Uncalibrated Data'!$C6387, 'Picarro Output'!$I:$I, 0, 'Picarro Output'!$J:$J, 1), "")</f>
        <v/>
      </c>
    </row>
    <row r="6388" spans="2:5" x14ac:dyDescent="0.45">
      <c r="B6388" s="1"/>
      <c r="E6388" s="45" t="str">
        <f>IFERROR(AVERAGEIFS('Picarro Output'!G:G, 'Picarro Output'!$B:$B, 'Uncalibrated Data'!$C6388, 'Picarro Output'!$I:$I, 0, 'Picarro Output'!$J:$J, 1), "")</f>
        <v/>
      </c>
    </row>
    <row r="6389" spans="2:5" x14ac:dyDescent="0.45">
      <c r="B6389" s="1"/>
      <c r="E6389" s="45" t="str">
        <f>IFERROR(AVERAGEIFS('Picarro Output'!G:G, 'Picarro Output'!$B:$B, 'Uncalibrated Data'!$C6389, 'Picarro Output'!$I:$I, 0, 'Picarro Output'!$J:$J, 1), "")</f>
        <v/>
      </c>
    </row>
    <row r="6390" spans="2:5" x14ac:dyDescent="0.45">
      <c r="B6390" s="1"/>
      <c r="E6390" s="45" t="str">
        <f>IFERROR(AVERAGEIFS('Picarro Output'!G:G, 'Picarro Output'!$B:$B, 'Uncalibrated Data'!$C6390, 'Picarro Output'!$I:$I, 0, 'Picarro Output'!$J:$J, 1), "")</f>
        <v/>
      </c>
    </row>
    <row r="6391" spans="2:5" x14ac:dyDescent="0.45">
      <c r="B6391" s="1"/>
      <c r="E6391" s="45" t="str">
        <f>IFERROR(AVERAGEIFS('Picarro Output'!G:G, 'Picarro Output'!$B:$B, 'Uncalibrated Data'!$C6391, 'Picarro Output'!$I:$I, 0, 'Picarro Output'!$J:$J, 1), "")</f>
        <v/>
      </c>
    </row>
    <row r="6392" spans="2:5" x14ac:dyDescent="0.45">
      <c r="B6392" s="1"/>
      <c r="E6392" s="45" t="str">
        <f>IFERROR(AVERAGEIFS('Picarro Output'!G:G, 'Picarro Output'!$B:$B, 'Uncalibrated Data'!$C6392, 'Picarro Output'!$I:$I, 0, 'Picarro Output'!$J:$J, 1), "")</f>
        <v/>
      </c>
    </row>
    <row r="6393" spans="2:5" x14ac:dyDescent="0.45">
      <c r="B6393" s="1"/>
      <c r="E6393" s="45" t="str">
        <f>IFERROR(AVERAGEIFS('Picarro Output'!G:G, 'Picarro Output'!$B:$B, 'Uncalibrated Data'!$C6393, 'Picarro Output'!$I:$I, 0, 'Picarro Output'!$J:$J, 1), "")</f>
        <v/>
      </c>
    </row>
    <row r="6394" spans="2:5" x14ac:dyDescent="0.45">
      <c r="B6394" s="1"/>
      <c r="E6394" s="45" t="str">
        <f>IFERROR(AVERAGEIFS('Picarro Output'!G:G, 'Picarro Output'!$B:$B, 'Uncalibrated Data'!$C6394, 'Picarro Output'!$I:$I, 0, 'Picarro Output'!$J:$J, 1), "")</f>
        <v/>
      </c>
    </row>
    <row r="6395" spans="2:5" x14ac:dyDescent="0.45">
      <c r="B6395" s="1"/>
      <c r="E6395" s="45" t="str">
        <f>IFERROR(AVERAGEIFS('Picarro Output'!G:G, 'Picarro Output'!$B:$B, 'Uncalibrated Data'!$C6395, 'Picarro Output'!$I:$I, 0, 'Picarro Output'!$J:$J, 1), "")</f>
        <v/>
      </c>
    </row>
    <row r="6396" spans="2:5" x14ac:dyDescent="0.45">
      <c r="B6396" s="1"/>
      <c r="E6396" s="45" t="str">
        <f>IFERROR(AVERAGEIFS('Picarro Output'!G:G, 'Picarro Output'!$B:$B, 'Uncalibrated Data'!$C6396, 'Picarro Output'!$I:$I, 0, 'Picarro Output'!$J:$J, 1), "")</f>
        <v/>
      </c>
    </row>
    <row r="6397" spans="2:5" x14ac:dyDescent="0.45">
      <c r="B6397" s="1"/>
      <c r="E6397" s="45" t="str">
        <f>IFERROR(AVERAGEIFS('Picarro Output'!G:G, 'Picarro Output'!$B:$B, 'Uncalibrated Data'!$C6397, 'Picarro Output'!$I:$I, 0, 'Picarro Output'!$J:$J, 1), "")</f>
        <v/>
      </c>
    </row>
    <row r="6398" spans="2:5" x14ac:dyDescent="0.45">
      <c r="B6398" s="1"/>
      <c r="E6398" s="45" t="str">
        <f>IFERROR(AVERAGEIFS('Picarro Output'!G:G, 'Picarro Output'!$B:$B, 'Uncalibrated Data'!$C6398, 'Picarro Output'!$I:$I, 0, 'Picarro Output'!$J:$J, 1), "")</f>
        <v/>
      </c>
    </row>
    <row r="6399" spans="2:5" x14ac:dyDescent="0.45">
      <c r="B6399" s="1"/>
      <c r="E6399" s="45" t="str">
        <f>IFERROR(AVERAGEIFS('Picarro Output'!G:G, 'Picarro Output'!$B:$B, 'Uncalibrated Data'!$C6399, 'Picarro Output'!$I:$I, 0, 'Picarro Output'!$J:$J, 1), "")</f>
        <v/>
      </c>
    </row>
    <row r="6400" spans="2:5" x14ac:dyDescent="0.45">
      <c r="B6400" s="1"/>
      <c r="E6400" s="45" t="str">
        <f>IFERROR(AVERAGEIFS('Picarro Output'!G:G, 'Picarro Output'!$B:$B, 'Uncalibrated Data'!$C6400, 'Picarro Output'!$I:$I, 0, 'Picarro Output'!$J:$J, 1), "")</f>
        <v/>
      </c>
    </row>
    <row r="6401" spans="2:5" x14ac:dyDescent="0.45">
      <c r="B6401" s="1"/>
      <c r="E6401" s="45" t="str">
        <f>IFERROR(AVERAGEIFS('Picarro Output'!G:G, 'Picarro Output'!$B:$B, 'Uncalibrated Data'!$C6401, 'Picarro Output'!$I:$I, 0, 'Picarro Output'!$J:$J, 1), "")</f>
        <v/>
      </c>
    </row>
    <row r="6402" spans="2:5" x14ac:dyDescent="0.45">
      <c r="B6402" s="1"/>
      <c r="E6402" s="45" t="str">
        <f>IFERROR(AVERAGEIFS('Picarro Output'!G:G, 'Picarro Output'!$B:$B, 'Uncalibrated Data'!$C6402, 'Picarro Output'!$I:$I, 0, 'Picarro Output'!$J:$J, 1), "")</f>
        <v/>
      </c>
    </row>
    <row r="6403" spans="2:5" x14ac:dyDescent="0.45">
      <c r="B6403" s="1"/>
      <c r="E6403" s="45" t="str">
        <f>IFERROR(AVERAGEIFS('Picarro Output'!G:G, 'Picarro Output'!$B:$B, 'Uncalibrated Data'!$C6403, 'Picarro Output'!$I:$I, 0, 'Picarro Output'!$J:$J, 1), "")</f>
        <v/>
      </c>
    </row>
    <row r="6404" spans="2:5" x14ac:dyDescent="0.45">
      <c r="B6404" s="1"/>
      <c r="E6404" s="45" t="str">
        <f>IFERROR(AVERAGEIFS('Picarro Output'!G:G, 'Picarro Output'!$B:$B, 'Uncalibrated Data'!$C6404, 'Picarro Output'!$I:$I, 0, 'Picarro Output'!$J:$J, 1), "")</f>
        <v/>
      </c>
    </row>
    <row r="6405" spans="2:5" x14ac:dyDescent="0.45">
      <c r="B6405" s="1"/>
      <c r="E6405" s="45" t="str">
        <f>IFERROR(AVERAGEIFS('Picarro Output'!G:G, 'Picarro Output'!$B:$B, 'Uncalibrated Data'!$C6405, 'Picarro Output'!$I:$I, 0, 'Picarro Output'!$J:$J, 1), "")</f>
        <v/>
      </c>
    </row>
    <row r="6406" spans="2:5" x14ac:dyDescent="0.45">
      <c r="B6406" s="1"/>
      <c r="E6406" s="45" t="str">
        <f>IFERROR(AVERAGEIFS('Picarro Output'!G:G, 'Picarro Output'!$B:$B, 'Uncalibrated Data'!$C6406, 'Picarro Output'!$I:$I, 0, 'Picarro Output'!$J:$J, 1), "")</f>
        <v/>
      </c>
    </row>
    <row r="6407" spans="2:5" x14ac:dyDescent="0.45">
      <c r="B6407" s="1"/>
      <c r="E6407" s="45" t="str">
        <f>IFERROR(AVERAGEIFS('Picarro Output'!G:G, 'Picarro Output'!$B:$B, 'Uncalibrated Data'!$C6407, 'Picarro Output'!$I:$I, 0, 'Picarro Output'!$J:$J, 1), "")</f>
        <v/>
      </c>
    </row>
    <row r="6408" spans="2:5" x14ac:dyDescent="0.45">
      <c r="B6408" s="1"/>
      <c r="E6408" s="45" t="str">
        <f>IFERROR(AVERAGEIFS('Picarro Output'!G:G, 'Picarro Output'!$B:$B, 'Uncalibrated Data'!$C6408, 'Picarro Output'!$I:$I, 0, 'Picarro Output'!$J:$J, 1), "")</f>
        <v/>
      </c>
    </row>
    <row r="6409" spans="2:5" x14ac:dyDescent="0.45">
      <c r="B6409" s="1"/>
      <c r="E6409" s="45" t="str">
        <f>IFERROR(AVERAGEIFS('Picarro Output'!G:G, 'Picarro Output'!$B:$B, 'Uncalibrated Data'!$C6409, 'Picarro Output'!$I:$I, 0, 'Picarro Output'!$J:$J, 1), "")</f>
        <v/>
      </c>
    </row>
    <row r="6410" spans="2:5" x14ac:dyDescent="0.45">
      <c r="B6410" s="1"/>
      <c r="E6410" s="45" t="str">
        <f>IFERROR(AVERAGEIFS('Picarro Output'!G:G, 'Picarro Output'!$B:$B, 'Uncalibrated Data'!$C6410, 'Picarro Output'!$I:$I, 0, 'Picarro Output'!$J:$J, 1), "")</f>
        <v/>
      </c>
    </row>
    <row r="6411" spans="2:5" x14ac:dyDescent="0.45">
      <c r="B6411" s="1"/>
      <c r="E6411" s="45" t="str">
        <f>IFERROR(AVERAGEIFS('Picarro Output'!G:G, 'Picarro Output'!$B:$B, 'Uncalibrated Data'!$C6411, 'Picarro Output'!$I:$I, 0, 'Picarro Output'!$J:$J, 1), "")</f>
        <v/>
      </c>
    </row>
    <row r="6412" spans="2:5" x14ac:dyDescent="0.45">
      <c r="B6412" s="1"/>
      <c r="E6412" s="45" t="str">
        <f>IFERROR(AVERAGEIFS('Picarro Output'!G:G, 'Picarro Output'!$B:$B, 'Uncalibrated Data'!$C6412, 'Picarro Output'!$I:$I, 0, 'Picarro Output'!$J:$J, 1), "")</f>
        <v/>
      </c>
    </row>
    <row r="6413" spans="2:5" x14ac:dyDescent="0.45">
      <c r="B6413" s="1"/>
      <c r="E6413" s="45" t="str">
        <f>IFERROR(AVERAGEIFS('Picarro Output'!G:G, 'Picarro Output'!$B:$B, 'Uncalibrated Data'!$C6413, 'Picarro Output'!$I:$I, 0, 'Picarro Output'!$J:$J, 1), "")</f>
        <v/>
      </c>
    </row>
    <row r="6414" spans="2:5" x14ac:dyDescent="0.45">
      <c r="B6414" s="1"/>
      <c r="E6414" s="45" t="str">
        <f>IFERROR(AVERAGEIFS('Picarro Output'!G:G, 'Picarro Output'!$B:$B, 'Uncalibrated Data'!$C6414, 'Picarro Output'!$I:$I, 0, 'Picarro Output'!$J:$J, 1), "")</f>
        <v/>
      </c>
    </row>
    <row r="6415" spans="2:5" x14ac:dyDescent="0.45">
      <c r="B6415" s="1"/>
      <c r="E6415" s="45" t="str">
        <f>IFERROR(AVERAGEIFS('Picarro Output'!G:G, 'Picarro Output'!$B:$B, 'Uncalibrated Data'!$C6415, 'Picarro Output'!$I:$I, 0, 'Picarro Output'!$J:$J, 1), "")</f>
        <v/>
      </c>
    </row>
    <row r="6416" spans="2:5" x14ac:dyDescent="0.45">
      <c r="B6416" s="1"/>
      <c r="E6416" s="45" t="str">
        <f>IFERROR(AVERAGEIFS('Picarro Output'!G:G, 'Picarro Output'!$B:$B, 'Uncalibrated Data'!$C6416, 'Picarro Output'!$I:$I, 0, 'Picarro Output'!$J:$J, 1), "")</f>
        <v/>
      </c>
    </row>
    <row r="6417" spans="2:5" x14ac:dyDescent="0.45">
      <c r="B6417" s="1"/>
      <c r="E6417" s="45" t="str">
        <f>IFERROR(AVERAGEIFS('Picarro Output'!G:G, 'Picarro Output'!$B:$B, 'Uncalibrated Data'!$C6417, 'Picarro Output'!$I:$I, 0, 'Picarro Output'!$J:$J, 1), "")</f>
        <v/>
      </c>
    </row>
    <row r="6418" spans="2:5" x14ac:dyDescent="0.45">
      <c r="B6418" s="1"/>
      <c r="E6418" s="45" t="str">
        <f>IFERROR(AVERAGEIFS('Picarro Output'!G:G, 'Picarro Output'!$B:$B, 'Uncalibrated Data'!$C6418, 'Picarro Output'!$I:$I, 0, 'Picarro Output'!$J:$J, 1), "")</f>
        <v/>
      </c>
    </row>
    <row r="6419" spans="2:5" x14ac:dyDescent="0.45">
      <c r="B6419" s="1"/>
      <c r="E6419" s="45" t="str">
        <f>IFERROR(AVERAGEIFS('Picarro Output'!G:G, 'Picarro Output'!$B:$B, 'Uncalibrated Data'!$C6419, 'Picarro Output'!$I:$I, 0, 'Picarro Output'!$J:$J, 1), "")</f>
        <v/>
      </c>
    </row>
    <row r="6420" spans="2:5" x14ac:dyDescent="0.45">
      <c r="B6420" s="1"/>
      <c r="E6420" s="45" t="str">
        <f>IFERROR(AVERAGEIFS('Picarro Output'!G:G, 'Picarro Output'!$B:$B, 'Uncalibrated Data'!$C6420, 'Picarro Output'!$I:$I, 0, 'Picarro Output'!$J:$J, 1), "")</f>
        <v/>
      </c>
    </row>
    <row r="6421" spans="2:5" x14ac:dyDescent="0.45">
      <c r="B6421" s="1"/>
      <c r="E6421" s="45" t="str">
        <f>IFERROR(AVERAGEIFS('Picarro Output'!G:G, 'Picarro Output'!$B:$B, 'Uncalibrated Data'!$C6421, 'Picarro Output'!$I:$I, 0, 'Picarro Output'!$J:$J, 1), "")</f>
        <v/>
      </c>
    </row>
  </sheetData>
  <phoneticPr fontId="22" type="noConversion"/>
  <pageMargins left="0.7" right="0.7" top="0.75" bottom="0.75" header="0.3" footer="0.3"/>
  <ignoredErrors>
    <ignoredError sqref="D2:E3 D5:E5 D4:E4 D6:E6 D7:E7 D8:E8 D9:E9 D10:E10 D11:E11 D12:E12 D13:E13 D14:E14 D15:E15 D16:E18 D19:E20 D21:E24 D25:E32 D33:E36 D37:E106" formulaRange="1"/>
  </ignoredErrors>
  <extLst>
    <ext xmlns:mx="http://schemas.microsoft.com/office/mac/excel/2008/main" uri="http://schemas.microsoft.com/office/mac/excel/2008/main">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7"/>
  <sheetViews>
    <sheetView zoomScale="90" zoomScaleNormal="90" workbookViewId="0">
      <selection sqref="A1:D1"/>
    </sheetView>
  </sheetViews>
  <sheetFormatPr defaultColWidth="8.796875" defaultRowHeight="14.25" x14ac:dyDescent="0.45"/>
  <cols>
    <col min="1" max="1" width="12.46484375" bestFit="1" customWidth="1"/>
    <col min="2" max="2" width="11.46484375" bestFit="1" customWidth="1"/>
    <col min="3" max="3" width="8.796875" bestFit="1" customWidth="1"/>
    <col min="4" max="4" width="7.33203125" bestFit="1" customWidth="1"/>
    <col min="6" max="6" width="11.1328125" bestFit="1" customWidth="1"/>
    <col min="7" max="7" width="15.1328125" bestFit="1" customWidth="1"/>
    <col min="8" max="8" width="13.33203125" bestFit="1" customWidth="1"/>
    <col min="10" max="10" width="13.796875" bestFit="1" customWidth="1"/>
    <col min="11" max="11" width="9.796875" bestFit="1" customWidth="1"/>
    <col min="12" max="12" width="7.6640625" bestFit="1" customWidth="1"/>
    <col min="13" max="13" width="10.33203125" bestFit="1" customWidth="1"/>
    <col min="14" max="14" width="8.6640625" bestFit="1" customWidth="1"/>
  </cols>
  <sheetData>
    <row r="1" spans="1:14" ht="18.399999999999999" thickBot="1" x14ac:dyDescent="0.6">
      <c r="A1" s="275" t="s">
        <v>59</v>
      </c>
      <c r="B1" s="276"/>
      <c r="C1" s="276"/>
      <c r="D1" s="277"/>
      <c r="F1" s="275" t="s">
        <v>61</v>
      </c>
      <c r="G1" s="276"/>
      <c r="H1" s="277"/>
      <c r="J1" s="51" t="s">
        <v>60</v>
      </c>
      <c r="K1" s="278" t="s">
        <v>15</v>
      </c>
      <c r="L1" s="279"/>
      <c r="M1" s="280" t="s">
        <v>64</v>
      </c>
      <c r="N1" s="281"/>
    </row>
    <row r="2" spans="1:14" ht="14.65" thickBot="1" x14ac:dyDescent="0.5">
      <c r="A2" s="31" t="s">
        <v>17</v>
      </c>
      <c r="B2" s="33" t="s">
        <v>36</v>
      </c>
      <c r="C2" s="33" t="s">
        <v>57</v>
      </c>
      <c r="D2" s="32" t="s">
        <v>58</v>
      </c>
      <c r="F2" s="31" t="str">
        <f>'Tray Configuration'!C33</f>
        <v>Standard ID</v>
      </c>
      <c r="G2" s="33" t="str">
        <f>'Tray Configuration'!D33</f>
        <v xml:space="preserve"> Actual d(18_16)</v>
      </c>
      <c r="H2" s="32" t="str">
        <f>'Tray Configuration'!E33</f>
        <v>Actual d(D_H)</v>
      </c>
      <c r="J2" s="40" t="s">
        <v>38</v>
      </c>
      <c r="K2" s="41" t="s">
        <v>62</v>
      </c>
      <c r="L2" s="42" t="s">
        <v>63</v>
      </c>
      <c r="M2" s="43" t="s">
        <v>65</v>
      </c>
      <c r="N2" s="42" t="s">
        <v>63</v>
      </c>
    </row>
    <row r="3" spans="1:14" x14ac:dyDescent="0.45">
      <c r="A3" s="152">
        <v>1</v>
      </c>
      <c r="B3" s="154" t="str">
        <f>INDEX('Uncalibrated Data'!$A$2:$E$109, Calibration!A3, 2)</f>
        <v>Ouachita</v>
      </c>
      <c r="C3" s="155">
        <f>INDEX('Uncalibrated Data'!$A$2:$E$109, Calibration!A3, 4)</f>
        <v>-5.6062000000000003</v>
      </c>
      <c r="D3" s="156">
        <f>INDEX('Uncalibrated Data'!$A$2:$E$109, Calibration!A3, 5)</f>
        <v>-30.220199999999998</v>
      </c>
      <c r="F3" s="13" t="str">
        <f>IF('Tray Configuration'!C34="","",'Tray Configuration'!C34)</f>
        <v>Iceland</v>
      </c>
      <c r="G3" s="1">
        <f>IF(F3="","",'Tray Configuration'!D34)</f>
        <v>-8</v>
      </c>
      <c r="H3" s="34">
        <f>IF(F3="","",'Tray Configuration'!E34)</f>
        <v>-52.8</v>
      </c>
      <c r="J3" s="157" t="str">
        <f>IF(A3="","",B3)</f>
        <v>Ouachita</v>
      </c>
      <c r="K3" s="158">
        <f>IF(J3="","",C3)</f>
        <v>-5.6062000000000003</v>
      </c>
      <c r="L3" s="159">
        <f t="shared" ref="L3:L11" si="0">IF(J3="","",SUMIF($F$3:$F$18,J3,$G$3:$G$18))</f>
        <v>-5.5</v>
      </c>
      <c r="M3" s="158">
        <f>IF(J3="","",D3)</f>
        <v>-30.220199999999998</v>
      </c>
      <c r="N3" s="160">
        <f t="shared" ref="N3:N11" si="1">IF(J3="","",SUMIF($F$3:$F$18,J3,$H$3:$H$18))</f>
        <v>-29.6</v>
      </c>
    </row>
    <row r="4" spans="1:14" x14ac:dyDescent="0.45">
      <c r="A4" s="140">
        <v>2</v>
      </c>
      <c r="B4" s="13" t="str">
        <f>INDEX('Uncalibrated Data'!$A$2:$E$109, Calibration!A4, 2)</f>
        <v>Sipsey</v>
      </c>
      <c r="C4" s="37">
        <f>INDEX('Uncalibrated Data'!$A$2:$E$109, Calibration!A4, 4)</f>
        <v>-4.5428000000000006</v>
      </c>
      <c r="D4" s="38">
        <f>INDEX('Uncalibrated Data'!$A$2:$E$109, Calibration!A4, 5)</f>
        <v>-22.928800000000003</v>
      </c>
      <c r="F4" s="13" t="str">
        <f>IF('Tray Configuration'!C35="","",'Tray Configuration'!C35)</f>
        <v>Ouachita</v>
      </c>
      <c r="G4" s="1">
        <f>IF(F4="","",'Tray Configuration'!D35)</f>
        <v>-5.5</v>
      </c>
      <c r="H4" s="34">
        <f>IF(F4="","",'Tray Configuration'!E35)</f>
        <v>-29.6</v>
      </c>
      <c r="J4" s="44" t="str">
        <f>IF(A4="","",B4)</f>
        <v>Sipsey</v>
      </c>
      <c r="K4" s="45">
        <f t="shared" ref="K4:K11" si="2">IF(J4="","",C4)</f>
        <v>-4.5428000000000006</v>
      </c>
      <c r="L4" s="2">
        <f t="shared" si="0"/>
        <v>-4.5</v>
      </c>
      <c r="M4" s="45">
        <f t="shared" ref="M4:M11" si="3">IF(J4="","",D4)</f>
        <v>-22.928800000000003</v>
      </c>
      <c r="N4" s="46">
        <f t="shared" si="1"/>
        <v>-22.4</v>
      </c>
    </row>
    <row r="5" spans="1:14" x14ac:dyDescent="0.45">
      <c r="A5" s="140">
        <v>3</v>
      </c>
      <c r="B5" s="13" t="str">
        <f>INDEX('Uncalibrated Data'!$A$2:$E$109, Calibration!A5, 2)</f>
        <v>Iceland</v>
      </c>
      <c r="C5" s="37">
        <f>INDEX('Uncalibrated Data'!$A$2:$E$109, Calibration!A5, 4)</f>
        <v>-8.0141999999999989</v>
      </c>
      <c r="D5" s="38">
        <f>INDEX('Uncalibrated Data'!$A$2:$E$109, Calibration!A5, 5)</f>
        <v>-52.989400000000003</v>
      </c>
      <c r="F5" s="13" t="str">
        <f>IF('Tray Configuration'!C36="","",'Tray Configuration'!C36)</f>
        <v>Sipsey</v>
      </c>
      <c r="G5" s="1">
        <f>IF(F5="","",'Tray Configuration'!D36)</f>
        <v>-4.5</v>
      </c>
      <c r="H5" s="34">
        <f>IF(F5="","",'Tray Configuration'!E36)</f>
        <v>-22.4</v>
      </c>
      <c r="J5" s="44" t="str">
        <f t="shared" ref="J5:J11" si="4">IF(A5="","",B5)</f>
        <v>Iceland</v>
      </c>
      <c r="K5" s="45">
        <f t="shared" si="2"/>
        <v>-8.0141999999999989</v>
      </c>
      <c r="L5" s="2">
        <f t="shared" si="0"/>
        <v>-8</v>
      </c>
      <c r="M5" s="45">
        <f t="shared" si="3"/>
        <v>-52.989400000000003</v>
      </c>
      <c r="N5" s="46">
        <f t="shared" si="1"/>
        <v>-52.8</v>
      </c>
    </row>
    <row r="6" spans="1:14" x14ac:dyDescent="0.45">
      <c r="A6" s="140">
        <v>4</v>
      </c>
      <c r="B6" s="13" t="str">
        <f>INDEX('Uncalibrated Data'!$A$2:$E$109, Calibration!A6, 2)</f>
        <v>Ouachita</v>
      </c>
      <c r="C6" s="37">
        <f>INDEX('Uncalibrated Data'!$A$2:$E$109, Calibration!A6, 4)</f>
        <v>-5.5760000000000005</v>
      </c>
      <c r="D6" s="38">
        <f>INDEX('Uncalibrated Data'!$A$2:$E$109, Calibration!A6, 5)</f>
        <v>-29.889999999999997</v>
      </c>
      <c r="F6" s="13" t="str">
        <f>IF('Tray Configuration'!C38="","",'Tray Configuration'!C38)</f>
        <v/>
      </c>
      <c r="G6" s="1" t="str">
        <f>IF(F6="","",'Tray Configuration'!D38)</f>
        <v/>
      </c>
      <c r="H6" s="34" t="str">
        <f>IF(F6="","",'Tray Configuration'!E38)</f>
        <v/>
      </c>
      <c r="J6" s="44" t="str">
        <f t="shared" si="4"/>
        <v>Ouachita</v>
      </c>
      <c r="K6" s="45">
        <f t="shared" si="2"/>
        <v>-5.5760000000000005</v>
      </c>
      <c r="L6" s="2">
        <f t="shared" si="0"/>
        <v>-5.5</v>
      </c>
      <c r="M6" s="45">
        <f t="shared" si="3"/>
        <v>-29.889999999999997</v>
      </c>
      <c r="N6" s="46">
        <f t="shared" si="1"/>
        <v>-29.6</v>
      </c>
    </row>
    <row r="7" spans="1:14" x14ac:dyDescent="0.45">
      <c r="A7" s="151">
        <v>5</v>
      </c>
      <c r="B7" s="13" t="str">
        <f>INDEX('Uncalibrated Data'!$A$2:$E$109, Calibration!A7, 2)</f>
        <v>Ouachita</v>
      </c>
      <c r="C7" s="37">
        <f>INDEX('Uncalibrated Data'!$A$2:$E$109, Calibration!A7, 4)</f>
        <v>-5.5494000000000003</v>
      </c>
      <c r="D7" s="38">
        <f>INDEX('Uncalibrated Data'!$A$2:$E$109, Calibration!A7, 5)</f>
        <v>-29.747399999999999</v>
      </c>
      <c r="F7" s="13" t="str">
        <f>IF('Tray Configuration'!C39="","",'Tray Configuration'!C39)</f>
        <v/>
      </c>
      <c r="G7" s="1" t="str">
        <f>IF(F7="","",'Tray Configuration'!D39)</f>
        <v/>
      </c>
      <c r="H7" s="34" t="str">
        <f>IF(F7="","",'Tray Configuration'!E39)</f>
        <v/>
      </c>
      <c r="J7" s="44" t="str">
        <f t="shared" si="4"/>
        <v>Ouachita</v>
      </c>
      <c r="K7" s="45">
        <f t="shared" si="2"/>
        <v>-5.5494000000000003</v>
      </c>
      <c r="L7" s="2">
        <f t="shared" si="0"/>
        <v>-5.5</v>
      </c>
      <c r="M7" s="45">
        <f t="shared" si="3"/>
        <v>-29.747399999999999</v>
      </c>
      <c r="N7" s="46">
        <f t="shared" si="1"/>
        <v>-29.6</v>
      </c>
    </row>
    <row r="8" spans="1:14" x14ac:dyDescent="0.45">
      <c r="A8" s="140">
        <v>32</v>
      </c>
      <c r="B8" s="13" t="str">
        <f>INDEX('Uncalibrated Data'!$A$2:$E$109, Calibration!A8, 2)</f>
        <v>Ouachita</v>
      </c>
      <c r="C8" s="37">
        <f>INDEX('Uncalibrated Data'!$A$2:$E$109, Calibration!A8, 4)</f>
        <v>-5.5342000000000002</v>
      </c>
      <c r="D8" s="38">
        <f>INDEX('Uncalibrated Data'!$A$2:$E$109, Calibration!A8, 5)</f>
        <v>-29.603199999999998</v>
      </c>
      <c r="F8" s="13" t="str">
        <f>IF('Tray Configuration'!C40="","",'Tray Configuration'!C40)</f>
        <v/>
      </c>
      <c r="G8" s="1" t="str">
        <f>IF(F8="","",'Tray Configuration'!D40)</f>
        <v/>
      </c>
      <c r="H8" s="34" t="str">
        <f>IF(F8="","",'Tray Configuration'!E40)</f>
        <v/>
      </c>
      <c r="J8" s="44" t="str">
        <f t="shared" si="4"/>
        <v>Ouachita</v>
      </c>
      <c r="K8" s="45">
        <f t="shared" si="2"/>
        <v>-5.5342000000000002</v>
      </c>
      <c r="L8" s="2">
        <f t="shared" si="0"/>
        <v>-5.5</v>
      </c>
      <c r="M8" s="45">
        <f t="shared" si="3"/>
        <v>-29.603199999999998</v>
      </c>
      <c r="N8" s="46">
        <f t="shared" si="1"/>
        <v>-29.6</v>
      </c>
    </row>
    <row r="9" spans="1:14" x14ac:dyDescent="0.45">
      <c r="A9" s="140">
        <v>33</v>
      </c>
      <c r="B9" s="13" t="str">
        <f>INDEX('Uncalibrated Data'!$A$2:$E$109, Calibration!A9, 2)</f>
        <v>Sipsey</v>
      </c>
      <c r="C9" s="37">
        <f>INDEX('Uncalibrated Data'!$A$2:$E$109, Calibration!A9, 4)</f>
        <v>-4.579600000000001</v>
      </c>
      <c r="D9" s="38">
        <f>INDEX('Uncalibrated Data'!$A$2:$E$109, Calibration!A9, 5)</f>
        <v>-22.567599999999999</v>
      </c>
      <c r="F9" s="13" t="str">
        <f>IF('Tray Configuration'!C41="","",'Tray Configuration'!C41)</f>
        <v/>
      </c>
      <c r="G9" s="1" t="str">
        <f>IF(F9="","",'Tray Configuration'!D41)</f>
        <v/>
      </c>
      <c r="H9" s="34" t="str">
        <f>IF(F9="","",'Tray Configuration'!E41)</f>
        <v/>
      </c>
      <c r="J9" s="44" t="str">
        <f t="shared" si="4"/>
        <v>Sipsey</v>
      </c>
      <c r="K9" s="45">
        <f t="shared" si="2"/>
        <v>-4.579600000000001</v>
      </c>
      <c r="L9" s="2">
        <f t="shared" si="0"/>
        <v>-4.5</v>
      </c>
      <c r="M9" s="45">
        <f t="shared" si="3"/>
        <v>-22.567599999999999</v>
      </c>
      <c r="N9" s="46">
        <f t="shared" si="1"/>
        <v>-22.4</v>
      </c>
    </row>
    <row r="10" spans="1:14" x14ac:dyDescent="0.45">
      <c r="A10" s="140">
        <v>34</v>
      </c>
      <c r="B10" s="13" t="str">
        <f>INDEX('Uncalibrated Data'!$A$2:$E$109, Calibration!A10, 2)</f>
        <v>Iceland</v>
      </c>
      <c r="C10" s="37">
        <f>INDEX('Uncalibrated Data'!$A$2:$E$109, Calibration!A10, 4)</f>
        <v>-8.0188000000000006</v>
      </c>
      <c r="D10" s="38">
        <f>INDEX('Uncalibrated Data'!$A$2:$E$109, Calibration!A10, 5)</f>
        <v>-52.685199999999995</v>
      </c>
      <c r="F10" s="13" t="str">
        <f>IF('Tray Configuration'!C42="","",'Tray Configuration'!C42)</f>
        <v/>
      </c>
      <c r="G10" s="1" t="str">
        <f>IF(F10="","",'Tray Configuration'!D42)</f>
        <v/>
      </c>
      <c r="H10" s="34" t="str">
        <f>IF(F10="","",'Tray Configuration'!E42)</f>
        <v/>
      </c>
      <c r="J10" s="44" t="str">
        <f t="shared" si="4"/>
        <v>Iceland</v>
      </c>
      <c r="K10" s="45">
        <f t="shared" si="2"/>
        <v>-8.0188000000000006</v>
      </c>
      <c r="L10" s="2">
        <f t="shared" si="0"/>
        <v>-8</v>
      </c>
      <c r="M10" s="45">
        <f t="shared" si="3"/>
        <v>-52.685199999999995</v>
      </c>
      <c r="N10" s="46">
        <f t="shared" si="1"/>
        <v>-52.8</v>
      </c>
    </row>
    <row r="11" spans="1:14" x14ac:dyDescent="0.45">
      <c r="A11" s="153">
        <v>35</v>
      </c>
      <c r="B11" s="141" t="str">
        <f>INDEX('Uncalibrated Data'!$A$2:$E$109, Calibration!A11, 2)</f>
        <v>Ouachita</v>
      </c>
      <c r="C11" s="134">
        <f>INDEX('Uncalibrated Data'!$A$2:$E$109, Calibration!A11, 4)</f>
        <v>-5.5185999999999993</v>
      </c>
      <c r="D11" s="135">
        <f>INDEX('Uncalibrated Data'!$A$2:$E$109, Calibration!A11, 5)</f>
        <v>-29.570999999999998</v>
      </c>
      <c r="F11" s="13" t="str">
        <f>IF('Tray Configuration'!C43="","",'Tray Configuration'!C43)</f>
        <v/>
      </c>
      <c r="G11" s="1" t="str">
        <f>IF(F11="","",'Tray Configuration'!D43)</f>
        <v/>
      </c>
      <c r="H11" s="34" t="str">
        <f>IF(F11="","",'Tray Configuration'!E43)</f>
        <v/>
      </c>
      <c r="J11" s="139" t="str">
        <f t="shared" si="4"/>
        <v>Ouachita</v>
      </c>
      <c r="K11" s="136">
        <f t="shared" si="2"/>
        <v>-5.5185999999999993</v>
      </c>
      <c r="L11" s="137">
        <f t="shared" si="0"/>
        <v>-5.5</v>
      </c>
      <c r="M11" s="136">
        <f t="shared" si="3"/>
        <v>-29.570999999999998</v>
      </c>
      <c r="N11" s="138">
        <f t="shared" si="1"/>
        <v>-29.6</v>
      </c>
    </row>
    <row r="12" spans="1:14" x14ac:dyDescent="0.45">
      <c r="A12" s="39">
        <v>67</v>
      </c>
      <c r="B12" s="1" t="str">
        <f>INDEX('Uncalibrated Data'!$A$2:$E$109, Calibration!A12, 2)</f>
        <v>Ouachita</v>
      </c>
      <c r="C12" s="37">
        <f>INDEX('Uncalibrated Data'!$A$2:$E$109, Calibration!A12, 4)</f>
        <v>-5.4942000000000011</v>
      </c>
      <c r="D12" s="38">
        <f>INDEX('Uncalibrated Data'!$A$2:$E$109, Calibration!A12, 5)</f>
        <v>-29.343</v>
      </c>
      <c r="F12" s="13"/>
      <c r="G12" s="1"/>
      <c r="H12" s="34"/>
      <c r="J12" s="44" t="str">
        <f t="shared" ref="J12:J19" si="5">IF(A12="","",B12)</f>
        <v>Ouachita</v>
      </c>
      <c r="K12" s="45">
        <f t="shared" ref="K12:K19" si="6">IF(J12="","",C12)</f>
        <v>-5.4942000000000011</v>
      </c>
      <c r="L12" s="2">
        <f t="shared" ref="L12:L19" si="7">IF(J12="","",SUMIF($F$3:$F$18,J12,$G$3:$G$18))</f>
        <v>-5.5</v>
      </c>
      <c r="M12" s="45">
        <f t="shared" ref="M12:M19" si="8">IF(J12="","",D12)</f>
        <v>-29.343</v>
      </c>
      <c r="N12" s="46">
        <f t="shared" ref="N12:N19" si="9">IF(J12="","",SUMIF($F$3:$F$18,J12,$H$3:$H$18))</f>
        <v>-29.6</v>
      </c>
    </row>
    <row r="13" spans="1:14" x14ac:dyDescent="0.45">
      <c r="A13" s="39">
        <v>68</v>
      </c>
      <c r="B13" s="1" t="str">
        <f>INDEX('Uncalibrated Data'!$A$2:$E$109, Calibration!A13, 2)</f>
        <v>Sipsey</v>
      </c>
      <c r="C13" s="37">
        <f>INDEX('Uncalibrated Data'!$A$2:$E$109, Calibration!A13, 4)</f>
        <v>-4.5606</v>
      </c>
      <c r="D13" s="38">
        <f>INDEX('Uncalibrated Data'!$A$2:$E$109, Calibration!A13, 5)</f>
        <v>-22.405999999999999</v>
      </c>
      <c r="F13" s="13"/>
      <c r="G13" s="1"/>
      <c r="H13" s="34"/>
      <c r="J13" s="44" t="str">
        <f t="shared" si="5"/>
        <v>Sipsey</v>
      </c>
      <c r="K13" s="45">
        <f t="shared" si="6"/>
        <v>-4.5606</v>
      </c>
      <c r="L13" s="2">
        <f t="shared" si="7"/>
        <v>-4.5</v>
      </c>
      <c r="M13" s="45">
        <f t="shared" si="8"/>
        <v>-22.405999999999999</v>
      </c>
      <c r="N13" s="46">
        <f t="shared" si="9"/>
        <v>-22.4</v>
      </c>
    </row>
    <row r="14" spans="1:14" x14ac:dyDescent="0.45">
      <c r="A14" s="39">
        <v>69</v>
      </c>
      <c r="B14" s="1" t="str">
        <f>INDEX('Uncalibrated Data'!$A$2:$E$109, Calibration!A14, 2)</f>
        <v>Iceland</v>
      </c>
      <c r="C14" s="37">
        <f>INDEX('Uncalibrated Data'!$A$2:$E$109, Calibration!A14, 4)</f>
        <v>-7.9882000000000009</v>
      </c>
      <c r="D14" s="38">
        <f>INDEX('Uncalibrated Data'!$A$2:$E$109, Calibration!A14, 5)</f>
        <v>-52.547600000000003</v>
      </c>
      <c r="F14" s="13"/>
      <c r="G14" s="1"/>
      <c r="H14" s="34"/>
      <c r="J14" s="44" t="str">
        <f t="shared" si="5"/>
        <v>Iceland</v>
      </c>
      <c r="K14" s="45">
        <f t="shared" si="6"/>
        <v>-7.9882000000000009</v>
      </c>
      <c r="L14" s="2">
        <f t="shared" si="7"/>
        <v>-8</v>
      </c>
      <c r="M14" s="45">
        <f t="shared" si="8"/>
        <v>-52.547600000000003</v>
      </c>
      <c r="N14" s="46">
        <f t="shared" si="9"/>
        <v>-52.8</v>
      </c>
    </row>
    <row r="15" spans="1:14" x14ac:dyDescent="0.45">
      <c r="A15" s="133">
        <v>70</v>
      </c>
      <c r="B15" s="141" t="str">
        <f>INDEX('Uncalibrated Data'!$A$2:$E$109, Calibration!A15, 2)</f>
        <v>Ouachita</v>
      </c>
      <c r="C15" s="134">
        <f>INDEX('Uncalibrated Data'!$A$2:$E$109, Calibration!A15, 4)</f>
        <v>-5.5171999999999999</v>
      </c>
      <c r="D15" s="135">
        <f>INDEX('Uncalibrated Data'!$A$2:$E$109, Calibration!A15, 5)</f>
        <v>-29.4558</v>
      </c>
      <c r="F15" s="13"/>
      <c r="G15" s="1"/>
      <c r="H15" s="34"/>
      <c r="J15" s="139" t="str">
        <f t="shared" si="5"/>
        <v>Ouachita</v>
      </c>
      <c r="K15" s="136">
        <f t="shared" si="6"/>
        <v>-5.5171999999999999</v>
      </c>
      <c r="L15" s="137">
        <f t="shared" si="7"/>
        <v>-5.5</v>
      </c>
      <c r="M15" s="136">
        <f t="shared" si="8"/>
        <v>-29.4558</v>
      </c>
      <c r="N15" s="138">
        <f t="shared" si="9"/>
        <v>-29.6</v>
      </c>
    </row>
    <row r="16" spans="1:14" x14ac:dyDescent="0.45">
      <c r="A16" s="39">
        <v>102</v>
      </c>
      <c r="B16" s="142" t="str">
        <f>INDEX('Uncalibrated Data'!$A$2:$E$109, Calibration!A16, 2)</f>
        <v>Ouachita</v>
      </c>
      <c r="C16" s="131">
        <f>INDEX('Uncalibrated Data'!$A$2:$E$109, Calibration!A16, 4)</f>
        <v>-5.4908000000000001</v>
      </c>
      <c r="D16" s="132">
        <f>INDEX('Uncalibrated Data'!$A$2:$E$109, Calibration!A16, 5)</f>
        <v>-29.304200000000002</v>
      </c>
      <c r="F16" s="13"/>
      <c r="G16" s="1"/>
      <c r="H16" s="34"/>
      <c r="J16" s="44" t="str">
        <f t="shared" si="5"/>
        <v>Ouachita</v>
      </c>
      <c r="K16" s="45">
        <f t="shared" si="6"/>
        <v>-5.4908000000000001</v>
      </c>
      <c r="L16" s="2">
        <f t="shared" si="7"/>
        <v>-5.5</v>
      </c>
      <c r="M16" s="45">
        <f t="shared" si="8"/>
        <v>-29.304200000000002</v>
      </c>
      <c r="N16" s="46">
        <f t="shared" si="9"/>
        <v>-29.6</v>
      </c>
    </row>
    <row r="17" spans="1:14" x14ac:dyDescent="0.45">
      <c r="A17" s="39">
        <v>103</v>
      </c>
      <c r="B17" s="13" t="str">
        <f>INDEX('Uncalibrated Data'!$A$2:$E$109, Calibration!A17, 2)</f>
        <v>Sipsey</v>
      </c>
      <c r="C17" s="37">
        <f>INDEX('Uncalibrated Data'!$A$2:$E$109, Calibration!A17, 4)</f>
        <v>-4.5794000000000006</v>
      </c>
      <c r="D17" s="38">
        <f>INDEX('Uncalibrated Data'!$A$2:$E$109, Calibration!A17, 5)</f>
        <v>-22.334399999999999</v>
      </c>
      <c r="F17" s="13"/>
      <c r="G17" s="1"/>
      <c r="H17" s="34"/>
      <c r="J17" s="44" t="str">
        <f t="shared" si="5"/>
        <v>Sipsey</v>
      </c>
      <c r="K17" s="45">
        <f t="shared" si="6"/>
        <v>-4.5794000000000006</v>
      </c>
      <c r="L17" s="2">
        <f t="shared" si="7"/>
        <v>-4.5</v>
      </c>
      <c r="M17" s="45">
        <f t="shared" si="8"/>
        <v>-22.334399999999999</v>
      </c>
      <c r="N17" s="46">
        <f t="shared" si="9"/>
        <v>-22.4</v>
      </c>
    </row>
    <row r="18" spans="1:14" ht="14.65" thickBot="1" x14ac:dyDescent="0.5">
      <c r="A18" s="39">
        <v>104</v>
      </c>
      <c r="B18" s="13" t="str">
        <f>INDEX('Uncalibrated Data'!$A$2:$E$109, Calibration!A18, 2)</f>
        <v>Iceland</v>
      </c>
      <c r="C18" s="37">
        <f>INDEX('Uncalibrated Data'!$A$2:$E$109, Calibration!A18, 4)</f>
        <v>-8.0047999999999995</v>
      </c>
      <c r="D18" s="38">
        <f>INDEX('Uncalibrated Data'!$A$2:$E$109, Calibration!A18, 5)</f>
        <v>-52.53779999999999</v>
      </c>
      <c r="F18" s="14"/>
      <c r="G18" s="35"/>
      <c r="H18" s="36"/>
      <c r="J18" s="44" t="str">
        <f t="shared" si="5"/>
        <v>Iceland</v>
      </c>
      <c r="K18" s="45">
        <f t="shared" si="6"/>
        <v>-8.0047999999999995</v>
      </c>
      <c r="L18" s="2">
        <f t="shared" si="7"/>
        <v>-8</v>
      </c>
      <c r="M18" s="45">
        <f t="shared" si="8"/>
        <v>-52.53779999999999</v>
      </c>
      <c r="N18" s="46">
        <f t="shared" si="9"/>
        <v>-52.8</v>
      </c>
    </row>
    <row r="19" spans="1:14" ht="14.65" thickBot="1" x14ac:dyDescent="0.5">
      <c r="A19" s="67">
        <v>105</v>
      </c>
      <c r="B19" s="14" t="str">
        <f>INDEX('Uncalibrated Data'!$A$2:$E$109, Calibration!A19, 2)</f>
        <v>Ouachita</v>
      </c>
      <c r="C19" s="68">
        <f>INDEX('Uncalibrated Data'!$A$2:$E$109, Calibration!A19, 4)</f>
        <v>-5.51</v>
      </c>
      <c r="D19" s="69">
        <f>INDEX('Uncalibrated Data'!$A$2:$E$109, Calibration!A19, 5)</f>
        <v>-29.394600000000004</v>
      </c>
      <c r="J19" s="47" t="str">
        <f t="shared" si="5"/>
        <v>Ouachita</v>
      </c>
      <c r="K19" s="48">
        <f t="shared" si="6"/>
        <v>-5.51</v>
      </c>
      <c r="L19" s="49">
        <f t="shared" si="7"/>
        <v>-5.5</v>
      </c>
      <c r="M19" s="48">
        <f t="shared" si="8"/>
        <v>-29.394600000000004</v>
      </c>
      <c r="N19" s="50">
        <f t="shared" si="9"/>
        <v>-29.6</v>
      </c>
    </row>
    <row r="21" spans="1:14" ht="14.65" thickBot="1" x14ac:dyDescent="0.5"/>
    <row r="22" spans="1:14" ht="14.65" thickBot="1" x14ac:dyDescent="0.5">
      <c r="A22" s="288" t="s">
        <v>122</v>
      </c>
      <c r="B22" s="289"/>
      <c r="C22" s="290"/>
    </row>
    <row r="23" spans="1:14" x14ac:dyDescent="0.45">
      <c r="A23" s="282" t="s">
        <v>1166</v>
      </c>
      <c r="B23" s="283"/>
      <c r="C23" s="284"/>
    </row>
    <row r="24" spans="1:14" ht="14.65" thickBot="1" x14ac:dyDescent="0.5">
      <c r="A24" s="143"/>
      <c r="B24" s="144" t="s">
        <v>15</v>
      </c>
      <c r="C24" s="145" t="s">
        <v>64</v>
      </c>
    </row>
    <row r="25" spans="1:14" x14ac:dyDescent="0.45">
      <c r="A25" s="10" t="s">
        <v>66</v>
      </c>
      <c r="B25" s="56">
        <f>IF(A3="",1,SLOPE(L3:L11,K3:K11))</f>
        <v>1.0135709780669195</v>
      </c>
      <c r="C25" s="57">
        <f>IF(A3="",0,SLOPE(N3:N11,M3:M11))</f>
        <v>1.0087890148034526</v>
      </c>
    </row>
    <row r="26" spans="1:14" x14ac:dyDescent="0.45">
      <c r="A26" s="10" t="s">
        <v>67</v>
      </c>
      <c r="B26" s="56">
        <f>IF(A3="",1,INTERCEPT(L3:L11,K3:K11))</f>
        <v>0.12869387385190123</v>
      </c>
      <c r="C26" s="57">
        <f>IF(A3="",0,INTERCEPT(N3:N11,M3:M11))</f>
        <v>0.49347631702643469</v>
      </c>
    </row>
    <row r="27" spans="1:14" ht="14.65" thickBot="1" x14ac:dyDescent="0.5">
      <c r="A27" s="9" t="s">
        <v>68</v>
      </c>
      <c r="B27" s="58">
        <f>RSQ(L3:L11,K3:K11)</f>
        <v>0.99956868270325394</v>
      </c>
      <c r="C27" s="59">
        <f>RSQ(N3:N11,M3:M11)</f>
        <v>0.99961921616493898</v>
      </c>
    </row>
    <row r="28" spans="1:14" x14ac:dyDescent="0.45">
      <c r="A28" s="282" t="s">
        <v>1167</v>
      </c>
      <c r="B28" s="283"/>
      <c r="C28" s="284"/>
    </row>
    <row r="29" spans="1:14" ht="14.65" thickBot="1" x14ac:dyDescent="0.5">
      <c r="A29" s="143"/>
      <c r="B29" s="144" t="s">
        <v>15</v>
      </c>
      <c r="C29" s="145" t="s">
        <v>64</v>
      </c>
    </row>
    <row r="30" spans="1:14" x14ac:dyDescent="0.45">
      <c r="A30" s="10" t="s">
        <v>66</v>
      </c>
      <c r="B30" s="56">
        <f>IF(A8="",1,SLOPE(L12:L15,K12:K15))</f>
        <v>1.0169270552047722</v>
      </c>
      <c r="C30" s="57">
        <f>IF(A8="",0,SLOPE(N12:N15,M12:M15))</f>
        <v>1.0062804367864813</v>
      </c>
    </row>
    <row r="31" spans="1:14" x14ac:dyDescent="0.45">
      <c r="A31" s="10" t="s">
        <v>67</v>
      </c>
      <c r="B31" s="56">
        <f>IF(A8="",1,INTERCEPT(L12:L15,K12:K15))</f>
        <v>0.11475120150886831</v>
      </c>
      <c r="C31" s="57">
        <f>IF(A8="",0,INTERCEPT(N12:N15,M12:M15))</f>
        <v>4.8105873310035463E-2</v>
      </c>
    </row>
    <row r="32" spans="1:14" ht="14.65" thickBot="1" x14ac:dyDescent="0.5">
      <c r="A32" s="9" t="s">
        <v>68</v>
      </c>
      <c r="B32" s="58">
        <f>RSQ(L12:L15,K12:K15)</f>
        <v>0.99979325992324775</v>
      </c>
      <c r="C32" s="59">
        <f>RSQ(N12:N15,M12:M15)</f>
        <v>0.99995201012228685</v>
      </c>
    </row>
    <row r="33" spans="1:3" x14ac:dyDescent="0.45">
      <c r="A33" s="285" t="s">
        <v>1168</v>
      </c>
      <c r="B33" s="286"/>
      <c r="C33" s="287"/>
    </row>
    <row r="34" spans="1:3" ht="14.65" thickBot="1" x14ac:dyDescent="0.5">
      <c r="A34" s="146"/>
      <c r="B34" s="147" t="s">
        <v>15</v>
      </c>
      <c r="C34" s="148" t="s">
        <v>64</v>
      </c>
    </row>
    <row r="35" spans="1:3" x14ac:dyDescent="0.45">
      <c r="A35" s="149" t="s">
        <v>66</v>
      </c>
      <c r="B35" s="56">
        <f>IF(A13="",1,SLOPE(L16:L19,K16:K19))</f>
        <v>1.0145633235050178</v>
      </c>
      <c r="C35" s="57">
        <f>IF(A13="",0,SLOPE(N16:N19,M16:M19))</f>
        <v>1.0043407439555869</v>
      </c>
    </row>
    <row r="36" spans="1:3" x14ac:dyDescent="0.45">
      <c r="A36" s="149" t="s">
        <v>67</v>
      </c>
      <c r="B36" s="56">
        <f>IF(A13="",1,INTERCEPT(L16:L19,K16:K19))</f>
        <v>0.10711899621646115</v>
      </c>
      <c r="C36" s="57">
        <f>IF(A13="",0,INTERCEPT(N16:N19,M16:M19))</f>
        <v>-6.2300622277078332E-2</v>
      </c>
    </row>
    <row r="37" spans="1:3" ht="14.65" thickBot="1" x14ac:dyDescent="0.5">
      <c r="A37" s="150" t="s">
        <v>68</v>
      </c>
      <c r="B37" s="58">
        <f>RSQ(L16:L19,K16:K19)</f>
        <v>0.99950227319608886</v>
      </c>
      <c r="C37" s="59">
        <f>RSQ(N16:N19,M16:M19)</f>
        <v>0.99995988782729817</v>
      </c>
    </row>
  </sheetData>
  <mergeCells count="8">
    <mergeCell ref="A33:C33"/>
    <mergeCell ref="A22:C22"/>
    <mergeCell ref="A1:D1"/>
    <mergeCell ref="F1:H1"/>
    <mergeCell ref="K1:L1"/>
    <mergeCell ref="M1:N1"/>
    <mergeCell ref="A23:C23"/>
    <mergeCell ref="A28:C28"/>
  </mergeCells>
  <phoneticPr fontId="22" type="noConversion"/>
  <pageMargins left="0.7" right="0.7" top="0.75" bottom="0.75" header="0.3" footer="0.3"/>
  <drawing r:id="rId1"/>
  <extLst>
    <ext xmlns:mx="http://schemas.microsoft.com/office/mac/excel/2008/main" uri="http://schemas.microsoft.com/office/mac/excel/2008/main">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237"/>
  <sheetViews>
    <sheetView zoomScale="90" zoomScaleNormal="90" workbookViewId="0">
      <selection activeCell="F22" sqref="F22:H22"/>
    </sheetView>
  </sheetViews>
  <sheetFormatPr defaultColWidth="8.796875" defaultRowHeight="14.25" x14ac:dyDescent="0.45"/>
  <cols>
    <col min="1" max="1" width="26" bestFit="1" customWidth="1"/>
    <col min="2" max="2" width="8.796875" style="116" bestFit="1" customWidth="1"/>
    <col min="3" max="3" width="9.1328125" style="116" bestFit="1" customWidth="1"/>
    <col min="6" max="6" width="10.33203125" bestFit="1" customWidth="1"/>
    <col min="7" max="7" width="10" bestFit="1" customWidth="1"/>
    <col min="8" max="8" width="11" bestFit="1" customWidth="1"/>
    <col min="9" max="9" width="8.796875" style="2"/>
    <col min="11" max="11" width="10.46484375" bestFit="1" customWidth="1"/>
  </cols>
  <sheetData>
    <row r="1" spans="1:17" ht="14.65" thickBot="1" x14ac:dyDescent="0.5">
      <c r="A1" s="71" t="str">
        <f>'Uncalibrated Data'!B1</f>
        <v>Sample ID</v>
      </c>
      <c r="B1" s="167" t="str">
        <f>'Uncalibrated Data'!D1</f>
        <v>d(18_16)</v>
      </c>
      <c r="C1" s="168" t="str">
        <f>'Uncalibrated Data'!E1</f>
        <v>d(D_H)</v>
      </c>
      <c r="F1" s="291" t="s">
        <v>70</v>
      </c>
      <c r="G1" s="292"/>
      <c r="H1" s="293"/>
      <c r="I1" s="205" t="s">
        <v>1170</v>
      </c>
      <c r="L1" s="294" t="s">
        <v>57</v>
      </c>
      <c r="M1" s="295"/>
      <c r="N1" s="296"/>
      <c r="O1" s="294" t="s">
        <v>64</v>
      </c>
      <c r="P1" s="295"/>
      <c r="Q1" s="296"/>
    </row>
    <row r="2" spans="1:17" ht="14.65" thickBot="1" x14ac:dyDescent="0.5">
      <c r="A2" s="162" t="str">
        <f>'Uncalibrated Data'!B2</f>
        <v>Ouachita</v>
      </c>
      <c r="B2" s="169">
        <f>IF('Uncalibrated Data'!D2="","",Calibration!$B$25*'Uncalibrated Data'!D2+Calibration!$B$26)</f>
        <v>-5.5535877433868635</v>
      </c>
      <c r="C2" s="170">
        <f>IF('Uncalibrated Data'!E2="","",Calibration!$C$25*'Uncalibrated Data'!E2+Calibration!$C$26)</f>
        <v>-29.992329468136862</v>
      </c>
      <c r="F2" s="63" t="s">
        <v>18</v>
      </c>
      <c r="G2" s="61" t="s">
        <v>15</v>
      </c>
      <c r="H2" s="62" t="s">
        <v>16</v>
      </c>
      <c r="I2" s="209" t="s">
        <v>1171</v>
      </c>
      <c r="L2" s="64">
        <v>0.1</v>
      </c>
      <c r="M2" s="65" t="s">
        <v>71</v>
      </c>
      <c r="N2" s="66">
        <v>-0.1</v>
      </c>
      <c r="O2" s="64">
        <v>0.1</v>
      </c>
      <c r="P2" s="65" t="s">
        <v>71</v>
      </c>
      <c r="Q2" s="66">
        <v>-0.1</v>
      </c>
    </row>
    <row r="3" spans="1:17" ht="14.65" thickBot="1" x14ac:dyDescent="0.5">
      <c r="A3" s="75" t="str">
        <f>'Uncalibrated Data'!B3</f>
        <v>Sipsey</v>
      </c>
      <c r="B3" s="171">
        <f>IF('Uncalibrated Data'!D3="","",Calibration!$B$25*'Uncalibrated Data'!D3+Calibration!$B$26)</f>
        <v>-4.4757563653105015</v>
      </c>
      <c r="C3" s="172">
        <f>IF('Uncalibrated Data'!E3="","",Calibration!$C$25*'Uncalibrated Data'!E3+Calibration!$C$26)</f>
        <v>-22.636845245598973</v>
      </c>
      <c r="F3" s="201" t="str">
        <f>A6</f>
        <v>Ouachita</v>
      </c>
      <c r="G3" s="202">
        <f>B6</f>
        <v>-5.4960169118326627</v>
      </c>
      <c r="H3" s="202">
        <f>C6</f>
        <v>-29.515374021937792</v>
      </c>
      <c r="I3" s="206" t="str">
        <f>IF(AND($L$3 &lt;=G3, G3&lt;= $N$3, $O$3&lt;=H3, H3&lt;=$Q$3),"YES","NO")</f>
        <v>YES</v>
      </c>
      <c r="K3" t="s">
        <v>1169</v>
      </c>
      <c r="L3" s="9">
        <f>M3*1.1</f>
        <v>-6.0500000000000007</v>
      </c>
      <c r="M3" s="11">
        <f>'Tray Configuration'!D35</f>
        <v>-5.5</v>
      </c>
      <c r="N3" s="12">
        <f>M3*0.9</f>
        <v>-4.95</v>
      </c>
      <c r="O3" s="9">
        <f>P3*1.1</f>
        <v>-32.56</v>
      </c>
      <c r="P3" s="11">
        <f>'Tray Configuration'!E35</f>
        <v>-29.6</v>
      </c>
      <c r="Q3" s="12">
        <f>P3*0.9</f>
        <v>-26.64</v>
      </c>
    </row>
    <row r="4" spans="1:17" x14ac:dyDescent="0.45">
      <c r="A4" s="76" t="str">
        <f>'Uncalibrated Data'!B4</f>
        <v>Iceland</v>
      </c>
      <c r="B4" s="173">
        <f>IF('Uncalibrated Data'!D4="","",Calibration!$B$25*'Uncalibrated Data'!D4+Calibration!$B$26)</f>
        <v>-7.9942666585720037</v>
      </c>
      <c r="C4" s="174">
        <f>IF('Uncalibrated Data'!E4="","",Calibration!$C$25*'Uncalibrated Data'!E4+Calibration!$C$26)</f>
        <v>-52.961648303999638</v>
      </c>
      <c r="F4" s="10" t="str">
        <f>A15</f>
        <v>Ouachita</v>
      </c>
      <c r="G4" s="116">
        <f>B15</f>
        <v>-5.4831107747119425</v>
      </c>
      <c r="H4" s="116">
        <f>C15</f>
        <v>-29.503201301159162</v>
      </c>
      <c r="I4" s="207" t="str">
        <f t="shared" ref="I4:I17" si="0">IF(AND($L$3 &lt;=G4, G4&lt;= $N$3, $O$3&lt;=H4, H4&lt;=$Q$3),"YES","NO")</f>
        <v>YES</v>
      </c>
      <c r="K4" s="55"/>
    </row>
    <row r="5" spans="1:17" x14ac:dyDescent="0.45">
      <c r="A5" s="76" t="str">
        <f>'Uncalibrated Data'!B5</f>
        <v>Ouachita</v>
      </c>
      <c r="B5" s="173">
        <f>IF('Uncalibrated Data'!D5="","",Calibration!$B$25*'Uncalibrated Data'!D5+Calibration!$B$26)</f>
        <v>-5.5229778998492423</v>
      </c>
      <c r="C5" s="174">
        <f>IF('Uncalibrated Data'!E5="","",Calibration!$C$25*'Uncalibrated Data'!E5+Calibration!$C$26)</f>
        <v>-29.659227335448762</v>
      </c>
      <c r="F5" s="10" t="str">
        <f>A22</f>
        <v>Ouachita</v>
      </c>
      <c r="G5" s="116">
        <f t="shared" ref="G5:H5" si="1">B22</f>
        <v>-5.4800700617777416</v>
      </c>
      <c r="H5" s="116">
        <f t="shared" si="1"/>
        <v>-29.4352761741624</v>
      </c>
      <c r="I5" s="207" t="str">
        <f t="shared" si="0"/>
        <v>YES</v>
      </c>
      <c r="K5" s="55"/>
      <c r="L5" s="55"/>
    </row>
    <row r="6" spans="1:17" x14ac:dyDescent="0.45">
      <c r="A6" s="83" t="str">
        <f>'Uncalibrated Data'!B6</f>
        <v>Ouachita</v>
      </c>
      <c r="B6" s="175">
        <f>IF('Uncalibrated Data'!D6="","",Calibration!$B$25*'Uncalibrated Data'!D6+Calibration!$B$26)</f>
        <v>-5.4960169118326627</v>
      </c>
      <c r="C6" s="176">
        <f>IF('Uncalibrated Data'!E6="","",Calibration!$C$25*'Uncalibrated Data'!E6+Calibration!$C$26)</f>
        <v>-29.515374021937792</v>
      </c>
      <c r="F6" s="10" t="str">
        <f>A29</f>
        <v>Ouachita</v>
      </c>
      <c r="G6" s="116">
        <f t="shared" ref="G6:H6" si="2">B29</f>
        <v>-5.4733129219239629</v>
      </c>
      <c r="H6" s="116">
        <f t="shared" si="2"/>
        <v>-29.488069465937112</v>
      </c>
      <c r="I6" s="207" t="str">
        <f t="shared" si="0"/>
        <v>YES</v>
      </c>
      <c r="K6" s="55"/>
      <c r="L6" s="55"/>
    </row>
    <row r="7" spans="1:17" ht="14.65" thickBot="1" x14ac:dyDescent="0.5">
      <c r="A7" s="74" t="str">
        <f>'Uncalibrated Data'!B7</f>
        <v>WAIS_SFM01_2_RAW_20210607</v>
      </c>
      <c r="B7" s="177">
        <f>IF('Uncalibrated Data'!D7="","",Calibration!$B$25*'Uncalibrated Data'!D7+Calibration!$B$26)</f>
        <v>-5.8898905939094668</v>
      </c>
      <c r="C7" s="174">
        <f>IF('Uncalibrated Data'!E7="","",Calibration!$C$25*'Uncalibrated Data'!E7+Calibration!$C$26)</f>
        <v>-36.759756947645329</v>
      </c>
      <c r="F7" s="199" t="str">
        <f>A36</f>
        <v>Ouachita</v>
      </c>
      <c r="G7" s="200">
        <f>B36</f>
        <v>-5.4647989257081999</v>
      </c>
      <c r="H7" s="200">
        <f>C36</f>
        <v>-29.33742363972646</v>
      </c>
      <c r="I7" s="207" t="str">
        <f t="shared" si="0"/>
        <v>YES</v>
      </c>
      <c r="K7" s="55"/>
      <c r="L7" s="55"/>
    </row>
    <row r="8" spans="1:17" ht="14.65" thickTop="1" x14ac:dyDescent="0.45">
      <c r="A8" s="76" t="str">
        <f>'Uncalibrated Data'!B8</f>
        <v>WAIS_SFM02_1_RAW_20210607</v>
      </c>
      <c r="B8" s="178">
        <f>IF('Uncalibrated Data'!D8="","",Calibration!$B$25*'Uncalibrated Data'!D8+Calibration!$B$26)</f>
        <v>-5.9111755844488725</v>
      </c>
      <c r="C8" s="179">
        <f>IF('Uncalibrated Data'!E8="","",Calibration!$C$25*'Uncalibrated Data'!E8+Calibration!$C$26)</f>
        <v>-36.911411562870782</v>
      </c>
      <c r="F8" s="10" t="str">
        <f>A43</f>
        <v>Ouachita</v>
      </c>
      <c r="G8" s="116">
        <f>B43</f>
        <v>-5.3390285955543249</v>
      </c>
      <c r="H8" s="116">
        <f>C43</f>
        <v>-29.676411948925836</v>
      </c>
      <c r="I8" s="207" t="str">
        <f t="shared" si="0"/>
        <v>YES</v>
      </c>
    </row>
    <row r="9" spans="1:17" x14ac:dyDescent="0.45">
      <c r="A9" s="75" t="str">
        <f>'Uncalibrated Data'!B9</f>
        <v>WAIS_SFM03_1_RAW_20210607</v>
      </c>
      <c r="B9" s="178">
        <f>IF('Uncalibrated Data'!D9="","",Calibration!$B$25*'Uncalibrated Data'!D9+Calibration!$B$26)</f>
        <v>-5.889102260926526</v>
      </c>
      <c r="C9" s="174">
        <f>IF('Uncalibrated Data'!E9="","",Calibration!$C$25*'Uncalibrated Data'!E9+Calibration!$C$26)</f>
        <v>-36.820620551538468</v>
      </c>
      <c r="F9" s="10" t="str">
        <f>A50</f>
        <v>Ouachita</v>
      </c>
      <c r="G9" s="116">
        <f>B50</f>
        <v>-5.4691952586205357</v>
      </c>
      <c r="H9" s="116">
        <f>C50</f>
        <v>-29.590542684986719</v>
      </c>
      <c r="I9" s="207" t="str">
        <f t="shared" si="0"/>
        <v>YES</v>
      </c>
    </row>
    <row r="10" spans="1:17" x14ac:dyDescent="0.45">
      <c r="A10" s="76" t="str">
        <f>'Uncalibrated Data'!B10</f>
        <v>WAIS_SFM04_1_RAW_20210607</v>
      </c>
      <c r="B10" s="178">
        <f>IF('Uncalibrated Data'!D10="","",Calibration!$B$25*'Uncalibrated Data'!D10+Calibration!$B$26)</f>
        <v>-5.8841470250337542</v>
      </c>
      <c r="C10" s="174">
        <f>IF('Uncalibrated Data'!E10="","",Calibration!$C$25*'Uncalibrated Data'!E10+Calibration!$C$26)</f>
        <v>-36.898297305678341</v>
      </c>
      <c r="F10" s="10" t="str">
        <f>A57</f>
        <v>Ouachita</v>
      </c>
      <c r="G10" s="116">
        <f>B57</f>
        <v>-5.4763137480069695</v>
      </c>
      <c r="H10" s="116">
        <f>C57</f>
        <v>-29.554987442886933</v>
      </c>
      <c r="I10" s="207" t="str">
        <f t="shared" si="0"/>
        <v>YES</v>
      </c>
    </row>
    <row r="11" spans="1:17" x14ac:dyDescent="0.45">
      <c r="A11" s="76" t="str">
        <f>'Uncalibrated Data'!B11</f>
        <v>WAIS_SFM05_1_RAW_20210607</v>
      </c>
      <c r="B11" s="180">
        <f>IF('Uncalibrated Data'!D11="","",Calibration!$B$25*'Uncalibrated Data'!D11+Calibration!$B$26)</f>
        <v>-5.8675920323919941</v>
      </c>
      <c r="C11" s="181">
        <f>IF('Uncalibrated Data'!E11="","",Calibration!$C$25*'Uncalibrated Data'!E11+Calibration!$C$26)</f>
        <v>-36.765809681734154</v>
      </c>
      <c r="D11" s="70"/>
      <c r="F11" s="10" t="str">
        <f>A64</f>
        <v>Ouachita</v>
      </c>
      <c r="G11" s="116">
        <f>B64</f>
        <v>-5.4756357966368325</v>
      </c>
      <c r="H11" s="116">
        <f>C64</f>
        <v>-29.59154896542351</v>
      </c>
      <c r="I11" s="207" t="str">
        <f t="shared" si="0"/>
        <v>YES</v>
      </c>
    </row>
    <row r="12" spans="1:17" ht="14.65" thickBot="1" x14ac:dyDescent="0.5">
      <c r="A12" s="77" t="str">
        <f>'Uncalibrated Data'!B12</f>
        <v>WAIS_SFM06_1_RAW_20210607</v>
      </c>
      <c r="B12" s="177">
        <f>IF('Uncalibrated Data'!D12="","",Calibration!$B$25*'Uncalibrated Data'!D12+Calibration!$B$26)</f>
        <v>-5.8844848820264435</v>
      </c>
      <c r="C12" s="182">
        <f>IF('Uncalibrated Data'!E12="","",Calibration!$C$25*'Uncalibrated Data'!E12+Calibration!$C$26)</f>
        <v>-36.795064563163457</v>
      </c>
      <c r="F12" s="199" t="str">
        <f>A71</f>
        <v>Ouachita</v>
      </c>
      <c r="G12" s="200">
        <f>B71</f>
        <v>-5.4958387474669008</v>
      </c>
      <c r="H12" s="200">
        <f>C71</f>
        <v>-29.592689416585198</v>
      </c>
      <c r="I12" s="207" t="str">
        <f t="shared" si="0"/>
        <v>YES</v>
      </c>
    </row>
    <row r="13" spans="1:17" ht="14.65" thickTop="1" x14ac:dyDescent="0.45">
      <c r="A13" s="76" t="str">
        <f>'Uncalibrated Data'!B13</f>
        <v>WAIS_SFM07_1_RAW_20210607</v>
      </c>
      <c r="B13" s="173">
        <f>IF('Uncalibrated Data'!D13="","",Calibration!$B$25*'Uncalibrated Data'!D13+Calibration!$B$26)</f>
        <v>-5.9317848610028996</v>
      </c>
      <c r="C13" s="183">
        <f>IF('Uncalibrated Data'!E13="","",Calibration!$C$25*'Uncalibrated Data'!E13+Calibration!$C$26)</f>
        <v>-37.002202574203103</v>
      </c>
      <c r="F13" s="60" t="str">
        <f>A78</f>
        <v>Ouachita</v>
      </c>
      <c r="G13" s="116">
        <f>B78</f>
        <v>-5.4469388244245085</v>
      </c>
      <c r="H13" s="116">
        <f>C78</f>
        <v>-29.592931516803201</v>
      </c>
      <c r="I13" s="207" t="str">
        <f t="shared" si="0"/>
        <v>YES</v>
      </c>
    </row>
    <row r="14" spans="1:17" x14ac:dyDescent="0.45">
      <c r="A14" s="73" t="str">
        <f>'Uncalibrated Data'!B14</f>
        <v>WAIS_SFT01_1_RAW_20210606</v>
      </c>
      <c r="B14" s="173">
        <f>IF('Uncalibrated Data'!D14="","",Calibration!$B$25*'Uncalibrated Data'!D14+Calibration!$B$26)</f>
        <v>-5.764883506614547</v>
      </c>
      <c r="C14" s="184">
        <f>IF('Uncalibrated Data'!E14="","",Calibration!$C$25*'Uncalibrated Data'!E14+Calibration!$C$26)</f>
        <v>-36.555645303650103</v>
      </c>
      <c r="F14" s="60" t="str">
        <f>A85</f>
        <v>Ouachita</v>
      </c>
      <c r="G14" s="116">
        <f>B85</f>
        <v>-5.4604663354045746</v>
      </c>
      <c r="H14" s="116">
        <f>C85</f>
        <v>-29.559453492004678</v>
      </c>
      <c r="I14" s="207" t="str">
        <f t="shared" si="0"/>
        <v>YES</v>
      </c>
    </row>
    <row r="15" spans="1:17" x14ac:dyDescent="0.45">
      <c r="A15" s="78" t="str">
        <f>'Uncalibrated Data'!B15</f>
        <v>Ouachita</v>
      </c>
      <c r="B15" s="185">
        <f>IF('Uncalibrated Data'!D15="","",Calibration!$B$25*'Uncalibrated Data'!D15+Calibration!$B$26)</f>
        <v>-5.4831107747119425</v>
      </c>
      <c r="C15" s="186">
        <f>IF('Uncalibrated Data'!E15="","",Calibration!$C$25*'Uncalibrated Data'!E15+Calibration!$C$26)</f>
        <v>-29.503201301159162</v>
      </c>
      <c r="F15" s="10" t="str">
        <f>A92</f>
        <v>Ouachita</v>
      </c>
      <c r="G15" s="116">
        <f t="shared" ref="G15:H15" si="3">B92</f>
        <v>-5.4641864009240928</v>
      </c>
      <c r="H15" s="116">
        <f t="shared" si="3"/>
        <v>-29.401771995203653</v>
      </c>
      <c r="I15" s="207" t="str">
        <f t="shared" si="0"/>
        <v>YES</v>
      </c>
    </row>
    <row r="16" spans="1:17" x14ac:dyDescent="0.45">
      <c r="A16" s="72" t="str">
        <f>'Uncalibrated Data'!B16</f>
        <v>WAIS_SFT02_1_RAW_20210606</v>
      </c>
      <c r="B16" s="187">
        <f>IF('Uncalibrated Data'!D16="","",Calibration!$B$25*'Uncalibrated Data'!D16+Calibration!$B$26)</f>
        <v>-5.8486720408014117</v>
      </c>
      <c r="C16" s="188">
        <f>IF('Uncalibrated Data'!E16="","",Calibration!$C$25*'Uncalibrated Data'!E16+Calibration!$C$26)</f>
        <v>-36.979672952872484</v>
      </c>
      <c r="F16" s="10" t="str">
        <f>A99</f>
        <v>Ouachita</v>
      </c>
      <c r="G16" s="116">
        <f t="shared" ref="G16:H16" si="4">B99</f>
        <v>-5.4712883441886291</v>
      </c>
      <c r="H16" s="116">
        <f t="shared" si="4"/>
        <v>-29.564475195724459</v>
      </c>
      <c r="I16" s="207" t="str">
        <f t="shared" si="0"/>
        <v>YES</v>
      </c>
    </row>
    <row r="17" spans="1:11" ht="14.65" thickBot="1" x14ac:dyDescent="0.5">
      <c r="A17" s="73" t="str">
        <f>'Uncalibrated Data'!B17</f>
        <v>WAIS_01M01_1_RAW_20210607</v>
      </c>
      <c r="B17" s="173">
        <f>IF('Uncalibrated Data'!D17="","",Calibration!$B$25*'Uncalibrated Data'!D17+Calibration!$B$26)</f>
        <v>-5.926041292127187</v>
      </c>
      <c r="C17" s="189">
        <f>IF('Uncalibrated Data'!E17="","",Calibration!$C$25*'Uncalibrated Data'!E17+Calibration!$C$26)</f>
        <v>-37.167643972630863</v>
      </c>
      <c r="F17" s="9" t="str">
        <f>A106</f>
        <v>Ouachita</v>
      </c>
      <c r="G17" s="203">
        <f t="shared" ref="G17:H17" si="5">B106</f>
        <v>-5.4831249162961866</v>
      </c>
      <c r="H17" s="203">
        <f t="shared" si="5"/>
        <v>-29.58449505455398</v>
      </c>
      <c r="I17" s="208" t="str">
        <f t="shared" si="0"/>
        <v>YES</v>
      </c>
    </row>
    <row r="18" spans="1:11" x14ac:dyDescent="0.45">
      <c r="A18" s="74" t="str">
        <f>'Uncalibrated Data'!B18</f>
        <v>WAIS_01M02_1_RAW_20210607</v>
      </c>
      <c r="B18" s="190">
        <f>IF('Uncalibrated Data'!D18="","",Calibration!$B$25*'Uncalibrated Data'!D18+Calibration!$B$26)</f>
        <v>-5.9422584277762587</v>
      </c>
      <c r="C18" s="174">
        <f>IF('Uncalibrated Data'!E18="","",Calibration!$C$25*'Uncalibrated Data'!E18+Calibration!$C$26)</f>
        <v>-37.211021900267411</v>
      </c>
    </row>
    <row r="19" spans="1:11" x14ac:dyDescent="0.45">
      <c r="A19" s="79" t="str">
        <f>'Uncalibrated Data'!B19</f>
        <v>WAIS_01M03_1_RAW_20210607</v>
      </c>
      <c r="B19" s="177">
        <f>IF('Uncalibrated Data'!D19="","",Calibration!$B$25*'Uncalibrated Data'!D19+Calibration!$B$26)</f>
        <v>-5.7510313699142985</v>
      </c>
      <c r="C19" s="179">
        <f>IF('Uncalibrated Data'!E19="","",Calibration!$C$25*'Uncalibrated Data'!E19+Calibration!$C$26)</f>
        <v>-36.409707159508528</v>
      </c>
    </row>
    <row r="20" spans="1:11" ht="14.65" thickBot="1" x14ac:dyDescent="0.5">
      <c r="A20" s="79" t="str">
        <f>'Uncalibrated Data'!B20</f>
        <v>WAIS_01M04_1_RAW_20210607</v>
      </c>
      <c r="B20" s="177">
        <f>IF('Uncalibrated Data'!D20="","",Calibration!$B$25*'Uncalibrated Data'!D20+Calibration!$B$26)</f>
        <v>-5.7858306401612634</v>
      </c>
      <c r="C20" s="179">
        <f>IF('Uncalibrated Data'!E20="","",Calibration!$C$25*'Uncalibrated Data'!E20+Calibration!$C$26)</f>
        <v>-36.587590289118879</v>
      </c>
    </row>
    <row r="21" spans="1:11" ht="14.65" thickBot="1" x14ac:dyDescent="0.5">
      <c r="A21" s="79" t="str">
        <f>'Uncalibrated Data'!B21</f>
        <v>WAIS_01M05_1_RAW_20210607</v>
      </c>
      <c r="B21" s="177">
        <f>IF('Uncalibrated Data'!D21="","",Calibration!$B$25*'Uncalibrated Data'!D21+Calibration!$B$26)</f>
        <v>-5.814210627547137</v>
      </c>
      <c r="C21" s="179">
        <f>IF('Uncalibrated Data'!E21="","",Calibration!$C$25*'Uncalibrated Data'!E21+Calibration!$C$26)</f>
        <v>-36.794728300158518</v>
      </c>
      <c r="E21" s="230" t="s">
        <v>1178</v>
      </c>
      <c r="F21" s="299" t="s">
        <v>1176</v>
      </c>
      <c r="G21" s="300"/>
      <c r="H21" s="301"/>
      <c r="I21" s="240" t="s">
        <v>15</v>
      </c>
      <c r="J21" s="241" t="s">
        <v>16</v>
      </c>
      <c r="K21" s="242"/>
    </row>
    <row r="22" spans="1:11" x14ac:dyDescent="0.45">
      <c r="A22" s="80" t="str">
        <f>'Uncalibrated Data'!B22</f>
        <v>Ouachita</v>
      </c>
      <c r="B22" s="191">
        <f>IF('Uncalibrated Data'!D22="","",Calibration!$B$25*'Uncalibrated Data'!D22+Calibration!$B$26)</f>
        <v>-5.4800700617777416</v>
      </c>
      <c r="C22" s="176">
        <f>IF('Uncalibrated Data'!E22="","",Calibration!$C$25*'Uncalibrated Data'!E22+Calibration!$C$26)</f>
        <v>-29.4352761741624</v>
      </c>
      <c r="E22" s="1">
        <v>1</v>
      </c>
      <c r="F22" s="297" t="s">
        <v>124</v>
      </c>
      <c r="G22" s="298"/>
      <c r="H22" s="298"/>
      <c r="I22" s="237">
        <v>-6.0011978290034209</v>
      </c>
      <c r="J22" s="238">
        <v>-39.085677711349703</v>
      </c>
    </row>
    <row r="23" spans="1:11" x14ac:dyDescent="0.45">
      <c r="A23" s="79" t="str">
        <f>'Uncalibrated Data'!B23</f>
        <v>WAIS_01M06_1_RAW_20210607</v>
      </c>
      <c r="B23" s="177">
        <f>IF('Uncalibrated Data'!D23="","",Calibration!$B$25*'Uncalibrated Data'!D23+Calibration!$B$26)</f>
        <v>-5.7658970775926131</v>
      </c>
      <c r="C23" s="179">
        <f>IF('Uncalibrated Data'!E23="","",Calibration!$C$25*'Uncalibrated Data'!E23+Calibration!$C$26)</f>
        <v>-36.396256639311154</v>
      </c>
      <c r="E23" s="1">
        <v>2</v>
      </c>
      <c r="F23" s="302" t="s">
        <v>1089</v>
      </c>
      <c r="G23" s="303"/>
      <c r="H23" s="303"/>
      <c r="I23" s="234">
        <v>-5.8898905939094668</v>
      </c>
      <c r="J23" s="235">
        <v>-36.759756947645329</v>
      </c>
    </row>
    <row r="24" spans="1:11" x14ac:dyDescent="0.45">
      <c r="A24" s="79" t="str">
        <f>'Uncalibrated Data'!B24</f>
        <v>WAIS_20M04_1_RAW_20210607</v>
      </c>
      <c r="B24" s="116">
        <f>IF('Uncalibrated Data'!D24="","",Calibration!$B$25*'Uncalibrated Data'!D24+Calibration!$B$26)</f>
        <v>-5.9807741249428004</v>
      </c>
      <c r="C24" s="179">
        <f>IF('Uncalibrated Data'!E24="","",Calibration!$C$25*'Uncalibrated Data'!E24+Calibration!$C$26)</f>
        <v>-36.98572568696131</v>
      </c>
      <c r="E24" s="1">
        <v>1</v>
      </c>
      <c r="F24" s="302" t="s">
        <v>125</v>
      </c>
      <c r="G24" s="303"/>
      <c r="H24" s="303"/>
      <c r="I24" s="86">
        <v>-5.9918365969230534</v>
      </c>
      <c r="J24" s="165">
        <v>-38.758384847413502</v>
      </c>
    </row>
    <row r="25" spans="1:11" x14ac:dyDescent="0.45">
      <c r="A25" s="79" t="str">
        <f>'Uncalibrated Data'!B25</f>
        <v>WAIS_20M05_1_RAW_20210607</v>
      </c>
      <c r="B25" s="116">
        <f>IF('Uncalibrated Data'!D25="","",Calibration!$B$25*'Uncalibrated Data'!D25+Calibration!$B$26)</f>
        <v>-6.0115191112774973</v>
      </c>
      <c r="C25" s="179">
        <f>IF('Uncalibrated Data'!E25="","",Calibration!$C$25*'Uncalibrated Data'!E25+Calibration!$C$26)</f>
        <v>-37.313582116772423</v>
      </c>
      <c r="E25" s="1">
        <v>2</v>
      </c>
      <c r="F25" s="302" t="s">
        <v>1114</v>
      </c>
      <c r="G25" s="303"/>
      <c r="H25" s="303"/>
      <c r="I25" s="86">
        <v>-5.9217277981866596</v>
      </c>
      <c r="J25" s="165">
        <v>-37.203389616088714</v>
      </c>
    </row>
    <row r="26" spans="1:11" x14ac:dyDescent="0.45">
      <c r="A26" s="79" t="str">
        <f>'Uncalibrated Data'!B26</f>
        <v>WAIS_02M01_1_RAW_20210607</v>
      </c>
      <c r="B26" s="116">
        <f>IF('Uncalibrated Data'!D26="","",Calibration!$B$25*'Uncalibrated Data'!D26+Calibration!$B$26)</f>
        <v>-5.7827899272270624</v>
      </c>
      <c r="C26" s="179">
        <f>IF('Uncalibrated Data'!E26="","",Calibration!$C$25*'Uncalibrated Data'!E26+Calibration!$C$26)</f>
        <v>-36.420131312661503</v>
      </c>
      <c r="E26" s="1">
        <v>1</v>
      </c>
      <c r="F26" s="302" t="s">
        <v>127</v>
      </c>
      <c r="G26" s="303"/>
      <c r="H26" s="303"/>
      <c r="I26" s="86">
        <v>-5.9440274473697441</v>
      </c>
      <c r="J26" s="165">
        <v>-37.726179145162547</v>
      </c>
    </row>
    <row r="27" spans="1:11" x14ac:dyDescent="0.45">
      <c r="A27" s="79" t="str">
        <f>'Uncalibrated Data'!B27</f>
        <v>WAIS_02M02_1_RAW_20210607</v>
      </c>
      <c r="B27" s="116">
        <f>IF('Uncalibrated Data'!D27="","",Calibration!$B$25*'Uncalibrated Data'!D27+Calibration!$B$26)</f>
        <v>-5.8044127747591565</v>
      </c>
      <c r="C27" s="179">
        <f>IF('Uncalibrated Data'!E27="","",Calibration!$C$25*'Uncalibrated Data'!E27+Calibration!$C$26)</f>
        <v>-36.551610147590885</v>
      </c>
      <c r="E27" s="1">
        <v>2</v>
      </c>
      <c r="F27" s="302" t="s">
        <v>1115</v>
      </c>
      <c r="G27" s="303"/>
      <c r="H27" s="303"/>
      <c r="I27" s="234">
        <v>-5.908507746468997</v>
      </c>
      <c r="J27" s="235">
        <v>-37.204731323337761</v>
      </c>
    </row>
    <row r="28" spans="1:11" x14ac:dyDescent="0.45">
      <c r="A28" s="79" t="str">
        <f>'Uncalibrated Data'!B28</f>
        <v>WAIS_02M03_1_RAW_20210607</v>
      </c>
      <c r="B28" s="116">
        <f>IF('Uncalibrated Data'!D28="","",Calibration!$B$25*'Uncalibrated Data'!D28+Calibration!$B$26)</f>
        <v>-5.8331306191377204</v>
      </c>
      <c r="C28" s="179">
        <f>IF('Uncalibrated Data'!E28="","",Calibration!$C$25*'Uncalibrated Data'!E28+Calibration!$C$26)</f>
        <v>-36.581201292025128</v>
      </c>
      <c r="E28" s="1">
        <v>1</v>
      </c>
      <c r="F28" s="302" t="s">
        <v>126</v>
      </c>
      <c r="G28" s="303"/>
      <c r="H28" s="303"/>
      <c r="I28" s="86">
        <v>-5.9707738247422251</v>
      </c>
      <c r="J28" s="165">
        <v>-37.462545076554051</v>
      </c>
    </row>
    <row r="29" spans="1:11" ht="14.65" thickBot="1" x14ac:dyDescent="0.5">
      <c r="A29" s="81" t="str">
        <f>'Uncalibrated Data'!B29</f>
        <v>Ouachita</v>
      </c>
      <c r="B29" s="192">
        <f>IF('Uncalibrated Data'!D29="","",Calibration!$B$25*'Uncalibrated Data'!D29+Calibration!$B$26)</f>
        <v>-5.4733129219239629</v>
      </c>
      <c r="C29" s="176">
        <f>IF('Uncalibrated Data'!E29="","",Calibration!$C$25*'Uncalibrated Data'!E29+Calibration!$C$26)</f>
        <v>-29.488069465937112</v>
      </c>
      <c r="E29" s="1">
        <v>2</v>
      </c>
      <c r="F29" s="304" t="s">
        <v>1116</v>
      </c>
      <c r="G29" s="305"/>
      <c r="H29" s="305"/>
      <c r="I29" s="236">
        <v>-5.990200886570447</v>
      </c>
      <c r="J29" s="239">
        <v>-37.456972286158909</v>
      </c>
    </row>
    <row r="30" spans="1:11" x14ac:dyDescent="0.45">
      <c r="A30" s="79" t="str">
        <f>'Uncalibrated Data'!B30</f>
        <v>WAIS_02M05_1_RAW_20210607_spring</v>
      </c>
      <c r="B30" s="116">
        <f>IF('Uncalibrated Data'!D30="","",Calibration!$B$25*'Uncalibrated Data'!D30+Calibration!$B$26)</f>
        <v>-5.8145484845398263</v>
      </c>
      <c r="C30" s="179">
        <f>IF('Uncalibrated Data'!E30="","",Calibration!$C$25*'Uncalibrated Data'!E30+Calibration!$C$26)</f>
        <v>-36.811541450405237</v>
      </c>
      <c r="F30" s="1"/>
      <c r="G30" s="1"/>
      <c r="H30" s="1"/>
      <c r="I30" s="234"/>
      <c r="J30" s="234"/>
    </row>
    <row r="31" spans="1:11" x14ac:dyDescent="0.45">
      <c r="A31" s="79" t="str">
        <f>'Uncalibrated Data'!B31</f>
        <v>WAIS_02M06_1_RAW_20210607</v>
      </c>
      <c r="B31" s="116">
        <f>IF('Uncalibrated Data'!D31="","",Calibration!$B$25*'Uncalibrated Data'!D31+Calibration!$B$26)</f>
        <v>-5.8983370187266901</v>
      </c>
      <c r="C31" s="179">
        <f>IF('Uncalibrated Data'!E31="","",Calibration!$C$25*'Uncalibrated Data'!E31+Calibration!$C$26)</f>
        <v>-36.874758895332931</v>
      </c>
      <c r="I31"/>
    </row>
    <row r="32" spans="1:11" x14ac:dyDescent="0.45">
      <c r="A32" s="79" t="str">
        <f>'Uncalibrated Data'!B32</f>
        <v>WAIS_02M07_1_RAW_20210607</v>
      </c>
      <c r="B32" s="116">
        <f>IF('Uncalibrated Data'!D32="","",Calibration!$B$25*'Uncalibrated Data'!D32+Calibration!$B$26)</f>
        <v>-5.9023913026389589</v>
      </c>
      <c r="C32" s="179">
        <f>IF('Uncalibrated Data'!E32="","",Calibration!$C$25*'Uncalibrated Data'!E32+Calibration!$C$26)</f>
        <v>-36.992450947059993</v>
      </c>
      <c r="I32"/>
    </row>
    <row r="33" spans="1:9" x14ac:dyDescent="0.45">
      <c r="A33" s="79" t="str">
        <f>'Uncalibrated Data'!B33</f>
        <v>Ouachita</v>
      </c>
      <c r="B33" s="116">
        <f>IF('Uncalibrated Data'!D33="","",Calibration!$B$25*'Uncalibrated Data'!D33+Calibration!$B$26)</f>
        <v>-5.4806106329660453</v>
      </c>
      <c r="C33" s="179">
        <f>IF('Uncalibrated Data'!E33="","",Calibration!$C$25*'Uncalibrated Data'!E33+Calibration!$C$26)</f>
        <v>-29.36990664600313</v>
      </c>
      <c r="I33"/>
    </row>
    <row r="34" spans="1:9" x14ac:dyDescent="0.45">
      <c r="A34" s="82" t="str">
        <f>'Uncalibrated Data'!B34</f>
        <v>Sipsey</v>
      </c>
      <c r="B34" s="177">
        <f>IF('Uncalibrated Data'!D34="","",Calibration!$B$25*'Uncalibrated Data'!D34+Calibration!$B$26)</f>
        <v>-4.5130557773033644</v>
      </c>
      <c r="C34" s="189">
        <f>IF('Uncalibrated Data'!E34="","",Calibration!$C$25*'Uncalibrated Data'!E34+Calibration!$C$26)</f>
        <v>-22.272470653451961</v>
      </c>
      <c r="I34"/>
    </row>
    <row r="35" spans="1:9" x14ac:dyDescent="0.45">
      <c r="A35" s="82" t="str">
        <f>'Uncalibrated Data'!B35</f>
        <v>Iceland</v>
      </c>
      <c r="B35" s="190">
        <f>IF('Uncalibrated Data'!D35="","",Calibration!$B$25*'Uncalibrated Data'!D35+Calibration!$B$26)</f>
        <v>-7.9989290850711132</v>
      </c>
      <c r="C35" s="172">
        <f>IF('Uncalibrated Data'!E35="","",Calibration!$C$25*'Uncalibrated Data'!E35+Calibration!$C$26)</f>
        <v>-52.654774685696424</v>
      </c>
      <c r="I35"/>
    </row>
    <row r="36" spans="1:9" ht="14.65" thickBot="1" x14ac:dyDescent="0.5">
      <c r="A36" s="166" t="str">
        <f>'Uncalibrated Data'!B36</f>
        <v>Ouachita</v>
      </c>
      <c r="B36" s="193">
        <f>IF('Uncalibrated Data'!D36="","",Calibration!$B$25*'Uncalibrated Data'!D36+Calibration!$B$26)</f>
        <v>-5.4647989257081999</v>
      </c>
      <c r="C36" s="194">
        <f>IF('Uncalibrated Data'!E36="","",Calibration!$C$25*'Uncalibrated Data'!E36+Calibration!$C$26)</f>
        <v>-29.33742363972646</v>
      </c>
      <c r="I36"/>
    </row>
    <row r="37" spans="1:9" ht="14.65" thickTop="1" x14ac:dyDescent="0.45">
      <c r="A37" s="79" t="str">
        <f>'Uncalibrated Data'!B37</f>
        <v>WAIS_04M02_2_RAW_20210607</v>
      </c>
      <c r="B37" s="116">
        <f>IF('Uncalibrated Data'!D37="","",Calibration!$B$30*'Uncalibrated Data'!D37+Calibration!$B$31)</f>
        <v>-5.9217277981866596</v>
      </c>
      <c r="C37" s="179">
        <f>IF('Uncalibrated Data'!E37="","",Calibration!$C$30*'Uncalibrated Data'!E37+Calibration!$C$31)</f>
        <v>-37.203389616088714</v>
      </c>
    </row>
    <row r="38" spans="1:9" x14ac:dyDescent="0.45">
      <c r="A38" s="79" t="str">
        <f>'Uncalibrated Data'!B38</f>
        <v>WAIS_04M05_2_RAW_20210607</v>
      </c>
      <c r="B38" s="116">
        <f>IF('Uncalibrated Data'!D38="","",Calibration!$B$30*'Uncalibrated Data'!D38+Calibration!$B$31)</f>
        <v>-5.908507746468997</v>
      </c>
      <c r="C38" s="179">
        <f>IF('Uncalibrated Data'!E38="","",Calibration!$C$30*'Uncalibrated Data'!E38+Calibration!$C$31)</f>
        <v>-37.204731323337761</v>
      </c>
    </row>
    <row r="39" spans="1:9" x14ac:dyDescent="0.45">
      <c r="A39" s="79" t="str">
        <f>'Uncalibrated Data'!B39</f>
        <v>WAIS_04M09_2_RAW_20210607</v>
      </c>
      <c r="B39" s="116">
        <f>IF('Uncalibrated Data'!D39="","",Calibration!$B$30*'Uncalibrated Data'!D39+Calibration!$B$31)</f>
        <v>-5.990200886570447</v>
      </c>
      <c r="C39" s="179">
        <f>IF('Uncalibrated Data'!E39="","",Calibration!$C$30*'Uncalibrated Data'!E39+Calibration!$C$31)</f>
        <v>-37.456972286158909</v>
      </c>
    </row>
    <row r="40" spans="1:9" x14ac:dyDescent="0.45">
      <c r="A40" s="79" t="str">
        <f>'Uncalibrated Data'!B40</f>
        <v>WAIS_02M04_1_RAW_20210607</v>
      </c>
      <c r="B40" s="116">
        <f>IF('Uncalibrated Data'!D40="","",Calibration!$B$30*'Uncalibrated Data'!D40+Calibration!$B$31)</f>
        <v>-5.9003723300273592</v>
      </c>
      <c r="C40" s="179">
        <f>IF('Uncalibrated Data'!E40="","",Calibration!$C$30*'Uncalibrated Data'!E40+Calibration!$C$31)</f>
        <v>-37.081294256425295</v>
      </c>
    </row>
    <row r="41" spans="1:9" x14ac:dyDescent="0.45">
      <c r="A41" s="79" t="str">
        <f>'Uncalibrated Data'!B41</f>
        <v>WAIS_02M05_1_RAW_20210607</v>
      </c>
      <c r="B41" s="116">
        <f>IF('Uncalibrated Data'!D41="","",Calibration!$B$30*'Uncalibrated Data'!D41+Calibration!$B$31)</f>
        <v>-5.8949487190662673</v>
      </c>
      <c r="C41" s="179">
        <f>IF('Uncalibrated Data'!E41="","",Calibration!$C$30*'Uncalibrated Data'!E41+Calibration!$C$31)</f>
        <v>-37.180580592854888</v>
      </c>
    </row>
    <row r="42" spans="1:9" x14ac:dyDescent="0.45">
      <c r="A42" s="79" t="str">
        <f>'Uncalibrated Data'!B42</f>
        <v>WAIS_02M08_1_RAW_20210607</v>
      </c>
      <c r="B42" s="116">
        <f>IF('Uncalibrated Data'!D42="","",Calibration!$B$30*'Uncalibrated Data'!D42+Calibration!$B$31)</f>
        <v>-5.9261344820925457</v>
      </c>
      <c r="C42" s="179">
        <f>IF('Uncalibrated Data'!E42="","",Calibration!$C$30*'Uncalibrated Data'!E42+Calibration!$C$31)</f>
        <v>-37.178568031981321</v>
      </c>
    </row>
    <row r="43" spans="1:9" x14ac:dyDescent="0.45">
      <c r="A43" s="80" t="str">
        <f>'Uncalibrated Data'!B43</f>
        <v>Ouachita</v>
      </c>
      <c r="B43" s="192">
        <f>IF('Uncalibrated Data'!D43="","",Calibration!$B$30*'Uncalibrated Data'!D43+Calibration!$B$31)</f>
        <v>-5.3390285955543249</v>
      </c>
      <c r="C43" s="176">
        <f>IF('Uncalibrated Data'!E43="","",Calibration!$C$30*'Uncalibrated Data'!E43+Calibration!$C$31)</f>
        <v>-29.676411948925836</v>
      </c>
    </row>
    <row r="44" spans="1:9" x14ac:dyDescent="0.45">
      <c r="A44" s="74" t="str">
        <f>'Uncalibrated Data'!B44</f>
        <v>WAIS_02M10_1_RAW_20210607</v>
      </c>
      <c r="B44" s="116">
        <f>IF('Uncalibrated Data'!D44="","",Calibration!$B$30*'Uncalibrated Data'!D44+Calibration!$B$31)</f>
        <v>-5.9210498468165227</v>
      </c>
      <c r="C44" s="179">
        <f>IF('Uncalibrated Data'!E44="","",Calibration!$C$30*'Uncalibrated Data'!E44+Calibration!$C$31)</f>
        <v>-37.082300536862078</v>
      </c>
    </row>
    <row r="45" spans="1:9" x14ac:dyDescent="0.45">
      <c r="A45" s="74" t="str">
        <f>'Uncalibrated Data'!B45</f>
        <v>WAIS_02M11_1_RAW_20210607</v>
      </c>
      <c r="B45" s="116">
        <f>IF('Uncalibrated Data'!D45="","",Calibration!$B$30*'Uncalibrated Data'!D45+Calibration!$B$31)</f>
        <v>-5.9156262358554308</v>
      </c>
      <c r="C45" s="179">
        <f>IF('Uncalibrated Data'!E45="","",Calibration!$C$30*'Uncalibrated Data'!E45+Calibration!$C$31)</f>
        <v>-37.136304253636283</v>
      </c>
    </row>
    <row r="46" spans="1:9" x14ac:dyDescent="0.45">
      <c r="A46" s="73" t="str">
        <f>'Uncalibrated Data'!B46</f>
        <v>WAIS_04M01_1_RAW_20210607</v>
      </c>
      <c r="B46" s="116">
        <f>IF('Uncalibrated Data'!D46="","",Calibration!$B$30*'Uncalibrated Data'!D46+Calibration!$B$31)</f>
        <v>-5.9196939440762506</v>
      </c>
      <c r="C46" s="179">
        <f>IF('Uncalibrated Data'!E46="","",Calibration!$C$30*'Uncalibrated Data'!E46+Calibration!$C$31)</f>
        <v>-37.149385899314517</v>
      </c>
    </row>
    <row r="47" spans="1:9" x14ac:dyDescent="0.45">
      <c r="A47" s="74" t="str">
        <f>'Uncalibrated Data'!B47</f>
        <v>WAIS_04M03_1_RAW_20210607</v>
      </c>
      <c r="B47" s="116">
        <f>IF('Uncalibrated Data'!D47="","",Calibration!$B$30*'Uncalibrated Data'!D47+Calibration!$B$31)</f>
        <v>-5.9322360444237745</v>
      </c>
      <c r="C47" s="179">
        <f>IF('Uncalibrated Data'!E47="","",Calibration!$C$30*'Uncalibrated Data'!E47+Calibration!$C$31)</f>
        <v>-37.267791564043051</v>
      </c>
    </row>
    <row r="48" spans="1:9" x14ac:dyDescent="0.45">
      <c r="A48" s="74" t="str">
        <f>'Uncalibrated Data'!B48</f>
        <v>WAIS_04M04_1_RAW_20210607</v>
      </c>
      <c r="B48" s="116">
        <f>IF('Uncalibrated Data'!D48="","",Calibration!$B$30*'Uncalibrated Data'!D48+Calibration!$B$31)</f>
        <v>-5.908507746468997</v>
      </c>
      <c r="C48" s="179">
        <f>IF('Uncalibrated Data'!E48="","",Calibration!$C$30*'Uncalibrated Data'!E48+Calibration!$C$31)</f>
        <v>-37.191649677659534</v>
      </c>
    </row>
    <row r="49" spans="1:3" x14ac:dyDescent="0.45">
      <c r="A49" s="74" t="str">
        <f>'Uncalibrated Data'!B49</f>
        <v>WAIS_04M06_1_RAW_20210607</v>
      </c>
      <c r="B49" s="116">
        <f>IF('Uncalibrated Data'!D49="","",Calibration!$B$30*'Uncalibrated Data'!D49+Calibration!$B$31)</f>
        <v>-5.9403714608654141</v>
      </c>
      <c r="C49" s="179">
        <f>IF('Uncalibrated Data'!E49="","",Calibration!$C$30*'Uncalibrated Data'!E49+Calibration!$C$31)</f>
        <v>-37.32649125618893</v>
      </c>
    </row>
    <row r="50" spans="1:3" x14ac:dyDescent="0.45">
      <c r="A50" s="84" t="str">
        <f>'Uncalibrated Data'!B50</f>
        <v>Ouachita</v>
      </c>
      <c r="B50" s="192">
        <f>IF('Uncalibrated Data'!D50="","",Calibration!$B$30*'Uncalibrated Data'!D50+Calibration!$B$31)</f>
        <v>-5.4691952586205357</v>
      </c>
      <c r="C50" s="176">
        <f>IF('Uncalibrated Data'!E50="","",Calibration!$C$30*'Uncalibrated Data'!E50+Calibration!$C$31)</f>
        <v>-29.590542684986719</v>
      </c>
    </row>
    <row r="51" spans="1:3" x14ac:dyDescent="0.45">
      <c r="A51" s="79" t="str">
        <f>'Uncalibrated Data'!B51</f>
        <v>WAIS_04M07_1_RAW_20210607</v>
      </c>
      <c r="B51" s="116">
        <f>IF('Uncalibrated Data'!D51="","",Calibration!$B$30*'Uncalibrated Data'!D51+Calibration!$B$31)</f>
        <v>-5.9640997588201916</v>
      </c>
      <c r="C51" s="179">
        <f>IF('Uncalibrated Data'!E51="","",Calibration!$C$30*'Uncalibrated Data'!E51+Calibration!$C$31)</f>
        <v>-37.270139551728882</v>
      </c>
    </row>
    <row r="52" spans="1:3" x14ac:dyDescent="0.45">
      <c r="A52" s="79" t="str">
        <f>'Uncalibrated Data'!B52</f>
        <v>WAIS_04M08_1_RAW__20210607</v>
      </c>
      <c r="B52" s="116">
        <f>IF('Uncalibrated Data'!D52="","",Calibration!$B$30*'Uncalibrated Data'!D52+Calibration!$B$31)</f>
        <v>-5.9640997588201916</v>
      </c>
      <c r="C52" s="179">
        <f>IF('Uncalibrated Data'!E52="","",Calibration!$C$30*'Uncalibrated Data'!E52+Calibration!$C$31)</f>
        <v>-37.239280285000767</v>
      </c>
    </row>
    <row r="53" spans="1:3" x14ac:dyDescent="0.45">
      <c r="A53" s="79" t="str">
        <f>'Uncalibrated Data'!B53</f>
        <v>WAIS_04M10_1_RAW_20210607</v>
      </c>
      <c r="B53" s="116">
        <f>IF('Uncalibrated Data'!D53="","",Calibration!$B$30*'Uncalibrated Data'!D53+Calibration!$B$31)</f>
        <v>-5.9790146889631934</v>
      </c>
      <c r="C53" s="179">
        <f>IF('Uncalibrated Data'!E53="","",Calibration!$C$30*'Uncalibrated Data'!E53+Calibration!$C$31)</f>
        <v>-37.311397049637122</v>
      </c>
    </row>
    <row r="54" spans="1:3" x14ac:dyDescent="0.45">
      <c r="A54" s="79" t="str">
        <f>'Uncalibrated Data'!B54</f>
        <v>WAIS_04M11_1_RAW_20210607</v>
      </c>
      <c r="B54" s="116">
        <f>IF('Uncalibrated Data'!D54="","",Calibration!$B$30*'Uncalibrated Data'!D54+Calibration!$B$31)</f>
        <v>-5.9566422937486907</v>
      </c>
      <c r="C54" s="179">
        <f>IF('Uncalibrated Data'!E54="","",Calibration!$C$30*'Uncalibrated Data'!E54+Calibration!$C$31)</f>
        <v>-37.219490103077298</v>
      </c>
    </row>
    <row r="55" spans="1:3" x14ac:dyDescent="0.45">
      <c r="A55" s="161" t="str">
        <f>'Uncalibrated Data'!B55</f>
        <v>WAIS_04W03_1_RAW_20210607</v>
      </c>
      <c r="B55" s="116">
        <f>IF('Uncalibrated Data'!D55="","",Calibration!$B$30*'Uncalibrated Data'!D55+Calibration!$B$31)</f>
        <v>-5.8979995002318812</v>
      </c>
      <c r="C55" s="179">
        <f>IF('Uncalibrated Data'!E55="","",Calibration!$C$30*'Uncalibrated Data'!E55+Calibration!$C$31)</f>
        <v>-36.890771827060384</v>
      </c>
    </row>
    <row r="56" spans="1:3" x14ac:dyDescent="0.45">
      <c r="A56" s="79" t="str">
        <f>'Uncalibrated Data'!B56</f>
        <v>WAIS_04W02_1_RAW_20210607</v>
      </c>
      <c r="B56" s="116">
        <f>IF('Uncalibrated Data'!D56="","",Calibration!$B$30*'Uncalibrated Data'!D56+Calibration!$B$31)</f>
        <v>-5.8105437734842713</v>
      </c>
      <c r="C56" s="179">
        <f>IF('Uncalibrated Data'!E56="","",Calibration!$C$30*'Uncalibrated Data'!E56+Calibration!$C$31)</f>
        <v>-36.493626481341984</v>
      </c>
    </row>
    <row r="57" spans="1:3" x14ac:dyDescent="0.45">
      <c r="A57" s="81" t="str">
        <f>'Uncalibrated Data'!B57</f>
        <v>Ouachita</v>
      </c>
      <c r="B57" s="192">
        <f>IF('Uncalibrated Data'!D57="","",Calibration!$B$30*'Uncalibrated Data'!D57+Calibration!$B$31)</f>
        <v>-5.4763137480069695</v>
      </c>
      <c r="C57" s="176">
        <f>IF('Uncalibrated Data'!E57="","",Calibration!$C$30*'Uncalibrated Data'!E57+Calibration!$C$31)</f>
        <v>-29.554987442886933</v>
      </c>
    </row>
    <row r="58" spans="1:3" x14ac:dyDescent="0.45">
      <c r="A58" s="161" t="str">
        <f>'Uncalibrated Data'!B58</f>
        <v>WAIS_04W04_1_RAW_20210607</v>
      </c>
      <c r="B58" s="116">
        <f>IF('Uncalibrated Data'!D58="","",Calibration!$B$30*'Uncalibrated Data'!D58+Calibration!$B$31)</f>
        <v>-5.8451192933612335</v>
      </c>
      <c r="C58" s="179">
        <f>IF('Uncalibrated Data'!E58="","",Calibration!$C$30*'Uncalibrated Data'!E58+Calibration!$C$31)</f>
        <v>-36.788131222508156</v>
      </c>
    </row>
    <row r="59" spans="1:3" x14ac:dyDescent="0.45">
      <c r="A59" s="161" t="str">
        <f>'Uncalibrated Data'!B59</f>
        <v>WAIS_04T02_1_RAW_20210607</v>
      </c>
      <c r="B59" s="116">
        <f>IF('Uncalibrated Data'!D59="","",Calibration!$B$30*'Uncalibrated Data'!D59+Calibration!$B$31)</f>
        <v>-5.9376596553848682</v>
      </c>
      <c r="C59" s="179">
        <f>IF('Uncalibrated Data'!E59="","",Calibration!$C$30*'Uncalibrated Data'!E59+Calibration!$C$31)</f>
        <v>-37.17823260516905</v>
      </c>
    </row>
    <row r="60" spans="1:3" x14ac:dyDescent="0.45">
      <c r="A60" s="79" t="str">
        <f>'Uncalibrated Data'!B60</f>
        <v>WAIS_SFM01_1_RAW_20210723</v>
      </c>
      <c r="B60" s="116">
        <f>IF('Uncalibrated Data'!D60="","",Calibration!$B$30*'Uncalibrated Data'!D60+Calibration!$B$31)</f>
        <v>-5.8010524543023596</v>
      </c>
      <c r="C60" s="179">
        <f>IF('Uncalibrated Data'!E60="","",Calibration!$C$30*'Uncalibrated Data'!E60+Calibration!$C$31)</f>
        <v>-36.174300156068405</v>
      </c>
    </row>
    <row r="61" spans="1:3" x14ac:dyDescent="0.45">
      <c r="A61" s="79" t="str">
        <f>'Uncalibrated Data'!B61</f>
        <v>WAIS_SFM05_1_RAW_20210713</v>
      </c>
      <c r="B61" s="116">
        <f>IF('Uncalibrated Data'!D61="","",Calibration!$B$30*'Uncalibrated Data'!D61+Calibration!$B$31)</f>
        <v>-5.6837668672687416</v>
      </c>
      <c r="C61" s="179">
        <f>IF('Uncalibrated Data'!E61="","",Calibration!$C$30*'Uncalibrated Data'!E61+Calibration!$C$31)</f>
        <v>-36.73748177385658</v>
      </c>
    </row>
    <row r="62" spans="1:3" x14ac:dyDescent="0.45">
      <c r="A62" s="79" t="str">
        <f>'Uncalibrated Data'!B62</f>
        <v>WAIS_SFT01_1_RAW_20210713</v>
      </c>
      <c r="B62" s="116">
        <f>IF('Uncalibrated Data'!D62="","",Calibration!$B$30*'Uncalibrated Data'!D62+Calibration!$B$31)</f>
        <v>-5.7878324025846979</v>
      </c>
      <c r="C62" s="179">
        <f>IF('Uncalibrated Data'!E62="","",Calibration!$C$30*'Uncalibrated Data'!E62+Calibration!$C$31)</f>
        <v>-37.293619428587235</v>
      </c>
    </row>
    <row r="63" spans="1:3" x14ac:dyDescent="0.45">
      <c r="A63" s="79" t="str">
        <f>'Uncalibrated Data'!B63</f>
        <v>WAIS_01M02_1_RAW_20210713</v>
      </c>
      <c r="B63" s="116">
        <f>IF('Uncalibrated Data'!D63="","",Calibration!$B$30*'Uncalibrated Data'!D63+Calibration!$B$31)</f>
        <v>-6.1264691119678867</v>
      </c>
      <c r="C63" s="179">
        <f>IF('Uncalibrated Data'!E63="","",Calibration!$C$30*'Uncalibrated Data'!E63+Calibration!$C$31)</f>
        <v>-38.388787970623191</v>
      </c>
    </row>
    <row r="64" spans="1:3" x14ac:dyDescent="0.45">
      <c r="A64" s="80" t="str">
        <f>'Uncalibrated Data'!B64</f>
        <v>Ouachita</v>
      </c>
      <c r="B64" s="192">
        <f>IF('Uncalibrated Data'!D64="","",Calibration!$B$30*'Uncalibrated Data'!D64+Calibration!$B$31)</f>
        <v>-5.4756357966368325</v>
      </c>
      <c r="C64" s="176">
        <f>IF('Uncalibrated Data'!E64="","",Calibration!$C$30*'Uncalibrated Data'!E64+Calibration!$C$31)</f>
        <v>-29.59154896542351</v>
      </c>
    </row>
    <row r="65" spans="1:3" x14ac:dyDescent="0.45">
      <c r="A65" s="79" t="str">
        <f>'Uncalibrated Data'!B65</f>
        <v>WAIS_01M05_1_RAW_20210713</v>
      </c>
      <c r="B65" s="116">
        <f>IF('Uncalibrated Data'!D65="","",Calibration!$B$30*'Uncalibrated Data'!D65+Calibration!$B$31)</f>
        <v>-5.5885146997645627</v>
      </c>
      <c r="C65" s="179">
        <f>IF('Uncalibrated Data'!E65="","",Calibration!$C$30*'Uncalibrated Data'!E65+Calibration!$C$31)</f>
        <v>-35.861346940227811</v>
      </c>
    </row>
    <row r="66" spans="1:3" x14ac:dyDescent="0.45">
      <c r="A66" s="79" t="str">
        <f>'Uncalibrated Data'!B66</f>
        <v>WAIS_20M05_1_RAW_20210713</v>
      </c>
      <c r="B66" s="116">
        <f>IF('Uncalibrated Data'!D66="","",Calibration!$B$30*'Uncalibrated Data'!D66+Calibration!$B$31)</f>
        <v>-5.0973389321006577</v>
      </c>
      <c r="C66" s="179">
        <f>IF('Uncalibrated Data'!E66="","",Calibration!$C$30*'Uncalibrated Data'!E66+Calibration!$C$31)</f>
        <v>-32.40946961523791</v>
      </c>
    </row>
    <row r="67" spans="1:3" x14ac:dyDescent="0.45">
      <c r="A67" s="79" t="str">
        <f>'Uncalibrated Data'!B67</f>
        <v>WAIS_02M05_1_RAW_20210713</v>
      </c>
      <c r="B67" s="116">
        <f>IF('Uncalibrated Data'!D67="","",Calibration!$B$30*'Uncalibrated Data'!D67+Calibration!$B$31)</f>
        <v>-5.6627503747945118</v>
      </c>
      <c r="C67" s="179">
        <f>IF('Uncalibrated Data'!E67="","",Calibration!$C$30*'Uncalibrated Data'!E67+Calibration!$C$31)</f>
        <v>-36.457400385617674</v>
      </c>
    </row>
    <row r="68" spans="1:3" x14ac:dyDescent="0.45">
      <c r="A68" s="79" t="str">
        <f>'Uncalibrated Data'!B68</f>
        <v>Ouachita</v>
      </c>
      <c r="B68" s="116">
        <f>IF('Uncalibrated Data'!D68="","",Calibration!$B$30*'Uncalibrated Data'!D68+Calibration!$B$31)</f>
        <v>-5.4724494251971922</v>
      </c>
      <c r="C68" s="179">
        <f>IF('Uncalibrated Data'!E68="","",Calibration!$C$30*'Uncalibrated Data'!E68+Calibration!$C$31)</f>
        <v>-29.479180983315686</v>
      </c>
    </row>
    <row r="69" spans="1:3" x14ac:dyDescent="0.45">
      <c r="A69" s="79" t="str">
        <f>'Uncalibrated Data'!B69</f>
        <v>Sipsey</v>
      </c>
      <c r="B69" s="116">
        <f>IF('Uncalibrated Data'!D69="","",Calibration!$B$30*'Uncalibrated Data'!D69+Calibration!$B$31)</f>
        <v>-4.5230463264580161</v>
      </c>
      <c r="C69" s="179">
        <f>IF('Uncalibrated Data'!E69="","",Calibration!$C$30*'Uncalibrated Data'!E69+Calibration!$C$31)</f>
        <v>-22.498613593327864</v>
      </c>
    </row>
    <row r="70" spans="1:3" x14ac:dyDescent="0.45">
      <c r="A70" s="79" t="str">
        <f>'Uncalibrated Data'!B70</f>
        <v>Iceland</v>
      </c>
      <c r="B70" s="116">
        <f>IF('Uncalibrated Data'!D70="","",Calibration!$B$30*'Uncalibrated Data'!D70+Calibration!$B$31)</f>
        <v>-8.0086655008778944</v>
      </c>
      <c r="C70" s="179">
        <f>IF('Uncalibrated Data'!E70="","",Calibration!$C$30*'Uncalibrated Data'!E70+Calibration!$C$31)</f>
        <v>-52.829516006771271</v>
      </c>
    </row>
    <row r="71" spans="1:3" ht="14.65" thickBot="1" x14ac:dyDescent="0.5">
      <c r="A71" s="166" t="str">
        <f>'Uncalibrated Data'!B71</f>
        <v>Ouachita</v>
      </c>
      <c r="B71" s="195">
        <f>IF('Uncalibrated Data'!D71="","",Calibration!$B$30*'Uncalibrated Data'!D71+Calibration!$B$31)</f>
        <v>-5.4958387474669008</v>
      </c>
      <c r="C71" s="194">
        <f>IF('Uncalibrated Data'!E71="","",Calibration!$C$30*'Uncalibrated Data'!E71+Calibration!$C$31)</f>
        <v>-29.592689416585198</v>
      </c>
    </row>
    <row r="72" spans="1:3" ht="14.65" thickTop="1" x14ac:dyDescent="0.45">
      <c r="A72" s="79" t="str">
        <f>'Uncalibrated Data'!B72</f>
        <v>WAIS_02M05_1_RAW_20210713</v>
      </c>
      <c r="B72" s="116">
        <f>IF('Uncalibrated Data'!D72="","",Calibration!$B$35*'Uncalibrated Data'!D72+Calibration!$B$36)</f>
        <v>-5.8984195033842406</v>
      </c>
      <c r="C72" s="179">
        <f>IF('Uncalibrated Data'!E72="","",Calibration!$C$35*'Uncalibrated Data'!E72+Calibration!$C$36)</f>
        <v>-37.408376406017588</v>
      </c>
    </row>
    <row r="73" spans="1:3" x14ac:dyDescent="0.45">
      <c r="A73" s="79" t="str">
        <f>'Uncalibrated Data'!B73</f>
        <v>WAIS_02M07_1_RAW_20210713</v>
      </c>
      <c r="B73" s="116">
        <f>IF('Uncalibrated Data'!D73="","",Calibration!$B$35*'Uncalibrated Data'!D73+Calibration!$B$36)</f>
        <v>-5.932914656383411</v>
      </c>
      <c r="C73" s="179">
        <f>IF('Uncalibrated Data'!E73="","",Calibration!$C$35*'Uncalibrated Data'!E73+Calibration!$C$36)</f>
        <v>-37.569070925050482</v>
      </c>
    </row>
    <row r="74" spans="1:3" x14ac:dyDescent="0.45">
      <c r="A74" s="79" t="str">
        <f>'Uncalibrated Data'!B74</f>
        <v>WAIS_02M10_1_RAW_20210713</v>
      </c>
      <c r="B74" s="116">
        <f>IF('Uncalibrated Data'!D74="","",Calibration!$B$35*'Uncalibrated Data'!D74+Calibration!$B$36)</f>
        <v>-5.5717301132156241</v>
      </c>
      <c r="C74" s="179">
        <f>IF('Uncalibrated Data'!E74="","",Calibration!$C$35*'Uncalibrated Data'!E74+Calibration!$C$36)</f>
        <v>-35.53996784201221</v>
      </c>
    </row>
    <row r="75" spans="1:3" x14ac:dyDescent="0.45">
      <c r="A75" s="79" t="str">
        <f>'Uncalibrated Data'!B75</f>
        <v>WAIS_02M11_1_RAW_20210713</v>
      </c>
      <c r="B75" s="116">
        <f>IF('Uncalibrated Data'!D75="","",Calibration!$B$35*'Uncalibrated Data'!D75+Calibration!$B$36)</f>
        <v>-5.5764647420586479</v>
      </c>
      <c r="C75" s="179">
        <f>IF('Uncalibrated Data'!E75="","",Calibration!$C$35*'Uncalibrated Data'!E75+Calibration!$C$36)</f>
        <v>-35.417438271249637</v>
      </c>
    </row>
    <row r="76" spans="1:3" x14ac:dyDescent="0.45">
      <c r="A76" s="79" t="str">
        <f>'Uncalibrated Data'!B76</f>
        <v>WAIS_04M01_1_RAW_20210713</v>
      </c>
      <c r="B76" s="116">
        <f>IF('Uncalibrated Data'!D76="","",Calibration!$B$35*'Uncalibrated Data'!D76+Calibration!$B$36)</f>
        <v>-5.819959939699852</v>
      </c>
      <c r="C76" s="179">
        <f>IF('Uncalibrated Data'!E76="","",Calibration!$C$35*'Uncalibrated Data'!E76+Calibration!$C$36)</f>
        <v>-36.986553293556248</v>
      </c>
    </row>
    <row r="77" spans="1:3" x14ac:dyDescent="0.45">
      <c r="A77" s="79" t="str">
        <f>'Uncalibrated Data'!B77</f>
        <v>WAIS_04M03_1_RAW_20210713</v>
      </c>
      <c r="B77" s="116">
        <f>IF('Uncalibrated Data'!D77="","",Calibration!$B$35*'Uncalibrated Data'!D77+Calibration!$B$36)</f>
        <v>-5.494285112854743</v>
      </c>
      <c r="C77" s="179">
        <f>IF('Uncalibrated Data'!E77="","",Calibration!$C$35*'Uncalibrated Data'!E77+Calibration!$C$36)</f>
        <v>-35.456272780015908</v>
      </c>
    </row>
    <row r="78" spans="1:3" x14ac:dyDescent="0.45">
      <c r="A78" s="80" t="str">
        <f>'Uncalibrated Data'!B78</f>
        <v>Ouachita</v>
      </c>
      <c r="B78" s="192">
        <f>IF('Uncalibrated Data'!D78="","",Calibration!$B$35*'Uncalibrated Data'!D78+Calibration!$B$36)</f>
        <v>-5.4469388244245085</v>
      </c>
      <c r="C78" s="176">
        <f>IF('Uncalibrated Data'!E78="","",Calibration!$C$35*'Uncalibrated Data'!E78+Calibration!$C$36)</f>
        <v>-29.592931516803201</v>
      </c>
    </row>
    <row r="79" spans="1:3" x14ac:dyDescent="0.45">
      <c r="A79" s="79" t="str">
        <f>'Uncalibrated Data'!B79</f>
        <v>WAIS_04M04_1_RAW_20210713</v>
      </c>
      <c r="B79" s="116">
        <f>IF('Uncalibrated Data'!D79="","",Calibration!$B$35*'Uncalibrated Data'!D79+Calibration!$B$36)</f>
        <v>-5.7895230399947026</v>
      </c>
      <c r="C79" s="179">
        <f>IF('Uncalibrated Data'!E79="","",Calibration!$C$35*'Uncalibrated Data'!E79+Calibration!$C$36)</f>
        <v>-36.666168596234414</v>
      </c>
    </row>
    <row r="80" spans="1:3" x14ac:dyDescent="0.45">
      <c r="A80" s="79" t="str">
        <f>'Uncalibrated Data'!B80</f>
        <v>WAIS_04M06_1_RAW_20210713</v>
      </c>
      <c r="B80" s="116">
        <f>IF('Uncalibrated Data'!D80="","",Calibration!$B$35*'Uncalibrated Data'!D80+Calibration!$B$36)</f>
        <v>-5.9271654642168832</v>
      </c>
      <c r="C80" s="179">
        <f>IF('Uncalibrated Data'!E80="","",Calibration!$C$35*'Uncalibrated Data'!E80+Calibration!$C$36)</f>
        <v>-37.379920084938846</v>
      </c>
    </row>
    <row r="81" spans="1:3" x14ac:dyDescent="0.45">
      <c r="A81" s="79" t="str">
        <f>'Uncalibrated Data'!B81</f>
        <v>WAIS_04M08_1_RAW_20210713</v>
      </c>
      <c r="B81" s="116">
        <f>IF('Uncalibrated Data'!D81="","",Calibration!$B$35*'Uncalibrated Data'!D81+Calibration!$B$36)</f>
        <v>-5.9210780842758526</v>
      </c>
      <c r="C81" s="179">
        <f>IF('Uncalibrated Data'!E81="","",Calibration!$C$35*'Uncalibrated Data'!E81+Calibration!$C$36)</f>
        <v>-37.500440974213525</v>
      </c>
    </row>
    <row r="82" spans="1:3" x14ac:dyDescent="0.45">
      <c r="A82" s="79" t="str">
        <f>'Uncalibrated Data'!B82</f>
        <v>WAIS_04W03_1_RAW_20210713</v>
      </c>
      <c r="B82" s="116">
        <f>IF('Uncalibrated Data'!D82="","",Calibration!$B$35*'Uncalibrated Data'!D82+Calibration!$B$36)</f>
        <v>-5.8439712716894716</v>
      </c>
      <c r="C82" s="179">
        <f>IF('Uncalibrated Data'!E82="","",Calibration!$C$35*'Uncalibrated Data'!E82+Calibration!$C$36)</f>
        <v>-37.024048681330591</v>
      </c>
    </row>
    <row r="83" spans="1:3" x14ac:dyDescent="0.45">
      <c r="A83" s="79" t="str">
        <f>'Uncalibrated Data'!B83</f>
        <v>WAIS_04W04_1_RAW_20210713</v>
      </c>
      <c r="B83" s="116">
        <f>IF('Uncalibrated Data'!D83="","",Calibration!$B$35*'Uncalibrated Data'!D83+Calibration!$B$36)</f>
        <v>-5.9616606172160536</v>
      </c>
      <c r="C83" s="179">
        <f>IF('Uncalibrated Data'!E83="","",Calibration!$C$35*'Uncalibrated Data'!E83+Calibration!$C$36)</f>
        <v>-37.821830012279307</v>
      </c>
    </row>
    <row r="84" spans="1:3" x14ac:dyDescent="0.45">
      <c r="A84" s="79" t="str">
        <f>'Uncalibrated Data'!B84</f>
        <v>WAIS_N04D_1_RAW_20210723</v>
      </c>
      <c r="B84" s="116">
        <f>IF('Uncalibrated Data'!D84="","",Calibration!$B$35*'Uncalibrated Data'!D84+Calibration!$B$36)</f>
        <v>-4.6295389734539656</v>
      </c>
      <c r="C84" s="179">
        <f>IF('Uncalibrated Data'!E84="","",Calibration!$C$35*'Uncalibrated Data'!E84+Calibration!$C$36)</f>
        <v>-31.556752451484357</v>
      </c>
    </row>
    <row r="85" spans="1:3" ht="14.65" thickBot="1" x14ac:dyDescent="0.5">
      <c r="A85" s="163" t="str">
        <f>'Uncalibrated Data'!B85</f>
        <v>Ouachita</v>
      </c>
      <c r="B85" s="192">
        <f>IF('Uncalibrated Data'!D85="","",Calibration!$B$35*'Uncalibrated Data'!D85+Calibration!$B$36)</f>
        <v>-5.4604663354045746</v>
      </c>
      <c r="C85" s="176">
        <f>IF('Uncalibrated Data'!E85="","",Calibration!$C$35*'Uncalibrated Data'!E85+Calibration!$C$36)</f>
        <v>-29.559453492004678</v>
      </c>
    </row>
    <row r="86" spans="1:3" x14ac:dyDescent="0.45">
      <c r="A86" s="79" t="str">
        <f>'Uncalibrated Data'!B86</f>
        <v>WAIS_SFT01_1_RAW_20210809</v>
      </c>
      <c r="B86" s="116">
        <f>IF('Uncalibrated Data'!D86="","",Calibration!$B$35*'Uncalibrated Data'!D86+Calibration!$B$36)</f>
        <v>-5.6687900044976054</v>
      </c>
      <c r="C86" s="179">
        <f>IF('Uncalibrated Data'!E86="","",Calibration!$C$35*'Uncalibrated Data'!E86+Calibration!$C$36)</f>
        <v>-36.251041088732769</v>
      </c>
    </row>
    <row r="87" spans="1:3" x14ac:dyDescent="0.45">
      <c r="A87" s="231" t="str">
        <f>'Uncalibrated Data'!B87</f>
        <v>WAIS_01M01_1_RAW_20210809</v>
      </c>
      <c r="B87" s="232">
        <f>IF('Uncalibrated Data'!D87="","",Calibration!$B$35*'Uncalibrated Data'!D87+Calibration!$B$36)</f>
        <v>0.16325816678373878</v>
      </c>
      <c r="C87" s="233">
        <f>IF('Uncalibrated Data'!E87="","",Calibration!$C$35*'Uncalibrated Data'!E87+Calibration!$C$36)</f>
        <v>2.0478192807736102</v>
      </c>
    </row>
    <row r="88" spans="1:3" x14ac:dyDescent="0.45">
      <c r="A88" s="79" t="str">
        <f>'Uncalibrated Data'!B88</f>
        <v>WAIS_01M05_1_RAW_20210809</v>
      </c>
      <c r="B88" s="116">
        <f>IF('Uncalibrated Data'!D88="","",Calibration!$B$35*'Uncalibrated Data'!D88+Calibration!$B$36)</f>
        <v>-5.1878869891562269</v>
      </c>
      <c r="C88" s="179">
        <f>IF('Uncalibrated Data'!E88="","",Calibration!$C$35*'Uncalibrated Data'!E88+Calibration!$C$36)</f>
        <v>-32.640101333964459</v>
      </c>
    </row>
    <row r="89" spans="1:3" x14ac:dyDescent="0.45">
      <c r="A89" s="79" t="str">
        <f>'Uncalibrated Data'!B89</f>
        <v>WAIS_02M05_1_RAW_20210809</v>
      </c>
      <c r="B89" s="116">
        <f>IF('Uncalibrated Data'!D89="","",Calibration!$B$35*'Uncalibrated Data'!D89+Calibration!$B$36)</f>
        <v>-5.8365311406504343</v>
      </c>
      <c r="C89" s="179">
        <f>IF('Uncalibrated Data'!E89="","",Calibration!$C$35*'Uncalibrated Data'!E89+Calibration!$C$36)</f>
        <v>-36.712368270456373</v>
      </c>
    </row>
    <row r="90" spans="1:3" x14ac:dyDescent="0.45">
      <c r="A90" s="79" t="str">
        <f>'Uncalibrated Data'!B90</f>
        <v>WAIS_02M06_1_RAW_20210809</v>
      </c>
      <c r="B90" s="116">
        <f>IF('Uncalibrated Data'!D90="","",Calibration!$B$35*'Uncalibrated Data'!D90+Calibration!$B$36)</f>
        <v>-1.5381645267341761</v>
      </c>
      <c r="C90" s="179">
        <f>IF('Uncalibrated Data'!E90="","",Calibration!$C$35*'Uncalibrated Data'!E90+Calibration!$C$36)</f>
        <v>-12.639994539080879</v>
      </c>
    </row>
    <row r="91" spans="1:3" x14ac:dyDescent="0.45">
      <c r="A91" s="79" t="str">
        <f>'Uncalibrated Data'!B91</f>
        <v>WAIS_04M01_1_RAW_20210809</v>
      </c>
      <c r="B91" s="116">
        <f>IF('Uncalibrated Data'!D91="","",Calibration!$B$35*'Uncalibrated Data'!D91+Calibration!$B$36)</f>
        <v>-4.6376554800420058</v>
      </c>
      <c r="C91" s="179">
        <f>IF('Uncalibrated Data'!E91="","",Calibration!$C$35*'Uncalibrated Data'!E91+Calibration!$C$36)</f>
        <v>-29.248777421874419</v>
      </c>
    </row>
    <row r="92" spans="1:3" x14ac:dyDescent="0.45">
      <c r="A92" s="80" t="str">
        <f>'Uncalibrated Data'!B92</f>
        <v>Ouachita</v>
      </c>
      <c r="B92" s="192">
        <f>IF('Uncalibrated Data'!D92="","",Calibration!$B$35*'Uncalibrated Data'!D92+Calibration!$B$36)</f>
        <v>-5.4641864009240928</v>
      </c>
      <c r="C92" s="176">
        <f>IF('Uncalibrated Data'!E92="","",Calibration!$C$35*'Uncalibrated Data'!E92+Calibration!$C$36)</f>
        <v>-29.401771995203653</v>
      </c>
    </row>
    <row r="93" spans="1:3" x14ac:dyDescent="0.45">
      <c r="A93" s="79" t="str">
        <f>'Uncalibrated Data'!B93</f>
        <v>WAIS_04M03_1_RAW_20210809</v>
      </c>
      <c r="B93" s="116">
        <f>IF('Uncalibrated Data'!D93="","",Calibration!$B$35*'Uncalibrated Data'!D93+Calibration!$B$36)</f>
        <v>-4.8774306121636917</v>
      </c>
      <c r="C93" s="179">
        <f>IF('Uncalibrated Data'!E93="","",Calibration!$C$35*'Uncalibrated Data'!E93+Calibration!$C$36)</f>
        <v>-30.981934765693779</v>
      </c>
    </row>
    <row r="94" spans="1:3" x14ac:dyDescent="0.45">
      <c r="A94" s="79" t="str">
        <f>'Uncalibrated Data'!B94</f>
        <v>WAIS_04M04_1_RAW_20210809</v>
      </c>
      <c r="B94" s="116">
        <f>IF('Uncalibrated Data'!D94="","",Calibration!$B$35*'Uncalibrated Data'!D94+Calibration!$B$36)</f>
        <v>-5.5646281699510904</v>
      </c>
      <c r="C94" s="179">
        <f>IF('Uncalibrated Data'!E94="","",Calibration!$C$35*'Uncalibrated Data'!E94+Calibration!$C$36)</f>
        <v>-35.128522917238413</v>
      </c>
    </row>
    <row r="95" spans="1:3" x14ac:dyDescent="0.45">
      <c r="A95" s="79" t="str">
        <f>'Uncalibrated Data'!B95</f>
        <v>WAIS_04M05_1_RAW_20210810_S</v>
      </c>
      <c r="B95" s="116">
        <f>IF('Uncalibrated Data'!D95="","",Calibration!$B$35*'Uncalibrated Data'!D95+Calibration!$B$36)</f>
        <v>-5.7607770791620592</v>
      </c>
      <c r="C95" s="179">
        <f>IF('Uncalibrated Data'!E95="","",Calibration!$C$35*'Uncalibrated Data'!E95+Calibration!$C$36)</f>
        <v>-36.431152862148807</v>
      </c>
    </row>
    <row r="96" spans="1:3" x14ac:dyDescent="0.45">
      <c r="A96" s="79" t="str">
        <f>'Uncalibrated Data'!B96</f>
        <v>WAIS_04M06_1_RAW_20210809</v>
      </c>
      <c r="B96" s="116">
        <f>IF('Uncalibrated Data'!D96="","",Calibration!$B$35*'Uncalibrated Data'!D96+Calibration!$B$36)</f>
        <v>-5.7438676904369768</v>
      </c>
      <c r="C96" s="179">
        <f>IF('Uncalibrated Data'!E96="","",Calibration!$C$35*'Uncalibrated Data'!E96+Calibration!$C$36)</f>
        <v>-36.231289054101644</v>
      </c>
    </row>
    <row r="97" spans="1:3" x14ac:dyDescent="0.45">
      <c r="A97" s="79" t="str">
        <f>'Uncalibrated Data'!B97</f>
        <v>WAIS_02M07_1_RAW_20210809</v>
      </c>
      <c r="B97" s="116">
        <f>IF('Uncalibrated Data'!D97="","",Calibration!$B$35*'Uncalibrated Data'!D97+Calibration!$B$36)</f>
        <v>-2.4522860812121969</v>
      </c>
      <c r="C97" s="179">
        <f>IF('Uncalibrated Data'!E97="","",Calibration!$C$35*'Uncalibrated Data'!E97+Calibration!$C$36)</f>
        <v>-18.379132330291085</v>
      </c>
    </row>
    <row r="98" spans="1:3" x14ac:dyDescent="0.45">
      <c r="A98" s="79" t="str">
        <f>'Uncalibrated Data'!B98</f>
        <v>WAIS_04M08_1_RAW_20210809</v>
      </c>
      <c r="B98" s="116">
        <f>IF('Uncalibrated Data'!D98="","",Calibration!$B$35*'Uncalibrated Data'!D98+Calibration!$B$36)</f>
        <v>-5.919725333177845</v>
      </c>
      <c r="C98" s="179">
        <f>IF('Uncalibrated Data'!E98="","",Calibration!$C$35*'Uncalibrated Data'!E98+Calibration!$C$36)</f>
        <v>-37.240651501777016</v>
      </c>
    </row>
    <row r="99" spans="1:3" x14ac:dyDescent="0.45">
      <c r="A99" s="80" t="str">
        <f>'Uncalibrated Data'!B99</f>
        <v>Ouachita</v>
      </c>
      <c r="B99" s="192">
        <f>IF('Uncalibrated Data'!D99="","",Calibration!$B$35*'Uncalibrated Data'!D99+Calibration!$B$36)</f>
        <v>-5.4712883441886291</v>
      </c>
      <c r="C99" s="176">
        <f>IF('Uncalibrated Data'!E99="","",Calibration!$C$35*'Uncalibrated Data'!E99+Calibration!$C$36)</f>
        <v>-29.564475195724459</v>
      </c>
    </row>
    <row r="100" spans="1:3" x14ac:dyDescent="0.45">
      <c r="A100" s="79" t="str">
        <f>'Uncalibrated Data'!B100</f>
        <v>WAIS_04M09_1_RAW_20210810_S</v>
      </c>
      <c r="B100" s="116">
        <f>IF('Uncalibrated Data'!D100="","",Calibration!$B$35*'Uncalibrated Data'!D100+Calibration!$B$36)</f>
        <v>-5.1043546088543135</v>
      </c>
      <c r="C100" s="179">
        <f>IF('Uncalibrated Data'!E100="","",Calibration!$C$35*'Uncalibrated Data'!E100+Calibration!$C$36)</f>
        <v>-31.884502314261866</v>
      </c>
    </row>
    <row r="101" spans="1:3" x14ac:dyDescent="0.45">
      <c r="A101" s="79" t="str">
        <f>'Uncalibrated Data'!B101</f>
        <v>WAIS_04W03_1_RAW_20210809</v>
      </c>
      <c r="B101" s="116">
        <f>IF('Uncalibrated Data'!D101="","",Calibration!$B$35*'Uncalibrated Data'!D101+Calibration!$B$36)</f>
        <v>-4.7621085810586203</v>
      </c>
      <c r="C101" s="179">
        <f>IF('Uncalibrated Data'!E101="","",Calibration!$C$35*'Uncalibrated Data'!E101+Calibration!$C$36)</f>
        <v>-30.00136341934514</v>
      </c>
    </row>
    <row r="102" spans="1:3" x14ac:dyDescent="0.45">
      <c r="A102" s="79" t="str">
        <f>'Uncalibrated Data'!B102</f>
        <v>WAIS_04W04_1_RAW_20210809</v>
      </c>
      <c r="B102" s="116">
        <f>IF('Uncalibrated Data'!D102="","",Calibration!$B$35*'Uncalibrated Data'!D102+Calibration!$B$36)</f>
        <v>-5.842280332816963</v>
      </c>
      <c r="C102" s="179">
        <f>IF('Uncalibrated Data'!E102="","",Calibration!$C$35*'Uncalibrated Data'!E102+Calibration!$C$36)</f>
        <v>-36.788363386749005</v>
      </c>
    </row>
    <row r="103" spans="1:3" x14ac:dyDescent="0.45">
      <c r="A103" s="79" t="str">
        <f>'Uncalibrated Data'!B103</f>
        <v>Ouachita</v>
      </c>
      <c r="B103" s="116">
        <f>IF('Uncalibrated Data'!D103="","",Calibration!$B$35*'Uncalibrated Data'!D103+Calibration!$B$36)</f>
        <v>-5.4636453004848908</v>
      </c>
      <c r="C103" s="179">
        <f>IF('Uncalibrated Data'!E103="","",Calibration!$C$35*'Uncalibrated Data'!E103+Calibration!$C$36)</f>
        <v>-29.493702651300389</v>
      </c>
    </row>
    <row r="104" spans="1:3" x14ac:dyDescent="0.45">
      <c r="A104" s="79" t="str">
        <f>'Uncalibrated Data'!B104</f>
        <v>Sipsey</v>
      </c>
      <c r="B104" s="116">
        <f>IF('Uncalibrated Data'!D104="","",Calibration!$B$35*'Uncalibrated Data'!D104+Calibration!$B$36)</f>
        <v>-4.5389722874424177</v>
      </c>
      <c r="C104" s="179">
        <f>IF('Uncalibrated Data'!E104="","",Calibration!$C$35*'Uncalibrated Data'!E104+Calibration!$C$36)</f>
        <v>-22.493648534078737</v>
      </c>
    </row>
    <row r="105" spans="1:3" x14ac:dyDescent="0.45">
      <c r="A105" s="79" t="str">
        <f>'Uncalibrated Data'!B105</f>
        <v>Iceland</v>
      </c>
      <c r="B105" s="116">
        <f>IF('Uncalibrated Data'!D105="","",Calibration!$B$35*'Uncalibrated Data'!D105+Calibration!$B$36)</f>
        <v>-8.0142574957765049</v>
      </c>
      <c r="C105" s="179">
        <f>IF('Uncalibrated Data'!E105="","",Calibration!$C$35*'Uncalibrated Data'!E105+Calibration!$C$36)</f>
        <v>-52.828153760066904</v>
      </c>
    </row>
    <row r="106" spans="1:3" ht="14.65" thickBot="1" x14ac:dyDescent="0.5">
      <c r="A106" s="164" t="str">
        <f>'Uncalibrated Data'!B106</f>
        <v>Ouachita</v>
      </c>
      <c r="B106" s="196">
        <f>IF('Uncalibrated Data'!D106="","",Calibration!$B$35*'Uncalibrated Data'!D106+Calibration!$B$36)</f>
        <v>-5.4831249162961866</v>
      </c>
      <c r="C106" s="197">
        <f>IF('Uncalibrated Data'!E106="","",Calibration!$C$35*'Uncalibrated Data'!E106+Calibration!$C$36)</f>
        <v>-29.58449505455398</v>
      </c>
    </row>
    <row r="107" spans="1:3" x14ac:dyDescent="0.45">
      <c r="B107" s="116" t="str">
        <f>IF('Uncalibrated Data'!D107="","",Calibration!$B$25*'Uncalibrated Data'!D107+Calibration!$B$26)</f>
        <v/>
      </c>
      <c r="C107" s="116" t="str">
        <f>IF('Uncalibrated Data'!E107="","",Calibration!$C$25*'Uncalibrated Data'!E107+Calibration!$C$26)</f>
        <v/>
      </c>
    </row>
    <row r="108" spans="1:3" x14ac:dyDescent="0.45">
      <c r="B108" s="116" t="str">
        <f>IF('Uncalibrated Data'!D108="","",Calibration!$B$25*'Uncalibrated Data'!D108+Calibration!$B$26)</f>
        <v/>
      </c>
      <c r="C108" s="116" t="str">
        <f>IF('Uncalibrated Data'!E108="","",Calibration!$C$25*'Uncalibrated Data'!E108+Calibration!$C$26)</f>
        <v/>
      </c>
    </row>
    <row r="109" spans="1:3" x14ac:dyDescent="0.45">
      <c r="B109" s="116" t="str">
        <f>IF('Uncalibrated Data'!D109="","",Calibration!$B$25*'Uncalibrated Data'!D109+Calibration!$B$26)</f>
        <v/>
      </c>
      <c r="C109" s="116" t="str">
        <f>IF('Uncalibrated Data'!E109="","",Calibration!$C$25*'Uncalibrated Data'!E109+Calibration!$C$26)</f>
        <v/>
      </c>
    </row>
    <row r="110" spans="1:3" x14ac:dyDescent="0.45">
      <c r="C110" s="116" t="str">
        <f>IF('Uncalibrated Data'!E110="","",Calibration!$C$25*'Uncalibrated Data'!E110+Calibration!$C$26)</f>
        <v/>
      </c>
    </row>
    <row r="111" spans="1:3" x14ac:dyDescent="0.45">
      <c r="C111" s="116" t="str">
        <f>IF('Uncalibrated Data'!E111="","",Calibration!$C$25*'Uncalibrated Data'!E111+Calibration!$C$26)</f>
        <v/>
      </c>
    </row>
    <row r="112" spans="1:3" x14ac:dyDescent="0.45">
      <c r="C112" s="116" t="str">
        <f>IF('Uncalibrated Data'!E112="","",Calibration!$C$25*'Uncalibrated Data'!E112+Calibration!$C$26)</f>
        <v/>
      </c>
    </row>
    <row r="113" spans="3:3" x14ac:dyDescent="0.45">
      <c r="C113" s="116" t="str">
        <f>IF('Uncalibrated Data'!E113="","",Calibration!$C$25*'Uncalibrated Data'!E113+Calibration!$C$26)</f>
        <v/>
      </c>
    </row>
    <row r="114" spans="3:3" x14ac:dyDescent="0.45">
      <c r="C114" s="116" t="str">
        <f>IF('Uncalibrated Data'!E114="","",Calibration!$C$25*'Uncalibrated Data'!E114+Calibration!$C$26)</f>
        <v/>
      </c>
    </row>
    <row r="115" spans="3:3" x14ac:dyDescent="0.45">
      <c r="C115" s="116" t="str">
        <f>IF('Uncalibrated Data'!E115="","",Calibration!$C$25*'Uncalibrated Data'!E115+Calibration!$C$26)</f>
        <v/>
      </c>
    </row>
    <row r="116" spans="3:3" x14ac:dyDescent="0.45">
      <c r="C116" s="116" t="str">
        <f>IF('Uncalibrated Data'!E116="","",Calibration!$C$25*'Uncalibrated Data'!E116+Calibration!$C$26)</f>
        <v/>
      </c>
    </row>
    <row r="117" spans="3:3" x14ac:dyDescent="0.45">
      <c r="C117" s="116" t="str">
        <f>IF('Uncalibrated Data'!E117="","",Calibration!$C$25*'Uncalibrated Data'!E117+Calibration!$C$26)</f>
        <v/>
      </c>
    </row>
    <row r="118" spans="3:3" x14ac:dyDescent="0.45">
      <c r="C118" s="116" t="str">
        <f>IF('Uncalibrated Data'!E118="","",Calibration!$C$25*'Uncalibrated Data'!E118+Calibration!$C$26)</f>
        <v/>
      </c>
    </row>
    <row r="119" spans="3:3" x14ac:dyDescent="0.45">
      <c r="C119" s="116" t="str">
        <f>IF('Uncalibrated Data'!E119="","",Calibration!$C$25*'Uncalibrated Data'!E119+Calibration!$C$26)</f>
        <v/>
      </c>
    </row>
    <row r="120" spans="3:3" x14ac:dyDescent="0.45">
      <c r="C120" s="116" t="str">
        <f>IF('Uncalibrated Data'!E120="","",Calibration!$C$25*'Uncalibrated Data'!E120+Calibration!$C$26)</f>
        <v/>
      </c>
    </row>
    <row r="121" spans="3:3" x14ac:dyDescent="0.45">
      <c r="C121" s="116" t="str">
        <f>IF('Uncalibrated Data'!E121="","",Calibration!$C$25*'Uncalibrated Data'!E121+Calibration!$C$26)</f>
        <v/>
      </c>
    </row>
    <row r="122" spans="3:3" x14ac:dyDescent="0.45">
      <c r="C122" s="116" t="str">
        <f>IF('Uncalibrated Data'!E122="","",Calibration!$C$25*'Uncalibrated Data'!E122+Calibration!$C$26)</f>
        <v/>
      </c>
    </row>
    <row r="123" spans="3:3" x14ac:dyDescent="0.45">
      <c r="C123" s="116" t="str">
        <f>IF('Uncalibrated Data'!E123="","",Calibration!$C$25*'Uncalibrated Data'!E123+Calibration!$C$26)</f>
        <v/>
      </c>
    </row>
    <row r="124" spans="3:3" x14ac:dyDescent="0.45">
      <c r="C124" s="116" t="str">
        <f>IF('Uncalibrated Data'!E124="","",Calibration!$C$25*'Uncalibrated Data'!E124+Calibration!$C$26)</f>
        <v/>
      </c>
    </row>
    <row r="125" spans="3:3" x14ac:dyDescent="0.45">
      <c r="C125" s="116" t="str">
        <f>IF('Uncalibrated Data'!E125="","",Calibration!$C$25*'Uncalibrated Data'!E125+Calibration!$C$26)</f>
        <v/>
      </c>
    </row>
    <row r="126" spans="3:3" x14ac:dyDescent="0.45">
      <c r="C126" s="116" t="str">
        <f>IF('Uncalibrated Data'!E126="","",Calibration!$C$25*'Uncalibrated Data'!E126+Calibration!$C$26)</f>
        <v/>
      </c>
    </row>
    <row r="127" spans="3:3" x14ac:dyDescent="0.45">
      <c r="C127" s="116" t="str">
        <f>IF('Uncalibrated Data'!E127="","",Calibration!$C$25*'Uncalibrated Data'!E127+Calibration!$C$26)</f>
        <v/>
      </c>
    </row>
    <row r="128" spans="3:3" x14ac:dyDescent="0.45">
      <c r="C128" s="116" t="str">
        <f>IF('Uncalibrated Data'!E128="","",Calibration!$C$25*'Uncalibrated Data'!E128+Calibration!$C$26)</f>
        <v/>
      </c>
    </row>
    <row r="129" spans="3:3" x14ac:dyDescent="0.45">
      <c r="C129" s="116" t="str">
        <f>IF('Uncalibrated Data'!E129="","",Calibration!$C$25*'Uncalibrated Data'!E129+Calibration!$C$26)</f>
        <v/>
      </c>
    </row>
    <row r="130" spans="3:3" x14ac:dyDescent="0.45">
      <c r="C130" s="116" t="str">
        <f>IF('Uncalibrated Data'!E130="","",Calibration!$C$25*'Uncalibrated Data'!E130+Calibration!$C$26)</f>
        <v/>
      </c>
    </row>
    <row r="131" spans="3:3" x14ac:dyDescent="0.45">
      <c r="C131" s="116" t="str">
        <f>IF('Uncalibrated Data'!E131="","",Calibration!$C$25*'Uncalibrated Data'!E131+Calibration!$C$26)</f>
        <v/>
      </c>
    </row>
    <row r="132" spans="3:3" x14ac:dyDescent="0.45">
      <c r="C132" s="116" t="str">
        <f>IF('Uncalibrated Data'!E132="","",Calibration!$C$25*'Uncalibrated Data'!E132+Calibration!$C$26)</f>
        <v/>
      </c>
    </row>
    <row r="133" spans="3:3" x14ac:dyDescent="0.45">
      <c r="C133" s="116" t="str">
        <f>IF('Uncalibrated Data'!E133="","",Calibration!$C$25*'Uncalibrated Data'!E133+Calibration!$C$26)</f>
        <v/>
      </c>
    </row>
    <row r="134" spans="3:3" x14ac:dyDescent="0.45">
      <c r="C134" s="116" t="str">
        <f>IF('Uncalibrated Data'!E134="","",Calibration!$C$25*'Uncalibrated Data'!E134+Calibration!$C$26)</f>
        <v/>
      </c>
    </row>
    <row r="135" spans="3:3" x14ac:dyDescent="0.45">
      <c r="C135" s="116" t="str">
        <f>IF('Uncalibrated Data'!E135="","",Calibration!$C$25*'Uncalibrated Data'!E135+Calibration!$C$26)</f>
        <v/>
      </c>
    </row>
    <row r="136" spans="3:3" x14ac:dyDescent="0.45">
      <c r="C136" s="116" t="str">
        <f>IF('Uncalibrated Data'!E136="","",Calibration!$C$25*'Uncalibrated Data'!E136+Calibration!$C$26)</f>
        <v/>
      </c>
    </row>
    <row r="137" spans="3:3" x14ac:dyDescent="0.45">
      <c r="C137" s="116" t="str">
        <f>IF('Uncalibrated Data'!E137="","",Calibration!$C$25*'Uncalibrated Data'!E137+Calibration!$C$26)</f>
        <v/>
      </c>
    </row>
    <row r="138" spans="3:3" x14ac:dyDescent="0.45">
      <c r="C138" s="116" t="str">
        <f>IF('Uncalibrated Data'!E138="","",Calibration!$C$25*'Uncalibrated Data'!E138+Calibration!$C$26)</f>
        <v/>
      </c>
    </row>
    <row r="139" spans="3:3" x14ac:dyDescent="0.45">
      <c r="C139" s="116" t="str">
        <f>IF('Uncalibrated Data'!E139="","",Calibration!$C$25*'Uncalibrated Data'!E139+Calibration!$C$26)</f>
        <v/>
      </c>
    </row>
    <row r="140" spans="3:3" x14ac:dyDescent="0.45">
      <c r="C140" s="116" t="str">
        <f>IF('Uncalibrated Data'!E140="","",Calibration!$C$25*'Uncalibrated Data'!E140+Calibration!$C$26)</f>
        <v/>
      </c>
    </row>
    <row r="141" spans="3:3" x14ac:dyDescent="0.45">
      <c r="C141" s="116" t="str">
        <f>IF('Uncalibrated Data'!E141="","",Calibration!$C$25*'Uncalibrated Data'!E141+Calibration!$C$26)</f>
        <v/>
      </c>
    </row>
    <row r="142" spans="3:3" x14ac:dyDescent="0.45">
      <c r="C142" s="116" t="str">
        <f>IF('Uncalibrated Data'!E142="","",Calibration!$C$25*'Uncalibrated Data'!E142+Calibration!$C$26)</f>
        <v/>
      </c>
    </row>
    <row r="143" spans="3:3" x14ac:dyDescent="0.45">
      <c r="C143" s="116" t="str">
        <f>IF('Uncalibrated Data'!E143="","",Calibration!$C$25*'Uncalibrated Data'!E143+Calibration!$C$26)</f>
        <v/>
      </c>
    </row>
    <row r="144" spans="3:3" x14ac:dyDescent="0.45">
      <c r="C144" s="116" t="str">
        <f>IF('Uncalibrated Data'!E144="","",Calibration!$C$25*'Uncalibrated Data'!E144+Calibration!$C$26)</f>
        <v/>
      </c>
    </row>
    <row r="145" spans="3:3" x14ac:dyDescent="0.45">
      <c r="C145" s="116" t="str">
        <f>IF('Uncalibrated Data'!E145="","",Calibration!$C$25*'Uncalibrated Data'!E145+Calibration!$C$26)</f>
        <v/>
      </c>
    </row>
    <row r="146" spans="3:3" x14ac:dyDescent="0.45">
      <c r="C146" s="116" t="str">
        <f>IF('Uncalibrated Data'!E146="","",Calibration!$C$25*'Uncalibrated Data'!E146+Calibration!$C$26)</f>
        <v/>
      </c>
    </row>
    <row r="147" spans="3:3" x14ac:dyDescent="0.45">
      <c r="C147" s="116" t="str">
        <f>IF('Uncalibrated Data'!E147="","",Calibration!$C$25*'Uncalibrated Data'!E147+Calibration!$C$26)</f>
        <v/>
      </c>
    </row>
    <row r="148" spans="3:3" x14ac:dyDescent="0.45">
      <c r="C148" s="116" t="str">
        <f>IF('Uncalibrated Data'!E148="","",Calibration!$C$25*'Uncalibrated Data'!E148+Calibration!$C$26)</f>
        <v/>
      </c>
    </row>
    <row r="149" spans="3:3" x14ac:dyDescent="0.45">
      <c r="C149" s="116" t="str">
        <f>IF('Uncalibrated Data'!E149="","",Calibration!$C$25*'Uncalibrated Data'!E149+Calibration!$C$26)</f>
        <v/>
      </c>
    </row>
    <row r="150" spans="3:3" x14ac:dyDescent="0.45">
      <c r="C150" s="116" t="str">
        <f>IF('Uncalibrated Data'!E150="","",Calibration!$C$25*'Uncalibrated Data'!E150+Calibration!$C$26)</f>
        <v/>
      </c>
    </row>
    <row r="151" spans="3:3" x14ac:dyDescent="0.45">
      <c r="C151" s="116" t="str">
        <f>IF('Uncalibrated Data'!E151="","",Calibration!$C$25*'Uncalibrated Data'!E151+Calibration!$C$26)</f>
        <v/>
      </c>
    </row>
    <row r="152" spans="3:3" x14ac:dyDescent="0.45">
      <c r="C152" s="116" t="str">
        <f>IF('Uncalibrated Data'!E152="","",Calibration!$C$25*'Uncalibrated Data'!E152+Calibration!$C$26)</f>
        <v/>
      </c>
    </row>
    <row r="153" spans="3:3" x14ac:dyDescent="0.45">
      <c r="C153" s="116" t="str">
        <f>IF('Uncalibrated Data'!E153="","",Calibration!$C$25*'Uncalibrated Data'!E153+Calibration!$C$26)</f>
        <v/>
      </c>
    </row>
    <row r="154" spans="3:3" x14ac:dyDescent="0.45">
      <c r="C154" s="116" t="str">
        <f>IF('Uncalibrated Data'!E154="","",Calibration!$C$25*'Uncalibrated Data'!E154+Calibration!$C$26)</f>
        <v/>
      </c>
    </row>
    <row r="155" spans="3:3" x14ac:dyDescent="0.45">
      <c r="C155" s="116" t="str">
        <f>IF('Uncalibrated Data'!E155="","",Calibration!$C$25*'Uncalibrated Data'!E155+Calibration!$C$26)</f>
        <v/>
      </c>
    </row>
    <row r="156" spans="3:3" x14ac:dyDescent="0.45">
      <c r="C156" s="116" t="str">
        <f>IF('Uncalibrated Data'!E156="","",Calibration!$C$25*'Uncalibrated Data'!E156+Calibration!$C$26)</f>
        <v/>
      </c>
    </row>
    <row r="157" spans="3:3" x14ac:dyDescent="0.45">
      <c r="C157" s="116" t="str">
        <f>IF('Uncalibrated Data'!E157="","",Calibration!$C$25*'Uncalibrated Data'!E157+Calibration!$C$26)</f>
        <v/>
      </c>
    </row>
    <row r="158" spans="3:3" x14ac:dyDescent="0.45">
      <c r="C158" s="116" t="str">
        <f>IF('Uncalibrated Data'!E158="","",Calibration!$C$25*'Uncalibrated Data'!E158+Calibration!$C$26)</f>
        <v/>
      </c>
    </row>
    <row r="159" spans="3:3" x14ac:dyDescent="0.45">
      <c r="C159" s="116" t="str">
        <f>IF('Uncalibrated Data'!E159="","",Calibration!$C$25*'Uncalibrated Data'!E159+Calibration!$C$26)</f>
        <v/>
      </c>
    </row>
    <row r="160" spans="3:3" x14ac:dyDescent="0.45">
      <c r="C160" s="116" t="str">
        <f>IF('Uncalibrated Data'!E160="","",Calibration!$C$25*'Uncalibrated Data'!E160+Calibration!$C$26)</f>
        <v/>
      </c>
    </row>
    <row r="161" spans="3:3" x14ac:dyDescent="0.45">
      <c r="C161" s="116" t="str">
        <f>IF('Uncalibrated Data'!E161="","",Calibration!$C$25*'Uncalibrated Data'!E161+Calibration!$C$26)</f>
        <v/>
      </c>
    </row>
    <row r="162" spans="3:3" x14ac:dyDescent="0.45">
      <c r="C162" s="116" t="str">
        <f>IF('Uncalibrated Data'!E162="","",Calibration!$C$25*'Uncalibrated Data'!E162+Calibration!$C$26)</f>
        <v/>
      </c>
    </row>
    <row r="163" spans="3:3" x14ac:dyDescent="0.45">
      <c r="C163" s="116" t="str">
        <f>IF('Uncalibrated Data'!E163="","",Calibration!$C$25*'Uncalibrated Data'!E163+Calibration!$C$26)</f>
        <v/>
      </c>
    </row>
    <row r="164" spans="3:3" x14ac:dyDescent="0.45">
      <c r="C164" s="116" t="str">
        <f>IF('Uncalibrated Data'!E164="","",Calibration!$C$25*'Uncalibrated Data'!E164+Calibration!$C$26)</f>
        <v/>
      </c>
    </row>
    <row r="165" spans="3:3" x14ac:dyDescent="0.45">
      <c r="C165" s="116" t="str">
        <f>IF('Uncalibrated Data'!E165="","",Calibration!$C$25*'Uncalibrated Data'!E165+Calibration!$C$26)</f>
        <v/>
      </c>
    </row>
    <row r="166" spans="3:3" x14ac:dyDescent="0.45">
      <c r="C166" s="116" t="str">
        <f>IF('Uncalibrated Data'!E166="","",Calibration!$C$25*'Uncalibrated Data'!E166+Calibration!$C$26)</f>
        <v/>
      </c>
    </row>
    <row r="167" spans="3:3" x14ac:dyDescent="0.45">
      <c r="C167" s="116" t="str">
        <f>IF('Uncalibrated Data'!E167="","",Calibration!$C$25*'Uncalibrated Data'!E167+Calibration!$C$26)</f>
        <v/>
      </c>
    </row>
    <row r="168" spans="3:3" x14ac:dyDescent="0.45">
      <c r="C168" s="116" t="str">
        <f>IF('Uncalibrated Data'!E168="","",Calibration!$C$25*'Uncalibrated Data'!E168+Calibration!$C$26)</f>
        <v/>
      </c>
    </row>
    <row r="169" spans="3:3" x14ac:dyDescent="0.45">
      <c r="C169" s="116" t="str">
        <f>IF('Uncalibrated Data'!E169="","",Calibration!$C$25*'Uncalibrated Data'!E169+Calibration!$C$26)</f>
        <v/>
      </c>
    </row>
    <row r="170" spans="3:3" x14ac:dyDescent="0.45">
      <c r="C170" s="116" t="str">
        <f>IF('Uncalibrated Data'!E170="","",Calibration!$C$25*'Uncalibrated Data'!E170+Calibration!$C$26)</f>
        <v/>
      </c>
    </row>
    <row r="171" spans="3:3" x14ac:dyDescent="0.45">
      <c r="C171" s="116" t="str">
        <f>IF('Uncalibrated Data'!E171="","",Calibration!$C$25*'Uncalibrated Data'!E171+Calibration!$C$26)</f>
        <v/>
      </c>
    </row>
    <row r="172" spans="3:3" x14ac:dyDescent="0.45">
      <c r="C172" s="116" t="str">
        <f>IF('Uncalibrated Data'!E172="","",Calibration!$C$25*'Uncalibrated Data'!E172+Calibration!$C$26)</f>
        <v/>
      </c>
    </row>
    <row r="173" spans="3:3" x14ac:dyDescent="0.45">
      <c r="C173" s="116" t="str">
        <f>IF('Uncalibrated Data'!E173="","",Calibration!$C$25*'Uncalibrated Data'!E173+Calibration!$C$26)</f>
        <v/>
      </c>
    </row>
    <row r="174" spans="3:3" x14ac:dyDescent="0.45">
      <c r="C174" s="116" t="str">
        <f>IF('Uncalibrated Data'!E174="","",Calibration!$C$25*'Uncalibrated Data'!E174+Calibration!$C$26)</f>
        <v/>
      </c>
    </row>
    <row r="175" spans="3:3" x14ac:dyDescent="0.45">
      <c r="C175" s="116" t="str">
        <f>IF('Uncalibrated Data'!E175="","",Calibration!$C$25*'Uncalibrated Data'!E175+Calibration!$C$26)</f>
        <v/>
      </c>
    </row>
    <row r="176" spans="3:3" x14ac:dyDescent="0.45">
      <c r="C176" s="116" t="str">
        <f>IF('Uncalibrated Data'!E176="","",Calibration!$C$25*'Uncalibrated Data'!E176+Calibration!$C$26)</f>
        <v/>
      </c>
    </row>
    <row r="177" spans="3:3" x14ac:dyDescent="0.45">
      <c r="C177" s="116" t="str">
        <f>IF('Uncalibrated Data'!E177="","",Calibration!$C$25*'Uncalibrated Data'!E177+Calibration!$C$26)</f>
        <v/>
      </c>
    </row>
    <row r="178" spans="3:3" x14ac:dyDescent="0.45">
      <c r="C178" s="116" t="str">
        <f>IF('Uncalibrated Data'!E178="","",Calibration!$C$25*'Uncalibrated Data'!E178+Calibration!$C$26)</f>
        <v/>
      </c>
    </row>
    <row r="179" spans="3:3" x14ac:dyDescent="0.45">
      <c r="C179" s="116" t="str">
        <f>IF('Uncalibrated Data'!E179="","",Calibration!$C$25*'Uncalibrated Data'!E179+Calibration!$C$26)</f>
        <v/>
      </c>
    </row>
    <row r="180" spans="3:3" x14ac:dyDescent="0.45">
      <c r="C180" s="116" t="str">
        <f>IF('Uncalibrated Data'!E180="","",Calibration!$C$25*'Uncalibrated Data'!E180+Calibration!$C$26)</f>
        <v/>
      </c>
    </row>
    <row r="181" spans="3:3" x14ac:dyDescent="0.45">
      <c r="C181" s="116" t="str">
        <f>IF('Uncalibrated Data'!E181="","",Calibration!$C$25*'Uncalibrated Data'!E181+Calibration!$C$26)</f>
        <v/>
      </c>
    </row>
    <row r="182" spans="3:3" x14ac:dyDescent="0.45">
      <c r="C182" s="116" t="str">
        <f>IF('Uncalibrated Data'!E182="","",Calibration!$C$25*'Uncalibrated Data'!E182+Calibration!$C$26)</f>
        <v/>
      </c>
    </row>
    <row r="183" spans="3:3" x14ac:dyDescent="0.45">
      <c r="C183" s="116" t="str">
        <f>IF('Uncalibrated Data'!E183="","",Calibration!$C$25*'Uncalibrated Data'!E183+Calibration!$C$26)</f>
        <v/>
      </c>
    </row>
    <row r="184" spans="3:3" x14ac:dyDescent="0.45">
      <c r="C184" s="116" t="str">
        <f>IF('Uncalibrated Data'!E184="","",Calibration!$C$25*'Uncalibrated Data'!E184+Calibration!$C$26)</f>
        <v/>
      </c>
    </row>
    <row r="185" spans="3:3" x14ac:dyDescent="0.45">
      <c r="C185" s="116" t="str">
        <f>IF('Uncalibrated Data'!E185="","",Calibration!$C$25*'Uncalibrated Data'!E185+Calibration!$C$26)</f>
        <v/>
      </c>
    </row>
    <row r="186" spans="3:3" x14ac:dyDescent="0.45">
      <c r="C186" s="116" t="str">
        <f>IF('Uncalibrated Data'!E186="","",Calibration!$C$25*'Uncalibrated Data'!E186+Calibration!$C$26)</f>
        <v/>
      </c>
    </row>
    <row r="187" spans="3:3" x14ac:dyDescent="0.45">
      <c r="C187" s="116" t="str">
        <f>IF('Uncalibrated Data'!E187="","",Calibration!$C$25*'Uncalibrated Data'!E187+Calibration!$C$26)</f>
        <v/>
      </c>
    </row>
    <row r="188" spans="3:3" x14ac:dyDescent="0.45">
      <c r="C188" s="116" t="str">
        <f>IF('Uncalibrated Data'!E188="","",Calibration!$C$25*'Uncalibrated Data'!E188+Calibration!$C$26)</f>
        <v/>
      </c>
    </row>
    <row r="189" spans="3:3" x14ac:dyDescent="0.45">
      <c r="C189" s="116" t="str">
        <f>IF('Uncalibrated Data'!E189="","",Calibration!$C$25*'Uncalibrated Data'!E189+Calibration!$C$26)</f>
        <v/>
      </c>
    </row>
    <row r="190" spans="3:3" x14ac:dyDescent="0.45">
      <c r="C190" s="116" t="str">
        <f>IF('Uncalibrated Data'!E190="","",Calibration!$C$25*'Uncalibrated Data'!E190+Calibration!$C$26)</f>
        <v/>
      </c>
    </row>
    <row r="191" spans="3:3" x14ac:dyDescent="0.45">
      <c r="C191" s="116" t="str">
        <f>IF('Uncalibrated Data'!E191="","",Calibration!$C$25*'Uncalibrated Data'!E191+Calibration!$C$26)</f>
        <v/>
      </c>
    </row>
    <row r="192" spans="3:3" x14ac:dyDescent="0.45">
      <c r="C192" s="116" t="str">
        <f>IF('Uncalibrated Data'!E192="","",Calibration!$C$25*'Uncalibrated Data'!E192+Calibration!$C$26)</f>
        <v/>
      </c>
    </row>
    <row r="193" spans="3:3" x14ac:dyDescent="0.45">
      <c r="C193" s="116" t="str">
        <f>IF('Uncalibrated Data'!E193="","",Calibration!$C$25*'Uncalibrated Data'!E193+Calibration!$C$26)</f>
        <v/>
      </c>
    </row>
    <row r="194" spans="3:3" x14ac:dyDescent="0.45">
      <c r="C194" s="116" t="str">
        <f>IF('Uncalibrated Data'!E194="","",Calibration!$C$25*'Uncalibrated Data'!E194+Calibration!$C$26)</f>
        <v/>
      </c>
    </row>
    <row r="195" spans="3:3" x14ac:dyDescent="0.45">
      <c r="C195" s="116" t="str">
        <f>IF('Uncalibrated Data'!E195="","",Calibration!$C$25*'Uncalibrated Data'!E195+Calibration!$C$26)</f>
        <v/>
      </c>
    </row>
    <row r="196" spans="3:3" x14ac:dyDescent="0.45">
      <c r="C196" s="116" t="str">
        <f>IF('Uncalibrated Data'!E196="","",Calibration!$C$25*'Uncalibrated Data'!E196+Calibration!$C$26)</f>
        <v/>
      </c>
    </row>
    <row r="197" spans="3:3" x14ac:dyDescent="0.45">
      <c r="C197" s="116" t="str">
        <f>IF('Uncalibrated Data'!E197="","",Calibration!$C$25*'Uncalibrated Data'!E197+Calibration!$C$26)</f>
        <v/>
      </c>
    </row>
    <row r="198" spans="3:3" x14ac:dyDescent="0.45">
      <c r="C198" s="116" t="str">
        <f>IF('Uncalibrated Data'!E198="","",Calibration!$C$25*'Uncalibrated Data'!E198+Calibration!$C$26)</f>
        <v/>
      </c>
    </row>
    <row r="199" spans="3:3" x14ac:dyDescent="0.45">
      <c r="C199" s="116" t="str">
        <f>IF('Uncalibrated Data'!E199="","",Calibration!$C$25*'Uncalibrated Data'!E199+Calibration!$C$26)</f>
        <v/>
      </c>
    </row>
    <row r="200" spans="3:3" x14ac:dyDescent="0.45">
      <c r="C200" s="116" t="str">
        <f>IF('Uncalibrated Data'!E200="","",Calibration!$C$25*'Uncalibrated Data'!E200+Calibration!$C$26)</f>
        <v/>
      </c>
    </row>
    <row r="201" spans="3:3" x14ac:dyDescent="0.45">
      <c r="C201" s="116" t="str">
        <f>IF('Uncalibrated Data'!E201="","",Calibration!$C$25*'Uncalibrated Data'!E201+Calibration!$C$26)</f>
        <v/>
      </c>
    </row>
    <row r="202" spans="3:3" x14ac:dyDescent="0.45">
      <c r="C202" s="116" t="str">
        <f>IF('Uncalibrated Data'!E202="","",Calibration!$C$25*'Uncalibrated Data'!E202+Calibration!$C$26)</f>
        <v/>
      </c>
    </row>
    <row r="203" spans="3:3" x14ac:dyDescent="0.45">
      <c r="C203" s="116" t="str">
        <f>IF('Uncalibrated Data'!E203="","",Calibration!$C$25*'Uncalibrated Data'!E203+Calibration!$C$26)</f>
        <v/>
      </c>
    </row>
    <row r="204" spans="3:3" x14ac:dyDescent="0.45">
      <c r="C204" s="116" t="str">
        <f>IF('Uncalibrated Data'!E204="","",Calibration!$C$25*'Uncalibrated Data'!E204+Calibration!$C$26)</f>
        <v/>
      </c>
    </row>
    <row r="205" spans="3:3" x14ac:dyDescent="0.45">
      <c r="C205" s="116" t="str">
        <f>IF('Uncalibrated Data'!E205="","",Calibration!$C$25*'Uncalibrated Data'!E205+Calibration!$C$26)</f>
        <v/>
      </c>
    </row>
    <row r="206" spans="3:3" x14ac:dyDescent="0.45">
      <c r="C206" s="116" t="str">
        <f>IF('Uncalibrated Data'!E206="","",Calibration!$C$25*'Uncalibrated Data'!E206+Calibration!$C$26)</f>
        <v/>
      </c>
    </row>
    <row r="207" spans="3:3" x14ac:dyDescent="0.45">
      <c r="C207" s="116" t="str">
        <f>IF('Uncalibrated Data'!E207="","",Calibration!$C$25*'Uncalibrated Data'!E207+Calibration!$C$26)</f>
        <v/>
      </c>
    </row>
    <row r="208" spans="3:3" x14ac:dyDescent="0.45">
      <c r="C208" s="116" t="str">
        <f>IF('Uncalibrated Data'!E208="","",Calibration!$C$25*'Uncalibrated Data'!E208+Calibration!$C$26)</f>
        <v/>
      </c>
    </row>
    <row r="209" spans="3:3" x14ac:dyDescent="0.45">
      <c r="C209" s="116" t="str">
        <f>IF('Uncalibrated Data'!E209="","",Calibration!$C$25*'Uncalibrated Data'!E209+Calibration!$C$26)</f>
        <v/>
      </c>
    </row>
    <row r="210" spans="3:3" x14ac:dyDescent="0.45">
      <c r="C210" s="116" t="str">
        <f>IF('Uncalibrated Data'!E210="","",Calibration!$C$25*'Uncalibrated Data'!E210+Calibration!$C$26)</f>
        <v/>
      </c>
    </row>
    <row r="211" spans="3:3" x14ac:dyDescent="0.45">
      <c r="C211" s="116" t="str">
        <f>IF('Uncalibrated Data'!E211="","",Calibration!$C$25*'Uncalibrated Data'!E211+Calibration!$C$26)</f>
        <v/>
      </c>
    </row>
    <row r="212" spans="3:3" x14ac:dyDescent="0.45">
      <c r="C212" s="116" t="str">
        <f>IF('Uncalibrated Data'!E212="","",Calibration!$C$25*'Uncalibrated Data'!E212+Calibration!$C$26)</f>
        <v/>
      </c>
    </row>
    <row r="213" spans="3:3" x14ac:dyDescent="0.45">
      <c r="C213" s="116" t="str">
        <f>IF('Uncalibrated Data'!E213="","",Calibration!$C$25*'Uncalibrated Data'!E213+Calibration!$C$26)</f>
        <v/>
      </c>
    </row>
    <row r="214" spans="3:3" x14ac:dyDescent="0.45">
      <c r="C214" s="116" t="str">
        <f>IF('Uncalibrated Data'!E214="","",Calibration!$C$25*'Uncalibrated Data'!E214+Calibration!$C$26)</f>
        <v/>
      </c>
    </row>
    <row r="215" spans="3:3" x14ac:dyDescent="0.45">
      <c r="C215" s="116" t="str">
        <f>IF('Uncalibrated Data'!E215="","",Calibration!$C$25*'Uncalibrated Data'!E215+Calibration!$C$26)</f>
        <v/>
      </c>
    </row>
    <row r="216" spans="3:3" x14ac:dyDescent="0.45">
      <c r="C216" s="116" t="str">
        <f>IF('Uncalibrated Data'!E216="","",Calibration!$C$25*'Uncalibrated Data'!E216+Calibration!$C$26)</f>
        <v/>
      </c>
    </row>
    <row r="217" spans="3:3" x14ac:dyDescent="0.45">
      <c r="C217" s="116" t="str">
        <f>IF('Uncalibrated Data'!E217="","",Calibration!$C$25*'Uncalibrated Data'!E217+Calibration!$C$26)</f>
        <v/>
      </c>
    </row>
    <row r="218" spans="3:3" x14ac:dyDescent="0.45">
      <c r="C218" s="116" t="str">
        <f>IF('Uncalibrated Data'!E218="","",Calibration!$C$25*'Uncalibrated Data'!E218+Calibration!$C$26)</f>
        <v/>
      </c>
    </row>
    <row r="219" spans="3:3" x14ac:dyDescent="0.45">
      <c r="C219" s="116" t="str">
        <f>IF('Uncalibrated Data'!E219="","",Calibration!$C$25*'Uncalibrated Data'!E219+Calibration!$C$26)</f>
        <v/>
      </c>
    </row>
    <row r="220" spans="3:3" x14ac:dyDescent="0.45">
      <c r="C220" s="116" t="str">
        <f>IF('Uncalibrated Data'!E220="","",Calibration!$C$25*'Uncalibrated Data'!E220+Calibration!$C$26)</f>
        <v/>
      </c>
    </row>
    <row r="221" spans="3:3" x14ac:dyDescent="0.45">
      <c r="C221" s="116" t="str">
        <f>IF('Uncalibrated Data'!E221="","",Calibration!$C$25*'Uncalibrated Data'!E221+Calibration!$C$26)</f>
        <v/>
      </c>
    </row>
    <row r="222" spans="3:3" x14ac:dyDescent="0.45">
      <c r="C222" s="116" t="str">
        <f>IF('Uncalibrated Data'!E222="","",Calibration!$C$25*'Uncalibrated Data'!E222+Calibration!$C$26)</f>
        <v/>
      </c>
    </row>
    <row r="223" spans="3:3" x14ac:dyDescent="0.45">
      <c r="C223" s="116" t="str">
        <f>IF('Uncalibrated Data'!E223="","",Calibration!$C$25*'Uncalibrated Data'!E223+Calibration!$C$26)</f>
        <v/>
      </c>
    </row>
    <row r="224" spans="3:3" x14ac:dyDescent="0.45">
      <c r="C224" s="116" t="str">
        <f>IF('Uncalibrated Data'!E224="","",Calibration!$C$25*'Uncalibrated Data'!E224+Calibration!$C$26)</f>
        <v/>
      </c>
    </row>
    <row r="225" spans="3:3" x14ac:dyDescent="0.45">
      <c r="C225" s="116" t="str">
        <f>IF('Uncalibrated Data'!E225="","",Calibration!$C$25*'Uncalibrated Data'!E225+Calibration!$C$26)</f>
        <v/>
      </c>
    </row>
    <row r="226" spans="3:3" x14ac:dyDescent="0.45">
      <c r="C226" s="116" t="str">
        <f>IF('Uncalibrated Data'!E226="","",Calibration!$C$25*'Uncalibrated Data'!E226+Calibration!$C$26)</f>
        <v/>
      </c>
    </row>
    <row r="227" spans="3:3" x14ac:dyDescent="0.45">
      <c r="C227" s="116" t="str">
        <f>IF('Uncalibrated Data'!E227="","",Calibration!$C$25*'Uncalibrated Data'!E227+Calibration!$C$26)</f>
        <v/>
      </c>
    </row>
    <row r="228" spans="3:3" x14ac:dyDescent="0.45">
      <c r="C228" s="116" t="str">
        <f>IF('Uncalibrated Data'!E228="","",Calibration!$C$25*'Uncalibrated Data'!E228+Calibration!$C$26)</f>
        <v/>
      </c>
    </row>
    <row r="229" spans="3:3" x14ac:dyDescent="0.45">
      <c r="C229" s="116" t="str">
        <f>IF('Uncalibrated Data'!E229="","",Calibration!$C$25*'Uncalibrated Data'!E229+Calibration!$C$26)</f>
        <v/>
      </c>
    </row>
    <row r="230" spans="3:3" x14ac:dyDescent="0.45">
      <c r="C230" s="116" t="str">
        <f>IF('Uncalibrated Data'!E230="","",Calibration!$C$25*'Uncalibrated Data'!E230+Calibration!$C$26)</f>
        <v/>
      </c>
    </row>
    <row r="231" spans="3:3" x14ac:dyDescent="0.45">
      <c r="C231" s="116" t="str">
        <f>IF('Uncalibrated Data'!E231="","",Calibration!$C$25*'Uncalibrated Data'!E231+Calibration!$C$26)</f>
        <v/>
      </c>
    </row>
    <row r="232" spans="3:3" x14ac:dyDescent="0.45">
      <c r="C232" s="116" t="str">
        <f>IF('Uncalibrated Data'!E232="","",Calibration!$C$25*'Uncalibrated Data'!E232+Calibration!$C$26)</f>
        <v/>
      </c>
    </row>
    <row r="233" spans="3:3" x14ac:dyDescent="0.45">
      <c r="C233" s="116" t="str">
        <f>IF('Uncalibrated Data'!E233="","",Calibration!$C$25*'Uncalibrated Data'!E233+Calibration!$C$26)</f>
        <v/>
      </c>
    </row>
    <row r="234" spans="3:3" x14ac:dyDescent="0.45">
      <c r="C234" s="116" t="str">
        <f>IF('Uncalibrated Data'!E234="","",Calibration!$C$25*'Uncalibrated Data'!E234+Calibration!$C$26)</f>
        <v/>
      </c>
    </row>
    <row r="235" spans="3:3" x14ac:dyDescent="0.45">
      <c r="C235" s="116" t="str">
        <f>IF('Uncalibrated Data'!E235="","",Calibration!$C$25*'Uncalibrated Data'!E235+Calibration!$C$26)</f>
        <v/>
      </c>
    </row>
    <row r="236" spans="3:3" x14ac:dyDescent="0.45">
      <c r="C236" s="116" t="str">
        <f>IF('Uncalibrated Data'!E236="","",Calibration!$C$25*'Uncalibrated Data'!E236+Calibration!$C$26)</f>
        <v/>
      </c>
    </row>
    <row r="237" spans="3:3" x14ac:dyDescent="0.45">
      <c r="C237" s="116" t="str">
        <f>IF('Uncalibrated Data'!E237="","",Calibration!$C$25*'Uncalibrated Data'!E237+Calibration!$C$26)</f>
        <v/>
      </c>
    </row>
  </sheetData>
  <mergeCells count="12">
    <mergeCell ref="F23:H23"/>
    <mergeCell ref="F25:H25"/>
    <mergeCell ref="F28:H28"/>
    <mergeCell ref="F27:H27"/>
    <mergeCell ref="F29:H29"/>
    <mergeCell ref="F24:H24"/>
    <mergeCell ref="F26:H26"/>
    <mergeCell ref="F1:H1"/>
    <mergeCell ref="L1:N1"/>
    <mergeCell ref="O1:Q1"/>
    <mergeCell ref="F22:H22"/>
    <mergeCell ref="F21:H21"/>
  </mergeCells>
  <phoneticPr fontId="22" type="noConversion"/>
  <pageMargins left="0.7" right="0.7" top="0.75" bottom="0.75" header="0.3" footer="0.3"/>
  <drawing r:id="rId1"/>
  <extLst>
    <ext xmlns:mx="http://schemas.microsoft.com/office/mac/excel/2008/main" uri="http://schemas.microsoft.com/office/mac/excel/2008/main">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A8ECF-704D-2D49-89F4-212EC0878570}">
  <dimension ref="A1:C77"/>
  <sheetViews>
    <sheetView tabSelected="1" zoomScale="90" zoomScaleNormal="90" workbookViewId="0"/>
  </sheetViews>
  <sheetFormatPr defaultColWidth="10.6640625" defaultRowHeight="14.25" x14ac:dyDescent="0.45"/>
  <cols>
    <col min="1" max="1" width="32.796875" bestFit="1" customWidth="1"/>
    <col min="2" max="3" width="10.796875" style="116"/>
  </cols>
  <sheetData>
    <row r="1" spans="1:3" s="1" customFormat="1" ht="14.65" thickBot="1" x14ac:dyDescent="0.5">
      <c r="A1" s="246" t="s">
        <v>18</v>
      </c>
      <c r="B1" s="247" t="s">
        <v>15</v>
      </c>
      <c r="C1" s="248" t="s">
        <v>16</v>
      </c>
    </row>
    <row r="2" spans="1:3" x14ac:dyDescent="0.45">
      <c r="A2" s="244" t="s">
        <v>1089</v>
      </c>
      <c r="B2" s="116">
        <v>-5.8898905939094668</v>
      </c>
      <c r="C2" s="198">
        <v>-36.759756947645329</v>
      </c>
    </row>
    <row r="3" spans="1:3" x14ac:dyDescent="0.45">
      <c r="A3" s="245" t="s">
        <v>1090</v>
      </c>
      <c r="B3" s="116">
        <v>-5.9111755844488725</v>
      </c>
      <c r="C3" s="198">
        <v>-36.911411562870782</v>
      </c>
    </row>
    <row r="4" spans="1:3" x14ac:dyDescent="0.45">
      <c r="A4" s="245" t="s">
        <v>1091</v>
      </c>
      <c r="B4" s="116">
        <v>-5.889102260926526</v>
      </c>
      <c r="C4" s="198">
        <v>-36.820620551538468</v>
      </c>
    </row>
    <row r="5" spans="1:3" x14ac:dyDescent="0.45">
      <c r="A5" s="245" t="s">
        <v>1092</v>
      </c>
      <c r="B5" s="116">
        <v>-5.8841470250337542</v>
      </c>
      <c r="C5" s="198">
        <v>-36.898297305678341</v>
      </c>
    </row>
    <row r="6" spans="1:3" x14ac:dyDescent="0.45">
      <c r="A6" s="245" t="s">
        <v>1093</v>
      </c>
      <c r="B6" s="116">
        <v>-5.8675920323919941</v>
      </c>
      <c r="C6" s="198">
        <v>-36.765809681734154</v>
      </c>
    </row>
    <row r="7" spans="1:3" x14ac:dyDescent="0.45">
      <c r="A7" s="245" t="s">
        <v>1094</v>
      </c>
      <c r="B7" s="116">
        <v>-5.8844848820264435</v>
      </c>
      <c r="C7" s="198">
        <v>-36.795064563163457</v>
      </c>
    </row>
    <row r="8" spans="1:3" x14ac:dyDescent="0.45">
      <c r="A8" s="245" t="s">
        <v>1095</v>
      </c>
      <c r="B8" s="116">
        <v>-5.9317848610028996</v>
      </c>
      <c r="C8" s="198">
        <v>-37.002202574203103</v>
      </c>
    </row>
    <row r="9" spans="1:3" x14ac:dyDescent="0.45">
      <c r="A9" s="245" t="s">
        <v>1096</v>
      </c>
      <c r="B9" s="116">
        <v>-5.764883506614547</v>
      </c>
      <c r="C9" s="198">
        <v>-36.555645303650103</v>
      </c>
    </row>
    <row r="10" spans="1:3" x14ac:dyDescent="0.45">
      <c r="A10" s="245" t="s">
        <v>1097</v>
      </c>
      <c r="B10" s="116">
        <v>-5.8486720408014117</v>
      </c>
      <c r="C10" s="198">
        <v>-36.979672952872484</v>
      </c>
    </row>
    <row r="11" spans="1:3" x14ac:dyDescent="0.45">
      <c r="A11" s="245" t="s">
        <v>1098</v>
      </c>
      <c r="B11" s="116">
        <v>-5.926041292127187</v>
      </c>
      <c r="C11" s="198">
        <v>-37.167643972630863</v>
      </c>
    </row>
    <row r="12" spans="1:3" x14ac:dyDescent="0.45">
      <c r="A12" s="245" t="s">
        <v>1099</v>
      </c>
      <c r="B12" s="116">
        <v>-5.9422584277762587</v>
      </c>
      <c r="C12" s="198">
        <v>-37.211021900267411</v>
      </c>
    </row>
    <row r="13" spans="1:3" x14ac:dyDescent="0.45">
      <c r="A13" s="245" t="s">
        <v>1100</v>
      </c>
      <c r="B13" s="116">
        <v>-5.7510313699142985</v>
      </c>
      <c r="C13" s="198">
        <v>-36.409707159508528</v>
      </c>
    </row>
    <row r="14" spans="1:3" x14ac:dyDescent="0.45">
      <c r="A14" s="245" t="s">
        <v>1101</v>
      </c>
      <c r="B14" s="116">
        <v>-5.7858306401612634</v>
      </c>
      <c r="C14" s="198">
        <v>-36.587590289118879</v>
      </c>
    </row>
    <row r="15" spans="1:3" x14ac:dyDescent="0.45">
      <c r="A15" s="245" t="s">
        <v>1102</v>
      </c>
      <c r="B15" s="116">
        <v>-5.814210627547137</v>
      </c>
      <c r="C15" s="198">
        <v>-36.794728300158518</v>
      </c>
    </row>
    <row r="16" spans="1:3" x14ac:dyDescent="0.45">
      <c r="A16" s="245" t="s">
        <v>1103</v>
      </c>
      <c r="B16" s="116">
        <v>-5.7658970775926131</v>
      </c>
      <c r="C16" s="198">
        <v>-36.396256639311154</v>
      </c>
    </row>
    <row r="17" spans="1:3" x14ac:dyDescent="0.45">
      <c r="A17" s="245" t="s">
        <v>1104</v>
      </c>
      <c r="B17" s="116">
        <v>-5.9807741249428004</v>
      </c>
      <c r="C17" s="198">
        <v>-36.98572568696131</v>
      </c>
    </row>
    <row r="18" spans="1:3" x14ac:dyDescent="0.45">
      <c r="A18" s="245" t="s">
        <v>1105</v>
      </c>
      <c r="B18" s="116">
        <v>-6.0115191112774973</v>
      </c>
      <c r="C18" s="198">
        <v>-37.313582116772423</v>
      </c>
    </row>
    <row r="19" spans="1:3" x14ac:dyDescent="0.45">
      <c r="A19" s="245" t="s">
        <v>1106</v>
      </c>
      <c r="B19" s="116">
        <v>-5.7827899272270624</v>
      </c>
      <c r="C19" s="198">
        <v>-36.420131312661503</v>
      </c>
    </row>
    <row r="20" spans="1:3" x14ac:dyDescent="0.45">
      <c r="A20" s="245" t="s">
        <v>1109</v>
      </c>
      <c r="B20" s="116">
        <v>-5.8044127747591565</v>
      </c>
      <c r="C20" s="198">
        <v>-36.551610147590885</v>
      </c>
    </row>
    <row r="21" spans="1:3" x14ac:dyDescent="0.45">
      <c r="A21" s="245" t="s">
        <v>1110</v>
      </c>
      <c r="B21" s="116">
        <v>-5.8331306191377204</v>
      </c>
      <c r="C21" s="198">
        <v>-36.581201292025128</v>
      </c>
    </row>
    <row r="22" spans="1:3" x14ac:dyDescent="0.45">
      <c r="A22" s="245" t="s">
        <v>1111</v>
      </c>
      <c r="B22" s="116">
        <v>-5.8145484845398263</v>
      </c>
      <c r="C22" s="198">
        <v>-36.811541450405237</v>
      </c>
    </row>
    <row r="23" spans="1:3" x14ac:dyDescent="0.45">
      <c r="A23" s="245" t="s">
        <v>1112</v>
      </c>
      <c r="B23" s="116">
        <v>-5.8983370187266901</v>
      </c>
      <c r="C23" s="198">
        <v>-36.874758895332931</v>
      </c>
    </row>
    <row r="24" spans="1:3" x14ac:dyDescent="0.45">
      <c r="A24" s="245" t="s">
        <v>1113</v>
      </c>
      <c r="B24" s="116">
        <v>-5.9023913026389589</v>
      </c>
      <c r="C24" s="198">
        <v>-36.992450947059993</v>
      </c>
    </row>
    <row r="25" spans="1:3" x14ac:dyDescent="0.45">
      <c r="A25" s="245" t="s">
        <v>1114</v>
      </c>
      <c r="B25" s="116">
        <v>-5.9217277981866596</v>
      </c>
      <c r="C25" s="198">
        <v>-37.203389616088714</v>
      </c>
    </row>
    <row r="26" spans="1:3" x14ac:dyDescent="0.45">
      <c r="A26" s="245" t="s">
        <v>1115</v>
      </c>
      <c r="B26" s="116">
        <v>-5.908507746468997</v>
      </c>
      <c r="C26" s="198">
        <v>-37.204731323337761</v>
      </c>
    </row>
    <row r="27" spans="1:3" x14ac:dyDescent="0.45">
      <c r="A27" s="245" t="s">
        <v>1116</v>
      </c>
      <c r="B27" s="116">
        <v>-5.990200886570447</v>
      </c>
      <c r="C27" s="198">
        <v>-37.456972286158909</v>
      </c>
    </row>
    <row r="28" spans="1:3" x14ac:dyDescent="0.45">
      <c r="A28" s="245" t="s">
        <v>1117</v>
      </c>
      <c r="B28" s="116">
        <v>-5.9003723300273592</v>
      </c>
      <c r="C28" s="198">
        <v>-37.081294256425295</v>
      </c>
    </row>
    <row r="29" spans="1:3" x14ac:dyDescent="0.45">
      <c r="A29" s="245" t="s">
        <v>1118</v>
      </c>
      <c r="B29" s="116">
        <v>-5.8949487190662673</v>
      </c>
      <c r="C29" s="198">
        <v>-37.180580592854888</v>
      </c>
    </row>
    <row r="30" spans="1:3" x14ac:dyDescent="0.45">
      <c r="A30" s="245" t="s">
        <v>1119</v>
      </c>
      <c r="B30" s="116">
        <v>-5.9261344820925457</v>
      </c>
      <c r="C30" s="198">
        <v>-37.178568031981321</v>
      </c>
    </row>
    <row r="31" spans="1:3" x14ac:dyDescent="0.45">
      <c r="A31" s="245" t="s">
        <v>1120</v>
      </c>
      <c r="B31" s="116">
        <v>-5.9210498468165227</v>
      </c>
      <c r="C31" s="198">
        <v>-37.082300536862078</v>
      </c>
    </row>
    <row r="32" spans="1:3" x14ac:dyDescent="0.45">
      <c r="A32" s="245" t="s">
        <v>1121</v>
      </c>
      <c r="B32" s="116">
        <v>-5.9156262358554308</v>
      </c>
      <c r="C32" s="198">
        <v>-37.136304253636283</v>
      </c>
    </row>
    <row r="33" spans="1:3" x14ac:dyDescent="0.45">
      <c r="A33" s="245" t="s">
        <v>1122</v>
      </c>
      <c r="B33" s="116">
        <v>-5.9196939440762506</v>
      </c>
      <c r="C33" s="198">
        <v>-37.149385899314517</v>
      </c>
    </row>
    <row r="34" spans="1:3" x14ac:dyDescent="0.45">
      <c r="A34" s="245" t="s">
        <v>1123</v>
      </c>
      <c r="B34" s="116">
        <v>-5.9322360444237745</v>
      </c>
      <c r="C34" s="198">
        <v>-37.267791564043051</v>
      </c>
    </row>
    <row r="35" spans="1:3" x14ac:dyDescent="0.45">
      <c r="A35" s="245" t="s">
        <v>1124</v>
      </c>
      <c r="B35" s="116">
        <v>-5.908507746468997</v>
      </c>
      <c r="C35" s="198">
        <v>-37.191649677659534</v>
      </c>
    </row>
    <row r="36" spans="1:3" x14ac:dyDescent="0.45">
      <c r="A36" s="245" t="s">
        <v>1125</v>
      </c>
      <c r="B36" s="116">
        <v>-5.9403714608654141</v>
      </c>
      <c r="C36" s="198">
        <v>-37.32649125618893</v>
      </c>
    </row>
    <row r="37" spans="1:3" x14ac:dyDescent="0.45">
      <c r="A37" s="245" t="s">
        <v>1126</v>
      </c>
      <c r="B37" s="116">
        <v>-5.9640997588201916</v>
      </c>
      <c r="C37" s="198">
        <v>-37.270139551728882</v>
      </c>
    </row>
    <row r="38" spans="1:3" x14ac:dyDescent="0.45">
      <c r="A38" s="245" t="s">
        <v>1127</v>
      </c>
      <c r="B38" s="116">
        <v>-5.9640997588201916</v>
      </c>
      <c r="C38" s="198">
        <v>-37.239280285000767</v>
      </c>
    </row>
    <row r="39" spans="1:3" x14ac:dyDescent="0.45">
      <c r="A39" s="245" t="s">
        <v>1128</v>
      </c>
      <c r="B39" s="116">
        <v>-5.9790146889631934</v>
      </c>
      <c r="C39" s="198">
        <v>-37.311397049637122</v>
      </c>
    </row>
    <row r="40" spans="1:3" x14ac:dyDescent="0.45">
      <c r="A40" s="245" t="s">
        <v>1129</v>
      </c>
      <c r="B40" s="116">
        <v>-5.9566422937486907</v>
      </c>
      <c r="C40" s="198">
        <v>-37.219490103077298</v>
      </c>
    </row>
    <row r="41" spans="1:3" x14ac:dyDescent="0.45">
      <c r="A41" s="245" t="s">
        <v>1130</v>
      </c>
      <c r="B41" s="116">
        <v>-5.8979995002318812</v>
      </c>
      <c r="C41" s="198">
        <v>-36.890771827060384</v>
      </c>
    </row>
    <row r="42" spans="1:3" x14ac:dyDescent="0.45">
      <c r="A42" s="245" t="s">
        <v>1131</v>
      </c>
      <c r="B42" s="116">
        <v>-5.8105437734842713</v>
      </c>
      <c r="C42" s="198">
        <v>-36.493626481341984</v>
      </c>
    </row>
    <row r="43" spans="1:3" x14ac:dyDescent="0.45">
      <c r="A43" s="245" t="s">
        <v>1132</v>
      </c>
      <c r="B43" s="116">
        <v>-5.8451192933612335</v>
      </c>
      <c r="C43" s="198">
        <v>-36.788131222508156</v>
      </c>
    </row>
    <row r="44" spans="1:3" x14ac:dyDescent="0.45">
      <c r="A44" s="245" t="s">
        <v>1133</v>
      </c>
      <c r="B44" s="116">
        <v>-5.9376596553848682</v>
      </c>
      <c r="C44" s="198">
        <v>-37.17823260516905</v>
      </c>
    </row>
    <row r="45" spans="1:3" x14ac:dyDescent="0.45">
      <c r="A45" s="245" t="s">
        <v>1134</v>
      </c>
      <c r="B45" s="116">
        <v>-5.8010524543023596</v>
      </c>
      <c r="C45" s="198">
        <v>-36.174300156068405</v>
      </c>
    </row>
    <row r="46" spans="1:3" x14ac:dyDescent="0.45">
      <c r="A46" s="245" t="s">
        <v>1135</v>
      </c>
      <c r="B46" s="116">
        <v>-5.6837668672687416</v>
      </c>
      <c r="C46" s="198">
        <v>-36.73748177385658</v>
      </c>
    </row>
    <row r="47" spans="1:3" x14ac:dyDescent="0.45">
      <c r="A47" s="245" t="s">
        <v>1136</v>
      </c>
      <c r="B47" s="116">
        <v>-5.7878324025846979</v>
      </c>
      <c r="C47" s="198">
        <v>-37.293619428587235</v>
      </c>
    </row>
    <row r="48" spans="1:3" x14ac:dyDescent="0.45">
      <c r="A48" s="245" t="s">
        <v>1137</v>
      </c>
      <c r="B48" s="116">
        <v>-6.1264691119678867</v>
      </c>
      <c r="C48" s="198">
        <v>-38.388787970623191</v>
      </c>
    </row>
    <row r="49" spans="1:3" x14ac:dyDescent="0.45">
      <c r="A49" s="245" t="s">
        <v>1138</v>
      </c>
      <c r="B49" s="116">
        <v>-5.5885146997645627</v>
      </c>
      <c r="C49" s="198">
        <v>-35.861346940227811</v>
      </c>
    </row>
    <row r="50" spans="1:3" x14ac:dyDescent="0.45">
      <c r="A50" s="245" t="s">
        <v>1139</v>
      </c>
      <c r="B50" s="116">
        <v>-5.0973389321006577</v>
      </c>
      <c r="C50" s="198">
        <v>-32.40946961523791</v>
      </c>
    </row>
    <row r="51" spans="1:3" x14ac:dyDescent="0.45">
      <c r="A51" s="245" t="s">
        <v>1140</v>
      </c>
      <c r="B51" s="116">
        <v>-5.6627503747945118</v>
      </c>
      <c r="C51" s="198">
        <v>-36.457400385617674</v>
      </c>
    </row>
    <row r="52" spans="1:3" x14ac:dyDescent="0.45">
      <c r="A52" s="245" t="s">
        <v>1140</v>
      </c>
      <c r="B52" s="116">
        <v>-5.8984195033842406</v>
      </c>
      <c r="C52" s="198">
        <v>-37.408376406017588</v>
      </c>
    </row>
    <row r="53" spans="1:3" x14ac:dyDescent="0.45">
      <c r="A53" s="245" t="s">
        <v>1141</v>
      </c>
      <c r="B53" s="116">
        <v>-5.932914656383411</v>
      </c>
      <c r="C53" s="198">
        <v>-37.569070925050482</v>
      </c>
    </row>
    <row r="54" spans="1:3" x14ac:dyDescent="0.45">
      <c r="A54" s="245" t="s">
        <v>1142</v>
      </c>
      <c r="B54" s="116">
        <v>-5.5717301132156241</v>
      </c>
      <c r="C54" s="198">
        <v>-35.53996784201221</v>
      </c>
    </row>
    <row r="55" spans="1:3" x14ac:dyDescent="0.45">
      <c r="A55" s="245" t="s">
        <v>1143</v>
      </c>
      <c r="B55" s="116">
        <v>-5.5764647420586479</v>
      </c>
      <c r="C55" s="198">
        <v>-35.417438271249637</v>
      </c>
    </row>
    <row r="56" spans="1:3" x14ac:dyDescent="0.45">
      <c r="A56" s="245" t="s">
        <v>1144</v>
      </c>
      <c r="B56" s="116">
        <v>-5.819959939699852</v>
      </c>
      <c r="C56" s="198">
        <v>-36.986553293556248</v>
      </c>
    </row>
    <row r="57" spans="1:3" x14ac:dyDescent="0.45">
      <c r="A57" s="245" t="s">
        <v>1177</v>
      </c>
      <c r="B57" s="116">
        <v>-5.494285112854743</v>
      </c>
      <c r="C57" s="198">
        <v>-35.456272780015908</v>
      </c>
    </row>
    <row r="58" spans="1:3" x14ac:dyDescent="0.45">
      <c r="A58" s="245" t="s">
        <v>1145</v>
      </c>
      <c r="B58" s="116">
        <v>-5.7895230399947026</v>
      </c>
      <c r="C58" s="198">
        <v>-36.666168596234414</v>
      </c>
    </row>
    <row r="59" spans="1:3" x14ac:dyDescent="0.45">
      <c r="A59" s="245" t="s">
        <v>1146</v>
      </c>
      <c r="B59" s="116">
        <v>-5.9271654642168832</v>
      </c>
      <c r="C59" s="198">
        <v>-37.379920084938846</v>
      </c>
    </row>
    <row r="60" spans="1:3" x14ac:dyDescent="0.45">
      <c r="A60" s="245" t="s">
        <v>1147</v>
      </c>
      <c r="B60" s="116">
        <v>-5.9210780842758526</v>
      </c>
      <c r="C60" s="198">
        <v>-37.500440974213525</v>
      </c>
    </row>
    <row r="61" spans="1:3" x14ac:dyDescent="0.45">
      <c r="A61" s="245" t="s">
        <v>1148</v>
      </c>
      <c r="B61" s="116">
        <v>-5.8439712716894716</v>
      </c>
      <c r="C61" s="198">
        <v>-37.024048681330591</v>
      </c>
    </row>
    <row r="62" spans="1:3" x14ac:dyDescent="0.45">
      <c r="A62" s="245" t="s">
        <v>1149</v>
      </c>
      <c r="B62" s="116">
        <v>-5.9616606172160536</v>
      </c>
      <c r="C62" s="198">
        <v>-37.821830012279307</v>
      </c>
    </row>
    <row r="63" spans="1:3" x14ac:dyDescent="0.45">
      <c r="A63" s="245" t="s">
        <v>1150</v>
      </c>
      <c r="B63" s="116">
        <v>-4.6295389734539656</v>
      </c>
      <c r="C63" s="198">
        <v>-31.556752451484357</v>
      </c>
    </row>
    <row r="64" spans="1:3" x14ac:dyDescent="0.45">
      <c r="A64" s="245" t="s">
        <v>1151</v>
      </c>
      <c r="B64" s="116">
        <v>-5.6687900044976054</v>
      </c>
      <c r="C64" s="198">
        <v>-36.251041088732769</v>
      </c>
    </row>
    <row r="65" spans="1:3" x14ac:dyDescent="0.45">
      <c r="A65" s="245" t="s">
        <v>1153</v>
      </c>
      <c r="B65" s="116">
        <v>-5.1878869891562269</v>
      </c>
      <c r="C65" s="198">
        <v>-32.640101333964459</v>
      </c>
    </row>
    <row r="66" spans="1:3" x14ac:dyDescent="0.45">
      <c r="A66" s="245" t="s">
        <v>1154</v>
      </c>
      <c r="B66" s="116">
        <v>-5.8365311406504343</v>
      </c>
      <c r="C66" s="198">
        <v>-36.712368270456373</v>
      </c>
    </row>
    <row r="67" spans="1:3" x14ac:dyDescent="0.45">
      <c r="A67" s="245" t="s">
        <v>1155</v>
      </c>
      <c r="B67" s="116">
        <v>-1.5381645267341761</v>
      </c>
      <c r="C67" s="198">
        <v>-12.639994539080879</v>
      </c>
    </row>
    <row r="68" spans="1:3" x14ac:dyDescent="0.45">
      <c r="A68" s="245" t="s">
        <v>1156</v>
      </c>
      <c r="B68" s="116">
        <v>-4.6376554800420058</v>
      </c>
      <c r="C68" s="198">
        <v>-29.248777421874419</v>
      </c>
    </row>
    <row r="69" spans="1:3" x14ac:dyDescent="0.45">
      <c r="A69" s="245" t="s">
        <v>1157</v>
      </c>
      <c r="B69" s="116">
        <v>-4.8774306121636917</v>
      </c>
      <c r="C69" s="198">
        <v>-30.981934765693779</v>
      </c>
    </row>
    <row r="70" spans="1:3" x14ac:dyDescent="0.45">
      <c r="A70" s="245" t="s">
        <v>1158</v>
      </c>
      <c r="B70" s="116">
        <v>-5.5646281699510904</v>
      </c>
      <c r="C70" s="198">
        <v>-35.128522917238413</v>
      </c>
    </row>
    <row r="71" spans="1:3" x14ac:dyDescent="0.45">
      <c r="A71" s="245" t="s">
        <v>1159</v>
      </c>
      <c r="B71" s="116">
        <v>-5.7607770791620592</v>
      </c>
      <c r="C71" s="198">
        <v>-36.431152862148807</v>
      </c>
    </row>
    <row r="72" spans="1:3" x14ac:dyDescent="0.45">
      <c r="A72" s="245" t="s">
        <v>1160</v>
      </c>
      <c r="B72" s="116">
        <v>-5.7438676904369768</v>
      </c>
      <c r="C72" s="198">
        <v>-36.231289054101644</v>
      </c>
    </row>
    <row r="73" spans="1:3" x14ac:dyDescent="0.45">
      <c r="A73" s="245" t="s">
        <v>1161</v>
      </c>
      <c r="B73" s="116">
        <v>-2.4522860812121969</v>
      </c>
      <c r="C73" s="198">
        <v>-18.379132330291085</v>
      </c>
    </row>
    <row r="74" spans="1:3" x14ac:dyDescent="0.45">
      <c r="A74" s="245" t="s">
        <v>1162</v>
      </c>
      <c r="B74" s="116">
        <v>-5.919725333177845</v>
      </c>
      <c r="C74" s="198">
        <v>-37.240651501777016</v>
      </c>
    </row>
    <row r="75" spans="1:3" x14ac:dyDescent="0.45">
      <c r="A75" s="245" t="s">
        <v>1163</v>
      </c>
      <c r="B75" s="116">
        <v>-5.1043546088543135</v>
      </c>
      <c r="C75" s="198">
        <v>-31.884502314261866</v>
      </c>
    </row>
    <row r="76" spans="1:3" x14ac:dyDescent="0.45">
      <c r="A76" s="245" t="s">
        <v>1164</v>
      </c>
      <c r="B76" s="116">
        <v>-4.7621085810586203</v>
      </c>
      <c r="C76" s="198">
        <v>-30.00136341934514</v>
      </c>
    </row>
    <row r="77" spans="1:3" ht="14.65" thickBot="1" x14ac:dyDescent="0.5">
      <c r="A77" s="249" t="s">
        <v>1165</v>
      </c>
      <c r="B77" s="203">
        <v>-5.842280332816963</v>
      </c>
      <c r="C77" s="204">
        <v>-36.788363386749005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Tray Configuration</vt:lpstr>
      <vt:lpstr>Timing</vt:lpstr>
      <vt:lpstr>Picarro Output</vt:lpstr>
      <vt:lpstr>Uncalibrated Data</vt:lpstr>
      <vt:lpstr>Calibration</vt:lpstr>
      <vt:lpstr>QAQC + Calibrated Data</vt:lpstr>
      <vt:lpstr>Data 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Swenson, Logan Jay</cp:lastModifiedBy>
  <cp:lastPrinted>2010-10-21T01:44:43Z</cp:lastPrinted>
  <dcterms:created xsi:type="dcterms:W3CDTF">2010-10-20T21:52:12Z</dcterms:created>
  <dcterms:modified xsi:type="dcterms:W3CDTF">2026-01-27T19:35:45Z</dcterms:modified>
</cp:coreProperties>
</file>