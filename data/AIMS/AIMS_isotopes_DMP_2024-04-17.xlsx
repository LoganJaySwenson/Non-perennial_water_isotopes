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1"/>
  <workbookPr autoCompressPictures="0" defaultThemeVersion="124226"/>
  <mc:AlternateContent xmlns:mc="http://schemas.openxmlformats.org/markup-compatibility/2006">
    <mc:Choice Requires="x15">
      <x15ac:absPath xmlns:x15ac="http://schemas.microsoft.com/office/spreadsheetml/2010/11/ac" url="/Users/Delaney/Desktop/Alabama/DATA/Isotopes/"/>
    </mc:Choice>
  </mc:AlternateContent>
  <xr:revisionPtr revIDLastSave="0" documentId="13_ncr:1_{A61189AD-4C88-AF4D-BDF4-2373D6AF27B5}" xr6:coauthVersionLast="47" xr6:coauthVersionMax="47" xr10:uidLastSave="{00000000-0000-0000-0000-000000000000}"/>
  <bookViews>
    <workbookView xWindow="0" yWindow="0" windowWidth="35840" windowHeight="22400" tabRatio="573" activeTab="7" xr2:uid="{00000000-000D-0000-FFFF-FFFF00000000}"/>
  </bookViews>
  <sheets>
    <sheet name="Instructions" sheetId="4" r:id="rId1"/>
    <sheet name="Tray Configuration" sheetId="3" r:id="rId2"/>
    <sheet name="Timing" sheetId="10" r:id="rId3"/>
    <sheet name="Picarro Output" sheetId="1" r:id="rId4"/>
    <sheet name="Uncalibrated Data" sheetId="2" r:id="rId5"/>
    <sheet name="Calibration" sheetId="7" r:id="rId6"/>
    <sheet name="QAQC + Calibrated Data" sheetId="8" r:id="rId7"/>
    <sheet name="Data Export" sheetId="11" r:id="rId8"/>
    <sheet name="Sheet1" sheetId="9" state="hidden" r:id="rId9"/>
  </sheets>
  <externalReferences>
    <externalReference r:id="rId10"/>
  </externalReferences>
  <definedNames>
    <definedName name="_xlchart.v1.0" hidden="1">'QAQC + Calibrated Data'!$U$3:$U$4</definedName>
    <definedName name="_xlchart.v1.1" hidden="1">'QAQC + Calibrated Data'!$V$3:$V$4</definedName>
    <definedName name="_xlchart.v1.2" hidden="1">('QAQC + Calibrated Data'!$B$12:$B$14,'QAQC + Calibrated Data'!$B$16:$B$21,'QAQC + Calibrated Data'!$B$23:$B$27)</definedName>
    <definedName name="_xlchart.v1.3" hidden="1">('QAQC + Calibrated Data'!$B$88,'QAQC + Calibrated Data'!$B$7:$B$11)</definedName>
    <definedName name="_xlchart.v1.4" hidden="1">('QAQC + Calibrated Data'!$C$12:$C$14,'QAQC + Calibrated Data'!$C$16:$C$21,'QAQC + Calibrated Data'!$C$23:$C$27)</definedName>
    <definedName name="_xlchart.v1.5" hidden="1">('QAQC + Calibrated Data'!$C$88,'QAQC + Calibrated Data'!$C$7:$C$11)</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V4" i="8" l="1"/>
  <c r="V3" i="8"/>
  <c r="P3" i="8" l="1"/>
  <c r="M3" i="8"/>
  <c r="B27" i="10"/>
  <c r="B28" i="10"/>
  <c r="B27" i="2" l="1"/>
  <c r="A27" i="8" s="1"/>
  <c r="C90" i="8" l="1"/>
  <c r="C91" i="8"/>
  <c r="C92" i="8"/>
  <c r="C93" i="8"/>
  <c r="C94" i="8"/>
  <c r="C95" i="8"/>
  <c r="C96" i="8"/>
  <c r="C97" i="8"/>
  <c r="C98" i="8"/>
  <c r="C99" i="8"/>
  <c r="C100" i="8"/>
  <c r="C101" i="8"/>
  <c r="C102" i="8"/>
  <c r="C103" i="8"/>
  <c r="C104" i="8"/>
  <c r="C105" i="8"/>
  <c r="C106" i="8"/>
  <c r="B90" i="8"/>
  <c r="B91" i="8"/>
  <c r="B92" i="8"/>
  <c r="B93" i="8"/>
  <c r="B94" i="8"/>
  <c r="B95" i="8"/>
  <c r="B96" i="8"/>
  <c r="B97" i="8"/>
  <c r="B98" i="8"/>
  <c r="B99" i="8"/>
  <c r="B100" i="8"/>
  <c r="B101" i="8"/>
  <c r="B102" i="8"/>
  <c r="B103" i="8"/>
  <c r="B104" i="8"/>
  <c r="B105" i="8"/>
  <c r="B106" i="8"/>
  <c r="C1" i="8"/>
  <c r="B1" i="8"/>
  <c r="A1" i="8"/>
  <c r="D16" i="7"/>
  <c r="D17" i="7"/>
  <c r="D18" i="7"/>
  <c r="D19" i="7"/>
  <c r="C19" i="7"/>
  <c r="C16" i="7"/>
  <c r="C17" i="7"/>
  <c r="C18" i="7"/>
  <c r="F15" i="7"/>
  <c r="G15" i="7" s="1"/>
  <c r="F16" i="7"/>
  <c r="G16" i="7" s="1"/>
  <c r="F17" i="7"/>
  <c r="G17" i="7" s="1"/>
  <c r="F18" i="7"/>
  <c r="C3" i="10"/>
  <c r="C4" i="10" s="1"/>
  <c r="C5" i="10" s="1"/>
  <c r="C6" i="10" s="1"/>
  <c r="C7" i="10" s="1"/>
  <c r="C8" i="10" s="1"/>
  <c r="C9" i="10" s="1"/>
  <c r="C10" i="10" s="1"/>
  <c r="C11" i="10" s="1"/>
  <c r="C12" i="10" s="1"/>
  <c r="C13" i="10" s="1"/>
  <c r="C14" i="10" s="1"/>
  <c r="C15" i="10" s="1"/>
  <c r="C16" i="10" s="1"/>
  <c r="C17" i="10" s="1"/>
  <c r="C18" i="10" s="1"/>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6" i="10"/>
  <c r="B25" i="10"/>
  <c r="B24" i="10"/>
  <c r="B23" i="10"/>
  <c r="B22" i="10"/>
  <c r="B21" i="10"/>
  <c r="B20" i="10"/>
  <c r="B19" i="10"/>
  <c r="B18" i="10"/>
  <c r="B17" i="10"/>
  <c r="B16" i="10"/>
  <c r="B15" i="10"/>
  <c r="B14" i="10"/>
  <c r="B13" i="10"/>
  <c r="B12" i="10"/>
  <c r="B11" i="10"/>
  <c r="B10" i="10"/>
  <c r="B9" i="10"/>
  <c r="B8" i="10"/>
  <c r="B7" i="10"/>
  <c r="B6" i="10"/>
  <c r="B5" i="10"/>
  <c r="B4" i="10"/>
  <c r="B3" i="10"/>
  <c r="E106" i="2"/>
  <c r="E105" i="2"/>
  <c r="E104" i="2"/>
  <c r="E103" i="2"/>
  <c r="D106" i="2"/>
  <c r="D105" i="2"/>
  <c r="D104" i="2"/>
  <c r="D103" i="2"/>
  <c r="C106" i="2"/>
  <c r="C105" i="2"/>
  <c r="C104" i="2"/>
  <c r="C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B106" i="2"/>
  <c r="B105" i="2"/>
  <c r="B104" i="2"/>
  <c r="B103" i="2"/>
  <c r="B102" i="2"/>
  <c r="A102" i="8" s="1"/>
  <c r="B101" i="2"/>
  <c r="A101" i="8" s="1"/>
  <c r="B100" i="2"/>
  <c r="A100" i="8" s="1"/>
  <c r="B99" i="2"/>
  <c r="A99" i="8" s="1"/>
  <c r="B98" i="2"/>
  <c r="A98" i="8" s="1"/>
  <c r="B97" i="2"/>
  <c r="A97" i="8" s="1"/>
  <c r="B96" i="2"/>
  <c r="A96" i="8" s="1"/>
  <c r="B95" i="2"/>
  <c r="A95" i="8" s="1"/>
  <c r="B94" i="2"/>
  <c r="A94" i="8" s="1"/>
  <c r="B92" i="2"/>
  <c r="A92" i="8" s="1"/>
  <c r="B93" i="2"/>
  <c r="A93" i="8" s="1"/>
  <c r="B91" i="2"/>
  <c r="A91" i="8" s="1"/>
  <c r="B90" i="2"/>
  <c r="A90" i="8" s="1"/>
  <c r="B89" i="2"/>
  <c r="A89" i="8" s="1"/>
  <c r="B88" i="2"/>
  <c r="A88" i="8" s="1"/>
  <c r="B87" i="2"/>
  <c r="A87" i="8" s="1"/>
  <c r="B86" i="2"/>
  <c r="A86" i="8" s="1"/>
  <c r="B85" i="2"/>
  <c r="A85" i="8" s="1"/>
  <c r="F14" i="8" s="1"/>
  <c r="B84" i="2"/>
  <c r="A84" i="8" s="1"/>
  <c r="B83" i="2"/>
  <c r="A83" i="8" s="1"/>
  <c r="B82" i="2"/>
  <c r="A82" i="8" s="1"/>
  <c r="B81" i="2"/>
  <c r="A81" i="8" s="1"/>
  <c r="B80" i="2"/>
  <c r="A80" i="8" s="1"/>
  <c r="B79" i="2"/>
  <c r="A79" i="8" s="1"/>
  <c r="B78" i="2"/>
  <c r="A78" i="8" s="1"/>
  <c r="F13" i="8" s="1"/>
  <c r="B77" i="2"/>
  <c r="A77" i="8" s="1"/>
  <c r="B76" i="2"/>
  <c r="A76" i="8" s="1"/>
  <c r="B75" i="2"/>
  <c r="A75" i="8" s="1"/>
  <c r="B74" i="2"/>
  <c r="A74" i="8" s="1"/>
  <c r="B73" i="2"/>
  <c r="A73" i="8" s="1"/>
  <c r="B72" i="2"/>
  <c r="A72" i="8" s="1"/>
  <c r="E71" i="2"/>
  <c r="D15" i="7" s="1"/>
  <c r="E70" i="2"/>
  <c r="D14" i="7" s="1"/>
  <c r="E69" i="2"/>
  <c r="D13" i="7" s="1"/>
  <c r="E68" i="2"/>
  <c r="D12" i="7" s="1"/>
  <c r="D71" i="2"/>
  <c r="C15" i="7" s="1"/>
  <c r="D70" i="2"/>
  <c r="C14" i="7" s="1"/>
  <c r="D69" i="2"/>
  <c r="D68" i="2"/>
  <c r="C12" i="7" s="1"/>
  <c r="C71" i="2"/>
  <c r="C70" i="2"/>
  <c r="C69" i="2"/>
  <c r="C68" i="2"/>
  <c r="B71" i="2"/>
  <c r="B70" i="2"/>
  <c r="B69" i="2"/>
  <c r="B68" i="2"/>
  <c r="I52" i="9"/>
  <c r="I53" i="9"/>
  <c r="I54" i="9"/>
  <c r="I55"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9" i="9"/>
  <c r="I90" i="9"/>
  <c r="I91" i="9"/>
  <c r="I92" i="9"/>
  <c r="E52" i="9"/>
  <c r="E53" i="9"/>
  <c r="E54" i="9"/>
  <c r="E55"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9" i="9"/>
  <c r="E90" i="9"/>
  <c r="E91" i="9"/>
  <c r="E92" i="9"/>
  <c r="C52" i="9"/>
  <c r="C53" i="9"/>
  <c r="C54" i="9"/>
  <c r="C55"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9" i="9"/>
  <c r="C90" i="9"/>
  <c r="C91" i="9"/>
  <c r="C92" i="9"/>
  <c r="B91" i="9"/>
  <c r="B92" i="9" s="1"/>
  <c r="A91" i="9"/>
  <c r="A92" i="9"/>
  <c r="B90" i="9"/>
  <c r="A90" i="9"/>
  <c r="A59" i="9"/>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B59" i="9"/>
  <c r="B60" i="9"/>
  <c r="B61" i="9"/>
  <c r="B62" i="9"/>
  <c r="B63" i="9"/>
  <c r="B64" i="9" s="1"/>
  <c r="B65" i="9" s="1"/>
  <c r="B66" i="9" s="1"/>
  <c r="B67" i="9" s="1"/>
  <c r="B68" i="9" s="1"/>
  <c r="B69" i="9" s="1"/>
  <c r="B70" i="9" s="1"/>
  <c r="B71" i="9" s="1"/>
  <c r="B72" i="9" s="1"/>
  <c r="B73" i="9" s="1"/>
  <c r="B74" i="9" s="1"/>
  <c r="B75" i="9" s="1"/>
  <c r="B76" i="9" s="1"/>
  <c r="B77" i="9" s="1"/>
  <c r="B78" i="9" s="1"/>
  <c r="B79" i="9" s="1"/>
  <c r="B80" i="9" s="1"/>
  <c r="B81" i="9" s="1"/>
  <c r="B82" i="9" s="1"/>
  <c r="B83" i="9" s="1"/>
  <c r="B84" i="9" s="1"/>
  <c r="B85" i="9" s="1"/>
  <c r="B86" i="9" s="1"/>
  <c r="B87" i="9" s="1"/>
  <c r="B58" i="9"/>
  <c r="A58" i="9"/>
  <c r="B54" i="9"/>
  <c r="B55" i="9"/>
  <c r="A54" i="9"/>
  <c r="A55" i="9"/>
  <c r="B53" i="9"/>
  <c r="A53" i="9"/>
  <c r="C52" i="2"/>
  <c r="E67" i="2"/>
  <c r="E66" i="2"/>
  <c r="E65" i="2"/>
  <c r="E64" i="2"/>
  <c r="E63" i="2"/>
  <c r="E62" i="2"/>
  <c r="E61" i="2"/>
  <c r="E60" i="2"/>
  <c r="E59" i="2"/>
  <c r="E58" i="2"/>
  <c r="E57" i="2"/>
  <c r="E56" i="2"/>
  <c r="E55" i="2"/>
  <c r="E54" i="2"/>
  <c r="E53" i="2"/>
  <c r="E52" i="2"/>
  <c r="D67" i="2"/>
  <c r="D66" i="2"/>
  <c r="D65" i="2"/>
  <c r="D64" i="2"/>
  <c r="D63" i="2"/>
  <c r="D62" i="2"/>
  <c r="D61" i="2"/>
  <c r="D60" i="2"/>
  <c r="D59" i="2"/>
  <c r="D58" i="2"/>
  <c r="D57" i="2"/>
  <c r="D56" i="2"/>
  <c r="D55" i="2"/>
  <c r="D54" i="2"/>
  <c r="D53" i="2"/>
  <c r="D52" i="2"/>
  <c r="C67" i="2"/>
  <c r="C66" i="2"/>
  <c r="C65" i="2"/>
  <c r="C64" i="2"/>
  <c r="C63" i="2"/>
  <c r="C62" i="2"/>
  <c r="C61" i="2"/>
  <c r="C60" i="2"/>
  <c r="C59" i="2"/>
  <c r="C58" i="2"/>
  <c r="C57" i="2"/>
  <c r="C56" i="2"/>
  <c r="C55" i="2"/>
  <c r="C54" i="2"/>
  <c r="C53" i="2"/>
  <c r="B67" i="2"/>
  <c r="A67" i="8" s="1"/>
  <c r="B66" i="2"/>
  <c r="A66" i="8" s="1"/>
  <c r="B65" i="2"/>
  <c r="A65" i="8" s="1"/>
  <c r="B64" i="2"/>
  <c r="A64" i="8" s="1"/>
  <c r="F11" i="8" s="1"/>
  <c r="B63" i="2"/>
  <c r="A63" i="8" s="1"/>
  <c r="B62" i="2"/>
  <c r="A62" i="8" s="1"/>
  <c r="B61" i="2"/>
  <c r="A61" i="8" s="1"/>
  <c r="B60" i="2"/>
  <c r="A60" i="8" s="1"/>
  <c r="B59" i="2"/>
  <c r="A59" i="8" s="1"/>
  <c r="B58" i="2"/>
  <c r="A58" i="8" s="1"/>
  <c r="B57" i="2"/>
  <c r="A57" i="8" s="1"/>
  <c r="F10" i="8" s="1"/>
  <c r="B56" i="2"/>
  <c r="A56" i="8" s="1"/>
  <c r="B55" i="2"/>
  <c r="A55" i="8" s="1"/>
  <c r="B54" i="2"/>
  <c r="A54" i="8" s="1"/>
  <c r="B53" i="2"/>
  <c r="A53" i="8" s="1"/>
  <c r="B52" i="2"/>
  <c r="A52" i="8" s="1"/>
  <c r="C37" i="2"/>
  <c r="E51" i="2"/>
  <c r="E50" i="2"/>
  <c r="E49" i="2"/>
  <c r="E48" i="2"/>
  <c r="E47" i="2"/>
  <c r="E46" i="2"/>
  <c r="E45" i="2"/>
  <c r="E44" i="2"/>
  <c r="E43" i="2"/>
  <c r="E42" i="2"/>
  <c r="E41" i="2"/>
  <c r="E40" i="2"/>
  <c r="D51" i="2"/>
  <c r="D50" i="2"/>
  <c r="D49" i="2"/>
  <c r="D48" i="2"/>
  <c r="D46" i="2"/>
  <c r="D47" i="2"/>
  <c r="D45" i="2"/>
  <c r="D44" i="2"/>
  <c r="D43" i="2"/>
  <c r="D42" i="2"/>
  <c r="D41" i="2"/>
  <c r="D40" i="2"/>
  <c r="C51" i="2"/>
  <c r="C50" i="2"/>
  <c r="C49" i="2"/>
  <c r="C48" i="2"/>
  <c r="C47" i="2"/>
  <c r="C46" i="2"/>
  <c r="C45" i="2"/>
  <c r="C44" i="2"/>
  <c r="C43" i="2"/>
  <c r="C42" i="2"/>
  <c r="C41" i="2"/>
  <c r="C40" i="2"/>
  <c r="B51" i="2"/>
  <c r="A51" i="8" s="1"/>
  <c r="B50" i="2"/>
  <c r="A50" i="8" s="1"/>
  <c r="F9" i="8" s="1"/>
  <c r="B49" i="2"/>
  <c r="A49" i="8" s="1"/>
  <c r="B48" i="2"/>
  <c r="A48" i="8" s="1"/>
  <c r="B47" i="2"/>
  <c r="A47" i="8" s="1"/>
  <c r="B46" i="2"/>
  <c r="A46" i="8" s="1"/>
  <c r="B45" i="2"/>
  <c r="A45" i="8" s="1"/>
  <c r="B44" i="2"/>
  <c r="A44" i="8" s="1"/>
  <c r="B43" i="2"/>
  <c r="A43" i="8" s="1"/>
  <c r="F8" i="8" s="1"/>
  <c r="B42" i="2"/>
  <c r="A42" i="8" s="1"/>
  <c r="B41" i="2"/>
  <c r="A41" i="8" s="1"/>
  <c r="B40" i="2"/>
  <c r="A40" i="8" s="1"/>
  <c r="E39" i="2"/>
  <c r="D39" i="2"/>
  <c r="C39" i="2"/>
  <c r="B39" i="2"/>
  <c r="A39" i="8" s="1"/>
  <c r="E38" i="2"/>
  <c r="D38" i="2"/>
  <c r="C38" i="2"/>
  <c r="B38" i="2"/>
  <c r="A38" i="8" s="1"/>
  <c r="E37" i="2"/>
  <c r="D37" i="2"/>
  <c r="B37" i="2"/>
  <c r="A37" i="8" s="1"/>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A22" i="9"/>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B47" i="9"/>
  <c r="B48" i="9" s="1"/>
  <c r="B49" i="9" s="1"/>
  <c r="B50" i="9" s="1"/>
  <c r="B22" i="9"/>
  <c r="B23" i="9"/>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21" i="9"/>
  <c r="A21" i="9"/>
  <c r="E36" i="2"/>
  <c r="D36" i="2"/>
  <c r="B36" i="2"/>
  <c r="E35" i="2"/>
  <c r="D35" i="2"/>
  <c r="C36" i="2"/>
  <c r="C35" i="2"/>
  <c r="B35" i="2"/>
  <c r="A35" i="8" s="1"/>
  <c r="E34" i="2"/>
  <c r="D34" i="2"/>
  <c r="C34" i="2"/>
  <c r="B34" i="2"/>
  <c r="A34" i="8" s="1"/>
  <c r="E33" i="2"/>
  <c r="D33" i="2"/>
  <c r="C33" i="2"/>
  <c r="B33" i="2"/>
  <c r="A33" i="8" s="1"/>
  <c r="I15" i="9"/>
  <c r="I16" i="9"/>
  <c r="I17" i="9"/>
  <c r="I18" i="9"/>
  <c r="E15" i="9"/>
  <c r="E16" i="9"/>
  <c r="E17" i="9"/>
  <c r="E18" i="9"/>
  <c r="C15" i="9"/>
  <c r="C16" i="9"/>
  <c r="C17" i="9"/>
  <c r="C18" i="9"/>
  <c r="C13" i="9"/>
  <c r="B17" i="9"/>
  <c r="B18" i="9"/>
  <c r="A17" i="9"/>
  <c r="A18" i="9"/>
  <c r="B16" i="9"/>
  <c r="A16" i="9"/>
  <c r="E32" i="2"/>
  <c r="D32" i="2"/>
  <c r="C32" i="2"/>
  <c r="B32" i="2"/>
  <c r="A32" i="8" s="1"/>
  <c r="E31" i="2"/>
  <c r="D31" i="2"/>
  <c r="C31" i="2"/>
  <c r="B31" i="2"/>
  <c r="A31" i="8" s="1"/>
  <c r="E30" i="2"/>
  <c r="D30" i="2"/>
  <c r="C30" i="2"/>
  <c r="B30" i="2"/>
  <c r="A30" i="8" s="1"/>
  <c r="E29" i="2"/>
  <c r="D29" i="2"/>
  <c r="C29" i="2"/>
  <c r="B29" i="2"/>
  <c r="A29" i="8" s="1"/>
  <c r="F6" i="8" s="1"/>
  <c r="E28" i="2"/>
  <c r="D28" i="2"/>
  <c r="C28" i="2"/>
  <c r="B28" i="2"/>
  <c r="A28" i="8" s="1"/>
  <c r="E27" i="2"/>
  <c r="D27" i="2"/>
  <c r="C27" i="2"/>
  <c r="E26" i="2"/>
  <c r="D26" i="2"/>
  <c r="C26" i="2"/>
  <c r="B26" i="2"/>
  <c r="A26" i="8" s="1"/>
  <c r="E25" i="2"/>
  <c r="D25" i="2"/>
  <c r="C25" i="2"/>
  <c r="B25" i="2"/>
  <c r="A25" i="8" s="1"/>
  <c r="E24" i="2"/>
  <c r="D24" i="2"/>
  <c r="C24" i="2"/>
  <c r="B24" i="2"/>
  <c r="A24" i="8" s="1"/>
  <c r="E23" i="2"/>
  <c r="D23" i="2"/>
  <c r="C23" i="2"/>
  <c r="B23" i="2"/>
  <c r="A23" i="8" s="1"/>
  <c r="E22" i="2"/>
  <c r="D22" i="2"/>
  <c r="C22" i="2"/>
  <c r="B22" i="2"/>
  <c r="A22" i="8" s="1"/>
  <c r="F5" i="8" s="1"/>
  <c r="C20" i="2"/>
  <c r="C21" i="2"/>
  <c r="I3" i="9"/>
  <c r="I4" i="9"/>
  <c r="I5" i="9"/>
  <c r="I6" i="9"/>
  <c r="I7" i="9"/>
  <c r="I8" i="9"/>
  <c r="I9" i="9"/>
  <c r="I10" i="9"/>
  <c r="I11" i="9"/>
  <c r="I12" i="9"/>
  <c r="I13" i="9"/>
  <c r="I2" i="9"/>
  <c r="E21" i="2"/>
  <c r="D21" i="2"/>
  <c r="E13" i="9"/>
  <c r="B13" i="9"/>
  <c r="A13" i="9"/>
  <c r="E3" i="9"/>
  <c r="E4" i="9"/>
  <c r="E5" i="9"/>
  <c r="E6" i="9"/>
  <c r="E7" i="9"/>
  <c r="E8" i="9"/>
  <c r="E9" i="9"/>
  <c r="E10" i="9"/>
  <c r="E11" i="9"/>
  <c r="E12" i="9"/>
  <c r="E2" i="9"/>
  <c r="C2" i="9"/>
  <c r="B3" i="9"/>
  <c r="B4" i="9" s="1"/>
  <c r="B5" i="9" s="1"/>
  <c r="B6" i="9" s="1"/>
  <c r="B7" i="9" s="1"/>
  <c r="B8" i="9" s="1"/>
  <c r="B9" i="9" s="1"/>
  <c r="B10" i="9" s="1"/>
  <c r="B11" i="9" s="1"/>
  <c r="B12" i="9" s="1"/>
  <c r="A3" i="9"/>
  <c r="C3" i="9" s="1"/>
  <c r="B21" i="2"/>
  <c r="A21" i="8" s="1"/>
  <c r="E20" i="2"/>
  <c r="D20" i="2"/>
  <c r="B20" i="2"/>
  <c r="A20" i="8" s="1"/>
  <c r="E19" i="2"/>
  <c r="D19" i="2"/>
  <c r="C19" i="2"/>
  <c r="B19" i="2"/>
  <c r="A19" i="8" s="1"/>
  <c r="E18" i="2"/>
  <c r="D18" i="2"/>
  <c r="C18" i="2"/>
  <c r="B18" i="2"/>
  <c r="A18" i="8" s="1"/>
  <c r="E17" i="2"/>
  <c r="D17" i="2"/>
  <c r="C17" i="2"/>
  <c r="B17" i="2"/>
  <c r="A17" i="8" s="1"/>
  <c r="E16" i="2"/>
  <c r="D16" i="2"/>
  <c r="C16" i="2"/>
  <c r="B16" i="2"/>
  <c r="A16" i="8" s="1"/>
  <c r="E15" i="2"/>
  <c r="D15" i="2"/>
  <c r="C15" i="2"/>
  <c r="B15" i="2"/>
  <c r="A15" i="8" s="1"/>
  <c r="F4" i="8" s="1"/>
  <c r="E14" i="2"/>
  <c r="D14" i="2"/>
  <c r="C14" i="2"/>
  <c r="B14" i="2"/>
  <c r="A14" i="8" s="1"/>
  <c r="E13" i="2"/>
  <c r="D13" i="2"/>
  <c r="C13" i="2"/>
  <c r="B13" i="2"/>
  <c r="A13" i="8" s="1"/>
  <c r="E12" i="2"/>
  <c r="D12" i="2"/>
  <c r="C12" i="2"/>
  <c r="B12" i="2"/>
  <c r="A12" i="8" s="1"/>
  <c r="E11" i="2"/>
  <c r="D11" i="2"/>
  <c r="C11" i="2"/>
  <c r="B11" i="2"/>
  <c r="A11" i="8" s="1"/>
  <c r="D10" i="2"/>
  <c r="E10" i="2"/>
  <c r="B10" i="2"/>
  <c r="A10" i="8" s="1"/>
  <c r="E9" i="2"/>
  <c r="D9" i="2"/>
  <c r="E8" i="2"/>
  <c r="D7" i="2"/>
  <c r="D8" i="2"/>
  <c r="C7" i="2"/>
  <c r="E7" i="2"/>
  <c r="E6" i="2"/>
  <c r="D6" i="2"/>
  <c r="C6" i="2"/>
  <c r="E4" i="2"/>
  <c r="D4" i="2"/>
  <c r="E5" i="2"/>
  <c r="D5" i="2"/>
  <c r="E3" i="2"/>
  <c r="D3" i="2"/>
  <c r="D2" i="2"/>
  <c r="E2" i="2"/>
  <c r="B9" i="2"/>
  <c r="A9" i="8" s="1"/>
  <c r="C10" i="2"/>
  <c r="C9" i="2"/>
  <c r="C8" i="2"/>
  <c r="B8" i="2"/>
  <c r="A8" i="8" s="1"/>
  <c r="B7" i="2"/>
  <c r="A7" i="8" s="1"/>
  <c r="C5" i="2"/>
  <c r="C4" i="2"/>
  <c r="C3" i="2"/>
  <c r="C2" i="2"/>
  <c r="B6" i="2"/>
  <c r="A6" i="8" s="1"/>
  <c r="F3" i="8" s="1"/>
  <c r="B5" i="2"/>
  <c r="A5" i="8" s="1"/>
  <c r="B4" i="2"/>
  <c r="A4" i="8" s="1"/>
  <c r="B3" i="2"/>
  <c r="A3" i="8" s="1"/>
  <c r="C50" i="10" l="1"/>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C73" i="10" s="1"/>
  <c r="C74" i="10" s="1"/>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C97" i="10" s="1"/>
  <c r="C98" i="10" s="1"/>
  <c r="C99" i="10" s="1"/>
  <c r="C100" i="10" s="1"/>
  <c r="C101" i="10" s="1"/>
  <c r="C102" i="10" s="1"/>
  <c r="C103" i="10" s="1"/>
  <c r="C104" i="10" s="1"/>
  <c r="C105" i="10" s="1"/>
  <c r="C106" i="10" s="1"/>
  <c r="C107" i="10" s="1"/>
  <c r="C108" i="10" s="1"/>
  <c r="C13" i="7"/>
  <c r="D11" i="7"/>
  <c r="C11" i="7"/>
  <c r="A71" i="8"/>
  <c r="F12" i="8" s="1"/>
  <c r="B15" i="7"/>
  <c r="J15" i="7" s="1"/>
  <c r="M15" i="7" s="1"/>
  <c r="A70" i="8"/>
  <c r="B14" i="7"/>
  <c r="J14" i="7" s="1"/>
  <c r="A69" i="8"/>
  <c r="B13" i="7"/>
  <c r="J13" i="7" s="1"/>
  <c r="A68" i="8"/>
  <c r="B12" i="7"/>
  <c r="J12" i="7" s="1"/>
  <c r="M12" i="7" s="1"/>
  <c r="A106" i="8"/>
  <c r="B19" i="7"/>
  <c r="J19" i="7" s="1"/>
  <c r="M19" i="7" s="1"/>
  <c r="A105" i="8"/>
  <c r="B18" i="7"/>
  <c r="J18" i="7" s="1"/>
  <c r="K18" i="7" s="1"/>
  <c r="A104" i="8"/>
  <c r="B17" i="7"/>
  <c r="J17" i="7" s="1"/>
  <c r="K17" i="7" s="1"/>
  <c r="A103" i="8"/>
  <c r="B16" i="7"/>
  <c r="J16" i="7" s="1"/>
  <c r="K16" i="7" s="1"/>
  <c r="A36" i="8"/>
  <c r="F7" i="8" s="1"/>
  <c r="B11" i="7"/>
  <c r="H17" i="7"/>
  <c r="H16" i="7"/>
  <c r="H15" i="7"/>
  <c r="A4" i="9"/>
  <c r="C4" i="9" s="1"/>
  <c r="M16" i="7" l="1"/>
  <c r="M13" i="7"/>
  <c r="K15" i="7"/>
  <c r="K19" i="7"/>
  <c r="M18" i="7"/>
  <c r="K14" i="7"/>
  <c r="M14" i="7"/>
  <c r="K12" i="7"/>
  <c r="K13" i="7"/>
  <c r="M17" i="7"/>
  <c r="A5" i="9"/>
  <c r="C5" i="9" l="1"/>
  <c r="A6" i="9"/>
  <c r="C6" i="9" s="1"/>
  <c r="A7" i="9" l="1"/>
  <c r="C7" i="9" s="1"/>
  <c r="A8" i="9" l="1"/>
  <c r="C8" i="9" s="1"/>
  <c r="A9" i="9" l="1"/>
  <c r="C9" i="9" s="1"/>
  <c r="A10" i="9" l="1"/>
  <c r="C10" i="9" s="1"/>
  <c r="A11" i="9" l="1"/>
  <c r="C11" i="9" s="1"/>
  <c r="A12" i="9" l="1"/>
  <c r="C12" i="9" s="1"/>
  <c r="B2" i="2" l="1"/>
  <c r="A2" i="8" s="1"/>
  <c r="O3" i="8" l="1"/>
  <c r="L3" i="8"/>
  <c r="N3" i="8" l="1"/>
  <c r="Q3" i="8"/>
  <c r="F3" i="7" l="1"/>
  <c r="F4" i="7"/>
  <c r="F5" i="7"/>
  <c r="H5" i="7" s="1"/>
  <c r="F6" i="7"/>
  <c r="H6" i="7" s="1"/>
  <c r="F7" i="7"/>
  <c r="G7" i="7" s="1"/>
  <c r="F8" i="7"/>
  <c r="F9" i="7"/>
  <c r="G9" i="7" s="1"/>
  <c r="F10" i="7"/>
  <c r="H10" i="7" s="1"/>
  <c r="G2" i="7"/>
  <c r="F2" i="7"/>
  <c r="H2" i="7"/>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E139" i="2"/>
  <c r="C139" i="8" s="1"/>
  <c r="E140" i="2"/>
  <c r="C140" i="8" s="1"/>
  <c r="E141" i="2"/>
  <c r="C141" i="8" s="1"/>
  <c r="E142" i="2"/>
  <c r="C142" i="8" s="1"/>
  <c r="E143" i="2"/>
  <c r="C143" i="8" s="1"/>
  <c r="E144" i="2"/>
  <c r="C144" i="8" s="1"/>
  <c r="E145" i="2"/>
  <c r="C145" i="8" s="1"/>
  <c r="E146" i="2"/>
  <c r="C146" i="8" s="1"/>
  <c r="E147" i="2"/>
  <c r="C147" i="8" s="1"/>
  <c r="E148" i="2"/>
  <c r="C148" i="8" s="1"/>
  <c r="E149" i="2"/>
  <c r="C149" i="8" s="1"/>
  <c r="E150" i="2"/>
  <c r="C150" i="8" s="1"/>
  <c r="E151" i="2"/>
  <c r="C151" i="8" s="1"/>
  <c r="E152" i="2"/>
  <c r="C152" i="8" s="1"/>
  <c r="E153" i="2"/>
  <c r="C153" i="8" s="1"/>
  <c r="E154" i="2"/>
  <c r="C154" i="8" s="1"/>
  <c r="E155" i="2"/>
  <c r="C155" i="8" s="1"/>
  <c r="E156" i="2"/>
  <c r="C156" i="8" s="1"/>
  <c r="E157" i="2"/>
  <c r="C157" i="8" s="1"/>
  <c r="E158" i="2"/>
  <c r="C158" i="8" s="1"/>
  <c r="E159" i="2"/>
  <c r="C159" i="8" s="1"/>
  <c r="E160" i="2"/>
  <c r="C160" i="8" s="1"/>
  <c r="E161" i="2"/>
  <c r="C161" i="8" s="1"/>
  <c r="E162" i="2"/>
  <c r="C162" i="8" s="1"/>
  <c r="E163" i="2"/>
  <c r="C163" i="8" s="1"/>
  <c r="E164" i="2"/>
  <c r="C164" i="8" s="1"/>
  <c r="E165" i="2"/>
  <c r="C165" i="8" s="1"/>
  <c r="E166" i="2"/>
  <c r="C166" i="8" s="1"/>
  <c r="E167" i="2"/>
  <c r="C167" i="8" s="1"/>
  <c r="E168" i="2"/>
  <c r="C168" i="8" s="1"/>
  <c r="E169" i="2"/>
  <c r="C169" i="8" s="1"/>
  <c r="E170" i="2"/>
  <c r="C170" i="8" s="1"/>
  <c r="E171" i="2"/>
  <c r="C171" i="8" s="1"/>
  <c r="E172" i="2"/>
  <c r="C172" i="8" s="1"/>
  <c r="E173" i="2"/>
  <c r="C173" i="8" s="1"/>
  <c r="E174" i="2"/>
  <c r="C174" i="8" s="1"/>
  <c r="E175" i="2"/>
  <c r="C175" i="8" s="1"/>
  <c r="E176" i="2"/>
  <c r="C176" i="8" s="1"/>
  <c r="E177" i="2"/>
  <c r="C177" i="8" s="1"/>
  <c r="E178" i="2"/>
  <c r="C178" i="8" s="1"/>
  <c r="E179" i="2"/>
  <c r="C179" i="8" s="1"/>
  <c r="E180" i="2"/>
  <c r="C180" i="8" s="1"/>
  <c r="E181" i="2"/>
  <c r="C181" i="8" s="1"/>
  <c r="E182" i="2"/>
  <c r="C182" i="8" s="1"/>
  <c r="E183" i="2"/>
  <c r="C183" i="8" s="1"/>
  <c r="E184" i="2"/>
  <c r="C184" i="8" s="1"/>
  <c r="E185" i="2"/>
  <c r="C185" i="8" s="1"/>
  <c r="E186" i="2"/>
  <c r="C186" i="8" s="1"/>
  <c r="E187" i="2"/>
  <c r="C187" i="8" s="1"/>
  <c r="E188" i="2"/>
  <c r="C188" i="8" s="1"/>
  <c r="E189" i="2"/>
  <c r="C189" i="8" s="1"/>
  <c r="E190" i="2"/>
  <c r="C190" i="8" s="1"/>
  <c r="E191" i="2"/>
  <c r="C191" i="8" s="1"/>
  <c r="E192" i="2"/>
  <c r="C192" i="8" s="1"/>
  <c r="E193" i="2"/>
  <c r="C193" i="8" s="1"/>
  <c r="E194" i="2"/>
  <c r="C194" i="8" s="1"/>
  <c r="E195" i="2"/>
  <c r="C195" i="8" s="1"/>
  <c r="E196" i="2"/>
  <c r="C196" i="8" s="1"/>
  <c r="E197" i="2"/>
  <c r="C197" i="8" s="1"/>
  <c r="E198" i="2"/>
  <c r="C198" i="8" s="1"/>
  <c r="E199" i="2"/>
  <c r="C199" i="8" s="1"/>
  <c r="E200" i="2"/>
  <c r="C200" i="8" s="1"/>
  <c r="E201" i="2"/>
  <c r="C201" i="8" s="1"/>
  <c r="E202" i="2"/>
  <c r="C202" i="8" s="1"/>
  <c r="E203" i="2"/>
  <c r="C203" i="8" s="1"/>
  <c r="E204" i="2"/>
  <c r="C204" i="8" s="1"/>
  <c r="E205" i="2"/>
  <c r="C205" i="8" s="1"/>
  <c r="E206" i="2"/>
  <c r="C206" i="8" s="1"/>
  <c r="E207" i="2"/>
  <c r="C207" i="8" s="1"/>
  <c r="E208" i="2"/>
  <c r="C208" i="8" s="1"/>
  <c r="E209" i="2"/>
  <c r="C209" i="8" s="1"/>
  <c r="E210" i="2"/>
  <c r="C210" i="8" s="1"/>
  <c r="E211" i="2"/>
  <c r="C211" i="8" s="1"/>
  <c r="E212" i="2"/>
  <c r="C212" i="8" s="1"/>
  <c r="E213" i="2"/>
  <c r="C213" i="8" s="1"/>
  <c r="E214" i="2"/>
  <c r="C214" i="8" s="1"/>
  <c r="E215" i="2"/>
  <c r="C215" i="8" s="1"/>
  <c r="E216" i="2"/>
  <c r="C216" i="8" s="1"/>
  <c r="E217" i="2"/>
  <c r="C217" i="8" s="1"/>
  <c r="E218" i="2"/>
  <c r="C218" i="8" s="1"/>
  <c r="E219" i="2"/>
  <c r="C219" i="8" s="1"/>
  <c r="E220" i="2"/>
  <c r="C220" i="8" s="1"/>
  <c r="E221" i="2"/>
  <c r="C221" i="8" s="1"/>
  <c r="E222" i="2"/>
  <c r="C222" i="8" s="1"/>
  <c r="E223" i="2"/>
  <c r="C223" i="8" s="1"/>
  <c r="E224" i="2"/>
  <c r="C224" i="8" s="1"/>
  <c r="E225" i="2"/>
  <c r="C225" i="8" s="1"/>
  <c r="E226" i="2"/>
  <c r="C226" i="8" s="1"/>
  <c r="E227" i="2"/>
  <c r="C227" i="8" s="1"/>
  <c r="E228" i="2"/>
  <c r="C228" i="8" s="1"/>
  <c r="E229" i="2"/>
  <c r="C229" i="8" s="1"/>
  <c r="E230" i="2"/>
  <c r="C230" i="8" s="1"/>
  <c r="E231" i="2"/>
  <c r="C231" i="8" s="1"/>
  <c r="E232" i="2"/>
  <c r="C232" i="8" s="1"/>
  <c r="E233" i="2"/>
  <c r="C233" i="8" s="1"/>
  <c r="E234" i="2"/>
  <c r="C234" i="8" s="1"/>
  <c r="E235" i="2"/>
  <c r="C235" i="8" s="1"/>
  <c r="E236" i="2"/>
  <c r="C236" i="8" s="1"/>
  <c r="E237" i="2"/>
  <c r="C237" i="8" s="1"/>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N12" i="7" l="1"/>
  <c r="N15" i="7"/>
  <c r="L12" i="7"/>
  <c r="L15" i="7"/>
  <c r="G3" i="7"/>
  <c r="L14" i="7" s="1"/>
  <c r="L18" i="7"/>
  <c r="N17" i="7"/>
  <c r="L17" i="7"/>
  <c r="L16" i="7"/>
  <c r="L19" i="7"/>
  <c r="N16" i="7"/>
  <c r="N19" i="7"/>
  <c r="N18" i="7"/>
  <c r="H7" i="7"/>
  <c r="H9" i="7"/>
  <c r="B10" i="7"/>
  <c r="J10" i="7" s="1"/>
  <c r="N10" i="7" s="1"/>
  <c r="B3" i="7"/>
  <c r="J3" i="7" s="1"/>
  <c r="B6" i="7"/>
  <c r="J6" i="7" s="1"/>
  <c r="L6" i="7" s="1"/>
  <c r="G6" i="7"/>
  <c r="B5" i="7"/>
  <c r="J5" i="7" s="1"/>
  <c r="L5" i="7" s="1"/>
  <c r="B8" i="7"/>
  <c r="J8" i="7" s="1"/>
  <c r="N8" i="7" s="1"/>
  <c r="J11" i="7"/>
  <c r="G10" i="7"/>
  <c r="G5" i="7"/>
  <c r="H3" i="7"/>
  <c r="N14" i="7" s="1"/>
  <c r="B7" i="7"/>
  <c r="J7" i="7" s="1"/>
  <c r="N7" i="7" s="1"/>
  <c r="B9" i="7"/>
  <c r="J9" i="7" s="1"/>
  <c r="N9" i="7" s="1"/>
  <c r="B4" i="7"/>
  <c r="J4" i="7" s="1"/>
  <c r="H8" i="7"/>
  <c r="G8" i="7"/>
  <c r="H4" i="7"/>
  <c r="N13" i="7" s="1"/>
  <c r="G4" i="7"/>
  <c r="L13" i="7" s="1"/>
  <c r="B35" i="7" l="1"/>
  <c r="B36" i="7"/>
  <c r="B37" i="7"/>
  <c r="C36" i="7"/>
  <c r="C35" i="7"/>
  <c r="C37" i="7"/>
  <c r="L11" i="7"/>
  <c r="D3" i="7"/>
  <c r="C3" i="7"/>
  <c r="N11" i="7"/>
  <c r="L8" i="7"/>
  <c r="N5" i="7"/>
  <c r="L10" i="7"/>
  <c r="N6" i="7"/>
  <c r="L7" i="7"/>
  <c r="L9" i="7"/>
  <c r="N4" i="7"/>
  <c r="L4" i="7"/>
  <c r="N3" i="7"/>
  <c r="L3" i="7"/>
  <c r="C6" i="7" l="1"/>
  <c r="D6" i="7"/>
  <c r="K3" i="7"/>
  <c r="M3" i="7"/>
  <c r="C4" i="7" l="1"/>
  <c r="K4" i="7" s="1"/>
  <c r="D4" i="7"/>
  <c r="M4" i="7" s="1"/>
  <c r="D5" i="7" l="1"/>
  <c r="M5" i="7" s="1"/>
  <c r="C5" i="7"/>
  <c r="K5" i="7" s="1"/>
  <c r="C10" i="7" l="1"/>
  <c r="D10" i="7"/>
  <c r="M6" i="7" l="1"/>
  <c r="K6" i="7"/>
  <c r="M10" i="7" l="1"/>
  <c r="K10" i="7"/>
  <c r="M11" i="7" l="1"/>
  <c r="K11" i="7"/>
  <c r="C7" i="7" l="1"/>
  <c r="K7" i="7" s="1"/>
  <c r="B26" i="7" s="1"/>
  <c r="D7" i="7"/>
  <c r="M7" i="7" s="1"/>
  <c r="C25" i="7" l="1"/>
  <c r="C27" i="7"/>
  <c r="C26" i="7"/>
  <c r="B25" i="7"/>
  <c r="B27" i="7"/>
  <c r="D8" i="7"/>
  <c r="M8" i="7" s="1"/>
  <c r="C8" i="7"/>
  <c r="K8" i="7" s="1"/>
  <c r="D9" i="7" l="1"/>
  <c r="M9" i="7" s="1"/>
  <c r="C30" i="7" s="1"/>
  <c r="C9" i="7"/>
  <c r="K9" i="7" s="1"/>
  <c r="B31" i="7" s="1"/>
  <c r="C31" i="7" l="1"/>
  <c r="B30" i="7"/>
  <c r="B51" i="8" s="1"/>
  <c r="B32" i="7"/>
  <c r="C32" i="7"/>
  <c r="C37" i="8"/>
  <c r="B7" i="8"/>
  <c r="B19" i="8"/>
  <c r="B16" i="8"/>
  <c r="B31" i="8"/>
  <c r="B18" i="8"/>
  <c r="B17" i="8"/>
  <c r="B33" i="8"/>
  <c r="B32" i="8"/>
  <c r="B27" i="8"/>
  <c r="B34" i="8"/>
  <c r="B30" i="8"/>
  <c r="B9" i="8"/>
  <c r="B8" i="8"/>
  <c r="B6" i="8"/>
  <c r="G3" i="8" s="1"/>
  <c r="B2" i="8"/>
  <c r="B13" i="8"/>
  <c r="B25" i="8"/>
  <c r="B24" i="8"/>
  <c r="B22" i="8"/>
  <c r="G5" i="8" s="1"/>
  <c r="B28" i="8"/>
  <c r="B36" i="8"/>
  <c r="G7" i="8" s="1"/>
  <c r="B26" i="8"/>
  <c r="B15" i="8"/>
  <c r="G4" i="8" s="1"/>
  <c r="B23" i="8"/>
  <c r="B20" i="8"/>
  <c r="B35" i="8"/>
  <c r="B3" i="8"/>
  <c r="B4" i="8"/>
  <c r="B10" i="8"/>
  <c r="B11" i="8"/>
  <c r="B12" i="8"/>
  <c r="B5" i="8"/>
  <c r="B21" i="8"/>
  <c r="B14" i="8"/>
  <c r="B29" i="8"/>
  <c r="G6" i="8" s="1"/>
  <c r="B75" i="8"/>
  <c r="B84" i="8"/>
  <c r="B87" i="8"/>
  <c r="B74" i="8"/>
  <c r="B86" i="8"/>
  <c r="B79" i="8"/>
  <c r="B88" i="8"/>
  <c r="B72" i="8"/>
  <c r="B83" i="8"/>
  <c r="B76" i="8"/>
  <c r="B81" i="8"/>
  <c r="B85" i="8"/>
  <c r="G14" i="8" s="1"/>
  <c r="B73" i="8"/>
  <c r="B82" i="8"/>
  <c r="B89" i="8"/>
  <c r="B77" i="8"/>
  <c r="B78" i="8"/>
  <c r="G13" i="8" s="1"/>
  <c r="B80" i="8"/>
  <c r="C4" i="8"/>
  <c r="C25" i="8"/>
  <c r="C3" i="8"/>
  <c r="C15" i="8"/>
  <c r="H4" i="8" s="1"/>
  <c r="C28" i="8"/>
  <c r="C18" i="8"/>
  <c r="C36" i="8"/>
  <c r="H7" i="8" s="1"/>
  <c r="C14" i="8"/>
  <c r="C16" i="8"/>
  <c r="C20" i="8"/>
  <c r="C11" i="8"/>
  <c r="C10" i="8"/>
  <c r="C19" i="8"/>
  <c r="C5" i="8"/>
  <c r="C21" i="8"/>
  <c r="C12" i="8"/>
  <c r="C26" i="8"/>
  <c r="C24" i="8"/>
  <c r="C23" i="8"/>
  <c r="C2" i="8"/>
  <c r="C32" i="8"/>
  <c r="C8" i="8"/>
  <c r="C34" i="8"/>
  <c r="C35" i="8"/>
  <c r="C6" i="8"/>
  <c r="H3" i="8" s="1"/>
  <c r="C31" i="8"/>
  <c r="C33" i="8"/>
  <c r="C7" i="8"/>
  <c r="C27" i="8"/>
  <c r="C17" i="8"/>
  <c r="C9" i="8"/>
  <c r="C30" i="8"/>
  <c r="C22" i="8"/>
  <c r="H5" i="8" s="1"/>
  <c r="C29" i="8"/>
  <c r="H6" i="8" s="1"/>
  <c r="C13" i="8"/>
  <c r="C83" i="8"/>
  <c r="C77" i="8"/>
  <c r="C80" i="8"/>
  <c r="C85" i="8"/>
  <c r="H14" i="8" s="1"/>
  <c r="C81" i="8"/>
  <c r="C72" i="8"/>
  <c r="C89" i="8"/>
  <c r="C79" i="8"/>
  <c r="C84" i="8"/>
  <c r="C75" i="8"/>
  <c r="C74" i="8"/>
  <c r="C76" i="8"/>
  <c r="C78" i="8"/>
  <c r="H13" i="8" s="1"/>
  <c r="C82" i="8"/>
  <c r="C73" i="8"/>
  <c r="C86" i="8"/>
  <c r="C88" i="8"/>
  <c r="C87" i="8"/>
  <c r="B38" i="8"/>
  <c r="B50" i="8"/>
  <c r="G9" i="8" s="1"/>
  <c r="B62" i="8"/>
  <c r="B53" i="8"/>
  <c r="B40" i="8"/>
  <c r="B52" i="8"/>
  <c r="B64" i="8"/>
  <c r="G11" i="8" s="1"/>
  <c r="B58" i="8"/>
  <c r="B70" i="8"/>
  <c r="B46" i="8"/>
  <c r="B54" i="8"/>
  <c r="B49" i="8"/>
  <c r="B68" i="8"/>
  <c r="B63" i="8"/>
  <c r="B47" i="8"/>
  <c r="B41" i="8"/>
  <c r="B44" i="8"/>
  <c r="B55" i="8"/>
  <c r="B67" i="8"/>
  <c r="B60" i="8"/>
  <c r="B59" i="8"/>
  <c r="B48" i="8"/>
  <c r="B69" i="8"/>
  <c r="B43" i="8"/>
  <c r="G8" i="8" s="1"/>
  <c r="B56" i="8"/>
  <c r="B57" i="8"/>
  <c r="G10" i="8" s="1"/>
  <c r="B39" i="8"/>
  <c r="B66" i="8"/>
  <c r="B42" i="8"/>
  <c r="B37" i="8"/>
  <c r="B71" i="8"/>
  <c r="G12" i="8" s="1"/>
  <c r="B61" i="8"/>
  <c r="B45" i="8"/>
  <c r="B65" i="8" l="1"/>
  <c r="C39" i="8"/>
  <c r="C46" i="8"/>
  <c r="C38" i="8"/>
  <c r="C49" i="8"/>
  <c r="C61" i="8"/>
  <c r="C50" i="8"/>
  <c r="H9" i="8" s="1"/>
  <c r="C59" i="8"/>
  <c r="C62" i="8"/>
  <c r="I9" i="8"/>
  <c r="C71" i="8"/>
  <c r="H12" i="8" s="1"/>
  <c r="I12" i="8" s="1"/>
  <c r="C67" i="8"/>
  <c r="C53" i="8"/>
  <c r="C48" i="8"/>
  <c r="C65" i="8"/>
  <c r="C68" i="8"/>
  <c r="C41" i="8"/>
  <c r="C45" i="8"/>
  <c r="C40" i="8"/>
  <c r="C56" i="8"/>
  <c r="C42" i="8"/>
  <c r="C69" i="8"/>
  <c r="C58" i="8"/>
  <c r="C52" i="8"/>
  <c r="C63" i="8"/>
  <c r="C55" i="8"/>
  <c r="C54" i="8"/>
  <c r="C47" i="8"/>
  <c r="I5" i="8"/>
  <c r="C44" i="8"/>
  <c r="C43" i="8"/>
  <c r="H8" i="8" s="1"/>
  <c r="I8" i="8" s="1"/>
  <c r="C51" i="8"/>
  <c r="I14" i="8"/>
  <c r="I6" i="8"/>
  <c r="C60" i="8"/>
  <c r="C70" i="8"/>
  <c r="C66" i="8"/>
  <c r="C64" i="8"/>
  <c r="H11" i="8" s="1"/>
  <c r="I11" i="8" s="1"/>
  <c r="C57" i="8"/>
  <c r="H10" i="8" s="1"/>
  <c r="I10" i="8" s="1"/>
  <c r="I4" i="8"/>
  <c r="I7" i="8"/>
  <c r="I13" i="8"/>
  <c r="I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author>
  </authors>
  <commentList>
    <comment ref="C33" authorId="0" shapeId="0" xr:uid="{00000000-0006-0000-0100-000001000000}">
      <text>
        <r>
          <rPr>
            <b/>
            <sz val="9"/>
            <color rgb="FF000000"/>
            <rFont val="Tahoma"/>
            <family val="2"/>
          </rPr>
          <t>Nate:</t>
        </r>
        <r>
          <rPr>
            <sz val="9"/>
            <color rgb="FF000000"/>
            <rFont val="Tahoma"/>
            <family val="2"/>
          </rPr>
          <t xml:space="preserve">
</t>
        </r>
        <r>
          <rPr>
            <sz val="9"/>
            <color rgb="FF000000"/>
            <rFont val="Tahoma"/>
            <family val="2"/>
          </rPr>
          <t xml:space="preserve">The Standard ID must match the Standard ID used above in the trey protocol.  For example, if you are using the Boulder Colorado Standard, and you labeled it "B" above, it must be labled "B" in this collum.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Jones, Nate</author>
  </authors>
  <commentList>
    <comment ref="U1" authorId="0" shapeId="0" xr:uid="{942489B3-99E2-F745-8A56-FB1E8AC72B40}">
      <text>
        <r>
          <rPr>
            <b/>
            <sz val="9"/>
            <color rgb="FF000000"/>
            <rFont val="Tahoma"/>
            <family val="2"/>
          </rPr>
          <t>Jones, Nate:</t>
        </r>
        <r>
          <rPr>
            <sz val="9"/>
            <color rgb="FF000000"/>
            <rFont val="Tahoma"/>
            <family val="2"/>
          </rPr>
          <t xml:space="preserve">
</t>
        </r>
        <r>
          <rPr>
            <sz val="9"/>
            <color rgb="FF000000"/>
            <rFont val="Tahoma"/>
            <family val="2"/>
          </rPr>
          <t>https://doi.org/10.1016/j.gca.2009.10.043</t>
        </r>
      </text>
    </comment>
  </commentList>
</comments>
</file>

<file path=xl/sharedStrings.xml><?xml version="1.0" encoding="utf-8"?>
<sst xmlns="http://schemas.openxmlformats.org/spreadsheetml/2006/main" count="5033" uniqueCount="1251">
  <si>
    <t>Operator Name</t>
  </si>
  <si>
    <t>Run Start Time</t>
  </si>
  <si>
    <t>Sampling Loaction</t>
  </si>
  <si>
    <t>Sampling Date</t>
  </si>
  <si>
    <t xml:space="preserve">Project </t>
  </si>
  <si>
    <t>Notes</t>
  </si>
  <si>
    <t>TRAY</t>
  </si>
  <si>
    <t>Standards</t>
  </si>
  <si>
    <t>Standard ID</t>
  </si>
  <si>
    <t xml:space="preserve"> Actual d(18_16)</t>
  </si>
  <si>
    <t>Actual d(D_H)</t>
  </si>
  <si>
    <t>#1</t>
  </si>
  <si>
    <t>Iceland</t>
  </si>
  <si>
    <t>#2</t>
  </si>
  <si>
    <t>Ouachita</t>
  </si>
  <si>
    <t>#3</t>
  </si>
  <si>
    <t>Sipsey</t>
  </si>
  <si>
    <t>#4</t>
  </si>
  <si>
    <t>#5</t>
  </si>
  <si>
    <t>#6</t>
  </si>
  <si>
    <t>#7</t>
  </si>
  <si>
    <t>#8</t>
  </si>
  <si>
    <t>#9</t>
  </si>
  <si>
    <t>#10</t>
  </si>
  <si>
    <t>#11</t>
  </si>
  <si>
    <t>#12</t>
  </si>
  <si>
    <t xml:space="preserve">Enter start time and date --&gt; </t>
  </si>
  <si>
    <t>Tray Position</t>
  </si>
  <si>
    <t>Sample ID</t>
  </si>
  <si>
    <t>Start Time</t>
  </si>
  <si>
    <t># Injections</t>
  </si>
  <si>
    <t>Run Ends</t>
  </si>
  <si>
    <t xml:space="preserve">  Line</t>
  </si>
  <si>
    <t xml:space="preserve">  Analysis</t>
  </si>
  <si>
    <t xml:space="preserve">             Time Code</t>
  </si>
  <si>
    <t xml:space="preserve">           Port</t>
  </si>
  <si>
    <t xml:space="preserve">  Inj Nr</t>
  </si>
  <si>
    <t xml:space="preserve">  d(18_16)Mean</t>
  </si>
  <si>
    <t xml:space="preserve">    d(D_H)Mean</t>
  </si>
  <si>
    <t xml:space="preserve">      H2O_Mean</t>
  </si>
  <si>
    <t xml:space="preserve">  Ignore</t>
  </si>
  <si>
    <t xml:space="preserve"> Good</t>
  </si>
  <si>
    <t xml:space="preserve">                            Identifier 1</t>
  </si>
  <si>
    <t xml:space="preserve">                            Identifier 2</t>
  </si>
  <si>
    <t xml:space="preserve">   Gas Configuration</t>
  </si>
  <si>
    <t>Timestamp Mean</t>
  </si>
  <si>
    <t xml:space="preserve">   d(18_16)_SD</t>
  </si>
  <si>
    <t xml:space="preserve">     d(D_H)_SD</t>
  </si>
  <si>
    <t xml:space="preserve">        H2O_SD</t>
  </si>
  <si>
    <t xml:space="preserve">   d(18_16)_Sl</t>
  </si>
  <si>
    <t xml:space="preserve">     d(D_H)_Sl</t>
  </si>
  <si>
    <t xml:space="preserve">        H2O_Sl</t>
  </si>
  <si>
    <t>baseline_shift</t>
  </si>
  <si>
    <t xml:space="preserve">   slope_shift</t>
  </si>
  <si>
    <t xml:space="preserve">     residuals</t>
  </si>
  <si>
    <t>baseline_curvature</t>
  </si>
  <si>
    <t xml:space="preserve">      interval</t>
  </si>
  <si>
    <t xml:space="preserve">       ch4_ppm</t>
  </si>
  <si>
    <t xml:space="preserve">  h16od_adjust</t>
  </si>
  <si>
    <t xml:space="preserve">   h16od_shift</t>
  </si>
  <si>
    <t>n2_flag</t>
  </si>
  <si>
    <t xml:space="preserve">      DAS Temp</t>
  </si>
  <si>
    <t xml:space="preserve">      Tray</t>
  </si>
  <si>
    <t xml:space="preserve">  Sample</t>
  </si>
  <si>
    <t xml:space="preserve">     Job</t>
  </si>
  <si>
    <t xml:space="preserve">    Method</t>
  </si>
  <si>
    <t>Error Code</t>
  </si>
  <si>
    <t>Picarro ID</t>
  </si>
  <si>
    <t>d(18_16)</t>
  </si>
  <si>
    <t>d(D_H)</t>
  </si>
  <si>
    <t>Count</t>
  </si>
  <si>
    <t>Measured</t>
  </si>
  <si>
    <t>Known Values</t>
  </si>
  <si>
    <t>Calibration</t>
  </si>
  <si>
    <t>dD</t>
  </si>
  <si>
    <t>Standard</t>
  </si>
  <si>
    <t>d18_16</t>
  </si>
  <si>
    <t>dH</t>
  </si>
  <si>
    <t>measured</t>
  </si>
  <si>
    <t>known</t>
  </si>
  <si>
    <t xml:space="preserve">measured </t>
  </si>
  <si>
    <t>Calibration Results</t>
  </si>
  <si>
    <t>CALIBRATION 1</t>
  </si>
  <si>
    <t>Slope</t>
  </si>
  <si>
    <t>Intercept</t>
  </si>
  <si>
    <t>R^2</t>
  </si>
  <si>
    <t>CALIBRATION 2</t>
  </si>
  <si>
    <t>CALIBRATION 3</t>
  </si>
  <si>
    <t>QC</t>
  </si>
  <si>
    <t>PASS?</t>
  </si>
  <si>
    <t>YES/NO</t>
  </si>
  <si>
    <t>Actual</t>
  </si>
  <si>
    <t>data start</t>
  </si>
  <si>
    <t>data end</t>
  </si>
  <si>
    <t>text d18</t>
  </si>
  <si>
    <t>equation</t>
  </si>
  <si>
    <t>text dD</t>
  </si>
  <si>
    <t>text Pnumber</t>
  </si>
  <si>
    <t>AVERAGE('Picarro Output'!F164:F166)</t>
  </si>
  <si>
    <t>AVERAGE('Picarro Output'!G164:G166)</t>
  </si>
  <si>
    <t>'Picarro Output'!B166</t>
  </si>
  <si>
    <t>average('Picarro Output'!F170:F172)</t>
  </si>
  <si>
    <t>average('Picarro Output'!G170:G172)</t>
  </si>
  <si>
    <t>'Picarro Output'!B172</t>
  </si>
  <si>
    <t>average('Picarro Output'!F176:F178)</t>
  </si>
  <si>
    <t>average('Picarro Output'!G176:G178)</t>
  </si>
  <si>
    <t>'Picarro Output'!B178</t>
  </si>
  <si>
    <t>average('Picarro Output'!F182:F184)</t>
  </si>
  <si>
    <t>average('Picarro Output'!G182:G184)</t>
  </si>
  <si>
    <t>'Picarro Output'!B184</t>
  </si>
  <si>
    <t>average('Picarro Output'!F188:F190)</t>
  </si>
  <si>
    <t>average('Picarro Output'!G188:G190)</t>
  </si>
  <si>
    <t>'Picarro Output'!B190</t>
  </si>
  <si>
    <t>average('Picarro Output'!F194:F196)</t>
  </si>
  <si>
    <t>average('Picarro Output'!G194:G196)</t>
  </si>
  <si>
    <t>'Picarro Output'!B196</t>
  </si>
  <si>
    <t>average('Picarro Output'!F200:F202)</t>
  </si>
  <si>
    <t>average('Picarro Output'!G200:G202)</t>
  </si>
  <si>
    <t>'Picarro Output'!B202</t>
  </si>
  <si>
    <t>average('Picarro Output'!F206:F208)</t>
  </si>
  <si>
    <t>average('Picarro Output'!G206:G208)</t>
  </si>
  <si>
    <t>'Picarro Output'!B208</t>
  </si>
  <si>
    <t>average('Picarro Output'!F212:F214)</t>
  </si>
  <si>
    <t>average('Picarro Output'!G212:G214)</t>
  </si>
  <si>
    <t>'Picarro Output'!B214</t>
  </si>
  <si>
    <t>average('Picarro Output'!F218:F220)</t>
  </si>
  <si>
    <t>average('Picarro Output'!G218:G220)</t>
  </si>
  <si>
    <t>'Picarro Output'!B220</t>
  </si>
  <si>
    <t>average('Picarro Output'!F224:F226)</t>
  </si>
  <si>
    <t>average('Picarro Output'!G224:G226)</t>
  </si>
  <si>
    <t>'Picarro Output'!B226</t>
  </si>
  <si>
    <t>average('Picarro Output'!F230:F232)</t>
  </si>
  <si>
    <t>average('Picarro Output'!G230:G232)</t>
  </si>
  <si>
    <t>'Picarro Output'!B232</t>
  </si>
  <si>
    <t>average('Picarro Output'!F243:F247)</t>
  </si>
  <si>
    <t>average('Picarro Output'!G243:G247)</t>
  </si>
  <si>
    <t>'Picarro Output'!B247</t>
  </si>
  <si>
    <t>average('Picarro Output'!F258:F262)</t>
  </si>
  <si>
    <t>average('Picarro Output'!G258:G262)</t>
  </si>
  <si>
    <t>'Picarro Output'!B262</t>
  </si>
  <si>
    <t>average('Picarro Output'!F273:F277)</t>
  </si>
  <si>
    <t>average('Picarro Output'!G273:G277)</t>
  </si>
  <si>
    <t>'Picarro Output'!B277</t>
  </si>
  <si>
    <t>average('Picarro Output'!F288:F292)</t>
  </si>
  <si>
    <t>average('Picarro Output'!G288:G292)</t>
  </si>
  <si>
    <t>'Picarro Output'!B292</t>
  </si>
  <si>
    <t>average('Picarro Output'!F296:F298)</t>
  </si>
  <si>
    <t>average('Picarro Output'!G296:G298)</t>
  </si>
  <si>
    <t>'Picarro Output'!B298</t>
  </si>
  <si>
    <t>average('Picarro Output'!F302:F304)</t>
  </si>
  <si>
    <t>average('Picarro Output'!G302:G304)</t>
  </si>
  <si>
    <t>'Picarro Output'!B304</t>
  </si>
  <si>
    <t>average('Picarro Output'!F308:F310)</t>
  </si>
  <si>
    <t>average('Picarro Output'!G308:G310)</t>
  </si>
  <si>
    <t>'Picarro Output'!B310</t>
  </si>
  <si>
    <t>average('Picarro Output'!F314:F316)</t>
  </si>
  <si>
    <t>average('Picarro Output'!G314:G316)</t>
  </si>
  <si>
    <t>'Picarro Output'!B316</t>
  </si>
  <si>
    <t>average('Picarro Output'!F320:F322)</t>
  </si>
  <si>
    <t>average('Picarro Output'!G320:G322)</t>
  </si>
  <si>
    <t>'Picarro Output'!B322</t>
  </si>
  <si>
    <t>average('Picarro Output'!F326:F328)</t>
  </si>
  <si>
    <t>average('Picarro Output'!G326:G328)</t>
  </si>
  <si>
    <t>'Picarro Output'!B328</t>
  </si>
  <si>
    <t>average('Picarro Output'!F332:F334)</t>
  </si>
  <si>
    <t>average('Picarro Output'!G332:G334)</t>
  </si>
  <si>
    <t>'Picarro Output'!B334</t>
  </si>
  <si>
    <t>average('Picarro Output'!F338:F340)</t>
  </si>
  <si>
    <t>average('Picarro Output'!G338:G340)</t>
  </si>
  <si>
    <t>'Picarro Output'!B340</t>
  </si>
  <si>
    <t>average('Picarro Output'!F344:F346)</t>
  </si>
  <si>
    <t>average('Picarro Output'!G344:G346)</t>
  </si>
  <si>
    <t>'Picarro Output'!B346</t>
  </si>
  <si>
    <t>average('Picarro Output'!F350:F352)</t>
  </si>
  <si>
    <t>average('Picarro Output'!G350:G352)</t>
  </si>
  <si>
    <t>'Picarro Output'!B352</t>
  </si>
  <si>
    <t>average('Picarro Output'!F356:F358)</t>
  </si>
  <si>
    <t>average('Picarro Output'!G356:G358)</t>
  </si>
  <si>
    <t>'Picarro Output'!B358</t>
  </si>
  <si>
    <t>average('Picarro Output'!F362:F364)</t>
  </si>
  <si>
    <t>average('Picarro Output'!G362:G364)</t>
  </si>
  <si>
    <t>'Picarro Output'!B364</t>
  </si>
  <si>
    <t>average('Picarro Output'!F368:F370)</t>
  </si>
  <si>
    <t>average('Picarro Output'!G368:G370)</t>
  </si>
  <si>
    <t>'Picarro Output'!B370</t>
  </si>
  <si>
    <t>average('Picarro Output'!F374:F376)</t>
  </si>
  <si>
    <t>average('Picarro Output'!G374:G376)</t>
  </si>
  <si>
    <t>'Picarro Output'!B376</t>
  </si>
  <si>
    <t>average('Picarro Output'!F380:F382)</t>
  </si>
  <si>
    <t>average('Picarro Output'!G380:G382)</t>
  </si>
  <si>
    <t>'Picarro Output'!B382</t>
  </si>
  <si>
    <t>average('Picarro Output'!F386:F388)</t>
  </si>
  <si>
    <t>average('Picarro Output'!G386:G388)</t>
  </si>
  <si>
    <t>'Picarro Output'!B388</t>
  </si>
  <si>
    <t>average('Picarro Output'!F392:F394)</t>
  </si>
  <si>
    <t>average('Picarro Output'!G392:G394)</t>
  </si>
  <si>
    <t>'Picarro Output'!B394</t>
  </si>
  <si>
    <t>average('Picarro Output'!F398:F400)</t>
  </si>
  <si>
    <t>average('Picarro Output'!G398:G400)</t>
  </si>
  <si>
    <t>'Picarro Output'!B400</t>
  </si>
  <si>
    <t>average('Picarro Output'!F404:F406)</t>
  </si>
  <si>
    <t>average('Picarro Output'!G404:G406)</t>
  </si>
  <si>
    <t>'Picarro Output'!B406</t>
  </si>
  <si>
    <t>average('Picarro Output'!F410:F412)</t>
  </si>
  <si>
    <t>average('Picarro Output'!G410:G412)</t>
  </si>
  <si>
    <t>'Picarro Output'!B412</t>
  </si>
  <si>
    <t>average('Picarro Output'!F416:F418)</t>
  </si>
  <si>
    <t>average('Picarro Output'!G416:G418)</t>
  </si>
  <si>
    <t>'Picarro Output'!B418</t>
  </si>
  <si>
    <t>average('Picarro Output'!F422:F424)</t>
  </si>
  <si>
    <t>average('Picarro Output'!G422:G424)</t>
  </si>
  <si>
    <t>'Picarro Output'!B424</t>
  </si>
  <si>
    <t>average('Picarro Output'!F428:F430)</t>
  </si>
  <si>
    <t>average('Picarro Output'!G428:G430)</t>
  </si>
  <si>
    <t>'Picarro Output'!B430</t>
  </si>
  <si>
    <t>average('Picarro Output'!F434:F436)</t>
  </si>
  <si>
    <t>average('Picarro Output'!G434:G436)</t>
  </si>
  <si>
    <t>'Picarro Output'!B436</t>
  </si>
  <si>
    <t>average('Picarro Output'!F440:F442)</t>
  </si>
  <si>
    <t>average('Picarro Output'!G440:G442)</t>
  </si>
  <si>
    <t>'Picarro Output'!B442</t>
  </si>
  <si>
    <t>average('Picarro Output'!F446:F448)</t>
  </si>
  <si>
    <t>average('Picarro Output'!G446:G448)</t>
  </si>
  <si>
    <t>'Picarro Output'!B448</t>
  </si>
  <si>
    <t>average('Picarro Output'!F452:F454)</t>
  </si>
  <si>
    <t>average('Picarro Output'!G452:G454)</t>
  </si>
  <si>
    <t>'Picarro Output'!B454</t>
  </si>
  <si>
    <t>average('Picarro Output'!F458:F460)</t>
  </si>
  <si>
    <t>average('Picarro Output'!G458:G460)</t>
  </si>
  <si>
    <t>'Picarro Output'!B460</t>
  </si>
  <si>
    <t>average('Picarro Output'!F464:F466)</t>
  </si>
  <si>
    <t>average('Picarro Output'!G464:G466)</t>
  </si>
  <si>
    <t>'Picarro Output'!B466</t>
  </si>
  <si>
    <t>average('Picarro Output'!F470:F472)</t>
  </si>
  <si>
    <t>average('Picarro Output'!G470:G472)</t>
  </si>
  <si>
    <t>'Picarro Output'!B472</t>
  </si>
  <si>
    <t>average('Picarro Output'!F476:F478)</t>
  </si>
  <si>
    <t>average('Picarro Output'!G476:G478)</t>
  </si>
  <si>
    <t>'Picarro Output'!B478</t>
  </si>
  <si>
    <t>-</t>
  </si>
  <si>
    <t>average('Picarro Output'!F489:F493)</t>
  </si>
  <si>
    <t>average('Picarro Output'!G489:G493)</t>
  </si>
  <si>
    <t>'Picarro Output'!B493</t>
  </si>
  <si>
    <t>average('Picarro Output'!F504:F508)</t>
  </si>
  <si>
    <t>average('Picarro Output'!G504:G508)</t>
  </si>
  <si>
    <t>'Picarro Output'!B508</t>
  </si>
  <si>
    <t>average('Picarro Output'!F519:F523)</t>
  </si>
  <si>
    <t>average('Picarro Output'!G519:G523)</t>
  </si>
  <si>
    <t>'Picarro Output'!B523</t>
  </si>
  <si>
    <t>average('Picarro Output'!F534:F538)</t>
  </si>
  <si>
    <t>average('Picarro Output'!G534:G538)</t>
  </si>
  <si>
    <t>'Picarro Output'!B538</t>
  </si>
  <si>
    <t>average('Picarro Output'!F542:F544)</t>
  </si>
  <si>
    <t>average('Picarro Output'!G542:G544)</t>
  </si>
  <si>
    <t>'Picarro Output'!B544</t>
  </si>
  <si>
    <t>average('Picarro Output'!F548:F550)</t>
  </si>
  <si>
    <t>average('Picarro Output'!G548:G550)</t>
  </si>
  <si>
    <t>'Picarro Output'!B550</t>
  </si>
  <si>
    <t>average('Picarro Output'!F554:F556)</t>
  </si>
  <si>
    <t>average('Picarro Output'!G554:G556)</t>
  </si>
  <si>
    <t>'Picarro Output'!B556</t>
  </si>
  <si>
    <t>average('Picarro Output'!F560:F562)</t>
  </si>
  <si>
    <t>average('Picarro Output'!G560:G562)</t>
  </si>
  <si>
    <t>'Picarro Output'!B562</t>
  </si>
  <si>
    <t>average('Picarro Output'!F566:F568)</t>
  </si>
  <si>
    <t>average('Picarro Output'!G566:G568)</t>
  </si>
  <si>
    <t>'Picarro Output'!B568</t>
  </si>
  <si>
    <t>average('Picarro Output'!F572:F574)</t>
  </si>
  <si>
    <t>average('Picarro Output'!G572:G574)</t>
  </si>
  <si>
    <t>'Picarro Output'!B574</t>
  </si>
  <si>
    <t>average('Picarro Output'!F578:F580)</t>
  </si>
  <si>
    <t>average('Picarro Output'!G578:G580)</t>
  </si>
  <si>
    <t>'Picarro Output'!B580</t>
  </si>
  <si>
    <t>average('Picarro Output'!F584:F586)</t>
  </si>
  <si>
    <t>average('Picarro Output'!G584:G586)</t>
  </si>
  <si>
    <t>'Picarro Output'!B586</t>
  </si>
  <si>
    <t>average('Picarro Output'!F590:F592)</t>
  </si>
  <si>
    <t>average('Picarro Output'!G590:G592)</t>
  </si>
  <si>
    <t>'Picarro Output'!B592</t>
  </si>
  <si>
    <t>average('Picarro Output'!F596:F598)</t>
  </si>
  <si>
    <t>average('Picarro Output'!G596:G598)</t>
  </si>
  <si>
    <t>'Picarro Output'!B598</t>
  </si>
  <si>
    <t>average('Picarro Output'!F602:F604)</t>
  </si>
  <si>
    <t>average('Picarro Output'!G602:G604)</t>
  </si>
  <si>
    <t>'Picarro Output'!B604</t>
  </si>
  <si>
    <t>average('Picarro Output'!F608:F610)</t>
  </si>
  <si>
    <t>average('Picarro Output'!G608:G610)</t>
  </si>
  <si>
    <t>'Picarro Output'!B610</t>
  </si>
  <si>
    <t>average('Picarro Output'!F614:F616)</t>
  </si>
  <si>
    <t>average('Picarro Output'!G614:G616)</t>
  </si>
  <si>
    <t>'Picarro Output'!B616</t>
  </si>
  <si>
    <t>average('Picarro Output'!F620:F622)</t>
  </si>
  <si>
    <t>average('Picarro Output'!G620:G622)</t>
  </si>
  <si>
    <t>'Picarro Output'!B622</t>
  </si>
  <si>
    <t>average('Picarro Output'!F626:F628)</t>
  </si>
  <si>
    <t>average('Picarro Output'!G626:G628)</t>
  </si>
  <si>
    <t>'Picarro Output'!B628</t>
  </si>
  <si>
    <t>average('Picarro Output'!F632:F634)</t>
  </si>
  <si>
    <t>average('Picarro Output'!G632:G634)</t>
  </si>
  <si>
    <t>'Picarro Output'!B634</t>
  </si>
  <si>
    <t>average('Picarro Output'!F638:F640)</t>
  </si>
  <si>
    <t>average('Picarro Output'!G638:G640)</t>
  </si>
  <si>
    <t>'Picarro Output'!B640</t>
  </si>
  <si>
    <t>average('Picarro Output'!F644:F646)</t>
  </si>
  <si>
    <t>average('Picarro Output'!G644:G646)</t>
  </si>
  <si>
    <t>'Picarro Output'!B646</t>
  </si>
  <si>
    <t>average('Picarro Output'!F650:F652)</t>
  </si>
  <si>
    <t>average('Picarro Output'!G650:G652)</t>
  </si>
  <si>
    <t>'Picarro Output'!B652</t>
  </si>
  <si>
    <t>average('Picarro Output'!F656:F658)</t>
  </si>
  <si>
    <t>average('Picarro Output'!G656:G658)</t>
  </si>
  <si>
    <t>'Picarro Output'!B658</t>
  </si>
  <si>
    <t>average('Picarro Output'!F662:F664)</t>
  </si>
  <si>
    <t>average('Picarro Output'!G662:G664)</t>
  </si>
  <si>
    <t>'Picarro Output'!B664</t>
  </si>
  <si>
    <t>average('Picarro Output'!F668:F670)</t>
  </si>
  <si>
    <t>average('Picarro Output'!G668:G670)</t>
  </si>
  <si>
    <t>'Picarro Output'!B670</t>
  </si>
  <si>
    <t>average('Picarro Output'!F674:F676)</t>
  </si>
  <si>
    <t>average('Picarro Output'!G674:G676)</t>
  </si>
  <si>
    <t>'Picarro Output'!B676</t>
  </si>
  <si>
    <t>average('Picarro Output'!F680:F682)</t>
  </si>
  <si>
    <t>average('Picarro Output'!G680:G682)</t>
  </si>
  <si>
    <t>'Picarro Output'!B682</t>
  </si>
  <si>
    <t>average('Picarro Output'!F686:F688)</t>
  </si>
  <si>
    <t>average('Picarro Output'!G686:G688)</t>
  </si>
  <si>
    <t>'Picarro Output'!B688</t>
  </si>
  <si>
    <t>average('Picarro Output'!F692:F694)</t>
  </si>
  <si>
    <t>average('Picarro Output'!G692:G694)</t>
  </si>
  <si>
    <t>'Picarro Output'!B694</t>
  </si>
  <si>
    <t>average('Picarro Output'!F698:F700)</t>
  </si>
  <si>
    <t>average('Picarro Output'!G698:G700)</t>
  </si>
  <si>
    <t>'Picarro Output'!B700</t>
  </si>
  <si>
    <t>average('Picarro Output'!F704:F706)</t>
  </si>
  <si>
    <t>average('Picarro Output'!G704:G706)</t>
  </si>
  <si>
    <t>'Picarro Output'!B706</t>
  </si>
  <si>
    <t>average('Picarro Output'!F710:F712)</t>
  </si>
  <si>
    <t>average('Picarro Output'!G710:G712)</t>
  </si>
  <si>
    <t>'Picarro Output'!B712</t>
  </si>
  <si>
    <t>average('Picarro Output'!F716:F718)</t>
  </si>
  <si>
    <t>average('Picarro Output'!G716:G718)</t>
  </si>
  <si>
    <t>'Picarro Output'!B718</t>
  </si>
  <si>
    <t>average('Picarro Output'!F722:F724)</t>
  </si>
  <si>
    <t>average('Picarro Output'!G722:G724)</t>
  </si>
  <si>
    <t>'Picarro Output'!B724</t>
  </si>
  <si>
    <t>average('Picarro Output'!F735:F739)</t>
  </si>
  <si>
    <t>average('Picarro Output'!G735:G739)</t>
  </si>
  <si>
    <t>'Picarro Output'!B739</t>
  </si>
  <si>
    <t>average('Picarro Output'!F750:F754)</t>
  </si>
  <si>
    <t>average('Picarro Output'!G750:G754)</t>
  </si>
  <si>
    <t>'Picarro Output'!B754</t>
  </si>
  <si>
    <t>average('Picarro Output'!F765:F769)</t>
  </si>
  <si>
    <t>average('Picarro Output'!G765:G769)</t>
  </si>
  <si>
    <t>'Picarro Output'!B769</t>
  </si>
  <si>
    <t>average('Picarro Output'!F780:F784)</t>
  </si>
  <si>
    <t>average('Picarro Output'!G780:G784)</t>
  </si>
  <si>
    <t>'Picarro Output'!B784</t>
  </si>
  <si>
    <t>Ivishak</t>
  </si>
  <si>
    <t xml:space="preserve">           1-01</t>
  </si>
  <si>
    <t xml:space="preserve">                                        </t>
  </si>
  <si>
    <t xml:space="preserve">                 H2O</t>
  </si>
  <si>
    <t xml:space="preserve">  Ecohydro</t>
  </si>
  <si>
    <t xml:space="preserve">           1-02</t>
  </si>
  <si>
    <t xml:space="preserve">           1-03</t>
  </si>
  <si>
    <t xml:space="preserve">           1-04</t>
  </si>
  <si>
    <t xml:space="preserve">           1-05</t>
  </si>
  <si>
    <t xml:space="preserve">           1-06</t>
  </si>
  <si>
    <t xml:space="preserve">           1-07</t>
  </si>
  <si>
    <t xml:space="preserve">           1-08</t>
  </si>
  <si>
    <t xml:space="preserve">           1-09</t>
  </si>
  <si>
    <t xml:space="preserve">           1-10</t>
  </si>
  <si>
    <t xml:space="preserve">           1-11</t>
  </si>
  <si>
    <t xml:space="preserve">           1-12</t>
  </si>
  <si>
    <t xml:space="preserve">           1-13</t>
  </si>
  <si>
    <t xml:space="preserve">           1-14</t>
  </si>
  <si>
    <t xml:space="preserve">           1-15</t>
  </si>
  <si>
    <t xml:space="preserve">           1-16</t>
  </si>
  <si>
    <t xml:space="preserve">           1-17</t>
  </si>
  <si>
    <t xml:space="preserve">           1-18</t>
  </si>
  <si>
    <t xml:space="preserve">           1-19</t>
  </si>
  <si>
    <t xml:space="preserve">           1-20</t>
  </si>
  <si>
    <t xml:space="preserve">           1-21</t>
  </si>
  <si>
    <t xml:space="preserve">           1-22</t>
  </si>
  <si>
    <t xml:space="preserve">           1-23</t>
  </si>
  <si>
    <t xml:space="preserve">           1-24</t>
  </si>
  <si>
    <t xml:space="preserve">           1-25</t>
  </si>
  <si>
    <t xml:space="preserve">           1-26</t>
  </si>
  <si>
    <t xml:space="preserve">           1-27</t>
  </si>
  <si>
    <t xml:space="preserve">           1-28</t>
  </si>
  <si>
    <t xml:space="preserve">           1-29</t>
  </si>
  <si>
    <t xml:space="preserve">           1-30</t>
  </si>
  <si>
    <t xml:space="preserve">           1-31</t>
  </si>
  <si>
    <t xml:space="preserve">           1-32</t>
  </si>
  <si>
    <t xml:space="preserve">           1-33</t>
  </si>
  <si>
    <t xml:space="preserve">           1-34</t>
  </si>
  <si>
    <t xml:space="preserve">           1-35</t>
  </si>
  <si>
    <t xml:space="preserve">           1-36</t>
  </si>
  <si>
    <t xml:space="preserve">           1-37</t>
  </si>
  <si>
    <t xml:space="preserve">           1-38</t>
  </si>
  <si>
    <t xml:space="preserve">           1-39</t>
  </si>
  <si>
    <t xml:space="preserve">           1-40</t>
  </si>
  <si>
    <t xml:space="preserve">           1-41</t>
  </si>
  <si>
    <t xml:space="preserve">           1-42</t>
  </si>
  <si>
    <t xml:space="preserve">           1-43</t>
  </si>
  <si>
    <t xml:space="preserve">           1-44</t>
  </si>
  <si>
    <t xml:space="preserve">           1-45</t>
  </si>
  <si>
    <t xml:space="preserve">           1-46</t>
  </si>
  <si>
    <t xml:space="preserve">           1-47</t>
  </si>
  <si>
    <t xml:space="preserve">           1-48</t>
  </si>
  <si>
    <t xml:space="preserve">           1-49</t>
  </si>
  <si>
    <t xml:space="preserve">           1-50</t>
  </si>
  <si>
    <t xml:space="preserve">           1-51</t>
  </si>
  <si>
    <t xml:space="preserve">           1-52</t>
  </si>
  <si>
    <t xml:space="preserve">           1-53</t>
  </si>
  <si>
    <t xml:space="preserve">           1-54</t>
  </si>
  <si>
    <t xml:space="preserve">           1-55</t>
  </si>
  <si>
    <t xml:space="preserve">           1-56</t>
  </si>
  <si>
    <t xml:space="preserve">           1-57</t>
  </si>
  <si>
    <t xml:space="preserve">           1-58</t>
  </si>
  <si>
    <t xml:space="preserve">           1-59</t>
  </si>
  <si>
    <t xml:space="preserve">           1-60</t>
  </si>
  <si>
    <t xml:space="preserve">           1-61</t>
  </si>
  <si>
    <t xml:space="preserve">           1-62</t>
  </si>
  <si>
    <t xml:space="preserve">           1-63</t>
  </si>
  <si>
    <t xml:space="preserve">           1-64</t>
  </si>
  <si>
    <t xml:space="preserve">           1-65</t>
  </si>
  <si>
    <t xml:space="preserve">           1-66</t>
  </si>
  <si>
    <t xml:space="preserve">           1-67</t>
  </si>
  <si>
    <t xml:space="preserve">           1-68</t>
  </si>
  <si>
    <t xml:space="preserve">           1-69</t>
  </si>
  <si>
    <t xml:space="preserve">           1-70</t>
  </si>
  <si>
    <t xml:space="preserve">           1-71</t>
  </si>
  <si>
    <t xml:space="preserve">           1-72</t>
  </si>
  <si>
    <t xml:space="preserve">           1-73</t>
  </si>
  <si>
    <t xml:space="preserve">           1-74</t>
  </si>
  <si>
    <t xml:space="preserve">           1-75</t>
  </si>
  <si>
    <t xml:space="preserve">           1-76</t>
  </si>
  <si>
    <t xml:space="preserve">           1-77</t>
  </si>
  <si>
    <t xml:space="preserve">           1-78</t>
  </si>
  <si>
    <t xml:space="preserve">           1-79</t>
  </si>
  <si>
    <t xml:space="preserve">           1-80</t>
  </si>
  <si>
    <t xml:space="preserve">           1-81</t>
  </si>
  <si>
    <t xml:space="preserve">           1-82</t>
  </si>
  <si>
    <t xml:space="preserve">           1-83</t>
  </si>
  <si>
    <t xml:space="preserve">           1-84</t>
  </si>
  <si>
    <t xml:space="preserve">           1-85</t>
  </si>
  <si>
    <t xml:space="preserve">           1-86</t>
  </si>
  <si>
    <t>AMG + DMP</t>
  </si>
  <si>
    <t>Konza, Talladega, Weyerhaeuser, Paint Rock</t>
  </si>
  <si>
    <t>Summer 2021, fall-spring 2022</t>
  </si>
  <si>
    <t>AIMS</t>
  </si>
  <si>
    <t>changed injection port septa prior to run</t>
  </si>
  <si>
    <t xml:space="preserve">    P-1058</t>
  </si>
  <si>
    <t xml:space="preserve">   2022/04/04 15:25:20</t>
  </si>
  <si>
    <t xml:space="preserve">   2022/04/04 15:34:18</t>
  </si>
  <si>
    <t xml:space="preserve">   2022/04/04 15:43:15</t>
  </si>
  <si>
    <t xml:space="preserve">   2022/04/04 15:52:13</t>
  </si>
  <si>
    <t xml:space="preserve">   2022/04/04 16:01:11</t>
  </si>
  <si>
    <t xml:space="preserve">   2022/04/04 16:10:08</t>
  </si>
  <si>
    <t xml:space="preserve">   2022/04/04 16:19:06</t>
  </si>
  <si>
    <t xml:space="preserve">   2022/04/04 16:28:04</t>
  </si>
  <si>
    <t xml:space="preserve">   2022/04/04 16:37:01</t>
  </si>
  <si>
    <t xml:space="preserve">   2022/04/04 16:45:59</t>
  </si>
  <si>
    <t xml:space="preserve">   2022/04/04 16:54:57</t>
  </si>
  <si>
    <t xml:space="preserve">   2022/04/04 17:03:54</t>
  </si>
  <si>
    <t xml:space="preserve">   2022/04/04 17:12:52</t>
  </si>
  <si>
    <t xml:space="preserve">   2022/04/04 17:21:49</t>
  </si>
  <si>
    <t xml:space="preserve">   2022/04/04 17:30:47</t>
  </si>
  <si>
    <t xml:space="preserve">    P-1059</t>
  </si>
  <si>
    <t xml:space="preserve">   2022/04/04 17:39:45</t>
  </si>
  <si>
    <t xml:space="preserve">   2022/04/04 17:48:42</t>
  </si>
  <si>
    <t xml:space="preserve">   2022/04/04 17:57:40</t>
  </si>
  <si>
    <t xml:space="preserve">   2022/04/04 18:06:38</t>
  </si>
  <si>
    <t xml:space="preserve">   2022/04/04 18:15:35</t>
  </si>
  <si>
    <t xml:space="preserve">   2022/04/04 18:24:33</t>
  </si>
  <si>
    <t xml:space="preserve">   2022/04/04 18:33:31</t>
  </si>
  <si>
    <t xml:space="preserve">   2022/04/04 18:42:28</t>
  </si>
  <si>
    <t xml:space="preserve">   2022/04/04 18:51:26</t>
  </si>
  <si>
    <t xml:space="preserve">   2022/04/04 19:00:24</t>
  </si>
  <si>
    <t xml:space="preserve">   2022/04/04 19:09:21</t>
  </si>
  <si>
    <t xml:space="preserve">   2022/04/04 19:18:19</t>
  </si>
  <si>
    <t xml:space="preserve">   2022/04/04 19:27:17</t>
  </si>
  <si>
    <t xml:space="preserve">   2022/04/04 19:36:14</t>
  </si>
  <si>
    <t xml:space="preserve">   2022/04/04 19:45:12</t>
  </si>
  <si>
    <t xml:space="preserve">    P-1060</t>
  </si>
  <si>
    <t xml:space="preserve">   2022/04/04 19:54:10</t>
  </si>
  <si>
    <t xml:space="preserve">   2022/04/04 20:03:08</t>
  </si>
  <si>
    <t xml:space="preserve">   2022/04/04 20:12:05</t>
  </si>
  <si>
    <t xml:space="preserve">   2022/04/04 20:21:02</t>
  </si>
  <si>
    <t xml:space="preserve">   2022/04/04 20:30:00</t>
  </si>
  <si>
    <t xml:space="preserve">   2022/04/04 20:38:58</t>
  </si>
  <si>
    <t xml:space="preserve">   2022/04/04 20:47:55</t>
  </si>
  <si>
    <t xml:space="preserve">   2022/04/04 20:56:53</t>
  </si>
  <si>
    <t xml:space="preserve">   2022/04/04 21:05:50</t>
  </si>
  <si>
    <t xml:space="preserve">   2022/04/04 21:14:48</t>
  </si>
  <si>
    <t xml:space="preserve">   2022/04/04 21:23:46</t>
  </si>
  <si>
    <t xml:space="preserve">   2022/04/04 21:32:44</t>
  </si>
  <si>
    <t xml:space="preserve">   2022/04/04 21:41:42</t>
  </si>
  <si>
    <t xml:space="preserve">   2022/04/04 21:50:39</t>
  </si>
  <si>
    <t xml:space="preserve">   2022/04/04 21:59:37</t>
  </si>
  <si>
    <t xml:space="preserve">    P-1061</t>
  </si>
  <si>
    <t xml:space="preserve">   2022/04/04 22:08:35</t>
  </si>
  <si>
    <t xml:space="preserve">   2022/04/04 22:17:32</t>
  </si>
  <si>
    <t xml:space="preserve">   2022/04/04 22:26:30</t>
  </si>
  <si>
    <t xml:space="preserve">   2022/04/04 22:35:28</t>
  </si>
  <si>
    <t xml:space="preserve">   2022/04/04 22:44:25</t>
  </si>
  <si>
    <t xml:space="preserve">   2022/04/04 22:53:23</t>
  </si>
  <si>
    <t xml:space="preserve">   2022/04/04 23:02:20</t>
  </si>
  <si>
    <t xml:space="preserve">   2022/04/04 23:11:18</t>
  </si>
  <si>
    <t xml:space="preserve">   2022/04/04 23:20:16</t>
  </si>
  <si>
    <t xml:space="preserve">   2022/04/04 23:29:14</t>
  </si>
  <si>
    <t xml:space="preserve">   2022/04/04 23:38:12</t>
  </si>
  <si>
    <t xml:space="preserve">   2022/04/04 23:47:09</t>
  </si>
  <si>
    <t xml:space="preserve">   2022/04/04 23:56:07</t>
  </si>
  <si>
    <t xml:space="preserve">   2022/04/05 00:05:04</t>
  </si>
  <si>
    <t xml:space="preserve">   2022/04/05 00:14:02</t>
  </si>
  <si>
    <t xml:space="preserve">    P-1062</t>
  </si>
  <si>
    <t xml:space="preserve">   2022/04/05 00:23:00</t>
  </si>
  <si>
    <t xml:space="preserve">   2022/04/05 00:31:58</t>
  </si>
  <si>
    <t xml:space="preserve">   2022/04/05 00:40:56</t>
  </si>
  <si>
    <t xml:space="preserve">   2022/04/05 00:49:54</t>
  </si>
  <si>
    <t xml:space="preserve">   2022/04/05 00:58:51</t>
  </si>
  <si>
    <t xml:space="preserve">   2022/04/05 01:07:49</t>
  </si>
  <si>
    <t xml:space="preserve">   2022/04/05 01:16:47</t>
  </si>
  <si>
    <t xml:space="preserve">   2022/04/05 01:25:45</t>
  </si>
  <si>
    <t xml:space="preserve">   2022/04/05 01:34:42</t>
  </si>
  <si>
    <t xml:space="preserve">   2022/04/05 01:43:40</t>
  </si>
  <si>
    <t xml:space="preserve">   2022/04/05 01:52:38</t>
  </si>
  <si>
    <t xml:space="preserve">   2022/04/05 02:01:36</t>
  </si>
  <si>
    <t xml:space="preserve">   2022/04/05 02:10:33</t>
  </si>
  <si>
    <t xml:space="preserve">   2022/04/05 02:19:31</t>
  </si>
  <si>
    <t xml:space="preserve">   2022/04/05 02:28:28</t>
  </si>
  <si>
    <t xml:space="preserve">    P-1063</t>
  </si>
  <si>
    <t xml:space="preserve">   2022/04/05 02:37:26</t>
  </si>
  <si>
    <t xml:space="preserve">   2022/04/05 02:46:24</t>
  </si>
  <si>
    <t xml:space="preserve">   2022/04/05 02:55:21</t>
  </si>
  <si>
    <t xml:space="preserve">   2022/04/05 03:04:20</t>
  </si>
  <si>
    <t xml:space="preserve">   2022/04/05 03:13:17</t>
  </si>
  <si>
    <t xml:space="preserve">   2022/04/05 03:22:15</t>
  </si>
  <si>
    <t xml:space="preserve">    P-1064</t>
  </si>
  <si>
    <t xml:space="preserve">   2022/04/05 03:31:12</t>
  </si>
  <si>
    <t xml:space="preserve">   2022/04/05 03:40:10</t>
  </si>
  <si>
    <t xml:space="preserve">   2022/04/05 03:49:08</t>
  </si>
  <si>
    <t xml:space="preserve">   2022/04/05 03:58:06</t>
  </si>
  <si>
    <t xml:space="preserve">   2022/04/05 04:07:04</t>
  </si>
  <si>
    <t xml:space="preserve">   2022/04/05 04:16:01</t>
  </si>
  <si>
    <t xml:space="preserve">    P-1065</t>
  </si>
  <si>
    <t xml:space="preserve">   2022/04/05 04:24:59</t>
  </si>
  <si>
    <t xml:space="preserve">   2022/04/05 04:33:57</t>
  </si>
  <si>
    <t xml:space="preserve">   2022/04/05 04:42:55</t>
  </si>
  <si>
    <t xml:space="preserve">   2022/04/05 04:51:52</t>
  </si>
  <si>
    <t xml:space="preserve">   2022/04/05 05:00:50</t>
  </si>
  <si>
    <t xml:space="preserve">   2022/04/05 05:09:48</t>
  </si>
  <si>
    <t xml:space="preserve">    P-1066</t>
  </si>
  <si>
    <t xml:space="preserve">   2022/04/05 05:18:45</t>
  </si>
  <si>
    <t xml:space="preserve">   2022/04/05 05:27:43</t>
  </si>
  <si>
    <t xml:space="preserve">   2022/04/05 05:36:40</t>
  </si>
  <si>
    <t xml:space="preserve">   2022/04/05 05:45:38</t>
  </si>
  <si>
    <t xml:space="preserve">   2022/04/05 05:54:36</t>
  </si>
  <si>
    <t xml:space="preserve">   2022/04/05 06:03:33</t>
  </si>
  <si>
    <t xml:space="preserve">    P-1067</t>
  </si>
  <si>
    <t xml:space="preserve">   2022/04/05 06:12:31</t>
  </si>
  <si>
    <t xml:space="preserve">   2022/04/05 06:21:29</t>
  </si>
  <si>
    <t xml:space="preserve">   2022/04/05 06:30:27</t>
  </si>
  <si>
    <t xml:space="preserve">   2022/04/05 06:39:24</t>
  </si>
  <si>
    <t xml:space="preserve">   2022/04/05 06:48:22</t>
  </si>
  <si>
    <t xml:space="preserve">   2022/04/05 06:57:20</t>
  </si>
  <si>
    <t xml:space="preserve">    P-1068</t>
  </si>
  <si>
    <t xml:space="preserve">   2022/04/05 07:06:17</t>
  </si>
  <si>
    <t xml:space="preserve">   2022/04/05 07:15:15</t>
  </si>
  <si>
    <t xml:space="preserve">   2022/04/05 07:24:13</t>
  </si>
  <si>
    <t xml:space="preserve">   2022/04/05 07:33:11</t>
  </si>
  <si>
    <t xml:space="preserve">   2022/04/05 07:42:08</t>
  </si>
  <si>
    <t xml:space="preserve">   2022/04/05 07:51:06</t>
  </si>
  <si>
    <t xml:space="preserve">    P-1069</t>
  </si>
  <si>
    <t xml:space="preserve">   2022/04/05 08:00:03</t>
  </si>
  <si>
    <t xml:space="preserve">   2022/04/05 08:09:01</t>
  </si>
  <si>
    <t xml:space="preserve">   2022/04/05 08:17:58</t>
  </si>
  <si>
    <t xml:space="preserve">   2022/04/05 08:26:56</t>
  </si>
  <si>
    <t xml:space="preserve">   2022/04/05 08:35:54</t>
  </si>
  <si>
    <t xml:space="preserve">   2022/04/05 08:44:52</t>
  </si>
  <si>
    <t xml:space="preserve">    P-1070</t>
  </si>
  <si>
    <t xml:space="preserve">   2022/04/05 08:53:50</t>
  </si>
  <si>
    <t xml:space="preserve">   2022/04/05 09:02:47</t>
  </si>
  <si>
    <t xml:space="preserve">   2022/04/05 09:11:45</t>
  </si>
  <si>
    <t xml:space="preserve">   2022/04/05 09:20:42</t>
  </si>
  <si>
    <t xml:space="preserve">   2022/04/05 09:29:40</t>
  </si>
  <si>
    <t xml:space="preserve">   2022/04/05 09:38:38</t>
  </si>
  <si>
    <t xml:space="preserve">    P-1071</t>
  </si>
  <si>
    <t xml:space="preserve">   2022/04/05 09:47:35</t>
  </si>
  <si>
    <t xml:space="preserve">   2022/04/05 09:56:33</t>
  </si>
  <si>
    <t xml:space="preserve">   2022/04/05 10:05:31</t>
  </si>
  <si>
    <t xml:space="preserve">   2022/04/05 10:14:29</t>
  </si>
  <si>
    <t xml:space="preserve">   2022/04/05 10:23:26</t>
  </si>
  <si>
    <t xml:space="preserve">   2022/04/05 10:32:24</t>
  </si>
  <si>
    <t xml:space="preserve">    P-1072</t>
  </si>
  <si>
    <t xml:space="preserve">   2022/04/05 10:41:22</t>
  </si>
  <si>
    <t xml:space="preserve">   2022/04/05 10:50:19</t>
  </si>
  <si>
    <t xml:space="preserve">   2022/04/05 10:59:16</t>
  </si>
  <si>
    <t xml:space="preserve">   2022/04/05 11:08:14</t>
  </si>
  <si>
    <t xml:space="preserve">   2022/04/05 11:17:11</t>
  </si>
  <si>
    <t xml:space="preserve">   2022/04/05 11:26:09</t>
  </si>
  <si>
    <t xml:space="preserve">    P-1073</t>
  </si>
  <si>
    <t xml:space="preserve">   2022/04/05 11:35:06</t>
  </si>
  <si>
    <t xml:space="preserve">   2022/04/05 11:44:04</t>
  </si>
  <si>
    <t xml:space="preserve">   2022/04/05 11:53:01</t>
  </si>
  <si>
    <t xml:space="preserve">   2022/04/05 12:01:59</t>
  </si>
  <si>
    <t xml:space="preserve">   2022/04/05 12:10:57</t>
  </si>
  <si>
    <t xml:space="preserve">   2022/04/05 12:19:54</t>
  </si>
  <si>
    <t xml:space="preserve">    P-1074</t>
  </si>
  <si>
    <t xml:space="preserve">   2022/04/05 12:28:52</t>
  </si>
  <si>
    <t xml:space="preserve">   2022/04/05 12:37:49</t>
  </si>
  <si>
    <t xml:space="preserve">   2022/04/05 12:46:47</t>
  </si>
  <si>
    <t xml:space="preserve">   2022/04/05 12:55:44</t>
  </si>
  <si>
    <t xml:space="preserve">   2022/04/05 13:04:42</t>
  </si>
  <si>
    <t xml:space="preserve">   2022/04/05 13:13:40</t>
  </si>
  <si>
    <t xml:space="preserve">    P-1075</t>
  </si>
  <si>
    <t xml:space="preserve">   2022/04/05 13:22:38</t>
  </si>
  <si>
    <t xml:space="preserve">   2022/04/05 13:31:35</t>
  </si>
  <si>
    <t xml:space="preserve">   2022/04/05 13:40:33</t>
  </si>
  <si>
    <t xml:space="preserve">   2022/04/05 13:49:31</t>
  </si>
  <si>
    <t xml:space="preserve">   2022/04/05 13:58:28</t>
  </si>
  <si>
    <t xml:space="preserve">   2022/04/05 14:07:26</t>
  </si>
  <si>
    <t xml:space="preserve">    P-1076</t>
  </si>
  <si>
    <t xml:space="preserve">   2022/04/05 14:16:23</t>
  </si>
  <si>
    <t xml:space="preserve">   2022/04/05 14:25:21</t>
  </si>
  <si>
    <t xml:space="preserve">   2022/04/05 14:34:19</t>
  </si>
  <si>
    <t xml:space="preserve">   2022/04/05 14:43:16</t>
  </si>
  <si>
    <t xml:space="preserve">   2022/04/05 14:52:13</t>
  </si>
  <si>
    <t xml:space="preserve">   2022/04/05 15:01:11</t>
  </si>
  <si>
    <t xml:space="preserve">    P-1077</t>
  </si>
  <si>
    <t xml:space="preserve">   2022/04/05 15:10:09</t>
  </si>
  <si>
    <t xml:space="preserve">   2022/04/05 15:19:06</t>
  </si>
  <si>
    <t xml:space="preserve">   2022/04/05 15:28:04</t>
  </si>
  <si>
    <t xml:space="preserve">   2022/04/05 15:37:02</t>
  </si>
  <si>
    <t xml:space="preserve">   2022/04/05 15:45:59</t>
  </si>
  <si>
    <t xml:space="preserve">   2022/04/05 15:54:57</t>
  </si>
  <si>
    <t xml:space="preserve">    P-1078</t>
  </si>
  <si>
    <t xml:space="preserve">   2022/04/05 16:03:54</t>
  </si>
  <si>
    <t xml:space="preserve">   2022/04/05 16:12:52</t>
  </si>
  <si>
    <t xml:space="preserve">   2022/04/05 16:21:49</t>
  </si>
  <si>
    <t xml:space="preserve">   2022/04/05 16:30:47</t>
  </si>
  <si>
    <t xml:space="preserve">   2022/04/05 16:39:44</t>
  </si>
  <si>
    <t xml:space="preserve">   2022/04/05 16:48:42</t>
  </si>
  <si>
    <t xml:space="preserve">    P-1079</t>
  </si>
  <si>
    <t xml:space="preserve">   2022/04/05 16:57:40</t>
  </si>
  <si>
    <t xml:space="preserve">   2022/04/05 17:06:37</t>
  </si>
  <si>
    <t xml:space="preserve">   2022/04/05 17:15:35</t>
  </si>
  <si>
    <t xml:space="preserve">   2022/04/05 17:24:32</t>
  </si>
  <si>
    <t xml:space="preserve">   2022/04/05 17:33:30</t>
  </si>
  <si>
    <t xml:space="preserve">   2022/04/05 17:42:27</t>
  </si>
  <si>
    <t xml:space="preserve">    P-1080</t>
  </si>
  <si>
    <t xml:space="preserve">   2022/04/05 17:51:24</t>
  </si>
  <si>
    <t xml:space="preserve">   2022/04/05 18:00:22</t>
  </si>
  <si>
    <t xml:space="preserve">   2022/04/05 18:09:19</t>
  </si>
  <si>
    <t xml:space="preserve">   2022/04/05 18:18:17</t>
  </si>
  <si>
    <t xml:space="preserve">   2022/04/05 18:27:14</t>
  </si>
  <si>
    <t xml:space="preserve">   2022/04/05 18:36:12</t>
  </si>
  <si>
    <t xml:space="preserve">    P-1081</t>
  </si>
  <si>
    <t xml:space="preserve">   2022/04/05 18:45:09</t>
  </si>
  <si>
    <t xml:space="preserve">   2022/04/05 18:54:07</t>
  </si>
  <si>
    <t xml:space="preserve">   2022/04/05 19:03:04</t>
  </si>
  <si>
    <t xml:space="preserve">   2022/04/05 19:12:01</t>
  </si>
  <si>
    <t xml:space="preserve">   2022/04/05 19:20:58</t>
  </si>
  <si>
    <t xml:space="preserve">   2022/04/05 19:29:56</t>
  </si>
  <si>
    <t xml:space="preserve">    P-1082</t>
  </si>
  <si>
    <t xml:space="preserve">   2022/04/05 19:38:53</t>
  </si>
  <si>
    <t xml:space="preserve">   2022/04/05 19:47:51</t>
  </si>
  <si>
    <t xml:space="preserve">   2022/04/05 19:56:48</t>
  </si>
  <si>
    <t xml:space="preserve">   2022/04/05 20:05:46</t>
  </si>
  <si>
    <t xml:space="preserve">   2022/04/05 20:14:43</t>
  </si>
  <si>
    <t xml:space="preserve">   2022/04/05 20:23:41</t>
  </si>
  <si>
    <t xml:space="preserve">    P-1083</t>
  </si>
  <si>
    <t xml:space="preserve">   2022/04/05 20:32:38</t>
  </si>
  <si>
    <t xml:space="preserve">   2022/04/05 20:41:36</t>
  </si>
  <si>
    <t xml:space="preserve">   2022/04/05 20:50:33</t>
  </si>
  <si>
    <t xml:space="preserve">   2022/04/05 20:59:31</t>
  </si>
  <si>
    <t xml:space="preserve">   2022/04/05 21:08:29</t>
  </si>
  <si>
    <t xml:space="preserve">   2022/04/05 21:17:26</t>
  </si>
  <si>
    <t xml:space="preserve">    P-1084</t>
  </si>
  <si>
    <t xml:space="preserve">   2022/04/05 21:26:24</t>
  </si>
  <si>
    <t xml:space="preserve">   2022/04/05 21:35:21</t>
  </si>
  <si>
    <t xml:space="preserve">   2022/04/05 21:44:19</t>
  </si>
  <si>
    <t xml:space="preserve">   2022/04/05 21:53:16</t>
  </si>
  <si>
    <t xml:space="preserve">   2022/04/05 22:02:14</t>
  </si>
  <si>
    <t xml:space="preserve">   2022/04/05 22:11:11</t>
  </si>
  <si>
    <t xml:space="preserve">    P-1085</t>
  </si>
  <si>
    <t xml:space="preserve">   2022/04/05 22:20:09</t>
  </si>
  <si>
    <t xml:space="preserve">   2022/04/05 22:29:07</t>
  </si>
  <si>
    <t xml:space="preserve">   2022/04/05 22:38:04</t>
  </si>
  <si>
    <t xml:space="preserve">   2022/04/05 22:47:02</t>
  </si>
  <si>
    <t xml:space="preserve">   2022/04/05 22:56:00</t>
  </si>
  <si>
    <t xml:space="preserve">   2022/04/05 23:04:57</t>
  </si>
  <si>
    <t xml:space="preserve">    P-1086</t>
  </si>
  <si>
    <t xml:space="preserve">   2022/04/05 23:13:55</t>
  </si>
  <si>
    <t xml:space="preserve">   2022/04/05 23:22:52</t>
  </si>
  <si>
    <t xml:space="preserve">   2022/04/05 23:31:50</t>
  </si>
  <si>
    <t xml:space="preserve">   2022/04/05 23:40:47</t>
  </si>
  <si>
    <t xml:space="preserve">   2022/04/05 23:49:45</t>
  </si>
  <si>
    <t xml:space="preserve">   2022/04/05 23:58:42</t>
  </si>
  <si>
    <t xml:space="preserve">    P-1087</t>
  </si>
  <si>
    <t xml:space="preserve">   2022/04/06 00:07:39</t>
  </si>
  <si>
    <t xml:space="preserve">   2022/04/06 00:16:37</t>
  </si>
  <si>
    <t xml:space="preserve">   2022/04/06 00:25:34</t>
  </si>
  <si>
    <t xml:space="preserve">   2022/04/06 00:34:31</t>
  </si>
  <si>
    <t xml:space="preserve">   2022/04/06 00:43:29</t>
  </si>
  <si>
    <t xml:space="preserve">   2022/04/06 00:52:26</t>
  </si>
  <si>
    <t xml:space="preserve">    P-1088</t>
  </si>
  <si>
    <t xml:space="preserve">   2022/04/06 01:01:24</t>
  </si>
  <si>
    <t xml:space="preserve">   2022/04/06 01:10:21</t>
  </si>
  <si>
    <t xml:space="preserve">   2022/04/06 01:19:18</t>
  </si>
  <si>
    <t xml:space="preserve">   2022/04/06 01:28:16</t>
  </si>
  <si>
    <t xml:space="preserve">   2022/04/06 01:37:13</t>
  </si>
  <si>
    <t xml:space="preserve">   2022/04/06 01:46:11</t>
  </si>
  <si>
    <t xml:space="preserve">    P-1089</t>
  </si>
  <si>
    <t xml:space="preserve">   2022/04/06 01:55:08</t>
  </si>
  <si>
    <t xml:space="preserve">   2022/04/06 02:04:05</t>
  </si>
  <si>
    <t xml:space="preserve">   2022/04/06 02:13:03</t>
  </si>
  <si>
    <t xml:space="preserve">   2022/04/06 02:22:00</t>
  </si>
  <si>
    <t xml:space="preserve">   2022/04/06 02:30:57</t>
  </si>
  <si>
    <t xml:space="preserve">   2022/04/06 02:39:55</t>
  </si>
  <si>
    <t xml:space="preserve">   2022/04/06 02:48:52</t>
  </si>
  <si>
    <t xml:space="preserve">   2022/04/06 02:57:49</t>
  </si>
  <si>
    <t xml:space="preserve">   2022/04/06 03:06:47</t>
  </si>
  <si>
    <t xml:space="preserve">   2022/04/06 03:15:44</t>
  </si>
  <si>
    <t xml:space="preserve">   2022/04/06 03:24:42</t>
  </si>
  <si>
    <t xml:space="preserve">   2022/04/06 03:33:39</t>
  </si>
  <si>
    <t xml:space="preserve">   2022/04/06 03:42:37</t>
  </si>
  <si>
    <t xml:space="preserve">   2022/04/06 03:51:34</t>
  </si>
  <si>
    <t xml:space="preserve">   2022/04/06 04:00:31</t>
  </si>
  <si>
    <t xml:space="preserve">    P-1090</t>
  </si>
  <si>
    <t xml:space="preserve">   2022/04/06 04:09:29</t>
  </si>
  <si>
    <t xml:space="preserve">   2022/04/06 04:18:26</t>
  </si>
  <si>
    <t xml:space="preserve">   2022/04/06 04:27:24</t>
  </si>
  <si>
    <t xml:space="preserve">   2022/04/06 04:36:21</t>
  </si>
  <si>
    <t xml:space="preserve">   2022/04/06 04:45:19</t>
  </si>
  <si>
    <t xml:space="preserve">   2022/04/06 04:54:16</t>
  </si>
  <si>
    <t xml:space="preserve">   2022/04/06 05:03:14</t>
  </si>
  <si>
    <t xml:space="preserve">   2022/04/06 05:12:11</t>
  </si>
  <si>
    <t xml:space="preserve">   2022/04/06 05:21:08</t>
  </si>
  <si>
    <t xml:space="preserve">   2022/04/06 05:30:06</t>
  </si>
  <si>
    <t xml:space="preserve">   2022/04/06 05:39:03</t>
  </si>
  <si>
    <t xml:space="preserve">   2022/04/06 05:48:01</t>
  </si>
  <si>
    <t xml:space="preserve">   2022/04/06 05:56:58</t>
  </si>
  <si>
    <t xml:space="preserve">   2022/04/06 06:05:56</t>
  </si>
  <si>
    <t xml:space="preserve">   2022/04/06 06:14:53</t>
  </si>
  <si>
    <t xml:space="preserve">    P-1091</t>
  </si>
  <si>
    <t xml:space="preserve">   2022/04/06 06:23:51</t>
  </si>
  <si>
    <t xml:space="preserve">   2022/04/06 06:32:48</t>
  </si>
  <si>
    <t xml:space="preserve">   2022/04/06 06:41:46</t>
  </si>
  <si>
    <t xml:space="preserve">   2022/04/06 06:50:43</t>
  </si>
  <si>
    <t xml:space="preserve">   2022/04/06 06:59:41</t>
  </si>
  <si>
    <t xml:space="preserve">   2022/04/06 07:08:38</t>
  </si>
  <si>
    <t xml:space="preserve">   2022/04/06 07:17:36</t>
  </si>
  <si>
    <t xml:space="preserve">   2022/04/06 07:26:33</t>
  </si>
  <si>
    <t xml:space="preserve">   2022/04/06 07:35:31</t>
  </si>
  <si>
    <t xml:space="preserve">   2022/04/06 07:44:28</t>
  </si>
  <si>
    <t xml:space="preserve">   2022/04/06 07:53:26</t>
  </si>
  <si>
    <t xml:space="preserve">   2022/04/06 08:02:23</t>
  </si>
  <si>
    <t xml:space="preserve">   2022/04/06 08:11:21</t>
  </si>
  <si>
    <t xml:space="preserve">   2022/04/06 08:20:19</t>
  </si>
  <si>
    <t xml:space="preserve">   2022/04/06 08:29:16</t>
  </si>
  <si>
    <t xml:space="preserve">    P-1092</t>
  </si>
  <si>
    <t xml:space="preserve">   2022/04/06 08:38:14</t>
  </si>
  <si>
    <t xml:space="preserve">   2022/04/06 08:47:12</t>
  </si>
  <si>
    <t xml:space="preserve">   2022/04/06 08:56:10</t>
  </si>
  <si>
    <t xml:space="preserve">   2022/04/06 09:05:07</t>
  </si>
  <si>
    <t xml:space="preserve">   2022/04/06 09:14:05</t>
  </si>
  <si>
    <t xml:space="preserve">   2022/04/06 09:23:02</t>
  </si>
  <si>
    <t xml:space="preserve">   2022/04/06 09:32:00</t>
  </si>
  <si>
    <t xml:space="preserve">   2022/04/06 09:40:57</t>
  </si>
  <si>
    <t xml:space="preserve">   2022/04/06 09:49:55</t>
  </si>
  <si>
    <t xml:space="preserve">   2022/04/06 09:58:52</t>
  </si>
  <si>
    <t xml:space="preserve">   2022/04/06 10:07:50</t>
  </si>
  <si>
    <t xml:space="preserve">   2022/04/06 10:16:47</t>
  </si>
  <si>
    <t xml:space="preserve">   2022/04/06 10:25:45</t>
  </si>
  <si>
    <t xml:space="preserve">   2022/04/06 10:34:43</t>
  </si>
  <si>
    <t xml:space="preserve">   2022/04/06 10:43:40</t>
  </si>
  <si>
    <t xml:space="preserve">    P-1093</t>
  </si>
  <si>
    <t xml:space="preserve">   2022/04/06 10:52:37</t>
  </si>
  <si>
    <t xml:space="preserve">   2022/04/06 11:01:35</t>
  </si>
  <si>
    <t xml:space="preserve">   2022/04/06 11:10:32</t>
  </si>
  <si>
    <t xml:space="preserve">   2022/04/06 11:19:30</t>
  </si>
  <si>
    <t xml:space="preserve">   2022/04/06 11:28:27</t>
  </si>
  <si>
    <t xml:space="preserve">   2022/04/06 11:37:24</t>
  </si>
  <si>
    <t xml:space="preserve">    P-1094</t>
  </si>
  <si>
    <t xml:space="preserve">   2022/04/06 11:46:21</t>
  </si>
  <si>
    <t xml:space="preserve">   2022/04/06 11:55:19</t>
  </si>
  <si>
    <t xml:space="preserve">   2022/04/06 12:04:16</t>
  </si>
  <si>
    <t xml:space="preserve">   2022/04/06 12:13:13</t>
  </si>
  <si>
    <t xml:space="preserve">   2022/04/06 12:22:11</t>
  </si>
  <si>
    <t xml:space="preserve">   2022/04/06 12:31:08</t>
  </si>
  <si>
    <t xml:space="preserve">    P-1095</t>
  </si>
  <si>
    <t xml:space="preserve">   2022/04/06 12:40:05</t>
  </si>
  <si>
    <t xml:space="preserve">   2022/04/06 12:49:03</t>
  </si>
  <si>
    <t xml:space="preserve">   2022/04/06 12:58:00</t>
  </si>
  <si>
    <t xml:space="preserve">   2022/04/06 13:06:58</t>
  </si>
  <si>
    <t xml:space="preserve">   2022/04/06 13:15:55</t>
  </si>
  <si>
    <t xml:space="preserve">   2022/04/06 13:24:53</t>
  </si>
  <si>
    <t xml:space="preserve">    P-1096</t>
  </si>
  <si>
    <t xml:space="preserve">   2022/04/06 13:33:50</t>
  </si>
  <si>
    <t xml:space="preserve">   2022/04/06 13:42:47</t>
  </si>
  <si>
    <t xml:space="preserve">   2022/04/06 13:51:44</t>
  </si>
  <si>
    <t xml:space="preserve">   2022/04/06 14:00:42</t>
  </si>
  <si>
    <t xml:space="preserve">   2022/04/06 14:09:39</t>
  </si>
  <si>
    <t xml:space="preserve">   2022/04/06 14:18:36</t>
  </si>
  <si>
    <t xml:space="preserve">    P-1097</t>
  </si>
  <si>
    <t xml:space="preserve">   2022/04/06 14:27:34</t>
  </si>
  <si>
    <t xml:space="preserve">   2022/04/06 14:36:31</t>
  </si>
  <si>
    <t xml:space="preserve">   2022/04/06 14:45:29</t>
  </si>
  <si>
    <t xml:space="preserve">   2022/04/06 14:54:26</t>
  </si>
  <si>
    <t xml:space="preserve">   2022/04/06 15:03:23</t>
  </si>
  <si>
    <t xml:space="preserve">   2022/04/06 15:12:21</t>
  </si>
  <si>
    <t xml:space="preserve">    P-1098</t>
  </si>
  <si>
    <t xml:space="preserve">   2022/04/06 15:21:18</t>
  </si>
  <si>
    <t xml:space="preserve">   2022/04/06 15:30:16</t>
  </si>
  <si>
    <t xml:space="preserve">   2022/04/06 15:39:13</t>
  </si>
  <si>
    <t xml:space="preserve">   2022/04/06 15:48:10</t>
  </si>
  <si>
    <t xml:space="preserve">   2022/04/06 15:57:08</t>
  </si>
  <si>
    <t xml:space="preserve">   2022/04/06 16:06:05</t>
  </si>
  <si>
    <t xml:space="preserve">    P-1099</t>
  </si>
  <si>
    <t xml:space="preserve">   2022/04/06 16:15:03</t>
  </si>
  <si>
    <t xml:space="preserve">   2022/04/06 16:24:00</t>
  </si>
  <si>
    <t xml:space="preserve">   2022/04/06 16:32:57</t>
  </si>
  <si>
    <t xml:space="preserve">   2022/04/06 16:41:55</t>
  </si>
  <si>
    <t xml:space="preserve">   2022/04/06 16:50:52</t>
  </si>
  <si>
    <t xml:space="preserve">   2022/04/06 16:59:50</t>
  </si>
  <si>
    <t xml:space="preserve">    P-1100</t>
  </si>
  <si>
    <t xml:space="preserve">   2022/04/06 17:08:47</t>
  </si>
  <si>
    <t xml:space="preserve">   2022/04/06 17:17:45</t>
  </si>
  <si>
    <t xml:space="preserve">   2022/04/06 17:26:42</t>
  </si>
  <si>
    <t xml:space="preserve">   2022/04/06 17:35:39</t>
  </si>
  <si>
    <t xml:space="preserve">   2022/04/06 17:44:36</t>
  </si>
  <si>
    <t xml:space="preserve">   2022/04/06 17:53:33</t>
  </si>
  <si>
    <t xml:space="preserve">    P-1101</t>
  </si>
  <si>
    <t xml:space="preserve">   2022/04/06 18:02:31</t>
  </si>
  <si>
    <t xml:space="preserve">   2022/04/06 18:11:28</t>
  </si>
  <si>
    <t xml:space="preserve">   2022/04/06 18:20:26</t>
  </si>
  <si>
    <t xml:space="preserve">   2022/04/06 18:29:23</t>
  </si>
  <si>
    <t xml:space="preserve">   2022/04/06 18:38:21</t>
  </si>
  <si>
    <t xml:space="preserve">   2022/04/06 18:47:18</t>
  </si>
  <si>
    <t xml:space="preserve">    P-1102</t>
  </si>
  <si>
    <t xml:space="preserve">   2022/04/06 18:56:16</t>
  </si>
  <si>
    <t xml:space="preserve">   2022/04/06 19:05:13</t>
  </si>
  <si>
    <t xml:space="preserve">   2022/04/06 19:14:11</t>
  </si>
  <si>
    <t xml:space="preserve">   2022/04/06 19:23:08</t>
  </si>
  <si>
    <t xml:space="preserve">   2022/04/06 19:32:05</t>
  </si>
  <si>
    <t xml:space="preserve">   2022/04/06 19:41:03</t>
  </si>
  <si>
    <t xml:space="preserve">    P-1103</t>
  </si>
  <si>
    <t xml:space="preserve">   2022/04/06 19:50:00</t>
  </si>
  <si>
    <t xml:space="preserve">   2022/04/06 19:58:58</t>
  </si>
  <si>
    <t xml:space="preserve">   2022/04/06 20:07:55</t>
  </si>
  <si>
    <t xml:space="preserve">   2022/04/06 20:16:52</t>
  </si>
  <si>
    <t xml:space="preserve">   2022/04/06 20:25:50</t>
  </si>
  <si>
    <t xml:space="preserve">   2022/04/06 20:34:47</t>
  </si>
  <si>
    <t xml:space="preserve">    P-1104</t>
  </si>
  <si>
    <t xml:space="preserve">   2022/04/06 20:43:44</t>
  </si>
  <si>
    <t xml:space="preserve">   2022/04/06 20:52:42</t>
  </si>
  <si>
    <t xml:space="preserve">   2022/04/06 21:01:39</t>
  </si>
  <si>
    <t xml:space="preserve">   2022/04/06 21:10:36</t>
  </si>
  <si>
    <t xml:space="preserve">   2022/04/06 21:19:34</t>
  </si>
  <si>
    <t xml:space="preserve">   2022/04/06 21:28:31</t>
  </si>
  <si>
    <t xml:space="preserve">    P-1105</t>
  </si>
  <si>
    <t xml:space="preserve">   2022/04/06 21:37:29</t>
  </si>
  <si>
    <t xml:space="preserve">   2022/04/06 21:46:26</t>
  </si>
  <si>
    <t xml:space="preserve">   2022/04/06 21:55:23</t>
  </si>
  <si>
    <t xml:space="preserve">   2022/04/06 22:04:21</t>
  </si>
  <si>
    <t xml:space="preserve">   2022/04/06 22:13:19</t>
  </si>
  <si>
    <t xml:space="preserve">   2022/04/06 22:22:16</t>
  </si>
  <si>
    <t xml:space="preserve">    P-1106</t>
  </si>
  <si>
    <t xml:space="preserve">   2022/04/06 22:31:14</t>
  </si>
  <si>
    <t xml:space="preserve">   2022/04/06 22:40:11</t>
  </si>
  <si>
    <t xml:space="preserve">   2022/04/06 22:49:08</t>
  </si>
  <si>
    <t xml:space="preserve">   2022/04/06 22:58:06</t>
  </si>
  <si>
    <t xml:space="preserve">   2022/04/06 23:07:03</t>
  </si>
  <si>
    <t xml:space="preserve">   2022/04/06 23:16:01</t>
  </si>
  <si>
    <t xml:space="preserve">    P-1107</t>
  </si>
  <si>
    <t xml:space="preserve">   2022/04/06 23:24:58</t>
  </si>
  <si>
    <t xml:space="preserve">   2022/04/06 23:33:55</t>
  </si>
  <si>
    <t xml:space="preserve">   2022/04/06 23:42:52</t>
  </si>
  <si>
    <t xml:space="preserve">   2022/04/06 23:51:49</t>
  </si>
  <si>
    <t xml:space="preserve">   2022/04/07 00:00:47</t>
  </si>
  <si>
    <t xml:space="preserve">   2022/04/07 00:09:44</t>
  </si>
  <si>
    <t xml:space="preserve">    P-1108</t>
  </si>
  <si>
    <t xml:space="preserve">   2022/04/07 00:18:41</t>
  </si>
  <si>
    <t xml:space="preserve">   2022/04/07 00:27:39</t>
  </si>
  <si>
    <t xml:space="preserve">   2022/04/07 00:36:36</t>
  </si>
  <si>
    <t xml:space="preserve">   2022/04/07 00:45:33</t>
  </si>
  <si>
    <t xml:space="preserve">   2022/04/07 00:54:30</t>
  </si>
  <si>
    <t xml:space="preserve">   2022/04/07 01:03:28</t>
  </si>
  <si>
    <t xml:space="preserve">    P-1109</t>
  </si>
  <si>
    <t xml:space="preserve">   2022/04/07 01:12:26</t>
  </si>
  <si>
    <t xml:space="preserve">   2022/04/07 01:21:23</t>
  </si>
  <si>
    <t xml:space="preserve">   2022/04/07 01:30:20</t>
  </si>
  <si>
    <t xml:space="preserve">   2022/04/07 01:39:18</t>
  </si>
  <si>
    <t xml:space="preserve">   2022/04/07 01:48:15</t>
  </si>
  <si>
    <t xml:space="preserve">   2022/04/07 01:57:13</t>
  </si>
  <si>
    <t xml:space="preserve">    P-1110</t>
  </si>
  <si>
    <t xml:space="preserve">   2022/04/07 02:06:10</t>
  </si>
  <si>
    <t xml:space="preserve">   2022/04/07 02:15:07</t>
  </si>
  <si>
    <t xml:space="preserve">   2022/04/07 02:24:05</t>
  </si>
  <si>
    <t xml:space="preserve">   2022/04/07 02:33:02</t>
  </si>
  <si>
    <t xml:space="preserve">   2022/04/07 02:41:59</t>
  </si>
  <si>
    <t xml:space="preserve">   2022/04/07 02:50:57</t>
  </si>
  <si>
    <t xml:space="preserve">    P-1111</t>
  </si>
  <si>
    <t xml:space="preserve">   2022/04/07 02:59:54</t>
  </si>
  <si>
    <t xml:space="preserve">   2022/04/07 03:08:51</t>
  </si>
  <si>
    <t xml:space="preserve">   2022/04/07 03:17:48</t>
  </si>
  <si>
    <t xml:space="preserve">   2022/04/07 03:26:46</t>
  </si>
  <si>
    <t xml:space="preserve">   2022/04/07 03:35:43</t>
  </si>
  <si>
    <t xml:space="preserve">   2022/04/07 03:44:40</t>
  </si>
  <si>
    <t xml:space="preserve">    P-1112</t>
  </si>
  <si>
    <t xml:space="preserve">   2022/04/07 03:53:38</t>
  </si>
  <si>
    <t xml:space="preserve">   2022/04/07 04:02:35</t>
  </si>
  <si>
    <t xml:space="preserve">   2022/04/07 04:11:33</t>
  </si>
  <si>
    <t xml:space="preserve">   2022/04/07 04:20:30</t>
  </si>
  <si>
    <t xml:space="preserve">   2022/04/07 04:29:28</t>
  </si>
  <si>
    <t xml:space="preserve">   2022/04/07 04:38:25</t>
  </si>
  <si>
    <t xml:space="preserve">    P-1113</t>
  </si>
  <si>
    <t xml:space="preserve">   2022/04/07 04:47:22</t>
  </si>
  <si>
    <t xml:space="preserve">   2022/04/07 04:56:20</t>
  </si>
  <si>
    <t xml:space="preserve">   2022/04/07 05:05:17</t>
  </si>
  <si>
    <t xml:space="preserve">   2022/04/07 05:14:15</t>
  </si>
  <si>
    <t xml:space="preserve">   2022/04/07 05:23:12</t>
  </si>
  <si>
    <t xml:space="preserve">   2022/04/07 05:32:09</t>
  </si>
  <si>
    <t xml:space="preserve">    P-1114</t>
  </si>
  <si>
    <t xml:space="preserve">   2022/04/07 05:41:07</t>
  </si>
  <si>
    <t xml:space="preserve">   2022/04/07 05:50:04</t>
  </si>
  <si>
    <t xml:space="preserve">   2022/04/07 05:59:01</t>
  </si>
  <si>
    <t xml:space="preserve">   2022/04/07 06:07:58</t>
  </si>
  <si>
    <t xml:space="preserve">   2022/04/07 06:16:55</t>
  </si>
  <si>
    <t xml:space="preserve">   2022/04/07 06:25:52</t>
  </si>
  <si>
    <t xml:space="preserve">    P-1115</t>
  </si>
  <si>
    <t xml:space="preserve">   2022/04/07 06:34:50</t>
  </si>
  <si>
    <t xml:space="preserve">   2022/04/07 06:43:47</t>
  </si>
  <si>
    <t xml:space="preserve">   2022/04/07 06:52:44</t>
  </si>
  <si>
    <t xml:space="preserve">   2022/04/07 07:01:42</t>
  </si>
  <si>
    <t xml:space="preserve">   2022/04/07 07:10:39</t>
  </si>
  <si>
    <t xml:space="preserve">   2022/04/07 07:19:36</t>
  </si>
  <si>
    <t xml:space="preserve">    P-1116</t>
  </si>
  <si>
    <t xml:space="preserve">   2022/04/07 07:28:33</t>
  </si>
  <si>
    <t xml:space="preserve">   2022/04/07 07:37:31</t>
  </si>
  <si>
    <t xml:space="preserve">   2022/04/07 07:46:29</t>
  </si>
  <si>
    <t xml:space="preserve">   2022/04/07 07:55:26</t>
  </si>
  <si>
    <t xml:space="preserve">   2022/04/07 08:04:23</t>
  </si>
  <si>
    <t xml:space="preserve">   2022/04/07 08:13:20</t>
  </si>
  <si>
    <t xml:space="preserve">    P-1117</t>
  </si>
  <si>
    <t xml:space="preserve">   2022/04/07 08:22:17</t>
  </si>
  <si>
    <t xml:space="preserve">   2022/04/07 08:31:14</t>
  </si>
  <si>
    <t xml:space="preserve">   2022/04/07 08:40:12</t>
  </si>
  <si>
    <t xml:space="preserve">   2022/04/07 08:49:09</t>
  </si>
  <si>
    <t xml:space="preserve">   2022/04/07 08:58:06</t>
  </si>
  <si>
    <t xml:space="preserve">   2022/04/07 09:07:04</t>
  </si>
  <si>
    <t xml:space="preserve">    P-1118</t>
  </si>
  <si>
    <t xml:space="preserve">   2022/04/07 09:16:01</t>
  </si>
  <si>
    <t xml:space="preserve">   2022/04/07 09:24:58</t>
  </si>
  <si>
    <t xml:space="preserve">   2022/04/07 09:33:56</t>
  </si>
  <si>
    <t xml:space="preserve">   2022/04/07 09:42:53</t>
  </si>
  <si>
    <t xml:space="preserve">   2022/04/07 09:51:50</t>
  </si>
  <si>
    <t xml:space="preserve">   2022/04/07 10:00:48</t>
  </si>
  <si>
    <t xml:space="preserve">    P-1119</t>
  </si>
  <si>
    <t xml:space="preserve">   2022/04/07 10:09:45</t>
  </si>
  <si>
    <t xml:space="preserve">   2022/04/07 10:18:42</t>
  </si>
  <si>
    <t xml:space="preserve">   2022/04/07 10:27:40</t>
  </si>
  <si>
    <t xml:space="preserve">   2022/04/07 10:36:37</t>
  </si>
  <si>
    <t xml:space="preserve">   2022/04/07 10:45:34</t>
  </si>
  <si>
    <t xml:space="preserve">   2022/04/07 10:54:31</t>
  </si>
  <si>
    <t xml:space="preserve">    P-1120</t>
  </si>
  <si>
    <t xml:space="preserve">   2022/04/07 11:03:28</t>
  </si>
  <si>
    <t xml:space="preserve">   2022/04/07 11:12:25</t>
  </si>
  <si>
    <t xml:space="preserve">   2022/04/07 11:21:23</t>
  </si>
  <si>
    <t xml:space="preserve">   2022/04/07 11:30:20</t>
  </si>
  <si>
    <t xml:space="preserve">   2022/04/07 11:39:18</t>
  </si>
  <si>
    <t xml:space="preserve">   2022/04/07 11:48:15</t>
  </si>
  <si>
    <t xml:space="preserve">    P-1121</t>
  </si>
  <si>
    <t xml:space="preserve">   2022/04/07 11:57:12</t>
  </si>
  <si>
    <t xml:space="preserve">   2022/04/07 12:06:10</t>
  </si>
  <si>
    <t xml:space="preserve">   2022/04/07 12:15:06</t>
  </si>
  <si>
    <t xml:space="preserve">   2022/04/07 12:24:03</t>
  </si>
  <si>
    <t xml:space="preserve">   2022/04/07 12:33:00</t>
  </si>
  <si>
    <t xml:space="preserve">   2022/04/07 12:41:58</t>
  </si>
  <si>
    <t xml:space="preserve">    P-1122</t>
  </si>
  <si>
    <t xml:space="preserve">   2022/04/07 12:50:55</t>
  </si>
  <si>
    <t xml:space="preserve">   2022/04/07 12:59:52</t>
  </si>
  <si>
    <t xml:space="preserve">   2022/04/07 13:08:49</t>
  </si>
  <si>
    <t xml:space="preserve">   2022/04/07 13:17:46</t>
  </si>
  <si>
    <t xml:space="preserve">   2022/04/07 13:26:43</t>
  </si>
  <si>
    <t xml:space="preserve">   2022/04/07 13:35:41</t>
  </si>
  <si>
    <t xml:space="preserve">    P-1123</t>
  </si>
  <si>
    <t xml:space="preserve">   2022/04/07 13:44:38</t>
  </si>
  <si>
    <t xml:space="preserve">   2022/04/07 13:53:35</t>
  </si>
  <si>
    <t xml:space="preserve">   2022/04/07 14:02:32</t>
  </si>
  <si>
    <t xml:space="preserve">   2022/04/07 14:11:29</t>
  </si>
  <si>
    <t xml:space="preserve">   2022/04/07 14:20:27</t>
  </si>
  <si>
    <t xml:space="preserve">   2022/04/07 14:29:24</t>
  </si>
  <si>
    <t xml:space="preserve">    P-1124</t>
  </si>
  <si>
    <t xml:space="preserve">   2022/04/07 14:38:21</t>
  </si>
  <si>
    <t xml:space="preserve">   2022/04/07 14:47:18</t>
  </si>
  <si>
    <t xml:space="preserve">   2022/04/07 14:56:16</t>
  </si>
  <si>
    <t xml:space="preserve">   2022/04/07 15:05:13</t>
  </si>
  <si>
    <t xml:space="preserve">   2022/04/07 15:14:10</t>
  </si>
  <si>
    <t xml:space="preserve">   2022/04/07 15:23:07</t>
  </si>
  <si>
    <t xml:space="preserve">   2022/04/07 15:32:04</t>
  </si>
  <si>
    <t xml:space="preserve">   2022/04/07 15:41:02</t>
  </si>
  <si>
    <t xml:space="preserve">   2022/04/07 15:49:59</t>
  </si>
  <si>
    <t xml:space="preserve">   2022/04/07 15:58:56</t>
  </si>
  <si>
    <t xml:space="preserve">   2022/04/07 16:07:53</t>
  </si>
  <si>
    <t xml:space="preserve">   2022/04/07 16:16:50</t>
  </si>
  <si>
    <t xml:space="preserve">   2022/04/07 16:25:48</t>
  </si>
  <si>
    <t xml:space="preserve">   2022/04/07 16:34:45</t>
  </si>
  <si>
    <t xml:space="preserve">   2022/04/07 16:43:42</t>
  </si>
  <si>
    <t xml:space="preserve">    P-1125</t>
  </si>
  <si>
    <t xml:space="preserve">   2022/04/07 16:52:39</t>
  </si>
  <si>
    <t xml:space="preserve">   2022/04/07 17:01:37</t>
  </si>
  <si>
    <t xml:space="preserve">   2022/04/07 17:10:34</t>
  </si>
  <si>
    <t xml:space="preserve">   2022/04/07 17:19:31</t>
  </si>
  <si>
    <t xml:space="preserve">   2022/04/07 17:28:29</t>
  </si>
  <si>
    <t xml:space="preserve">   2022/04/07 17:37:26</t>
  </si>
  <si>
    <t xml:space="preserve">   2022/04/07 17:46:23</t>
  </si>
  <si>
    <t xml:space="preserve">   2022/04/07 17:55:20</t>
  </si>
  <si>
    <t xml:space="preserve">   2022/04/07 18:04:17</t>
  </si>
  <si>
    <t xml:space="preserve">   2022/04/07 18:13:15</t>
  </si>
  <si>
    <t xml:space="preserve">   2022/04/07 18:22:12</t>
  </si>
  <si>
    <t xml:space="preserve">   2022/04/07 18:31:09</t>
  </si>
  <si>
    <t xml:space="preserve">   2022/04/07 18:40:07</t>
  </si>
  <si>
    <t xml:space="preserve">   2022/04/07 18:49:04</t>
  </si>
  <si>
    <t xml:space="preserve">   2022/04/07 18:58:01</t>
  </si>
  <si>
    <t xml:space="preserve">    P-1126</t>
  </si>
  <si>
    <t xml:space="preserve">   2022/04/07 19:06:58</t>
  </si>
  <si>
    <t xml:space="preserve">   2022/04/07 19:15:56</t>
  </si>
  <si>
    <t xml:space="preserve">   2022/04/07 19:24:53</t>
  </si>
  <si>
    <t xml:space="preserve">   2022/04/07 19:33:50</t>
  </si>
  <si>
    <t xml:space="preserve">   2022/04/07 19:42:48</t>
  </si>
  <si>
    <t xml:space="preserve">   2022/04/07 19:51:45</t>
  </si>
  <si>
    <t xml:space="preserve">   2022/04/07 20:00:42</t>
  </si>
  <si>
    <t xml:space="preserve">   2022/04/07 20:09:40</t>
  </si>
  <si>
    <t xml:space="preserve">   2022/04/07 20:18:37</t>
  </si>
  <si>
    <t xml:space="preserve">   2022/04/07 20:27:34</t>
  </si>
  <si>
    <t xml:space="preserve">   2022/04/07 20:36:31</t>
  </si>
  <si>
    <t xml:space="preserve">   2022/04/07 20:45:28</t>
  </si>
  <si>
    <t xml:space="preserve">   2022/04/07 20:54:26</t>
  </si>
  <si>
    <t xml:space="preserve">   2022/04/07 21:03:23</t>
  </si>
  <si>
    <t xml:space="preserve">   2022/04/07 21:12:20</t>
  </si>
  <si>
    <t xml:space="preserve">    P-1127</t>
  </si>
  <si>
    <t xml:space="preserve">   2022/04/07 21:21:18</t>
  </si>
  <si>
    <t xml:space="preserve">   2022/04/07 21:30:15</t>
  </si>
  <si>
    <t xml:space="preserve">   2022/04/07 21:39:13</t>
  </si>
  <si>
    <t xml:space="preserve">   2022/04/07 21:48:10</t>
  </si>
  <si>
    <t xml:space="preserve">   2022/04/07 21:57:07</t>
  </si>
  <si>
    <t xml:space="preserve">   2022/04/07 22:06:05</t>
  </si>
  <si>
    <t xml:space="preserve">   2022/04/07 22:15:02</t>
  </si>
  <si>
    <t xml:space="preserve">   2022/04/07 22:23:59</t>
  </si>
  <si>
    <t xml:space="preserve">   2022/04/07 22:32:57</t>
  </si>
  <si>
    <t xml:space="preserve">   2022/04/07 22:41:54</t>
  </si>
  <si>
    <t xml:space="preserve">   2022/04/07 22:50:51</t>
  </si>
  <si>
    <t xml:space="preserve">   2022/04/07 22:59:48</t>
  </si>
  <si>
    <t xml:space="preserve">   2022/04/07 23:08:45</t>
  </si>
  <si>
    <t xml:space="preserve">   2022/04/07 23:17:42</t>
  </si>
  <si>
    <t xml:space="preserve">   2022/04/07 23:26:40</t>
  </si>
  <si>
    <t xml:space="preserve">    P-1128</t>
  </si>
  <si>
    <t xml:space="preserve">   2022/04/07 23:35:37</t>
  </si>
  <si>
    <t xml:space="preserve">   2022/04/07 23:44:34</t>
  </si>
  <si>
    <t xml:space="preserve">   2022/04/07 23:53:31</t>
  </si>
  <si>
    <t xml:space="preserve">   2022/04/08 00:02:28</t>
  </si>
  <si>
    <t xml:space="preserve">   2022/04/08 00:11:26</t>
  </si>
  <si>
    <t xml:space="preserve">   2022/04/08 00:20:23</t>
  </si>
  <si>
    <t xml:space="preserve">    P-1129</t>
  </si>
  <si>
    <t xml:space="preserve">   2022/04/08 00:29:20</t>
  </si>
  <si>
    <t xml:space="preserve">   2022/04/08 00:38:17</t>
  </si>
  <si>
    <t xml:space="preserve">   2022/04/08 00:47:15</t>
  </si>
  <si>
    <t xml:space="preserve">   2022/04/08 00:56:12</t>
  </si>
  <si>
    <t xml:space="preserve">   2022/04/08 01:05:09</t>
  </si>
  <si>
    <t xml:space="preserve">   2022/04/08 01:14:06</t>
  </si>
  <si>
    <t xml:space="preserve">    P-1130</t>
  </si>
  <si>
    <t xml:space="preserve">   2022/04/08 01:23:03</t>
  </si>
  <si>
    <t xml:space="preserve">   2022/04/08 01:32:00</t>
  </si>
  <si>
    <t xml:space="preserve">   2022/04/08 01:40:57</t>
  </si>
  <si>
    <t xml:space="preserve">   2022/04/08 01:49:55</t>
  </si>
  <si>
    <t xml:space="preserve">   2022/04/08 01:58:52</t>
  </si>
  <si>
    <t xml:space="preserve">   2022/04/08 02:07:49</t>
  </si>
  <si>
    <t xml:space="preserve">    P-1131</t>
  </si>
  <si>
    <t xml:space="preserve">   2022/04/08 02:16:46</t>
  </si>
  <si>
    <t xml:space="preserve">   2022/04/08 02:25:43</t>
  </si>
  <si>
    <t xml:space="preserve">   2022/04/08 02:34:41</t>
  </si>
  <si>
    <t xml:space="preserve">   2022/04/08 02:43:38</t>
  </si>
  <si>
    <t xml:space="preserve">   2022/04/08 02:52:35</t>
  </si>
  <si>
    <t xml:space="preserve">   2022/04/08 03:01:32</t>
  </si>
  <si>
    <t xml:space="preserve">    P-1132</t>
  </si>
  <si>
    <t xml:space="preserve">   2022/04/08 03:10:30</t>
  </si>
  <si>
    <t xml:space="preserve">   2022/04/08 03:19:27</t>
  </si>
  <si>
    <t xml:space="preserve">   2022/04/08 03:28:24</t>
  </si>
  <si>
    <t xml:space="preserve">   2022/04/08 03:37:22</t>
  </si>
  <si>
    <t xml:space="preserve">   2022/04/08 03:46:19</t>
  </si>
  <si>
    <t xml:space="preserve">   2022/04/08 03:55:16</t>
  </si>
  <si>
    <t xml:space="preserve">    P-1133</t>
  </si>
  <si>
    <t xml:space="preserve">   2022/04/08 04:04:13</t>
  </si>
  <si>
    <t xml:space="preserve">   2022/04/08 04:13:11</t>
  </si>
  <si>
    <t xml:space="preserve">   2022/04/08 04:22:08</t>
  </si>
  <si>
    <t xml:space="preserve">   2022/04/08 04:31:05</t>
  </si>
  <si>
    <t xml:space="preserve">   2022/04/08 04:40:02</t>
  </si>
  <si>
    <t xml:space="preserve">   2022/04/08 04:49:00</t>
  </si>
  <si>
    <t xml:space="preserve">    P-1134</t>
  </si>
  <si>
    <t xml:space="preserve">   2022/04/08 04:57:57</t>
  </si>
  <si>
    <t xml:space="preserve">   2022/04/08 05:06:55</t>
  </si>
  <si>
    <t xml:space="preserve">   2022/04/08 05:15:52</t>
  </si>
  <si>
    <t xml:space="preserve">   2022/04/08 05:24:50</t>
  </si>
  <si>
    <t xml:space="preserve">   2022/04/08 05:33:47</t>
  </si>
  <si>
    <t xml:space="preserve">   2022/04/08 05:42:44</t>
  </si>
  <si>
    <t xml:space="preserve">    P-1135</t>
  </si>
  <si>
    <t xml:space="preserve">   2022/04/08 05:51:42</t>
  </si>
  <si>
    <t xml:space="preserve">   2022/04/08 06:00:39</t>
  </si>
  <si>
    <t xml:space="preserve">   2022/04/08 06:09:36</t>
  </si>
  <si>
    <t xml:space="preserve">   2022/04/08 06:18:33</t>
  </si>
  <si>
    <t xml:space="preserve">   2022/04/08 06:27:30</t>
  </si>
  <si>
    <t xml:space="preserve">   2022/04/08 06:36:27</t>
  </si>
  <si>
    <t xml:space="preserve">    P-1136</t>
  </si>
  <si>
    <t xml:space="preserve">   2022/04/08 06:45:25</t>
  </si>
  <si>
    <t xml:space="preserve">   2022/04/08 06:54:22</t>
  </si>
  <si>
    <t xml:space="preserve">   2022/04/08 07:03:19</t>
  </si>
  <si>
    <t xml:space="preserve">   2022/04/08 07:12:16</t>
  </si>
  <si>
    <t xml:space="preserve">   2022/04/08 07:21:13</t>
  </si>
  <si>
    <t xml:space="preserve">   2022/04/08 07:30:11</t>
  </si>
  <si>
    <t xml:space="preserve">    P-1137</t>
  </si>
  <si>
    <t xml:space="preserve">   2022/04/08 07:39:08</t>
  </si>
  <si>
    <t xml:space="preserve">   2022/04/08 07:48:05</t>
  </si>
  <si>
    <t xml:space="preserve">   2022/04/08 07:57:02</t>
  </si>
  <si>
    <t xml:space="preserve">   2022/04/08 08:05:59</t>
  </si>
  <si>
    <t xml:space="preserve">   2022/04/08 08:14:56</t>
  </si>
  <si>
    <t xml:space="preserve">   2022/04/08 08:23:53</t>
  </si>
  <si>
    <t xml:space="preserve">    P-1138</t>
  </si>
  <si>
    <t xml:space="preserve">   2022/04/08 08:32:50</t>
  </si>
  <si>
    <t xml:space="preserve">   2022/04/08 08:41:47</t>
  </si>
  <si>
    <t xml:space="preserve">   2022/04/08 08:50:44</t>
  </si>
  <si>
    <t xml:space="preserve">   2022/04/08 08:59:42</t>
  </si>
  <si>
    <t xml:space="preserve">   2022/04/08 09:08:39</t>
  </si>
  <si>
    <t xml:space="preserve">   2022/04/08 09:17:36</t>
  </si>
  <si>
    <t xml:space="preserve">    P-1139</t>
  </si>
  <si>
    <t xml:space="preserve">   2022/04/08 09:26:33</t>
  </si>
  <si>
    <t xml:space="preserve">   2022/04/08 09:35:30</t>
  </si>
  <si>
    <t xml:space="preserve">   2022/04/08 09:44:27</t>
  </si>
  <si>
    <t xml:space="preserve">   2022/04/08 09:53:25</t>
  </si>
  <si>
    <t xml:space="preserve">   2022/04/08 10:02:22</t>
  </si>
  <si>
    <t xml:space="preserve">   2022/04/08 10:11:19</t>
  </si>
  <si>
    <t xml:space="preserve">    P-1140</t>
  </si>
  <si>
    <t xml:space="preserve">   2022/04/08 10:20:16</t>
  </si>
  <si>
    <t xml:space="preserve">   2022/04/08 10:29:13</t>
  </si>
  <si>
    <t xml:space="preserve">   2022/04/08 10:38:10</t>
  </si>
  <si>
    <t xml:space="preserve">   2022/04/08 10:47:07</t>
  </si>
  <si>
    <t xml:space="preserve">   2022/04/08 10:56:04</t>
  </si>
  <si>
    <t xml:space="preserve">   2022/04/08 11:05:01</t>
  </si>
  <si>
    <t xml:space="preserve">    P-1141</t>
  </si>
  <si>
    <t xml:space="preserve">   2022/04/08 11:13:59</t>
  </si>
  <si>
    <t xml:space="preserve">   2022/04/08 11:22:56</t>
  </si>
  <si>
    <t xml:space="preserve">   2022/04/08 11:31:53</t>
  </si>
  <si>
    <t xml:space="preserve">   2022/04/08 11:40:50</t>
  </si>
  <si>
    <t xml:space="preserve">   2022/04/08 11:49:47</t>
  </si>
  <si>
    <t xml:space="preserve">   2022/04/08 11:58:44</t>
  </si>
  <si>
    <t xml:space="preserve">    P-1142</t>
  </si>
  <si>
    <t xml:space="preserve">   2022/04/08 12:07:41</t>
  </si>
  <si>
    <t xml:space="preserve">   2022/04/08 12:16:38</t>
  </si>
  <si>
    <t xml:space="preserve">   2022/04/08 12:25:35</t>
  </si>
  <si>
    <t xml:space="preserve">   2022/04/08 12:34:32</t>
  </si>
  <si>
    <t xml:space="preserve">   2022/04/08 12:43:29</t>
  </si>
  <si>
    <t xml:space="preserve">   2022/04/08 12:52:26</t>
  </si>
  <si>
    <t xml:space="preserve">    P-1143</t>
  </si>
  <si>
    <t xml:space="preserve">   2022/04/08 13:01:23</t>
  </si>
  <si>
    <t xml:space="preserve">   2022/04/08 13:10:20</t>
  </si>
  <si>
    <t xml:space="preserve">   2022/04/08 13:19:17</t>
  </si>
  <si>
    <t xml:space="preserve">   2022/04/08 13:28:15</t>
  </si>
  <si>
    <t xml:space="preserve">   2022/04/08 13:37:12</t>
  </si>
  <si>
    <t xml:space="preserve">   2022/04/08 13:46:09</t>
  </si>
  <si>
    <t xml:space="preserve">    P-1144</t>
  </si>
  <si>
    <t xml:space="preserve">   2022/04/08 13:55:06</t>
  </si>
  <si>
    <t xml:space="preserve">           1-87</t>
  </si>
  <si>
    <t xml:space="preserve">   2022/04/08 14:04:03</t>
  </si>
  <si>
    <t xml:space="preserve">   2022/04/08 14:13:00</t>
  </si>
  <si>
    <t xml:space="preserve">   2022/04/08 14:21:57</t>
  </si>
  <si>
    <t xml:space="preserve">   2022/04/08 14:30:54</t>
  </si>
  <si>
    <t xml:space="preserve">   2022/04/08 14:39:51</t>
  </si>
  <si>
    <t>WAIS_01M01_2_RAW_20210809</t>
  </si>
  <si>
    <t>WAIS_02M06_2_RAW_20210809</t>
  </si>
  <si>
    <t>WAIS_SFM01_1_RAW_20211214</t>
  </si>
  <si>
    <t>WAIS_N01B_1_RAW_20210903</t>
  </si>
  <si>
    <t>WAIS_N4DWSeep1_RAW_20220211</t>
  </si>
  <si>
    <t>WAIS_N4DWSeep2_RAW_20220211</t>
  </si>
  <si>
    <t>WAIS_N4DSeep4_RAW_20220211</t>
  </si>
  <si>
    <t>WAIS_N2BSeepB_RAW_20220211</t>
  </si>
  <si>
    <t>WAIS_33Eis_1_Filt_20220113</t>
  </si>
  <si>
    <t>WAIS_ENM01_1_RAW_20211123</t>
  </si>
  <si>
    <t>WAIS_ENM03_1_RAW_20210827</t>
  </si>
  <si>
    <t>4_6_MOR_DUP_N4D_20220113</t>
  </si>
  <si>
    <t>4_6_Eis2_DUP_20220113</t>
  </si>
  <si>
    <t>3_5_MOR_N4D_DUP_20220113</t>
  </si>
  <si>
    <t>WAIS_ENM03_1_RAW_20210811</t>
  </si>
  <si>
    <t>WAIS_ENM01_1_RAW_20210916</t>
  </si>
  <si>
    <t>WAIS_SFM01_1_RAW_20210903</t>
  </si>
  <si>
    <t>WAIS_ENM03_1_RAW_20211015</t>
  </si>
  <si>
    <t>TLM01 20211007</t>
  </si>
  <si>
    <t>TLM01 20211026</t>
  </si>
  <si>
    <t>TLM01 20211110</t>
  </si>
  <si>
    <t>TLM01 20220105</t>
  </si>
  <si>
    <t>TLM01 20220131</t>
  </si>
  <si>
    <t>TLP01 20220124</t>
  </si>
  <si>
    <t>TLM01 20220124</t>
  </si>
  <si>
    <t>TLC01 20220124</t>
  </si>
  <si>
    <t>TLM10 20220124</t>
  </si>
  <si>
    <t>TLM06 20220124</t>
  </si>
  <si>
    <t>TLA01 20220124</t>
  </si>
  <si>
    <t>TLM16 20220124</t>
  </si>
  <si>
    <t>TLM19 20220124</t>
  </si>
  <si>
    <t>TLM01 20220330</t>
  </si>
  <si>
    <t>TLC01 20220330</t>
  </si>
  <si>
    <t>TLM06 20220330</t>
  </si>
  <si>
    <t>TLM10 20220330</t>
  </si>
  <si>
    <t>TLA01 20220330</t>
  </si>
  <si>
    <t>TLM16 20220330</t>
  </si>
  <si>
    <t>TLM19 20220330</t>
  </si>
  <si>
    <t>TAL Precip 20220330</t>
  </si>
  <si>
    <t>WHM01 20211014</t>
  </si>
  <si>
    <t>WHM01 20211104</t>
  </si>
  <si>
    <t>WHM01 20211129</t>
  </si>
  <si>
    <t>WHM01 20211220</t>
  </si>
  <si>
    <t>WHM01 20220106</t>
  </si>
  <si>
    <t>WHA02 20220322</t>
  </si>
  <si>
    <t>WHM03 20220322</t>
  </si>
  <si>
    <t>WHM07 20220322</t>
  </si>
  <si>
    <t>WHM10 20220322</t>
  </si>
  <si>
    <t>WHM12 20220322</t>
  </si>
  <si>
    <t>PRM01 20211013</t>
  </si>
  <si>
    <t>PRM01 20211103</t>
  </si>
  <si>
    <t>PRM01 20211122</t>
  </si>
  <si>
    <t>PRM01 20211215</t>
  </si>
  <si>
    <t>PRM01 20220112</t>
  </si>
  <si>
    <t>PRM01 20220314</t>
  </si>
  <si>
    <t>PRM06 20220314</t>
  </si>
  <si>
    <t>PRB01 20220314</t>
  </si>
  <si>
    <t>PRM11 20220314</t>
  </si>
  <si>
    <t>PRM15 20220314</t>
  </si>
  <si>
    <t>PRA01 20220314</t>
  </si>
  <si>
    <t>PRM19 20220314</t>
  </si>
  <si>
    <t>WAIS_02M07_2_RAW_20210809</t>
  </si>
  <si>
    <t>WAIS_02M09_1_RAW_NODATE</t>
  </si>
  <si>
    <t xml:space="preserve">WHM01 20220322 </t>
  </si>
  <si>
    <t xml:space="preserve">WHB01 20220322 </t>
  </si>
  <si>
    <t>LMWL (Waco, TX)</t>
  </si>
  <si>
    <t>WAIS_01M01_1_RAW_20210809</t>
  </si>
  <si>
    <t>WAIS_02M06_1_RAW_20210809</t>
  </si>
  <si>
    <t>WAIS_02M07_1_RAW_20210809</t>
  </si>
  <si>
    <t>January Run</t>
  </si>
  <si>
    <t>Checking Reps: April Run</t>
  </si>
  <si>
    <t>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</si>
</sst>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
    <numFmt numFmtId="166" formatCode="0.000000"/>
    <numFmt numFmtId="167" formatCode="0.0"/>
    <numFmt numFmtId="168" formatCode="[$-409]m/d/yy\ h:mm\ AM/PM;@"/>
    <numFmt numFmtId="169" formatCode="[$-409]h:mm\ AM/PM;@"/>
  </numFmts>
  <fonts count="3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sz val="8"/>
      <name val="Verdana"/>
      <family val="2"/>
    </font>
    <font>
      <sz val="11"/>
      <color indexed="8"/>
      <name val="Calibri"/>
      <family val="2"/>
    </font>
    <font>
      <sz val="11"/>
      <color theme="1"/>
      <name val="Calibri"/>
      <family val="2"/>
    </font>
    <font>
      <b/>
      <sz val="9"/>
      <color rgb="FF000000"/>
      <name val="Tahoma"/>
      <family val="2"/>
    </font>
    <font>
      <sz val="9"/>
      <color rgb="FF000000"/>
      <name val="Tahoma"/>
      <family val="2"/>
    </font>
    <font>
      <i/>
      <sz val="11"/>
      <color theme="1"/>
      <name val="Calibri"/>
      <family val="2"/>
      <scheme val="minor"/>
    </font>
    <font>
      <b/>
      <i/>
      <sz val="11"/>
      <color theme="1"/>
      <name val="Calibri"/>
      <family val="2"/>
      <scheme val="minor"/>
    </font>
    <font>
      <sz val="11"/>
      <color rgb="FF000000"/>
      <name val="Calibri"/>
      <family val="2"/>
      <scheme val="minor"/>
    </font>
    <font>
      <b/>
      <sz val="11"/>
      <color rgb="FF000000"/>
      <name val="Calibri"/>
      <family val="2"/>
    </font>
    <font>
      <sz val="11"/>
      <name val="Calibri"/>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0" tint="-0.499984740745262"/>
        <bgColor indexed="64"/>
      </patternFill>
    </fill>
    <fill>
      <patternFill patternType="solid">
        <fgColor rgb="FFFFFF00"/>
        <bgColor indexed="64"/>
      </patternFill>
    </fill>
    <fill>
      <patternFill patternType="solid">
        <fgColor indexed="23"/>
        <bgColor indexed="64"/>
      </patternFill>
    </fill>
    <fill>
      <patternFill patternType="solid">
        <fgColor theme="0" tint="-0.249977111117893"/>
        <bgColor indexed="64"/>
      </patternFill>
    </fill>
    <fill>
      <patternFill patternType="solid">
        <fgColor rgb="FFD9D9D9"/>
        <bgColor rgb="FF000000"/>
      </patternFill>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FFF2CC"/>
        <bgColor rgb="FF000000"/>
      </patternFill>
    </fill>
    <fill>
      <patternFill patternType="solid">
        <fgColor theme="9" tint="0.79998168889431442"/>
        <bgColor indexed="64"/>
      </patternFill>
    </fill>
    <fill>
      <patternFill patternType="solid">
        <fgColor rgb="FFFDE9D9"/>
        <bgColor rgb="FF000000"/>
      </patternFill>
    </fill>
  </fills>
  <borders count="6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bottom style="thin">
        <color theme="0" tint="-0.249977111117893"/>
      </bottom>
      <diagonal/>
    </border>
    <border>
      <left style="thin">
        <color auto="1"/>
      </left>
      <right style="medium">
        <color auto="1"/>
      </right>
      <top/>
      <bottom style="thin">
        <color auto="1"/>
      </bottom>
      <diagonal/>
    </border>
    <border>
      <left style="medium">
        <color auto="1"/>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medium">
        <color auto="1"/>
      </left>
      <right style="thin">
        <color auto="1"/>
      </right>
      <top/>
      <bottom/>
      <diagonal/>
    </border>
    <border>
      <left style="thin">
        <color auto="1"/>
      </left>
      <right style="thin">
        <color auto="1"/>
      </right>
      <top/>
      <bottom/>
      <diagonal/>
    </border>
    <border>
      <left style="medium">
        <color auto="1"/>
      </left>
      <right/>
      <top/>
      <bottom style="thin">
        <color indexed="64"/>
      </bottom>
      <diagonal/>
    </border>
    <border>
      <left/>
      <right style="medium">
        <color auto="1"/>
      </right>
      <top/>
      <bottom style="thin">
        <color indexed="64"/>
      </bottom>
      <diagonal/>
    </border>
    <border>
      <left/>
      <right/>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auto="1"/>
      </left>
      <right style="medium">
        <color auto="1"/>
      </right>
      <top style="thin">
        <color auto="1"/>
      </top>
      <bottom style="double">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cellStyleXfs>
  <cellXfs count="249">
    <xf numFmtId="0" fontId="0" fillId="0" borderId="0" xfId="0"/>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center" vertical="center"/>
    </xf>
    <xf numFmtId="0" fontId="0" fillId="0" borderId="10" xfId="0" applyBorder="1" applyAlignment="1">
      <alignment horizontal="center" vertical="center"/>
    </xf>
    <xf numFmtId="0" fontId="18" fillId="0" borderId="0" xfId="0" applyFont="1"/>
    <xf numFmtId="0" fontId="0" fillId="0" borderId="25" xfId="0" applyBorder="1" applyAlignment="1">
      <alignment horizontal="center" vertical="center"/>
    </xf>
    <xf numFmtId="0" fontId="0" fillId="0" borderId="30" xfId="0" applyBorder="1" applyAlignment="1">
      <alignment horizontal="center" vertical="center"/>
    </xf>
    <xf numFmtId="0" fontId="0" fillId="0" borderId="27" xfId="0" applyBorder="1" applyAlignment="1">
      <alignment horizontal="center" vertical="center"/>
    </xf>
    <xf numFmtId="0" fontId="0" fillId="0" borderId="32" xfId="0" applyBorder="1"/>
    <xf numFmtId="0" fontId="0" fillId="0" borderId="35" xfId="0" applyBorder="1"/>
    <xf numFmtId="0" fontId="0" fillId="0" borderId="36" xfId="0" applyBorder="1"/>
    <xf numFmtId="0" fontId="0" fillId="0" borderId="33" xfId="0" applyBorder="1"/>
    <xf numFmtId="0" fontId="0" fillId="0" borderId="34" xfId="0" applyBorder="1"/>
    <xf numFmtId="0" fontId="0" fillId="0" borderId="35" xfId="0" applyBorder="1" applyAlignment="1">
      <alignment horizontal="center"/>
    </xf>
    <xf numFmtId="0" fontId="0" fillId="0" borderId="32" xfId="0" applyBorder="1" applyAlignment="1">
      <alignment horizontal="center"/>
    </xf>
    <xf numFmtId="0" fontId="0" fillId="0" borderId="10" xfId="0"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0" fontId="0" fillId="0" borderId="30" xfId="0" applyBorder="1" applyAlignment="1">
      <alignment horizontal="center"/>
    </xf>
    <xf numFmtId="0" fontId="0" fillId="0" borderId="40" xfId="0" applyBorder="1" applyAlignment="1">
      <alignment horizontal="center"/>
    </xf>
    <xf numFmtId="0" fontId="0" fillId="0" borderId="28" xfId="0" applyBorder="1" applyAlignment="1">
      <alignment horizontal="center"/>
    </xf>
    <xf numFmtId="0" fontId="16" fillId="33" borderId="41" xfId="0" applyFont="1" applyFill="1" applyBorder="1" applyAlignment="1">
      <alignment horizontal="center"/>
    </xf>
    <xf numFmtId="0" fontId="16" fillId="33" borderId="42" xfId="0" applyFont="1" applyFill="1" applyBorder="1"/>
    <xf numFmtId="18" fontId="0" fillId="0" borderId="0" xfId="0" applyNumberFormat="1"/>
    <xf numFmtId="0" fontId="16" fillId="0" borderId="0" xfId="0" applyFont="1" applyAlignment="1">
      <alignment horizontal="center" vertical="center" wrapText="1"/>
    </xf>
    <xf numFmtId="0" fontId="0" fillId="0" borderId="22" xfId="0" applyBorder="1" applyAlignment="1">
      <alignment horizontal="center" vertical="center"/>
    </xf>
    <xf numFmtId="0" fontId="0" fillId="0" borderId="29"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22" fontId="0" fillId="0" borderId="0" xfId="0" applyNumberFormat="1"/>
    <xf numFmtId="0" fontId="16" fillId="33" borderId="39" xfId="0" applyFont="1" applyFill="1" applyBorder="1" applyAlignment="1">
      <alignment horizontal="center"/>
    </xf>
    <xf numFmtId="0" fontId="16" fillId="33" borderId="38" xfId="0" applyFont="1" applyFill="1" applyBorder="1" applyAlignment="1">
      <alignment horizontal="center"/>
    </xf>
    <xf numFmtId="0" fontId="16" fillId="33" borderId="37" xfId="0" applyFont="1" applyFill="1" applyBorder="1" applyAlignment="1">
      <alignment horizontal="center"/>
    </xf>
    <xf numFmtId="0" fontId="0" fillId="0" borderId="36"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2" fontId="0" fillId="0" borderId="0" xfId="0" applyNumberFormat="1" applyAlignment="1">
      <alignment horizontal="center"/>
    </xf>
    <xf numFmtId="2" fontId="0" fillId="0" borderId="36" xfId="0" applyNumberFormat="1" applyBorder="1" applyAlignment="1">
      <alignment horizontal="center"/>
    </xf>
    <xf numFmtId="0" fontId="0" fillId="33" borderId="31" xfId="0" applyFill="1" applyBorder="1" applyAlignment="1">
      <alignment horizontal="center" vertical="center"/>
    </xf>
    <xf numFmtId="0" fontId="0" fillId="33" borderId="39" xfId="0" applyFill="1" applyBorder="1" applyAlignment="1">
      <alignment horizontal="center" vertical="center"/>
    </xf>
    <xf numFmtId="0" fontId="0" fillId="33" borderId="38" xfId="0" applyFill="1" applyBorder="1" applyAlignment="1">
      <alignment horizontal="center" vertical="center"/>
    </xf>
    <xf numFmtId="0" fontId="0" fillId="33" borderId="37" xfId="0" applyFill="1" applyBorder="1" applyAlignment="1">
      <alignment horizontal="center" vertical="center"/>
    </xf>
    <xf numFmtId="0" fontId="0" fillId="0" borderId="35" xfId="0" applyBorder="1" applyAlignment="1">
      <alignment horizontal="center" vertical="center"/>
    </xf>
    <xf numFmtId="2" fontId="0" fillId="0" borderId="0" xfId="0" applyNumberFormat="1" applyAlignment="1">
      <alignment horizontal="center" vertical="center"/>
    </xf>
    <xf numFmtId="0" fontId="0" fillId="0" borderId="36" xfId="0" applyBorder="1" applyAlignment="1">
      <alignment horizontal="center" vertical="center"/>
    </xf>
    <xf numFmtId="0" fontId="0" fillId="0" borderId="32" xfId="0" applyBorder="1" applyAlignment="1">
      <alignment horizontal="center" vertical="center"/>
    </xf>
    <xf numFmtId="2" fontId="0" fillId="0" borderId="33" xfId="0" applyNumberFormat="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19" fillId="34" borderId="44" xfId="0" applyFont="1" applyFill="1" applyBorder="1" applyAlignment="1">
      <alignment horizontal="center" vertical="center"/>
    </xf>
    <xf numFmtId="0" fontId="23" fillId="0" borderId="25" xfId="0" applyFont="1" applyBorder="1" applyAlignment="1">
      <alignment horizontal="center" vertical="center"/>
    </xf>
    <xf numFmtId="0" fontId="23" fillId="0" borderId="0" xfId="0" applyFont="1" applyAlignment="1">
      <alignment horizontal="center" vertical="center"/>
    </xf>
    <xf numFmtId="164" fontId="16" fillId="33" borderId="43" xfId="0" applyNumberFormat="1" applyFont="1" applyFill="1" applyBorder="1" applyAlignment="1">
      <alignment horizontal="center"/>
    </xf>
    <xf numFmtId="10" fontId="0" fillId="0" borderId="0" xfId="0" applyNumberFormat="1"/>
    <xf numFmtId="164" fontId="0" fillId="0" borderId="0" xfId="0" applyNumberFormat="1"/>
    <xf numFmtId="165" fontId="0" fillId="0" borderId="0" xfId="0" applyNumberFormat="1"/>
    <xf numFmtId="165" fontId="0" fillId="0" borderId="36" xfId="0" applyNumberFormat="1" applyBorder="1"/>
    <xf numFmtId="0" fontId="0" fillId="33" borderId="37" xfId="0" applyFill="1" applyBorder="1" applyAlignment="1">
      <alignment horizontal="center"/>
    </xf>
    <xf numFmtId="0" fontId="0" fillId="33" borderId="38" xfId="0" applyFill="1" applyBorder="1" applyAlignment="1">
      <alignment horizontal="center"/>
    </xf>
    <xf numFmtId="0" fontId="0" fillId="33" borderId="39" xfId="0" applyFill="1" applyBorder="1" applyAlignment="1">
      <alignment horizontal="center"/>
    </xf>
    <xf numFmtId="9" fontId="0" fillId="37" borderId="35" xfId="0" applyNumberFormat="1" applyFill="1" applyBorder="1"/>
    <xf numFmtId="0" fontId="0" fillId="37" borderId="0" xfId="0" applyFill="1"/>
    <xf numFmtId="9" fontId="0" fillId="37" borderId="36" xfId="0" applyNumberFormat="1" applyFill="1" applyBorder="1"/>
    <xf numFmtId="2" fontId="0" fillId="0" borderId="33" xfId="0" applyNumberFormat="1" applyBorder="1" applyAlignment="1">
      <alignment horizontal="center"/>
    </xf>
    <xf numFmtId="2" fontId="0" fillId="0" borderId="34" xfId="0" applyNumberFormat="1" applyBorder="1" applyAlignment="1">
      <alignment horizontal="center"/>
    </xf>
    <xf numFmtId="0" fontId="0" fillId="0" borderId="50" xfId="0" applyBorder="1"/>
    <xf numFmtId="164" fontId="0" fillId="34" borderId="47" xfId="0" applyNumberFormat="1" applyFill="1" applyBorder="1"/>
    <xf numFmtId="164" fontId="0" fillId="34" borderId="48" xfId="0" applyNumberFormat="1" applyFill="1" applyBorder="1"/>
    <xf numFmtId="0" fontId="0" fillId="0" borderId="10" xfId="0" applyBorder="1" applyAlignment="1">
      <alignment horizontal="center" vertical="center" wrapText="1"/>
    </xf>
    <xf numFmtId="0" fontId="0" fillId="0" borderId="40" xfId="0" applyBorder="1" applyAlignment="1">
      <alignment horizontal="center" vertical="center"/>
    </xf>
    <xf numFmtId="0" fontId="0" fillId="0" borderId="28" xfId="0" applyBorder="1" applyAlignment="1">
      <alignment horizontal="center" vertical="center"/>
    </xf>
    <xf numFmtId="0" fontId="0" fillId="0" borderId="51" xfId="0" applyBorder="1" applyAlignment="1">
      <alignment horizontal="center" vertical="center"/>
    </xf>
    <xf numFmtId="0" fontId="0" fillId="0" borderId="0" xfId="0" applyAlignment="1">
      <alignment horizontal="center" vertical="center" wrapText="1"/>
    </xf>
    <xf numFmtId="0" fontId="27" fillId="0" borderId="0" xfId="0" applyFont="1" applyAlignment="1">
      <alignment horizontal="center" vertical="center" wrapText="1"/>
    </xf>
    <xf numFmtId="0" fontId="27" fillId="0" borderId="0" xfId="0" applyFont="1" applyAlignment="1">
      <alignment horizontal="center" vertical="center"/>
    </xf>
    <xf numFmtId="0" fontId="28" fillId="0" borderId="0" xfId="0" applyFont="1" applyAlignment="1">
      <alignment horizontal="center" vertical="center"/>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29" xfId="0" applyBorder="1" applyAlignment="1">
      <alignment horizontal="center" vertical="center" wrapText="1"/>
    </xf>
    <xf numFmtId="0" fontId="0" fillId="0" borderId="24"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40" xfId="0" applyBorder="1" applyAlignment="1">
      <alignment horizontal="center" vertical="center" wrapText="1"/>
    </xf>
    <xf numFmtId="0" fontId="0" fillId="0" borderId="28" xfId="0" applyBorder="1" applyAlignment="1">
      <alignment horizontal="center" vertical="center" wrapText="1"/>
    </xf>
    <xf numFmtId="0" fontId="0" fillId="0" borderId="27" xfId="0" applyBorder="1" applyAlignment="1">
      <alignment horizontal="center" vertical="center" wrapText="1"/>
    </xf>
    <xf numFmtId="0" fontId="16" fillId="0" borderId="29"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30" xfId="0" applyFont="1" applyBorder="1" applyAlignment="1">
      <alignment horizontal="center" vertical="center" wrapText="1"/>
    </xf>
    <xf numFmtId="0" fontId="16" fillId="33" borderId="42" xfId="0" applyFont="1" applyFill="1" applyBorder="1" applyAlignment="1">
      <alignment horizontal="center" vertical="center"/>
    </xf>
    <xf numFmtId="0" fontId="0" fillId="0" borderId="28" xfId="0" applyBorder="1" applyAlignment="1">
      <alignment horizontal="center" vertical="top"/>
    </xf>
    <xf numFmtId="0" fontId="23" fillId="0" borderId="27" xfId="0" applyFont="1" applyBorder="1" applyAlignment="1">
      <alignment horizontal="center" vertical="center"/>
    </xf>
    <xf numFmtId="2" fontId="16" fillId="33" borderId="42" xfId="0" applyNumberFormat="1" applyFont="1" applyFill="1" applyBorder="1" applyAlignment="1">
      <alignment horizontal="center"/>
    </xf>
    <xf numFmtId="2" fontId="16" fillId="33" borderId="43" xfId="0" applyNumberFormat="1" applyFont="1" applyFill="1" applyBorder="1" applyAlignment="1">
      <alignment horizontal="center"/>
    </xf>
    <xf numFmtId="2" fontId="0" fillId="0" borderId="28" xfId="0" applyNumberFormat="1" applyBorder="1" applyAlignment="1">
      <alignment horizontal="center"/>
    </xf>
    <xf numFmtId="2" fontId="24" fillId="0" borderId="28" xfId="0" applyNumberFormat="1" applyFont="1" applyBorder="1" applyAlignment="1">
      <alignment horizontal="center"/>
    </xf>
    <xf numFmtId="2" fontId="29" fillId="0" borderId="10" xfId="0" applyNumberFormat="1" applyFont="1" applyBorder="1" applyAlignment="1">
      <alignment horizontal="center" vertical="center"/>
    </xf>
    <xf numFmtId="2" fontId="0" fillId="0" borderId="10" xfId="0" applyNumberFormat="1" applyBorder="1" applyAlignment="1">
      <alignment horizontal="center" vertical="center"/>
    </xf>
    <xf numFmtId="0" fontId="30" fillId="38" borderId="42" xfId="0" applyFont="1" applyFill="1" applyBorder="1" applyAlignment="1">
      <alignment horizontal="center"/>
    </xf>
    <xf numFmtId="168" fontId="30" fillId="38" borderId="43" xfId="0" applyNumberFormat="1" applyFont="1" applyFill="1" applyBorder="1" applyAlignment="1">
      <alignment horizontal="center"/>
    </xf>
    <xf numFmtId="169" fontId="30" fillId="38" borderId="31" xfId="0" applyNumberFormat="1" applyFont="1" applyFill="1" applyBorder="1" applyAlignment="1">
      <alignment horizontal="center"/>
    </xf>
    <xf numFmtId="0" fontId="24" fillId="0" borderId="28" xfId="0" applyFont="1" applyBorder="1" applyAlignment="1">
      <alignment horizontal="center"/>
    </xf>
    <xf numFmtId="0" fontId="24" fillId="39" borderId="28" xfId="0" applyFont="1" applyFill="1" applyBorder="1" applyAlignment="1">
      <alignment horizontal="center"/>
    </xf>
    <xf numFmtId="168" fontId="24" fillId="39" borderId="10" xfId="0" applyNumberFormat="1" applyFont="1" applyFill="1" applyBorder="1"/>
    <xf numFmtId="0" fontId="24" fillId="40" borderId="51" xfId="0" applyFont="1" applyFill="1" applyBorder="1" applyAlignment="1">
      <alignment horizontal="center"/>
    </xf>
    <xf numFmtId="0" fontId="24" fillId="0" borderId="10" xfId="0" applyFont="1" applyBorder="1" applyAlignment="1">
      <alignment horizontal="center"/>
    </xf>
    <xf numFmtId="0" fontId="31" fillId="41" borderId="10" xfId="0" applyFont="1" applyFill="1" applyBorder="1" applyAlignment="1">
      <alignment horizontal="center"/>
    </xf>
    <xf numFmtId="0" fontId="31" fillId="0" borderId="10" xfId="0" applyFont="1" applyBorder="1" applyAlignment="1">
      <alignment horizontal="center"/>
    </xf>
    <xf numFmtId="0" fontId="31" fillId="41" borderId="30" xfId="0" applyFont="1" applyFill="1" applyBorder="1" applyAlignment="1">
      <alignment horizontal="center"/>
    </xf>
    <xf numFmtId="0" fontId="24" fillId="39" borderId="30" xfId="0" applyFont="1" applyFill="1" applyBorder="1" applyAlignment="1">
      <alignment horizontal="center"/>
    </xf>
    <xf numFmtId="168" fontId="24" fillId="39" borderId="30" xfId="0" applyNumberFormat="1" applyFont="1" applyFill="1" applyBorder="1"/>
    <xf numFmtId="0" fontId="24" fillId="40" borderId="27" xfId="0" applyFont="1" applyFill="1" applyBorder="1" applyAlignment="1">
      <alignment horizontal="center"/>
    </xf>
    <xf numFmtId="0" fontId="31" fillId="41" borderId="28" xfId="0" applyFont="1" applyFill="1" applyBorder="1" applyAlignment="1">
      <alignment horizontal="center"/>
    </xf>
    <xf numFmtId="168" fontId="24" fillId="39" borderId="28" xfId="0" applyNumberFormat="1" applyFont="1" applyFill="1" applyBorder="1"/>
    <xf numFmtId="0" fontId="24" fillId="0" borderId="0" xfId="0" applyFont="1"/>
    <xf numFmtId="168" fontId="24" fillId="42" borderId="31" xfId="0" applyNumberFormat="1" applyFont="1" applyFill="1" applyBorder="1"/>
    <xf numFmtId="168" fontId="0" fillId="43" borderId="31" xfId="0" applyNumberFormat="1" applyFill="1" applyBorder="1"/>
    <xf numFmtId="0" fontId="30" fillId="0" borderId="0" xfId="0" applyFont="1" applyAlignment="1">
      <alignment horizontal="right"/>
    </xf>
    <xf numFmtId="0" fontId="14" fillId="35" borderId="56" xfId="0" applyFont="1" applyFill="1" applyBorder="1" applyAlignment="1">
      <alignment horizontal="center"/>
    </xf>
    <xf numFmtId="0" fontId="0" fillId="0" borderId="56" xfId="0" applyBorder="1" applyAlignment="1">
      <alignment horizontal="center"/>
    </xf>
    <xf numFmtId="2" fontId="0" fillId="0" borderId="18" xfId="0" applyNumberFormat="1" applyBorder="1" applyAlignment="1">
      <alignment horizontal="center"/>
    </xf>
    <xf numFmtId="2" fontId="0" fillId="0" borderId="57" xfId="0" applyNumberFormat="1" applyBorder="1" applyAlignment="1">
      <alignment horizontal="center"/>
    </xf>
    <xf numFmtId="0" fontId="14" fillId="35" borderId="49" xfId="0" applyFont="1" applyFill="1" applyBorder="1" applyAlignment="1">
      <alignment horizontal="center"/>
    </xf>
    <xf numFmtId="0" fontId="14" fillId="35" borderId="35" xfId="0" applyFont="1" applyFill="1" applyBorder="1" applyAlignment="1">
      <alignment horizontal="center"/>
    </xf>
    <xf numFmtId="0" fontId="14" fillId="35" borderId="32" xfId="0" applyFont="1" applyFill="1" applyBorder="1" applyAlignment="1">
      <alignment horizontal="center"/>
    </xf>
    <xf numFmtId="0" fontId="0" fillId="0" borderId="49" xfId="0" applyBorder="1" applyAlignment="1">
      <alignment horizontal="center"/>
    </xf>
    <xf numFmtId="2" fontId="0" fillId="0" borderId="47" xfId="0" applyNumberFormat="1" applyBorder="1" applyAlignment="1">
      <alignment horizontal="center"/>
    </xf>
    <xf numFmtId="2" fontId="0" fillId="0" borderId="48" xfId="0" applyNumberFormat="1" applyBorder="1" applyAlignment="1">
      <alignment horizontal="center"/>
    </xf>
    <xf numFmtId="0" fontId="0" fillId="37" borderId="32" xfId="0" applyFill="1" applyBorder="1"/>
    <xf numFmtId="165" fontId="16" fillId="37" borderId="33" xfId="0" applyNumberFormat="1" applyFont="1" applyFill="1" applyBorder="1" applyAlignment="1">
      <alignment horizontal="center"/>
    </xf>
    <xf numFmtId="165" fontId="16" fillId="37" borderId="34" xfId="0" applyNumberFormat="1" applyFont="1" applyFill="1" applyBorder="1" applyAlignment="1">
      <alignment horizontal="center"/>
    </xf>
    <xf numFmtId="166" fontId="0" fillId="0" borderId="0" xfId="0" applyNumberFormat="1"/>
    <xf numFmtId="166" fontId="0" fillId="0" borderId="36" xfId="0" applyNumberFormat="1" applyBorder="1"/>
    <xf numFmtId="0" fontId="0" fillId="0" borderId="56" xfId="0" applyBorder="1" applyAlignment="1">
      <alignment horizontal="center" vertical="center"/>
    </xf>
    <xf numFmtId="2"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57" xfId="0" applyBorder="1" applyAlignment="1">
      <alignment horizontal="center" vertical="center"/>
    </xf>
    <xf numFmtId="164" fontId="0" fillId="34" borderId="47" xfId="0" applyNumberFormat="1" applyFill="1" applyBorder="1" applyAlignment="1">
      <alignment horizontal="center"/>
    </xf>
    <xf numFmtId="167" fontId="0" fillId="0" borderId="0" xfId="0" applyNumberFormat="1"/>
    <xf numFmtId="167" fontId="0" fillId="0" borderId="58" xfId="0" applyNumberFormat="1" applyBorder="1"/>
    <xf numFmtId="167" fontId="0" fillId="0" borderId="47" xfId="0" applyNumberFormat="1" applyBorder="1"/>
    <xf numFmtId="167" fontId="0" fillId="0" borderId="48" xfId="0" applyNumberFormat="1" applyBorder="1"/>
    <xf numFmtId="167" fontId="0" fillId="0" borderId="36" xfId="0" applyNumberFormat="1" applyBorder="1"/>
    <xf numFmtId="0" fontId="0" fillId="0" borderId="59" xfId="0" applyBorder="1" applyAlignment="1">
      <alignment horizontal="center"/>
    </xf>
    <xf numFmtId="167" fontId="0" fillId="0" borderId="60" xfId="0" applyNumberFormat="1" applyBorder="1"/>
    <xf numFmtId="167" fontId="0" fillId="0" borderId="33" xfId="0" applyNumberFormat="1" applyBorder="1"/>
    <xf numFmtId="167" fontId="0" fillId="0" borderId="34" xfId="0" applyNumberFormat="1" applyBorder="1"/>
    <xf numFmtId="0" fontId="0" fillId="0" borderId="49" xfId="0" applyBorder="1"/>
    <xf numFmtId="0" fontId="0" fillId="36" borderId="31" xfId="0" applyFill="1" applyBorder="1" applyAlignment="1">
      <alignment horizontal="center"/>
    </xf>
    <xf numFmtId="0" fontId="0" fillId="33" borderId="31" xfId="0" applyFill="1" applyBorder="1" applyAlignment="1">
      <alignment horizontal="center"/>
    </xf>
    <xf numFmtId="2" fontId="0" fillId="0" borderId="10" xfId="0" applyNumberFormat="1" applyBorder="1" applyAlignment="1">
      <alignment horizontal="center"/>
    </xf>
    <xf numFmtId="2" fontId="0" fillId="0" borderId="30" xfId="0" applyNumberFormat="1" applyBorder="1" applyAlignment="1">
      <alignment horizontal="center"/>
    </xf>
    <xf numFmtId="0" fontId="16" fillId="0" borderId="61" xfId="0" applyFont="1" applyBorder="1" applyAlignment="1">
      <alignment horizontal="center" vertical="center" wrapText="1"/>
    </xf>
    <xf numFmtId="2" fontId="0" fillId="0" borderId="47" xfId="0" applyNumberFormat="1" applyBorder="1"/>
    <xf numFmtId="2" fontId="0" fillId="0" borderId="48" xfId="0" applyNumberFormat="1" applyBorder="1"/>
    <xf numFmtId="2" fontId="0" fillId="0" borderId="36" xfId="0" applyNumberFormat="1" applyBorder="1"/>
    <xf numFmtId="2" fontId="0" fillId="0" borderId="33" xfId="0" applyNumberFormat="1" applyBorder="1"/>
    <xf numFmtId="2" fontId="0" fillId="0" borderId="34" xfId="0" applyNumberFormat="1" applyBorder="1"/>
    <xf numFmtId="0" fontId="0" fillId="0" borderId="45" xfId="0" applyBorder="1" applyAlignment="1">
      <alignment horizontal="center"/>
    </xf>
    <xf numFmtId="10" fontId="0" fillId="0" borderId="45" xfId="0" applyNumberFormat="1" applyBorder="1" applyAlignment="1">
      <alignment horizontal="center"/>
    </xf>
    <xf numFmtId="0" fontId="0" fillId="0" borderId="46" xfId="0" applyBorder="1" applyAlignment="1">
      <alignment horizontal="center"/>
    </xf>
    <xf numFmtId="0" fontId="17" fillId="13" borderId="0" xfId="22"/>
    <xf numFmtId="0" fontId="0" fillId="0" borderId="44" xfId="0" applyBorder="1" applyAlignment="1">
      <alignment horizontal="center"/>
    </xf>
    <xf numFmtId="2" fontId="0" fillId="0" borderId="0" xfId="0" applyNumberFormat="1" applyBorder="1"/>
    <xf numFmtId="164" fontId="0" fillId="0" borderId="32" xfId="0" applyNumberFormat="1" applyBorder="1"/>
    <xf numFmtId="0" fontId="0" fillId="0" borderId="0" xfId="0" applyFill="1" applyBorder="1" applyAlignment="1">
      <alignment horizontal="center" vertical="center" wrapText="1"/>
    </xf>
    <xf numFmtId="0" fontId="16" fillId="33" borderId="39" xfId="0" applyFont="1" applyFill="1" applyBorder="1" applyAlignment="1">
      <alignment horizontal="center"/>
    </xf>
    <xf numFmtId="0" fontId="16" fillId="33" borderId="38" xfId="0" applyFont="1" applyFill="1" applyBorder="1" applyAlignment="1">
      <alignment horizontal="center"/>
    </xf>
    <xf numFmtId="22" fontId="0" fillId="0" borderId="32" xfId="0" applyNumberFormat="1" applyBorder="1" applyAlignment="1">
      <alignment horizontal="center"/>
    </xf>
    <xf numFmtId="22" fontId="0" fillId="0" borderId="34"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left" vertical="top" wrapText="1"/>
    </xf>
    <xf numFmtId="0" fontId="0" fillId="0" borderId="11"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9" fillId="0" borderId="12" xfId="0" applyFont="1" applyBorder="1" applyAlignment="1">
      <alignment horizontal="left" vertical="top"/>
    </xf>
    <xf numFmtId="0" fontId="19" fillId="0" borderId="13" xfId="0" applyFont="1"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19" fillId="0" borderId="10"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16" fillId="0" borderId="33" xfId="0" applyFont="1" applyBorder="1" applyAlignment="1">
      <alignment horizontal="center"/>
    </xf>
    <xf numFmtId="0" fontId="0" fillId="33" borderId="47" xfId="0" applyFill="1" applyBorder="1" applyAlignment="1">
      <alignment horizontal="center" vertical="center"/>
    </xf>
    <xf numFmtId="0" fontId="0" fillId="33" borderId="48" xfId="0" applyFill="1" applyBorder="1" applyAlignment="1">
      <alignment horizontal="center" vertical="center"/>
    </xf>
    <xf numFmtId="0" fontId="16" fillId="37" borderId="49" xfId="0" applyFont="1" applyFill="1" applyBorder="1" applyAlignment="1">
      <alignment horizontal="center"/>
    </xf>
    <xf numFmtId="0" fontId="16" fillId="37" borderId="47" xfId="0" applyFont="1" applyFill="1" applyBorder="1" applyAlignment="1">
      <alignment horizontal="center"/>
    </xf>
    <xf numFmtId="0" fontId="16" fillId="37" borderId="48" xfId="0" applyFont="1" applyFill="1" applyBorder="1" applyAlignment="1">
      <alignment horizontal="center"/>
    </xf>
    <xf numFmtId="0" fontId="16" fillId="34" borderId="39" xfId="0" applyFont="1" applyFill="1" applyBorder="1" applyAlignment="1">
      <alignment horizontal="center"/>
    </xf>
    <xf numFmtId="0" fontId="16" fillId="34" borderId="37" xfId="0" applyFont="1" applyFill="1" applyBorder="1" applyAlignment="1">
      <alignment horizontal="center"/>
    </xf>
    <xf numFmtId="0" fontId="16" fillId="34" borderId="38" xfId="0" applyFont="1" applyFill="1" applyBorder="1" applyAlignment="1">
      <alignment horizontal="center"/>
    </xf>
    <xf numFmtId="0" fontId="19" fillId="34" borderId="39" xfId="0" applyFont="1" applyFill="1" applyBorder="1" applyAlignment="1">
      <alignment horizontal="center"/>
    </xf>
    <xf numFmtId="0" fontId="19" fillId="34" borderId="37" xfId="0" applyFont="1" applyFill="1" applyBorder="1" applyAlignment="1">
      <alignment horizontal="center"/>
    </xf>
    <xf numFmtId="0" fontId="19" fillId="34" borderId="38" xfId="0" applyFont="1" applyFill="1" applyBorder="1" applyAlignment="1">
      <alignment horizontal="center"/>
    </xf>
    <xf numFmtId="0" fontId="0" fillId="33" borderId="39" xfId="0" applyFill="1" applyBorder="1" applyAlignment="1">
      <alignment horizontal="center" vertical="center"/>
    </xf>
    <xf numFmtId="0" fontId="0" fillId="33" borderId="38" xfId="0" applyFill="1" applyBorder="1" applyAlignment="1">
      <alignment horizontal="center" vertical="center"/>
    </xf>
    <xf numFmtId="0" fontId="0" fillId="36" borderId="39" xfId="0" applyFill="1" applyBorder="1" applyAlignment="1">
      <alignment horizontal="center"/>
    </xf>
    <xf numFmtId="0" fontId="0" fillId="36" borderId="37" xfId="0" applyFill="1" applyBorder="1" applyAlignment="1">
      <alignment horizontal="center"/>
    </xf>
    <xf numFmtId="0" fontId="0" fillId="36" borderId="38" xfId="0" applyFill="1" applyBorder="1" applyAlignment="1">
      <alignment horizontal="center"/>
    </xf>
    <xf numFmtId="0" fontId="0" fillId="34" borderId="49" xfId="0" applyFill="1" applyBorder="1" applyAlignment="1">
      <alignment horizontal="center"/>
    </xf>
    <xf numFmtId="0" fontId="0" fillId="34" borderId="47" xfId="0" applyFill="1" applyBorder="1" applyAlignment="1">
      <alignment horizontal="center"/>
    </xf>
    <xf numFmtId="0" fontId="0" fillId="34" borderId="48" xfId="0" applyFill="1" applyBorder="1" applyAlignment="1">
      <alignment horizontal="center"/>
    </xf>
    <xf numFmtId="0" fontId="0" fillId="43" borderId="35" xfId="0" applyFill="1" applyBorder="1" applyAlignment="1">
      <alignment horizontal="center"/>
    </xf>
    <xf numFmtId="167" fontId="0" fillId="43" borderId="0" xfId="0" applyNumberFormat="1" applyFill="1"/>
    <xf numFmtId="167" fontId="0" fillId="43" borderId="36" xfId="0" applyNumberFormat="1" applyFill="1" applyBorder="1"/>
    <xf numFmtId="167" fontId="14" fillId="43" borderId="0" xfId="0" applyNumberFormat="1" applyFont="1" applyFill="1"/>
    <xf numFmtId="167" fontId="14" fillId="43" borderId="36" xfId="0" applyNumberFormat="1" applyFont="1" applyFill="1" applyBorder="1"/>
    <xf numFmtId="0" fontId="0" fillId="0" borderId="35" xfId="0" applyFont="1" applyBorder="1" applyAlignment="1">
      <alignment horizontal="center"/>
    </xf>
    <xf numFmtId="167" fontId="0" fillId="0" borderId="0" xfId="0" applyNumberFormat="1" applyFont="1"/>
    <xf numFmtId="167" fontId="0" fillId="0" borderId="36" xfId="0" applyNumberFormat="1" applyFont="1" applyBorder="1"/>
    <xf numFmtId="0" fontId="16" fillId="33" borderId="39" xfId="0" applyFont="1" applyFill="1" applyBorder="1" applyAlignment="1">
      <alignment horizontal="left"/>
    </xf>
    <xf numFmtId="0" fontId="16" fillId="33" borderId="38" xfId="0" applyFont="1" applyFill="1" applyBorder="1" applyAlignment="1">
      <alignment horizontal="left"/>
    </xf>
    <xf numFmtId="0" fontId="16" fillId="37" borderId="39" xfId="0" applyFont="1" applyFill="1" applyBorder="1"/>
    <xf numFmtId="0" fontId="16" fillId="37" borderId="38" xfId="0" applyFont="1" applyFill="1" applyBorder="1"/>
    <xf numFmtId="0" fontId="0" fillId="0" borderId="0" xfId="0" applyAlignment="1">
      <alignment horizontal="right"/>
    </xf>
    <xf numFmtId="9" fontId="0" fillId="37" borderId="36" xfId="0" applyNumberFormat="1" applyFill="1" applyBorder="1" applyAlignment="1">
      <alignment horizontal="left"/>
    </xf>
    <xf numFmtId="9" fontId="0" fillId="0" borderId="34" xfId="0" applyNumberFormat="1" applyBorder="1" applyAlignment="1">
      <alignment horizontal="left"/>
    </xf>
    <xf numFmtId="167" fontId="14" fillId="44" borderId="0" xfId="0" applyNumberFormat="1" applyFont="1" applyFill="1" applyBorder="1"/>
    <xf numFmtId="167" fontId="29" fillId="44" borderId="0" xfId="0" applyNumberFormat="1" applyFont="1" applyFill="1" applyBorder="1"/>
    <xf numFmtId="0" fontId="0" fillId="0" borderId="0" xfId="0" applyBorder="1"/>
    <xf numFmtId="167" fontId="29" fillId="44" borderId="18" xfId="0" applyNumberFormat="1" applyFont="1" applyFill="1" applyBorder="1"/>
    <xf numFmtId="0" fontId="0" fillId="0" borderId="18" xfId="0" applyBorder="1"/>
    <xf numFmtId="0" fontId="14" fillId="0" borderId="0" xfId="0" applyFont="1" applyBorder="1"/>
    <xf numFmtId="167" fontId="14" fillId="0" borderId="0" xfId="0" applyNumberFormat="1" applyFont="1" applyBorder="1"/>
    <xf numFmtId="167" fontId="0" fillId="0" borderId="0" xfId="0" applyNumberFormat="1" applyBorder="1"/>
    <xf numFmtId="0" fontId="29" fillId="44" borderId="14" xfId="0" applyFont="1" applyFill="1" applyBorder="1" applyAlignment="1">
      <alignment horizontal="center"/>
    </xf>
    <xf numFmtId="167" fontId="14" fillId="0" borderId="15" xfId="0" applyNumberFormat="1" applyFont="1" applyBorder="1"/>
    <xf numFmtId="167" fontId="0" fillId="0" borderId="15" xfId="0" applyNumberFormat="1" applyBorder="1"/>
    <xf numFmtId="0" fontId="29" fillId="44" borderId="16" xfId="0" applyFont="1" applyFill="1" applyBorder="1" applyAlignment="1">
      <alignment horizontal="center"/>
    </xf>
    <xf numFmtId="167" fontId="0" fillId="0" borderId="18" xfId="0" applyNumberFormat="1" applyBorder="1"/>
    <xf numFmtId="167" fontId="0" fillId="0" borderId="17" xfId="0" applyNumberFormat="1" applyBorder="1"/>
    <xf numFmtId="10" fontId="0" fillId="0" borderId="19" xfId="0" applyNumberFormat="1" applyBorder="1"/>
    <xf numFmtId="10" fontId="0" fillId="0" borderId="20" xfId="0" applyNumberFormat="1" applyBorder="1"/>
    <xf numFmtId="0" fontId="0" fillId="0" borderId="20" xfId="0" applyBorder="1"/>
    <xf numFmtId="0" fontId="0" fillId="0" borderId="21" xfId="0"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a:t>
            </a:r>
            <a:r>
              <a:rPr lang="en-US" baseline="0"/>
              <a:t> 1 </a:t>
            </a:r>
            <a:r>
              <a:rPr lang="en-US"/>
              <a:t>d(18_16)</a:t>
            </a:r>
          </a:p>
        </c:rich>
      </c:tx>
      <c:overlay val="0"/>
    </c:title>
    <c:autoTitleDeleted val="0"/>
    <c:plotArea>
      <c:layout>
        <c:manualLayout>
          <c:layoutTarget val="inner"/>
          <c:xMode val="edge"/>
          <c:yMode val="edge"/>
          <c:x val="0.10907903331156101"/>
          <c:y val="0.17813383600377"/>
          <c:w val="0.82535937090162903"/>
          <c:h val="0.65315776974626505"/>
        </c:manualLayout>
      </c:layout>
      <c:scatterChart>
        <c:scatterStyle val="lineMarker"/>
        <c:varyColors val="0"/>
        <c:ser>
          <c:idx val="0"/>
          <c:order val="0"/>
          <c:tx>
            <c:strRef>
              <c:f>Calibration!$K$1</c:f>
              <c:strCache>
                <c:ptCount val="1"/>
                <c:pt idx="0">
                  <c:v>d(18_16)</c:v>
                </c:pt>
              </c:strCache>
            </c:strRef>
          </c:tx>
          <c:spPr>
            <a:ln w="28575">
              <a:noFill/>
            </a:ln>
          </c:spPr>
          <c:trendline>
            <c:trendlineType val="linear"/>
            <c:dispRSqr val="1"/>
            <c:dispEq val="1"/>
            <c:trendlineLbl>
              <c:layout>
                <c:manualLayout>
                  <c:x val="0.25356271978860684"/>
                  <c:y val="0.20409675694995555"/>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Calibration!$K$3:$K$7</c:f>
              <c:numCache>
                <c:formatCode>0.00</c:formatCode>
                <c:ptCount val="5"/>
                <c:pt idx="0">
                  <c:v>-5.5098000000000003</c:v>
                </c:pt>
                <c:pt idx="1">
                  <c:v>-4.5477999999999996</c:v>
                </c:pt>
                <c:pt idx="2">
                  <c:v>-7.9613999999999994</c:v>
                </c:pt>
                <c:pt idx="3">
                  <c:v>-4.4944000000000006</c:v>
                </c:pt>
                <c:pt idx="4">
                  <c:v>-5.4786000000000001</c:v>
                </c:pt>
              </c:numCache>
            </c:numRef>
          </c:xVal>
          <c:yVal>
            <c:numRef>
              <c:f>Calibration!$L$3:$L$7</c:f>
              <c:numCache>
                <c:formatCode>General</c:formatCode>
                <c:ptCount val="5"/>
                <c:pt idx="0">
                  <c:v>-5.5</c:v>
                </c:pt>
                <c:pt idx="1">
                  <c:v>-4.5</c:v>
                </c:pt>
                <c:pt idx="2">
                  <c:v>-8</c:v>
                </c:pt>
                <c:pt idx="3">
                  <c:v>-4.5</c:v>
                </c:pt>
                <c:pt idx="4">
                  <c:v>-5.5</c:v>
                </c:pt>
              </c:numCache>
            </c:numRef>
          </c:yVal>
          <c:smooth val="0"/>
          <c:extLst>
            <c:ext xmlns:c16="http://schemas.microsoft.com/office/drawing/2014/chart" uri="{C3380CC4-5D6E-409C-BE32-E72D297353CC}">
              <c16:uniqueId val="{00000001-04BC-9546-AFA4-1581D7983F96}"/>
            </c:ext>
          </c:extLst>
        </c:ser>
        <c:dLbls>
          <c:showLegendKey val="0"/>
          <c:showVal val="0"/>
          <c:showCatName val="0"/>
          <c:showSerName val="0"/>
          <c:showPercent val="0"/>
          <c:showBubbleSize val="0"/>
        </c:dLbls>
        <c:axId val="263538176"/>
        <c:axId val="263540096"/>
      </c:scatterChart>
      <c:valAx>
        <c:axId val="263538176"/>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0.00" sourceLinked="1"/>
        <c:majorTickMark val="out"/>
        <c:minorTickMark val="none"/>
        <c:tickLblPos val="nextTo"/>
        <c:txPr>
          <a:bodyPr/>
          <a:lstStyle/>
          <a:p>
            <a:pPr>
              <a:defRPr sz="1200">
                <a:latin typeface="Arial" pitchFamily="34" charset="0"/>
                <a:cs typeface="Arial" pitchFamily="34" charset="0"/>
              </a:defRPr>
            </a:pPr>
            <a:endParaRPr lang="en-US"/>
          </a:p>
        </c:txPr>
        <c:crossAx val="263540096"/>
        <c:crossesAt val="-40"/>
        <c:crossBetween val="midCat"/>
      </c:valAx>
      <c:valAx>
        <c:axId val="263540096"/>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38176"/>
        <c:crossesAt val="-4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1</a:t>
            </a:r>
            <a:r>
              <a:rPr lang="en-US" baseline="0"/>
              <a:t> </a:t>
            </a:r>
            <a:r>
              <a:rPr lang="en-US"/>
              <a:t>dH</a:t>
            </a:r>
          </a:p>
        </c:rich>
      </c:tx>
      <c:overlay val="0"/>
    </c:title>
    <c:autoTitleDeleted val="0"/>
    <c:plotArea>
      <c:layout/>
      <c:scatterChart>
        <c:scatterStyle val="lineMarker"/>
        <c:varyColors val="0"/>
        <c:ser>
          <c:idx val="0"/>
          <c:order val="0"/>
          <c:tx>
            <c:strRef>
              <c:f>Calibration!$M$1</c:f>
              <c:strCache>
                <c:ptCount val="1"/>
                <c:pt idx="0">
                  <c:v>dD</c:v>
                </c:pt>
              </c:strCache>
            </c:strRef>
          </c:tx>
          <c:spPr>
            <a:ln w="28575">
              <a:noFill/>
            </a:ln>
          </c:spPr>
          <c:trendline>
            <c:trendlineType val="linear"/>
            <c:dispRSqr val="1"/>
            <c:dispEq val="1"/>
            <c:trendlineLbl>
              <c:layout>
                <c:manualLayout>
                  <c:x val="0.24753330236328983"/>
                  <c:y val="0.21422362696961078"/>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Calibration!$M$3:$M$7</c:f>
              <c:numCache>
                <c:formatCode>0.00</c:formatCode>
                <c:ptCount val="5"/>
                <c:pt idx="0">
                  <c:v>-29.8414</c:v>
                </c:pt>
                <c:pt idx="1">
                  <c:v>-22.656399999999998</c:v>
                </c:pt>
                <c:pt idx="2">
                  <c:v>-52.719799999999999</c:v>
                </c:pt>
                <c:pt idx="3">
                  <c:v>-22.493400000000001</c:v>
                </c:pt>
                <c:pt idx="4">
                  <c:v>-29.412799999999997</c:v>
                </c:pt>
              </c:numCache>
            </c:numRef>
          </c:xVal>
          <c:yVal>
            <c:numRef>
              <c:f>Calibration!$N$3:$N$7</c:f>
              <c:numCache>
                <c:formatCode>General</c:formatCode>
                <c:ptCount val="5"/>
                <c:pt idx="0">
                  <c:v>-29.6</c:v>
                </c:pt>
                <c:pt idx="1">
                  <c:v>-22.4</c:v>
                </c:pt>
                <c:pt idx="2">
                  <c:v>-52.8</c:v>
                </c:pt>
                <c:pt idx="3">
                  <c:v>-22.4</c:v>
                </c:pt>
                <c:pt idx="4">
                  <c:v>-29.6</c:v>
                </c:pt>
              </c:numCache>
            </c:numRef>
          </c:yVal>
          <c:smooth val="0"/>
          <c:extLst>
            <c:ext xmlns:c16="http://schemas.microsoft.com/office/drawing/2014/chart" uri="{C3380CC4-5D6E-409C-BE32-E72D297353CC}">
              <c16:uniqueId val="{00000001-B3AF-7D45-806F-BDF5ACC788D4}"/>
            </c:ext>
          </c:extLst>
        </c:ser>
        <c:dLbls>
          <c:showLegendKey val="0"/>
          <c:showVal val="0"/>
          <c:showCatName val="0"/>
          <c:showSerName val="0"/>
          <c:showPercent val="0"/>
          <c:showBubbleSize val="0"/>
        </c:dLbls>
        <c:axId val="263557504"/>
        <c:axId val="263559424"/>
      </c:scatterChart>
      <c:valAx>
        <c:axId val="263557504"/>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General" sourceLinked="0"/>
        <c:majorTickMark val="out"/>
        <c:minorTickMark val="none"/>
        <c:tickLblPos val="nextTo"/>
        <c:txPr>
          <a:bodyPr/>
          <a:lstStyle/>
          <a:p>
            <a:pPr>
              <a:defRPr sz="1200">
                <a:latin typeface="Arial" pitchFamily="34" charset="0"/>
                <a:cs typeface="Arial" pitchFamily="34" charset="0"/>
              </a:defRPr>
            </a:pPr>
            <a:endParaRPr lang="en-US"/>
          </a:p>
        </c:txPr>
        <c:crossAx val="263559424"/>
        <c:crossesAt val="-300"/>
        <c:crossBetween val="midCat"/>
      </c:valAx>
      <c:valAx>
        <c:axId val="263559424"/>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57504"/>
        <c:crossesAt val="-30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2 d(18_16)</a:t>
            </a:r>
          </a:p>
        </c:rich>
      </c:tx>
      <c:overlay val="0"/>
    </c:title>
    <c:autoTitleDeleted val="0"/>
    <c:plotArea>
      <c:layout>
        <c:manualLayout>
          <c:layoutTarget val="inner"/>
          <c:xMode val="edge"/>
          <c:yMode val="edge"/>
          <c:x val="0.10907903331156101"/>
          <c:y val="0.17813383600377"/>
          <c:w val="0.82535937090162903"/>
          <c:h val="0.65315776974626505"/>
        </c:manualLayout>
      </c:layout>
      <c:scatterChart>
        <c:scatterStyle val="lineMarker"/>
        <c:varyColors val="0"/>
        <c:ser>
          <c:idx val="0"/>
          <c:order val="0"/>
          <c:tx>
            <c:strRef>
              <c:f>Calibration!$K$1:$L$1</c:f>
              <c:strCache>
                <c:ptCount val="1"/>
                <c:pt idx="0">
                  <c:v>d(18_16)</c:v>
                </c:pt>
              </c:strCache>
            </c:strRef>
          </c:tx>
          <c:spPr>
            <a:ln w="28575">
              <a:noFill/>
            </a:ln>
          </c:spPr>
          <c:trendline>
            <c:trendlineType val="linear"/>
            <c:dispRSqr val="1"/>
            <c:dispEq val="1"/>
            <c:trendlineLbl>
              <c:layout>
                <c:manualLayout>
                  <c:x val="0.35877988051267057"/>
                  <c:y val="0.18172645728874887"/>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Calibration!$K$8:$K$11</c:f>
              <c:numCache>
                <c:formatCode>0.00</c:formatCode>
                <c:ptCount val="4"/>
                <c:pt idx="0">
                  <c:v>-5.4641999999999999</c:v>
                </c:pt>
                <c:pt idx="1">
                  <c:v>-4.5335999999999999</c:v>
                </c:pt>
                <c:pt idx="2">
                  <c:v>-7.9722000000000008</c:v>
                </c:pt>
                <c:pt idx="3">
                  <c:v>-5.4994000000000005</c:v>
                </c:pt>
              </c:numCache>
            </c:numRef>
          </c:xVal>
          <c:yVal>
            <c:numRef>
              <c:f>Calibration!$L$8:$L$11</c:f>
              <c:numCache>
                <c:formatCode>General</c:formatCode>
                <c:ptCount val="4"/>
                <c:pt idx="0">
                  <c:v>-5.5</c:v>
                </c:pt>
                <c:pt idx="1">
                  <c:v>-4.5</c:v>
                </c:pt>
                <c:pt idx="2">
                  <c:v>-8</c:v>
                </c:pt>
                <c:pt idx="3">
                  <c:v>-5.5</c:v>
                </c:pt>
              </c:numCache>
            </c:numRef>
          </c:yVal>
          <c:smooth val="0"/>
          <c:extLst>
            <c:ext xmlns:c16="http://schemas.microsoft.com/office/drawing/2014/chart" uri="{C3380CC4-5D6E-409C-BE32-E72D297353CC}">
              <c16:uniqueId val="{00000001-2F31-9F42-A628-160847718B78}"/>
            </c:ext>
          </c:extLst>
        </c:ser>
        <c:dLbls>
          <c:showLegendKey val="0"/>
          <c:showVal val="0"/>
          <c:showCatName val="0"/>
          <c:showSerName val="0"/>
          <c:showPercent val="0"/>
          <c:showBubbleSize val="0"/>
        </c:dLbls>
        <c:axId val="263538176"/>
        <c:axId val="263540096"/>
      </c:scatterChart>
      <c:valAx>
        <c:axId val="263538176"/>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0.00" sourceLinked="1"/>
        <c:majorTickMark val="out"/>
        <c:minorTickMark val="none"/>
        <c:tickLblPos val="nextTo"/>
        <c:txPr>
          <a:bodyPr/>
          <a:lstStyle/>
          <a:p>
            <a:pPr>
              <a:defRPr sz="1200">
                <a:latin typeface="Arial" pitchFamily="34" charset="0"/>
                <a:cs typeface="Arial" pitchFamily="34" charset="0"/>
              </a:defRPr>
            </a:pPr>
            <a:endParaRPr lang="en-US"/>
          </a:p>
        </c:txPr>
        <c:crossAx val="263540096"/>
        <c:crossesAt val="-40"/>
        <c:crossBetween val="midCat"/>
      </c:valAx>
      <c:valAx>
        <c:axId val="263540096"/>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38176"/>
        <c:crossesAt val="-4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3 d(18_16)</a:t>
            </a:r>
          </a:p>
        </c:rich>
      </c:tx>
      <c:overlay val="0"/>
    </c:title>
    <c:autoTitleDeleted val="0"/>
    <c:plotArea>
      <c:layout>
        <c:manualLayout>
          <c:layoutTarget val="inner"/>
          <c:xMode val="edge"/>
          <c:yMode val="edge"/>
          <c:x val="0.10907903331156101"/>
          <c:y val="0.17813383600377"/>
          <c:w val="0.82535937090162903"/>
          <c:h val="0.65315776974626505"/>
        </c:manualLayout>
      </c:layout>
      <c:scatterChart>
        <c:scatterStyle val="lineMarker"/>
        <c:varyColors val="0"/>
        <c:ser>
          <c:idx val="0"/>
          <c:order val="0"/>
          <c:tx>
            <c:strRef>
              <c:f>Calibration!$K$2:$L$2</c:f>
              <c:strCache>
                <c:ptCount val="1"/>
                <c:pt idx="0">
                  <c:v>measured known</c:v>
                </c:pt>
              </c:strCache>
            </c:strRef>
          </c:tx>
          <c:spPr>
            <a:ln w="28575">
              <a:noFill/>
            </a:ln>
          </c:spPr>
          <c:trendline>
            <c:trendlineType val="linear"/>
            <c:dispRSqr val="1"/>
            <c:dispEq val="1"/>
            <c:trendlineLbl>
              <c:layout>
                <c:manualLayout>
                  <c:x val="0.35877988051267057"/>
                  <c:y val="0.18172645728874887"/>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Calibration!$K$12:$K$15</c:f>
              <c:numCache>
                <c:formatCode>0.00</c:formatCode>
                <c:ptCount val="4"/>
                <c:pt idx="0">
                  <c:v>-5.3950000000000005</c:v>
                </c:pt>
                <c:pt idx="1">
                  <c:v>-4.4809999999999999</c:v>
                </c:pt>
                <c:pt idx="2">
                  <c:v>-7.9144000000000005</c:v>
                </c:pt>
                <c:pt idx="3">
                  <c:v>-5.4143999999999997</c:v>
                </c:pt>
              </c:numCache>
            </c:numRef>
          </c:xVal>
          <c:yVal>
            <c:numRef>
              <c:f>Calibration!$L$12:$L$15</c:f>
              <c:numCache>
                <c:formatCode>General</c:formatCode>
                <c:ptCount val="4"/>
                <c:pt idx="0">
                  <c:v>-5.5</c:v>
                </c:pt>
                <c:pt idx="1">
                  <c:v>-4.5</c:v>
                </c:pt>
                <c:pt idx="2">
                  <c:v>-8</c:v>
                </c:pt>
                <c:pt idx="3">
                  <c:v>-5.5</c:v>
                </c:pt>
              </c:numCache>
            </c:numRef>
          </c:yVal>
          <c:smooth val="0"/>
          <c:extLst>
            <c:ext xmlns:c16="http://schemas.microsoft.com/office/drawing/2014/chart" uri="{C3380CC4-5D6E-409C-BE32-E72D297353CC}">
              <c16:uniqueId val="{00000001-5403-E342-86FE-808AD6609C53}"/>
            </c:ext>
          </c:extLst>
        </c:ser>
        <c:dLbls>
          <c:showLegendKey val="0"/>
          <c:showVal val="0"/>
          <c:showCatName val="0"/>
          <c:showSerName val="0"/>
          <c:showPercent val="0"/>
          <c:showBubbleSize val="0"/>
        </c:dLbls>
        <c:axId val="263538176"/>
        <c:axId val="263540096"/>
      </c:scatterChart>
      <c:valAx>
        <c:axId val="263538176"/>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0.00" sourceLinked="1"/>
        <c:majorTickMark val="out"/>
        <c:minorTickMark val="none"/>
        <c:tickLblPos val="nextTo"/>
        <c:txPr>
          <a:bodyPr/>
          <a:lstStyle/>
          <a:p>
            <a:pPr>
              <a:defRPr sz="1200">
                <a:latin typeface="Arial" pitchFamily="34" charset="0"/>
                <a:cs typeface="Arial" pitchFamily="34" charset="0"/>
              </a:defRPr>
            </a:pPr>
            <a:endParaRPr lang="en-US"/>
          </a:p>
        </c:txPr>
        <c:crossAx val="263540096"/>
        <c:crossesAt val="-40"/>
        <c:crossBetween val="midCat"/>
      </c:valAx>
      <c:valAx>
        <c:axId val="263540096"/>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38176"/>
        <c:crossesAt val="-4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2</a:t>
            </a:r>
            <a:r>
              <a:rPr lang="en-US" baseline="0"/>
              <a:t> </a:t>
            </a:r>
            <a:r>
              <a:rPr lang="en-US"/>
              <a:t>dH</a:t>
            </a:r>
          </a:p>
        </c:rich>
      </c:tx>
      <c:overlay val="0"/>
    </c:title>
    <c:autoTitleDeleted val="0"/>
    <c:plotArea>
      <c:layout/>
      <c:scatterChart>
        <c:scatterStyle val="lineMarker"/>
        <c:varyColors val="0"/>
        <c:ser>
          <c:idx val="0"/>
          <c:order val="0"/>
          <c:tx>
            <c:strRef>
              <c:f>Calibration!$M$1</c:f>
              <c:strCache>
                <c:ptCount val="1"/>
                <c:pt idx="0">
                  <c:v>dD</c:v>
                </c:pt>
              </c:strCache>
            </c:strRef>
          </c:tx>
          <c:spPr>
            <a:ln w="28575">
              <a:noFill/>
            </a:ln>
          </c:spPr>
          <c:trendline>
            <c:trendlineType val="linear"/>
            <c:dispRSqr val="1"/>
            <c:dispEq val="1"/>
            <c:trendlineLbl>
              <c:layout>
                <c:manualLayout>
                  <c:x val="0.23373475873730501"/>
                  <c:y val="0.331679659815733"/>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Calibration!$M$8:$M$11</c:f>
              <c:numCache>
                <c:formatCode>0.00</c:formatCode>
                <c:ptCount val="4"/>
                <c:pt idx="0">
                  <c:v>-29.222799999999999</c:v>
                </c:pt>
                <c:pt idx="1">
                  <c:v>-22.321799999999996</c:v>
                </c:pt>
                <c:pt idx="2">
                  <c:v>-52.412599999999998</c:v>
                </c:pt>
                <c:pt idx="3">
                  <c:v>-29.331600000000002</c:v>
                </c:pt>
              </c:numCache>
            </c:numRef>
          </c:xVal>
          <c:yVal>
            <c:numRef>
              <c:f>Calibration!$N$8:$N$11</c:f>
              <c:numCache>
                <c:formatCode>General</c:formatCode>
                <c:ptCount val="4"/>
                <c:pt idx="0">
                  <c:v>-29.6</c:v>
                </c:pt>
                <c:pt idx="1">
                  <c:v>-22.4</c:v>
                </c:pt>
                <c:pt idx="2">
                  <c:v>-52.8</c:v>
                </c:pt>
                <c:pt idx="3">
                  <c:v>-29.6</c:v>
                </c:pt>
              </c:numCache>
            </c:numRef>
          </c:yVal>
          <c:smooth val="0"/>
          <c:extLst>
            <c:ext xmlns:c16="http://schemas.microsoft.com/office/drawing/2014/chart" uri="{C3380CC4-5D6E-409C-BE32-E72D297353CC}">
              <c16:uniqueId val="{00000001-55DE-6D42-AAAC-177FE4F446B1}"/>
            </c:ext>
          </c:extLst>
        </c:ser>
        <c:dLbls>
          <c:showLegendKey val="0"/>
          <c:showVal val="0"/>
          <c:showCatName val="0"/>
          <c:showSerName val="0"/>
          <c:showPercent val="0"/>
          <c:showBubbleSize val="0"/>
        </c:dLbls>
        <c:axId val="263557504"/>
        <c:axId val="263559424"/>
      </c:scatterChart>
      <c:valAx>
        <c:axId val="263557504"/>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General" sourceLinked="0"/>
        <c:majorTickMark val="out"/>
        <c:minorTickMark val="none"/>
        <c:tickLblPos val="nextTo"/>
        <c:txPr>
          <a:bodyPr/>
          <a:lstStyle/>
          <a:p>
            <a:pPr>
              <a:defRPr sz="1200">
                <a:latin typeface="Arial" pitchFamily="34" charset="0"/>
                <a:cs typeface="Arial" pitchFamily="34" charset="0"/>
              </a:defRPr>
            </a:pPr>
            <a:endParaRPr lang="en-US"/>
          </a:p>
        </c:txPr>
        <c:crossAx val="263559424"/>
        <c:crossesAt val="-300"/>
        <c:crossBetween val="midCat"/>
      </c:valAx>
      <c:valAx>
        <c:axId val="263559424"/>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57504"/>
        <c:crossesAt val="-30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3</a:t>
            </a:r>
            <a:r>
              <a:rPr lang="en-US" baseline="0"/>
              <a:t> </a:t>
            </a:r>
            <a:r>
              <a:rPr lang="en-US"/>
              <a:t>dH</a:t>
            </a:r>
          </a:p>
        </c:rich>
      </c:tx>
      <c:overlay val="0"/>
    </c:title>
    <c:autoTitleDeleted val="0"/>
    <c:plotArea>
      <c:layout/>
      <c:scatterChart>
        <c:scatterStyle val="lineMarker"/>
        <c:varyColors val="0"/>
        <c:ser>
          <c:idx val="0"/>
          <c:order val="0"/>
          <c:tx>
            <c:strRef>
              <c:f>Calibration!$M$1</c:f>
              <c:strCache>
                <c:ptCount val="1"/>
                <c:pt idx="0">
                  <c:v>dD</c:v>
                </c:pt>
              </c:strCache>
            </c:strRef>
          </c:tx>
          <c:spPr>
            <a:ln w="28575">
              <a:noFill/>
            </a:ln>
          </c:spPr>
          <c:trendline>
            <c:trendlineType val="linear"/>
            <c:dispRSqr val="1"/>
            <c:dispEq val="1"/>
            <c:trendlineLbl>
              <c:layout>
                <c:manualLayout>
                  <c:x val="0.23373475873730501"/>
                  <c:y val="0.331679659815733"/>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Calibration!$M$12:$M$15</c:f>
              <c:numCache>
                <c:formatCode>0.00</c:formatCode>
                <c:ptCount val="4"/>
                <c:pt idx="0">
                  <c:v>-28.869399999999995</c:v>
                </c:pt>
                <c:pt idx="1">
                  <c:v>-22.0198</c:v>
                </c:pt>
                <c:pt idx="2">
                  <c:v>-52.214800000000004</c:v>
                </c:pt>
                <c:pt idx="3">
                  <c:v>-29.003799999999995</c:v>
                </c:pt>
              </c:numCache>
            </c:numRef>
          </c:xVal>
          <c:yVal>
            <c:numRef>
              <c:f>Calibration!$N$12:$N$15</c:f>
              <c:numCache>
                <c:formatCode>General</c:formatCode>
                <c:ptCount val="4"/>
                <c:pt idx="0">
                  <c:v>-29.6</c:v>
                </c:pt>
                <c:pt idx="1">
                  <c:v>-22.4</c:v>
                </c:pt>
                <c:pt idx="2">
                  <c:v>-52.8</c:v>
                </c:pt>
                <c:pt idx="3">
                  <c:v>-29.6</c:v>
                </c:pt>
              </c:numCache>
            </c:numRef>
          </c:yVal>
          <c:smooth val="0"/>
          <c:extLst>
            <c:ext xmlns:c16="http://schemas.microsoft.com/office/drawing/2014/chart" uri="{C3380CC4-5D6E-409C-BE32-E72D297353CC}">
              <c16:uniqueId val="{00000001-8DAA-3144-8A99-DFF87E240612}"/>
            </c:ext>
          </c:extLst>
        </c:ser>
        <c:dLbls>
          <c:showLegendKey val="0"/>
          <c:showVal val="0"/>
          <c:showCatName val="0"/>
          <c:showSerName val="0"/>
          <c:showPercent val="0"/>
          <c:showBubbleSize val="0"/>
        </c:dLbls>
        <c:axId val="263557504"/>
        <c:axId val="263559424"/>
      </c:scatterChart>
      <c:valAx>
        <c:axId val="263557504"/>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General" sourceLinked="0"/>
        <c:majorTickMark val="out"/>
        <c:minorTickMark val="none"/>
        <c:tickLblPos val="nextTo"/>
        <c:txPr>
          <a:bodyPr/>
          <a:lstStyle/>
          <a:p>
            <a:pPr>
              <a:defRPr sz="1200">
                <a:latin typeface="Arial" pitchFamily="34" charset="0"/>
                <a:cs typeface="Arial" pitchFamily="34" charset="0"/>
              </a:defRPr>
            </a:pPr>
            <a:endParaRPr lang="en-US"/>
          </a:p>
        </c:txPr>
        <c:crossAx val="263559424"/>
        <c:crossesAt val="-300"/>
        <c:crossBetween val="midCat"/>
      </c:valAx>
      <c:valAx>
        <c:axId val="263559424"/>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57504"/>
        <c:crossesAt val="-30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Konza Isotopes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Groundwater Konza</c:v>
          </c:tx>
          <c:spPr>
            <a:ln w="28575" cap="rnd">
              <a:noFill/>
              <a:round/>
            </a:ln>
            <a:effectLst/>
          </c:spPr>
          <c:marker>
            <c:symbol val="circle"/>
            <c:size val="5"/>
            <c:spPr>
              <a:solidFill>
                <a:schemeClr val="accent1"/>
              </a:solidFill>
              <a:ln w="9525">
                <a:solidFill>
                  <a:schemeClr val="accent1"/>
                </a:solidFill>
              </a:ln>
              <a:effectLst/>
            </c:spPr>
          </c:marker>
          <c:xVal>
            <c:numRef>
              <c:f>('QAQC + Calibrated Data'!$B$12:$B$14,'QAQC + Calibrated Data'!$B$16:$B$21,'QAQC + Calibrated Data'!$B$23:$B$27)</c:f>
              <c:numCache>
                <c:formatCode>0.0</c:formatCode>
                <c:ptCount val="14"/>
                <c:pt idx="0">
                  <c:v>-6.1605524936075211</c:v>
                </c:pt>
                <c:pt idx="1">
                  <c:v>-6.2107168236679371</c:v>
                </c:pt>
                <c:pt idx="2">
                  <c:v>-6.0541227663171844</c:v>
                </c:pt>
                <c:pt idx="3">
                  <c:v>-6.078527034995223</c:v>
                </c:pt>
                <c:pt idx="4">
                  <c:v>-5.7307662063331604</c:v>
                </c:pt>
                <c:pt idx="5">
                  <c:v>-4.8867852478842977</c:v>
                </c:pt>
                <c:pt idx="6">
                  <c:v>-3.860450170702308</c:v>
                </c:pt>
                <c:pt idx="7">
                  <c:v>-5.8727854921123077</c:v>
                </c:pt>
                <c:pt idx="8">
                  <c:v>-5.931423526574819</c:v>
                </c:pt>
                <c:pt idx="9">
                  <c:v>-5.8768528702253144</c:v>
                </c:pt>
                <c:pt idx="10">
                  <c:v>-4.0207726579899843</c:v>
                </c:pt>
                <c:pt idx="11">
                  <c:v>-4.6966353211012413</c:v>
                </c:pt>
                <c:pt idx="12">
                  <c:v>-5.6748397572793214</c:v>
                </c:pt>
                <c:pt idx="13">
                  <c:v>-4.9454232823468107</c:v>
                </c:pt>
              </c:numCache>
            </c:numRef>
          </c:xVal>
          <c:yVal>
            <c:numRef>
              <c:f>('QAQC + Calibrated Data'!$C$12:$C$14,'QAQC + Calibrated Data'!$C$16:$C$21,'QAQC + Calibrated Data'!$C$23:$C$27)</c:f>
              <c:numCache>
                <c:formatCode>0.0</c:formatCode>
                <c:ptCount val="14"/>
                <c:pt idx="0">
                  <c:v>-38.873217800773972</c:v>
                </c:pt>
                <c:pt idx="1">
                  <c:v>-39.239376699429748</c:v>
                </c:pt>
                <c:pt idx="2">
                  <c:v>-38.391164571809696</c:v>
                </c:pt>
                <c:pt idx="3">
                  <c:v>-38.30718317303544</c:v>
                </c:pt>
                <c:pt idx="4">
                  <c:v>-36.788799483196776</c:v>
                </c:pt>
                <c:pt idx="5">
                  <c:v>-29.946331036664986</c:v>
                </c:pt>
                <c:pt idx="6">
                  <c:v>-23.741785295222488</c:v>
                </c:pt>
                <c:pt idx="7">
                  <c:v>-36.742441751073386</c:v>
                </c:pt>
                <c:pt idx="8">
                  <c:v>-37.511039512655437</c:v>
                </c:pt>
                <c:pt idx="9">
                  <c:v>-36.828102777823126</c:v>
                </c:pt>
                <c:pt idx="10">
                  <c:v>-24.88292454176716</c:v>
                </c:pt>
                <c:pt idx="11">
                  <c:v>-28.717851135395073</c:v>
                </c:pt>
                <c:pt idx="12">
                  <c:v>-29.349055328582427</c:v>
                </c:pt>
                <c:pt idx="13">
                  <c:v>-29.865372968246589</c:v>
                </c:pt>
              </c:numCache>
            </c:numRef>
          </c:yVal>
          <c:smooth val="0"/>
          <c:extLst>
            <c:ext xmlns:c16="http://schemas.microsoft.com/office/drawing/2014/chart" uri="{C3380CC4-5D6E-409C-BE32-E72D297353CC}">
              <c16:uniqueId val="{00000000-5D94-2E4E-A926-9BD0624799AB}"/>
            </c:ext>
          </c:extLst>
        </c:ser>
        <c:ser>
          <c:idx val="1"/>
          <c:order val="1"/>
          <c:tx>
            <c:v>Surface Water Konza</c:v>
          </c:tx>
          <c:spPr>
            <a:ln w="25400" cap="rnd">
              <a:noFill/>
              <a:round/>
            </a:ln>
            <a:effectLst/>
          </c:spPr>
          <c:marker>
            <c:symbol val="circle"/>
            <c:size val="5"/>
            <c:spPr>
              <a:solidFill>
                <a:schemeClr val="accent2"/>
              </a:solidFill>
              <a:ln w="9525">
                <a:solidFill>
                  <a:schemeClr val="accent2"/>
                </a:solidFill>
              </a:ln>
              <a:effectLst/>
            </c:spPr>
          </c:marker>
          <c:xVal>
            <c:numRef>
              <c:f>('QAQC + Calibrated Data'!$B$88,'QAQC + Calibrated Data'!$B$7:$B$11)</c:f>
              <c:numCache>
                <c:formatCode>0.0</c:formatCode>
                <c:ptCount val="6"/>
                <c:pt idx="0">
                  <c:v>-5.9250736676249867</c:v>
                </c:pt>
                <c:pt idx="1">
                  <c:v>0.19065842985223297</c:v>
                </c:pt>
                <c:pt idx="2">
                  <c:v>-1.4308696445330518</c:v>
                </c:pt>
                <c:pt idx="3">
                  <c:v>-1.8597520700045225</c:v>
                </c:pt>
                <c:pt idx="4">
                  <c:v>-5.6616207784120496</c:v>
                </c:pt>
                <c:pt idx="5">
                  <c:v>-5.3880896003123588</c:v>
                </c:pt>
              </c:numCache>
            </c:numRef>
          </c:xVal>
          <c:yVal>
            <c:numRef>
              <c:f>('QAQC + Calibrated Data'!$C$88,'QAQC + Calibrated Data'!$C$7:$C$11)</c:f>
              <c:numCache>
                <c:formatCode>0.0</c:formatCode>
                <c:ptCount val="6"/>
                <c:pt idx="0">
                  <c:v>-37.029898509361892</c:v>
                </c:pt>
                <c:pt idx="1">
                  <c:v>2.6710364704731977</c:v>
                </c:pt>
                <c:pt idx="2">
                  <c:v>-11.736476377644143</c:v>
                </c:pt>
                <c:pt idx="3">
                  <c:v>-17.596362458517067</c:v>
                </c:pt>
                <c:pt idx="4">
                  <c:v>-35.295610212990397</c:v>
                </c:pt>
                <c:pt idx="5">
                  <c:v>-29.153210706640849</c:v>
                </c:pt>
              </c:numCache>
            </c:numRef>
          </c:yVal>
          <c:smooth val="0"/>
          <c:extLst>
            <c:ext xmlns:c16="http://schemas.microsoft.com/office/drawing/2014/chart" uri="{C3380CC4-5D6E-409C-BE32-E72D297353CC}">
              <c16:uniqueId val="{00000002-5D94-2E4E-A926-9BD0624799AB}"/>
            </c:ext>
          </c:extLst>
        </c:ser>
        <c:ser>
          <c:idx val="2"/>
          <c:order val="2"/>
          <c:tx>
            <c:v>LMWL</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'QAQC + Calibrated Data'!$U$3:$U$4</c:f>
              <c:numCache>
                <c:formatCode>General</c:formatCode>
                <c:ptCount val="2"/>
                <c:pt idx="0">
                  <c:v>-10</c:v>
                </c:pt>
                <c:pt idx="1">
                  <c:v>1</c:v>
                </c:pt>
              </c:numCache>
            </c:numRef>
          </c:xVal>
          <c:yVal>
            <c:numRef>
              <c:f>'QAQC + Calibrated Data'!$V$3:$V$4</c:f>
              <c:numCache>
                <c:formatCode>General</c:formatCode>
                <c:ptCount val="2"/>
                <c:pt idx="0">
                  <c:v>-61.580000000000013</c:v>
                </c:pt>
                <c:pt idx="1">
                  <c:v>16.63</c:v>
                </c:pt>
              </c:numCache>
            </c:numRef>
          </c:yVal>
          <c:smooth val="0"/>
          <c:extLst>
            <c:ext xmlns:c16="http://schemas.microsoft.com/office/drawing/2014/chart" uri="{C3380CC4-5D6E-409C-BE32-E72D297353CC}">
              <c16:uniqueId val="{00000003-5D94-2E4E-A926-9BD0624799AB}"/>
            </c:ext>
          </c:extLst>
        </c:ser>
        <c:dLbls>
          <c:showLegendKey val="0"/>
          <c:showVal val="0"/>
          <c:showCatName val="0"/>
          <c:showSerName val="0"/>
          <c:showPercent val="0"/>
          <c:showBubbleSize val="0"/>
        </c:dLbls>
        <c:axId val="1399564991"/>
        <c:axId val="1399566639"/>
      </c:scatterChart>
      <c:valAx>
        <c:axId val="1399564991"/>
        <c:scaling>
          <c:orientation val="minMax"/>
          <c:max val="1"/>
          <c:min val="-8"/>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66639"/>
        <c:crosses val="autoZero"/>
        <c:crossBetween val="midCat"/>
      </c:valAx>
      <c:valAx>
        <c:axId val="1399566639"/>
        <c:scaling>
          <c:orientation val="minMax"/>
          <c:max val="10"/>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64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 Isotopes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Talladega Maintenance</c:v>
          </c:tx>
          <c:spPr>
            <a:ln w="25400" cap="rnd">
              <a:noFill/>
              <a:round/>
            </a:ln>
            <a:effectLst/>
          </c:spPr>
          <c:marker>
            <c:symbol val="circle"/>
            <c:size val="5"/>
            <c:spPr>
              <a:solidFill>
                <a:schemeClr val="accent1"/>
              </a:solidFill>
              <a:ln w="9525">
                <a:solidFill>
                  <a:schemeClr val="accent1"/>
                </a:solidFill>
              </a:ln>
              <a:effectLst/>
            </c:spPr>
          </c:marker>
          <c:xVal>
            <c:numRef>
              <c:f>('QAQC + Calibrated Data'!$B$28,'QAQC + Calibrated Data'!$B$30:$B$32,'QAQC + Calibrated Data'!$B$37)</c:f>
              <c:numCache>
                <c:formatCode>0.0</c:formatCode>
                <c:ptCount val="5"/>
                <c:pt idx="0">
                  <c:v>-4.7867955359395538</c:v>
                </c:pt>
                <c:pt idx="1">
                  <c:v>-4.7715428680157785</c:v>
                </c:pt>
                <c:pt idx="2">
                  <c:v>-4.7905239658764769</c:v>
                </c:pt>
                <c:pt idx="3">
                  <c:v>-4.512586461487694</c:v>
                </c:pt>
                <c:pt idx="4">
                  <c:v>-4.7599931222949969</c:v>
                </c:pt>
              </c:numCache>
            </c:numRef>
          </c:xVal>
          <c:yVal>
            <c:numRef>
              <c:f>('QAQC + Calibrated Data'!$C$28,'QAQC + Calibrated Data'!$C$30:$C$32,'QAQC + Calibrated Data'!$C$37)</c:f>
              <c:numCache>
                <c:formatCode>0.0</c:formatCode>
                <c:ptCount val="5"/>
                <c:pt idx="0">
                  <c:v>-24.351826175918731</c:v>
                </c:pt>
                <c:pt idx="1">
                  <c:v>-24.483844934791865</c:v>
                </c:pt>
                <c:pt idx="2">
                  <c:v>-24.522476378228024</c:v>
                </c:pt>
                <c:pt idx="3">
                  <c:v>-21.992284795957051</c:v>
                </c:pt>
                <c:pt idx="4">
                  <c:v>-24.380950418211011</c:v>
                </c:pt>
              </c:numCache>
            </c:numRef>
          </c:yVal>
          <c:smooth val="0"/>
          <c:extLst>
            <c:ext xmlns:c16="http://schemas.microsoft.com/office/drawing/2014/chart" uri="{C3380CC4-5D6E-409C-BE32-E72D297353CC}">
              <c16:uniqueId val="{00000000-AD57-9146-9738-CE44057891D6}"/>
            </c:ext>
          </c:extLst>
        </c:ser>
        <c:ser>
          <c:idx val="1"/>
          <c:order val="1"/>
          <c:tx>
            <c:v>Talladega S1</c:v>
          </c:tx>
          <c:spPr>
            <a:ln w="25400" cap="rnd">
              <a:noFill/>
              <a:round/>
            </a:ln>
            <a:effectLst/>
          </c:spPr>
          <c:marker>
            <c:symbol val="circle"/>
            <c:size val="5"/>
            <c:spPr>
              <a:solidFill>
                <a:schemeClr val="accent2"/>
              </a:solidFill>
              <a:ln w="9525">
                <a:solidFill>
                  <a:schemeClr val="accent2"/>
                </a:solidFill>
              </a:ln>
              <a:effectLst/>
            </c:spPr>
          </c:marker>
          <c:xVal>
            <c:numRef>
              <c:f>('QAQC + Calibrated Data'!$B$38:$B$42,'QAQC + Calibrated Data'!$B$44:$B$46)</c:f>
              <c:numCache>
                <c:formatCode>0.0</c:formatCode>
                <c:ptCount val="8"/>
                <c:pt idx="0">
                  <c:v>-4.757627992026082</c:v>
                </c:pt>
                <c:pt idx="1">
                  <c:v>-4.7113390139058771</c:v>
                </c:pt>
                <c:pt idx="2">
                  <c:v>-4.7339766893369255</c:v>
                </c:pt>
                <c:pt idx="3">
                  <c:v>-4.697823983797786</c:v>
                </c:pt>
                <c:pt idx="4">
                  <c:v>-4.6897149657329331</c:v>
                </c:pt>
                <c:pt idx="5">
                  <c:v>-4.8127017397165455</c:v>
                </c:pt>
                <c:pt idx="6">
                  <c:v>-4.7093117593896627</c:v>
                </c:pt>
                <c:pt idx="7">
                  <c:v>-4.6441017391181321</c:v>
                </c:pt>
              </c:numCache>
            </c:numRef>
          </c:xVal>
          <c:yVal>
            <c:numRef>
              <c:f>('QAQC + Calibrated Data'!$C$38:$C$42,'QAQC + Calibrated Data'!$C$44:$C$46)</c:f>
              <c:numCache>
                <c:formatCode>0.0</c:formatCode>
                <c:ptCount val="8"/>
                <c:pt idx="0">
                  <c:v>-24.310085288600472</c:v>
                </c:pt>
                <c:pt idx="1">
                  <c:v>-23.915793050862209</c:v>
                </c:pt>
                <c:pt idx="2">
                  <c:v>-24.127716732304158</c:v>
                </c:pt>
                <c:pt idx="3">
                  <c:v>-23.752232301476742</c:v>
                </c:pt>
                <c:pt idx="4">
                  <c:v>-23.822425723697609</c:v>
                </c:pt>
                <c:pt idx="5">
                  <c:v>-24.532756288277188</c:v>
                </c:pt>
                <c:pt idx="6">
                  <c:v>-23.619570092016254</c:v>
                </c:pt>
                <c:pt idx="7">
                  <c:v>-23.169861994629937</c:v>
                </c:pt>
              </c:numCache>
            </c:numRef>
          </c:yVal>
          <c:smooth val="0"/>
          <c:extLst>
            <c:ext xmlns:c16="http://schemas.microsoft.com/office/drawing/2014/chart" uri="{C3380CC4-5D6E-409C-BE32-E72D297353CC}">
              <c16:uniqueId val="{00000002-AD57-9146-9738-CE44057891D6}"/>
            </c:ext>
          </c:extLst>
        </c:ser>
        <c:ser>
          <c:idx val="2"/>
          <c:order val="2"/>
          <c:tx>
            <c:v>Talladega S2</c:v>
          </c:tx>
          <c:spPr>
            <a:ln w="25400" cap="rnd">
              <a:noFill/>
              <a:round/>
            </a:ln>
            <a:effectLst/>
          </c:spPr>
          <c:marker>
            <c:symbol val="circle"/>
            <c:size val="5"/>
            <c:spPr>
              <a:solidFill>
                <a:schemeClr val="accent3"/>
              </a:solidFill>
              <a:ln w="9525">
                <a:solidFill>
                  <a:schemeClr val="accent3"/>
                </a:solidFill>
              </a:ln>
              <a:effectLst/>
            </c:spPr>
          </c:marker>
          <c:xVal>
            <c:numRef>
              <c:f>('QAQC + Calibrated Data'!$B$47:$B$49,'QAQC + Calibrated Data'!$B$51:$B$54)</c:f>
              <c:numCache>
                <c:formatCode>0.0</c:formatCode>
                <c:ptCount val="7"/>
                <c:pt idx="0">
                  <c:v>-4.6055839033100785</c:v>
                </c:pt>
                <c:pt idx="1">
                  <c:v>-4.6474804966451542</c:v>
                </c:pt>
                <c:pt idx="2">
                  <c:v>-4.6082869093316949</c:v>
                </c:pt>
                <c:pt idx="3">
                  <c:v>-4.5778780915884933</c:v>
                </c:pt>
                <c:pt idx="4">
                  <c:v>-4.7454644649288014</c:v>
                </c:pt>
                <c:pt idx="5">
                  <c:v>-4.6032187730411618</c:v>
                </c:pt>
                <c:pt idx="6">
                  <c:v>-4.481583502068359</c:v>
                </c:pt>
              </c:numCache>
            </c:numRef>
          </c:xVal>
          <c:yVal>
            <c:numRef>
              <c:f>('QAQC + Calibrated Data'!$C$47:$C$49,'QAQC + Calibrated Data'!$C$51:$C$54)</c:f>
              <c:numCache>
                <c:formatCode>0.0</c:formatCode>
                <c:ptCount val="7"/>
                <c:pt idx="0">
                  <c:v>-22.922001967840465</c:v>
                </c:pt>
                <c:pt idx="1">
                  <c:v>-23.405295434710446</c:v>
                </c:pt>
                <c:pt idx="2">
                  <c:v>-22.906888551572816</c:v>
                </c:pt>
                <c:pt idx="3">
                  <c:v>-22.80042293030959</c:v>
                </c:pt>
                <c:pt idx="4">
                  <c:v>-23.623264482659454</c:v>
                </c:pt>
                <c:pt idx="5">
                  <c:v>-22.771875366248469</c:v>
                </c:pt>
                <c:pt idx="6">
                  <c:v>-21.697143542771087</c:v>
                </c:pt>
              </c:numCache>
            </c:numRef>
          </c:yVal>
          <c:smooth val="0"/>
          <c:extLst>
            <c:ext xmlns:c16="http://schemas.microsoft.com/office/drawing/2014/chart" uri="{C3380CC4-5D6E-409C-BE32-E72D297353CC}">
              <c16:uniqueId val="{00000003-AD57-9146-9738-CE44057891D6}"/>
            </c:ext>
          </c:extLst>
        </c:ser>
        <c:ser>
          <c:idx val="3"/>
          <c:order val="3"/>
          <c:tx>
            <c:v>Weyehaeuser Maintenance</c:v>
          </c:tx>
          <c:spPr>
            <a:ln w="25400" cap="rnd">
              <a:noFill/>
              <a:round/>
            </a:ln>
            <a:effectLst/>
          </c:spPr>
          <c:marker>
            <c:symbol val="circle"/>
            <c:size val="5"/>
            <c:spPr>
              <a:solidFill>
                <a:schemeClr val="accent4"/>
              </a:solidFill>
              <a:ln w="9525">
                <a:solidFill>
                  <a:schemeClr val="accent4"/>
                </a:solidFill>
              </a:ln>
              <a:effectLst/>
            </c:spPr>
          </c:marker>
          <c:xVal>
            <c:numRef>
              <c:f>('QAQC + Calibrated Data'!$B$56,'QAQC + Calibrated Data'!$B$58:$B$61)</c:f>
              <c:numCache>
                <c:formatCode>0.0</c:formatCode>
                <c:ptCount val="5"/>
                <c:pt idx="0">
                  <c:v>-3.8693526381719123</c:v>
                </c:pt>
                <c:pt idx="1">
                  <c:v>-3.8642845018813787</c:v>
                </c:pt>
                <c:pt idx="2">
                  <c:v>-3.7565021367693663</c:v>
                </c:pt>
                <c:pt idx="3">
                  <c:v>-3.8399574476868183</c:v>
                </c:pt>
                <c:pt idx="4">
                  <c:v>-3.8490800930097779</c:v>
                </c:pt>
              </c:numCache>
            </c:numRef>
          </c:xVal>
          <c:yVal>
            <c:numRef>
              <c:f>('QAQC + Calibrated Data'!$C$56,'QAQC + Calibrated Data'!$C$58:$C$61)</c:f>
              <c:numCache>
                <c:formatCode>0.0</c:formatCode>
                <c:ptCount val="5"/>
                <c:pt idx="0">
                  <c:v>-19.707546254558583</c:v>
                </c:pt>
                <c:pt idx="1">
                  <c:v>-20.102846053381356</c:v>
                </c:pt>
                <c:pt idx="2">
                  <c:v>-19.136594973336223</c:v>
                </c:pt>
                <c:pt idx="3">
                  <c:v>-19.172867172378581</c:v>
                </c:pt>
                <c:pt idx="4">
                  <c:v>-18.709053219809128</c:v>
                </c:pt>
              </c:numCache>
            </c:numRef>
          </c:yVal>
          <c:smooth val="0"/>
          <c:extLst>
            <c:ext xmlns:c16="http://schemas.microsoft.com/office/drawing/2014/chart" uri="{C3380CC4-5D6E-409C-BE32-E72D297353CC}">
              <c16:uniqueId val="{00000004-AD57-9146-9738-CE44057891D6}"/>
            </c:ext>
          </c:extLst>
        </c:ser>
        <c:ser>
          <c:idx val="4"/>
          <c:order val="4"/>
          <c:tx>
            <c:v>Weyerheauser S1</c:v>
          </c:tx>
          <c:spPr>
            <a:ln w="25400" cap="rnd">
              <a:noFill/>
              <a:round/>
            </a:ln>
            <a:effectLst/>
          </c:spPr>
          <c:marker>
            <c:symbol val="circle"/>
            <c:size val="5"/>
            <c:spPr>
              <a:solidFill>
                <a:schemeClr val="accent5"/>
              </a:solidFill>
              <a:ln w="9525">
                <a:solidFill>
                  <a:schemeClr val="accent5"/>
                </a:solidFill>
              </a:ln>
              <a:effectLst/>
            </c:spPr>
          </c:marker>
          <c:xVal>
            <c:numRef>
              <c:f>('QAQC + Calibrated Data'!$B$62:$B$63,'QAQC + Calibrated Data'!$B$65:$B$67,'QAQC + Calibrated Data'!$B$72:$B$73)</c:f>
              <c:numCache>
                <c:formatCode>0.0</c:formatCode>
                <c:ptCount val="7"/>
                <c:pt idx="0">
                  <c:v>-3.8038047421476788</c:v>
                </c:pt>
                <c:pt idx="1">
                  <c:v>-3.8625951231178672</c:v>
                </c:pt>
                <c:pt idx="2">
                  <c:v>-3.7369053431126376</c:v>
                </c:pt>
                <c:pt idx="3">
                  <c:v>-3.802791114889573</c:v>
                </c:pt>
                <c:pt idx="4">
                  <c:v>-3.8460392112354587</c:v>
                </c:pt>
                <c:pt idx="5">
                  <c:v>-3.8300103099191127</c:v>
                </c:pt>
                <c:pt idx="6">
                  <c:v>-3.9008692735393793</c:v>
                </c:pt>
              </c:numCache>
            </c:numRef>
          </c:xVal>
          <c:yVal>
            <c:numRef>
              <c:f>('QAQC + Calibrated Data'!$C$62:$C$63,'QAQC + Calibrated Data'!$C$65:$C$67,'QAQC + Calibrated Data'!$C$72:$C$73)</c:f>
              <c:numCache>
                <c:formatCode>0.0</c:formatCode>
                <c:ptCount val="7"/>
                <c:pt idx="0">
                  <c:v>-17.727017016106672</c:v>
                </c:pt>
                <c:pt idx="1">
                  <c:v>-17.770677996435438</c:v>
                </c:pt>
                <c:pt idx="2">
                  <c:v>-17.001237181564598</c:v>
                </c:pt>
                <c:pt idx="3">
                  <c:v>-17.710560185059673</c:v>
                </c:pt>
                <c:pt idx="4">
                  <c:v>-17.909385572402989</c:v>
                </c:pt>
                <c:pt idx="5">
                  <c:v>-17.925328871764524</c:v>
                </c:pt>
                <c:pt idx="6">
                  <c:v>-17.995544133479939</c:v>
                </c:pt>
              </c:numCache>
            </c:numRef>
          </c:yVal>
          <c:smooth val="0"/>
          <c:extLst>
            <c:ext xmlns:c16="http://schemas.microsoft.com/office/drawing/2014/chart" uri="{C3380CC4-5D6E-409C-BE32-E72D297353CC}">
              <c16:uniqueId val="{00000005-AD57-9146-9738-CE44057891D6}"/>
            </c:ext>
          </c:extLst>
        </c:ser>
        <c:ser>
          <c:idx val="5"/>
          <c:order val="5"/>
          <c:tx>
            <c:v>Paint Rock Maintenance</c:v>
          </c:tx>
          <c:spPr>
            <a:ln w="25400" cap="rnd">
              <a:noFill/>
              <a:round/>
            </a:ln>
            <a:effectLst/>
          </c:spPr>
          <c:marker>
            <c:symbol val="circle"/>
            <c:size val="5"/>
            <c:spPr>
              <a:solidFill>
                <a:schemeClr val="accent6"/>
              </a:solidFill>
              <a:ln w="9525">
                <a:solidFill>
                  <a:schemeClr val="accent6"/>
                </a:solidFill>
              </a:ln>
              <a:effectLst/>
            </c:spPr>
          </c:marker>
          <c:xVal>
            <c:numRef>
              <c:f>('QAQC + Calibrated Data'!$B$74:$B$77,'QAQC + Calibrated Data'!$B$79)</c:f>
              <c:numCache>
                <c:formatCode>0.0</c:formatCode>
                <c:ptCount val="5"/>
                <c:pt idx="0">
                  <c:v>-5.7027114913118657</c:v>
                </c:pt>
                <c:pt idx="1">
                  <c:v>-5.5461469240747059</c:v>
                </c:pt>
                <c:pt idx="2">
                  <c:v>-5.3517909095734044</c:v>
                </c:pt>
                <c:pt idx="3">
                  <c:v>-5.5680794604333599</c:v>
                </c:pt>
                <c:pt idx="4">
                  <c:v>-5.3909320513826939</c:v>
                </c:pt>
              </c:numCache>
            </c:numRef>
          </c:xVal>
          <c:yVal>
            <c:numRef>
              <c:f>('QAQC + Calibrated Data'!$C$74:$C$77,'QAQC + Calibrated Data'!$C$79)</c:f>
              <c:numCache>
                <c:formatCode>0.0</c:formatCode>
                <c:ptCount val="5"/>
                <c:pt idx="0">
                  <c:v>-30.833234483781855</c:v>
                </c:pt>
                <c:pt idx="1">
                  <c:v>-30.116704455895491</c:v>
                </c:pt>
                <c:pt idx="2">
                  <c:v>-27.334173941630286</c:v>
                </c:pt>
                <c:pt idx="3">
                  <c:v>-29.879644358008683</c:v>
                </c:pt>
                <c:pt idx="4">
                  <c:v>-28.107544895667225</c:v>
                </c:pt>
              </c:numCache>
            </c:numRef>
          </c:yVal>
          <c:smooth val="0"/>
          <c:extLst>
            <c:ext xmlns:c16="http://schemas.microsoft.com/office/drawing/2014/chart" uri="{C3380CC4-5D6E-409C-BE32-E72D297353CC}">
              <c16:uniqueId val="{00000006-AD57-9146-9738-CE44057891D6}"/>
            </c:ext>
          </c:extLst>
        </c:ser>
        <c:ser>
          <c:idx val="6"/>
          <c:order val="6"/>
          <c:tx>
            <c:v>Paint Rock S1</c:v>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('QAQC + Calibrated Data'!$B$80:$B$84,'QAQC + Calibrated Data'!$B$86:$B$87)</c:f>
              <c:numCache>
                <c:formatCode>0.0</c:formatCode>
                <c:ptCount val="7"/>
                <c:pt idx="0">
                  <c:v>-5.302864482311791</c:v>
                </c:pt>
                <c:pt idx="1">
                  <c:v>-5.3187233932172795</c:v>
                </c:pt>
                <c:pt idx="2">
                  <c:v>-5.1712692641598679</c:v>
                </c:pt>
                <c:pt idx="3">
                  <c:v>-5.4290609222831234</c:v>
                </c:pt>
                <c:pt idx="4">
                  <c:v>-5.4894597531784921</c:v>
                </c:pt>
                <c:pt idx="5">
                  <c:v>-5.3895823568375452</c:v>
                </c:pt>
                <c:pt idx="6">
                  <c:v>-5.5717911204325157</c:v>
                </c:pt>
              </c:numCache>
            </c:numRef>
          </c:xVal>
          <c:yVal>
            <c:numRef>
              <c:f>('QAQC + Calibrated Data'!$C$80:$C$84,'QAQC + Calibrated Data'!$C$86:$C$87)</c:f>
              <c:numCache>
                <c:formatCode>0.0</c:formatCode>
                <c:ptCount val="7"/>
                <c:pt idx="0">
                  <c:v>-27.815984380353687</c:v>
                </c:pt>
                <c:pt idx="1">
                  <c:v>-28.049700894349289</c:v>
                </c:pt>
                <c:pt idx="2">
                  <c:v>-27.179031649078127</c:v>
                </c:pt>
                <c:pt idx="3">
                  <c:v>-28.471995539809146</c:v>
                </c:pt>
                <c:pt idx="4">
                  <c:v>-28.799666761147758</c:v>
                </c:pt>
                <c:pt idx="5">
                  <c:v>-28.293448160018521</c:v>
                </c:pt>
                <c:pt idx="6">
                  <c:v>-29.194878377088816</c:v>
                </c:pt>
              </c:numCache>
            </c:numRef>
          </c:yVal>
          <c:smooth val="0"/>
          <c:extLst>
            <c:ext xmlns:c16="http://schemas.microsoft.com/office/drawing/2014/chart" uri="{C3380CC4-5D6E-409C-BE32-E72D297353CC}">
              <c16:uniqueId val="{00000007-AD57-9146-9738-CE44057891D6}"/>
            </c:ext>
          </c:extLst>
        </c:ser>
        <c:ser>
          <c:idx val="7"/>
          <c:order val="7"/>
          <c:tx>
            <c:v>LMWL (TX)</c:v>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trendline>
            <c:spPr>
              <a:ln w="19050" cap="rnd">
                <a:solidFill>
                  <a:schemeClr val="accent2">
                    <a:lumMod val="60000"/>
                  </a:schemeClr>
                </a:solidFill>
                <a:prstDash val="sysDot"/>
              </a:ln>
              <a:effectLst/>
            </c:spPr>
            <c:trendlineType val="linear"/>
            <c:dispRSqr val="0"/>
            <c:dispEq val="0"/>
          </c:trendline>
          <c:xVal>
            <c:numRef>
              <c:f>'QAQC + Calibrated Data'!$U$3:$U$4</c:f>
              <c:numCache>
                <c:formatCode>General</c:formatCode>
                <c:ptCount val="2"/>
                <c:pt idx="0">
                  <c:v>-10</c:v>
                </c:pt>
                <c:pt idx="1">
                  <c:v>1</c:v>
                </c:pt>
              </c:numCache>
            </c:numRef>
          </c:xVal>
          <c:yVal>
            <c:numRef>
              <c:f>'QAQC + Calibrated Data'!$V$3:$V$4</c:f>
              <c:numCache>
                <c:formatCode>General</c:formatCode>
                <c:ptCount val="2"/>
                <c:pt idx="0">
                  <c:v>-61.580000000000013</c:v>
                </c:pt>
                <c:pt idx="1">
                  <c:v>16.63</c:v>
                </c:pt>
              </c:numCache>
            </c:numRef>
          </c:yVal>
          <c:smooth val="0"/>
          <c:extLst>
            <c:ext xmlns:c16="http://schemas.microsoft.com/office/drawing/2014/chart" uri="{C3380CC4-5D6E-409C-BE32-E72D297353CC}">
              <c16:uniqueId val="{00000008-AD57-9146-9738-CE44057891D6}"/>
            </c:ext>
          </c:extLst>
        </c:ser>
        <c:dLbls>
          <c:dLblPos val="b"/>
          <c:showLegendKey val="0"/>
          <c:showVal val="0"/>
          <c:showCatName val="0"/>
          <c:showSerName val="0"/>
          <c:showPercent val="0"/>
          <c:showBubbleSize val="0"/>
        </c:dLbls>
        <c:axId val="1413696127"/>
        <c:axId val="1103343087"/>
      </c:scatterChart>
      <c:valAx>
        <c:axId val="1413696127"/>
        <c:scaling>
          <c:orientation val="minMax"/>
          <c:max val="0"/>
          <c:min val="-8"/>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43087"/>
        <c:crosses val="autoZero"/>
        <c:crossBetween val="midCat"/>
        <c:majorUnit val="2"/>
      </c:valAx>
      <c:valAx>
        <c:axId val="1103343087"/>
        <c:scaling>
          <c:orientation val="minMax"/>
          <c:max val="0"/>
          <c:min val="-4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96127"/>
        <c:crosses val="autoZero"/>
        <c:crossBetween val="midCat"/>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85724</xdr:colOff>
      <xdr:row>8</xdr:row>
      <xdr:rowOff>142875</xdr:rowOff>
    </xdr:from>
    <xdr:to>
      <xdr:col>9</xdr:col>
      <xdr:colOff>285749</xdr:colOff>
      <xdr:row>39</xdr:row>
      <xdr:rowOff>111761</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756284" y="335915"/>
          <a:ext cx="5564505" cy="5953126"/>
          <a:chOff x="695323" y="514349"/>
          <a:chExt cx="5909585" cy="7485525"/>
        </a:xfrm>
      </xdr:grpSpPr>
      <xdr:grpSp>
        <xdr:nvGrpSpPr>
          <xdr:cNvPr id="4" name="Group 3">
            <a:extLst>
              <a:ext uri="{FF2B5EF4-FFF2-40B4-BE49-F238E27FC236}">
                <a16:creationId xmlns:a16="http://schemas.microsoft.com/office/drawing/2014/main" id="{00000000-0008-0000-0000-000004000000}"/>
              </a:ext>
            </a:extLst>
          </xdr:cNvPr>
          <xdr:cNvGrpSpPr/>
        </xdr:nvGrpSpPr>
        <xdr:grpSpPr>
          <a:xfrm>
            <a:off x="695323" y="514349"/>
            <a:ext cx="5909585" cy="7485525"/>
            <a:chOff x="695323" y="514349"/>
            <a:chExt cx="5909585" cy="7485525"/>
          </a:xfrm>
        </xdr:grpSpPr>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95323" y="514349"/>
              <a:ext cx="5909585" cy="74855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2800">
                  <a:latin typeface="+mj-lt"/>
                </a:rPr>
                <a:t>Picarro</a:t>
              </a:r>
              <a:r>
                <a:rPr lang="en-US" sz="2800" baseline="0">
                  <a:latin typeface="+mj-lt"/>
                </a:rPr>
                <a:t> Isotope Analyzer </a:t>
              </a:r>
            </a:p>
            <a:p>
              <a:pPr algn="ctr"/>
              <a:r>
                <a:rPr lang="en-US" sz="1800" baseline="0">
                  <a:latin typeface="+mj-lt"/>
                </a:rPr>
                <a:t>Data Processor 1.0</a:t>
              </a:r>
            </a:p>
            <a:p>
              <a:pPr algn="ctr"/>
              <a:endParaRPr lang="en-US" sz="1800" baseline="0">
                <a:latin typeface="+mj-lt"/>
              </a:endParaRPr>
            </a:p>
            <a:p>
              <a:pPr algn="ctr"/>
              <a:endParaRPr lang="en-US" sz="1800" baseline="0">
                <a:latin typeface="+mj-lt"/>
              </a:endParaRPr>
            </a:p>
            <a:p>
              <a:pPr algn="ctr"/>
              <a:endParaRPr lang="en-US" sz="1800" baseline="0">
                <a:latin typeface="+mj-lt"/>
              </a:endParaRPr>
            </a:p>
            <a:p>
              <a:pPr algn="ctr"/>
              <a:endParaRPr lang="en-US" sz="1800" baseline="0">
                <a:latin typeface="+mj-lt"/>
              </a:endParaRPr>
            </a:p>
            <a:p>
              <a:pPr algn="l"/>
              <a:endParaRPr lang="en-US" sz="1800" b="1">
                <a:solidFill>
                  <a:schemeClr val="tx1"/>
                </a:solidFill>
                <a:latin typeface="+mn-lt"/>
              </a:endParaRPr>
            </a:p>
            <a:p>
              <a:pPr algn="l"/>
              <a:r>
                <a:rPr lang="en-US" sz="1800" b="1">
                  <a:solidFill>
                    <a:schemeClr val="tx1"/>
                  </a:solidFill>
                  <a:latin typeface="+mn-lt"/>
                </a:rPr>
                <a:t>How</a:t>
              </a:r>
              <a:r>
                <a:rPr lang="en-US" sz="1800" b="1" baseline="0">
                  <a:solidFill>
                    <a:schemeClr val="tx1"/>
                  </a:solidFill>
                  <a:latin typeface="+mn-lt"/>
                </a:rPr>
                <a:t> to Use this Spreadsheet:</a:t>
              </a:r>
            </a:p>
            <a:p>
              <a:pPr algn="l"/>
              <a:endParaRPr lang="en-US" sz="800" b="1" baseline="0">
                <a:solidFill>
                  <a:schemeClr val="tx1"/>
                </a:solidFill>
                <a:latin typeface="+mn-lt"/>
              </a:endParaRPr>
            </a:p>
            <a:p>
              <a:pPr algn="l"/>
              <a:r>
                <a:rPr lang="en-US" sz="1200" b="1" baseline="0">
                  <a:solidFill>
                    <a:schemeClr val="tx1"/>
                  </a:solidFill>
                  <a:latin typeface="+mn-lt"/>
                </a:rPr>
                <a:t>  Step 1:   </a:t>
              </a:r>
              <a:r>
                <a:rPr lang="en-US" sz="1200" b="0" baseline="0">
                  <a:solidFill>
                    <a:schemeClr val="tx1"/>
                  </a:solidFill>
                  <a:latin typeface="+mn-lt"/>
                </a:rPr>
                <a:t>Save as "Water Isotopes Data Processor_YYYYMMDD_ProjectTitle" </a:t>
              </a:r>
            </a:p>
            <a:p>
              <a:pPr algn="l"/>
              <a:r>
                <a:rPr lang="en-US" sz="1200" b="1" baseline="0">
                  <a:solidFill>
                    <a:schemeClr val="tx1"/>
                  </a:solidFill>
                  <a:latin typeface="+mn-lt"/>
                </a:rPr>
                <a:t>  Step 2:   </a:t>
              </a:r>
              <a:r>
                <a:rPr lang="en-US" sz="1200" b="0" baseline="0">
                  <a:solidFill>
                    <a:schemeClr val="tx1"/>
                  </a:solidFill>
                  <a:latin typeface="+mn-lt"/>
                </a:rPr>
                <a:t>Manually enter sample locations in the "Tray Configuration" tab</a:t>
              </a:r>
            </a:p>
            <a:p>
              <a:pPr algn="l"/>
              <a:r>
                <a:rPr lang="en-US" sz="1200" b="0" baseline="0">
                  <a:solidFill>
                    <a:schemeClr val="tx1"/>
                  </a:solidFill>
                  <a:latin typeface="+mn-lt"/>
                </a:rPr>
                <a:t>  </a:t>
              </a:r>
              <a:r>
                <a:rPr lang="en-US" sz="1200" b="1" baseline="0">
                  <a:solidFill>
                    <a:schemeClr val="tx1"/>
                  </a:solidFill>
                  <a:latin typeface="+mn-lt"/>
                </a:rPr>
                <a:t>Step 2.5: </a:t>
              </a:r>
              <a:r>
                <a:rPr lang="en-US" sz="1200" b="0" baseline="0">
                  <a:solidFill>
                    <a:schemeClr val="tx1"/>
                  </a:solidFill>
                  <a:latin typeface="+mn-lt"/>
                </a:rPr>
                <a:t>Use the "Timing" tab to estimate run endtime</a:t>
              </a:r>
            </a:p>
            <a:p>
              <a:pPr algn="l"/>
              <a:r>
                <a:rPr lang="en-US" sz="1200" b="0" baseline="0">
                  <a:solidFill>
                    <a:schemeClr val="tx1"/>
                  </a:solidFill>
                  <a:latin typeface="+mn-lt"/>
                </a:rPr>
                <a:t>  </a:t>
              </a:r>
              <a:r>
                <a:rPr lang="en-US" sz="1200" b="1" baseline="0">
                  <a:solidFill>
                    <a:schemeClr val="tx1"/>
                  </a:solidFill>
                  <a:latin typeface="+mn-lt"/>
                </a:rPr>
                <a:t>Step 3:   </a:t>
              </a:r>
              <a:r>
                <a:rPr lang="en-US" sz="1200" b="0" baseline="0">
                  <a:solidFill>
                    <a:schemeClr val="tx1"/>
                  </a:solidFill>
                  <a:latin typeface="+mn-lt"/>
                </a:rPr>
                <a:t>Manually enter In House Standard Info in </a:t>
              </a:r>
              <a:r>
                <a:rPr lang="en-US" sz="1050" b="0" baseline="0">
                  <a:solidFill>
                    <a:schemeClr val="dk1"/>
                  </a:solidFill>
                  <a:latin typeface="+mn-lt"/>
                  <a:ea typeface="+mn-ea"/>
                  <a:cs typeface="+mn-cs"/>
                </a:rPr>
                <a:t>"</a:t>
              </a:r>
              <a:r>
                <a:rPr lang="en-US" sz="1200" b="0" baseline="0">
                  <a:solidFill>
                    <a:schemeClr val="dk1"/>
                  </a:solidFill>
                  <a:latin typeface="+mn-lt"/>
                  <a:ea typeface="+mn-ea"/>
                  <a:cs typeface="+mn-cs"/>
                </a:rPr>
                <a:t>Tray Configuration" tab</a:t>
              </a:r>
              <a:endParaRPr lang="en-US" sz="1050" b="0" baseline="0">
                <a:solidFill>
                  <a:schemeClr val="dk1"/>
                </a:solidFill>
                <a:latin typeface="+mn-lt"/>
                <a:ea typeface="+mn-ea"/>
                <a:cs typeface="+mn-cs"/>
              </a:endParaRPr>
            </a:p>
            <a:p>
              <a:pPr algn="l"/>
              <a:r>
                <a:rPr lang="en-US" sz="1050" b="1" baseline="0">
                  <a:solidFill>
                    <a:schemeClr val="dk1"/>
                  </a:solidFill>
                  <a:latin typeface="+mn-lt"/>
                  <a:ea typeface="+mn-ea"/>
                  <a:cs typeface="+mn-cs"/>
                </a:rPr>
                <a:t>                   </a:t>
              </a:r>
              <a:r>
                <a:rPr lang="en-US" sz="800" b="1" baseline="0">
                  <a:solidFill>
                    <a:schemeClr val="dk1"/>
                  </a:solidFill>
                  <a:latin typeface="+mn-lt"/>
                  <a:ea typeface="+mn-ea"/>
                  <a:cs typeface="+mn-cs"/>
                </a:rPr>
                <a:t>  </a:t>
              </a:r>
              <a:r>
                <a:rPr lang="en-US" sz="900" b="1" baseline="0">
                  <a:solidFill>
                    <a:schemeClr val="dk1"/>
                  </a:solidFill>
                  <a:latin typeface="+mn-lt"/>
                  <a:ea typeface="+mn-ea"/>
                  <a:cs typeface="+mn-cs"/>
                </a:rPr>
                <a:t>(It is important to use the same symbol for the standards throughout this spreadsheet)</a:t>
              </a:r>
              <a:endParaRPr lang="en-US" sz="850" b="1" baseline="0">
                <a:solidFill>
                  <a:schemeClr val="tx1"/>
                </a:solidFill>
                <a:latin typeface="+mn-lt"/>
              </a:endParaRPr>
            </a:p>
            <a:p>
              <a:pPr algn="l"/>
              <a:r>
                <a:rPr lang="en-US" sz="1200" b="1" baseline="0">
                  <a:solidFill>
                    <a:schemeClr val="tx1"/>
                  </a:solidFill>
                  <a:latin typeface="+mn-lt"/>
                </a:rPr>
                <a:t>  Step 4:   </a:t>
              </a:r>
              <a:r>
                <a:rPr lang="en-US" sz="1200" b="0" baseline="0">
                  <a:solidFill>
                    <a:schemeClr val="tx1"/>
                  </a:solidFill>
                  <a:latin typeface="+mn-lt"/>
                </a:rPr>
                <a:t>Retrieve data from Piccaro CPU (C:Piccaro\IsotopeData)</a:t>
              </a:r>
              <a:endParaRPr lang="en-US" sz="1200" b="1" baseline="0">
                <a:solidFill>
                  <a:schemeClr val="tx1"/>
                </a:solidFill>
                <a:latin typeface="+mn-lt"/>
              </a:endParaRPr>
            </a:p>
            <a:p>
              <a:pPr algn="l"/>
              <a:r>
                <a:rPr lang="en-US" sz="1200" b="1" baseline="0">
                  <a:solidFill>
                    <a:schemeClr val="tx1"/>
                  </a:solidFill>
                  <a:latin typeface="+mn-lt"/>
                </a:rPr>
                <a:t>  Step 5:   </a:t>
              </a:r>
              <a:r>
                <a:rPr lang="en-US" sz="1200" b="0" baseline="0">
                  <a:solidFill>
                    <a:schemeClr val="tx1"/>
                  </a:solidFill>
                  <a:latin typeface="+mn-lt"/>
                </a:rPr>
                <a:t>Copy ALL text from .csv file (Highlight the text and press [ctrl]+[C])</a:t>
              </a:r>
              <a:endParaRPr lang="en-US" sz="1200" b="1" baseline="0">
                <a:solidFill>
                  <a:schemeClr val="tx1"/>
                </a:solidFill>
                <a:latin typeface="+mn-lt"/>
              </a:endParaRPr>
            </a:p>
            <a:p>
              <a:pPr algn="l"/>
              <a:r>
                <a:rPr lang="en-US" sz="1200" b="1" baseline="0">
                  <a:solidFill>
                    <a:schemeClr val="tx1"/>
                  </a:solidFill>
                  <a:latin typeface="+mn-lt"/>
                </a:rPr>
                <a:t>  Step 6:   </a:t>
              </a:r>
              <a:r>
                <a:rPr lang="en-US" sz="1200" b="0" baseline="0">
                  <a:solidFill>
                    <a:schemeClr val="tx1"/>
                  </a:solidFill>
                  <a:latin typeface="+mn-lt"/>
                </a:rPr>
                <a:t>Use the paste special function to insert the data into the</a:t>
              </a:r>
            </a:p>
            <a:p>
              <a:pPr algn="l"/>
              <a:r>
                <a:rPr lang="en-US" sz="1200" b="0" baseline="0">
                  <a:solidFill>
                    <a:schemeClr val="tx1"/>
                  </a:solidFill>
                  <a:latin typeface="+mn-lt"/>
                </a:rPr>
                <a:t>                  "Piccaro Output" tab </a:t>
              </a:r>
              <a:r>
                <a:rPr lang="en-US" sz="900" b="0" baseline="0">
                  <a:solidFill>
                    <a:schemeClr val="tx1"/>
                  </a:solidFill>
                  <a:latin typeface="+mn-lt"/>
                </a:rPr>
                <a:t>([Right Click] and select Paste Special)</a:t>
              </a:r>
              <a:endParaRPr lang="en-US" sz="1200" b="0" baseline="0">
                <a:solidFill>
                  <a:schemeClr val="tx1"/>
                </a:solidFill>
                <a:latin typeface="+mn-lt"/>
              </a:endParaRPr>
            </a:p>
            <a:p>
              <a:pPr algn="l"/>
              <a:r>
                <a:rPr lang="en-US" sz="1200" b="0" baseline="0">
                  <a:solidFill>
                    <a:schemeClr val="tx1"/>
                  </a:solidFill>
                  <a:latin typeface="+mn-lt"/>
                </a:rPr>
                <a:t>  </a:t>
              </a:r>
              <a:r>
                <a:rPr lang="en-US" sz="1200" b="1" baseline="0">
                  <a:solidFill>
                    <a:schemeClr val="tx1"/>
                  </a:solidFill>
                  <a:latin typeface="+mn-lt"/>
                </a:rPr>
                <a:t>Step 7:</a:t>
              </a:r>
              <a:r>
                <a:rPr lang="en-US" sz="1200" b="0" baseline="0">
                  <a:solidFill>
                    <a:schemeClr val="tx1"/>
                  </a:solidFill>
                  <a:latin typeface="+mn-lt"/>
                </a:rPr>
                <a:t>   View Standards and Duplicate Checks in "Calibration" Tab. </a:t>
              </a:r>
            </a:p>
            <a:p>
              <a:pPr algn="l"/>
              <a:r>
                <a:rPr lang="en-US" sz="1200" b="0" baseline="0">
                  <a:solidFill>
                    <a:schemeClr val="tx1"/>
                  </a:solidFill>
                  <a:latin typeface="+mn-lt"/>
                </a:rPr>
                <a:t>  </a:t>
              </a:r>
              <a:r>
                <a:rPr lang="en-US" sz="1200" b="1" baseline="0">
                  <a:solidFill>
                    <a:schemeClr val="tx1"/>
                  </a:solidFill>
                  <a:latin typeface="+mn-lt"/>
                </a:rPr>
                <a:t>Step 8:   </a:t>
              </a:r>
              <a:r>
                <a:rPr lang="en-US" sz="1200" b="0" baseline="0">
                  <a:solidFill>
                    <a:schemeClr val="tx1"/>
                  </a:solidFill>
                  <a:latin typeface="+mn-lt"/>
                </a:rPr>
                <a:t>View Processed Data in "Calibrated Data" tab and ensure all QC checks pass</a:t>
              </a:r>
            </a:p>
            <a:p>
              <a:pPr algn="l"/>
              <a:r>
                <a:rPr lang="en-US" sz="1200" b="0" baseline="0">
                  <a:solidFill>
                    <a:schemeClr val="tx1"/>
                  </a:solidFill>
                  <a:latin typeface="+mn-lt"/>
                </a:rPr>
                <a:t>                  </a:t>
              </a:r>
              <a:r>
                <a:rPr lang="en-US" sz="1200" b="1" baseline="0">
                  <a:solidFill>
                    <a:schemeClr val="tx1"/>
                  </a:solidFill>
                  <a:latin typeface="+mn-lt"/>
                </a:rPr>
                <a:t>*make sure you reference the proper House Standard for the checks*</a:t>
              </a:r>
              <a:endParaRPr lang="en-US" sz="1100" b="0" baseline="0">
                <a:solidFill>
                  <a:schemeClr val="tx1"/>
                </a:solidFill>
                <a:latin typeface="+mn-lt"/>
              </a:endParaRPr>
            </a:p>
            <a:p>
              <a:pPr algn="l"/>
              <a:r>
                <a:rPr lang="en-US" sz="1200" b="0" baseline="0">
                  <a:solidFill>
                    <a:schemeClr val="tx1"/>
                  </a:solidFill>
                  <a:latin typeface="+mn-lt"/>
                </a:rPr>
                <a:t>  </a:t>
              </a:r>
              <a:r>
                <a:rPr lang="en-US" sz="1200" b="1" baseline="0">
                  <a:solidFill>
                    <a:schemeClr val="tx1"/>
                  </a:solidFill>
                  <a:latin typeface="+mn-lt"/>
                </a:rPr>
                <a:t>Step 9:   </a:t>
              </a:r>
              <a:r>
                <a:rPr lang="en-US" sz="1200" b="0" baseline="0">
                  <a:solidFill>
                    <a:schemeClr val="tx1"/>
                  </a:solidFill>
                  <a:latin typeface="+mn-lt"/>
                </a:rPr>
                <a:t>Make Personal Copy for further Analysis</a:t>
              </a:r>
            </a:p>
            <a:p>
              <a:pPr algn="l"/>
              <a:r>
                <a:rPr lang="en-US" sz="1200" b="0" baseline="0">
                  <a:solidFill>
                    <a:schemeClr val="tx1"/>
                  </a:solidFill>
                  <a:latin typeface="+mn-lt"/>
                </a:rPr>
                <a:t>  </a:t>
              </a:r>
              <a:r>
                <a:rPr lang="en-US" sz="1200" b="1" baseline="0">
                  <a:solidFill>
                    <a:schemeClr val="tx1"/>
                  </a:solidFill>
                  <a:latin typeface="+mn-lt"/>
                </a:rPr>
                <a:t>Note:      </a:t>
              </a:r>
              <a:r>
                <a:rPr lang="en-US" sz="1100" b="0" baseline="0">
                  <a:solidFill>
                    <a:schemeClr val="tx1"/>
                  </a:solidFill>
                  <a:latin typeface="+mn-lt"/>
                </a:rPr>
                <a:t>If changes need to be made to this spreadsheet, the password is </a:t>
              </a:r>
              <a:r>
                <a:rPr lang="en-US" sz="1100" b="1" baseline="0">
                  <a:solidFill>
                    <a:schemeClr val="tx1"/>
                  </a:solidFill>
                  <a:latin typeface="+mn-lt"/>
                </a:rPr>
                <a:t>"rolltide"</a:t>
              </a:r>
            </a:p>
            <a:p>
              <a:pPr algn="l"/>
              <a:r>
                <a:rPr lang="en-US" sz="1200" b="0" baseline="0">
                  <a:solidFill>
                    <a:schemeClr val="tx1"/>
                  </a:solidFill>
                  <a:latin typeface="+mn-lt"/>
                </a:rPr>
                <a:t>         </a:t>
              </a:r>
              <a:endParaRPr lang="en-US" sz="1200" b="1">
                <a:solidFill>
                  <a:schemeClr val="tx1"/>
                </a:solidFill>
                <a:latin typeface="+mn-lt"/>
              </a:endParaRPr>
            </a:p>
          </xdr:txBody>
        </xdr:sp>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46199" y="1553261"/>
              <a:ext cx="1362075" cy="466725"/>
            </a:xfrm>
            <a:prstGeom prst="rect">
              <a:avLst/>
            </a:prstGeom>
            <a:noFill/>
            <a:ln>
              <a:noFill/>
            </a:ln>
          </xdr:spPr>
        </xdr:pic>
      </xdr:grpSp>
      <xdr:pic>
        <xdr:nvPicPr>
          <xdr:cNvPr id="7" name="Picture 6" descr="Picarro">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8870" y="7303223"/>
            <a:ext cx="1333502" cy="20002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21</xdr:row>
      <xdr:rowOff>0</xdr:rowOff>
    </xdr:from>
    <xdr:to>
      <xdr:col>8</xdr:col>
      <xdr:colOff>514350</xdr:colOff>
      <xdr:row>35</xdr:row>
      <xdr:rowOff>114300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20</xdr:row>
      <xdr:rowOff>152400</xdr:rowOff>
    </xdr:from>
    <xdr:to>
      <xdr:col>14</xdr:col>
      <xdr:colOff>361950</xdr:colOff>
      <xdr:row>35</xdr:row>
      <xdr:rowOff>66675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370886</xdr:colOff>
      <xdr:row>37</xdr:row>
      <xdr:rowOff>123628</xdr:rowOff>
    </xdr:from>
    <xdr:to>
      <xdr:col>8</xdr:col>
      <xdr:colOff>561386</xdr:colOff>
      <xdr:row>53</xdr:row>
      <xdr:rowOff>114300</xdr:rowOff>
    </xdr:to>
    <xdr:graphicFrame macro="">
      <xdr:nvGraphicFramePr>
        <xdr:cNvPr id="4" name="Chart 3">
          <a:extLst>
            <a:ext uri="{FF2B5EF4-FFF2-40B4-BE49-F238E27FC236}">
              <a16:creationId xmlns:a16="http://schemas.microsoft.com/office/drawing/2014/main" id="{79053840-2C78-A94E-AD54-AFF1DC0D4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348407</xdr:colOff>
      <xdr:row>55</xdr:row>
      <xdr:rowOff>134867</xdr:rowOff>
    </xdr:from>
    <xdr:to>
      <xdr:col>8</xdr:col>
      <xdr:colOff>538907</xdr:colOff>
      <xdr:row>71</xdr:row>
      <xdr:rowOff>125539</xdr:rowOff>
    </xdr:to>
    <xdr:graphicFrame macro="">
      <xdr:nvGraphicFramePr>
        <xdr:cNvPr id="5" name="Chart 4">
          <a:extLst>
            <a:ext uri="{FF2B5EF4-FFF2-40B4-BE49-F238E27FC236}">
              <a16:creationId xmlns:a16="http://schemas.microsoft.com/office/drawing/2014/main" id="{BACA0987-0D8F-4D44-9503-2A72FFFC8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314690</xdr:colOff>
      <xdr:row>37</xdr:row>
      <xdr:rowOff>112389</xdr:rowOff>
    </xdr:from>
    <xdr:to>
      <xdr:col>14</xdr:col>
      <xdr:colOff>390890</xdr:colOff>
      <xdr:row>52</xdr:row>
      <xdr:rowOff>105337</xdr:rowOff>
    </xdr:to>
    <xdr:graphicFrame macro="">
      <xdr:nvGraphicFramePr>
        <xdr:cNvPr id="6" name="Chart 5">
          <a:extLst>
            <a:ext uri="{FF2B5EF4-FFF2-40B4-BE49-F238E27FC236}">
              <a16:creationId xmlns:a16="http://schemas.microsoft.com/office/drawing/2014/main" id="{7ACC4274-F653-2A46-A7A9-B8D326FD7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325929</xdr:colOff>
      <xdr:row>55</xdr:row>
      <xdr:rowOff>157345</xdr:rowOff>
    </xdr:from>
    <xdr:to>
      <xdr:col>14</xdr:col>
      <xdr:colOff>402129</xdr:colOff>
      <xdr:row>70</xdr:row>
      <xdr:rowOff>150293</xdr:rowOff>
    </xdr:to>
    <xdr:graphicFrame macro="">
      <xdr:nvGraphicFramePr>
        <xdr:cNvPr id="7" name="Chart 6">
          <a:extLst>
            <a:ext uri="{FF2B5EF4-FFF2-40B4-BE49-F238E27FC236}">
              <a16:creationId xmlns:a16="http://schemas.microsoft.com/office/drawing/2014/main" id="{52B7EF50-BE9D-C543-A44E-069B13033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10160</xdr:colOff>
      <xdr:row>17</xdr:row>
      <xdr:rowOff>71120</xdr:rowOff>
    </xdr:from>
    <xdr:to>
      <xdr:col>13</xdr:col>
      <xdr:colOff>477520</xdr:colOff>
      <xdr:row>41</xdr:row>
      <xdr:rowOff>30480</xdr:rowOff>
    </xdr:to>
    <xdr:graphicFrame macro="">
      <xdr:nvGraphicFramePr>
        <xdr:cNvPr id="2" name="Chart 1">
          <a:extLst>
            <a:ext uri="{FF2B5EF4-FFF2-40B4-BE49-F238E27FC236}">
              <a16:creationId xmlns:a16="http://schemas.microsoft.com/office/drawing/2014/main" id="{E16A509D-098B-A24F-A8FE-1C4B2A135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340360</xdr:colOff>
      <xdr:row>12</xdr:row>
      <xdr:rowOff>50800</xdr:rowOff>
    </xdr:from>
    <xdr:to>
      <xdr:col>23</xdr:col>
      <xdr:colOff>30480</xdr:colOff>
      <xdr:row>40</xdr:row>
      <xdr:rowOff>0</xdr:rowOff>
    </xdr:to>
    <xdr:graphicFrame macro="">
      <xdr:nvGraphicFramePr>
        <xdr:cNvPr id="3" name="Chart 2">
          <a:extLst>
            <a:ext uri="{FF2B5EF4-FFF2-40B4-BE49-F238E27FC236}">
              <a16:creationId xmlns:a16="http://schemas.microsoft.com/office/drawing/2014/main" id="{3B8CDE65-1592-214F-B764-0493F3435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ater%20Isotopes%20Data%20Processor_KONZA20210125_D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ray Configuration"/>
      <sheetName val="Timing"/>
      <sheetName val="Picarro Output"/>
      <sheetName val="Uncalibrated Data"/>
      <sheetName val="Calibration"/>
      <sheetName val="QAQC + Calibrated Data"/>
      <sheetName val="Data Export"/>
      <sheetName val="Calibrated Data"/>
    </sheetNames>
    <sheetDataSet>
      <sheetData sheetId="0"/>
      <sheetData sheetId="1"/>
      <sheetData sheetId="2"/>
      <sheetData sheetId="3"/>
      <sheetData sheetId="4">
        <row r="1">
          <cell r="B1" t="str">
            <v>Sample ID</v>
          </cell>
          <cell r="D1" t="str">
            <v>d(18_16)</v>
          </cell>
          <cell r="E1" t="str">
            <v>d(D_H)</v>
          </cell>
        </row>
      </sheetData>
      <sheetData sheetId="5">
        <row r="1">
          <cell r="K1" t="str">
            <v>d(18_16)</v>
          </cell>
        </row>
      </sheetData>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showGridLines="0" topLeftCell="A8" zoomScale="125" zoomScaleNormal="88" zoomScalePageLayoutView="88" workbookViewId="0">
      <selection activeCell="M43" sqref="M43"/>
    </sheetView>
  </sheetViews>
  <sheetFormatPr baseColWidth="10" defaultColWidth="8.83203125" defaultRowHeight="15" x14ac:dyDescent="0.2"/>
  <cols>
    <col min="1" max="16384" width="8.83203125" style="167"/>
  </cols>
  <sheetData>
    <row r="1" hidden="1" x14ac:dyDescent="0.2"/>
    <row r="2" hidden="1" x14ac:dyDescent="0.2"/>
    <row r="3" hidden="1" x14ac:dyDescent="0.2"/>
    <row r="4" hidden="1" x14ac:dyDescent="0.2"/>
    <row r="5" hidden="1" x14ac:dyDescent="0.2"/>
    <row r="6" hidden="1" x14ac:dyDescent="0.2"/>
    <row r="7" hidden="1" x14ac:dyDescent="0.2"/>
  </sheetData>
  <sheetProtection algorithmName="SHA-512" hashValue="hI+qm0Tpn62Z8WIQZsIHtm9zMoEiObRBDcnnGaUrL/ue9jfb6DTT4arvzGxfxCCU5eSdLRFpveRYEVfm51dChw==" saltValue="HqTOb2/LPXMvUDqLgxS8Iw==" spinCount="100000" sheet="1" objects="1" scenarios="1"/>
  <pageMargins left="0.7" right="0.7" top="0.75" bottom="0.75" header="0.3" footer="0.3"/>
  <drawing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9"/>
  <sheetViews>
    <sheetView showGridLines="0" topLeftCell="A14" zoomScale="209" zoomScaleNormal="100" zoomScalePageLayoutView="85" workbookViewId="0">
      <selection activeCell="G21" sqref="G21"/>
    </sheetView>
  </sheetViews>
  <sheetFormatPr baseColWidth="10" defaultColWidth="8.83203125" defaultRowHeight="15" x14ac:dyDescent="0.2"/>
  <cols>
    <col min="1" max="1" width="4.6640625" customWidth="1"/>
    <col min="2" max="2" width="10.6640625" customWidth="1"/>
    <col min="3" max="3" width="12.6640625" customWidth="1"/>
    <col min="4" max="4" width="10.6640625" customWidth="1"/>
    <col min="5" max="5" width="11.1640625" customWidth="1"/>
    <col min="6" max="7" width="10.6640625" customWidth="1"/>
    <col min="8" max="8" width="13.5" customWidth="1"/>
    <col min="9" max="9" width="6.5" style="2" customWidth="1"/>
    <col min="10" max="10" width="10.6640625" customWidth="1"/>
    <col min="11" max="11" width="6.1640625" customWidth="1"/>
    <col min="12" max="12" width="1.5" customWidth="1"/>
    <col min="13" max="13" width="2.33203125" customWidth="1"/>
    <col min="14" max="14" width="4.33203125" customWidth="1"/>
    <col min="15" max="15" width="15.5" bestFit="1" customWidth="1"/>
    <col min="16" max="16" width="12.5" style="1" bestFit="1" customWidth="1"/>
    <col min="17" max="17" width="13.83203125" style="1" bestFit="1" customWidth="1"/>
    <col min="18" max="18" width="17.1640625" bestFit="1" customWidth="1"/>
    <col min="19" max="19" width="12.6640625" customWidth="1"/>
    <col min="20" max="20" width="15.1640625" bestFit="1" customWidth="1"/>
  </cols>
  <sheetData>
    <row r="1" spans="1:20" ht="16" thickBot="1" x14ac:dyDescent="0.25"/>
    <row r="2" spans="1:20" ht="20" thickBot="1" x14ac:dyDescent="0.3">
      <c r="B2" s="192" t="s">
        <v>0</v>
      </c>
      <c r="C2" s="192"/>
      <c r="D2" s="193" t="s">
        <v>447</v>
      </c>
      <c r="E2" s="194"/>
      <c r="F2" s="194"/>
      <c r="G2" s="194"/>
      <c r="H2" s="195"/>
      <c r="J2" s="172" t="s">
        <v>1</v>
      </c>
      <c r="K2" s="173"/>
    </row>
    <row r="3" spans="1:20" ht="20" thickBot="1" x14ac:dyDescent="0.3">
      <c r="B3" s="192" t="s">
        <v>2</v>
      </c>
      <c r="C3" s="192"/>
      <c r="D3" s="193" t="s">
        <v>448</v>
      </c>
      <c r="E3" s="194"/>
      <c r="F3" s="194"/>
      <c r="G3" s="194"/>
      <c r="H3" s="195"/>
      <c r="J3" s="174">
        <v>44655.642361111109</v>
      </c>
      <c r="K3" s="175"/>
      <c r="T3" s="31"/>
    </row>
    <row r="4" spans="1:20" ht="19" x14ac:dyDescent="0.25">
      <c r="B4" s="192" t="s">
        <v>3</v>
      </c>
      <c r="C4" s="192"/>
      <c r="D4" s="193" t="s">
        <v>449</v>
      </c>
      <c r="E4" s="194"/>
      <c r="F4" s="194"/>
      <c r="G4" s="194"/>
      <c r="H4" s="195"/>
    </row>
    <row r="5" spans="1:20" ht="19" x14ac:dyDescent="0.25">
      <c r="B5" s="192" t="s">
        <v>4</v>
      </c>
      <c r="C5" s="192"/>
      <c r="D5" s="193" t="s">
        <v>450</v>
      </c>
      <c r="E5" s="194"/>
      <c r="F5" s="194"/>
      <c r="G5" s="194"/>
      <c r="H5" s="195"/>
    </row>
    <row r="6" spans="1:20" ht="15" customHeight="1" x14ac:dyDescent="0.2">
      <c r="B6" s="186" t="s">
        <v>5</v>
      </c>
      <c r="C6" s="187"/>
      <c r="D6" s="177" t="s">
        <v>451</v>
      </c>
      <c r="E6" s="178"/>
      <c r="F6" s="178"/>
      <c r="G6" s="178"/>
      <c r="H6" s="179"/>
    </row>
    <row r="7" spans="1:20" x14ac:dyDescent="0.2">
      <c r="B7" s="188"/>
      <c r="C7" s="189"/>
      <c r="D7" s="180"/>
      <c r="E7" s="181"/>
      <c r="F7" s="181"/>
      <c r="G7" s="181"/>
      <c r="H7" s="182"/>
    </row>
    <row r="8" spans="1:20" x14ac:dyDescent="0.2">
      <c r="B8" s="188"/>
      <c r="C8" s="189"/>
      <c r="D8" s="180"/>
      <c r="E8" s="181"/>
      <c r="F8" s="181"/>
      <c r="G8" s="181"/>
      <c r="H8" s="182"/>
    </row>
    <row r="9" spans="1:20" x14ac:dyDescent="0.2">
      <c r="B9" s="190"/>
      <c r="C9" s="191"/>
      <c r="D9" s="183"/>
      <c r="E9" s="184"/>
      <c r="F9" s="184"/>
      <c r="G9" s="184"/>
      <c r="H9" s="185"/>
    </row>
    <row r="10" spans="1:20" x14ac:dyDescent="0.2">
      <c r="B10" s="176"/>
      <c r="C10" s="176"/>
    </row>
    <row r="12" spans="1:20" ht="29" x14ac:dyDescent="0.35">
      <c r="B12" s="5" t="s">
        <v>6</v>
      </c>
    </row>
    <row r="13" spans="1:20" s="2" customFormat="1" ht="27" customHeight="1" x14ac:dyDescent="0.2">
      <c r="B13" s="3"/>
      <c r="C13" s="3"/>
      <c r="D13" s="3"/>
      <c r="E13" s="3"/>
      <c r="F13" s="3"/>
      <c r="G13" s="3"/>
      <c r="H13" s="3"/>
      <c r="I13" s="3"/>
      <c r="J13" s="3"/>
    </row>
    <row r="14" spans="1:20" ht="45" customHeight="1" x14ac:dyDescent="0.2">
      <c r="A14" s="3">
        <v>99</v>
      </c>
      <c r="B14" s="79"/>
      <c r="C14" s="80"/>
      <c r="D14" s="80"/>
      <c r="E14" s="89"/>
      <c r="F14" s="89"/>
      <c r="G14" s="89"/>
      <c r="H14" s="90"/>
      <c r="J14" s="2"/>
      <c r="K14" s="3"/>
    </row>
    <row r="15" spans="1:20" ht="45" customHeight="1" x14ac:dyDescent="0.2">
      <c r="A15" s="3">
        <v>92</v>
      </c>
      <c r="B15" s="81"/>
      <c r="C15" s="70"/>
      <c r="D15" s="70"/>
      <c r="E15" s="70"/>
      <c r="F15" s="70"/>
      <c r="G15" s="70"/>
      <c r="H15" s="91"/>
      <c r="I15" s="75">
        <v>14</v>
      </c>
      <c r="J15" s="2"/>
      <c r="K15" s="3"/>
    </row>
    <row r="16" spans="1:20" ht="45" customHeight="1" x14ac:dyDescent="0.2">
      <c r="A16" s="3">
        <v>85</v>
      </c>
      <c r="B16" s="81" t="s">
        <v>1238</v>
      </c>
      <c r="C16" s="70" t="s">
        <v>1239</v>
      </c>
      <c r="D16" s="70" t="s">
        <v>1241</v>
      </c>
      <c r="E16" s="70"/>
      <c r="F16" s="70"/>
      <c r="G16" s="70"/>
      <c r="H16" s="91"/>
      <c r="I16" s="76">
        <v>13</v>
      </c>
      <c r="J16" s="74"/>
      <c r="K16" s="3"/>
    </row>
    <row r="17" spans="1:11" ht="45" customHeight="1" x14ac:dyDescent="0.2">
      <c r="A17" s="3">
        <v>78</v>
      </c>
      <c r="B17" s="81" t="s">
        <v>1232</v>
      </c>
      <c r="C17" s="70" t="s">
        <v>1233</v>
      </c>
      <c r="D17" s="70" t="s">
        <v>1234</v>
      </c>
      <c r="E17" s="70" t="s">
        <v>1235</v>
      </c>
      <c r="F17" s="70" t="s">
        <v>1236</v>
      </c>
      <c r="G17" s="70" t="s">
        <v>1237</v>
      </c>
      <c r="H17" s="91" t="s">
        <v>14</v>
      </c>
      <c r="I17" s="76">
        <v>12</v>
      </c>
      <c r="J17" s="2"/>
      <c r="K17" s="3"/>
    </row>
    <row r="18" spans="1:11" ht="45" customHeight="1" thickBot="1" x14ac:dyDescent="0.25">
      <c r="A18" s="3">
        <v>71</v>
      </c>
      <c r="B18" s="82" t="s">
        <v>1226</v>
      </c>
      <c r="C18" s="83" t="s">
        <v>1227</v>
      </c>
      <c r="D18" s="83" t="s">
        <v>1228</v>
      </c>
      <c r="E18" s="83" t="s">
        <v>1229</v>
      </c>
      <c r="F18" s="83" t="s">
        <v>1230</v>
      </c>
      <c r="G18" s="83" t="s">
        <v>1231</v>
      </c>
      <c r="H18" s="158" t="s">
        <v>14</v>
      </c>
      <c r="I18" s="76">
        <v>11</v>
      </c>
      <c r="J18" s="2"/>
      <c r="K18" s="3"/>
    </row>
    <row r="19" spans="1:11" ht="46" customHeight="1" x14ac:dyDescent="0.2">
      <c r="A19" s="3">
        <v>64</v>
      </c>
      <c r="B19" s="84" t="s">
        <v>1223</v>
      </c>
      <c r="C19" s="85" t="s">
        <v>1224</v>
      </c>
      <c r="D19" s="85" t="s">
        <v>1225</v>
      </c>
      <c r="E19" s="92" t="s">
        <v>14</v>
      </c>
      <c r="F19" s="92" t="s">
        <v>16</v>
      </c>
      <c r="G19" s="92" t="s">
        <v>12</v>
      </c>
      <c r="H19" s="91" t="s">
        <v>14</v>
      </c>
      <c r="I19" s="76">
        <v>10</v>
      </c>
      <c r="J19" s="2"/>
      <c r="K19" s="3"/>
    </row>
    <row r="20" spans="1:11" ht="45" customHeight="1" x14ac:dyDescent="0.2">
      <c r="A20" s="3">
        <v>57</v>
      </c>
      <c r="B20" s="81" t="s">
        <v>1219</v>
      </c>
      <c r="C20" s="70" t="s">
        <v>1220</v>
      </c>
      <c r="D20" s="70" t="s">
        <v>1221</v>
      </c>
      <c r="E20" s="70" t="s">
        <v>1222</v>
      </c>
      <c r="F20" s="70" t="s">
        <v>1242</v>
      </c>
      <c r="G20" s="70" t="s">
        <v>1243</v>
      </c>
      <c r="H20" s="91" t="s">
        <v>14</v>
      </c>
      <c r="I20" s="76">
        <v>9</v>
      </c>
    </row>
    <row r="21" spans="1:11" ht="45" customHeight="1" x14ac:dyDescent="0.2">
      <c r="A21" s="3">
        <v>50</v>
      </c>
      <c r="B21" s="81" t="s">
        <v>1213</v>
      </c>
      <c r="C21" s="70" t="s">
        <v>1214</v>
      </c>
      <c r="D21" s="70" t="s">
        <v>1215</v>
      </c>
      <c r="E21" s="70" t="s">
        <v>1216</v>
      </c>
      <c r="F21" s="70" t="s">
        <v>1217</v>
      </c>
      <c r="G21" s="70" t="s">
        <v>1218</v>
      </c>
      <c r="H21" s="91" t="s">
        <v>14</v>
      </c>
      <c r="I21" s="76">
        <v>8</v>
      </c>
    </row>
    <row r="22" spans="1:11" ht="46" customHeight="1" x14ac:dyDescent="0.2">
      <c r="A22" s="3">
        <v>43</v>
      </c>
      <c r="B22" s="81" t="s">
        <v>1207</v>
      </c>
      <c r="C22" s="70" t="s">
        <v>1208</v>
      </c>
      <c r="D22" s="70" t="s">
        <v>1209</v>
      </c>
      <c r="E22" s="70" t="s">
        <v>1210</v>
      </c>
      <c r="F22" s="70" t="s">
        <v>1211</v>
      </c>
      <c r="G22" s="70" t="s">
        <v>1212</v>
      </c>
      <c r="H22" s="91" t="s">
        <v>14</v>
      </c>
      <c r="I22" s="77">
        <v>7</v>
      </c>
    </row>
    <row r="23" spans="1:11" s="2" customFormat="1" ht="45" customHeight="1" thickBot="1" x14ac:dyDescent="0.25">
      <c r="A23" s="3">
        <v>36</v>
      </c>
      <c r="B23" s="82" t="s">
        <v>1201</v>
      </c>
      <c r="C23" s="83" t="s">
        <v>1202</v>
      </c>
      <c r="D23" s="83" t="s">
        <v>1203</v>
      </c>
      <c r="E23" s="83" t="s">
        <v>1204</v>
      </c>
      <c r="F23" s="83" t="s">
        <v>1205</v>
      </c>
      <c r="G23" s="83" t="s">
        <v>1206</v>
      </c>
      <c r="H23" s="158" t="s">
        <v>14</v>
      </c>
      <c r="I23" s="76">
        <v>6</v>
      </c>
      <c r="J23" s="3"/>
    </row>
    <row r="24" spans="1:11" ht="45" customHeight="1" thickTop="1" x14ac:dyDescent="0.2">
      <c r="A24" s="3">
        <v>29</v>
      </c>
      <c r="B24" s="86" t="s">
        <v>1198</v>
      </c>
      <c r="C24" s="87" t="s">
        <v>1199</v>
      </c>
      <c r="D24" s="87" t="s">
        <v>1200</v>
      </c>
      <c r="E24" s="92" t="s">
        <v>14</v>
      </c>
      <c r="F24" s="92" t="s">
        <v>16</v>
      </c>
      <c r="G24" s="92" t="s">
        <v>12</v>
      </c>
      <c r="H24" s="91" t="s">
        <v>14</v>
      </c>
      <c r="I24" s="76">
        <v>5</v>
      </c>
      <c r="J24" s="2"/>
      <c r="K24" s="3"/>
    </row>
    <row r="25" spans="1:11" ht="45" customHeight="1" x14ac:dyDescent="0.2">
      <c r="A25" s="3">
        <v>22</v>
      </c>
      <c r="B25" s="81" t="s">
        <v>1192</v>
      </c>
      <c r="C25" s="70" t="s">
        <v>1193</v>
      </c>
      <c r="D25" s="70" t="s">
        <v>1194</v>
      </c>
      <c r="E25" s="171" t="s">
        <v>1195</v>
      </c>
      <c r="F25" s="70" t="s">
        <v>1196</v>
      </c>
      <c r="G25" s="70" t="s">
        <v>1197</v>
      </c>
      <c r="H25" s="91" t="s">
        <v>14</v>
      </c>
      <c r="I25" s="76">
        <v>4</v>
      </c>
      <c r="J25" s="2"/>
      <c r="K25" s="3"/>
    </row>
    <row r="26" spans="1:11" ht="45" customHeight="1" x14ac:dyDescent="0.2">
      <c r="A26" s="3">
        <v>15</v>
      </c>
      <c r="B26" s="81" t="s">
        <v>1186</v>
      </c>
      <c r="C26" s="70" t="s">
        <v>1187</v>
      </c>
      <c r="D26" s="70" t="s">
        <v>1188</v>
      </c>
      <c r="E26" s="70" t="s">
        <v>1189</v>
      </c>
      <c r="F26" s="70" t="s">
        <v>1190</v>
      </c>
      <c r="G26" s="70" t="s">
        <v>1191</v>
      </c>
      <c r="H26" s="91" t="s">
        <v>14</v>
      </c>
      <c r="I26" s="76">
        <v>3</v>
      </c>
      <c r="J26" s="2"/>
      <c r="K26" s="3"/>
    </row>
    <row r="27" spans="1:11" ht="45" customHeight="1" x14ac:dyDescent="0.2">
      <c r="A27" s="3">
        <v>8</v>
      </c>
      <c r="B27" s="81" t="s">
        <v>1240</v>
      </c>
      <c r="C27" s="70" t="s">
        <v>1181</v>
      </c>
      <c r="D27" s="70" t="s">
        <v>1182</v>
      </c>
      <c r="E27" s="70" t="s">
        <v>1183</v>
      </c>
      <c r="F27" s="70" t="s">
        <v>1184</v>
      </c>
      <c r="G27" s="70" t="s">
        <v>1185</v>
      </c>
      <c r="H27" s="91" t="s">
        <v>14</v>
      </c>
      <c r="I27" s="76">
        <v>2</v>
      </c>
      <c r="J27" s="2"/>
      <c r="K27" s="3"/>
    </row>
    <row r="28" spans="1:11" ht="45" customHeight="1" thickBot="1" x14ac:dyDescent="0.25">
      <c r="A28" s="3">
        <v>1</v>
      </c>
      <c r="B28" s="93" t="s">
        <v>14</v>
      </c>
      <c r="C28" s="94" t="s">
        <v>16</v>
      </c>
      <c r="D28" s="94" t="s">
        <v>12</v>
      </c>
      <c r="E28" s="94" t="s">
        <v>16</v>
      </c>
      <c r="F28" s="94" t="s">
        <v>14</v>
      </c>
      <c r="G28" s="78" t="s">
        <v>1179</v>
      </c>
      <c r="H28" s="88" t="s">
        <v>1180</v>
      </c>
      <c r="J28" s="2"/>
      <c r="K28" s="3"/>
    </row>
    <row r="29" spans="1:11" ht="25" customHeight="1" x14ac:dyDescent="0.2">
      <c r="A29" s="3"/>
      <c r="B29" s="3">
        <v>1</v>
      </c>
      <c r="C29" s="3">
        <v>2</v>
      </c>
      <c r="D29" s="3">
        <v>3</v>
      </c>
      <c r="E29" s="3">
        <v>4</v>
      </c>
      <c r="F29" s="3">
        <v>5</v>
      </c>
      <c r="G29" s="3">
        <v>6</v>
      </c>
      <c r="H29" s="3">
        <v>7</v>
      </c>
      <c r="J29" s="2"/>
      <c r="K29" s="3"/>
    </row>
    <row r="32" spans="1:11" ht="31.5" customHeight="1" x14ac:dyDescent="0.35">
      <c r="B32" s="5" t="s">
        <v>7</v>
      </c>
    </row>
    <row r="33" spans="2:5" ht="31.5" customHeight="1" thickBot="1" x14ac:dyDescent="0.25">
      <c r="B33" s="2"/>
      <c r="C33" s="25" t="s">
        <v>8</v>
      </c>
      <c r="D33" s="25" t="s">
        <v>9</v>
      </c>
      <c r="E33" s="25" t="s">
        <v>10</v>
      </c>
    </row>
    <row r="34" spans="2:5" ht="31.5" customHeight="1" x14ac:dyDescent="0.2">
      <c r="B34" s="3" t="s">
        <v>11</v>
      </c>
      <c r="C34" s="26" t="s">
        <v>12</v>
      </c>
      <c r="D34" s="27">
        <v>-8</v>
      </c>
      <c r="E34" s="28">
        <v>-52.8</v>
      </c>
    </row>
    <row r="35" spans="2:5" ht="31.5" customHeight="1" x14ac:dyDescent="0.2">
      <c r="B35" s="3" t="s">
        <v>13</v>
      </c>
      <c r="C35" s="71" t="s">
        <v>14</v>
      </c>
      <c r="D35" s="72">
        <v>-5.5</v>
      </c>
      <c r="E35" s="73">
        <v>-29.6</v>
      </c>
    </row>
    <row r="36" spans="2:5" ht="31.5" customHeight="1" x14ac:dyDescent="0.2">
      <c r="B36" s="3" t="s">
        <v>15</v>
      </c>
      <c r="C36" s="29" t="s">
        <v>16</v>
      </c>
      <c r="D36" s="4">
        <v>-4.5</v>
      </c>
      <c r="E36" s="6">
        <v>-22.4</v>
      </c>
    </row>
    <row r="37" spans="2:5" ht="31.5" customHeight="1" x14ac:dyDescent="0.2">
      <c r="B37" s="3" t="s">
        <v>17</v>
      </c>
      <c r="C37" s="71" t="s">
        <v>357</v>
      </c>
      <c r="D37" s="72">
        <v>-22</v>
      </c>
      <c r="E37" s="73">
        <v>-168.7</v>
      </c>
    </row>
    <row r="38" spans="2:5" ht="31.5" customHeight="1" x14ac:dyDescent="0.2">
      <c r="B38" s="3" t="s">
        <v>18</v>
      </c>
      <c r="C38" s="71"/>
      <c r="D38" s="72"/>
      <c r="E38" s="73"/>
    </row>
    <row r="39" spans="2:5" ht="31.5" customHeight="1" x14ac:dyDescent="0.2">
      <c r="B39" s="3" t="s">
        <v>19</v>
      </c>
      <c r="C39" s="29"/>
      <c r="D39" s="4"/>
      <c r="E39" s="6"/>
    </row>
    <row r="40" spans="2:5" ht="31.5" customHeight="1" x14ac:dyDescent="0.2">
      <c r="B40" s="3" t="s">
        <v>20</v>
      </c>
      <c r="C40" s="29"/>
      <c r="D40" s="4"/>
      <c r="E40" s="6"/>
    </row>
    <row r="41" spans="2:5" ht="31.5" customHeight="1" x14ac:dyDescent="0.2">
      <c r="B41" s="3" t="s">
        <v>21</v>
      </c>
      <c r="C41" s="29"/>
      <c r="D41" s="4"/>
      <c r="E41" s="6"/>
    </row>
    <row r="42" spans="2:5" ht="31.5" customHeight="1" x14ac:dyDescent="0.2">
      <c r="B42" s="3" t="s">
        <v>22</v>
      </c>
      <c r="C42" s="29"/>
      <c r="D42" s="4"/>
      <c r="E42" s="6"/>
    </row>
    <row r="43" spans="2:5" ht="31.5" customHeight="1" x14ac:dyDescent="0.2">
      <c r="B43" s="3" t="s">
        <v>23</v>
      </c>
      <c r="C43" s="29"/>
      <c r="D43" s="4"/>
      <c r="E43" s="6"/>
    </row>
    <row r="44" spans="2:5" ht="31.5" customHeight="1" x14ac:dyDescent="0.2">
      <c r="B44" s="3" t="s">
        <v>24</v>
      </c>
      <c r="C44" s="29"/>
      <c r="D44" s="4"/>
      <c r="E44" s="6"/>
    </row>
    <row r="45" spans="2:5" ht="31.5" customHeight="1" thickBot="1" x14ac:dyDescent="0.25">
      <c r="B45" s="3" t="s">
        <v>25</v>
      </c>
      <c r="C45" s="30"/>
      <c r="D45" s="7"/>
      <c r="E45" s="8"/>
    </row>
    <row r="56" spans="18:19" x14ac:dyDescent="0.2">
      <c r="R56" s="24"/>
      <c r="S56" s="24"/>
    </row>
    <row r="57" spans="18:19" x14ac:dyDescent="0.2">
      <c r="R57" s="24"/>
      <c r="S57" s="24"/>
    </row>
    <row r="58" spans="18:19" x14ac:dyDescent="0.2">
      <c r="R58" s="24"/>
      <c r="S58" s="24"/>
    </row>
    <row r="59" spans="18:19" x14ac:dyDescent="0.2">
      <c r="R59" s="24"/>
      <c r="S59" s="24"/>
    </row>
  </sheetData>
  <protectedRanges>
    <protectedRange sqref="D2:H9 I23:I27 C34:E36 C38:E45 J14:J19 I14:I18 J24:J29 I29 F25 H20:H23 B14:H19 B24:D29 G24:H29 E24:F24 E26:F29" name="Range1"/>
  </protectedRanges>
  <mergeCells count="13">
    <mergeCell ref="J2:K2"/>
    <mergeCell ref="J3:K3"/>
    <mergeCell ref="B10:C10"/>
    <mergeCell ref="D6:H9"/>
    <mergeCell ref="B6:C9"/>
    <mergeCell ref="B5:C5"/>
    <mergeCell ref="D5:H5"/>
    <mergeCell ref="D2:H2"/>
    <mergeCell ref="B2:C2"/>
    <mergeCell ref="B3:C3"/>
    <mergeCell ref="D3:H3"/>
    <mergeCell ref="B4:C4"/>
    <mergeCell ref="D4:H4"/>
  </mergeCells>
  <phoneticPr fontId="22" type="noConversion"/>
  <pageMargins left="0.7" right="0.7" top="0.75" bottom="0.75" header="0.3" footer="0.3"/>
  <legacy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CA0D-1F99-8045-AEB6-20E9A32DD4EB}">
  <dimension ref="A1:D108"/>
  <sheetViews>
    <sheetView topLeftCell="A62" workbookViewId="0">
      <selection activeCell="B25" sqref="B25"/>
    </sheetView>
  </sheetViews>
  <sheetFormatPr baseColWidth="10" defaultColWidth="11.5" defaultRowHeight="15" x14ac:dyDescent="0.2"/>
  <cols>
    <col min="2" max="2" width="32.83203125" bestFit="1" customWidth="1"/>
    <col min="3" max="3" width="15.6640625" customWidth="1"/>
  </cols>
  <sheetData>
    <row r="1" spans="1:4" ht="16" thickBot="1" x14ac:dyDescent="0.25">
      <c r="A1" s="196" t="s">
        <v>26</v>
      </c>
      <c r="B1" s="196"/>
      <c r="C1" s="122">
        <v>44655.635416666664</v>
      </c>
    </row>
    <row r="2" spans="1:4" ht="16" thickBot="1" x14ac:dyDescent="0.25">
      <c r="A2" s="104" t="s">
        <v>27</v>
      </c>
      <c r="B2" s="104" t="s">
        <v>28</v>
      </c>
      <c r="C2" s="105" t="s">
        <v>29</v>
      </c>
      <c r="D2" s="106" t="s">
        <v>30</v>
      </c>
    </row>
    <row r="3" spans="1:4" x14ac:dyDescent="0.2">
      <c r="A3" s="107">
        <v>1</v>
      </c>
      <c r="B3" s="108" t="str">
        <f>'Tray Configuration'!B28</f>
        <v>Ouachita</v>
      </c>
      <c r="C3" s="109">
        <f>C1</f>
        <v>44655.635416666664</v>
      </c>
      <c r="D3" s="110">
        <v>15</v>
      </c>
    </row>
    <row r="4" spans="1:4" x14ac:dyDescent="0.2">
      <c r="A4" s="111">
        <v>2</v>
      </c>
      <c r="B4" s="108" t="str">
        <f>'Tray Configuration'!C28</f>
        <v>Sipsey</v>
      </c>
      <c r="C4" s="109">
        <f>C3+"0:08:57"*D3</f>
        <v>44655.728645833333</v>
      </c>
      <c r="D4" s="110">
        <v>15</v>
      </c>
    </row>
    <row r="5" spans="1:4" x14ac:dyDescent="0.2">
      <c r="A5" s="111">
        <v>3</v>
      </c>
      <c r="B5" s="108" t="str">
        <f>'Tray Configuration'!D28</f>
        <v>Iceland</v>
      </c>
      <c r="C5" s="109">
        <f>C4+"0:08:57"*D4</f>
        <v>44655.821875000001</v>
      </c>
      <c r="D5" s="110">
        <v>15</v>
      </c>
    </row>
    <row r="6" spans="1:4" x14ac:dyDescent="0.2">
      <c r="A6" s="111">
        <v>4</v>
      </c>
      <c r="B6" s="108" t="str">
        <f>'Tray Configuration'!E28</f>
        <v>Sipsey</v>
      </c>
      <c r="C6" s="109">
        <f>C5+"0:08:57"*D5</f>
        <v>44655.91510416667</v>
      </c>
      <c r="D6" s="110">
        <v>15</v>
      </c>
    </row>
    <row r="7" spans="1:4" x14ac:dyDescent="0.2">
      <c r="A7" s="111">
        <v>5</v>
      </c>
      <c r="B7" s="108" t="str">
        <f>'Tray Configuration'!F28</f>
        <v>Ouachita</v>
      </c>
      <c r="C7" s="109">
        <f t="shared" ref="C7:C35" si="0">C6+"0:08:57"*D6</f>
        <v>44656.008333333339</v>
      </c>
      <c r="D7" s="110">
        <v>15</v>
      </c>
    </row>
    <row r="8" spans="1:4" x14ac:dyDescent="0.2">
      <c r="A8" s="111">
        <v>6</v>
      </c>
      <c r="B8" s="108" t="str">
        <f>'Tray Configuration'!G28</f>
        <v>WAIS_01M01_2_RAW_20210809</v>
      </c>
      <c r="C8" s="109">
        <f t="shared" si="0"/>
        <v>44656.101562500007</v>
      </c>
      <c r="D8" s="110">
        <v>6</v>
      </c>
    </row>
    <row r="9" spans="1:4" x14ac:dyDescent="0.2">
      <c r="A9" s="111">
        <v>7</v>
      </c>
      <c r="B9" s="108" t="str">
        <f>'Tray Configuration'!H28</f>
        <v>WAIS_02M06_2_RAW_20210809</v>
      </c>
      <c r="C9" s="109">
        <f t="shared" si="0"/>
        <v>44656.138854166675</v>
      </c>
      <c r="D9" s="110">
        <v>6</v>
      </c>
    </row>
    <row r="10" spans="1:4" x14ac:dyDescent="0.2">
      <c r="A10" s="111">
        <v>8</v>
      </c>
      <c r="B10" s="108" t="str">
        <f>'Tray Configuration'!B27</f>
        <v>WAIS_02M07_2_RAW_20210809</v>
      </c>
      <c r="C10" s="109">
        <f t="shared" si="0"/>
        <v>44656.176145833342</v>
      </c>
      <c r="D10" s="110">
        <v>6</v>
      </c>
    </row>
    <row r="11" spans="1:4" x14ac:dyDescent="0.2">
      <c r="A11" s="112">
        <v>9</v>
      </c>
      <c r="B11" s="108" t="str">
        <f>'Tray Configuration'!C27</f>
        <v>WAIS_SFM01_1_RAW_20211214</v>
      </c>
      <c r="C11" s="109">
        <f t="shared" si="0"/>
        <v>44656.21343750001</v>
      </c>
      <c r="D11" s="110">
        <v>6</v>
      </c>
    </row>
    <row r="12" spans="1:4" x14ac:dyDescent="0.2">
      <c r="A12" s="112">
        <v>10</v>
      </c>
      <c r="B12" s="108" t="str">
        <f>'Tray Configuration'!D27</f>
        <v>WAIS_N01B_1_RAW_20210903</v>
      </c>
      <c r="C12" s="109">
        <f t="shared" si="0"/>
        <v>44656.250729166677</v>
      </c>
      <c r="D12" s="110">
        <v>6</v>
      </c>
    </row>
    <row r="13" spans="1:4" x14ac:dyDescent="0.2">
      <c r="A13" s="112">
        <v>11</v>
      </c>
      <c r="B13" s="108" t="str">
        <f>'Tray Configuration'!E27</f>
        <v>WAIS_N4DWSeep1_RAW_20220211</v>
      </c>
      <c r="C13" s="109">
        <f t="shared" si="0"/>
        <v>44656.288020833344</v>
      </c>
      <c r="D13" s="110">
        <v>6</v>
      </c>
    </row>
    <row r="14" spans="1:4" x14ac:dyDescent="0.2">
      <c r="A14" s="112">
        <v>12</v>
      </c>
      <c r="B14" s="108" t="str">
        <f>'Tray Configuration'!F27</f>
        <v>WAIS_N4DWSeep2_RAW_20220211</v>
      </c>
      <c r="C14" s="109">
        <f t="shared" si="0"/>
        <v>44656.325312500012</v>
      </c>
      <c r="D14" s="110">
        <v>6</v>
      </c>
    </row>
    <row r="15" spans="1:4" x14ac:dyDescent="0.2">
      <c r="A15" s="112">
        <v>13</v>
      </c>
      <c r="B15" s="108" t="str">
        <f>'Tray Configuration'!G27</f>
        <v>WAIS_N4DSeep4_RAW_20220211</v>
      </c>
      <c r="C15" s="109">
        <f t="shared" si="0"/>
        <v>44656.362604166679</v>
      </c>
      <c r="D15" s="110">
        <v>6</v>
      </c>
    </row>
    <row r="16" spans="1:4" x14ac:dyDescent="0.2">
      <c r="A16" s="112">
        <v>14</v>
      </c>
      <c r="B16" s="108" t="str">
        <f>'Tray Configuration'!H27</f>
        <v>Ouachita</v>
      </c>
      <c r="C16" s="109">
        <f t="shared" si="0"/>
        <v>44656.399895833347</v>
      </c>
      <c r="D16" s="110">
        <v>6</v>
      </c>
    </row>
    <row r="17" spans="1:4" x14ac:dyDescent="0.2">
      <c r="A17" s="112">
        <v>15</v>
      </c>
      <c r="B17" s="108" t="str">
        <f>'Tray Configuration'!B26</f>
        <v>WAIS_N2BSeepB_RAW_20220211</v>
      </c>
      <c r="C17" s="109">
        <f t="shared" si="0"/>
        <v>44656.437187500014</v>
      </c>
      <c r="D17" s="110">
        <v>6</v>
      </c>
    </row>
    <row r="18" spans="1:4" x14ac:dyDescent="0.2">
      <c r="A18" s="112">
        <v>16</v>
      </c>
      <c r="B18" s="108" t="str">
        <f>'Tray Configuration'!C26</f>
        <v>WAIS_33Eis_1_Filt_20220113</v>
      </c>
      <c r="C18" s="109">
        <f t="shared" si="0"/>
        <v>44656.474479166682</v>
      </c>
      <c r="D18" s="110">
        <v>6</v>
      </c>
    </row>
    <row r="19" spans="1:4" x14ac:dyDescent="0.2">
      <c r="A19" s="112">
        <v>17</v>
      </c>
      <c r="B19" s="108" t="str">
        <f>'Tray Configuration'!D26</f>
        <v>WAIS_ENM01_1_RAW_20211123</v>
      </c>
      <c r="C19" s="109">
        <f t="shared" si="0"/>
        <v>44656.511770833349</v>
      </c>
      <c r="D19" s="110">
        <v>6</v>
      </c>
    </row>
    <row r="20" spans="1:4" x14ac:dyDescent="0.2">
      <c r="A20" s="112">
        <v>18</v>
      </c>
      <c r="B20" s="108" t="str">
        <f>'Tray Configuration'!E26</f>
        <v>WAIS_ENM03_1_RAW_20210827</v>
      </c>
      <c r="C20" s="109">
        <f t="shared" si="0"/>
        <v>44656.549062500017</v>
      </c>
      <c r="D20" s="110">
        <v>6</v>
      </c>
    </row>
    <row r="21" spans="1:4" x14ac:dyDescent="0.2">
      <c r="A21" s="112">
        <v>19</v>
      </c>
      <c r="B21" s="108" t="str">
        <f>'Tray Configuration'!F26</f>
        <v>4_6_MOR_DUP_N4D_20220113</v>
      </c>
      <c r="C21" s="109">
        <f t="shared" si="0"/>
        <v>44656.586354166684</v>
      </c>
      <c r="D21" s="110">
        <v>6</v>
      </c>
    </row>
    <row r="22" spans="1:4" x14ac:dyDescent="0.2">
      <c r="A22" s="112">
        <v>20</v>
      </c>
      <c r="B22" s="108" t="str">
        <f>'Tray Configuration'!G26</f>
        <v>4_6_Eis2_DUP_20220113</v>
      </c>
      <c r="C22" s="109">
        <f t="shared" si="0"/>
        <v>44656.623645833351</v>
      </c>
      <c r="D22" s="110">
        <v>6</v>
      </c>
    </row>
    <row r="23" spans="1:4" x14ac:dyDescent="0.2">
      <c r="A23" s="112">
        <v>21</v>
      </c>
      <c r="B23" s="108" t="str">
        <f>'Tray Configuration'!H26</f>
        <v>Ouachita</v>
      </c>
      <c r="C23" s="109">
        <f t="shared" si="0"/>
        <v>44656.660937500019</v>
      </c>
      <c r="D23" s="110">
        <v>6</v>
      </c>
    </row>
    <row r="24" spans="1:4" x14ac:dyDescent="0.2">
      <c r="A24" s="112">
        <v>22</v>
      </c>
      <c r="B24" s="108" t="str">
        <f>'Tray Configuration'!B25</f>
        <v>3_5_MOR_N4D_DUP_20220113</v>
      </c>
      <c r="C24" s="109">
        <f t="shared" si="0"/>
        <v>44656.698229166686</v>
      </c>
      <c r="D24" s="110">
        <v>6</v>
      </c>
    </row>
    <row r="25" spans="1:4" x14ac:dyDescent="0.2">
      <c r="A25" s="112">
        <v>23</v>
      </c>
      <c r="B25" s="108" t="str">
        <f>'Tray Configuration'!C25</f>
        <v>WAIS_ENM03_1_RAW_20210811</v>
      </c>
      <c r="C25" s="109">
        <f t="shared" si="0"/>
        <v>44656.735520833354</v>
      </c>
      <c r="D25" s="110">
        <v>6</v>
      </c>
    </row>
    <row r="26" spans="1:4" x14ac:dyDescent="0.2">
      <c r="A26" s="112">
        <v>24</v>
      </c>
      <c r="B26" s="108" t="str">
        <f>'Tray Configuration'!D25</f>
        <v>WAIS_ENM01_1_RAW_20210916</v>
      </c>
      <c r="C26" s="109">
        <f t="shared" si="0"/>
        <v>44656.772812500021</v>
      </c>
      <c r="D26" s="110">
        <v>6</v>
      </c>
    </row>
    <row r="27" spans="1:4" x14ac:dyDescent="0.2">
      <c r="A27" s="112">
        <v>25</v>
      </c>
      <c r="B27" s="108" t="str">
        <f>'Tray Configuration'!E26</f>
        <v>WAIS_ENM03_1_RAW_20210827</v>
      </c>
      <c r="C27" s="109">
        <f t="shared" si="0"/>
        <v>44656.810104166689</v>
      </c>
      <c r="D27" s="110">
        <v>6</v>
      </c>
    </row>
    <row r="28" spans="1:4" x14ac:dyDescent="0.2">
      <c r="A28" s="112">
        <v>26</v>
      </c>
      <c r="B28" s="108" t="str">
        <f>'Tray Configuration'!F25</f>
        <v>WAIS_ENM03_1_RAW_20211015</v>
      </c>
      <c r="C28" s="109">
        <f t="shared" si="0"/>
        <v>44656.847395833356</v>
      </c>
      <c r="D28" s="110">
        <v>6</v>
      </c>
    </row>
    <row r="29" spans="1:4" x14ac:dyDescent="0.2">
      <c r="A29" s="113">
        <v>27</v>
      </c>
      <c r="B29" s="108" t="str">
        <f>'Tray Configuration'!G25</f>
        <v>TLM01 20211007</v>
      </c>
      <c r="C29" s="109">
        <f t="shared" si="0"/>
        <v>44656.884687500024</v>
      </c>
      <c r="D29" s="110">
        <v>6</v>
      </c>
    </row>
    <row r="30" spans="1:4" x14ac:dyDescent="0.2">
      <c r="A30" s="112">
        <v>28</v>
      </c>
      <c r="B30" s="108" t="str">
        <f>'Tray Configuration'!H25</f>
        <v>Ouachita</v>
      </c>
      <c r="C30" s="109">
        <f t="shared" si="0"/>
        <v>44656.921979166691</v>
      </c>
      <c r="D30" s="110">
        <v>6</v>
      </c>
    </row>
    <row r="31" spans="1:4" x14ac:dyDescent="0.2">
      <c r="A31" s="112">
        <v>29</v>
      </c>
      <c r="B31" s="108" t="str">
        <f>'Tray Configuration'!B24</f>
        <v>TLM01 20211026</v>
      </c>
      <c r="C31" s="109">
        <f t="shared" si="0"/>
        <v>44656.959270833358</v>
      </c>
      <c r="D31" s="110">
        <v>6</v>
      </c>
    </row>
    <row r="32" spans="1:4" x14ac:dyDescent="0.2">
      <c r="A32" s="112">
        <v>30</v>
      </c>
      <c r="B32" s="108" t="str">
        <f>'Tray Configuration'!C24</f>
        <v>TLM01 20211110</v>
      </c>
      <c r="C32" s="109">
        <f t="shared" si="0"/>
        <v>44656.996562500026</v>
      </c>
      <c r="D32" s="110">
        <v>6</v>
      </c>
    </row>
    <row r="33" spans="1:4" x14ac:dyDescent="0.2">
      <c r="A33" s="112">
        <v>31</v>
      </c>
      <c r="B33" s="108" t="str">
        <f>'Tray Configuration'!D24</f>
        <v>TLM01 20220105</v>
      </c>
      <c r="C33" s="109">
        <f t="shared" si="0"/>
        <v>44657.033854166693</v>
      </c>
      <c r="D33" s="110">
        <v>6</v>
      </c>
    </row>
    <row r="34" spans="1:4" x14ac:dyDescent="0.2">
      <c r="A34" s="112">
        <v>32</v>
      </c>
      <c r="B34" s="108" t="str">
        <f>'Tray Configuration'!E24</f>
        <v>Ouachita</v>
      </c>
      <c r="C34" s="109">
        <f t="shared" si="0"/>
        <v>44657.071145833361</v>
      </c>
      <c r="D34" s="110">
        <v>15</v>
      </c>
    </row>
    <row r="35" spans="1:4" x14ac:dyDescent="0.2">
      <c r="A35" s="112">
        <v>33</v>
      </c>
      <c r="B35" s="108" t="str">
        <f>'Tray Configuration'!F24</f>
        <v>Sipsey</v>
      </c>
      <c r="C35" s="109">
        <f t="shared" si="0"/>
        <v>44657.164375000029</v>
      </c>
      <c r="D35" s="110">
        <v>15</v>
      </c>
    </row>
    <row r="36" spans="1:4" x14ac:dyDescent="0.2">
      <c r="A36" s="112">
        <v>34</v>
      </c>
      <c r="B36" s="108" t="str">
        <f>'Tray Configuration'!G24</f>
        <v>Iceland</v>
      </c>
      <c r="C36" s="109">
        <f>C35+"0:08:57"*D35</f>
        <v>44657.257604166698</v>
      </c>
      <c r="D36" s="110">
        <v>15</v>
      </c>
    </row>
    <row r="37" spans="1:4" ht="16" thickBot="1" x14ac:dyDescent="0.25">
      <c r="A37" s="114">
        <v>35</v>
      </c>
      <c r="B37" s="115" t="str">
        <f>'Tray Configuration'!H24</f>
        <v>Ouachita</v>
      </c>
      <c r="C37" s="116">
        <f>C36+"0:08:57"*D36</f>
        <v>44657.350833333367</v>
      </c>
      <c r="D37" s="117">
        <v>15</v>
      </c>
    </row>
    <row r="38" spans="1:4" x14ac:dyDescent="0.2">
      <c r="A38" s="118">
        <v>36</v>
      </c>
      <c r="B38" s="108" t="str">
        <f>'Tray Configuration'!B23</f>
        <v>TLM01 20220131</v>
      </c>
      <c r="C38" s="109">
        <f t="shared" ref="C38:C43" si="1">C37+"0:08:57"*D37</f>
        <v>44657.444062500035</v>
      </c>
      <c r="D38" s="110">
        <v>6</v>
      </c>
    </row>
    <row r="39" spans="1:4" x14ac:dyDescent="0.2">
      <c r="A39" s="112">
        <v>37</v>
      </c>
      <c r="B39" s="108" t="str">
        <f>'Tray Configuration'!C23</f>
        <v>TLP01 20220124</v>
      </c>
      <c r="C39" s="109">
        <f t="shared" si="1"/>
        <v>44657.481354166703</v>
      </c>
      <c r="D39" s="110">
        <v>6</v>
      </c>
    </row>
    <row r="40" spans="1:4" x14ac:dyDescent="0.2">
      <c r="A40" s="112">
        <v>38</v>
      </c>
      <c r="B40" s="108" t="str">
        <f>'Tray Configuration'!D23</f>
        <v>TLM01 20220124</v>
      </c>
      <c r="C40" s="109">
        <f t="shared" si="1"/>
        <v>44657.51864583337</v>
      </c>
      <c r="D40" s="110">
        <v>6</v>
      </c>
    </row>
    <row r="41" spans="1:4" x14ac:dyDescent="0.2">
      <c r="A41" s="112">
        <v>39</v>
      </c>
      <c r="B41" s="108" t="str">
        <f>'Tray Configuration'!E23</f>
        <v>TLC01 20220124</v>
      </c>
      <c r="C41" s="109">
        <f t="shared" si="1"/>
        <v>44657.555937500038</v>
      </c>
      <c r="D41" s="110">
        <v>6</v>
      </c>
    </row>
    <row r="42" spans="1:4" x14ac:dyDescent="0.2">
      <c r="A42" s="112">
        <v>40</v>
      </c>
      <c r="B42" s="108" t="str">
        <f>'Tray Configuration'!F23</f>
        <v>TLM10 20220124</v>
      </c>
      <c r="C42" s="109">
        <f t="shared" si="1"/>
        <v>44657.593229166705</v>
      </c>
      <c r="D42" s="110">
        <v>6</v>
      </c>
    </row>
    <row r="43" spans="1:4" x14ac:dyDescent="0.2">
      <c r="A43" s="112">
        <v>41</v>
      </c>
      <c r="B43" s="108" t="str">
        <f>'Tray Configuration'!G23</f>
        <v>TLM06 20220124</v>
      </c>
      <c r="C43" s="109">
        <f t="shared" si="1"/>
        <v>44657.630520833372</v>
      </c>
      <c r="D43" s="110">
        <v>6</v>
      </c>
    </row>
    <row r="44" spans="1:4" x14ac:dyDescent="0.2">
      <c r="A44" s="112">
        <v>42</v>
      </c>
      <c r="B44" s="108" t="str">
        <f>'Tray Configuration'!H23</f>
        <v>Ouachita</v>
      </c>
      <c r="C44" s="109">
        <f>C43+"0:08:57"*D43</f>
        <v>44657.66781250004</v>
      </c>
      <c r="D44" s="110">
        <v>6</v>
      </c>
    </row>
    <row r="45" spans="1:4" x14ac:dyDescent="0.2">
      <c r="A45" s="112">
        <v>43</v>
      </c>
      <c r="B45" s="108" t="str">
        <f>'Tray Configuration'!B22</f>
        <v>TLA01 20220124</v>
      </c>
      <c r="C45" s="109">
        <f t="shared" ref="C45:C50" si="2">C44+"0:08:57"*D44</f>
        <v>44657.705104166707</v>
      </c>
      <c r="D45" s="110">
        <v>6</v>
      </c>
    </row>
    <row r="46" spans="1:4" x14ac:dyDescent="0.2">
      <c r="A46" s="112">
        <v>44</v>
      </c>
      <c r="B46" s="108" t="str">
        <f>'Tray Configuration'!C22</f>
        <v>TLM16 20220124</v>
      </c>
      <c r="C46" s="109">
        <f t="shared" si="2"/>
        <v>44657.742395833375</v>
      </c>
      <c r="D46" s="110">
        <v>6</v>
      </c>
    </row>
    <row r="47" spans="1:4" x14ac:dyDescent="0.2">
      <c r="A47" s="112">
        <v>45</v>
      </c>
      <c r="B47" s="108" t="str">
        <f>'Tray Configuration'!D22</f>
        <v>TLM19 20220124</v>
      </c>
      <c r="C47" s="109">
        <f t="shared" si="2"/>
        <v>44657.779687500042</v>
      </c>
      <c r="D47" s="110">
        <v>6</v>
      </c>
    </row>
    <row r="48" spans="1:4" x14ac:dyDescent="0.2">
      <c r="A48" s="112">
        <v>46</v>
      </c>
      <c r="B48" s="108" t="str">
        <f>'Tray Configuration'!E22</f>
        <v>TLM01 20220330</v>
      </c>
      <c r="C48" s="109">
        <f t="shared" si="2"/>
        <v>44657.81697916671</v>
      </c>
      <c r="D48" s="110">
        <v>6</v>
      </c>
    </row>
    <row r="49" spans="1:4" x14ac:dyDescent="0.2">
      <c r="A49" s="112">
        <v>47</v>
      </c>
      <c r="B49" s="108" t="str">
        <f>'Tray Configuration'!F22</f>
        <v>TLC01 20220330</v>
      </c>
      <c r="C49" s="109">
        <f t="shared" si="2"/>
        <v>44657.854270833377</v>
      </c>
      <c r="D49" s="110">
        <v>6</v>
      </c>
    </row>
    <row r="50" spans="1:4" x14ac:dyDescent="0.2">
      <c r="A50" s="112">
        <v>48</v>
      </c>
      <c r="B50" s="108" t="str">
        <f>'Tray Configuration'!G22</f>
        <v>TLM06 20220330</v>
      </c>
      <c r="C50" s="109">
        <f t="shared" si="2"/>
        <v>44657.891562500045</v>
      </c>
      <c r="D50" s="110">
        <v>6</v>
      </c>
    </row>
    <row r="51" spans="1:4" x14ac:dyDescent="0.2">
      <c r="A51" s="112">
        <v>49</v>
      </c>
      <c r="B51" s="108" t="str">
        <f>'Tray Configuration'!H22</f>
        <v>Ouachita</v>
      </c>
      <c r="C51" s="109">
        <f>C50+"0:08:57"*D50</f>
        <v>44657.928854166712</v>
      </c>
      <c r="D51" s="110">
        <v>6</v>
      </c>
    </row>
    <row r="52" spans="1:4" x14ac:dyDescent="0.2">
      <c r="A52" s="112">
        <v>50</v>
      </c>
      <c r="B52" s="108" t="str">
        <f>'Tray Configuration'!B21</f>
        <v>TLM10 20220330</v>
      </c>
      <c r="C52" s="109">
        <f t="shared" ref="C52:C57" si="3">C51+"0:08:57"*D51</f>
        <v>44657.966145833379</v>
      </c>
      <c r="D52" s="110">
        <v>6</v>
      </c>
    </row>
    <row r="53" spans="1:4" x14ac:dyDescent="0.2">
      <c r="A53" s="112">
        <v>51</v>
      </c>
      <c r="B53" s="108" t="str">
        <f>'Tray Configuration'!C21</f>
        <v>TLA01 20220330</v>
      </c>
      <c r="C53" s="109">
        <f t="shared" si="3"/>
        <v>44658.003437500047</v>
      </c>
      <c r="D53" s="110">
        <v>6</v>
      </c>
    </row>
    <row r="54" spans="1:4" x14ac:dyDescent="0.2">
      <c r="A54" s="112">
        <v>52</v>
      </c>
      <c r="B54" s="108" t="str">
        <f>'Tray Configuration'!D21</f>
        <v>TLM16 20220330</v>
      </c>
      <c r="C54" s="109">
        <f t="shared" si="3"/>
        <v>44658.040729166714</v>
      </c>
      <c r="D54" s="110">
        <v>6</v>
      </c>
    </row>
    <row r="55" spans="1:4" x14ac:dyDescent="0.2">
      <c r="A55" s="112">
        <v>53</v>
      </c>
      <c r="B55" s="108" t="str">
        <f>'Tray Configuration'!E21</f>
        <v>TLM19 20220330</v>
      </c>
      <c r="C55" s="109">
        <f t="shared" si="3"/>
        <v>44658.078020833382</v>
      </c>
      <c r="D55" s="110">
        <v>6</v>
      </c>
    </row>
    <row r="56" spans="1:4" x14ac:dyDescent="0.2">
      <c r="A56" s="112">
        <v>54</v>
      </c>
      <c r="B56" s="108" t="str">
        <f>'Tray Configuration'!F21</f>
        <v>TAL Precip 20220330</v>
      </c>
      <c r="C56" s="109">
        <f t="shared" si="3"/>
        <v>44658.115312500049</v>
      </c>
      <c r="D56" s="110">
        <v>6</v>
      </c>
    </row>
    <row r="57" spans="1:4" x14ac:dyDescent="0.2">
      <c r="A57" s="112">
        <v>55</v>
      </c>
      <c r="B57" s="108" t="str">
        <f>'Tray Configuration'!G21</f>
        <v>WHM01 20211014</v>
      </c>
      <c r="C57" s="109">
        <f t="shared" si="3"/>
        <v>44658.152604166717</v>
      </c>
      <c r="D57" s="110">
        <v>6</v>
      </c>
    </row>
    <row r="58" spans="1:4" x14ac:dyDescent="0.2">
      <c r="A58" s="112">
        <v>56</v>
      </c>
      <c r="B58" s="108" t="str">
        <f>'Tray Configuration'!H21</f>
        <v>Ouachita</v>
      </c>
      <c r="C58" s="109">
        <f>C57+"0:08:57"*D57</f>
        <v>44658.189895833384</v>
      </c>
      <c r="D58" s="110">
        <v>6</v>
      </c>
    </row>
    <row r="59" spans="1:4" x14ac:dyDescent="0.2">
      <c r="A59" s="112">
        <v>57</v>
      </c>
      <c r="B59" s="108" t="str">
        <f>'Tray Configuration'!B20</f>
        <v>WHM01 20211104</v>
      </c>
      <c r="C59" s="109">
        <f t="shared" ref="C59:C64" si="4">C58+"0:08:57"*D58</f>
        <v>44658.227187500052</v>
      </c>
      <c r="D59" s="110">
        <v>6</v>
      </c>
    </row>
    <row r="60" spans="1:4" x14ac:dyDescent="0.2">
      <c r="A60" s="112">
        <v>58</v>
      </c>
      <c r="B60" s="108" t="str">
        <f>'Tray Configuration'!C20</f>
        <v>WHM01 20211129</v>
      </c>
      <c r="C60" s="109">
        <f t="shared" si="4"/>
        <v>44658.264479166719</v>
      </c>
      <c r="D60" s="110">
        <v>6</v>
      </c>
    </row>
    <row r="61" spans="1:4" x14ac:dyDescent="0.2">
      <c r="A61" s="112">
        <v>59</v>
      </c>
      <c r="B61" s="108" t="str">
        <f>'Tray Configuration'!D20</f>
        <v>WHM01 20211220</v>
      </c>
      <c r="C61" s="109">
        <f t="shared" si="4"/>
        <v>44658.301770833386</v>
      </c>
      <c r="D61" s="110">
        <v>6</v>
      </c>
    </row>
    <row r="62" spans="1:4" x14ac:dyDescent="0.2">
      <c r="A62" s="112">
        <v>60</v>
      </c>
      <c r="B62" s="108" t="str">
        <f>'Tray Configuration'!E20</f>
        <v>WHM01 20220106</v>
      </c>
      <c r="C62" s="109">
        <f t="shared" si="4"/>
        <v>44658.339062500054</v>
      </c>
      <c r="D62" s="110">
        <v>6</v>
      </c>
    </row>
    <row r="63" spans="1:4" x14ac:dyDescent="0.2">
      <c r="A63" s="112">
        <v>61</v>
      </c>
      <c r="B63" s="108" t="str">
        <f>'Tray Configuration'!F20</f>
        <v xml:space="preserve">WHM01 20220322 </v>
      </c>
      <c r="C63" s="109">
        <f t="shared" si="4"/>
        <v>44658.376354166721</v>
      </c>
      <c r="D63" s="110">
        <v>6</v>
      </c>
    </row>
    <row r="64" spans="1:4" x14ac:dyDescent="0.2">
      <c r="A64" s="112">
        <v>62</v>
      </c>
      <c r="B64" s="108" t="str">
        <f>'Tray Configuration'!G20</f>
        <v xml:space="preserve">WHB01 20220322 </v>
      </c>
      <c r="C64" s="109">
        <f t="shared" si="4"/>
        <v>44658.413645833389</v>
      </c>
      <c r="D64" s="110">
        <v>6</v>
      </c>
    </row>
    <row r="65" spans="1:4" x14ac:dyDescent="0.2">
      <c r="A65" s="112">
        <v>63</v>
      </c>
      <c r="B65" s="108" t="str">
        <f>'Tray Configuration'!H20</f>
        <v>Ouachita</v>
      </c>
      <c r="C65" s="109">
        <f>C64+"0:08:57"*D64</f>
        <v>44658.450937500056</v>
      </c>
      <c r="D65" s="110">
        <v>6</v>
      </c>
    </row>
    <row r="66" spans="1:4" x14ac:dyDescent="0.2">
      <c r="A66" s="112">
        <v>64</v>
      </c>
      <c r="B66" s="108" t="str">
        <f>'Tray Configuration'!B19</f>
        <v>WHA02 20220322</v>
      </c>
      <c r="C66" s="109">
        <f t="shared" ref="C66:C70" si="5">C65+"0:08:57"*D65</f>
        <v>44658.488229166724</v>
      </c>
      <c r="D66" s="110">
        <v>6</v>
      </c>
    </row>
    <row r="67" spans="1:4" x14ac:dyDescent="0.2">
      <c r="A67" s="112">
        <v>65</v>
      </c>
      <c r="B67" s="108" t="str">
        <f>'Tray Configuration'!C19</f>
        <v>WHM03 20220322</v>
      </c>
      <c r="C67" s="109">
        <f t="shared" si="5"/>
        <v>44658.525520833391</v>
      </c>
      <c r="D67" s="110">
        <v>6</v>
      </c>
    </row>
    <row r="68" spans="1:4" x14ac:dyDescent="0.2">
      <c r="A68" s="112">
        <v>66</v>
      </c>
      <c r="B68" s="108" t="str">
        <f>'Tray Configuration'!D19</f>
        <v>WHM07 20220322</v>
      </c>
      <c r="C68" s="109">
        <f t="shared" si="5"/>
        <v>44658.562812500058</v>
      </c>
      <c r="D68" s="110">
        <v>6</v>
      </c>
    </row>
    <row r="69" spans="1:4" x14ac:dyDescent="0.2">
      <c r="A69" s="112">
        <v>67</v>
      </c>
      <c r="B69" s="108" t="str">
        <f>'Tray Configuration'!E19</f>
        <v>Ouachita</v>
      </c>
      <c r="C69" s="109">
        <f t="shared" si="5"/>
        <v>44658.600104166726</v>
      </c>
      <c r="D69" s="110">
        <v>15</v>
      </c>
    </row>
    <row r="70" spans="1:4" x14ac:dyDescent="0.2">
      <c r="A70" s="112">
        <v>68</v>
      </c>
      <c r="B70" s="108" t="str">
        <f>'Tray Configuration'!F19</f>
        <v>Sipsey</v>
      </c>
      <c r="C70" s="109">
        <f t="shared" si="5"/>
        <v>44658.693333333395</v>
      </c>
      <c r="D70" s="110">
        <v>15</v>
      </c>
    </row>
    <row r="71" spans="1:4" x14ac:dyDescent="0.2">
      <c r="A71" s="112">
        <v>69</v>
      </c>
      <c r="B71" s="108" t="str">
        <f>'Tray Configuration'!G19</f>
        <v>Iceland</v>
      </c>
      <c r="C71" s="109">
        <f>C70+"0:08:57"*D70</f>
        <v>44658.786562500063</v>
      </c>
      <c r="D71" s="110">
        <v>15</v>
      </c>
    </row>
    <row r="72" spans="1:4" ht="16" thickBot="1" x14ac:dyDescent="0.25">
      <c r="A72" s="114">
        <v>70</v>
      </c>
      <c r="B72" s="115" t="str">
        <f>'Tray Configuration'!H19</f>
        <v>Ouachita</v>
      </c>
      <c r="C72" s="116">
        <f>C71+"0:08:57"*D71</f>
        <v>44658.879791666732</v>
      </c>
      <c r="D72" s="117">
        <v>15</v>
      </c>
    </row>
    <row r="73" spans="1:4" x14ac:dyDescent="0.2">
      <c r="A73" s="118">
        <v>71</v>
      </c>
      <c r="B73" s="108" t="str">
        <f>'Tray Configuration'!B18</f>
        <v>WHM10 20220322</v>
      </c>
      <c r="C73" s="119">
        <f t="shared" ref="C73:C78" si="6">C72+"0:08:57"*D72</f>
        <v>44658.9730208334</v>
      </c>
      <c r="D73" s="110">
        <v>6</v>
      </c>
    </row>
    <row r="74" spans="1:4" x14ac:dyDescent="0.2">
      <c r="A74" s="112">
        <v>72</v>
      </c>
      <c r="B74" s="108" t="str">
        <f>'Tray Configuration'!C18</f>
        <v>WHM12 20220322</v>
      </c>
      <c r="C74" s="109">
        <f t="shared" si="6"/>
        <v>44659.010312500068</v>
      </c>
      <c r="D74" s="110">
        <v>6</v>
      </c>
    </row>
    <row r="75" spans="1:4" x14ac:dyDescent="0.2">
      <c r="A75" s="112">
        <v>73</v>
      </c>
      <c r="B75" s="108" t="str">
        <f>'Tray Configuration'!D18</f>
        <v>PRM01 20211013</v>
      </c>
      <c r="C75" s="109">
        <f t="shared" si="6"/>
        <v>44659.047604166735</v>
      </c>
      <c r="D75" s="110">
        <v>6</v>
      </c>
    </row>
    <row r="76" spans="1:4" x14ac:dyDescent="0.2">
      <c r="A76" s="112">
        <v>74</v>
      </c>
      <c r="B76" s="108" t="str">
        <f>'Tray Configuration'!E18</f>
        <v>PRM01 20211103</v>
      </c>
      <c r="C76" s="109">
        <f t="shared" si="6"/>
        <v>44659.084895833403</v>
      </c>
      <c r="D76" s="110">
        <v>6</v>
      </c>
    </row>
    <row r="77" spans="1:4" x14ac:dyDescent="0.2">
      <c r="A77" s="112">
        <v>75</v>
      </c>
      <c r="B77" s="108" t="str">
        <f>'Tray Configuration'!F18</f>
        <v>PRM01 20211122</v>
      </c>
      <c r="C77" s="109">
        <f t="shared" si="6"/>
        <v>44659.12218750007</v>
      </c>
      <c r="D77" s="110">
        <v>6</v>
      </c>
    </row>
    <row r="78" spans="1:4" x14ac:dyDescent="0.2">
      <c r="A78" s="112">
        <v>76</v>
      </c>
      <c r="B78" s="108" t="str">
        <f>'Tray Configuration'!G18</f>
        <v>PRM01 20211215</v>
      </c>
      <c r="C78" s="109">
        <f t="shared" si="6"/>
        <v>44659.159479166738</v>
      </c>
      <c r="D78" s="110">
        <v>6</v>
      </c>
    </row>
    <row r="79" spans="1:4" x14ac:dyDescent="0.2">
      <c r="A79" s="112">
        <v>77</v>
      </c>
      <c r="B79" s="108" t="str">
        <f>'Tray Configuration'!H18</f>
        <v>Ouachita</v>
      </c>
      <c r="C79" s="109">
        <f>C78+"0:08:57"*D78</f>
        <v>44659.196770833405</v>
      </c>
      <c r="D79" s="110">
        <v>6</v>
      </c>
    </row>
    <row r="80" spans="1:4" x14ac:dyDescent="0.2">
      <c r="A80" s="112">
        <v>78</v>
      </c>
      <c r="B80" s="108" t="str">
        <f>'Tray Configuration'!B17</f>
        <v>PRM01 20220112</v>
      </c>
      <c r="C80" s="109">
        <f t="shared" ref="C80:C85" si="7">C79+"0:08:57"*D79</f>
        <v>44659.234062500072</v>
      </c>
      <c r="D80" s="110">
        <v>6</v>
      </c>
    </row>
    <row r="81" spans="1:4" x14ac:dyDescent="0.2">
      <c r="A81" s="112">
        <v>79</v>
      </c>
      <c r="B81" s="108" t="str">
        <f>'Tray Configuration'!C17</f>
        <v>PRM01 20220314</v>
      </c>
      <c r="C81" s="109">
        <f t="shared" si="7"/>
        <v>44659.27135416674</v>
      </c>
      <c r="D81" s="110">
        <v>6</v>
      </c>
    </row>
    <row r="82" spans="1:4" x14ac:dyDescent="0.2">
      <c r="A82" s="112">
        <v>80</v>
      </c>
      <c r="B82" s="108" t="str">
        <f>'Tray Configuration'!D17</f>
        <v>PRM06 20220314</v>
      </c>
      <c r="C82" s="109">
        <f t="shared" si="7"/>
        <v>44659.308645833407</v>
      </c>
      <c r="D82" s="110">
        <v>6</v>
      </c>
    </row>
    <row r="83" spans="1:4" x14ac:dyDescent="0.2">
      <c r="A83" s="112">
        <v>81</v>
      </c>
      <c r="B83" s="108" t="str">
        <f>'Tray Configuration'!E17</f>
        <v>PRB01 20220314</v>
      </c>
      <c r="C83" s="109">
        <f t="shared" si="7"/>
        <v>44659.345937500075</v>
      </c>
      <c r="D83" s="110">
        <v>6</v>
      </c>
    </row>
    <row r="84" spans="1:4" x14ac:dyDescent="0.2">
      <c r="A84" s="112">
        <v>82</v>
      </c>
      <c r="B84" s="108" t="str">
        <f>'Tray Configuration'!F17</f>
        <v>PRM11 20220314</v>
      </c>
      <c r="C84" s="109">
        <f t="shared" si="7"/>
        <v>44659.383229166742</v>
      </c>
      <c r="D84" s="110">
        <v>6</v>
      </c>
    </row>
    <row r="85" spans="1:4" x14ac:dyDescent="0.2">
      <c r="A85" s="112">
        <v>83</v>
      </c>
      <c r="B85" s="108" t="str">
        <f>'Tray Configuration'!G17</f>
        <v>PRM15 20220314</v>
      </c>
      <c r="C85" s="109">
        <f t="shared" si="7"/>
        <v>44659.42052083341</v>
      </c>
      <c r="D85" s="110">
        <v>6</v>
      </c>
    </row>
    <row r="86" spans="1:4" x14ac:dyDescent="0.2">
      <c r="A86" s="112">
        <v>84</v>
      </c>
      <c r="B86" s="108" t="str">
        <f>'Tray Configuration'!H17</f>
        <v>Ouachita</v>
      </c>
      <c r="C86" s="109">
        <f>C85+"0:08:57"*D85</f>
        <v>44659.457812500077</v>
      </c>
      <c r="D86" s="110">
        <v>6</v>
      </c>
    </row>
    <row r="87" spans="1:4" x14ac:dyDescent="0.2">
      <c r="A87" s="112">
        <v>85</v>
      </c>
      <c r="B87" s="108" t="str">
        <f>'Tray Configuration'!B16</f>
        <v>PRA01 20220314</v>
      </c>
      <c r="C87" s="109">
        <f t="shared" ref="C87:C92" si="8">C86+"0:08:57"*D86</f>
        <v>44659.495104166745</v>
      </c>
      <c r="D87" s="110">
        <v>6</v>
      </c>
    </row>
    <row r="88" spans="1:4" x14ac:dyDescent="0.2">
      <c r="A88" s="112">
        <v>86</v>
      </c>
      <c r="B88" s="108" t="str">
        <f>'Tray Configuration'!C16</f>
        <v>PRM19 20220314</v>
      </c>
      <c r="C88" s="109">
        <f t="shared" si="8"/>
        <v>44659.532395833412</v>
      </c>
      <c r="D88" s="110">
        <v>6</v>
      </c>
    </row>
    <row r="89" spans="1:4" x14ac:dyDescent="0.2">
      <c r="A89" s="112">
        <v>87</v>
      </c>
      <c r="B89" s="108" t="str">
        <f>'Tray Configuration'!D16</f>
        <v>WAIS_02M09_1_RAW_NODATE</v>
      </c>
      <c r="C89" s="109">
        <f t="shared" si="8"/>
        <v>44659.569687500079</v>
      </c>
      <c r="D89" s="110">
        <v>6</v>
      </c>
    </row>
    <row r="90" spans="1:4" x14ac:dyDescent="0.2">
      <c r="A90" s="112">
        <v>88</v>
      </c>
      <c r="B90" s="108">
        <f>'Tray Configuration'!E16</f>
        <v>0</v>
      </c>
      <c r="C90" s="109">
        <f t="shared" si="8"/>
        <v>44659.606979166747</v>
      </c>
      <c r="D90" s="110">
        <v>0</v>
      </c>
    </row>
    <row r="91" spans="1:4" x14ac:dyDescent="0.2">
      <c r="A91" s="112">
        <v>89</v>
      </c>
      <c r="B91" s="108">
        <f>'Tray Configuration'!F16</f>
        <v>0</v>
      </c>
      <c r="C91" s="109">
        <f t="shared" si="8"/>
        <v>44659.606979166747</v>
      </c>
      <c r="D91" s="110">
        <v>0</v>
      </c>
    </row>
    <row r="92" spans="1:4" x14ac:dyDescent="0.2">
      <c r="A92" s="112">
        <v>90</v>
      </c>
      <c r="B92" s="108">
        <f>'Tray Configuration'!G16</f>
        <v>0</v>
      </c>
      <c r="C92" s="109">
        <f t="shared" si="8"/>
        <v>44659.606979166747</v>
      </c>
      <c r="D92" s="110">
        <v>0</v>
      </c>
    </row>
    <row r="93" spans="1:4" x14ac:dyDescent="0.2">
      <c r="A93" s="112">
        <v>91</v>
      </c>
      <c r="B93" s="108">
        <f>'Tray Configuration'!H16</f>
        <v>0</v>
      </c>
      <c r="C93" s="109">
        <f>C92+"0:08:57"*D92</f>
        <v>44659.606979166747</v>
      </c>
      <c r="D93" s="110">
        <v>0</v>
      </c>
    </row>
    <row r="94" spans="1:4" x14ac:dyDescent="0.2">
      <c r="A94" s="112">
        <v>92</v>
      </c>
      <c r="B94" s="108">
        <f>'Tray Configuration'!B15</f>
        <v>0</v>
      </c>
      <c r="C94" s="109">
        <f t="shared" ref="C94:C99" si="9">C93+"0:08:57"*D93</f>
        <v>44659.606979166747</v>
      </c>
      <c r="D94" s="110">
        <v>0</v>
      </c>
    </row>
    <row r="95" spans="1:4" x14ac:dyDescent="0.2">
      <c r="A95" s="112">
        <v>93</v>
      </c>
      <c r="B95" s="108">
        <f>'Tray Configuration'!C15</f>
        <v>0</v>
      </c>
      <c r="C95" s="109">
        <f t="shared" si="9"/>
        <v>44659.606979166747</v>
      </c>
      <c r="D95" s="110">
        <v>0</v>
      </c>
    </row>
    <row r="96" spans="1:4" x14ac:dyDescent="0.2">
      <c r="A96" s="112">
        <v>94</v>
      </c>
      <c r="B96" s="108">
        <f>'Tray Configuration'!D15</f>
        <v>0</v>
      </c>
      <c r="C96" s="109">
        <f t="shared" si="9"/>
        <v>44659.606979166747</v>
      </c>
      <c r="D96" s="110">
        <v>0</v>
      </c>
    </row>
    <row r="97" spans="1:4" x14ac:dyDescent="0.2">
      <c r="A97" s="112">
        <v>95</v>
      </c>
      <c r="B97" s="108">
        <f>'Tray Configuration'!E15</f>
        <v>0</v>
      </c>
      <c r="C97" s="109">
        <f t="shared" si="9"/>
        <v>44659.606979166747</v>
      </c>
      <c r="D97" s="110">
        <v>0</v>
      </c>
    </row>
    <row r="98" spans="1:4" x14ac:dyDescent="0.2">
      <c r="A98" s="112">
        <v>96</v>
      </c>
      <c r="B98" s="108">
        <f>'Tray Configuration'!F15</f>
        <v>0</v>
      </c>
      <c r="C98" s="109">
        <f t="shared" si="9"/>
        <v>44659.606979166747</v>
      </c>
      <c r="D98" s="110">
        <v>0</v>
      </c>
    </row>
    <row r="99" spans="1:4" x14ac:dyDescent="0.2">
      <c r="A99" s="112">
        <v>97</v>
      </c>
      <c r="B99" s="108">
        <f>'Tray Configuration'!G15</f>
        <v>0</v>
      </c>
      <c r="C99" s="109">
        <f t="shared" si="9"/>
        <v>44659.606979166747</v>
      </c>
      <c r="D99" s="110">
        <v>0</v>
      </c>
    </row>
    <row r="100" spans="1:4" x14ac:dyDescent="0.2">
      <c r="A100" s="112">
        <v>98</v>
      </c>
      <c r="B100" s="108">
        <f>'Tray Configuration'!H15</f>
        <v>0</v>
      </c>
      <c r="C100" s="109">
        <f>C99+"0:08:57"*D99</f>
        <v>44659.606979166747</v>
      </c>
      <c r="D100" s="110">
        <v>0</v>
      </c>
    </row>
    <row r="101" spans="1:4" x14ac:dyDescent="0.2">
      <c r="A101" s="112">
        <v>99</v>
      </c>
      <c r="B101" s="108">
        <f>'Tray Configuration'!B14</f>
        <v>0</v>
      </c>
      <c r="C101" s="109">
        <f t="shared" ref="C101:C105" si="10">C100+"0:08:57"*D100</f>
        <v>44659.606979166747</v>
      </c>
      <c r="D101" s="110">
        <v>0</v>
      </c>
    </row>
    <row r="102" spans="1:4" x14ac:dyDescent="0.2">
      <c r="A102" s="112">
        <v>100</v>
      </c>
      <c r="B102" s="108">
        <f>'Tray Configuration'!C14</f>
        <v>0</v>
      </c>
      <c r="C102" s="109">
        <f t="shared" si="10"/>
        <v>44659.606979166747</v>
      </c>
      <c r="D102" s="110">
        <v>0</v>
      </c>
    </row>
    <row r="103" spans="1:4" x14ac:dyDescent="0.2">
      <c r="A103" s="112">
        <v>101</v>
      </c>
      <c r="B103" s="108">
        <f>'Tray Configuration'!D14</f>
        <v>0</v>
      </c>
      <c r="C103" s="109">
        <f t="shared" si="10"/>
        <v>44659.606979166747</v>
      </c>
      <c r="D103" s="110">
        <v>0</v>
      </c>
    </row>
    <row r="104" spans="1:4" x14ac:dyDescent="0.2">
      <c r="A104" s="112">
        <v>102</v>
      </c>
      <c r="B104" s="108">
        <f>'Tray Configuration'!E14</f>
        <v>0</v>
      </c>
      <c r="C104" s="109">
        <f t="shared" si="10"/>
        <v>44659.606979166747</v>
      </c>
      <c r="D104" s="110">
        <v>0</v>
      </c>
    </row>
    <row r="105" spans="1:4" x14ac:dyDescent="0.2">
      <c r="A105" s="112">
        <v>103</v>
      </c>
      <c r="B105" s="108">
        <f>'Tray Configuration'!F14</f>
        <v>0</v>
      </c>
      <c r="C105" s="109">
        <f t="shared" si="10"/>
        <v>44659.606979166747</v>
      </c>
      <c r="D105" s="110">
        <v>0</v>
      </c>
    </row>
    <row r="106" spans="1:4" x14ac:dyDescent="0.2">
      <c r="A106" s="112">
        <v>104</v>
      </c>
      <c r="B106" s="108">
        <f>'Tray Configuration'!G14</f>
        <v>0</v>
      </c>
      <c r="C106" s="109">
        <f>C105+"0:08:57"*D105</f>
        <v>44659.606979166747</v>
      </c>
      <c r="D106" s="110">
        <v>0</v>
      </c>
    </row>
    <row r="107" spans="1:4" ht="16" thickBot="1" x14ac:dyDescent="0.25">
      <c r="A107" s="112">
        <v>105</v>
      </c>
      <c r="B107" s="115">
        <f>'Tray Configuration'!H14</f>
        <v>0</v>
      </c>
      <c r="C107" s="116">
        <f>C106+"0:08:57"*D106</f>
        <v>44659.606979166747</v>
      </c>
      <c r="D107" s="110">
        <v>0</v>
      </c>
    </row>
    <row r="108" spans="1:4" ht="16" thickBot="1" x14ac:dyDescent="0.25">
      <c r="A108" s="120"/>
      <c r="B108" s="123" t="s">
        <v>31</v>
      </c>
      <c r="C108" s="121">
        <f>C107+"0:08:57"*D107</f>
        <v>44659.606979166747</v>
      </c>
      <c r="D108" s="120"/>
    </row>
  </sheetData>
  <mergeCells count="1">
    <mergeCell ref="A1:B1"/>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640"/>
  <sheetViews>
    <sheetView workbookViewId="0">
      <selection activeCell="D2" sqref="D2"/>
    </sheetView>
  </sheetViews>
  <sheetFormatPr baseColWidth="10" defaultRowHeight="15" x14ac:dyDescent="0.2"/>
  <cols>
    <col min="3" max="3" width="20.33203125" customWidth="1"/>
  </cols>
  <sheetData>
    <row r="1" spans="1:35" x14ac:dyDescent="0.2">
      <c r="A1" t="s">
        <v>32</v>
      </c>
      <c r="B1" t="s">
        <v>33</v>
      </c>
      <c r="C1" t="s">
        <v>34</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c r="AB1" t="s">
        <v>59</v>
      </c>
      <c r="AC1" t="s">
        <v>60</v>
      </c>
      <c r="AD1" t="s">
        <v>61</v>
      </c>
      <c r="AE1" t="s">
        <v>62</v>
      </c>
      <c r="AF1" t="s">
        <v>63</v>
      </c>
      <c r="AG1" t="s">
        <v>64</v>
      </c>
      <c r="AH1" t="s">
        <v>65</v>
      </c>
      <c r="AI1" t="s">
        <v>66</v>
      </c>
    </row>
    <row r="2" spans="1:35" x14ac:dyDescent="0.2">
      <c r="A2">
        <v>1</v>
      </c>
      <c r="B2" t="s">
        <v>452</v>
      </c>
      <c r="C2" t="s">
        <v>453</v>
      </c>
      <c r="D2" t="s">
        <v>358</v>
      </c>
      <c r="E2">
        <v>1</v>
      </c>
      <c r="F2">
        <v>-6.0090000000000003</v>
      </c>
      <c r="G2">
        <v>-36.838000000000001</v>
      </c>
      <c r="H2">
        <v>16744</v>
      </c>
      <c r="I2">
        <v>-1</v>
      </c>
      <c r="J2">
        <v>1</v>
      </c>
      <c r="K2" t="s">
        <v>359</v>
      </c>
      <c r="L2" t="s">
        <v>359</v>
      </c>
      <c r="M2" t="s">
        <v>360</v>
      </c>
      <c r="N2">
        <v>1649104225.7</v>
      </c>
      <c r="O2">
        <v>0.20100000000000001</v>
      </c>
      <c r="P2">
        <v>0.41899999999999998</v>
      </c>
      <c r="Q2">
        <v>60.643000000000001</v>
      </c>
      <c r="R2">
        <v>0</v>
      </c>
      <c r="S2">
        <v>-5.0000000000000001E-3</v>
      </c>
      <c r="T2">
        <v>1.4590000000000001</v>
      </c>
      <c r="U2">
        <v>98.876000000000005</v>
      </c>
      <c r="V2">
        <v>21.047000000000001</v>
      </c>
      <c r="W2">
        <v>2.4239999999999999</v>
      </c>
      <c r="X2">
        <v>92.625</v>
      </c>
      <c r="Y2">
        <v>1.038</v>
      </c>
      <c r="Z2">
        <v>0.43099999999999999</v>
      </c>
      <c r="AA2">
        <v>0</v>
      </c>
      <c r="AB2">
        <v>0</v>
      </c>
      <c r="AC2">
        <v>1</v>
      </c>
      <c r="AD2">
        <v>39.938000000000002</v>
      </c>
      <c r="AE2">
        <v>1</v>
      </c>
      <c r="AF2">
        <v>1</v>
      </c>
      <c r="AG2">
        <v>1</v>
      </c>
      <c r="AH2" t="s">
        <v>361</v>
      </c>
      <c r="AI2">
        <v>0</v>
      </c>
    </row>
    <row r="3" spans="1:35" x14ac:dyDescent="0.2">
      <c r="A3">
        <v>2</v>
      </c>
      <c r="B3" t="s">
        <v>452</v>
      </c>
      <c r="C3" t="s">
        <v>454</v>
      </c>
      <c r="D3" t="s">
        <v>358</v>
      </c>
      <c r="E3">
        <v>2</v>
      </c>
      <c r="F3">
        <v>-5.6740000000000004</v>
      </c>
      <c r="G3">
        <v>-32.225000000000001</v>
      </c>
      <c r="H3">
        <v>16948</v>
      </c>
      <c r="I3">
        <v>-1</v>
      </c>
      <c r="J3">
        <v>1</v>
      </c>
      <c r="K3" t="s">
        <v>359</v>
      </c>
      <c r="L3" t="s">
        <v>359</v>
      </c>
      <c r="M3" t="s">
        <v>360</v>
      </c>
      <c r="N3">
        <v>1649104763.9200001</v>
      </c>
      <c r="O3">
        <v>0.19700000000000001</v>
      </c>
      <c r="P3">
        <v>0.45900000000000002</v>
      </c>
      <c r="Q3">
        <v>58.253999999999998</v>
      </c>
      <c r="R3">
        <v>0</v>
      </c>
      <c r="S3">
        <v>-5.0000000000000001E-3</v>
      </c>
      <c r="T3">
        <v>1.39</v>
      </c>
      <c r="U3">
        <v>100.18600000000001</v>
      </c>
      <c r="V3">
        <v>20.969000000000001</v>
      </c>
      <c r="W3">
        <v>2.3860000000000001</v>
      </c>
      <c r="X3">
        <v>93.209000000000003</v>
      </c>
      <c r="Y3">
        <v>1.048</v>
      </c>
      <c r="Z3">
        <v>0.23300000000000001</v>
      </c>
      <c r="AA3">
        <v>0</v>
      </c>
      <c r="AB3">
        <v>0</v>
      </c>
      <c r="AC3">
        <v>1</v>
      </c>
      <c r="AD3">
        <v>39.938000000000002</v>
      </c>
      <c r="AE3">
        <v>1</v>
      </c>
      <c r="AF3">
        <v>1</v>
      </c>
      <c r="AG3">
        <v>1</v>
      </c>
      <c r="AH3" t="s">
        <v>361</v>
      </c>
      <c r="AI3">
        <v>0</v>
      </c>
    </row>
    <row r="4" spans="1:35" x14ac:dyDescent="0.2">
      <c r="A4">
        <v>3</v>
      </c>
      <c r="B4" t="s">
        <v>452</v>
      </c>
      <c r="C4" t="s">
        <v>455</v>
      </c>
      <c r="D4" t="s">
        <v>358</v>
      </c>
      <c r="E4">
        <v>3</v>
      </c>
      <c r="F4">
        <v>-5.6150000000000002</v>
      </c>
      <c r="G4">
        <v>-31.273</v>
      </c>
      <c r="H4">
        <v>17158</v>
      </c>
      <c r="I4">
        <v>-1</v>
      </c>
      <c r="J4">
        <v>1</v>
      </c>
      <c r="K4" t="s">
        <v>359</v>
      </c>
      <c r="L4" t="s">
        <v>359</v>
      </c>
      <c r="M4" t="s">
        <v>360</v>
      </c>
      <c r="N4">
        <v>1649105299.53</v>
      </c>
      <c r="O4">
        <v>0.20200000000000001</v>
      </c>
      <c r="P4">
        <v>0.41599999999999998</v>
      </c>
      <c r="Q4">
        <v>57.277000000000001</v>
      </c>
      <c r="R4">
        <v>0</v>
      </c>
      <c r="S4">
        <v>-4.0000000000000001E-3</v>
      </c>
      <c r="T4">
        <v>1.3660000000000001</v>
      </c>
      <c r="U4">
        <v>101.806</v>
      </c>
      <c r="V4">
        <v>20.614999999999998</v>
      </c>
      <c r="W4">
        <v>2.4049999999999998</v>
      </c>
      <c r="X4">
        <v>94.274000000000001</v>
      </c>
      <c r="Y4">
        <v>1.042</v>
      </c>
      <c r="Z4">
        <v>0.14799999999999999</v>
      </c>
      <c r="AA4">
        <v>0</v>
      </c>
      <c r="AB4">
        <v>0</v>
      </c>
      <c r="AC4">
        <v>1</v>
      </c>
      <c r="AD4">
        <v>39.938000000000002</v>
      </c>
      <c r="AE4">
        <v>1</v>
      </c>
      <c r="AF4">
        <v>1</v>
      </c>
      <c r="AG4">
        <v>1</v>
      </c>
      <c r="AH4" t="s">
        <v>361</v>
      </c>
      <c r="AI4">
        <v>0</v>
      </c>
    </row>
    <row r="5" spans="1:35" x14ac:dyDescent="0.2">
      <c r="A5">
        <v>4</v>
      </c>
      <c r="B5" t="s">
        <v>452</v>
      </c>
      <c r="C5" t="s">
        <v>456</v>
      </c>
      <c r="D5" t="s">
        <v>358</v>
      </c>
      <c r="E5">
        <v>4</v>
      </c>
      <c r="F5">
        <v>-5.64</v>
      </c>
      <c r="G5">
        <v>-30.835999999999999</v>
      </c>
      <c r="H5">
        <v>17118</v>
      </c>
      <c r="I5">
        <v>0</v>
      </c>
      <c r="J5">
        <v>1</v>
      </c>
      <c r="K5" t="s">
        <v>359</v>
      </c>
      <c r="L5" t="s">
        <v>359</v>
      </c>
      <c r="M5" t="s">
        <v>360</v>
      </c>
      <c r="N5">
        <v>1649105838.0599999</v>
      </c>
      <c r="O5">
        <v>0.186</v>
      </c>
      <c r="P5">
        <v>0.40100000000000002</v>
      </c>
      <c r="Q5">
        <v>57.819000000000003</v>
      </c>
      <c r="R5">
        <v>1E-3</v>
      </c>
      <c r="S5">
        <v>-3.0000000000000001E-3</v>
      </c>
      <c r="T5">
        <v>1.391</v>
      </c>
      <c r="U5">
        <v>101.48399999999999</v>
      </c>
      <c r="V5">
        <v>20.791</v>
      </c>
      <c r="W5">
        <v>2.3650000000000002</v>
      </c>
      <c r="X5">
        <v>93.397000000000006</v>
      </c>
      <c r="Y5">
        <v>1.02</v>
      </c>
      <c r="Z5">
        <v>0.17699999999999999</v>
      </c>
      <c r="AA5">
        <v>0</v>
      </c>
      <c r="AB5">
        <v>0</v>
      </c>
      <c r="AC5">
        <v>1</v>
      </c>
      <c r="AD5">
        <v>39.938000000000002</v>
      </c>
      <c r="AE5">
        <v>1</v>
      </c>
      <c r="AF5">
        <v>1</v>
      </c>
      <c r="AG5">
        <v>1</v>
      </c>
      <c r="AH5" t="s">
        <v>361</v>
      </c>
      <c r="AI5">
        <v>0</v>
      </c>
    </row>
    <row r="6" spans="1:35" x14ac:dyDescent="0.2">
      <c r="A6">
        <v>5</v>
      </c>
      <c r="B6" t="s">
        <v>452</v>
      </c>
      <c r="C6" t="s">
        <v>457</v>
      </c>
      <c r="D6" t="s">
        <v>358</v>
      </c>
      <c r="E6">
        <v>5</v>
      </c>
      <c r="F6">
        <v>-5.6360000000000001</v>
      </c>
      <c r="G6">
        <v>-30.678000000000001</v>
      </c>
      <c r="H6">
        <v>17115</v>
      </c>
      <c r="I6">
        <v>0</v>
      </c>
      <c r="J6">
        <v>1</v>
      </c>
      <c r="K6" t="s">
        <v>359</v>
      </c>
      <c r="L6" t="s">
        <v>359</v>
      </c>
      <c r="M6" t="s">
        <v>360</v>
      </c>
      <c r="N6">
        <v>1649106376.3900001</v>
      </c>
      <c r="O6">
        <v>0.20300000000000001</v>
      </c>
      <c r="P6">
        <v>0.35199999999999998</v>
      </c>
      <c r="Q6">
        <v>60.052</v>
      </c>
      <c r="R6">
        <v>0</v>
      </c>
      <c r="S6">
        <v>-3.0000000000000001E-3</v>
      </c>
      <c r="T6">
        <v>1.42</v>
      </c>
      <c r="U6">
        <v>101.16800000000001</v>
      </c>
      <c r="V6">
        <v>20.759</v>
      </c>
      <c r="W6">
        <v>2.4489999999999998</v>
      </c>
      <c r="X6">
        <v>95.07</v>
      </c>
      <c r="Y6">
        <v>1.06</v>
      </c>
      <c r="Z6">
        <v>0.42199999999999999</v>
      </c>
      <c r="AA6">
        <v>0</v>
      </c>
      <c r="AB6">
        <v>0</v>
      </c>
      <c r="AC6">
        <v>1</v>
      </c>
      <c r="AD6">
        <v>39.938000000000002</v>
      </c>
      <c r="AE6">
        <v>1</v>
      </c>
      <c r="AF6">
        <v>1</v>
      </c>
      <c r="AG6">
        <v>1</v>
      </c>
      <c r="AH6" t="s">
        <v>361</v>
      </c>
      <c r="AI6">
        <v>0</v>
      </c>
    </row>
    <row r="7" spans="1:35" x14ac:dyDescent="0.2">
      <c r="A7">
        <v>6</v>
      </c>
      <c r="B7" t="s">
        <v>452</v>
      </c>
      <c r="C7" t="s">
        <v>458</v>
      </c>
      <c r="D7" t="s">
        <v>358</v>
      </c>
      <c r="E7">
        <v>6</v>
      </c>
      <c r="F7">
        <v>-5.5549999999999997</v>
      </c>
      <c r="G7">
        <v>-30.37</v>
      </c>
      <c r="H7">
        <v>17092</v>
      </c>
      <c r="I7">
        <v>0</v>
      </c>
      <c r="J7">
        <v>1</v>
      </c>
      <c r="K7" t="s">
        <v>359</v>
      </c>
      <c r="L7" t="s">
        <v>359</v>
      </c>
      <c r="M7" t="s">
        <v>360</v>
      </c>
      <c r="N7">
        <v>1649106912.79</v>
      </c>
      <c r="O7">
        <v>0.189</v>
      </c>
      <c r="P7">
        <v>0.37</v>
      </c>
      <c r="Q7">
        <v>57.527000000000001</v>
      </c>
      <c r="R7">
        <v>1E-3</v>
      </c>
      <c r="S7">
        <v>-3.0000000000000001E-3</v>
      </c>
      <c r="T7">
        <v>1.385</v>
      </c>
      <c r="U7">
        <v>101.286</v>
      </c>
      <c r="V7">
        <v>20.881</v>
      </c>
      <c r="W7">
        <v>2.3420000000000001</v>
      </c>
      <c r="X7">
        <v>93.168999999999997</v>
      </c>
      <c r="Y7">
        <v>1.032</v>
      </c>
      <c r="Z7">
        <v>8.6999999999999994E-2</v>
      </c>
      <c r="AA7">
        <v>0</v>
      </c>
      <c r="AB7">
        <v>0</v>
      </c>
      <c r="AC7">
        <v>1</v>
      </c>
      <c r="AD7">
        <v>40</v>
      </c>
      <c r="AE7">
        <v>1</v>
      </c>
      <c r="AF7">
        <v>1</v>
      </c>
      <c r="AG7">
        <v>1</v>
      </c>
      <c r="AH7" t="s">
        <v>361</v>
      </c>
      <c r="AI7">
        <v>0</v>
      </c>
    </row>
    <row r="8" spans="1:35" x14ac:dyDescent="0.2">
      <c r="A8">
        <v>7</v>
      </c>
      <c r="B8" t="s">
        <v>452</v>
      </c>
      <c r="C8" t="s">
        <v>459</v>
      </c>
      <c r="D8" t="s">
        <v>358</v>
      </c>
      <c r="E8">
        <v>7</v>
      </c>
      <c r="F8">
        <v>-5.5629999999999997</v>
      </c>
      <c r="G8">
        <v>-30.376000000000001</v>
      </c>
      <c r="H8">
        <v>17065</v>
      </c>
      <c r="I8">
        <v>0</v>
      </c>
      <c r="J8">
        <v>1</v>
      </c>
      <c r="K8" t="s">
        <v>359</v>
      </c>
      <c r="L8" t="s">
        <v>359</v>
      </c>
      <c r="M8" t="s">
        <v>360</v>
      </c>
      <c r="N8">
        <v>1649107451.99</v>
      </c>
      <c r="O8">
        <v>0.214</v>
      </c>
      <c r="P8">
        <v>0.39500000000000002</v>
      </c>
      <c r="Q8">
        <v>59.29</v>
      </c>
      <c r="R8">
        <v>0</v>
      </c>
      <c r="S8">
        <v>-3.0000000000000001E-3</v>
      </c>
      <c r="T8">
        <v>1.421</v>
      </c>
      <c r="U8">
        <v>100.854</v>
      </c>
      <c r="V8">
        <v>20.992000000000001</v>
      </c>
      <c r="W8">
        <v>2.371</v>
      </c>
      <c r="X8">
        <v>93.759</v>
      </c>
      <c r="Y8">
        <v>1.0329999999999999</v>
      </c>
      <c r="Z8">
        <v>0.28999999999999998</v>
      </c>
      <c r="AA8">
        <v>0</v>
      </c>
      <c r="AB8">
        <v>0</v>
      </c>
      <c r="AC8">
        <v>1</v>
      </c>
      <c r="AD8">
        <v>40</v>
      </c>
      <c r="AE8">
        <v>1</v>
      </c>
      <c r="AF8">
        <v>1</v>
      </c>
      <c r="AG8">
        <v>1</v>
      </c>
      <c r="AH8" t="s">
        <v>361</v>
      </c>
      <c r="AI8">
        <v>0</v>
      </c>
    </row>
    <row r="9" spans="1:35" x14ac:dyDescent="0.2">
      <c r="A9">
        <v>8</v>
      </c>
      <c r="B9" t="s">
        <v>452</v>
      </c>
      <c r="C9" t="s">
        <v>460</v>
      </c>
      <c r="D9" t="s">
        <v>358</v>
      </c>
      <c r="E9">
        <v>8</v>
      </c>
      <c r="F9">
        <v>-5.52</v>
      </c>
      <c r="G9">
        <v>-30.178999999999998</v>
      </c>
      <c r="H9">
        <v>17125</v>
      </c>
      <c r="I9">
        <v>0</v>
      </c>
      <c r="J9">
        <v>1</v>
      </c>
      <c r="K9" t="s">
        <v>359</v>
      </c>
      <c r="L9" t="s">
        <v>359</v>
      </c>
      <c r="M9" t="s">
        <v>360</v>
      </c>
      <c r="N9">
        <v>1649107990.28</v>
      </c>
      <c r="O9">
        <v>0.20399999999999999</v>
      </c>
      <c r="P9">
        <v>0.44900000000000001</v>
      </c>
      <c r="Q9">
        <v>59.444000000000003</v>
      </c>
      <c r="R9">
        <v>1E-3</v>
      </c>
      <c r="S9">
        <v>-1E-3</v>
      </c>
      <c r="T9">
        <v>1.4330000000000001</v>
      </c>
      <c r="U9">
        <v>101.694</v>
      </c>
      <c r="V9">
        <v>20.029</v>
      </c>
      <c r="W9">
        <v>2.4060000000000001</v>
      </c>
      <c r="X9">
        <v>94.683999999999997</v>
      </c>
      <c r="Y9">
        <v>0.98899999999999999</v>
      </c>
      <c r="Z9">
        <v>0.224</v>
      </c>
      <c r="AA9">
        <v>0</v>
      </c>
      <c r="AB9">
        <v>0</v>
      </c>
      <c r="AC9">
        <v>1</v>
      </c>
      <c r="AD9">
        <v>40.061999999999998</v>
      </c>
      <c r="AE9">
        <v>1</v>
      </c>
      <c r="AF9">
        <v>1</v>
      </c>
      <c r="AG9">
        <v>1</v>
      </c>
      <c r="AH9" t="s">
        <v>361</v>
      </c>
      <c r="AI9">
        <v>0</v>
      </c>
    </row>
    <row r="10" spans="1:35" x14ac:dyDescent="0.2">
      <c r="A10">
        <v>9</v>
      </c>
      <c r="B10" t="s">
        <v>452</v>
      </c>
      <c r="C10" t="s">
        <v>461</v>
      </c>
      <c r="D10" t="s">
        <v>358</v>
      </c>
      <c r="E10">
        <v>9</v>
      </c>
      <c r="F10">
        <v>-5.5709999999999997</v>
      </c>
      <c r="G10">
        <v>-30.05</v>
      </c>
      <c r="H10">
        <v>17152</v>
      </c>
      <c r="I10">
        <v>0</v>
      </c>
      <c r="J10">
        <v>1</v>
      </c>
      <c r="K10" t="s">
        <v>359</v>
      </c>
      <c r="L10" t="s">
        <v>359</v>
      </c>
      <c r="M10" t="s">
        <v>360</v>
      </c>
      <c r="N10">
        <v>1649108526.03</v>
      </c>
      <c r="O10">
        <v>0.19400000000000001</v>
      </c>
      <c r="P10">
        <v>0.39600000000000002</v>
      </c>
      <c r="Q10">
        <v>59.048999999999999</v>
      </c>
      <c r="R10">
        <v>1E-3</v>
      </c>
      <c r="S10">
        <v>-1E-3</v>
      </c>
      <c r="T10">
        <v>1.4119999999999999</v>
      </c>
      <c r="U10">
        <v>101.497</v>
      </c>
      <c r="V10">
        <v>20.861000000000001</v>
      </c>
      <c r="W10">
        <v>2.4220000000000002</v>
      </c>
      <c r="X10">
        <v>94.221000000000004</v>
      </c>
      <c r="Y10">
        <v>0.98799999999999999</v>
      </c>
      <c r="Z10">
        <v>0.24199999999999999</v>
      </c>
      <c r="AA10">
        <v>0</v>
      </c>
      <c r="AB10">
        <v>0</v>
      </c>
      <c r="AC10">
        <v>1</v>
      </c>
      <c r="AD10">
        <v>40.125</v>
      </c>
      <c r="AE10">
        <v>1</v>
      </c>
      <c r="AF10">
        <v>1</v>
      </c>
      <c r="AG10">
        <v>1</v>
      </c>
      <c r="AH10" t="s">
        <v>361</v>
      </c>
      <c r="AI10">
        <v>0</v>
      </c>
    </row>
    <row r="11" spans="1:35" x14ac:dyDescent="0.2">
      <c r="A11">
        <v>10</v>
      </c>
      <c r="B11" t="s">
        <v>452</v>
      </c>
      <c r="C11" t="s">
        <v>462</v>
      </c>
      <c r="D11" t="s">
        <v>358</v>
      </c>
      <c r="E11">
        <v>10</v>
      </c>
      <c r="F11">
        <v>-5.5209999999999999</v>
      </c>
      <c r="G11">
        <v>-30.094000000000001</v>
      </c>
      <c r="H11">
        <v>17072</v>
      </c>
      <c r="I11">
        <v>0</v>
      </c>
      <c r="J11">
        <v>1</v>
      </c>
      <c r="K11" t="s">
        <v>359</v>
      </c>
      <c r="L11" t="s">
        <v>359</v>
      </c>
      <c r="M11" t="s">
        <v>360</v>
      </c>
      <c r="N11">
        <v>1649109063.9400001</v>
      </c>
      <c r="O11">
        <v>0.19800000000000001</v>
      </c>
      <c r="P11">
        <v>0.36299999999999999</v>
      </c>
      <c r="Q11">
        <v>58.226999999999997</v>
      </c>
      <c r="R11">
        <v>0</v>
      </c>
      <c r="S11">
        <v>-1E-3</v>
      </c>
      <c r="T11">
        <v>1.4019999999999999</v>
      </c>
      <c r="U11">
        <v>101.232</v>
      </c>
      <c r="V11">
        <v>20.638000000000002</v>
      </c>
      <c r="W11">
        <v>2.3650000000000002</v>
      </c>
      <c r="X11">
        <v>93.097999999999999</v>
      </c>
      <c r="Y11">
        <v>0.98399999999999999</v>
      </c>
      <c r="Z11">
        <v>3.3000000000000002E-2</v>
      </c>
      <c r="AA11">
        <v>0</v>
      </c>
      <c r="AB11">
        <v>0</v>
      </c>
      <c r="AC11">
        <v>1</v>
      </c>
      <c r="AD11">
        <v>40.125</v>
      </c>
      <c r="AE11">
        <v>1</v>
      </c>
      <c r="AF11">
        <v>1</v>
      </c>
      <c r="AG11">
        <v>1</v>
      </c>
      <c r="AH11" t="s">
        <v>361</v>
      </c>
      <c r="AI11">
        <v>0</v>
      </c>
    </row>
    <row r="12" spans="1:35" x14ac:dyDescent="0.2">
      <c r="A12">
        <v>11</v>
      </c>
      <c r="B12" t="s">
        <v>452</v>
      </c>
      <c r="C12" t="s">
        <v>463</v>
      </c>
      <c r="D12" t="s">
        <v>358</v>
      </c>
      <c r="E12">
        <v>11</v>
      </c>
      <c r="F12">
        <v>-5.524</v>
      </c>
      <c r="G12">
        <v>-29.97</v>
      </c>
      <c r="H12">
        <v>17084</v>
      </c>
      <c r="I12">
        <v>0</v>
      </c>
      <c r="J12">
        <v>1</v>
      </c>
      <c r="K12" t="s">
        <v>359</v>
      </c>
      <c r="L12" t="s">
        <v>359</v>
      </c>
      <c r="M12" t="s">
        <v>360</v>
      </c>
      <c r="N12">
        <v>1649109603.4000001</v>
      </c>
      <c r="O12">
        <v>0.218</v>
      </c>
      <c r="P12">
        <v>0.372</v>
      </c>
      <c r="Q12">
        <v>59.728000000000002</v>
      </c>
      <c r="R12">
        <v>0</v>
      </c>
      <c r="S12">
        <v>-3.0000000000000001E-3</v>
      </c>
      <c r="T12">
        <v>1.4350000000000001</v>
      </c>
      <c r="U12">
        <v>100.959</v>
      </c>
      <c r="V12">
        <v>20.773</v>
      </c>
      <c r="W12">
        <v>2.4180000000000001</v>
      </c>
      <c r="X12">
        <v>94.710999999999999</v>
      </c>
      <c r="Y12">
        <v>0.98699999999999999</v>
      </c>
      <c r="Z12">
        <v>0.39200000000000002</v>
      </c>
      <c r="AA12">
        <v>0</v>
      </c>
      <c r="AB12">
        <v>0</v>
      </c>
      <c r="AC12">
        <v>1</v>
      </c>
      <c r="AD12">
        <v>40.125</v>
      </c>
      <c r="AE12">
        <v>1</v>
      </c>
      <c r="AF12">
        <v>1</v>
      </c>
      <c r="AG12">
        <v>1</v>
      </c>
      <c r="AH12" t="s">
        <v>361</v>
      </c>
      <c r="AI12">
        <v>0</v>
      </c>
    </row>
    <row r="13" spans="1:35" x14ac:dyDescent="0.2">
      <c r="A13">
        <v>12</v>
      </c>
      <c r="B13" t="s">
        <v>452</v>
      </c>
      <c r="C13" t="s">
        <v>464</v>
      </c>
      <c r="D13" t="s">
        <v>358</v>
      </c>
      <c r="E13">
        <v>12</v>
      </c>
      <c r="F13">
        <v>-5.5209999999999999</v>
      </c>
      <c r="G13">
        <v>-29.905000000000001</v>
      </c>
      <c r="H13">
        <v>17076</v>
      </c>
      <c r="I13">
        <v>0</v>
      </c>
      <c r="J13">
        <v>1</v>
      </c>
      <c r="K13" t="s">
        <v>359</v>
      </c>
      <c r="L13" t="s">
        <v>359</v>
      </c>
      <c r="M13" t="s">
        <v>360</v>
      </c>
      <c r="N13">
        <v>1649110138.75</v>
      </c>
      <c r="O13">
        <v>0.17</v>
      </c>
      <c r="P13">
        <v>0.35599999999999998</v>
      </c>
      <c r="Q13">
        <v>58.433999999999997</v>
      </c>
      <c r="R13">
        <v>1E-3</v>
      </c>
      <c r="S13">
        <v>-1E-3</v>
      </c>
      <c r="T13">
        <v>1.403</v>
      </c>
      <c r="U13">
        <v>101.152</v>
      </c>
      <c r="V13">
        <v>21.253</v>
      </c>
      <c r="W13">
        <v>2.343</v>
      </c>
      <c r="X13">
        <v>91.655000000000001</v>
      </c>
      <c r="Y13">
        <v>0.96699999999999997</v>
      </c>
      <c r="Z13">
        <v>-9.7000000000000003E-2</v>
      </c>
      <c r="AA13">
        <v>0</v>
      </c>
      <c r="AB13">
        <v>0</v>
      </c>
      <c r="AC13">
        <v>1</v>
      </c>
      <c r="AD13">
        <v>40.061999999999998</v>
      </c>
      <c r="AE13">
        <v>1</v>
      </c>
      <c r="AF13">
        <v>1</v>
      </c>
      <c r="AG13">
        <v>1</v>
      </c>
      <c r="AH13" t="s">
        <v>361</v>
      </c>
      <c r="AI13">
        <v>0</v>
      </c>
    </row>
    <row r="14" spans="1:35" x14ac:dyDescent="0.2">
      <c r="A14">
        <v>13</v>
      </c>
      <c r="B14" t="s">
        <v>452</v>
      </c>
      <c r="C14" t="s">
        <v>465</v>
      </c>
      <c r="D14" t="s">
        <v>358</v>
      </c>
      <c r="E14">
        <v>13</v>
      </c>
      <c r="F14">
        <v>-5.5359999999999996</v>
      </c>
      <c r="G14">
        <v>-29.875</v>
      </c>
      <c r="H14">
        <v>16997</v>
      </c>
      <c r="I14">
        <v>0</v>
      </c>
      <c r="J14">
        <v>1</v>
      </c>
      <c r="K14" t="s">
        <v>359</v>
      </c>
      <c r="L14" t="s">
        <v>359</v>
      </c>
      <c r="M14" t="s">
        <v>360</v>
      </c>
      <c r="N14">
        <v>1649110677.6500001</v>
      </c>
      <c r="O14">
        <v>0.188</v>
      </c>
      <c r="P14">
        <v>0.41399999999999998</v>
      </c>
      <c r="Q14">
        <v>59.436999999999998</v>
      </c>
      <c r="R14">
        <v>0</v>
      </c>
      <c r="S14">
        <v>-1E-3</v>
      </c>
      <c r="T14">
        <v>1.4219999999999999</v>
      </c>
      <c r="U14">
        <v>100.413</v>
      </c>
      <c r="V14">
        <v>21.271000000000001</v>
      </c>
      <c r="W14">
        <v>2.3519999999999999</v>
      </c>
      <c r="X14">
        <v>92.198999999999998</v>
      </c>
      <c r="Y14">
        <v>0.98299999999999998</v>
      </c>
      <c r="Z14">
        <v>0.17699999999999999</v>
      </c>
      <c r="AA14">
        <v>0</v>
      </c>
      <c r="AB14">
        <v>0</v>
      </c>
      <c r="AC14">
        <v>1</v>
      </c>
      <c r="AD14">
        <v>40.125</v>
      </c>
      <c r="AE14">
        <v>1</v>
      </c>
      <c r="AF14">
        <v>1</v>
      </c>
      <c r="AG14">
        <v>1</v>
      </c>
      <c r="AH14" t="s">
        <v>361</v>
      </c>
      <c r="AI14">
        <v>0</v>
      </c>
    </row>
    <row r="15" spans="1:35" x14ac:dyDescent="0.2">
      <c r="A15">
        <v>14</v>
      </c>
      <c r="B15" t="s">
        <v>452</v>
      </c>
      <c r="C15" t="s">
        <v>466</v>
      </c>
      <c r="D15" t="s">
        <v>358</v>
      </c>
      <c r="E15">
        <v>14</v>
      </c>
      <c r="F15">
        <v>-5.4610000000000003</v>
      </c>
      <c r="G15">
        <v>-29.646000000000001</v>
      </c>
      <c r="H15">
        <v>17111</v>
      </c>
      <c r="I15">
        <v>0</v>
      </c>
      <c r="J15">
        <v>1</v>
      </c>
      <c r="K15" t="s">
        <v>359</v>
      </c>
      <c r="L15" t="s">
        <v>359</v>
      </c>
      <c r="M15" t="s">
        <v>360</v>
      </c>
      <c r="N15">
        <v>1649111258.5799999</v>
      </c>
      <c r="O15">
        <v>0.249</v>
      </c>
      <c r="P15">
        <v>1.194</v>
      </c>
      <c r="Q15">
        <v>40.555</v>
      </c>
      <c r="R15">
        <v>3.0000000000000001E-3</v>
      </c>
      <c r="S15">
        <v>-2.1999999999999999E-2</v>
      </c>
      <c r="T15">
        <v>1.3480000000000001</v>
      </c>
      <c r="U15">
        <v>101.483</v>
      </c>
      <c r="V15">
        <v>20.948</v>
      </c>
      <c r="W15">
        <v>2.367</v>
      </c>
      <c r="X15">
        <v>91.049000000000007</v>
      </c>
      <c r="Y15">
        <v>3.4289999999999998</v>
      </c>
      <c r="Z15">
        <v>-0.16600000000000001</v>
      </c>
      <c r="AA15">
        <v>1E-4</v>
      </c>
      <c r="AB15">
        <v>1E-4</v>
      </c>
      <c r="AC15">
        <v>1</v>
      </c>
      <c r="AD15">
        <v>40.125</v>
      </c>
      <c r="AE15">
        <v>1</v>
      </c>
      <c r="AF15">
        <v>1</v>
      </c>
      <c r="AG15">
        <v>1</v>
      </c>
      <c r="AH15" t="s">
        <v>361</v>
      </c>
      <c r="AI15">
        <v>0</v>
      </c>
    </row>
    <row r="16" spans="1:35" x14ac:dyDescent="0.2">
      <c r="A16">
        <v>15</v>
      </c>
      <c r="B16" t="s">
        <v>452</v>
      </c>
      <c r="C16" t="s">
        <v>467</v>
      </c>
      <c r="D16" t="s">
        <v>358</v>
      </c>
      <c r="E16">
        <v>15</v>
      </c>
      <c r="F16">
        <v>-5.5069999999999997</v>
      </c>
      <c r="G16">
        <v>-29.811</v>
      </c>
      <c r="H16">
        <v>16923</v>
      </c>
      <c r="I16">
        <v>0</v>
      </c>
      <c r="J16">
        <v>1</v>
      </c>
      <c r="K16" t="s">
        <v>359</v>
      </c>
      <c r="L16" t="s">
        <v>359</v>
      </c>
      <c r="M16" t="s">
        <v>360</v>
      </c>
      <c r="N16">
        <v>1649111752.2</v>
      </c>
      <c r="O16">
        <v>0.193</v>
      </c>
      <c r="P16">
        <v>0.374</v>
      </c>
      <c r="Q16">
        <v>58.012999999999998</v>
      </c>
      <c r="R16">
        <v>1E-3</v>
      </c>
      <c r="S16">
        <v>0</v>
      </c>
      <c r="T16">
        <v>1.389</v>
      </c>
      <c r="U16">
        <v>100.065</v>
      </c>
      <c r="V16">
        <v>21.061</v>
      </c>
      <c r="W16">
        <v>2.3109999999999999</v>
      </c>
      <c r="X16">
        <v>91.373999999999995</v>
      </c>
      <c r="Y16">
        <v>0.97</v>
      </c>
      <c r="Z16">
        <v>2.3E-2</v>
      </c>
      <c r="AA16">
        <v>0</v>
      </c>
      <c r="AB16">
        <v>0</v>
      </c>
      <c r="AC16">
        <v>1</v>
      </c>
      <c r="AD16">
        <v>40</v>
      </c>
      <c r="AE16">
        <v>1</v>
      </c>
      <c r="AF16">
        <v>1</v>
      </c>
      <c r="AG16">
        <v>1</v>
      </c>
      <c r="AH16" t="s">
        <v>361</v>
      </c>
      <c r="AI16">
        <v>0</v>
      </c>
    </row>
    <row r="17" spans="1:35" x14ac:dyDescent="0.2">
      <c r="A17">
        <v>16</v>
      </c>
      <c r="B17" t="s">
        <v>468</v>
      </c>
      <c r="C17" t="s">
        <v>469</v>
      </c>
      <c r="D17" t="s">
        <v>362</v>
      </c>
      <c r="E17">
        <v>1</v>
      </c>
      <c r="F17">
        <v>-4.617</v>
      </c>
      <c r="G17">
        <v>-23.684999999999999</v>
      </c>
      <c r="H17">
        <v>17005</v>
      </c>
      <c r="I17">
        <v>-1</v>
      </c>
      <c r="J17">
        <v>1</v>
      </c>
      <c r="K17" t="s">
        <v>359</v>
      </c>
      <c r="L17" t="s">
        <v>359</v>
      </c>
      <c r="M17" t="s">
        <v>360</v>
      </c>
      <c r="N17">
        <v>1649112290.25</v>
      </c>
      <c r="O17">
        <v>0.183</v>
      </c>
      <c r="P17">
        <v>0.40699999999999997</v>
      </c>
      <c r="Q17">
        <v>57.835000000000001</v>
      </c>
      <c r="R17">
        <v>1E-3</v>
      </c>
      <c r="S17">
        <v>-1E-3</v>
      </c>
      <c r="T17">
        <v>1.399</v>
      </c>
      <c r="U17">
        <v>100.825</v>
      </c>
      <c r="V17">
        <v>20.553000000000001</v>
      </c>
      <c r="W17">
        <v>2.3180000000000001</v>
      </c>
      <c r="X17">
        <v>92.56</v>
      </c>
      <c r="Y17">
        <v>0.96199999999999997</v>
      </c>
      <c r="Z17">
        <v>8.2000000000000003E-2</v>
      </c>
      <c r="AA17">
        <v>0</v>
      </c>
      <c r="AB17">
        <v>0</v>
      </c>
      <c r="AC17">
        <v>1</v>
      </c>
      <c r="AD17">
        <v>40.061999999999998</v>
      </c>
      <c r="AE17">
        <v>1</v>
      </c>
      <c r="AF17">
        <v>2</v>
      </c>
      <c r="AG17">
        <v>1</v>
      </c>
      <c r="AH17" t="s">
        <v>361</v>
      </c>
      <c r="AI17">
        <v>0</v>
      </c>
    </row>
    <row r="18" spans="1:35" x14ac:dyDescent="0.2">
      <c r="A18">
        <v>17</v>
      </c>
      <c r="B18" t="s">
        <v>468</v>
      </c>
      <c r="C18" t="s">
        <v>470</v>
      </c>
      <c r="D18" t="s">
        <v>362</v>
      </c>
      <c r="E18">
        <v>2</v>
      </c>
      <c r="F18">
        <v>-4.5720000000000001</v>
      </c>
      <c r="G18">
        <v>-23.021000000000001</v>
      </c>
      <c r="H18">
        <v>17073</v>
      </c>
      <c r="I18">
        <v>-1</v>
      </c>
      <c r="J18">
        <v>1</v>
      </c>
      <c r="K18" t="s">
        <v>359</v>
      </c>
      <c r="L18" t="s">
        <v>359</v>
      </c>
      <c r="M18" t="s">
        <v>360</v>
      </c>
      <c r="N18">
        <v>1649112827.5</v>
      </c>
      <c r="O18">
        <v>0.20100000000000001</v>
      </c>
      <c r="P18">
        <v>0.432</v>
      </c>
      <c r="Q18">
        <v>58.993000000000002</v>
      </c>
      <c r="R18">
        <v>0</v>
      </c>
      <c r="S18">
        <v>-1E-3</v>
      </c>
      <c r="T18">
        <v>1.3959999999999999</v>
      </c>
      <c r="U18">
        <v>100.774</v>
      </c>
      <c r="V18">
        <v>21.05</v>
      </c>
      <c r="W18">
        <v>2.3860000000000001</v>
      </c>
      <c r="X18">
        <v>93.954999999999998</v>
      </c>
      <c r="Y18">
        <v>0.98599999999999999</v>
      </c>
      <c r="Z18">
        <v>0.35699999999999998</v>
      </c>
      <c r="AA18">
        <v>0</v>
      </c>
      <c r="AB18">
        <v>0</v>
      </c>
      <c r="AC18">
        <v>1</v>
      </c>
      <c r="AD18">
        <v>40.125</v>
      </c>
      <c r="AE18">
        <v>1</v>
      </c>
      <c r="AF18">
        <v>2</v>
      </c>
      <c r="AG18">
        <v>1</v>
      </c>
      <c r="AH18" t="s">
        <v>361</v>
      </c>
      <c r="AI18">
        <v>0</v>
      </c>
    </row>
    <row r="19" spans="1:35" x14ac:dyDescent="0.2">
      <c r="A19">
        <v>18</v>
      </c>
      <c r="B19" t="s">
        <v>468</v>
      </c>
      <c r="C19" t="s">
        <v>471</v>
      </c>
      <c r="D19" t="s">
        <v>362</v>
      </c>
      <c r="E19">
        <v>3</v>
      </c>
      <c r="F19">
        <v>-4.5739999999999998</v>
      </c>
      <c r="G19">
        <v>-23.001999999999999</v>
      </c>
      <c r="H19">
        <v>16900</v>
      </c>
      <c r="I19">
        <v>-1</v>
      </c>
      <c r="J19">
        <v>1</v>
      </c>
      <c r="K19" t="s">
        <v>359</v>
      </c>
      <c r="L19" t="s">
        <v>359</v>
      </c>
      <c r="M19" t="s">
        <v>360</v>
      </c>
      <c r="N19">
        <v>1649113365.3199999</v>
      </c>
      <c r="O19">
        <v>0.182</v>
      </c>
      <c r="P19">
        <v>0.40200000000000002</v>
      </c>
      <c r="Q19">
        <v>57.731000000000002</v>
      </c>
      <c r="R19">
        <v>0</v>
      </c>
      <c r="S19">
        <v>-1E-3</v>
      </c>
      <c r="T19">
        <v>1.397</v>
      </c>
      <c r="U19">
        <v>99.759</v>
      </c>
      <c r="V19">
        <v>20.777999999999999</v>
      </c>
      <c r="W19">
        <v>2.4060000000000001</v>
      </c>
      <c r="X19">
        <v>93.084999999999994</v>
      </c>
      <c r="Y19">
        <v>0.97</v>
      </c>
      <c r="Z19">
        <v>0.33600000000000002</v>
      </c>
      <c r="AA19">
        <v>0</v>
      </c>
      <c r="AB19">
        <v>0</v>
      </c>
      <c r="AC19">
        <v>1</v>
      </c>
      <c r="AD19">
        <v>40.125</v>
      </c>
      <c r="AE19">
        <v>1</v>
      </c>
      <c r="AF19">
        <v>2</v>
      </c>
      <c r="AG19">
        <v>1</v>
      </c>
      <c r="AH19" t="s">
        <v>361</v>
      </c>
      <c r="AI19">
        <v>0</v>
      </c>
    </row>
    <row r="20" spans="1:35" x14ac:dyDescent="0.2">
      <c r="A20">
        <v>19</v>
      </c>
      <c r="B20" t="s">
        <v>468</v>
      </c>
      <c r="C20" t="s">
        <v>472</v>
      </c>
      <c r="D20" t="s">
        <v>362</v>
      </c>
      <c r="E20">
        <v>4</v>
      </c>
      <c r="F20">
        <v>-4.5960000000000001</v>
      </c>
      <c r="G20">
        <v>-22.952000000000002</v>
      </c>
      <c r="H20">
        <v>17071</v>
      </c>
      <c r="I20">
        <v>0</v>
      </c>
      <c r="J20">
        <v>1</v>
      </c>
      <c r="K20" t="s">
        <v>359</v>
      </c>
      <c r="L20" t="s">
        <v>359</v>
      </c>
      <c r="M20" t="s">
        <v>360</v>
      </c>
      <c r="N20">
        <v>1649113903.9100001</v>
      </c>
      <c r="O20">
        <v>0.215</v>
      </c>
      <c r="P20">
        <v>0.39</v>
      </c>
      <c r="Q20">
        <v>59.869</v>
      </c>
      <c r="R20">
        <v>0</v>
      </c>
      <c r="S20">
        <v>-1E-3</v>
      </c>
      <c r="T20">
        <v>1.42</v>
      </c>
      <c r="U20">
        <v>100.971</v>
      </c>
      <c r="V20">
        <v>20.744</v>
      </c>
      <c r="W20">
        <v>2.4020000000000001</v>
      </c>
      <c r="X20">
        <v>93.853999999999999</v>
      </c>
      <c r="Y20">
        <v>0.99099999999999999</v>
      </c>
      <c r="Z20">
        <v>0.16</v>
      </c>
      <c r="AA20">
        <v>0</v>
      </c>
      <c r="AB20">
        <v>0</v>
      </c>
      <c r="AC20">
        <v>1</v>
      </c>
      <c r="AD20">
        <v>40.125</v>
      </c>
      <c r="AE20">
        <v>1</v>
      </c>
      <c r="AF20">
        <v>2</v>
      </c>
      <c r="AG20">
        <v>1</v>
      </c>
      <c r="AH20" t="s">
        <v>361</v>
      </c>
      <c r="AI20">
        <v>0</v>
      </c>
    </row>
    <row r="21" spans="1:35" x14ac:dyDescent="0.2">
      <c r="A21">
        <v>20</v>
      </c>
      <c r="B21" t="s">
        <v>468</v>
      </c>
      <c r="C21" t="s">
        <v>473</v>
      </c>
      <c r="D21" t="s">
        <v>362</v>
      </c>
      <c r="E21">
        <v>5</v>
      </c>
      <c r="F21">
        <v>-4.5469999999999997</v>
      </c>
      <c r="G21">
        <v>-22.885999999999999</v>
      </c>
      <c r="H21">
        <v>17098</v>
      </c>
      <c r="I21">
        <v>0</v>
      </c>
      <c r="J21">
        <v>1</v>
      </c>
      <c r="K21" t="s">
        <v>359</v>
      </c>
      <c r="L21" t="s">
        <v>359</v>
      </c>
      <c r="M21" t="s">
        <v>360</v>
      </c>
      <c r="N21">
        <v>1649114440.1900001</v>
      </c>
      <c r="O21">
        <v>0.21</v>
      </c>
      <c r="P21">
        <v>0.375</v>
      </c>
      <c r="Q21">
        <v>58.456000000000003</v>
      </c>
      <c r="R21">
        <v>1E-3</v>
      </c>
      <c r="S21">
        <v>-3.0000000000000001E-3</v>
      </c>
      <c r="T21">
        <v>1.393</v>
      </c>
      <c r="U21">
        <v>100.81399999999999</v>
      </c>
      <c r="V21">
        <v>21.373999999999999</v>
      </c>
      <c r="W21">
        <v>2.4329999999999998</v>
      </c>
      <c r="X21">
        <v>93.983000000000004</v>
      </c>
      <c r="Y21">
        <v>0.96799999999999997</v>
      </c>
      <c r="Z21">
        <v>0.30499999999999999</v>
      </c>
      <c r="AA21">
        <v>0</v>
      </c>
      <c r="AB21">
        <v>0</v>
      </c>
      <c r="AC21">
        <v>1</v>
      </c>
      <c r="AD21">
        <v>40.125</v>
      </c>
      <c r="AE21">
        <v>1</v>
      </c>
      <c r="AF21">
        <v>2</v>
      </c>
      <c r="AG21">
        <v>1</v>
      </c>
      <c r="AH21" t="s">
        <v>361</v>
      </c>
      <c r="AI21">
        <v>0</v>
      </c>
    </row>
    <row r="22" spans="1:35" x14ac:dyDescent="0.2">
      <c r="A22">
        <v>21</v>
      </c>
      <c r="B22" t="s">
        <v>468</v>
      </c>
      <c r="C22" t="s">
        <v>474</v>
      </c>
      <c r="D22" t="s">
        <v>362</v>
      </c>
      <c r="E22">
        <v>6</v>
      </c>
      <c r="F22">
        <v>-4.5540000000000003</v>
      </c>
      <c r="G22">
        <v>-22.786999999999999</v>
      </c>
      <c r="H22">
        <v>17006</v>
      </c>
      <c r="I22">
        <v>0</v>
      </c>
      <c r="J22">
        <v>1</v>
      </c>
      <c r="K22" t="s">
        <v>359</v>
      </c>
      <c r="L22" t="s">
        <v>359</v>
      </c>
      <c r="M22" t="s">
        <v>360</v>
      </c>
      <c r="N22">
        <v>1649114978.73</v>
      </c>
      <c r="O22">
        <v>0.20899999999999999</v>
      </c>
      <c r="P22">
        <v>0.4</v>
      </c>
      <c r="Q22">
        <v>58.781999999999996</v>
      </c>
      <c r="R22">
        <v>0</v>
      </c>
      <c r="S22">
        <v>0</v>
      </c>
      <c r="T22">
        <v>1.4079999999999999</v>
      </c>
      <c r="U22">
        <v>100.27500000000001</v>
      </c>
      <c r="V22">
        <v>20.803999999999998</v>
      </c>
      <c r="W22">
        <v>2.4489999999999998</v>
      </c>
      <c r="X22">
        <v>94.686000000000007</v>
      </c>
      <c r="Y22">
        <v>0.95699999999999996</v>
      </c>
      <c r="Z22">
        <v>0.46800000000000003</v>
      </c>
      <c r="AA22">
        <v>0</v>
      </c>
      <c r="AB22">
        <v>0</v>
      </c>
      <c r="AC22">
        <v>1</v>
      </c>
      <c r="AD22">
        <v>40.125</v>
      </c>
      <c r="AE22">
        <v>1</v>
      </c>
      <c r="AF22">
        <v>2</v>
      </c>
      <c r="AG22">
        <v>1</v>
      </c>
      <c r="AH22" t="s">
        <v>361</v>
      </c>
      <c r="AI22">
        <v>0</v>
      </c>
    </row>
    <row r="23" spans="1:35" x14ac:dyDescent="0.2">
      <c r="A23">
        <v>22</v>
      </c>
      <c r="B23" t="s">
        <v>468</v>
      </c>
      <c r="C23" t="s">
        <v>475</v>
      </c>
      <c r="D23" t="s">
        <v>362</v>
      </c>
      <c r="E23">
        <v>7</v>
      </c>
      <c r="F23">
        <v>-4.5970000000000004</v>
      </c>
      <c r="G23">
        <v>-22.821999999999999</v>
      </c>
      <c r="H23">
        <v>17059</v>
      </c>
      <c r="I23">
        <v>0</v>
      </c>
      <c r="J23">
        <v>1</v>
      </c>
      <c r="K23" t="s">
        <v>359</v>
      </c>
      <c r="L23" t="s">
        <v>359</v>
      </c>
      <c r="M23" t="s">
        <v>360</v>
      </c>
      <c r="N23">
        <v>1649115515.6900001</v>
      </c>
      <c r="O23">
        <v>0.22900000000000001</v>
      </c>
      <c r="P23">
        <v>0.41899999999999998</v>
      </c>
      <c r="Q23">
        <v>58.896999999999998</v>
      </c>
      <c r="R23">
        <v>1E-3</v>
      </c>
      <c r="S23">
        <v>-1E-3</v>
      </c>
      <c r="T23">
        <v>1.401</v>
      </c>
      <c r="U23">
        <v>100.78</v>
      </c>
      <c r="V23">
        <v>21.018000000000001</v>
      </c>
      <c r="W23">
        <v>2.3860000000000001</v>
      </c>
      <c r="X23">
        <v>93.680999999999997</v>
      </c>
      <c r="Y23">
        <v>0.95399999999999996</v>
      </c>
      <c r="Z23">
        <v>0.26700000000000002</v>
      </c>
      <c r="AA23">
        <v>0</v>
      </c>
      <c r="AB23">
        <v>0</v>
      </c>
      <c r="AC23">
        <v>1</v>
      </c>
      <c r="AD23">
        <v>40.125</v>
      </c>
      <c r="AE23">
        <v>1</v>
      </c>
      <c r="AF23">
        <v>2</v>
      </c>
      <c r="AG23">
        <v>1</v>
      </c>
      <c r="AH23" t="s">
        <v>361</v>
      </c>
      <c r="AI23">
        <v>0</v>
      </c>
    </row>
    <row r="24" spans="1:35" x14ac:dyDescent="0.2">
      <c r="A24">
        <v>23</v>
      </c>
      <c r="B24" t="s">
        <v>468</v>
      </c>
      <c r="C24" t="s">
        <v>476</v>
      </c>
      <c r="D24" t="s">
        <v>362</v>
      </c>
      <c r="E24">
        <v>8</v>
      </c>
      <c r="F24">
        <v>-4.5709999999999997</v>
      </c>
      <c r="G24">
        <v>-22.741</v>
      </c>
      <c r="H24">
        <v>17080</v>
      </c>
      <c r="I24">
        <v>0</v>
      </c>
      <c r="J24">
        <v>1</v>
      </c>
      <c r="K24" t="s">
        <v>359</v>
      </c>
      <c r="L24" t="s">
        <v>359</v>
      </c>
      <c r="M24" t="s">
        <v>360</v>
      </c>
      <c r="N24">
        <v>1649116054.0799999</v>
      </c>
      <c r="O24">
        <v>0.23200000000000001</v>
      </c>
      <c r="P24">
        <v>0.40400000000000003</v>
      </c>
      <c r="Q24">
        <v>58.377000000000002</v>
      </c>
      <c r="R24">
        <v>0</v>
      </c>
      <c r="S24">
        <v>-1E-3</v>
      </c>
      <c r="T24">
        <v>1.4079999999999999</v>
      </c>
      <c r="U24">
        <v>100.86</v>
      </c>
      <c r="V24">
        <v>21.225000000000001</v>
      </c>
      <c r="W24">
        <v>2.39</v>
      </c>
      <c r="X24">
        <v>93.343999999999994</v>
      </c>
      <c r="Y24">
        <v>0.94599999999999995</v>
      </c>
      <c r="Z24">
        <v>0.253</v>
      </c>
      <c r="AA24">
        <v>0</v>
      </c>
      <c r="AB24">
        <v>0</v>
      </c>
      <c r="AC24">
        <v>1</v>
      </c>
      <c r="AD24">
        <v>40.125</v>
      </c>
      <c r="AE24">
        <v>1</v>
      </c>
      <c r="AF24">
        <v>2</v>
      </c>
      <c r="AG24">
        <v>1</v>
      </c>
      <c r="AH24" t="s">
        <v>361</v>
      </c>
      <c r="AI24">
        <v>0</v>
      </c>
    </row>
    <row r="25" spans="1:35" x14ac:dyDescent="0.2">
      <c r="A25">
        <v>24</v>
      </c>
      <c r="B25" t="s">
        <v>468</v>
      </c>
      <c r="C25" t="s">
        <v>477</v>
      </c>
      <c r="D25" t="s">
        <v>362</v>
      </c>
      <c r="E25">
        <v>9</v>
      </c>
      <c r="F25">
        <v>-4.5860000000000003</v>
      </c>
      <c r="G25">
        <v>-22.760999999999999</v>
      </c>
      <c r="H25">
        <v>17046</v>
      </c>
      <c r="I25">
        <v>0</v>
      </c>
      <c r="J25">
        <v>1</v>
      </c>
      <c r="K25" t="s">
        <v>359</v>
      </c>
      <c r="L25" t="s">
        <v>359</v>
      </c>
      <c r="M25" t="s">
        <v>360</v>
      </c>
      <c r="N25">
        <v>1649116590.53</v>
      </c>
      <c r="O25">
        <v>0.20899999999999999</v>
      </c>
      <c r="P25">
        <v>0.37</v>
      </c>
      <c r="Q25">
        <v>58.045000000000002</v>
      </c>
      <c r="R25">
        <v>1E-3</v>
      </c>
      <c r="S25">
        <v>-2E-3</v>
      </c>
      <c r="T25">
        <v>1.381</v>
      </c>
      <c r="U25">
        <v>100.315</v>
      </c>
      <c r="V25">
        <v>21.481999999999999</v>
      </c>
      <c r="W25">
        <v>2.4529999999999998</v>
      </c>
      <c r="X25">
        <v>93.99</v>
      </c>
      <c r="Y25">
        <v>0.95299999999999996</v>
      </c>
      <c r="Z25">
        <v>0.505</v>
      </c>
      <c r="AA25">
        <v>0</v>
      </c>
      <c r="AB25">
        <v>0</v>
      </c>
      <c r="AC25">
        <v>1</v>
      </c>
      <c r="AD25">
        <v>40.188000000000002</v>
      </c>
      <c r="AE25">
        <v>1</v>
      </c>
      <c r="AF25">
        <v>2</v>
      </c>
      <c r="AG25">
        <v>1</v>
      </c>
      <c r="AH25" t="s">
        <v>361</v>
      </c>
      <c r="AI25">
        <v>0</v>
      </c>
    </row>
    <row r="26" spans="1:35" x14ac:dyDescent="0.2">
      <c r="A26">
        <v>25</v>
      </c>
      <c r="B26" t="s">
        <v>468</v>
      </c>
      <c r="C26" t="s">
        <v>478</v>
      </c>
      <c r="D26" t="s">
        <v>362</v>
      </c>
      <c r="E26">
        <v>10</v>
      </c>
      <c r="F26">
        <v>-4.5629999999999997</v>
      </c>
      <c r="G26">
        <v>-22.736999999999998</v>
      </c>
      <c r="H26">
        <v>17090</v>
      </c>
      <c r="I26">
        <v>0</v>
      </c>
      <c r="J26">
        <v>1</v>
      </c>
      <c r="K26" t="s">
        <v>359</v>
      </c>
      <c r="L26" t="s">
        <v>359</v>
      </c>
      <c r="M26" t="s">
        <v>360</v>
      </c>
      <c r="N26">
        <v>1649117129.21</v>
      </c>
      <c r="O26">
        <v>0.19500000000000001</v>
      </c>
      <c r="P26">
        <v>0.40500000000000003</v>
      </c>
      <c r="Q26">
        <v>59.341999999999999</v>
      </c>
      <c r="R26">
        <v>1E-3</v>
      </c>
      <c r="S26">
        <v>-2E-3</v>
      </c>
      <c r="T26">
        <v>1.4159999999999999</v>
      </c>
      <c r="U26">
        <v>100.904</v>
      </c>
      <c r="V26">
        <v>20.844000000000001</v>
      </c>
      <c r="W26">
        <v>2.427</v>
      </c>
      <c r="X26">
        <v>94.617999999999995</v>
      </c>
      <c r="Y26">
        <v>0.95499999999999996</v>
      </c>
      <c r="Z26">
        <v>0.34499999999999997</v>
      </c>
      <c r="AA26">
        <v>0</v>
      </c>
      <c r="AB26">
        <v>0</v>
      </c>
      <c r="AC26">
        <v>1</v>
      </c>
      <c r="AD26">
        <v>40.061999999999998</v>
      </c>
      <c r="AE26">
        <v>1</v>
      </c>
      <c r="AF26">
        <v>2</v>
      </c>
      <c r="AG26">
        <v>1</v>
      </c>
      <c r="AH26" t="s">
        <v>361</v>
      </c>
      <c r="AI26">
        <v>0</v>
      </c>
    </row>
    <row r="27" spans="1:35" x14ac:dyDescent="0.2">
      <c r="A27">
        <v>26</v>
      </c>
      <c r="B27" t="s">
        <v>468</v>
      </c>
      <c r="C27" t="s">
        <v>479</v>
      </c>
      <c r="D27" t="s">
        <v>362</v>
      </c>
      <c r="E27">
        <v>11</v>
      </c>
      <c r="F27">
        <v>-4.5179999999999998</v>
      </c>
      <c r="G27">
        <v>-22.678000000000001</v>
      </c>
      <c r="H27">
        <v>17020</v>
      </c>
      <c r="I27">
        <v>0</v>
      </c>
      <c r="J27">
        <v>1</v>
      </c>
      <c r="K27" t="s">
        <v>359</v>
      </c>
      <c r="L27" t="s">
        <v>359</v>
      </c>
      <c r="M27" t="s">
        <v>360</v>
      </c>
      <c r="N27">
        <v>1649117666.9300001</v>
      </c>
      <c r="O27">
        <v>0.183</v>
      </c>
      <c r="P27">
        <v>0.42399999999999999</v>
      </c>
      <c r="Q27">
        <v>58.503999999999998</v>
      </c>
      <c r="R27">
        <v>0</v>
      </c>
      <c r="S27">
        <v>0</v>
      </c>
      <c r="T27">
        <v>1.3979999999999999</v>
      </c>
      <c r="U27">
        <v>100.042</v>
      </c>
      <c r="V27">
        <v>21.553000000000001</v>
      </c>
      <c r="W27">
        <v>2.4609999999999999</v>
      </c>
      <c r="X27">
        <v>94.323999999999998</v>
      </c>
      <c r="Y27">
        <v>0.97899999999999998</v>
      </c>
      <c r="Z27">
        <v>0.52500000000000002</v>
      </c>
      <c r="AA27">
        <v>0</v>
      </c>
      <c r="AB27">
        <v>0</v>
      </c>
      <c r="AC27">
        <v>1</v>
      </c>
      <c r="AD27">
        <v>40</v>
      </c>
      <c r="AE27">
        <v>1</v>
      </c>
      <c r="AF27">
        <v>2</v>
      </c>
      <c r="AG27">
        <v>1</v>
      </c>
      <c r="AH27" t="s">
        <v>361</v>
      </c>
      <c r="AI27">
        <v>0</v>
      </c>
    </row>
    <row r="28" spans="1:35" x14ac:dyDescent="0.2">
      <c r="A28">
        <v>27</v>
      </c>
      <c r="B28" t="s">
        <v>468</v>
      </c>
      <c r="C28" t="s">
        <v>480</v>
      </c>
      <c r="D28" t="s">
        <v>362</v>
      </c>
      <c r="E28">
        <v>12</v>
      </c>
      <c r="F28">
        <v>-4.5430000000000001</v>
      </c>
      <c r="G28">
        <v>-22.622</v>
      </c>
      <c r="H28">
        <v>16971</v>
      </c>
      <c r="I28">
        <v>0</v>
      </c>
      <c r="J28">
        <v>1</v>
      </c>
      <c r="K28" t="s">
        <v>359</v>
      </c>
      <c r="L28" t="s">
        <v>359</v>
      </c>
      <c r="M28" t="s">
        <v>360</v>
      </c>
      <c r="N28">
        <v>1649118204.6900001</v>
      </c>
      <c r="O28">
        <v>0.192</v>
      </c>
      <c r="P28">
        <v>0.35199999999999998</v>
      </c>
      <c r="Q28">
        <v>59.488999999999997</v>
      </c>
      <c r="R28">
        <v>0</v>
      </c>
      <c r="S28">
        <v>-1E-3</v>
      </c>
      <c r="T28">
        <v>1.4179999999999999</v>
      </c>
      <c r="U28">
        <v>100.011</v>
      </c>
      <c r="V28">
        <v>21.029</v>
      </c>
      <c r="W28">
        <v>2.39</v>
      </c>
      <c r="X28">
        <v>93.775000000000006</v>
      </c>
      <c r="Y28">
        <v>0.96299999999999997</v>
      </c>
      <c r="Z28">
        <v>0.41199999999999998</v>
      </c>
      <c r="AA28">
        <v>0</v>
      </c>
      <c r="AB28">
        <v>0</v>
      </c>
      <c r="AC28">
        <v>1</v>
      </c>
      <c r="AD28">
        <v>39.938000000000002</v>
      </c>
      <c r="AE28">
        <v>1</v>
      </c>
      <c r="AF28">
        <v>2</v>
      </c>
      <c r="AG28">
        <v>1</v>
      </c>
      <c r="AH28" t="s">
        <v>361</v>
      </c>
      <c r="AI28">
        <v>0</v>
      </c>
    </row>
    <row r="29" spans="1:35" x14ac:dyDescent="0.2">
      <c r="A29">
        <v>28</v>
      </c>
      <c r="B29" t="s">
        <v>468</v>
      </c>
      <c r="C29" t="s">
        <v>481</v>
      </c>
      <c r="D29" t="s">
        <v>362</v>
      </c>
      <c r="E29">
        <v>13</v>
      </c>
      <c r="F29">
        <v>-4.5780000000000003</v>
      </c>
      <c r="G29">
        <v>-22.661999999999999</v>
      </c>
      <c r="H29">
        <v>16963</v>
      </c>
      <c r="I29">
        <v>0</v>
      </c>
      <c r="J29">
        <v>1</v>
      </c>
      <c r="K29" t="s">
        <v>359</v>
      </c>
      <c r="L29" t="s">
        <v>359</v>
      </c>
      <c r="M29" t="s">
        <v>360</v>
      </c>
      <c r="N29">
        <v>1649118741.8199999</v>
      </c>
      <c r="O29">
        <v>0.2</v>
      </c>
      <c r="P29">
        <v>0.38400000000000001</v>
      </c>
      <c r="Q29">
        <v>58.694000000000003</v>
      </c>
      <c r="R29">
        <v>0</v>
      </c>
      <c r="S29">
        <v>-1E-3</v>
      </c>
      <c r="T29">
        <v>1.4039999999999999</v>
      </c>
      <c r="U29">
        <v>100.098</v>
      </c>
      <c r="V29">
        <v>20.693999999999999</v>
      </c>
      <c r="W29">
        <v>2.4209999999999998</v>
      </c>
      <c r="X29">
        <v>94.188999999999993</v>
      </c>
      <c r="Y29">
        <v>0.97</v>
      </c>
      <c r="Z29">
        <v>0.32800000000000001</v>
      </c>
      <c r="AA29">
        <v>0</v>
      </c>
      <c r="AB29">
        <v>0</v>
      </c>
      <c r="AC29">
        <v>1</v>
      </c>
      <c r="AD29">
        <v>39.938000000000002</v>
      </c>
      <c r="AE29">
        <v>1</v>
      </c>
      <c r="AF29">
        <v>2</v>
      </c>
      <c r="AG29">
        <v>1</v>
      </c>
      <c r="AH29" t="s">
        <v>361</v>
      </c>
      <c r="AI29">
        <v>0</v>
      </c>
    </row>
    <row r="30" spans="1:35" x14ac:dyDescent="0.2">
      <c r="A30">
        <v>29</v>
      </c>
      <c r="B30" t="s">
        <v>468</v>
      </c>
      <c r="C30" t="s">
        <v>482</v>
      </c>
      <c r="D30" t="s">
        <v>362</v>
      </c>
      <c r="E30">
        <v>14</v>
      </c>
      <c r="F30">
        <v>-4.5579999999999998</v>
      </c>
      <c r="G30">
        <v>-22.696999999999999</v>
      </c>
      <c r="H30">
        <v>16951</v>
      </c>
      <c r="I30">
        <v>0</v>
      </c>
      <c r="J30">
        <v>1</v>
      </c>
      <c r="K30" t="s">
        <v>359</v>
      </c>
      <c r="L30" t="s">
        <v>359</v>
      </c>
      <c r="M30" t="s">
        <v>360</v>
      </c>
      <c r="N30">
        <v>1649119279.0599999</v>
      </c>
      <c r="O30">
        <v>0.17100000000000001</v>
      </c>
      <c r="P30">
        <v>0.43</v>
      </c>
      <c r="Q30">
        <v>57.899000000000001</v>
      </c>
      <c r="R30">
        <v>0</v>
      </c>
      <c r="S30">
        <v>-1E-3</v>
      </c>
      <c r="T30">
        <v>1.393</v>
      </c>
      <c r="U30">
        <v>99.927999999999997</v>
      </c>
      <c r="V30">
        <v>20.939</v>
      </c>
      <c r="W30">
        <v>2.4380000000000002</v>
      </c>
      <c r="X30">
        <v>93.63</v>
      </c>
      <c r="Y30">
        <v>0.95899999999999996</v>
      </c>
      <c r="Z30">
        <v>0.376</v>
      </c>
      <c r="AA30">
        <v>0</v>
      </c>
      <c r="AB30">
        <v>0</v>
      </c>
      <c r="AC30">
        <v>1</v>
      </c>
      <c r="AD30">
        <v>40</v>
      </c>
      <c r="AE30">
        <v>1</v>
      </c>
      <c r="AF30">
        <v>2</v>
      </c>
      <c r="AG30">
        <v>1</v>
      </c>
      <c r="AH30" t="s">
        <v>361</v>
      </c>
      <c r="AI30">
        <v>0</v>
      </c>
    </row>
    <row r="31" spans="1:35" x14ac:dyDescent="0.2">
      <c r="A31">
        <v>30</v>
      </c>
      <c r="B31" t="s">
        <v>468</v>
      </c>
      <c r="C31" t="s">
        <v>483</v>
      </c>
      <c r="D31" t="s">
        <v>362</v>
      </c>
      <c r="E31">
        <v>15</v>
      </c>
      <c r="F31">
        <v>-4.5419999999999998</v>
      </c>
      <c r="G31">
        <v>-22.623000000000001</v>
      </c>
      <c r="H31">
        <v>17143</v>
      </c>
      <c r="I31">
        <v>0</v>
      </c>
      <c r="J31">
        <v>1</v>
      </c>
      <c r="K31" t="s">
        <v>359</v>
      </c>
      <c r="L31" t="s">
        <v>359</v>
      </c>
      <c r="M31" t="s">
        <v>360</v>
      </c>
      <c r="N31">
        <v>1649119818.02</v>
      </c>
      <c r="O31">
        <v>0.20300000000000001</v>
      </c>
      <c r="P31">
        <v>0.39300000000000002</v>
      </c>
      <c r="Q31">
        <v>58.963999999999999</v>
      </c>
      <c r="R31">
        <v>0</v>
      </c>
      <c r="S31">
        <v>1E-3</v>
      </c>
      <c r="T31">
        <v>1.4179999999999999</v>
      </c>
      <c r="U31">
        <v>101.2</v>
      </c>
      <c r="V31">
        <v>20.97</v>
      </c>
      <c r="W31">
        <v>2.4430000000000001</v>
      </c>
      <c r="X31">
        <v>95.024000000000001</v>
      </c>
      <c r="Y31">
        <v>0.97399999999999998</v>
      </c>
      <c r="Z31">
        <v>0.373</v>
      </c>
      <c r="AA31">
        <v>0</v>
      </c>
      <c r="AB31">
        <v>0</v>
      </c>
      <c r="AC31">
        <v>1</v>
      </c>
      <c r="AD31">
        <v>39.938000000000002</v>
      </c>
      <c r="AE31">
        <v>1</v>
      </c>
      <c r="AF31">
        <v>2</v>
      </c>
      <c r="AG31">
        <v>1</v>
      </c>
      <c r="AH31" t="s">
        <v>361</v>
      </c>
      <c r="AI31">
        <v>0</v>
      </c>
    </row>
    <row r="32" spans="1:35" x14ac:dyDescent="0.2">
      <c r="A32">
        <v>31</v>
      </c>
      <c r="B32" t="s">
        <v>484</v>
      </c>
      <c r="C32" t="s">
        <v>485</v>
      </c>
      <c r="D32" t="s">
        <v>363</v>
      </c>
      <c r="E32">
        <v>1</v>
      </c>
      <c r="F32">
        <v>-7.7370000000000001</v>
      </c>
      <c r="G32">
        <v>-49.18</v>
      </c>
      <c r="H32">
        <v>17100</v>
      </c>
      <c r="I32">
        <v>-1</v>
      </c>
      <c r="J32">
        <v>1</v>
      </c>
      <c r="K32" t="s">
        <v>359</v>
      </c>
      <c r="L32" t="s">
        <v>359</v>
      </c>
      <c r="M32" t="s">
        <v>360</v>
      </c>
      <c r="N32">
        <v>1649120354.98</v>
      </c>
      <c r="O32">
        <v>0.224</v>
      </c>
      <c r="P32">
        <v>0.41299999999999998</v>
      </c>
      <c r="Q32">
        <v>58.491</v>
      </c>
      <c r="R32">
        <v>1E-3</v>
      </c>
      <c r="S32">
        <v>3.0000000000000001E-3</v>
      </c>
      <c r="T32">
        <v>1.395</v>
      </c>
      <c r="U32">
        <v>100.997</v>
      </c>
      <c r="V32">
        <v>20.658000000000001</v>
      </c>
      <c r="W32">
        <v>2.4569999999999999</v>
      </c>
      <c r="X32">
        <v>95.248000000000005</v>
      </c>
      <c r="Y32">
        <v>0.96299999999999997</v>
      </c>
      <c r="Z32">
        <v>0.41499999999999998</v>
      </c>
      <c r="AA32">
        <v>0</v>
      </c>
      <c r="AB32">
        <v>0</v>
      </c>
      <c r="AC32">
        <v>1</v>
      </c>
      <c r="AD32">
        <v>39.811999999999998</v>
      </c>
      <c r="AE32">
        <v>1</v>
      </c>
      <c r="AF32">
        <v>3</v>
      </c>
      <c r="AG32">
        <v>1</v>
      </c>
      <c r="AH32" t="s">
        <v>361</v>
      </c>
      <c r="AI32">
        <v>0</v>
      </c>
    </row>
    <row r="33" spans="1:35" x14ac:dyDescent="0.2">
      <c r="A33">
        <v>32</v>
      </c>
      <c r="B33" t="s">
        <v>484</v>
      </c>
      <c r="C33" t="s">
        <v>486</v>
      </c>
      <c r="D33" t="s">
        <v>363</v>
      </c>
      <c r="E33">
        <v>2</v>
      </c>
      <c r="F33">
        <v>-7.899</v>
      </c>
      <c r="G33">
        <v>-51.634999999999998</v>
      </c>
      <c r="H33">
        <v>17170</v>
      </c>
      <c r="I33">
        <v>-1</v>
      </c>
      <c r="J33">
        <v>1</v>
      </c>
      <c r="K33" t="s">
        <v>359</v>
      </c>
      <c r="L33" t="s">
        <v>359</v>
      </c>
      <c r="M33" t="s">
        <v>360</v>
      </c>
      <c r="N33">
        <v>1649120894.8</v>
      </c>
      <c r="O33">
        <v>0.20799999999999999</v>
      </c>
      <c r="P33">
        <v>0.375</v>
      </c>
      <c r="Q33">
        <v>59.042000000000002</v>
      </c>
      <c r="R33">
        <v>2E-3</v>
      </c>
      <c r="S33">
        <v>1E-3</v>
      </c>
      <c r="T33">
        <v>1.419</v>
      </c>
      <c r="U33">
        <v>101.095</v>
      </c>
      <c r="V33">
        <v>21.617000000000001</v>
      </c>
      <c r="W33">
        <v>2.4510000000000001</v>
      </c>
      <c r="X33">
        <v>94.617000000000004</v>
      </c>
      <c r="Y33">
        <v>0.97899999999999998</v>
      </c>
      <c r="Z33">
        <v>0.53700000000000003</v>
      </c>
      <c r="AA33">
        <v>0</v>
      </c>
      <c r="AB33">
        <v>0</v>
      </c>
      <c r="AC33">
        <v>1</v>
      </c>
      <c r="AD33">
        <v>39.938000000000002</v>
      </c>
      <c r="AE33">
        <v>1</v>
      </c>
      <c r="AF33">
        <v>3</v>
      </c>
      <c r="AG33">
        <v>1</v>
      </c>
      <c r="AH33" t="s">
        <v>361</v>
      </c>
      <c r="AI33">
        <v>0</v>
      </c>
    </row>
    <row r="34" spans="1:35" x14ac:dyDescent="0.2">
      <c r="A34">
        <v>33</v>
      </c>
      <c r="B34" t="s">
        <v>484</v>
      </c>
      <c r="C34" t="s">
        <v>487</v>
      </c>
      <c r="D34" t="s">
        <v>363</v>
      </c>
      <c r="E34">
        <v>3</v>
      </c>
      <c r="F34">
        <v>-7.915</v>
      </c>
      <c r="G34">
        <v>-52.194000000000003</v>
      </c>
      <c r="H34">
        <v>17225</v>
      </c>
      <c r="I34">
        <v>-1</v>
      </c>
      <c r="J34">
        <v>1</v>
      </c>
      <c r="K34" t="s">
        <v>359</v>
      </c>
      <c r="L34" t="s">
        <v>359</v>
      </c>
      <c r="M34" t="s">
        <v>360</v>
      </c>
      <c r="N34">
        <v>1649121430.05</v>
      </c>
      <c r="O34">
        <v>0.20699999999999999</v>
      </c>
      <c r="P34">
        <v>0.376</v>
      </c>
      <c r="Q34">
        <v>58.173000000000002</v>
      </c>
      <c r="R34">
        <v>1E-3</v>
      </c>
      <c r="S34">
        <v>1E-3</v>
      </c>
      <c r="T34">
        <v>1.3919999999999999</v>
      </c>
      <c r="U34">
        <v>101.67700000000001</v>
      </c>
      <c r="V34">
        <v>21.327000000000002</v>
      </c>
      <c r="W34">
        <v>2.411</v>
      </c>
      <c r="X34">
        <v>94.731999999999999</v>
      </c>
      <c r="Y34">
        <v>1.0289999999999999</v>
      </c>
      <c r="Z34">
        <v>0.39800000000000002</v>
      </c>
      <c r="AA34">
        <v>0</v>
      </c>
      <c r="AB34">
        <v>0</v>
      </c>
      <c r="AC34">
        <v>1</v>
      </c>
      <c r="AD34">
        <v>39.875</v>
      </c>
      <c r="AE34">
        <v>1</v>
      </c>
      <c r="AF34">
        <v>3</v>
      </c>
      <c r="AG34">
        <v>1</v>
      </c>
      <c r="AH34" t="s">
        <v>361</v>
      </c>
      <c r="AI34">
        <v>0</v>
      </c>
    </row>
    <row r="35" spans="1:35" x14ac:dyDescent="0.2">
      <c r="A35">
        <v>34</v>
      </c>
      <c r="B35" t="s">
        <v>484</v>
      </c>
      <c r="C35" t="s">
        <v>488</v>
      </c>
      <c r="D35" t="s">
        <v>363</v>
      </c>
      <c r="E35">
        <v>4</v>
      </c>
      <c r="F35">
        <v>-7.9089999999999998</v>
      </c>
      <c r="G35">
        <v>-52.432000000000002</v>
      </c>
      <c r="H35">
        <v>17090</v>
      </c>
      <c r="I35">
        <v>0</v>
      </c>
      <c r="J35">
        <v>1</v>
      </c>
      <c r="K35" t="s">
        <v>359</v>
      </c>
      <c r="L35" t="s">
        <v>359</v>
      </c>
      <c r="M35" t="s">
        <v>360</v>
      </c>
      <c r="N35">
        <v>1649121972.23</v>
      </c>
      <c r="O35">
        <v>0.20799999999999999</v>
      </c>
      <c r="P35">
        <v>0.38700000000000001</v>
      </c>
      <c r="Q35">
        <v>54.48</v>
      </c>
      <c r="R35">
        <v>0</v>
      </c>
      <c r="S35">
        <v>0</v>
      </c>
      <c r="T35">
        <v>1.3879999999999999</v>
      </c>
      <c r="U35">
        <v>100.935</v>
      </c>
      <c r="V35">
        <v>20.640999999999998</v>
      </c>
      <c r="W35">
        <v>2.4780000000000002</v>
      </c>
      <c r="X35">
        <v>95.278999999999996</v>
      </c>
      <c r="Y35">
        <v>0.99399999999999999</v>
      </c>
      <c r="Z35">
        <v>0.41599999999999998</v>
      </c>
      <c r="AA35">
        <v>0</v>
      </c>
      <c r="AB35">
        <v>0</v>
      </c>
      <c r="AC35">
        <v>1</v>
      </c>
      <c r="AD35">
        <v>39.75</v>
      </c>
      <c r="AE35">
        <v>1</v>
      </c>
      <c r="AF35">
        <v>3</v>
      </c>
      <c r="AG35">
        <v>1</v>
      </c>
      <c r="AH35" t="s">
        <v>361</v>
      </c>
      <c r="AI35">
        <v>0</v>
      </c>
    </row>
    <row r="36" spans="1:35" x14ac:dyDescent="0.2">
      <c r="A36">
        <v>35</v>
      </c>
      <c r="B36" t="s">
        <v>484</v>
      </c>
      <c r="C36" t="s">
        <v>489</v>
      </c>
      <c r="D36" t="s">
        <v>363</v>
      </c>
      <c r="E36">
        <v>5</v>
      </c>
      <c r="F36">
        <v>-7.94</v>
      </c>
      <c r="G36">
        <v>-52.401000000000003</v>
      </c>
      <c r="H36">
        <v>17189</v>
      </c>
      <c r="I36">
        <v>0</v>
      </c>
      <c r="J36">
        <v>1</v>
      </c>
      <c r="K36" t="s">
        <v>359</v>
      </c>
      <c r="L36" t="s">
        <v>359</v>
      </c>
      <c r="M36" t="s">
        <v>360</v>
      </c>
      <c r="N36">
        <v>1649122505.5699999</v>
      </c>
      <c r="O36">
        <v>0.20599999999999999</v>
      </c>
      <c r="P36">
        <v>0.375</v>
      </c>
      <c r="Q36">
        <v>59.244</v>
      </c>
      <c r="R36">
        <v>0</v>
      </c>
      <c r="S36">
        <v>2E-3</v>
      </c>
      <c r="T36">
        <v>1.4279999999999999</v>
      </c>
      <c r="U36">
        <v>101.61499999999999</v>
      </c>
      <c r="V36">
        <v>20.82</v>
      </c>
      <c r="W36">
        <v>2.456</v>
      </c>
      <c r="X36">
        <v>95.156000000000006</v>
      </c>
      <c r="Y36">
        <v>0.97199999999999998</v>
      </c>
      <c r="Z36">
        <v>0.4</v>
      </c>
      <c r="AA36">
        <v>0</v>
      </c>
      <c r="AB36">
        <v>0</v>
      </c>
      <c r="AC36">
        <v>1</v>
      </c>
      <c r="AD36">
        <v>39.75</v>
      </c>
      <c r="AE36">
        <v>1</v>
      </c>
      <c r="AF36">
        <v>3</v>
      </c>
      <c r="AG36">
        <v>1</v>
      </c>
      <c r="AH36" t="s">
        <v>361</v>
      </c>
      <c r="AI36">
        <v>0</v>
      </c>
    </row>
    <row r="37" spans="1:35" x14ac:dyDescent="0.2">
      <c r="A37">
        <v>36</v>
      </c>
      <c r="B37" t="s">
        <v>484</v>
      </c>
      <c r="C37" t="s">
        <v>490</v>
      </c>
      <c r="D37" t="s">
        <v>363</v>
      </c>
      <c r="E37">
        <v>6</v>
      </c>
      <c r="F37">
        <v>-7.9740000000000002</v>
      </c>
      <c r="G37">
        <v>-52.478000000000002</v>
      </c>
      <c r="H37">
        <v>17030</v>
      </c>
      <c r="I37">
        <v>0</v>
      </c>
      <c r="J37">
        <v>1</v>
      </c>
      <c r="K37" t="s">
        <v>359</v>
      </c>
      <c r="L37" t="s">
        <v>359</v>
      </c>
      <c r="M37" t="s">
        <v>360</v>
      </c>
      <c r="N37">
        <v>1649123042.9200001</v>
      </c>
      <c r="O37">
        <v>0.19400000000000001</v>
      </c>
      <c r="P37">
        <v>0.36799999999999999</v>
      </c>
      <c r="Q37">
        <v>59.094000000000001</v>
      </c>
      <c r="R37">
        <v>1E-3</v>
      </c>
      <c r="S37">
        <v>2E-3</v>
      </c>
      <c r="T37">
        <v>1.413</v>
      </c>
      <c r="U37">
        <v>100.48399999999999</v>
      </c>
      <c r="V37">
        <v>20.922000000000001</v>
      </c>
      <c r="W37">
        <v>2.4020000000000001</v>
      </c>
      <c r="X37">
        <v>94.284999999999997</v>
      </c>
      <c r="Y37">
        <v>0.99099999999999999</v>
      </c>
      <c r="Z37">
        <v>0.39400000000000002</v>
      </c>
      <c r="AA37">
        <v>0</v>
      </c>
      <c r="AB37">
        <v>0</v>
      </c>
      <c r="AC37">
        <v>1</v>
      </c>
      <c r="AD37">
        <v>39.811999999999998</v>
      </c>
      <c r="AE37">
        <v>1</v>
      </c>
      <c r="AF37">
        <v>3</v>
      </c>
      <c r="AG37">
        <v>1</v>
      </c>
      <c r="AH37" t="s">
        <v>361</v>
      </c>
      <c r="AI37">
        <v>0</v>
      </c>
    </row>
    <row r="38" spans="1:35" x14ac:dyDescent="0.2">
      <c r="A38">
        <v>37</v>
      </c>
      <c r="B38" t="s">
        <v>484</v>
      </c>
      <c r="C38" t="s">
        <v>491</v>
      </c>
      <c r="D38" t="s">
        <v>363</v>
      </c>
      <c r="E38">
        <v>7</v>
      </c>
      <c r="F38">
        <v>-7.9489999999999998</v>
      </c>
      <c r="G38">
        <v>-52.689</v>
      </c>
      <c r="H38">
        <v>17109</v>
      </c>
      <c r="I38">
        <v>0</v>
      </c>
      <c r="J38">
        <v>1</v>
      </c>
      <c r="K38" t="s">
        <v>359</v>
      </c>
      <c r="L38" t="s">
        <v>359</v>
      </c>
      <c r="M38" t="s">
        <v>360</v>
      </c>
      <c r="N38">
        <v>1649123579.28</v>
      </c>
      <c r="O38">
        <v>0.2</v>
      </c>
      <c r="P38">
        <v>0.39300000000000002</v>
      </c>
      <c r="Q38">
        <v>58.078000000000003</v>
      </c>
      <c r="R38">
        <v>0</v>
      </c>
      <c r="S38">
        <v>1E-3</v>
      </c>
      <c r="T38">
        <v>1.387</v>
      </c>
      <c r="U38">
        <v>101.15300000000001</v>
      </c>
      <c r="V38">
        <v>20.626000000000001</v>
      </c>
      <c r="W38">
        <v>2.3980000000000001</v>
      </c>
      <c r="X38">
        <v>95.001999999999995</v>
      </c>
      <c r="Y38">
        <v>0.98799999999999999</v>
      </c>
      <c r="Z38">
        <v>0.40200000000000002</v>
      </c>
      <c r="AA38">
        <v>0</v>
      </c>
      <c r="AB38">
        <v>0</v>
      </c>
      <c r="AC38">
        <v>1</v>
      </c>
      <c r="AD38">
        <v>39.875</v>
      </c>
      <c r="AE38">
        <v>1</v>
      </c>
      <c r="AF38">
        <v>3</v>
      </c>
      <c r="AG38">
        <v>1</v>
      </c>
      <c r="AH38" t="s">
        <v>361</v>
      </c>
      <c r="AI38">
        <v>0</v>
      </c>
    </row>
    <row r="39" spans="1:35" x14ac:dyDescent="0.2">
      <c r="A39">
        <v>38</v>
      </c>
      <c r="B39" t="s">
        <v>484</v>
      </c>
      <c r="C39" t="s">
        <v>492</v>
      </c>
      <c r="D39" t="s">
        <v>363</v>
      </c>
      <c r="E39">
        <v>8</v>
      </c>
      <c r="F39">
        <v>-7.9589999999999996</v>
      </c>
      <c r="G39">
        <v>-52.673000000000002</v>
      </c>
      <c r="H39">
        <v>17088</v>
      </c>
      <c r="I39">
        <v>0</v>
      </c>
      <c r="J39">
        <v>1</v>
      </c>
      <c r="K39" t="s">
        <v>359</v>
      </c>
      <c r="L39" t="s">
        <v>359</v>
      </c>
      <c r="M39" t="s">
        <v>360</v>
      </c>
      <c r="N39">
        <v>1649124118.76</v>
      </c>
      <c r="O39">
        <v>0.215</v>
      </c>
      <c r="P39">
        <v>0.40200000000000002</v>
      </c>
      <c r="Q39">
        <v>57.972000000000001</v>
      </c>
      <c r="R39">
        <v>1E-3</v>
      </c>
      <c r="S39">
        <v>1E-3</v>
      </c>
      <c r="T39">
        <v>1.39</v>
      </c>
      <c r="U39">
        <v>100.88800000000001</v>
      </c>
      <c r="V39">
        <v>20.797000000000001</v>
      </c>
      <c r="W39">
        <v>2.4580000000000002</v>
      </c>
      <c r="X39">
        <v>95.004000000000005</v>
      </c>
      <c r="Y39">
        <v>0.99</v>
      </c>
      <c r="Z39">
        <v>0.45600000000000002</v>
      </c>
      <c r="AA39">
        <v>0</v>
      </c>
      <c r="AB39">
        <v>0</v>
      </c>
      <c r="AC39">
        <v>1</v>
      </c>
      <c r="AD39">
        <v>39.811999999999998</v>
      </c>
      <c r="AE39">
        <v>1</v>
      </c>
      <c r="AF39">
        <v>3</v>
      </c>
      <c r="AG39">
        <v>1</v>
      </c>
      <c r="AH39" t="s">
        <v>361</v>
      </c>
      <c r="AI39">
        <v>0</v>
      </c>
    </row>
    <row r="40" spans="1:35" x14ac:dyDescent="0.2">
      <c r="A40">
        <v>39</v>
      </c>
      <c r="B40" t="s">
        <v>484</v>
      </c>
      <c r="C40" t="s">
        <v>493</v>
      </c>
      <c r="D40" t="s">
        <v>363</v>
      </c>
      <c r="E40">
        <v>9</v>
      </c>
      <c r="F40">
        <v>-7.9589999999999996</v>
      </c>
      <c r="G40">
        <v>-52.668999999999997</v>
      </c>
      <c r="H40">
        <v>17071</v>
      </c>
      <c r="I40">
        <v>0</v>
      </c>
      <c r="J40">
        <v>1</v>
      </c>
      <c r="K40" t="s">
        <v>359</v>
      </c>
      <c r="L40" t="s">
        <v>359</v>
      </c>
      <c r="M40" t="s">
        <v>360</v>
      </c>
      <c r="N40">
        <v>1649124655.8199999</v>
      </c>
      <c r="O40">
        <v>0.20699999999999999</v>
      </c>
      <c r="P40">
        <v>0.375</v>
      </c>
      <c r="Q40">
        <v>57.781999999999996</v>
      </c>
      <c r="R40">
        <v>1E-3</v>
      </c>
      <c r="S40">
        <v>0</v>
      </c>
      <c r="T40">
        <v>1.397</v>
      </c>
      <c r="U40">
        <v>100.833</v>
      </c>
      <c r="V40">
        <v>20.942</v>
      </c>
      <c r="W40">
        <v>2.39</v>
      </c>
      <c r="X40">
        <v>94.022000000000006</v>
      </c>
      <c r="Y40">
        <v>0.99</v>
      </c>
      <c r="Z40">
        <v>0.48399999999999999</v>
      </c>
      <c r="AA40">
        <v>0</v>
      </c>
      <c r="AB40">
        <v>0</v>
      </c>
      <c r="AC40">
        <v>1</v>
      </c>
      <c r="AD40">
        <v>39.875</v>
      </c>
      <c r="AE40">
        <v>1</v>
      </c>
      <c r="AF40">
        <v>3</v>
      </c>
      <c r="AG40">
        <v>1</v>
      </c>
      <c r="AH40" t="s">
        <v>361</v>
      </c>
      <c r="AI40">
        <v>0</v>
      </c>
    </row>
    <row r="41" spans="1:35" x14ac:dyDescent="0.2">
      <c r="A41">
        <v>40</v>
      </c>
      <c r="B41" t="s">
        <v>484</v>
      </c>
      <c r="C41" t="s">
        <v>494</v>
      </c>
      <c r="D41" t="s">
        <v>363</v>
      </c>
      <c r="E41">
        <v>10</v>
      </c>
      <c r="F41">
        <v>-7.9640000000000004</v>
      </c>
      <c r="G41">
        <v>-52.603000000000002</v>
      </c>
      <c r="H41">
        <v>17103</v>
      </c>
      <c r="I41">
        <v>0</v>
      </c>
      <c r="J41">
        <v>1</v>
      </c>
      <c r="K41" t="s">
        <v>359</v>
      </c>
      <c r="L41" t="s">
        <v>359</v>
      </c>
      <c r="M41" t="s">
        <v>360</v>
      </c>
      <c r="N41">
        <v>1649125193.54</v>
      </c>
      <c r="O41">
        <v>0.19400000000000001</v>
      </c>
      <c r="P41">
        <v>0.37</v>
      </c>
      <c r="Q41">
        <v>58.115000000000002</v>
      </c>
      <c r="R41">
        <v>1E-3</v>
      </c>
      <c r="S41">
        <v>1E-3</v>
      </c>
      <c r="T41">
        <v>1.391</v>
      </c>
      <c r="U41">
        <v>101.099</v>
      </c>
      <c r="V41">
        <v>20.846</v>
      </c>
      <c r="W41">
        <v>2.4369999999999998</v>
      </c>
      <c r="X41">
        <v>94.206999999999994</v>
      </c>
      <c r="Y41">
        <v>1.016</v>
      </c>
      <c r="Z41">
        <v>0.41</v>
      </c>
      <c r="AA41">
        <v>0</v>
      </c>
      <c r="AB41">
        <v>0</v>
      </c>
      <c r="AC41">
        <v>1</v>
      </c>
      <c r="AD41">
        <v>39.811999999999998</v>
      </c>
      <c r="AE41">
        <v>1</v>
      </c>
      <c r="AF41">
        <v>3</v>
      </c>
      <c r="AG41">
        <v>1</v>
      </c>
      <c r="AH41" t="s">
        <v>361</v>
      </c>
      <c r="AI41">
        <v>0</v>
      </c>
    </row>
    <row r="42" spans="1:35" x14ac:dyDescent="0.2">
      <c r="A42">
        <v>41</v>
      </c>
      <c r="B42" t="s">
        <v>484</v>
      </c>
      <c r="C42" t="s">
        <v>495</v>
      </c>
      <c r="D42" t="s">
        <v>363</v>
      </c>
      <c r="E42">
        <v>11</v>
      </c>
      <c r="F42">
        <v>-7.952</v>
      </c>
      <c r="G42">
        <v>-52.755000000000003</v>
      </c>
      <c r="H42">
        <v>17042</v>
      </c>
      <c r="I42">
        <v>0</v>
      </c>
      <c r="J42">
        <v>1</v>
      </c>
      <c r="K42" t="s">
        <v>359</v>
      </c>
      <c r="L42" t="s">
        <v>359</v>
      </c>
      <c r="M42" t="s">
        <v>360</v>
      </c>
      <c r="N42">
        <v>1649125731.47</v>
      </c>
      <c r="O42">
        <v>0.21099999999999999</v>
      </c>
      <c r="P42">
        <v>0.34499999999999997</v>
      </c>
      <c r="Q42">
        <v>57.734999999999999</v>
      </c>
      <c r="R42">
        <v>0</v>
      </c>
      <c r="S42">
        <v>1E-3</v>
      </c>
      <c r="T42">
        <v>1.393</v>
      </c>
      <c r="U42">
        <v>100.67100000000001</v>
      </c>
      <c r="V42">
        <v>20.936</v>
      </c>
      <c r="W42">
        <v>2.3730000000000002</v>
      </c>
      <c r="X42">
        <v>93.873999999999995</v>
      </c>
      <c r="Y42">
        <v>1.016</v>
      </c>
      <c r="Z42">
        <v>0.372</v>
      </c>
      <c r="AA42">
        <v>0</v>
      </c>
      <c r="AB42">
        <v>0</v>
      </c>
      <c r="AC42">
        <v>1</v>
      </c>
      <c r="AD42">
        <v>39.875</v>
      </c>
      <c r="AE42">
        <v>1</v>
      </c>
      <c r="AF42">
        <v>3</v>
      </c>
      <c r="AG42">
        <v>1</v>
      </c>
      <c r="AH42" t="s">
        <v>361</v>
      </c>
      <c r="AI42">
        <v>0</v>
      </c>
    </row>
    <row r="43" spans="1:35" x14ac:dyDescent="0.2">
      <c r="A43">
        <v>42</v>
      </c>
      <c r="B43" t="s">
        <v>484</v>
      </c>
      <c r="C43" t="s">
        <v>496</v>
      </c>
      <c r="D43" t="s">
        <v>363</v>
      </c>
      <c r="E43">
        <v>12</v>
      </c>
      <c r="F43">
        <v>-7.952</v>
      </c>
      <c r="G43">
        <v>-52.69</v>
      </c>
      <c r="H43">
        <v>17116</v>
      </c>
      <c r="I43">
        <v>0</v>
      </c>
      <c r="J43">
        <v>1</v>
      </c>
      <c r="K43" t="s">
        <v>359</v>
      </c>
      <c r="L43" t="s">
        <v>359</v>
      </c>
      <c r="M43" t="s">
        <v>360</v>
      </c>
      <c r="N43">
        <v>1649126269.1500001</v>
      </c>
      <c r="O43">
        <v>0.216</v>
      </c>
      <c r="P43">
        <v>0.41399999999999998</v>
      </c>
      <c r="Q43">
        <v>58.72</v>
      </c>
      <c r="R43">
        <v>1E-3</v>
      </c>
      <c r="S43">
        <v>0</v>
      </c>
      <c r="T43">
        <v>1.3979999999999999</v>
      </c>
      <c r="U43">
        <v>101.15600000000001</v>
      </c>
      <c r="V43">
        <v>20.893999999999998</v>
      </c>
      <c r="W43">
        <v>2.4079999999999999</v>
      </c>
      <c r="X43">
        <v>94.296999999999997</v>
      </c>
      <c r="Y43">
        <v>1.0349999999999999</v>
      </c>
      <c r="Z43">
        <v>0.34</v>
      </c>
      <c r="AA43">
        <v>0</v>
      </c>
      <c r="AB43">
        <v>0</v>
      </c>
      <c r="AC43">
        <v>1</v>
      </c>
      <c r="AD43">
        <v>39.811999999999998</v>
      </c>
      <c r="AE43">
        <v>1</v>
      </c>
      <c r="AF43">
        <v>3</v>
      </c>
      <c r="AG43">
        <v>1</v>
      </c>
      <c r="AH43" t="s">
        <v>361</v>
      </c>
      <c r="AI43">
        <v>0</v>
      </c>
    </row>
    <row r="44" spans="1:35" x14ac:dyDescent="0.2">
      <c r="A44">
        <v>43</v>
      </c>
      <c r="B44" t="s">
        <v>484</v>
      </c>
      <c r="C44" t="s">
        <v>497</v>
      </c>
      <c r="D44" t="s">
        <v>363</v>
      </c>
      <c r="E44">
        <v>13</v>
      </c>
      <c r="F44">
        <v>-7.9669999999999996</v>
      </c>
      <c r="G44">
        <v>-52.710999999999999</v>
      </c>
      <c r="H44">
        <v>16972</v>
      </c>
      <c r="I44">
        <v>0</v>
      </c>
      <c r="J44">
        <v>1</v>
      </c>
      <c r="K44" t="s">
        <v>359</v>
      </c>
      <c r="L44" t="s">
        <v>359</v>
      </c>
      <c r="M44" t="s">
        <v>360</v>
      </c>
      <c r="N44">
        <v>1649126807.0999999</v>
      </c>
      <c r="O44">
        <v>0.214</v>
      </c>
      <c r="P44">
        <v>0.38200000000000001</v>
      </c>
      <c r="Q44">
        <v>58.423999999999999</v>
      </c>
      <c r="R44">
        <v>1E-3</v>
      </c>
      <c r="S44">
        <v>1E-3</v>
      </c>
      <c r="T44">
        <v>1.409</v>
      </c>
      <c r="U44">
        <v>100.164</v>
      </c>
      <c r="V44">
        <v>21.13</v>
      </c>
      <c r="W44">
        <v>2.3319999999999999</v>
      </c>
      <c r="X44">
        <v>93.051000000000002</v>
      </c>
      <c r="Y44">
        <v>1.0229999999999999</v>
      </c>
      <c r="Z44">
        <v>0.312</v>
      </c>
      <c r="AA44">
        <v>0</v>
      </c>
      <c r="AB44">
        <v>0</v>
      </c>
      <c r="AC44">
        <v>1</v>
      </c>
      <c r="AD44">
        <v>39.811999999999998</v>
      </c>
      <c r="AE44">
        <v>1</v>
      </c>
      <c r="AF44">
        <v>3</v>
      </c>
      <c r="AG44">
        <v>1</v>
      </c>
      <c r="AH44" t="s">
        <v>361</v>
      </c>
      <c r="AI44">
        <v>0</v>
      </c>
    </row>
    <row r="45" spans="1:35" x14ac:dyDescent="0.2">
      <c r="A45">
        <v>44</v>
      </c>
      <c r="B45" t="s">
        <v>484</v>
      </c>
      <c r="C45" t="s">
        <v>498</v>
      </c>
      <c r="D45" t="s">
        <v>363</v>
      </c>
      <c r="E45">
        <v>14</v>
      </c>
      <c r="F45">
        <v>-7.9870000000000001</v>
      </c>
      <c r="G45">
        <v>-52.715000000000003</v>
      </c>
      <c r="H45">
        <v>16934</v>
      </c>
      <c r="I45">
        <v>0</v>
      </c>
      <c r="J45">
        <v>1</v>
      </c>
      <c r="K45" t="s">
        <v>359</v>
      </c>
      <c r="L45" t="s">
        <v>359</v>
      </c>
      <c r="M45" t="s">
        <v>360</v>
      </c>
      <c r="N45">
        <v>1649127344.4300001</v>
      </c>
      <c r="O45">
        <v>0.20100000000000001</v>
      </c>
      <c r="P45">
        <v>0.36599999999999999</v>
      </c>
      <c r="Q45">
        <v>58.677999999999997</v>
      </c>
      <c r="R45">
        <v>0</v>
      </c>
      <c r="S45">
        <v>1E-3</v>
      </c>
      <c r="T45">
        <v>1.407</v>
      </c>
      <c r="U45">
        <v>100.22199999999999</v>
      </c>
      <c r="V45">
        <v>20.745999999999999</v>
      </c>
      <c r="W45">
        <v>2.3340000000000001</v>
      </c>
      <c r="X45">
        <v>92.096999999999994</v>
      </c>
      <c r="Y45">
        <v>1.0589999999999999</v>
      </c>
      <c r="Z45">
        <v>0.02</v>
      </c>
      <c r="AA45">
        <v>0</v>
      </c>
      <c r="AB45">
        <v>0</v>
      </c>
      <c r="AC45">
        <v>1</v>
      </c>
      <c r="AD45">
        <v>39.875</v>
      </c>
      <c r="AE45">
        <v>1</v>
      </c>
      <c r="AF45">
        <v>3</v>
      </c>
      <c r="AG45">
        <v>1</v>
      </c>
      <c r="AH45" t="s">
        <v>361</v>
      </c>
      <c r="AI45">
        <v>0</v>
      </c>
    </row>
    <row r="46" spans="1:35" x14ac:dyDescent="0.2">
      <c r="A46">
        <v>45</v>
      </c>
      <c r="B46" t="s">
        <v>484</v>
      </c>
      <c r="C46" t="s">
        <v>499</v>
      </c>
      <c r="D46" t="s">
        <v>363</v>
      </c>
      <c r="E46">
        <v>15</v>
      </c>
      <c r="F46">
        <v>-7.9489999999999998</v>
      </c>
      <c r="G46">
        <v>-52.728000000000002</v>
      </c>
      <c r="H46">
        <v>16991</v>
      </c>
      <c r="I46">
        <v>0</v>
      </c>
      <c r="J46">
        <v>1</v>
      </c>
      <c r="K46" t="s">
        <v>359</v>
      </c>
      <c r="L46" t="s">
        <v>359</v>
      </c>
      <c r="M46" t="s">
        <v>360</v>
      </c>
      <c r="N46">
        <v>1649127881.55</v>
      </c>
      <c r="O46">
        <v>0.23300000000000001</v>
      </c>
      <c r="P46">
        <v>0.38100000000000001</v>
      </c>
      <c r="Q46">
        <v>57.902000000000001</v>
      </c>
      <c r="R46">
        <v>1E-3</v>
      </c>
      <c r="S46">
        <v>-1E-3</v>
      </c>
      <c r="T46">
        <v>1.3879999999999999</v>
      </c>
      <c r="U46">
        <v>100.205</v>
      </c>
      <c r="V46">
        <v>21.181000000000001</v>
      </c>
      <c r="W46">
        <v>2.3839999999999999</v>
      </c>
      <c r="X46">
        <v>93.421000000000006</v>
      </c>
      <c r="Y46">
        <v>1.0620000000000001</v>
      </c>
      <c r="Z46">
        <v>0.4</v>
      </c>
      <c r="AA46">
        <v>0</v>
      </c>
      <c r="AB46">
        <v>0</v>
      </c>
      <c r="AC46">
        <v>1</v>
      </c>
      <c r="AD46">
        <v>39.75</v>
      </c>
      <c r="AE46">
        <v>1</v>
      </c>
      <c r="AF46">
        <v>3</v>
      </c>
      <c r="AG46">
        <v>1</v>
      </c>
      <c r="AH46" t="s">
        <v>361</v>
      </c>
      <c r="AI46">
        <v>0</v>
      </c>
    </row>
    <row r="47" spans="1:35" x14ac:dyDescent="0.2">
      <c r="A47">
        <v>46</v>
      </c>
      <c r="B47" t="s">
        <v>500</v>
      </c>
      <c r="C47" t="s">
        <v>501</v>
      </c>
      <c r="D47" t="s">
        <v>364</v>
      </c>
      <c r="E47">
        <v>1</v>
      </c>
      <c r="F47">
        <v>-4.7850000000000001</v>
      </c>
      <c r="G47">
        <v>-25.943000000000001</v>
      </c>
      <c r="H47">
        <v>17300</v>
      </c>
      <c r="I47">
        <v>-1</v>
      </c>
      <c r="J47">
        <v>1</v>
      </c>
      <c r="K47" t="s">
        <v>359</v>
      </c>
      <c r="L47" t="s">
        <v>359</v>
      </c>
      <c r="M47" t="s">
        <v>360</v>
      </c>
      <c r="N47">
        <v>1649128421.1800001</v>
      </c>
      <c r="O47">
        <v>0.218</v>
      </c>
      <c r="P47">
        <v>0.39600000000000002</v>
      </c>
      <c r="Q47">
        <v>60.456000000000003</v>
      </c>
      <c r="R47">
        <v>0</v>
      </c>
      <c r="S47">
        <v>-2E-3</v>
      </c>
      <c r="T47">
        <v>1.452</v>
      </c>
      <c r="U47">
        <v>102.53700000000001</v>
      </c>
      <c r="V47">
        <v>20.731000000000002</v>
      </c>
      <c r="W47">
        <v>2.44</v>
      </c>
      <c r="X47">
        <v>94.866</v>
      </c>
      <c r="Y47">
        <v>1.083</v>
      </c>
      <c r="Z47">
        <v>0.128</v>
      </c>
      <c r="AA47">
        <v>0</v>
      </c>
      <c r="AB47">
        <v>0</v>
      </c>
      <c r="AC47">
        <v>1</v>
      </c>
      <c r="AD47">
        <v>39.875</v>
      </c>
      <c r="AE47">
        <v>1</v>
      </c>
      <c r="AF47">
        <v>4</v>
      </c>
      <c r="AG47">
        <v>1</v>
      </c>
      <c r="AH47" t="s">
        <v>361</v>
      </c>
      <c r="AI47">
        <v>0</v>
      </c>
    </row>
    <row r="48" spans="1:35" x14ac:dyDescent="0.2">
      <c r="A48">
        <v>47</v>
      </c>
      <c r="B48" t="s">
        <v>500</v>
      </c>
      <c r="C48" t="s">
        <v>502</v>
      </c>
      <c r="D48" t="s">
        <v>364</v>
      </c>
      <c r="E48">
        <v>2</v>
      </c>
      <c r="F48">
        <v>-4.5620000000000003</v>
      </c>
      <c r="G48">
        <v>-23.696999999999999</v>
      </c>
      <c r="H48">
        <v>17237</v>
      </c>
      <c r="I48">
        <v>-1</v>
      </c>
      <c r="J48">
        <v>1</v>
      </c>
      <c r="K48" t="s">
        <v>359</v>
      </c>
      <c r="L48" t="s">
        <v>359</v>
      </c>
      <c r="M48" t="s">
        <v>360</v>
      </c>
      <c r="N48">
        <v>1649128957.8</v>
      </c>
      <c r="O48">
        <v>0.184</v>
      </c>
      <c r="P48">
        <v>0.37</v>
      </c>
      <c r="Q48">
        <v>58.46</v>
      </c>
      <c r="R48">
        <v>0</v>
      </c>
      <c r="S48">
        <v>-2E-3</v>
      </c>
      <c r="T48">
        <v>1.399</v>
      </c>
      <c r="U48">
        <v>102.004</v>
      </c>
      <c r="V48">
        <v>21.154</v>
      </c>
      <c r="W48">
        <v>2.38</v>
      </c>
      <c r="X48">
        <v>94.003</v>
      </c>
      <c r="Y48">
        <v>1.0860000000000001</v>
      </c>
      <c r="Z48">
        <v>0.104</v>
      </c>
      <c r="AA48">
        <v>0</v>
      </c>
      <c r="AB48">
        <v>0</v>
      </c>
      <c r="AC48">
        <v>1</v>
      </c>
      <c r="AD48">
        <v>39.811999999999998</v>
      </c>
      <c r="AE48">
        <v>1</v>
      </c>
      <c r="AF48">
        <v>4</v>
      </c>
      <c r="AG48">
        <v>1</v>
      </c>
      <c r="AH48" t="s">
        <v>361</v>
      </c>
      <c r="AI48">
        <v>0</v>
      </c>
    </row>
    <row r="49" spans="1:35" x14ac:dyDescent="0.2">
      <c r="A49">
        <v>48</v>
      </c>
      <c r="B49" t="s">
        <v>500</v>
      </c>
      <c r="C49" t="s">
        <v>503</v>
      </c>
      <c r="D49" t="s">
        <v>364</v>
      </c>
      <c r="E49">
        <v>3</v>
      </c>
      <c r="F49">
        <v>-4.5780000000000003</v>
      </c>
      <c r="G49">
        <v>-23.187000000000001</v>
      </c>
      <c r="H49">
        <v>17219</v>
      </c>
      <c r="I49">
        <v>-1</v>
      </c>
      <c r="J49">
        <v>1</v>
      </c>
      <c r="K49" t="s">
        <v>359</v>
      </c>
      <c r="L49" t="s">
        <v>359</v>
      </c>
      <c r="M49" t="s">
        <v>360</v>
      </c>
      <c r="N49">
        <v>1649129495.96</v>
      </c>
      <c r="O49">
        <v>0.22600000000000001</v>
      </c>
      <c r="P49">
        <v>0.43</v>
      </c>
      <c r="Q49">
        <v>59.203000000000003</v>
      </c>
      <c r="R49">
        <v>1E-3</v>
      </c>
      <c r="S49">
        <v>-2E-3</v>
      </c>
      <c r="T49">
        <v>1.423</v>
      </c>
      <c r="U49">
        <v>101.804</v>
      </c>
      <c r="V49">
        <v>20.579000000000001</v>
      </c>
      <c r="W49">
        <v>2.46</v>
      </c>
      <c r="X49">
        <v>96.051000000000002</v>
      </c>
      <c r="Y49">
        <v>1.0680000000000001</v>
      </c>
      <c r="Z49">
        <v>0.45100000000000001</v>
      </c>
      <c r="AA49">
        <v>0</v>
      </c>
      <c r="AB49">
        <v>0</v>
      </c>
      <c r="AC49">
        <v>1</v>
      </c>
      <c r="AD49">
        <v>39.75</v>
      </c>
      <c r="AE49">
        <v>1</v>
      </c>
      <c r="AF49">
        <v>4</v>
      </c>
      <c r="AG49">
        <v>1</v>
      </c>
      <c r="AH49" t="s">
        <v>361</v>
      </c>
      <c r="AI49">
        <v>0</v>
      </c>
    </row>
    <row r="50" spans="1:35" x14ac:dyDescent="0.2">
      <c r="A50">
        <v>49</v>
      </c>
      <c r="B50" t="s">
        <v>500</v>
      </c>
      <c r="C50" t="s">
        <v>504</v>
      </c>
      <c r="D50" t="s">
        <v>364</v>
      </c>
      <c r="E50">
        <v>4</v>
      </c>
      <c r="F50">
        <v>-4.5289999999999999</v>
      </c>
      <c r="G50">
        <v>-22.882999999999999</v>
      </c>
      <c r="H50">
        <v>17341</v>
      </c>
      <c r="I50">
        <v>0</v>
      </c>
      <c r="J50">
        <v>1</v>
      </c>
      <c r="K50" t="s">
        <v>359</v>
      </c>
      <c r="L50" t="s">
        <v>359</v>
      </c>
      <c r="M50" t="s">
        <v>360</v>
      </c>
      <c r="N50">
        <v>1649130032.1500001</v>
      </c>
      <c r="O50">
        <v>0.187</v>
      </c>
      <c r="P50">
        <v>0.36799999999999999</v>
      </c>
      <c r="Q50">
        <v>58.936999999999998</v>
      </c>
      <c r="R50">
        <v>0</v>
      </c>
      <c r="S50">
        <v>-2E-3</v>
      </c>
      <c r="T50">
        <v>1.411</v>
      </c>
      <c r="U50">
        <v>102.55500000000001</v>
      </c>
      <c r="V50">
        <v>21.187000000000001</v>
      </c>
      <c r="W50">
        <v>2.4620000000000002</v>
      </c>
      <c r="X50">
        <v>95.221999999999994</v>
      </c>
      <c r="Y50">
        <v>1.0900000000000001</v>
      </c>
      <c r="Z50">
        <v>0.40300000000000002</v>
      </c>
      <c r="AA50">
        <v>0</v>
      </c>
      <c r="AB50">
        <v>0</v>
      </c>
      <c r="AC50">
        <v>1</v>
      </c>
      <c r="AD50">
        <v>39.875</v>
      </c>
      <c r="AE50">
        <v>1</v>
      </c>
      <c r="AF50">
        <v>4</v>
      </c>
      <c r="AG50">
        <v>1</v>
      </c>
      <c r="AH50" t="s">
        <v>361</v>
      </c>
      <c r="AI50">
        <v>0</v>
      </c>
    </row>
    <row r="51" spans="1:35" x14ac:dyDescent="0.2">
      <c r="A51">
        <v>50</v>
      </c>
      <c r="B51" t="s">
        <v>500</v>
      </c>
      <c r="C51" t="s">
        <v>505</v>
      </c>
      <c r="D51" t="s">
        <v>364</v>
      </c>
      <c r="E51">
        <v>5</v>
      </c>
      <c r="F51">
        <v>-4.5149999999999997</v>
      </c>
      <c r="G51">
        <v>-22.587</v>
      </c>
      <c r="H51">
        <v>17473</v>
      </c>
      <c r="I51">
        <v>0</v>
      </c>
      <c r="J51">
        <v>1</v>
      </c>
      <c r="K51" t="s">
        <v>359</v>
      </c>
      <c r="L51" t="s">
        <v>359</v>
      </c>
      <c r="M51" t="s">
        <v>360</v>
      </c>
      <c r="N51">
        <v>1649130570.4400001</v>
      </c>
      <c r="O51">
        <v>0.21099999999999999</v>
      </c>
      <c r="P51">
        <v>0.38700000000000001</v>
      </c>
      <c r="Q51">
        <v>60.993000000000002</v>
      </c>
      <c r="R51">
        <v>2E-3</v>
      </c>
      <c r="S51">
        <v>0</v>
      </c>
      <c r="T51">
        <v>1.4610000000000001</v>
      </c>
      <c r="U51">
        <v>103.38500000000001</v>
      </c>
      <c r="V51">
        <v>20.69</v>
      </c>
      <c r="W51">
        <v>2.5910000000000002</v>
      </c>
      <c r="X51">
        <v>97.756</v>
      </c>
      <c r="Y51">
        <v>1.095</v>
      </c>
      <c r="Z51">
        <v>0.49</v>
      </c>
      <c r="AA51">
        <v>0</v>
      </c>
      <c r="AB51">
        <v>0</v>
      </c>
      <c r="AC51">
        <v>1</v>
      </c>
      <c r="AD51">
        <v>39.811999999999998</v>
      </c>
      <c r="AE51">
        <v>1</v>
      </c>
      <c r="AF51">
        <v>4</v>
      </c>
      <c r="AG51">
        <v>1</v>
      </c>
      <c r="AH51" t="s">
        <v>361</v>
      </c>
      <c r="AI51">
        <v>0</v>
      </c>
    </row>
    <row r="52" spans="1:35" x14ac:dyDescent="0.2">
      <c r="A52">
        <v>51</v>
      </c>
      <c r="B52" t="s">
        <v>500</v>
      </c>
      <c r="C52" t="s">
        <v>506</v>
      </c>
      <c r="D52" t="s">
        <v>364</v>
      </c>
      <c r="E52">
        <v>6</v>
      </c>
      <c r="F52">
        <v>-4.5359999999999996</v>
      </c>
      <c r="G52">
        <v>-22.861999999999998</v>
      </c>
      <c r="H52">
        <v>17117</v>
      </c>
      <c r="I52">
        <v>0</v>
      </c>
      <c r="J52">
        <v>1</v>
      </c>
      <c r="K52" t="s">
        <v>359</v>
      </c>
      <c r="L52" t="s">
        <v>359</v>
      </c>
      <c r="M52" t="s">
        <v>360</v>
      </c>
      <c r="N52">
        <v>1649131107.7</v>
      </c>
      <c r="O52">
        <v>0.20200000000000001</v>
      </c>
      <c r="P52">
        <v>0.42</v>
      </c>
      <c r="Q52">
        <v>59.26</v>
      </c>
      <c r="R52">
        <v>0</v>
      </c>
      <c r="S52">
        <v>-2E-3</v>
      </c>
      <c r="T52">
        <v>1.4219999999999999</v>
      </c>
      <c r="U52">
        <v>101.34099999999999</v>
      </c>
      <c r="V52">
        <v>20.675999999999998</v>
      </c>
      <c r="W52">
        <v>2.4239999999999999</v>
      </c>
      <c r="X52">
        <v>93.891000000000005</v>
      </c>
      <c r="Y52">
        <v>1.083</v>
      </c>
      <c r="Z52">
        <v>0.20300000000000001</v>
      </c>
      <c r="AA52">
        <v>0</v>
      </c>
      <c r="AB52">
        <v>0</v>
      </c>
      <c r="AC52">
        <v>1</v>
      </c>
      <c r="AD52">
        <v>39.811999999999998</v>
      </c>
      <c r="AE52">
        <v>1</v>
      </c>
      <c r="AF52">
        <v>4</v>
      </c>
      <c r="AG52">
        <v>1</v>
      </c>
      <c r="AH52" t="s">
        <v>361</v>
      </c>
      <c r="AI52">
        <v>0</v>
      </c>
    </row>
    <row r="53" spans="1:35" x14ac:dyDescent="0.2">
      <c r="A53">
        <v>52</v>
      </c>
      <c r="B53" t="s">
        <v>500</v>
      </c>
      <c r="C53" t="s">
        <v>507</v>
      </c>
      <c r="D53" t="s">
        <v>364</v>
      </c>
      <c r="E53">
        <v>7</v>
      </c>
      <c r="F53">
        <v>-4.5659999999999998</v>
      </c>
      <c r="G53">
        <v>-22.702999999999999</v>
      </c>
      <c r="H53">
        <v>17082</v>
      </c>
      <c r="I53">
        <v>0</v>
      </c>
      <c r="J53">
        <v>1</v>
      </c>
      <c r="K53" t="s">
        <v>359</v>
      </c>
      <c r="L53" t="s">
        <v>359</v>
      </c>
      <c r="M53" t="s">
        <v>360</v>
      </c>
      <c r="N53">
        <v>1649131646.23</v>
      </c>
      <c r="O53">
        <v>0.217</v>
      </c>
      <c r="P53">
        <v>0.40600000000000003</v>
      </c>
      <c r="Q53">
        <v>62.036000000000001</v>
      </c>
      <c r="R53">
        <v>2E-3</v>
      </c>
      <c r="S53">
        <v>0</v>
      </c>
      <c r="T53">
        <v>1.4970000000000001</v>
      </c>
      <c r="U53">
        <v>101.057</v>
      </c>
      <c r="V53">
        <v>20.672000000000001</v>
      </c>
      <c r="W53">
        <v>2.4260000000000002</v>
      </c>
      <c r="X53">
        <v>93.998999999999995</v>
      </c>
      <c r="Y53">
        <v>1.081</v>
      </c>
      <c r="Z53">
        <v>0.26200000000000001</v>
      </c>
      <c r="AA53">
        <v>0</v>
      </c>
      <c r="AB53">
        <v>0</v>
      </c>
      <c r="AC53">
        <v>1</v>
      </c>
      <c r="AD53">
        <v>39.75</v>
      </c>
      <c r="AE53">
        <v>1</v>
      </c>
      <c r="AF53">
        <v>4</v>
      </c>
      <c r="AG53">
        <v>1</v>
      </c>
      <c r="AH53" t="s">
        <v>361</v>
      </c>
      <c r="AI53">
        <v>0</v>
      </c>
    </row>
    <row r="54" spans="1:35" x14ac:dyDescent="0.2">
      <c r="A54">
        <v>53</v>
      </c>
      <c r="B54" t="s">
        <v>500</v>
      </c>
      <c r="C54" t="s">
        <v>508</v>
      </c>
      <c r="D54" t="s">
        <v>364</v>
      </c>
      <c r="E54">
        <v>8</v>
      </c>
      <c r="F54">
        <v>-4.524</v>
      </c>
      <c r="G54">
        <v>-22.719000000000001</v>
      </c>
      <c r="H54">
        <v>16934</v>
      </c>
      <c r="I54">
        <v>0</v>
      </c>
      <c r="J54">
        <v>1</v>
      </c>
      <c r="K54" t="s">
        <v>359</v>
      </c>
      <c r="L54" t="s">
        <v>359</v>
      </c>
      <c r="M54" t="s">
        <v>360</v>
      </c>
      <c r="N54">
        <v>1649132183.28</v>
      </c>
      <c r="O54">
        <v>0.188</v>
      </c>
      <c r="P54">
        <v>0.40699999999999997</v>
      </c>
      <c r="Q54">
        <v>59.262999999999998</v>
      </c>
      <c r="R54">
        <v>0</v>
      </c>
      <c r="S54">
        <v>-1E-3</v>
      </c>
      <c r="T54">
        <v>1.4319999999999999</v>
      </c>
      <c r="U54">
        <v>99.965000000000003</v>
      </c>
      <c r="V54">
        <v>20.602</v>
      </c>
      <c r="W54">
        <v>2.4159999999999999</v>
      </c>
      <c r="X54">
        <v>93.867999999999995</v>
      </c>
      <c r="Y54">
        <v>1.069</v>
      </c>
      <c r="Z54">
        <v>0.36199999999999999</v>
      </c>
      <c r="AA54">
        <v>0</v>
      </c>
      <c r="AB54">
        <v>0</v>
      </c>
      <c r="AC54">
        <v>1</v>
      </c>
      <c r="AD54">
        <v>39.811999999999998</v>
      </c>
      <c r="AE54">
        <v>1</v>
      </c>
      <c r="AF54">
        <v>4</v>
      </c>
      <c r="AG54">
        <v>1</v>
      </c>
      <c r="AH54" t="s">
        <v>361</v>
      </c>
      <c r="AI54">
        <v>0</v>
      </c>
    </row>
    <row r="55" spans="1:35" x14ac:dyDescent="0.2">
      <c r="A55">
        <v>54</v>
      </c>
      <c r="B55" t="s">
        <v>500</v>
      </c>
      <c r="C55" t="s">
        <v>509</v>
      </c>
      <c r="D55" t="s">
        <v>364</v>
      </c>
      <c r="E55">
        <v>9</v>
      </c>
      <c r="F55">
        <v>-4.4740000000000002</v>
      </c>
      <c r="G55">
        <v>-22.637</v>
      </c>
      <c r="H55">
        <v>17046</v>
      </c>
      <c r="I55">
        <v>0</v>
      </c>
      <c r="J55">
        <v>1</v>
      </c>
      <c r="K55" t="s">
        <v>359</v>
      </c>
      <c r="L55" t="s">
        <v>359</v>
      </c>
      <c r="M55" t="s">
        <v>360</v>
      </c>
      <c r="N55">
        <v>1649132721.7</v>
      </c>
      <c r="O55">
        <v>0.20399999999999999</v>
      </c>
      <c r="P55">
        <v>0.41499999999999998</v>
      </c>
      <c r="Q55">
        <v>59.396999999999998</v>
      </c>
      <c r="R55">
        <v>1E-3</v>
      </c>
      <c r="S55">
        <v>0</v>
      </c>
      <c r="T55">
        <v>1.423</v>
      </c>
      <c r="U55">
        <v>100.697</v>
      </c>
      <c r="V55">
        <v>21.087</v>
      </c>
      <c r="W55">
        <v>2.3849999999999998</v>
      </c>
      <c r="X55">
        <v>93.001000000000005</v>
      </c>
      <c r="Y55">
        <v>1.08</v>
      </c>
      <c r="Z55">
        <v>0.24099999999999999</v>
      </c>
      <c r="AA55">
        <v>0</v>
      </c>
      <c r="AB55">
        <v>0</v>
      </c>
      <c r="AC55">
        <v>1</v>
      </c>
      <c r="AD55">
        <v>39.811999999999998</v>
      </c>
      <c r="AE55">
        <v>1</v>
      </c>
      <c r="AF55">
        <v>4</v>
      </c>
      <c r="AG55">
        <v>1</v>
      </c>
      <c r="AH55" t="s">
        <v>361</v>
      </c>
      <c r="AI55">
        <v>0</v>
      </c>
    </row>
    <row r="56" spans="1:35" x14ac:dyDescent="0.2">
      <c r="A56">
        <v>55</v>
      </c>
      <c r="B56" t="s">
        <v>500</v>
      </c>
      <c r="C56" t="s">
        <v>510</v>
      </c>
      <c r="D56" t="s">
        <v>364</v>
      </c>
      <c r="E56">
        <v>10</v>
      </c>
      <c r="F56">
        <v>-4.4790000000000001</v>
      </c>
      <c r="G56">
        <v>-22.597000000000001</v>
      </c>
      <c r="H56">
        <v>17072</v>
      </c>
      <c r="I56">
        <v>0</v>
      </c>
      <c r="J56">
        <v>1</v>
      </c>
      <c r="K56" t="s">
        <v>359</v>
      </c>
      <c r="L56" t="s">
        <v>359</v>
      </c>
      <c r="M56" t="s">
        <v>360</v>
      </c>
      <c r="N56">
        <v>1649133265.6900001</v>
      </c>
      <c r="O56">
        <v>0.20499999999999999</v>
      </c>
      <c r="P56">
        <v>0.44500000000000001</v>
      </c>
      <c r="Q56">
        <v>52.427</v>
      </c>
      <c r="R56">
        <v>0</v>
      </c>
      <c r="S56">
        <v>-3.0000000000000001E-3</v>
      </c>
      <c r="T56">
        <v>1.375</v>
      </c>
      <c r="U56">
        <v>100.706</v>
      </c>
      <c r="V56">
        <v>21.33</v>
      </c>
      <c r="W56">
        <v>2.4140000000000001</v>
      </c>
      <c r="X56">
        <v>93.57</v>
      </c>
      <c r="Y56">
        <v>1.0860000000000001</v>
      </c>
      <c r="Z56">
        <v>0.248</v>
      </c>
      <c r="AA56">
        <v>0</v>
      </c>
      <c r="AB56">
        <v>0</v>
      </c>
      <c r="AC56">
        <v>1</v>
      </c>
      <c r="AD56">
        <v>39.75</v>
      </c>
      <c r="AE56">
        <v>1</v>
      </c>
      <c r="AF56">
        <v>4</v>
      </c>
      <c r="AG56">
        <v>1</v>
      </c>
      <c r="AH56" t="s">
        <v>361</v>
      </c>
      <c r="AI56">
        <v>0</v>
      </c>
    </row>
    <row r="57" spans="1:35" x14ac:dyDescent="0.2">
      <c r="A57">
        <v>56</v>
      </c>
      <c r="B57" t="s">
        <v>500</v>
      </c>
      <c r="C57" t="s">
        <v>511</v>
      </c>
      <c r="D57" t="s">
        <v>364</v>
      </c>
      <c r="E57">
        <v>11</v>
      </c>
      <c r="F57">
        <v>-4.4930000000000003</v>
      </c>
      <c r="G57">
        <v>-22.481999999999999</v>
      </c>
      <c r="H57">
        <v>16981</v>
      </c>
      <c r="I57">
        <v>0</v>
      </c>
      <c r="J57">
        <v>1</v>
      </c>
      <c r="K57" t="s">
        <v>359</v>
      </c>
      <c r="L57" t="s">
        <v>359</v>
      </c>
      <c r="M57" t="s">
        <v>360</v>
      </c>
      <c r="N57">
        <v>1649133797.49</v>
      </c>
      <c r="O57">
        <v>0.215</v>
      </c>
      <c r="P57">
        <v>0.41099999999999998</v>
      </c>
      <c r="Q57">
        <v>61.594000000000001</v>
      </c>
      <c r="R57">
        <v>1E-3</v>
      </c>
      <c r="S57">
        <v>1E-3</v>
      </c>
      <c r="T57">
        <v>1.47</v>
      </c>
      <c r="U57">
        <v>100.31699999999999</v>
      </c>
      <c r="V57">
        <v>20.62</v>
      </c>
      <c r="W57">
        <v>2.3919999999999999</v>
      </c>
      <c r="X57">
        <v>93.763999999999996</v>
      </c>
      <c r="Y57">
        <v>1.0900000000000001</v>
      </c>
      <c r="Z57">
        <v>0.32800000000000001</v>
      </c>
      <c r="AA57">
        <v>0</v>
      </c>
      <c r="AB57">
        <v>0</v>
      </c>
      <c r="AC57">
        <v>1</v>
      </c>
      <c r="AD57">
        <v>39.75</v>
      </c>
      <c r="AE57">
        <v>1</v>
      </c>
      <c r="AF57">
        <v>4</v>
      </c>
      <c r="AG57">
        <v>1</v>
      </c>
      <c r="AH57" t="s">
        <v>361</v>
      </c>
      <c r="AI57">
        <v>0</v>
      </c>
    </row>
    <row r="58" spans="1:35" x14ac:dyDescent="0.2">
      <c r="A58">
        <v>57</v>
      </c>
      <c r="B58" t="s">
        <v>500</v>
      </c>
      <c r="C58" t="s">
        <v>512</v>
      </c>
      <c r="D58" t="s">
        <v>364</v>
      </c>
      <c r="E58">
        <v>12</v>
      </c>
      <c r="F58">
        <v>-4.4790000000000001</v>
      </c>
      <c r="G58">
        <v>-22.587</v>
      </c>
      <c r="H58">
        <v>16977</v>
      </c>
      <c r="I58">
        <v>0</v>
      </c>
      <c r="J58">
        <v>1</v>
      </c>
      <c r="K58" t="s">
        <v>359</v>
      </c>
      <c r="L58" t="s">
        <v>359</v>
      </c>
      <c r="M58" t="s">
        <v>360</v>
      </c>
      <c r="N58">
        <v>1649134334.99</v>
      </c>
      <c r="O58">
        <v>0.20899999999999999</v>
      </c>
      <c r="P58">
        <v>0.40600000000000003</v>
      </c>
      <c r="Q58">
        <v>58.726999999999997</v>
      </c>
      <c r="R58">
        <v>0</v>
      </c>
      <c r="S58">
        <v>0</v>
      </c>
      <c r="T58">
        <v>1.4179999999999999</v>
      </c>
      <c r="U58">
        <v>100.33</v>
      </c>
      <c r="V58">
        <v>20.512</v>
      </c>
      <c r="W58">
        <v>2.4020000000000001</v>
      </c>
      <c r="X58">
        <v>93.986999999999995</v>
      </c>
      <c r="Y58">
        <v>1.073</v>
      </c>
      <c r="Z58">
        <v>0.32900000000000001</v>
      </c>
      <c r="AA58">
        <v>0</v>
      </c>
      <c r="AB58">
        <v>0</v>
      </c>
      <c r="AC58">
        <v>1</v>
      </c>
      <c r="AD58">
        <v>39.811999999999998</v>
      </c>
      <c r="AE58">
        <v>1</v>
      </c>
      <c r="AF58">
        <v>4</v>
      </c>
      <c r="AG58">
        <v>1</v>
      </c>
      <c r="AH58" t="s">
        <v>361</v>
      </c>
      <c r="AI58">
        <v>0</v>
      </c>
    </row>
    <row r="59" spans="1:35" x14ac:dyDescent="0.2">
      <c r="A59">
        <v>58</v>
      </c>
      <c r="B59" t="s">
        <v>500</v>
      </c>
      <c r="C59" t="s">
        <v>513</v>
      </c>
      <c r="D59" t="s">
        <v>364</v>
      </c>
      <c r="E59">
        <v>13</v>
      </c>
      <c r="F59">
        <v>-4.5</v>
      </c>
      <c r="G59">
        <v>-22.533000000000001</v>
      </c>
      <c r="H59">
        <v>17030</v>
      </c>
      <c r="I59">
        <v>0</v>
      </c>
      <c r="J59">
        <v>1</v>
      </c>
      <c r="K59" t="s">
        <v>359</v>
      </c>
      <c r="L59" t="s">
        <v>359</v>
      </c>
      <c r="M59" t="s">
        <v>360</v>
      </c>
      <c r="N59">
        <v>1649134871.71</v>
      </c>
      <c r="O59">
        <v>0.19900000000000001</v>
      </c>
      <c r="P59">
        <v>0.37</v>
      </c>
      <c r="Q59">
        <v>58.139000000000003</v>
      </c>
      <c r="R59">
        <v>0</v>
      </c>
      <c r="S59">
        <v>-1E-3</v>
      </c>
      <c r="T59">
        <v>1.395</v>
      </c>
      <c r="U59">
        <v>100.736</v>
      </c>
      <c r="V59">
        <v>20.989000000000001</v>
      </c>
      <c r="W59">
        <v>2.3660000000000001</v>
      </c>
      <c r="X59">
        <v>92.41</v>
      </c>
      <c r="Y59">
        <v>1.0680000000000001</v>
      </c>
      <c r="Z59">
        <v>5.2999999999999999E-2</v>
      </c>
      <c r="AA59">
        <v>0</v>
      </c>
      <c r="AB59">
        <v>0</v>
      </c>
      <c r="AC59">
        <v>1</v>
      </c>
      <c r="AD59">
        <v>39.75</v>
      </c>
      <c r="AE59">
        <v>1</v>
      </c>
      <c r="AF59">
        <v>4</v>
      </c>
      <c r="AG59">
        <v>1</v>
      </c>
      <c r="AH59" t="s">
        <v>361</v>
      </c>
      <c r="AI59">
        <v>0</v>
      </c>
    </row>
    <row r="60" spans="1:35" x14ac:dyDescent="0.2">
      <c r="A60">
        <v>59</v>
      </c>
      <c r="B60" t="s">
        <v>500</v>
      </c>
      <c r="C60" t="s">
        <v>514</v>
      </c>
      <c r="D60" t="s">
        <v>364</v>
      </c>
      <c r="E60">
        <v>14</v>
      </c>
      <c r="F60">
        <v>-4.4809999999999999</v>
      </c>
      <c r="G60">
        <v>-22.431999999999999</v>
      </c>
      <c r="H60">
        <v>17056</v>
      </c>
      <c r="I60">
        <v>0</v>
      </c>
      <c r="J60">
        <v>1</v>
      </c>
      <c r="K60" t="s">
        <v>359</v>
      </c>
      <c r="L60" t="s">
        <v>359</v>
      </c>
      <c r="M60" t="s">
        <v>360</v>
      </c>
      <c r="N60">
        <v>1649135409.6099999</v>
      </c>
      <c r="O60">
        <v>0.20699999999999999</v>
      </c>
      <c r="P60">
        <v>0.39800000000000002</v>
      </c>
      <c r="Q60">
        <v>59.171999999999997</v>
      </c>
      <c r="R60">
        <v>1E-3</v>
      </c>
      <c r="S60">
        <v>-1E-3</v>
      </c>
      <c r="T60">
        <v>1.419</v>
      </c>
      <c r="U60">
        <v>100.91200000000001</v>
      </c>
      <c r="V60">
        <v>20.350000000000001</v>
      </c>
      <c r="W60">
        <v>2.4550000000000001</v>
      </c>
      <c r="X60">
        <v>94.460999999999999</v>
      </c>
      <c r="Y60">
        <v>1.075</v>
      </c>
      <c r="Z60">
        <v>0.22900000000000001</v>
      </c>
      <c r="AA60">
        <v>0</v>
      </c>
      <c r="AB60">
        <v>0</v>
      </c>
      <c r="AC60">
        <v>1</v>
      </c>
      <c r="AD60">
        <v>39.75</v>
      </c>
      <c r="AE60">
        <v>1</v>
      </c>
      <c r="AF60">
        <v>4</v>
      </c>
      <c r="AG60">
        <v>1</v>
      </c>
      <c r="AH60" t="s">
        <v>361</v>
      </c>
      <c r="AI60">
        <v>0</v>
      </c>
    </row>
    <row r="61" spans="1:35" x14ac:dyDescent="0.2">
      <c r="A61">
        <v>60</v>
      </c>
      <c r="B61" t="s">
        <v>500</v>
      </c>
      <c r="C61" t="s">
        <v>515</v>
      </c>
      <c r="D61" t="s">
        <v>364</v>
      </c>
      <c r="E61">
        <v>15</v>
      </c>
      <c r="F61">
        <v>-4.5190000000000001</v>
      </c>
      <c r="G61">
        <v>-22.433</v>
      </c>
      <c r="H61">
        <v>17042</v>
      </c>
      <c r="I61">
        <v>0</v>
      </c>
      <c r="J61">
        <v>1</v>
      </c>
      <c r="K61" t="s">
        <v>359</v>
      </c>
      <c r="L61" t="s">
        <v>359</v>
      </c>
      <c r="M61" t="s">
        <v>360</v>
      </c>
      <c r="N61">
        <v>1649135947.3399999</v>
      </c>
      <c r="O61">
        <v>0.222</v>
      </c>
      <c r="P61">
        <v>0.39300000000000002</v>
      </c>
      <c r="Q61">
        <v>59.375999999999998</v>
      </c>
      <c r="R61">
        <v>1E-3</v>
      </c>
      <c r="S61">
        <v>1E-3</v>
      </c>
      <c r="T61">
        <v>1.4339999999999999</v>
      </c>
      <c r="U61">
        <v>100.94</v>
      </c>
      <c r="V61">
        <v>20.555</v>
      </c>
      <c r="W61">
        <v>2.375</v>
      </c>
      <c r="X61">
        <v>93.272000000000006</v>
      </c>
      <c r="Y61">
        <v>1.0780000000000001</v>
      </c>
      <c r="Z61">
        <v>-1.6E-2</v>
      </c>
      <c r="AA61">
        <v>0</v>
      </c>
      <c r="AB61">
        <v>0</v>
      </c>
      <c r="AC61">
        <v>1</v>
      </c>
      <c r="AD61">
        <v>39.75</v>
      </c>
      <c r="AE61">
        <v>1</v>
      </c>
      <c r="AF61">
        <v>4</v>
      </c>
      <c r="AG61">
        <v>1</v>
      </c>
      <c r="AH61" t="s">
        <v>361</v>
      </c>
      <c r="AI61">
        <v>0</v>
      </c>
    </row>
    <row r="62" spans="1:35" x14ac:dyDescent="0.2">
      <c r="A62">
        <v>61</v>
      </c>
      <c r="B62" t="s">
        <v>516</v>
      </c>
      <c r="C62" t="s">
        <v>517</v>
      </c>
      <c r="D62" t="s">
        <v>365</v>
      </c>
      <c r="E62">
        <v>1</v>
      </c>
      <c r="F62">
        <v>-5.4279999999999999</v>
      </c>
      <c r="G62">
        <v>-28.695</v>
      </c>
      <c r="H62">
        <v>16898</v>
      </c>
      <c r="I62">
        <v>-1</v>
      </c>
      <c r="J62">
        <v>1</v>
      </c>
      <c r="K62" t="s">
        <v>359</v>
      </c>
      <c r="L62" t="s">
        <v>359</v>
      </c>
      <c r="M62" t="s">
        <v>360</v>
      </c>
      <c r="N62">
        <v>1649136484.6500001</v>
      </c>
      <c r="O62">
        <v>0.187</v>
      </c>
      <c r="P62">
        <v>0.39200000000000002</v>
      </c>
      <c r="Q62">
        <v>59.2</v>
      </c>
      <c r="R62">
        <v>1E-3</v>
      </c>
      <c r="S62">
        <v>1E-3</v>
      </c>
      <c r="T62">
        <v>1.417</v>
      </c>
      <c r="U62">
        <v>99.724000000000004</v>
      </c>
      <c r="V62">
        <v>20.687000000000001</v>
      </c>
      <c r="W62">
        <v>2.4119999999999999</v>
      </c>
      <c r="X62">
        <v>93.445999999999998</v>
      </c>
      <c r="Y62">
        <v>1.077</v>
      </c>
      <c r="Z62">
        <v>0.42399999999999999</v>
      </c>
      <c r="AA62">
        <v>0</v>
      </c>
      <c r="AB62">
        <v>0</v>
      </c>
      <c r="AC62">
        <v>1</v>
      </c>
      <c r="AD62">
        <v>39.75</v>
      </c>
      <c r="AE62">
        <v>1</v>
      </c>
      <c r="AF62">
        <v>5</v>
      </c>
      <c r="AG62">
        <v>1</v>
      </c>
      <c r="AH62" t="s">
        <v>361</v>
      </c>
      <c r="AI62">
        <v>0</v>
      </c>
    </row>
    <row r="63" spans="1:35" x14ac:dyDescent="0.2">
      <c r="A63">
        <v>62</v>
      </c>
      <c r="B63" t="s">
        <v>516</v>
      </c>
      <c r="C63" t="s">
        <v>518</v>
      </c>
      <c r="D63" t="s">
        <v>365</v>
      </c>
      <c r="E63">
        <v>2</v>
      </c>
      <c r="F63">
        <v>-5.5</v>
      </c>
      <c r="G63">
        <v>-29.248000000000001</v>
      </c>
      <c r="H63">
        <v>17117</v>
      </c>
      <c r="I63">
        <v>-1</v>
      </c>
      <c r="J63">
        <v>1</v>
      </c>
      <c r="K63" t="s">
        <v>359</v>
      </c>
      <c r="L63" t="s">
        <v>359</v>
      </c>
      <c r="M63" t="s">
        <v>360</v>
      </c>
      <c r="N63">
        <v>1649137022.9200001</v>
      </c>
      <c r="O63">
        <v>0.21</v>
      </c>
      <c r="P63">
        <v>0.41099999999999998</v>
      </c>
      <c r="Q63">
        <v>60.293999999999997</v>
      </c>
      <c r="R63">
        <v>1E-3</v>
      </c>
      <c r="S63">
        <v>0</v>
      </c>
      <c r="T63">
        <v>1.446</v>
      </c>
      <c r="U63">
        <v>101.152</v>
      </c>
      <c r="V63">
        <v>20.891999999999999</v>
      </c>
      <c r="W63">
        <v>2.42</v>
      </c>
      <c r="X63">
        <v>94.183000000000007</v>
      </c>
      <c r="Y63">
        <v>1.077</v>
      </c>
      <c r="Z63">
        <v>0.28499999999999998</v>
      </c>
      <c r="AA63">
        <v>0</v>
      </c>
      <c r="AB63">
        <v>0</v>
      </c>
      <c r="AC63">
        <v>1</v>
      </c>
      <c r="AD63">
        <v>39.811999999999998</v>
      </c>
      <c r="AE63">
        <v>1</v>
      </c>
      <c r="AF63">
        <v>5</v>
      </c>
      <c r="AG63">
        <v>1</v>
      </c>
      <c r="AH63" t="s">
        <v>361</v>
      </c>
      <c r="AI63">
        <v>0</v>
      </c>
    </row>
    <row r="64" spans="1:35" x14ac:dyDescent="0.2">
      <c r="A64">
        <v>63</v>
      </c>
      <c r="B64" t="s">
        <v>516</v>
      </c>
      <c r="C64" t="s">
        <v>519</v>
      </c>
      <c r="D64" t="s">
        <v>365</v>
      </c>
      <c r="E64">
        <v>3</v>
      </c>
      <c r="F64">
        <v>-5.5019999999999998</v>
      </c>
      <c r="G64">
        <v>-29.321000000000002</v>
      </c>
      <c r="H64">
        <v>17130</v>
      </c>
      <c r="I64">
        <v>-1</v>
      </c>
      <c r="J64">
        <v>1</v>
      </c>
      <c r="K64" t="s">
        <v>359</v>
      </c>
      <c r="L64" t="s">
        <v>359</v>
      </c>
      <c r="M64" t="s">
        <v>360</v>
      </c>
      <c r="N64">
        <v>1649137561.9100001</v>
      </c>
      <c r="O64">
        <v>0.215</v>
      </c>
      <c r="P64">
        <v>0.38500000000000001</v>
      </c>
      <c r="Q64">
        <v>58.677</v>
      </c>
      <c r="R64">
        <v>0</v>
      </c>
      <c r="S64">
        <v>0</v>
      </c>
      <c r="T64">
        <v>1.4139999999999999</v>
      </c>
      <c r="U64">
        <v>101.235</v>
      </c>
      <c r="V64">
        <v>21.06</v>
      </c>
      <c r="W64">
        <v>2.4380000000000002</v>
      </c>
      <c r="X64">
        <v>93.75</v>
      </c>
      <c r="Y64">
        <v>1.083</v>
      </c>
      <c r="Z64">
        <v>0.13500000000000001</v>
      </c>
      <c r="AA64">
        <v>0</v>
      </c>
      <c r="AB64">
        <v>0</v>
      </c>
      <c r="AC64">
        <v>1</v>
      </c>
      <c r="AD64">
        <v>39.875</v>
      </c>
      <c r="AE64">
        <v>1</v>
      </c>
      <c r="AF64">
        <v>5</v>
      </c>
      <c r="AG64">
        <v>1</v>
      </c>
      <c r="AH64" t="s">
        <v>361</v>
      </c>
      <c r="AI64">
        <v>0</v>
      </c>
    </row>
    <row r="65" spans="1:35" x14ac:dyDescent="0.2">
      <c r="A65">
        <v>64</v>
      </c>
      <c r="B65" t="s">
        <v>516</v>
      </c>
      <c r="C65" t="s">
        <v>520</v>
      </c>
      <c r="D65" t="s">
        <v>365</v>
      </c>
      <c r="E65">
        <v>4</v>
      </c>
      <c r="F65">
        <v>-5.4420000000000002</v>
      </c>
      <c r="G65">
        <v>-29.384</v>
      </c>
      <c r="H65">
        <v>17085</v>
      </c>
      <c r="I65">
        <v>0</v>
      </c>
      <c r="J65">
        <v>1</v>
      </c>
      <c r="K65" t="s">
        <v>359</v>
      </c>
      <c r="L65" t="s">
        <v>359</v>
      </c>
      <c r="M65" t="s">
        <v>360</v>
      </c>
      <c r="N65">
        <v>1649138099.04</v>
      </c>
      <c r="O65">
        <v>0.217</v>
      </c>
      <c r="P65">
        <v>0.38400000000000001</v>
      </c>
      <c r="Q65">
        <v>59.47</v>
      </c>
      <c r="R65">
        <v>1E-3</v>
      </c>
      <c r="S65">
        <v>0</v>
      </c>
      <c r="T65">
        <v>1.415</v>
      </c>
      <c r="U65">
        <v>100.989</v>
      </c>
      <c r="V65">
        <v>20.826000000000001</v>
      </c>
      <c r="W65">
        <v>2.38</v>
      </c>
      <c r="X65">
        <v>93.802999999999997</v>
      </c>
      <c r="Y65">
        <v>1.0649999999999999</v>
      </c>
      <c r="Z65">
        <v>0.26300000000000001</v>
      </c>
      <c r="AA65">
        <v>0</v>
      </c>
      <c r="AB65">
        <v>0</v>
      </c>
      <c r="AC65">
        <v>1</v>
      </c>
      <c r="AD65">
        <v>39.875</v>
      </c>
      <c r="AE65">
        <v>1</v>
      </c>
      <c r="AF65">
        <v>5</v>
      </c>
      <c r="AG65">
        <v>1</v>
      </c>
      <c r="AH65" t="s">
        <v>361</v>
      </c>
      <c r="AI65">
        <v>0</v>
      </c>
    </row>
    <row r="66" spans="1:35" x14ac:dyDescent="0.2">
      <c r="A66">
        <v>65</v>
      </c>
      <c r="B66" t="s">
        <v>516</v>
      </c>
      <c r="C66" t="s">
        <v>521</v>
      </c>
      <c r="D66" t="s">
        <v>365</v>
      </c>
      <c r="E66">
        <v>5</v>
      </c>
      <c r="F66">
        <v>-5.4930000000000003</v>
      </c>
      <c r="G66">
        <v>-29.425000000000001</v>
      </c>
      <c r="H66">
        <v>17092</v>
      </c>
      <c r="I66">
        <v>0</v>
      </c>
      <c r="J66">
        <v>1</v>
      </c>
      <c r="K66" t="s">
        <v>359</v>
      </c>
      <c r="L66" t="s">
        <v>359</v>
      </c>
      <c r="M66" t="s">
        <v>360</v>
      </c>
      <c r="N66">
        <v>1649138636.76</v>
      </c>
      <c r="O66">
        <v>0.19600000000000001</v>
      </c>
      <c r="P66">
        <v>0.42</v>
      </c>
      <c r="Q66">
        <v>59.021000000000001</v>
      </c>
      <c r="R66">
        <v>1E-3</v>
      </c>
      <c r="S66">
        <v>1E-3</v>
      </c>
      <c r="T66">
        <v>1.411</v>
      </c>
      <c r="U66">
        <v>100.821</v>
      </c>
      <c r="V66">
        <v>20.701000000000001</v>
      </c>
      <c r="W66">
        <v>2.4609999999999999</v>
      </c>
      <c r="X66">
        <v>95.656999999999996</v>
      </c>
      <c r="Y66">
        <v>1.0780000000000001</v>
      </c>
      <c r="Z66">
        <v>0.50600000000000001</v>
      </c>
      <c r="AA66">
        <v>0</v>
      </c>
      <c r="AB66">
        <v>0</v>
      </c>
      <c r="AC66">
        <v>1</v>
      </c>
      <c r="AD66">
        <v>39.75</v>
      </c>
      <c r="AE66">
        <v>1</v>
      </c>
      <c r="AF66">
        <v>5</v>
      </c>
      <c r="AG66">
        <v>1</v>
      </c>
      <c r="AH66" t="s">
        <v>361</v>
      </c>
      <c r="AI66">
        <v>0</v>
      </c>
    </row>
    <row r="67" spans="1:35" x14ac:dyDescent="0.2">
      <c r="A67">
        <v>66</v>
      </c>
      <c r="B67" t="s">
        <v>516</v>
      </c>
      <c r="C67" t="s">
        <v>522</v>
      </c>
      <c r="D67" t="s">
        <v>365</v>
      </c>
      <c r="E67">
        <v>6</v>
      </c>
      <c r="F67">
        <v>-5.4939999999999998</v>
      </c>
      <c r="G67">
        <v>-29.446999999999999</v>
      </c>
      <c r="H67">
        <v>17054</v>
      </c>
      <c r="I67">
        <v>0</v>
      </c>
      <c r="J67">
        <v>1</v>
      </c>
      <c r="K67" t="s">
        <v>359</v>
      </c>
      <c r="L67" t="s">
        <v>359</v>
      </c>
      <c r="M67" t="s">
        <v>360</v>
      </c>
      <c r="N67">
        <v>1649139174.77</v>
      </c>
      <c r="O67">
        <v>0.21199999999999999</v>
      </c>
      <c r="P67">
        <v>0.36699999999999999</v>
      </c>
      <c r="Q67">
        <v>59.277000000000001</v>
      </c>
      <c r="R67">
        <v>1E-3</v>
      </c>
      <c r="S67">
        <v>0</v>
      </c>
      <c r="T67">
        <v>1.4179999999999999</v>
      </c>
      <c r="U67">
        <v>100.712</v>
      </c>
      <c r="V67">
        <v>21.154</v>
      </c>
      <c r="W67">
        <v>2.407</v>
      </c>
      <c r="X67">
        <v>92.875</v>
      </c>
      <c r="Y67">
        <v>1.08</v>
      </c>
      <c r="Z67">
        <v>0.214</v>
      </c>
      <c r="AA67">
        <v>0</v>
      </c>
      <c r="AB67">
        <v>0</v>
      </c>
      <c r="AC67">
        <v>1</v>
      </c>
      <c r="AD67">
        <v>39.811999999999998</v>
      </c>
      <c r="AE67">
        <v>1</v>
      </c>
      <c r="AF67">
        <v>5</v>
      </c>
      <c r="AG67">
        <v>1</v>
      </c>
      <c r="AH67" t="s">
        <v>361</v>
      </c>
      <c r="AI67">
        <v>0</v>
      </c>
    </row>
    <row r="68" spans="1:35" x14ac:dyDescent="0.2">
      <c r="A68">
        <v>67</v>
      </c>
      <c r="B68" t="s">
        <v>516</v>
      </c>
      <c r="C68" t="s">
        <v>523</v>
      </c>
      <c r="D68" t="s">
        <v>365</v>
      </c>
      <c r="E68">
        <v>7</v>
      </c>
      <c r="F68">
        <v>-5.5460000000000003</v>
      </c>
      <c r="G68">
        <v>-29.419</v>
      </c>
      <c r="H68">
        <v>17077</v>
      </c>
      <c r="I68">
        <v>0</v>
      </c>
      <c r="J68">
        <v>1</v>
      </c>
      <c r="K68" t="s">
        <v>359</v>
      </c>
      <c r="L68" t="s">
        <v>359</v>
      </c>
      <c r="M68" t="s">
        <v>360</v>
      </c>
      <c r="N68">
        <v>1649139712.5899999</v>
      </c>
      <c r="O68">
        <v>0.20100000000000001</v>
      </c>
      <c r="P68">
        <v>0.377</v>
      </c>
      <c r="Q68">
        <v>60.067</v>
      </c>
      <c r="R68">
        <v>1E-3</v>
      </c>
      <c r="S68">
        <v>0</v>
      </c>
      <c r="T68">
        <v>1.4259999999999999</v>
      </c>
      <c r="U68">
        <v>100.703</v>
      </c>
      <c r="V68">
        <v>21.390999999999998</v>
      </c>
      <c r="W68">
        <v>2.4039999999999999</v>
      </c>
      <c r="X68">
        <v>93.346999999999994</v>
      </c>
      <c r="Y68">
        <v>1.075</v>
      </c>
      <c r="Z68">
        <v>0.28899999999999998</v>
      </c>
      <c r="AA68">
        <v>0</v>
      </c>
      <c r="AB68">
        <v>0</v>
      </c>
      <c r="AC68">
        <v>1</v>
      </c>
      <c r="AD68">
        <v>39.75</v>
      </c>
      <c r="AE68">
        <v>1</v>
      </c>
      <c r="AF68">
        <v>5</v>
      </c>
      <c r="AG68">
        <v>1</v>
      </c>
      <c r="AH68" t="s">
        <v>361</v>
      </c>
      <c r="AI68">
        <v>0</v>
      </c>
    </row>
    <row r="69" spans="1:35" x14ac:dyDescent="0.2">
      <c r="A69">
        <v>68</v>
      </c>
      <c r="B69" t="s">
        <v>516</v>
      </c>
      <c r="C69" t="s">
        <v>524</v>
      </c>
      <c r="D69" t="s">
        <v>365</v>
      </c>
      <c r="E69">
        <v>8</v>
      </c>
      <c r="F69">
        <v>-5.5</v>
      </c>
      <c r="G69">
        <v>-29.331</v>
      </c>
      <c r="H69">
        <v>17058</v>
      </c>
      <c r="I69">
        <v>0</v>
      </c>
      <c r="J69">
        <v>1</v>
      </c>
      <c r="K69" t="s">
        <v>359</v>
      </c>
      <c r="L69" t="s">
        <v>359</v>
      </c>
      <c r="M69" t="s">
        <v>360</v>
      </c>
      <c r="N69">
        <v>1649140250.24</v>
      </c>
      <c r="O69">
        <v>0.20499999999999999</v>
      </c>
      <c r="P69">
        <v>0.39600000000000002</v>
      </c>
      <c r="Q69">
        <v>59.526000000000003</v>
      </c>
      <c r="R69">
        <v>1E-3</v>
      </c>
      <c r="S69">
        <v>0</v>
      </c>
      <c r="T69">
        <v>1.413</v>
      </c>
      <c r="U69">
        <v>100.67700000000001</v>
      </c>
      <c r="V69">
        <v>20.809000000000001</v>
      </c>
      <c r="W69">
        <v>2.4380000000000002</v>
      </c>
      <c r="X69">
        <v>94.617999999999995</v>
      </c>
      <c r="Y69">
        <v>1.0660000000000001</v>
      </c>
      <c r="Z69">
        <v>0.40699999999999997</v>
      </c>
      <c r="AA69">
        <v>0</v>
      </c>
      <c r="AB69">
        <v>0</v>
      </c>
      <c r="AC69">
        <v>1</v>
      </c>
      <c r="AD69">
        <v>39.811999999999998</v>
      </c>
      <c r="AE69">
        <v>1</v>
      </c>
      <c r="AF69">
        <v>5</v>
      </c>
      <c r="AG69">
        <v>1</v>
      </c>
      <c r="AH69" t="s">
        <v>361</v>
      </c>
      <c r="AI69">
        <v>0</v>
      </c>
    </row>
    <row r="70" spans="1:35" x14ac:dyDescent="0.2">
      <c r="A70">
        <v>69</v>
      </c>
      <c r="B70" t="s">
        <v>516</v>
      </c>
      <c r="C70" t="s">
        <v>525</v>
      </c>
      <c r="D70" t="s">
        <v>365</v>
      </c>
      <c r="E70">
        <v>9</v>
      </c>
      <c r="F70">
        <v>-5.4720000000000004</v>
      </c>
      <c r="G70">
        <v>-29.413</v>
      </c>
      <c r="H70">
        <v>17088</v>
      </c>
      <c r="I70">
        <v>0</v>
      </c>
      <c r="J70">
        <v>1</v>
      </c>
      <c r="K70" t="s">
        <v>359</v>
      </c>
      <c r="L70" t="s">
        <v>359</v>
      </c>
      <c r="M70" t="s">
        <v>360</v>
      </c>
      <c r="N70">
        <v>1649140787.72</v>
      </c>
      <c r="O70">
        <v>0.19900000000000001</v>
      </c>
      <c r="P70">
        <v>0.40899999999999997</v>
      </c>
      <c r="Q70">
        <v>58.015000000000001</v>
      </c>
      <c r="R70">
        <v>1E-3</v>
      </c>
      <c r="S70">
        <v>0</v>
      </c>
      <c r="T70">
        <v>1.3939999999999999</v>
      </c>
      <c r="U70">
        <v>101.038</v>
      </c>
      <c r="V70">
        <v>20.751000000000001</v>
      </c>
      <c r="W70">
        <v>2.415</v>
      </c>
      <c r="X70">
        <v>93.915999999999997</v>
      </c>
      <c r="Y70">
        <v>1.0509999999999999</v>
      </c>
      <c r="Z70">
        <v>0.30599999999999999</v>
      </c>
      <c r="AA70">
        <v>0</v>
      </c>
      <c r="AB70">
        <v>0</v>
      </c>
      <c r="AC70">
        <v>1</v>
      </c>
      <c r="AD70">
        <v>39.875</v>
      </c>
      <c r="AE70">
        <v>1</v>
      </c>
      <c r="AF70">
        <v>5</v>
      </c>
      <c r="AG70">
        <v>1</v>
      </c>
      <c r="AH70" t="s">
        <v>361</v>
      </c>
      <c r="AI70">
        <v>0</v>
      </c>
    </row>
    <row r="71" spans="1:35" x14ac:dyDescent="0.2">
      <c r="A71">
        <v>70</v>
      </c>
      <c r="B71" t="s">
        <v>516</v>
      </c>
      <c r="C71" t="s">
        <v>526</v>
      </c>
      <c r="D71" t="s">
        <v>365</v>
      </c>
      <c r="E71">
        <v>10</v>
      </c>
      <c r="F71">
        <v>-5.5049999999999999</v>
      </c>
      <c r="G71">
        <v>-29.488</v>
      </c>
      <c r="H71">
        <v>17049</v>
      </c>
      <c r="I71">
        <v>0</v>
      </c>
      <c r="J71">
        <v>1</v>
      </c>
      <c r="K71" t="s">
        <v>359</v>
      </c>
      <c r="L71" t="s">
        <v>359</v>
      </c>
      <c r="M71" t="s">
        <v>360</v>
      </c>
      <c r="N71">
        <v>1649141325.27</v>
      </c>
      <c r="O71">
        <v>0.20799999999999999</v>
      </c>
      <c r="P71">
        <v>0.374</v>
      </c>
      <c r="Q71">
        <v>60.127000000000002</v>
      </c>
      <c r="R71">
        <v>1E-3</v>
      </c>
      <c r="S71">
        <v>0</v>
      </c>
      <c r="T71">
        <v>1.4330000000000001</v>
      </c>
      <c r="U71">
        <v>100.741</v>
      </c>
      <c r="V71">
        <v>21.216000000000001</v>
      </c>
      <c r="W71">
        <v>2.3610000000000002</v>
      </c>
      <c r="X71">
        <v>92.596000000000004</v>
      </c>
      <c r="Y71">
        <v>1.0569999999999999</v>
      </c>
      <c r="Z71">
        <v>0.11899999999999999</v>
      </c>
      <c r="AA71">
        <v>0</v>
      </c>
      <c r="AB71">
        <v>0</v>
      </c>
      <c r="AC71">
        <v>1</v>
      </c>
      <c r="AD71">
        <v>39.875</v>
      </c>
      <c r="AE71">
        <v>1</v>
      </c>
      <c r="AF71">
        <v>5</v>
      </c>
      <c r="AG71">
        <v>1</v>
      </c>
      <c r="AH71" t="s">
        <v>361</v>
      </c>
      <c r="AI71">
        <v>0</v>
      </c>
    </row>
    <row r="72" spans="1:35" x14ac:dyDescent="0.2">
      <c r="A72">
        <v>71</v>
      </c>
      <c r="B72" t="s">
        <v>516</v>
      </c>
      <c r="C72" t="s">
        <v>527</v>
      </c>
      <c r="D72" t="s">
        <v>365</v>
      </c>
      <c r="E72">
        <v>11</v>
      </c>
      <c r="F72">
        <v>-5.4589999999999996</v>
      </c>
      <c r="G72">
        <v>-29.396999999999998</v>
      </c>
      <c r="H72">
        <v>17130</v>
      </c>
      <c r="I72">
        <v>0</v>
      </c>
      <c r="J72">
        <v>1</v>
      </c>
      <c r="K72" t="s">
        <v>359</v>
      </c>
      <c r="L72" t="s">
        <v>359</v>
      </c>
      <c r="M72" t="s">
        <v>360</v>
      </c>
      <c r="N72">
        <v>1649141864.02</v>
      </c>
      <c r="O72">
        <v>0.19900000000000001</v>
      </c>
      <c r="P72">
        <v>0.41299999999999998</v>
      </c>
      <c r="Q72">
        <v>58.162999999999997</v>
      </c>
      <c r="R72">
        <v>1E-3</v>
      </c>
      <c r="S72">
        <v>0</v>
      </c>
      <c r="T72">
        <v>1.4019999999999999</v>
      </c>
      <c r="U72">
        <v>101.142</v>
      </c>
      <c r="V72">
        <v>21.317</v>
      </c>
      <c r="W72">
        <v>2.371</v>
      </c>
      <c r="X72">
        <v>93.427999999999997</v>
      </c>
      <c r="Y72">
        <v>1.026</v>
      </c>
      <c r="Z72">
        <v>0.20300000000000001</v>
      </c>
      <c r="AA72">
        <v>0</v>
      </c>
      <c r="AB72">
        <v>0</v>
      </c>
      <c r="AC72">
        <v>1</v>
      </c>
      <c r="AD72">
        <v>39.875</v>
      </c>
      <c r="AE72">
        <v>1</v>
      </c>
      <c r="AF72">
        <v>5</v>
      </c>
      <c r="AG72">
        <v>1</v>
      </c>
      <c r="AH72" t="s">
        <v>361</v>
      </c>
      <c r="AI72">
        <v>0</v>
      </c>
    </row>
    <row r="73" spans="1:35" x14ac:dyDescent="0.2">
      <c r="A73">
        <v>72</v>
      </c>
      <c r="B73" t="s">
        <v>516</v>
      </c>
      <c r="C73" t="s">
        <v>528</v>
      </c>
      <c r="D73" t="s">
        <v>365</v>
      </c>
      <c r="E73">
        <v>12</v>
      </c>
      <c r="F73">
        <v>-5.476</v>
      </c>
      <c r="G73">
        <v>-29.460999999999999</v>
      </c>
      <c r="H73">
        <v>17066</v>
      </c>
      <c r="I73">
        <v>0</v>
      </c>
      <c r="J73">
        <v>1</v>
      </c>
      <c r="K73" t="s">
        <v>359</v>
      </c>
      <c r="L73" t="s">
        <v>359</v>
      </c>
      <c r="M73" t="s">
        <v>360</v>
      </c>
      <c r="N73">
        <v>1649142401.8399999</v>
      </c>
      <c r="O73">
        <v>0.17</v>
      </c>
      <c r="P73">
        <v>0.41099999999999998</v>
      </c>
      <c r="Q73">
        <v>59.235999999999997</v>
      </c>
      <c r="R73">
        <v>1E-3</v>
      </c>
      <c r="S73">
        <v>0</v>
      </c>
      <c r="T73">
        <v>1.4039999999999999</v>
      </c>
      <c r="U73">
        <v>100.45099999999999</v>
      </c>
      <c r="V73">
        <v>21.206</v>
      </c>
      <c r="W73">
        <v>2.4660000000000002</v>
      </c>
      <c r="X73">
        <v>94.894999999999996</v>
      </c>
      <c r="Y73">
        <v>1.0620000000000001</v>
      </c>
      <c r="Z73">
        <v>0.59099999999999997</v>
      </c>
      <c r="AA73">
        <v>0</v>
      </c>
      <c r="AB73">
        <v>0</v>
      </c>
      <c r="AC73">
        <v>1</v>
      </c>
      <c r="AD73">
        <v>39.875</v>
      </c>
      <c r="AE73">
        <v>1</v>
      </c>
      <c r="AF73">
        <v>5</v>
      </c>
      <c r="AG73">
        <v>1</v>
      </c>
      <c r="AH73" t="s">
        <v>361</v>
      </c>
      <c r="AI73">
        <v>0</v>
      </c>
    </row>
    <row r="74" spans="1:35" x14ac:dyDescent="0.2">
      <c r="A74">
        <v>73</v>
      </c>
      <c r="B74" t="s">
        <v>516</v>
      </c>
      <c r="C74" t="s">
        <v>529</v>
      </c>
      <c r="D74" t="s">
        <v>365</v>
      </c>
      <c r="E74">
        <v>13</v>
      </c>
      <c r="F74">
        <v>-5.4640000000000004</v>
      </c>
      <c r="G74">
        <v>-29.477</v>
      </c>
      <c r="H74">
        <v>17099</v>
      </c>
      <c r="I74">
        <v>0</v>
      </c>
      <c r="J74">
        <v>1</v>
      </c>
      <c r="K74" t="s">
        <v>359</v>
      </c>
      <c r="L74" t="s">
        <v>359</v>
      </c>
      <c r="M74" t="s">
        <v>360</v>
      </c>
      <c r="N74">
        <v>1649142938.9400001</v>
      </c>
      <c r="O74">
        <v>0.20200000000000001</v>
      </c>
      <c r="P74">
        <v>0.439</v>
      </c>
      <c r="Q74">
        <v>57.872999999999998</v>
      </c>
      <c r="R74">
        <v>1E-3</v>
      </c>
      <c r="S74">
        <v>0</v>
      </c>
      <c r="T74">
        <v>1.403</v>
      </c>
      <c r="U74">
        <v>101.01</v>
      </c>
      <c r="V74">
        <v>20.696000000000002</v>
      </c>
      <c r="W74">
        <v>2.4039999999999999</v>
      </c>
      <c r="X74">
        <v>94.983000000000004</v>
      </c>
      <c r="Y74">
        <v>1.012</v>
      </c>
      <c r="Z74">
        <v>0.36499999999999999</v>
      </c>
      <c r="AA74">
        <v>0</v>
      </c>
      <c r="AB74">
        <v>0</v>
      </c>
      <c r="AC74">
        <v>1</v>
      </c>
      <c r="AD74">
        <v>39.938000000000002</v>
      </c>
      <c r="AE74">
        <v>1</v>
      </c>
      <c r="AF74">
        <v>5</v>
      </c>
      <c r="AG74">
        <v>1</v>
      </c>
      <c r="AH74" t="s">
        <v>361</v>
      </c>
      <c r="AI74">
        <v>0</v>
      </c>
    </row>
    <row r="75" spans="1:35" x14ac:dyDescent="0.2">
      <c r="A75">
        <v>74</v>
      </c>
      <c r="B75" t="s">
        <v>516</v>
      </c>
      <c r="C75" t="s">
        <v>530</v>
      </c>
      <c r="D75" t="s">
        <v>365</v>
      </c>
      <c r="E75">
        <v>14</v>
      </c>
      <c r="F75">
        <v>-5.5090000000000003</v>
      </c>
      <c r="G75">
        <v>-29.334</v>
      </c>
      <c r="H75">
        <v>17120</v>
      </c>
      <c r="I75">
        <v>0</v>
      </c>
      <c r="J75">
        <v>1</v>
      </c>
      <c r="K75" t="s">
        <v>359</v>
      </c>
      <c r="L75" t="s">
        <v>359</v>
      </c>
      <c r="M75" t="s">
        <v>360</v>
      </c>
      <c r="N75">
        <v>1649143476.8099999</v>
      </c>
      <c r="O75">
        <v>0.19800000000000001</v>
      </c>
      <c r="P75">
        <v>0.375</v>
      </c>
      <c r="Q75">
        <v>59.103999999999999</v>
      </c>
      <c r="R75">
        <v>0</v>
      </c>
      <c r="S75">
        <v>-1E-3</v>
      </c>
      <c r="T75">
        <v>1.405</v>
      </c>
      <c r="U75">
        <v>101.23</v>
      </c>
      <c r="V75">
        <v>20.864000000000001</v>
      </c>
      <c r="W75">
        <v>2.3940000000000001</v>
      </c>
      <c r="X75">
        <v>93.79</v>
      </c>
      <c r="Y75">
        <v>1.0569999999999999</v>
      </c>
      <c r="Z75">
        <v>0.26200000000000001</v>
      </c>
      <c r="AA75">
        <v>0</v>
      </c>
      <c r="AB75">
        <v>0</v>
      </c>
      <c r="AC75">
        <v>1</v>
      </c>
      <c r="AD75">
        <v>39.875</v>
      </c>
      <c r="AE75">
        <v>1</v>
      </c>
      <c r="AF75">
        <v>5</v>
      </c>
      <c r="AG75">
        <v>1</v>
      </c>
      <c r="AH75" t="s">
        <v>361</v>
      </c>
      <c r="AI75">
        <v>0</v>
      </c>
    </row>
    <row r="76" spans="1:35" x14ac:dyDescent="0.2">
      <c r="A76">
        <v>75</v>
      </c>
      <c r="B76" t="s">
        <v>516</v>
      </c>
      <c r="C76" t="s">
        <v>531</v>
      </c>
      <c r="D76" t="s">
        <v>365</v>
      </c>
      <c r="E76">
        <v>15</v>
      </c>
      <c r="F76">
        <v>-5.4850000000000003</v>
      </c>
      <c r="G76">
        <v>-29.395</v>
      </c>
      <c r="H76">
        <v>17086</v>
      </c>
      <c r="I76">
        <v>0</v>
      </c>
      <c r="J76">
        <v>1</v>
      </c>
      <c r="K76" t="s">
        <v>359</v>
      </c>
      <c r="L76" t="s">
        <v>359</v>
      </c>
      <c r="M76" t="s">
        <v>360</v>
      </c>
      <c r="N76">
        <v>1649144013.95</v>
      </c>
      <c r="O76">
        <v>0.193</v>
      </c>
      <c r="P76">
        <v>0.374</v>
      </c>
      <c r="Q76">
        <v>57.313000000000002</v>
      </c>
      <c r="R76">
        <v>1E-3</v>
      </c>
      <c r="S76">
        <v>1E-3</v>
      </c>
      <c r="T76">
        <v>1.383</v>
      </c>
      <c r="U76">
        <v>100.85</v>
      </c>
      <c r="V76">
        <v>20.965</v>
      </c>
      <c r="W76">
        <v>2.448</v>
      </c>
      <c r="X76">
        <v>94.478999999999999</v>
      </c>
      <c r="Y76">
        <v>1.0189999999999999</v>
      </c>
      <c r="Z76">
        <v>0.28899999999999998</v>
      </c>
      <c r="AA76">
        <v>0</v>
      </c>
      <c r="AB76">
        <v>0</v>
      </c>
      <c r="AC76">
        <v>1</v>
      </c>
      <c r="AD76">
        <v>39.811999999999998</v>
      </c>
      <c r="AE76">
        <v>1</v>
      </c>
      <c r="AF76">
        <v>5</v>
      </c>
      <c r="AG76">
        <v>1</v>
      </c>
      <c r="AH76" t="s">
        <v>361</v>
      </c>
      <c r="AI76">
        <v>0</v>
      </c>
    </row>
    <row r="77" spans="1:35" x14ac:dyDescent="0.2">
      <c r="A77">
        <v>76</v>
      </c>
      <c r="B77" t="s">
        <v>532</v>
      </c>
      <c r="C77" t="s">
        <v>533</v>
      </c>
      <c r="D77" t="s">
        <v>366</v>
      </c>
      <c r="E77">
        <v>1</v>
      </c>
      <c r="F77">
        <v>-0.20899999999999999</v>
      </c>
      <c r="G77">
        <v>-0.92200000000000004</v>
      </c>
      <c r="H77">
        <v>16996</v>
      </c>
      <c r="I77">
        <v>-1</v>
      </c>
      <c r="J77">
        <v>1</v>
      </c>
      <c r="K77" t="s">
        <v>359</v>
      </c>
      <c r="L77" t="s">
        <v>359</v>
      </c>
      <c r="M77" t="s">
        <v>360</v>
      </c>
      <c r="N77">
        <v>1649144552.02</v>
      </c>
      <c r="O77">
        <v>0.20599999999999999</v>
      </c>
      <c r="P77">
        <v>0.38900000000000001</v>
      </c>
      <c r="Q77">
        <v>58.926000000000002</v>
      </c>
      <c r="R77">
        <v>0</v>
      </c>
      <c r="S77">
        <v>-2E-3</v>
      </c>
      <c r="T77">
        <v>1.4</v>
      </c>
      <c r="U77">
        <v>100.553</v>
      </c>
      <c r="V77">
        <v>20.795999999999999</v>
      </c>
      <c r="W77">
        <v>2.3639999999999999</v>
      </c>
      <c r="X77">
        <v>92.474000000000004</v>
      </c>
      <c r="Y77">
        <v>1.0580000000000001</v>
      </c>
      <c r="Z77">
        <v>6.0999999999999999E-2</v>
      </c>
      <c r="AA77">
        <v>0</v>
      </c>
      <c r="AB77">
        <v>0</v>
      </c>
      <c r="AC77">
        <v>1</v>
      </c>
      <c r="AD77">
        <v>39.875</v>
      </c>
      <c r="AE77">
        <v>1</v>
      </c>
      <c r="AF77">
        <v>6</v>
      </c>
      <c r="AG77">
        <v>2</v>
      </c>
      <c r="AH77" t="s">
        <v>361</v>
      </c>
      <c r="AI77">
        <v>0</v>
      </c>
    </row>
    <row r="78" spans="1:35" x14ac:dyDescent="0.2">
      <c r="A78">
        <v>77</v>
      </c>
      <c r="B78" t="s">
        <v>532</v>
      </c>
      <c r="C78" t="s">
        <v>534</v>
      </c>
      <c r="D78" t="s">
        <v>366</v>
      </c>
      <c r="E78">
        <v>2</v>
      </c>
      <c r="F78">
        <v>3.7999999999999999E-2</v>
      </c>
      <c r="G78">
        <v>1.413</v>
      </c>
      <c r="H78">
        <v>17245</v>
      </c>
      <c r="I78">
        <v>-1</v>
      </c>
      <c r="J78">
        <v>1</v>
      </c>
      <c r="K78" t="s">
        <v>359</v>
      </c>
      <c r="L78" t="s">
        <v>359</v>
      </c>
      <c r="M78" t="s">
        <v>360</v>
      </c>
      <c r="N78">
        <v>1649145088.6199999</v>
      </c>
      <c r="O78">
        <v>0.19900000000000001</v>
      </c>
      <c r="P78">
        <v>0.40899999999999997</v>
      </c>
      <c r="Q78">
        <v>58.168999999999997</v>
      </c>
      <c r="R78">
        <v>0</v>
      </c>
      <c r="S78">
        <v>-2E-3</v>
      </c>
      <c r="T78">
        <v>1.399</v>
      </c>
      <c r="U78">
        <v>101.956</v>
      </c>
      <c r="V78">
        <v>20.581</v>
      </c>
      <c r="W78">
        <v>2.476</v>
      </c>
      <c r="X78">
        <v>96.087000000000003</v>
      </c>
      <c r="Y78">
        <v>1.0669999999999999</v>
      </c>
      <c r="Z78">
        <v>0.38</v>
      </c>
      <c r="AA78">
        <v>0</v>
      </c>
      <c r="AB78">
        <v>0</v>
      </c>
      <c r="AC78">
        <v>1</v>
      </c>
      <c r="AD78">
        <v>39.75</v>
      </c>
      <c r="AE78">
        <v>1</v>
      </c>
      <c r="AF78">
        <v>6</v>
      </c>
      <c r="AG78">
        <v>2</v>
      </c>
      <c r="AH78" t="s">
        <v>361</v>
      </c>
      <c r="AI78">
        <v>0</v>
      </c>
    </row>
    <row r="79" spans="1:35" x14ac:dyDescent="0.2">
      <c r="A79">
        <v>78</v>
      </c>
      <c r="B79" t="s">
        <v>532</v>
      </c>
      <c r="C79" t="s">
        <v>535</v>
      </c>
      <c r="D79" t="s">
        <v>366</v>
      </c>
      <c r="E79">
        <v>3</v>
      </c>
      <c r="F79">
        <v>5.8000000000000003E-2</v>
      </c>
      <c r="G79">
        <v>2.004</v>
      </c>
      <c r="H79">
        <v>17390</v>
      </c>
      <c r="I79">
        <v>-1</v>
      </c>
      <c r="J79">
        <v>1</v>
      </c>
      <c r="K79" t="s">
        <v>359</v>
      </c>
      <c r="L79" t="s">
        <v>359</v>
      </c>
      <c r="M79" t="s">
        <v>360</v>
      </c>
      <c r="N79">
        <v>1649145627.48</v>
      </c>
      <c r="O79">
        <v>0.214</v>
      </c>
      <c r="P79">
        <v>0.41199999999999998</v>
      </c>
      <c r="Q79">
        <v>60.067</v>
      </c>
      <c r="R79">
        <v>0</v>
      </c>
      <c r="S79">
        <v>-1E-3</v>
      </c>
      <c r="T79">
        <v>1.4419999999999999</v>
      </c>
      <c r="U79">
        <v>102.92400000000001</v>
      </c>
      <c r="V79">
        <v>20.798999999999999</v>
      </c>
      <c r="W79">
        <v>2.4980000000000002</v>
      </c>
      <c r="X79">
        <v>96.227000000000004</v>
      </c>
      <c r="Y79">
        <v>1.0740000000000001</v>
      </c>
      <c r="Z79">
        <v>0.26900000000000002</v>
      </c>
      <c r="AA79">
        <v>0</v>
      </c>
      <c r="AB79">
        <v>0</v>
      </c>
      <c r="AC79">
        <v>1</v>
      </c>
      <c r="AD79">
        <v>39.811999999999998</v>
      </c>
      <c r="AE79">
        <v>1</v>
      </c>
      <c r="AF79">
        <v>6</v>
      </c>
      <c r="AG79">
        <v>2</v>
      </c>
      <c r="AH79" t="s">
        <v>361</v>
      </c>
      <c r="AI79">
        <v>0</v>
      </c>
    </row>
    <row r="80" spans="1:35" x14ac:dyDescent="0.2">
      <c r="A80">
        <v>79</v>
      </c>
      <c r="B80" t="s">
        <v>532</v>
      </c>
      <c r="C80" t="s">
        <v>536</v>
      </c>
      <c r="D80" t="s">
        <v>366</v>
      </c>
      <c r="E80">
        <v>4</v>
      </c>
      <c r="F80">
        <v>0.10100000000000001</v>
      </c>
      <c r="G80">
        <v>2.2839999999999998</v>
      </c>
      <c r="H80">
        <v>17277</v>
      </c>
      <c r="I80">
        <v>0</v>
      </c>
      <c r="J80">
        <v>1</v>
      </c>
      <c r="K80" t="s">
        <v>359</v>
      </c>
      <c r="L80" t="s">
        <v>359</v>
      </c>
      <c r="M80" t="s">
        <v>360</v>
      </c>
      <c r="N80">
        <v>1649146164.8099999</v>
      </c>
      <c r="O80">
        <v>0.21</v>
      </c>
      <c r="P80">
        <v>0.38800000000000001</v>
      </c>
      <c r="Q80">
        <v>59.042999999999999</v>
      </c>
      <c r="R80">
        <v>0</v>
      </c>
      <c r="S80">
        <v>-2E-3</v>
      </c>
      <c r="T80">
        <v>1.427</v>
      </c>
      <c r="U80">
        <v>102.027</v>
      </c>
      <c r="V80">
        <v>21.704999999999998</v>
      </c>
      <c r="W80">
        <v>2.3860000000000001</v>
      </c>
      <c r="X80">
        <v>93.656999999999996</v>
      </c>
      <c r="Y80">
        <v>1.048</v>
      </c>
      <c r="Z80">
        <v>0.13400000000000001</v>
      </c>
      <c r="AA80">
        <v>0</v>
      </c>
      <c r="AB80">
        <v>0</v>
      </c>
      <c r="AC80">
        <v>1</v>
      </c>
      <c r="AD80">
        <v>39.811999999999998</v>
      </c>
      <c r="AE80">
        <v>1</v>
      </c>
      <c r="AF80">
        <v>6</v>
      </c>
      <c r="AG80">
        <v>2</v>
      </c>
      <c r="AH80" t="s">
        <v>361</v>
      </c>
      <c r="AI80">
        <v>0</v>
      </c>
    </row>
    <row r="81" spans="1:35" x14ac:dyDescent="0.2">
      <c r="A81">
        <v>80</v>
      </c>
      <c r="B81" t="s">
        <v>532</v>
      </c>
      <c r="C81" t="s">
        <v>537</v>
      </c>
      <c r="D81" t="s">
        <v>366</v>
      </c>
      <c r="E81">
        <v>5</v>
      </c>
      <c r="F81">
        <v>5.6000000000000001E-2</v>
      </c>
      <c r="G81">
        <v>2.3420000000000001</v>
      </c>
      <c r="H81">
        <v>17229</v>
      </c>
      <c r="I81">
        <v>0</v>
      </c>
      <c r="J81">
        <v>1</v>
      </c>
      <c r="K81" t="s">
        <v>359</v>
      </c>
      <c r="L81" t="s">
        <v>359</v>
      </c>
      <c r="M81" t="s">
        <v>360</v>
      </c>
      <c r="N81">
        <v>1649146702.75</v>
      </c>
      <c r="O81">
        <v>0.20599999999999999</v>
      </c>
      <c r="P81">
        <v>0.42899999999999999</v>
      </c>
      <c r="Q81">
        <v>59.784999999999997</v>
      </c>
      <c r="R81">
        <v>2E-3</v>
      </c>
      <c r="S81">
        <v>0</v>
      </c>
      <c r="T81">
        <v>1.4359999999999999</v>
      </c>
      <c r="U81">
        <v>101.669</v>
      </c>
      <c r="V81">
        <v>21.173999999999999</v>
      </c>
      <c r="W81">
        <v>2.44</v>
      </c>
      <c r="X81">
        <v>95.191999999999993</v>
      </c>
      <c r="Y81">
        <v>1.0680000000000001</v>
      </c>
      <c r="Z81">
        <v>0.246</v>
      </c>
      <c r="AA81">
        <v>0</v>
      </c>
      <c r="AB81">
        <v>0</v>
      </c>
      <c r="AC81">
        <v>1</v>
      </c>
      <c r="AD81">
        <v>39.875</v>
      </c>
      <c r="AE81">
        <v>1</v>
      </c>
      <c r="AF81">
        <v>6</v>
      </c>
      <c r="AG81">
        <v>2</v>
      </c>
      <c r="AH81" t="s">
        <v>361</v>
      </c>
      <c r="AI81">
        <v>0</v>
      </c>
    </row>
    <row r="82" spans="1:35" x14ac:dyDescent="0.2">
      <c r="A82">
        <v>81</v>
      </c>
      <c r="B82" t="s">
        <v>532</v>
      </c>
      <c r="C82" t="s">
        <v>538</v>
      </c>
      <c r="D82" t="s">
        <v>366</v>
      </c>
      <c r="E82">
        <v>6</v>
      </c>
      <c r="F82">
        <v>0.13200000000000001</v>
      </c>
      <c r="G82">
        <v>2.4049999999999998</v>
      </c>
      <c r="H82">
        <v>17297</v>
      </c>
      <c r="I82">
        <v>0</v>
      </c>
      <c r="J82">
        <v>1</v>
      </c>
      <c r="K82" t="s">
        <v>359</v>
      </c>
      <c r="L82" t="s">
        <v>359</v>
      </c>
      <c r="M82" t="s">
        <v>360</v>
      </c>
      <c r="N82">
        <v>1649147240.1099999</v>
      </c>
      <c r="O82">
        <v>0.19400000000000001</v>
      </c>
      <c r="P82">
        <v>0.40600000000000003</v>
      </c>
      <c r="Q82">
        <v>59.014000000000003</v>
      </c>
      <c r="R82">
        <v>0</v>
      </c>
      <c r="S82">
        <v>-1E-3</v>
      </c>
      <c r="T82">
        <v>1.4039999999999999</v>
      </c>
      <c r="U82">
        <v>102.08199999999999</v>
      </c>
      <c r="V82">
        <v>21.245999999999999</v>
      </c>
      <c r="W82">
        <v>2.4430000000000001</v>
      </c>
      <c r="X82">
        <v>95.47</v>
      </c>
      <c r="Y82">
        <v>1.0620000000000001</v>
      </c>
      <c r="Z82">
        <v>0.32500000000000001</v>
      </c>
      <c r="AA82">
        <v>0</v>
      </c>
      <c r="AB82">
        <v>0</v>
      </c>
      <c r="AC82">
        <v>1</v>
      </c>
      <c r="AD82">
        <v>39.875</v>
      </c>
      <c r="AE82">
        <v>1</v>
      </c>
      <c r="AF82">
        <v>6</v>
      </c>
      <c r="AG82">
        <v>2</v>
      </c>
      <c r="AH82" t="s">
        <v>361</v>
      </c>
      <c r="AI82">
        <v>0</v>
      </c>
    </row>
    <row r="83" spans="1:35" x14ac:dyDescent="0.2">
      <c r="A83">
        <v>82</v>
      </c>
      <c r="B83" t="s">
        <v>539</v>
      </c>
      <c r="C83" t="s">
        <v>540</v>
      </c>
      <c r="D83" t="s">
        <v>367</v>
      </c>
      <c r="E83">
        <v>1</v>
      </c>
      <c r="F83">
        <v>-1.4059999999999999</v>
      </c>
      <c r="G83">
        <v>-10.654</v>
      </c>
      <c r="H83">
        <v>16890</v>
      </c>
      <c r="I83">
        <v>-1</v>
      </c>
      <c r="J83">
        <v>1</v>
      </c>
      <c r="K83" t="s">
        <v>359</v>
      </c>
      <c r="L83" t="s">
        <v>359</v>
      </c>
      <c r="M83" t="s">
        <v>360</v>
      </c>
      <c r="N83">
        <v>1649147777.6400001</v>
      </c>
      <c r="O83">
        <v>0.20899999999999999</v>
      </c>
      <c r="P83">
        <v>0.39400000000000002</v>
      </c>
      <c r="Q83">
        <v>58.347000000000001</v>
      </c>
      <c r="R83">
        <v>1E-3</v>
      </c>
      <c r="S83">
        <v>0</v>
      </c>
      <c r="T83">
        <v>1.4019999999999999</v>
      </c>
      <c r="U83">
        <v>99.793999999999997</v>
      </c>
      <c r="V83">
        <v>20.516999999999999</v>
      </c>
      <c r="W83">
        <v>2.3839999999999999</v>
      </c>
      <c r="X83">
        <v>92.954999999999998</v>
      </c>
      <c r="Y83">
        <v>1.04</v>
      </c>
      <c r="Z83">
        <v>0.30299999999999999</v>
      </c>
      <c r="AA83">
        <v>0</v>
      </c>
      <c r="AB83">
        <v>0</v>
      </c>
      <c r="AC83">
        <v>1</v>
      </c>
      <c r="AD83">
        <v>39.811999999999998</v>
      </c>
      <c r="AE83">
        <v>1</v>
      </c>
      <c r="AF83">
        <v>7</v>
      </c>
      <c r="AG83">
        <v>2</v>
      </c>
      <c r="AH83" t="s">
        <v>361</v>
      </c>
      <c r="AI83">
        <v>0</v>
      </c>
    </row>
    <row r="84" spans="1:35" x14ac:dyDescent="0.2">
      <c r="A84">
        <v>83</v>
      </c>
      <c r="B84" t="s">
        <v>539</v>
      </c>
      <c r="C84" t="s">
        <v>541</v>
      </c>
      <c r="D84" t="s">
        <v>367</v>
      </c>
      <c r="E84">
        <v>2</v>
      </c>
      <c r="F84">
        <v>-1.496</v>
      </c>
      <c r="G84">
        <v>-11.599</v>
      </c>
      <c r="H84">
        <v>17156</v>
      </c>
      <c r="I84">
        <v>-1</v>
      </c>
      <c r="J84">
        <v>1</v>
      </c>
      <c r="K84" t="s">
        <v>359</v>
      </c>
      <c r="L84" t="s">
        <v>359</v>
      </c>
      <c r="M84" t="s">
        <v>360</v>
      </c>
      <c r="N84">
        <v>1649148315.6600001</v>
      </c>
      <c r="O84">
        <v>0.19600000000000001</v>
      </c>
      <c r="P84">
        <v>0.41499999999999998</v>
      </c>
      <c r="Q84">
        <v>60.798000000000002</v>
      </c>
      <c r="R84">
        <v>0</v>
      </c>
      <c r="S84">
        <v>1E-3</v>
      </c>
      <c r="T84">
        <v>1.45</v>
      </c>
      <c r="U84">
        <v>101.129</v>
      </c>
      <c r="V84">
        <v>21.358000000000001</v>
      </c>
      <c r="W84">
        <v>2.4359999999999999</v>
      </c>
      <c r="X84">
        <v>94.424000000000007</v>
      </c>
      <c r="Y84">
        <v>1.0529999999999999</v>
      </c>
      <c r="Z84">
        <v>0.434</v>
      </c>
      <c r="AA84">
        <v>0</v>
      </c>
      <c r="AB84">
        <v>0</v>
      </c>
      <c r="AC84">
        <v>1</v>
      </c>
      <c r="AD84">
        <v>39.875</v>
      </c>
      <c r="AE84">
        <v>1</v>
      </c>
      <c r="AF84">
        <v>7</v>
      </c>
      <c r="AG84">
        <v>2</v>
      </c>
      <c r="AH84" t="s">
        <v>361</v>
      </c>
      <c r="AI84">
        <v>0</v>
      </c>
    </row>
    <row r="85" spans="1:35" x14ac:dyDescent="0.2">
      <c r="A85">
        <v>84</v>
      </c>
      <c r="B85" t="s">
        <v>539</v>
      </c>
      <c r="C85" t="s">
        <v>542</v>
      </c>
      <c r="D85" t="s">
        <v>367</v>
      </c>
      <c r="E85">
        <v>3</v>
      </c>
      <c r="F85">
        <v>-1.506</v>
      </c>
      <c r="G85">
        <v>-11.856</v>
      </c>
      <c r="H85">
        <v>17112</v>
      </c>
      <c r="I85">
        <v>-1</v>
      </c>
      <c r="J85">
        <v>1</v>
      </c>
      <c r="K85" t="s">
        <v>359</v>
      </c>
      <c r="L85" t="s">
        <v>359</v>
      </c>
      <c r="M85" t="s">
        <v>360</v>
      </c>
      <c r="N85">
        <v>1649148854.25</v>
      </c>
      <c r="O85">
        <v>0.20499999999999999</v>
      </c>
      <c r="P85">
        <v>0.48099999999999998</v>
      </c>
      <c r="Q85">
        <v>59.561999999999998</v>
      </c>
      <c r="R85">
        <v>0</v>
      </c>
      <c r="S85">
        <v>0</v>
      </c>
      <c r="T85">
        <v>1.425</v>
      </c>
      <c r="U85">
        <v>101.01600000000001</v>
      </c>
      <c r="V85">
        <v>20.878</v>
      </c>
      <c r="W85">
        <v>2.4550000000000001</v>
      </c>
      <c r="X85">
        <v>94.594999999999999</v>
      </c>
      <c r="Y85">
        <v>1.042</v>
      </c>
      <c r="Z85">
        <v>0.35199999999999998</v>
      </c>
      <c r="AA85">
        <v>0</v>
      </c>
      <c r="AB85">
        <v>0</v>
      </c>
      <c r="AC85">
        <v>1</v>
      </c>
      <c r="AD85">
        <v>39.811999999999998</v>
      </c>
      <c r="AE85">
        <v>1</v>
      </c>
      <c r="AF85">
        <v>7</v>
      </c>
      <c r="AG85">
        <v>2</v>
      </c>
      <c r="AH85" t="s">
        <v>361</v>
      </c>
      <c r="AI85">
        <v>0</v>
      </c>
    </row>
    <row r="86" spans="1:35" x14ac:dyDescent="0.2">
      <c r="A86">
        <v>85</v>
      </c>
      <c r="B86" t="s">
        <v>539</v>
      </c>
      <c r="C86" t="s">
        <v>543</v>
      </c>
      <c r="D86" t="s">
        <v>367</v>
      </c>
      <c r="E86">
        <v>4</v>
      </c>
      <c r="F86">
        <v>-1.504</v>
      </c>
      <c r="G86">
        <v>-11.935</v>
      </c>
      <c r="H86">
        <v>17117</v>
      </c>
      <c r="I86">
        <v>0</v>
      </c>
      <c r="J86">
        <v>1</v>
      </c>
      <c r="K86" t="s">
        <v>359</v>
      </c>
      <c r="L86" t="s">
        <v>359</v>
      </c>
      <c r="M86" t="s">
        <v>360</v>
      </c>
      <c r="N86">
        <v>1649149392.23</v>
      </c>
      <c r="O86">
        <v>0.189</v>
      </c>
      <c r="P86">
        <v>0.38500000000000001</v>
      </c>
      <c r="Q86">
        <v>59.042000000000002</v>
      </c>
      <c r="R86">
        <v>1E-3</v>
      </c>
      <c r="S86">
        <v>0</v>
      </c>
      <c r="T86">
        <v>1.411</v>
      </c>
      <c r="U86">
        <v>100.90300000000001</v>
      </c>
      <c r="V86">
        <v>21.584</v>
      </c>
      <c r="W86">
        <v>2.4329999999999998</v>
      </c>
      <c r="X86">
        <v>93.347999999999999</v>
      </c>
      <c r="Y86">
        <v>1.0660000000000001</v>
      </c>
      <c r="Z86">
        <v>0.29699999999999999</v>
      </c>
      <c r="AA86">
        <v>0</v>
      </c>
      <c r="AB86">
        <v>0</v>
      </c>
      <c r="AC86">
        <v>1</v>
      </c>
      <c r="AD86">
        <v>39.875</v>
      </c>
      <c r="AE86">
        <v>1</v>
      </c>
      <c r="AF86">
        <v>7</v>
      </c>
      <c r="AG86">
        <v>2</v>
      </c>
      <c r="AH86" t="s">
        <v>361</v>
      </c>
      <c r="AI86">
        <v>0</v>
      </c>
    </row>
    <row r="87" spans="1:35" x14ac:dyDescent="0.2">
      <c r="A87">
        <v>86</v>
      </c>
      <c r="B87" t="s">
        <v>539</v>
      </c>
      <c r="C87" t="s">
        <v>544</v>
      </c>
      <c r="D87" t="s">
        <v>367</v>
      </c>
      <c r="E87">
        <v>5</v>
      </c>
      <c r="F87">
        <v>-1.496</v>
      </c>
      <c r="G87">
        <v>-11.893000000000001</v>
      </c>
      <c r="H87">
        <v>17116</v>
      </c>
      <c r="I87">
        <v>0</v>
      </c>
      <c r="J87">
        <v>1</v>
      </c>
      <c r="K87" t="s">
        <v>359</v>
      </c>
      <c r="L87" t="s">
        <v>359</v>
      </c>
      <c r="M87" t="s">
        <v>360</v>
      </c>
      <c r="N87">
        <v>1649149929.3699999</v>
      </c>
      <c r="O87">
        <v>0.21199999999999999</v>
      </c>
      <c r="P87">
        <v>0.379</v>
      </c>
      <c r="Q87">
        <v>58.295999999999999</v>
      </c>
      <c r="R87">
        <v>1E-3</v>
      </c>
      <c r="S87">
        <v>0</v>
      </c>
      <c r="T87">
        <v>1.3939999999999999</v>
      </c>
      <c r="U87">
        <v>101.009</v>
      </c>
      <c r="V87">
        <v>21.303000000000001</v>
      </c>
      <c r="W87">
        <v>2.3849999999999998</v>
      </c>
      <c r="X87">
        <v>93.623999999999995</v>
      </c>
      <c r="Y87">
        <v>1.0620000000000001</v>
      </c>
      <c r="Z87">
        <v>0.27100000000000002</v>
      </c>
      <c r="AA87">
        <v>0</v>
      </c>
      <c r="AB87">
        <v>0</v>
      </c>
      <c r="AC87">
        <v>1</v>
      </c>
      <c r="AD87">
        <v>39.811999999999998</v>
      </c>
      <c r="AE87">
        <v>1</v>
      </c>
      <c r="AF87">
        <v>7</v>
      </c>
      <c r="AG87">
        <v>2</v>
      </c>
      <c r="AH87" t="s">
        <v>361</v>
      </c>
      <c r="AI87">
        <v>0</v>
      </c>
    </row>
    <row r="88" spans="1:35" x14ac:dyDescent="0.2">
      <c r="A88">
        <v>87</v>
      </c>
      <c r="B88" t="s">
        <v>539</v>
      </c>
      <c r="C88" t="s">
        <v>545</v>
      </c>
      <c r="D88" t="s">
        <v>367</v>
      </c>
      <c r="E88">
        <v>6</v>
      </c>
      <c r="F88">
        <v>-1.4950000000000001</v>
      </c>
      <c r="G88">
        <v>-12.03</v>
      </c>
      <c r="H88">
        <v>17062</v>
      </c>
      <c r="I88">
        <v>0</v>
      </c>
      <c r="J88">
        <v>1</v>
      </c>
      <c r="K88" t="s">
        <v>359</v>
      </c>
      <c r="L88" t="s">
        <v>359</v>
      </c>
      <c r="M88" t="s">
        <v>360</v>
      </c>
      <c r="N88">
        <v>1649150467.0999999</v>
      </c>
      <c r="O88">
        <v>0.193</v>
      </c>
      <c r="P88">
        <v>0.36699999999999999</v>
      </c>
      <c r="Q88">
        <v>59.725000000000001</v>
      </c>
      <c r="R88">
        <v>1E-3</v>
      </c>
      <c r="S88">
        <v>0</v>
      </c>
      <c r="T88">
        <v>1.4179999999999999</v>
      </c>
      <c r="U88">
        <v>100.64400000000001</v>
      </c>
      <c r="V88">
        <v>21.032</v>
      </c>
      <c r="W88">
        <v>2.407</v>
      </c>
      <c r="X88">
        <v>94.247</v>
      </c>
      <c r="Y88">
        <v>1.06</v>
      </c>
      <c r="Z88">
        <v>0.34899999999999998</v>
      </c>
      <c r="AA88">
        <v>0</v>
      </c>
      <c r="AB88">
        <v>0</v>
      </c>
      <c r="AC88">
        <v>1</v>
      </c>
      <c r="AD88">
        <v>39.811999999999998</v>
      </c>
      <c r="AE88">
        <v>1</v>
      </c>
      <c r="AF88">
        <v>7</v>
      </c>
      <c r="AG88">
        <v>2</v>
      </c>
      <c r="AH88" t="s">
        <v>361</v>
      </c>
      <c r="AI88">
        <v>0</v>
      </c>
    </row>
    <row r="89" spans="1:35" x14ac:dyDescent="0.2">
      <c r="A89">
        <v>88</v>
      </c>
      <c r="B89" t="s">
        <v>546</v>
      </c>
      <c r="C89" t="s">
        <v>547</v>
      </c>
      <c r="D89" t="s">
        <v>368</v>
      </c>
      <c r="E89">
        <v>1</v>
      </c>
      <c r="F89">
        <v>-2.3839999999999999</v>
      </c>
      <c r="G89">
        <v>-17.157</v>
      </c>
      <c r="H89">
        <v>16910</v>
      </c>
      <c r="I89">
        <v>-1</v>
      </c>
      <c r="J89">
        <v>1</v>
      </c>
      <c r="K89" t="s">
        <v>359</v>
      </c>
      <c r="L89" t="s">
        <v>359</v>
      </c>
      <c r="M89" t="s">
        <v>360</v>
      </c>
      <c r="N89">
        <v>1649151004.75</v>
      </c>
      <c r="O89">
        <v>0.21</v>
      </c>
      <c r="P89">
        <v>0.434</v>
      </c>
      <c r="Q89">
        <v>58.381999999999998</v>
      </c>
      <c r="R89">
        <v>1E-3</v>
      </c>
      <c r="S89">
        <v>0</v>
      </c>
      <c r="T89">
        <v>1.41</v>
      </c>
      <c r="U89">
        <v>99.813000000000002</v>
      </c>
      <c r="V89">
        <v>20.751000000000001</v>
      </c>
      <c r="W89">
        <v>2.387</v>
      </c>
      <c r="X89">
        <v>92.948999999999998</v>
      </c>
      <c r="Y89">
        <v>1.069</v>
      </c>
      <c r="Z89">
        <v>0.33300000000000002</v>
      </c>
      <c r="AA89">
        <v>0</v>
      </c>
      <c r="AB89">
        <v>0</v>
      </c>
      <c r="AC89">
        <v>1</v>
      </c>
      <c r="AD89">
        <v>39.811999999999998</v>
      </c>
      <c r="AE89">
        <v>1</v>
      </c>
      <c r="AF89">
        <v>8</v>
      </c>
      <c r="AG89">
        <v>2</v>
      </c>
      <c r="AH89" t="s">
        <v>361</v>
      </c>
      <c r="AI89">
        <v>0</v>
      </c>
    </row>
    <row r="90" spans="1:35" x14ac:dyDescent="0.2">
      <c r="A90">
        <v>89</v>
      </c>
      <c r="B90" t="s">
        <v>546</v>
      </c>
      <c r="C90" t="s">
        <v>548</v>
      </c>
      <c r="D90" t="s">
        <v>368</v>
      </c>
      <c r="E90">
        <v>2</v>
      </c>
      <c r="F90">
        <v>-2.4870000000000001</v>
      </c>
      <c r="G90">
        <v>-17.594999999999999</v>
      </c>
      <c r="H90">
        <v>17077</v>
      </c>
      <c r="I90">
        <v>-1</v>
      </c>
      <c r="J90">
        <v>1</v>
      </c>
      <c r="K90" t="s">
        <v>359</v>
      </c>
      <c r="L90" t="s">
        <v>359</v>
      </c>
      <c r="M90" t="s">
        <v>360</v>
      </c>
      <c r="N90">
        <v>1649151542.6800001</v>
      </c>
      <c r="O90">
        <v>0.19400000000000001</v>
      </c>
      <c r="P90">
        <v>0.376</v>
      </c>
      <c r="Q90">
        <v>60.533999999999999</v>
      </c>
      <c r="R90">
        <v>1E-3</v>
      </c>
      <c r="S90">
        <v>1E-3</v>
      </c>
      <c r="T90">
        <v>1.4550000000000001</v>
      </c>
      <c r="U90">
        <v>100.96</v>
      </c>
      <c r="V90">
        <v>20.867000000000001</v>
      </c>
      <c r="W90">
        <v>2.4209999999999998</v>
      </c>
      <c r="X90">
        <v>93.597999999999999</v>
      </c>
      <c r="Y90">
        <v>1.0589999999999999</v>
      </c>
      <c r="Z90">
        <v>0.223</v>
      </c>
      <c r="AA90">
        <v>0</v>
      </c>
      <c r="AB90">
        <v>0</v>
      </c>
      <c r="AC90">
        <v>1</v>
      </c>
      <c r="AD90">
        <v>39.811999999999998</v>
      </c>
      <c r="AE90">
        <v>1</v>
      </c>
      <c r="AF90">
        <v>8</v>
      </c>
      <c r="AG90">
        <v>2</v>
      </c>
      <c r="AH90" t="s">
        <v>361</v>
      </c>
      <c r="AI90">
        <v>0</v>
      </c>
    </row>
    <row r="91" spans="1:35" x14ac:dyDescent="0.2">
      <c r="A91">
        <v>90</v>
      </c>
      <c r="B91" t="s">
        <v>546</v>
      </c>
      <c r="C91" t="s">
        <v>549</v>
      </c>
      <c r="D91" t="s">
        <v>368</v>
      </c>
      <c r="E91">
        <v>3</v>
      </c>
      <c r="F91">
        <v>-2.4470000000000001</v>
      </c>
      <c r="G91">
        <v>-17.622</v>
      </c>
      <c r="H91">
        <v>17052</v>
      </c>
      <c r="I91">
        <v>-1</v>
      </c>
      <c r="J91">
        <v>1</v>
      </c>
      <c r="K91" t="s">
        <v>359</v>
      </c>
      <c r="L91" t="s">
        <v>359</v>
      </c>
      <c r="M91" t="s">
        <v>360</v>
      </c>
      <c r="N91">
        <v>1649152080.03</v>
      </c>
      <c r="O91">
        <v>0.22600000000000001</v>
      </c>
      <c r="P91">
        <v>0.4</v>
      </c>
      <c r="Q91">
        <v>58.802999999999997</v>
      </c>
      <c r="R91">
        <v>2E-3</v>
      </c>
      <c r="S91">
        <v>1E-3</v>
      </c>
      <c r="T91">
        <v>1.4139999999999999</v>
      </c>
      <c r="U91">
        <v>100.491</v>
      </c>
      <c r="V91">
        <v>21.638000000000002</v>
      </c>
      <c r="W91">
        <v>2.3860000000000001</v>
      </c>
      <c r="X91">
        <v>92.366</v>
      </c>
      <c r="Y91">
        <v>1.0720000000000001</v>
      </c>
      <c r="Z91">
        <v>0.18099999999999999</v>
      </c>
      <c r="AA91">
        <v>0</v>
      </c>
      <c r="AB91">
        <v>0</v>
      </c>
      <c r="AC91">
        <v>1</v>
      </c>
      <c r="AD91">
        <v>39.875</v>
      </c>
      <c r="AE91">
        <v>1</v>
      </c>
      <c r="AF91">
        <v>8</v>
      </c>
      <c r="AG91">
        <v>2</v>
      </c>
      <c r="AH91" t="s">
        <v>361</v>
      </c>
      <c r="AI91">
        <v>0</v>
      </c>
    </row>
    <row r="92" spans="1:35" x14ac:dyDescent="0.2">
      <c r="A92">
        <v>91</v>
      </c>
      <c r="B92" t="s">
        <v>546</v>
      </c>
      <c r="C92" t="s">
        <v>550</v>
      </c>
      <c r="D92" t="s">
        <v>368</v>
      </c>
      <c r="E92">
        <v>4</v>
      </c>
      <c r="F92">
        <v>-2.4660000000000002</v>
      </c>
      <c r="G92">
        <v>-17.698</v>
      </c>
      <c r="H92">
        <v>17071</v>
      </c>
      <c r="I92">
        <v>0</v>
      </c>
      <c r="J92">
        <v>1</v>
      </c>
      <c r="K92" t="s">
        <v>359</v>
      </c>
      <c r="L92" t="s">
        <v>359</v>
      </c>
      <c r="M92" t="s">
        <v>360</v>
      </c>
      <c r="N92">
        <v>1649152617.95</v>
      </c>
      <c r="O92">
        <v>0.185</v>
      </c>
      <c r="P92">
        <v>0.42</v>
      </c>
      <c r="Q92">
        <v>59.74</v>
      </c>
      <c r="R92">
        <v>0</v>
      </c>
      <c r="S92">
        <v>1E-3</v>
      </c>
      <c r="T92">
        <v>1.427</v>
      </c>
      <c r="U92">
        <v>100.98</v>
      </c>
      <c r="V92">
        <v>20.609000000000002</v>
      </c>
      <c r="W92">
        <v>2.3809999999999998</v>
      </c>
      <c r="X92">
        <v>94.061999999999998</v>
      </c>
      <c r="Y92">
        <v>1.073</v>
      </c>
      <c r="Z92">
        <v>0.183</v>
      </c>
      <c r="AA92">
        <v>0</v>
      </c>
      <c r="AB92">
        <v>0</v>
      </c>
      <c r="AC92">
        <v>1</v>
      </c>
      <c r="AD92">
        <v>39.811999999999998</v>
      </c>
      <c r="AE92">
        <v>1</v>
      </c>
      <c r="AF92">
        <v>8</v>
      </c>
      <c r="AG92">
        <v>2</v>
      </c>
      <c r="AH92" t="s">
        <v>361</v>
      </c>
      <c r="AI92">
        <v>0</v>
      </c>
    </row>
    <row r="93" spans="1:35" x14ac:dyDescent="0.2">
      <c r="A93">
        <v>92</v>
      </c>
      <c r="B93" t="s">
        <v>546</v>
      </c>
      <c r="C93" t="s">
        <v>551</v>
      </c>
      <c r="D93" t="s">
        <v>368</v>
      </c>
      <c r="E93">
        <v>5</v>
      </c>
      <c r="F93">
        <v>-2.4390000000000001</v>
      </c>
      <c r="G93">
        <v>-17.850999999999999</v>
      </c>
      <c r="H93">
        <v>17098</v>
      </c>
      <c r="I93">
        <v>0</v>
      </c>
      <c r="J93">
        <v>1</v>
      </c>
      <c r="K93" t="s">
        <v>359</v>
      </c>
      <c r="L93" t="s">
        <v>359</v>
      </c>
      <c r="M93" t="s">
        <v>360</v>
      </c>
      <c r="N93">
        <v>1649153156.1199999</v>
      </c>
      <c r="O93">
        <v>0.21</v>
      </c>
      <c r="P93">
        <v>0.435</v>
      </c>
      <c r="Q93">
        <v>59.723999999999997</v>
      </c>
      <c r="R93">
        <v>1E-3</v>
      </c>
      <c r="S93">
        <v>1E-3</v>
      </c>
      <c r="T93">
        <v>1.429</v>
      </c>
      <c r="U93">
        <v>101.22799999999999</v>
      </c>
      <c r="V93">
        <v>20.402999999999999</v>
      </c>
      <c r="W93">
        <v>2.4249999999999998</v>
      </c>
      <c r="X93">
        <v>94.375</v>
      </c>
      <c r="Y93">
        <v>1.0620000000000001</v>
      </c>
      <c r="Z93">
        <v>0.253</v>
      </c>
      <c r="AA93">
        <v>0</v>
      </c>
      <c r="AB93">
        <v>0</v>
      </c>
      <c r="AC93">
        <v>1</v>
      </c>
      <c r="AD93">
        <v>39.75</v>
      </c>
      <c r="AE93">
        <v>1</v>
      </c>
      <c r="AF93">
        <v>8</v>
      </c>
      <c r="AG93">
        <v>2</v>
      </c>
      <c r="AH93" t="s">
        <v>361</v>
      </c>
      <c r="AI93">
        <v>0</v>
      </c>
    </row>
    <row r="94" spans="1:35" x14ac:dyDescent="0.2">
      <c r="A94">
        <v>93</v>
      </c>
      <c r="B94" t="s">
        <v>546</v>
      </c>
      <c r="C94" t="s">
        <v>552</v>
      </c>
      <c r="D94" t="s">
        <v>368</v>
      </c>
      <c r="E94">
        <v>6</v>
      </c>
      <c r="F94">
        <v>-2.4279999999999999</v>
      </c>
      <c r="G94">
        <v>-17.753</v>
      </c>
      <c r="H94">
        <v>17089</v>
      </c>
      <c r="I94">
        <v>0</v>
      </c>
      <c r="J94">
        <v>1</v>
      </c>
      <c r="K94" t="s">
        <v>359</v>
      </c>
      <c r="L94" t="s">
        <v>359</v>
      </c>
      <c r="M94" t="s">
        <v>360</v>
      </c>
      <c r="N94">
        <v>1649153692.6500001</v>
      </c>
      <c r="O94">
        <v>0.21</v>
      </c>
      <c r="P94">
        <v>0.38200000000000001</v>
      </c>
      <c r="Q94">
        <v>58.402999999999999</v>
      </c>
      <c r="R94">
        <v>1E-3</v>
      </c>
      <c r="S94">
        <v>-1E-3</v>
      </c>
      <c r="T94">
        <v>1.401</v>
      </c>
      <c r="U94">
        <v>100.935</v>
      </c>
      <c r="V94">
        <v>21.361000000000001</v>
      </c>
      <c r="W94">
        <v>2.3929999999999998</v>
      </c>
      <c r="X94">
        <v>92.629000000000005</v>
      </c>
      <c r="Y94">
        <v>1.06</v>
      </c>
      <c r="Z94">
        <v>8.1000000000000003E-2</v>
      </c>
      <c r="AA94">
        <v>0</v>
      </c>
      <c r="AB94">
        <v>0</v>
      </c>
      <c r="AC94">
        <v>1</v>
      </c>
      <c r="AD94">
        <v>39.75</v>
      </c>
      <c r="AE94">
        <v>1</v>
      </c>
      <c r="AF94">
        <v>8</v>
      </c>
      <c r="AG94">
        <v>2</v>
      </c>
      <c r="AH94" t="s">
        <v>361</v>
      </c>
      <c r="AI94">
        <v>0</v>
      </c>
    </row>
    <row r="95" spans="1:35" x14ac:dyDescent="0.2">
      <c r="A95">
        <v>94</v>
      </c>
      <c r="B95" t="s">
        <v>553</v>
      </c>
      <c r="C95" t="s">
        <v>554</v>
      </c>
      <c r="D95" t="s">
        <v>369</v>
      </c>
      <c r="E95">
        <v>1</v>
      </c>
      <c r="F95">
        <v>-5.452</v>
      </c>
      <c r="G95">
        <v>-33.478000000000002</v>
      </c>
      <c r="H95">
        <v>16858</v>
      </c>
      <c r="I95">
        <v>-1</v>
      </c>
      <c r="J95">
        <v>1</v>
      </c>
      <c r="K95" t="s">
        <v>359</v>
      </c>
      <c r="L95" t="s">
        <v>359</v>
      </c>
      <c r="M95" t="s">
        <v>360</v>
      </c>
      <c r="N95">
        <v>1649154230.71</v>
      </c>
      <c r="O95">
        <v>0.20100000000000001</v>
      </c>
      <c r="P95">
        <v>0.376</v>
      </c>
      <c r="Q95">
        <v>59.097000000000001</v>
      </c>
      <c r="R95">
        <v>1E-3</v>
      </c>
      <c r="S95">
        <v>3.0000000000000001E-3</v>
      </c>
      <c r="T95">
        <v>1.415</v>
      </c>
      <c r="U95">
        <v>99.491</v>
      </c>
      <c r="V95">
        <v>20.956</v>
      </c>
      <c r="W95">
        <v>2.359</v>
      </c>
      <c r="X95">
        <v>92.034000000000006</v>
      </c>
      <c r="Y95">
        <v>1.0680000000000001</v>
      </c>
      <c r="Z95">
        <v>0.28399999999999997</v>
      </c>
      <c r="AA95">
        <v>0</v>
      </c>
      <c r="AB95">
        <v>0</v>
      </c>
      <c r="AC95">
        <v>1</v>
      </c>
      <c r="AD95">
        <v>39.875</v>
      </c>
      <c r="AE95">
        <v>1</v>
      </c>
      <c r="AF95">
        <v>9</v>
      </c>
      <c r="AG95">
        <v>2</v>
      </c>
      <c r="AH95" t="s">
        <v>361</v>
      </c>
      <c r="AI95">
        <v>0</v>
      </c>
    </row>
    <row r="96" spans="1:35" x14ac:dyDescent="0.2">
      <c r="A96">
        <v>95</v>
      </c>
      <c r="B96" t="s">
        <v>553</v>
      </c>
      <c r="C96" t="s">
        <v>555</v>
      </c>
      <c r="D96" t="s">
        <v>369</v>
      </c>
      <c r="E96">
        <v>2</v>
      </c>
      <c r="F96">
        <v>-5.5720000000000001</v>
      </c>
      <c r="G96">
        <v>-34.915999999999997</v>
      </c>
      <c r="H96">
        <v>17122</v>
      </c>
      <c r="I96">
        <v>-1</v>
      </c>
      <c r="J96">
        <v>1</v>
      </c>
      <c r="K96" t="s">
        <v>359</v>
      </c>
      <c r="L96" t="s">
        <v>359</v>
      </c>
      <c r="M96" t="s">
        <v>360</v>
      </c>
      <c r="N96">
        <v>1649154768.04</v>
      </c>
      <c r="O96">
        <v>0.188</v>
      </c>
      <c r="P96">
        <v>0.38</v>
      </c>
      <c r="Q96">
        <v>58.232999999999997</v>
      </c>
      <c r="R96">
        <v>0</v>
      </c>
      <c r="S96">
        <v>2E-3</v>
      </c>
      <c r="T96">
        <v>1.407</v>
      </c>
      <c r="U96">
        <v>101.277</v>
      </c>
      <c r="V96">
        <v>20.713000000000001</v>
      </c>
      <c r="W96">
        <v>2.4020000000000001</v>
      </c>
      <c r="X96">
        <v>94.391999999999996</v>
      </c>
      <c r="Y96">
        <v>1.073</v>
      </c>
      <c r="Z96">
        <v>0.23599999999999999</v>
      </c>
      <c r="AA96">
        <v>0</v>
      </c>
      <c r="AB96">
        <v>0</v>
      </c>
      <c r="AC96">
        <v>1</v>
      </c>
      <c r="AD96">
        <v>39.875</v>
      </c>
      <c r="AE96">
        <v>1</v>
      </c>
      <c r="AF96">
        <v>9</v>
      </c>
      <c r="AG96">
        <v>2</v>
      </c>
      <c r="AH96" t="s">
        <v>361</v>
      </c>
      <c r="AI96">
        <v>0</v>
      </c>
    </row>
    <row r="97" spans="1:35" x14ac:dyDescent="0.2">
      <c r="A97">
        <v>96</v>
      </c>
      <c r="B97" t="s">
        <v>553</v>
      </c>
      <c r="C97" t="s">
        <v>556</v>
      </c>
      <c r="D97" t="s">
        <v>369</v>
      </c>
      <c r="E97">
        <v>3</v>
      </c>
      <c r="F97">
        <v>-5.6769999999999996</v>
      </c>
      <c r="G97">
        <v>-35.226999999999997</v>
      </c>
      <c r="H97">
        <v>17119</v>
      </c>
      <c r="I97">
        <v>-1</v>
      </c>
      <c r="J97">
        <v>1</v>
      </c>
      <c r="K97" t="s">
        <v>359</v>
      </c>
      <c r="L97" t="s">
        <v>359</v>
      </c>
      <c r="M97" t="s">
        <v>360</v>
      </c>
      <c r="N97">
        <v>1649155305.8199999</v>
      </c>
      <c r="O97">
        <v>0.2</v>
      </c>
      <c r="P97">
        <v>0.41899999999999998</v>
      </c>
      <c r="Q97">
        <v>59.817</v>
      </c>
      <c r="R97">
        <v>1E-3</v>
      </c>
      <c r="S97">
        <v>4.0000000000000001E-3</v>
      </c>
      <c r="T97">
        <v>1.425</v>
      </c>
      <c r="U97">
        <v>101.458</v>
      </c>
      <c r="V97">
        <v>20.219000000000001</v>
      </c>
      <c r="W97">
        <v>2.4060000000000001</v>
      </c>
      <c r="X97">
        <v>94.710999999999999</v>
      </c>
      <c r="Y97">
        <v>1.0660000000000001</v>
      </c>
      <c r="Z97">
        <v>0.20200000000000001</v>
      </c>
      <c r="AA97">
        <v>0</v>
      </c>
      <c r="AB97">
        <v>0</v>
      </c>
      <c r="AC97">
        <v>1</v>
      </c>
      <c r="AD97">
        <v>39.875</v>
      </c>
      <c r="AE97">
        <v>1</v>
      </c>
      <c r="AF97">
        <v>9</v>
      </c>
      <c r="AG97">
        <v>2</v>
      </c>
      <c r="AH97" t="s">
        <v>361</v>
      </c>
      <c r="AI97">
        <v>0</v>
      </c>
    </row>
    <row r="98" spans="1:35" x14ac:dyDescent="0.2">
      <c r="A98">
        <v>97</v>
      </c>
      <c r="B98" t="s">
        <v>553</v>
      </c>
      <c r="C98" t="s">
        <v>557</v>
      </c>
      <c r="D98" t="s">
        <v>369</v>
      </c>
      <c r="E98">
        <v>4</v>
      </c>
      <c r="F98">
        <v>-5.6319999999999997</v>
      </c>
      <c r="G98">
        <v>-35.246000000000002</v>
      </c>
      <c r="H98">
        <v>17101</v>
      </c>
      <c r="I98">
        <v>0</v>
      </c>
      <c r="J98">
        <v>1</v>
      </c>
      <c r="K98" t="s">
        <v>359</v>
      </c>
      <c r="L98" t="s">
        <v>359</v>
      </c>
      <c r="M98" t="s">
        <v>360</v>
      </c>
      <c r="N98">
        <v>1649155843.75</v>
      </c>
      <c r="O98">
        <v>0.19900000000000001</v>
      </c>
      <c r="P98">
        <v>0.36299999999999999</v>
      </c>
      <c r="Q98">
        <v>58.866999999999997</v>
      </c>
      <c r="R98">
        <v>1E-3</v>
      </c>
      <c r="S98">
        <v>1E-3</v>
      </c>
      <c r="T98">
        <v>1.421</v>
      </c>
      <c r="U98">
        <v>100.91200000000001</v>
      </c>
      <c r="V98">
        <v>21.288</v>
      </c>
      <c r="W98">
        <v>2.3959999999999999</v>
      </c>
      <c r="X98">
        <v>93.617000000000004</v>
      </c>
      <c r="Y98">
        <v>1.0409999999999999</v>
      </c>
      <c r="Z98">
        <v>0.32100000000000001</v>
      </c>
      <c r="AA98">
        <v>0</v>
      </c>
      <c r="AB98">
        <v>0</v>
      </c>
      <c r="AC98">
        <v>1</v>
      </c>
      <c r="AD98">
        <v>39.811999999999998</v>
      </c>
      <c r="AE98">
        <v>1</v>
      </c>
      <c r="AF98">
        <v>9</v>
      </c>
      <c r="AG98">
        <v>2</v>
      </c>
      <c r="AH98" t="s">
        <v>361</v>
      </c>
      <c r="AI98">
        <v>0</v>
      </c>
    </row>
    <row r="99" spans="1:35" x14ac:dyDescent="0.2">
      <c r="A99">
        <v>98</v>
      </c>
      <c r="B99" t="s">
        <v>553</v>
      </c>
      <c r="C99" t="s">
        <v>558</v>
      </c>
      <c r="D99" t="s">
        <v>369</v>
      </c>
      <c r="E99">
        <v>5</v>
      </c>
      <c r="F99">
        <v>-5.6740000000000004</v>
      </c>
      <c r="G99">
        <v>-35.329000000000001</v>
      </c>
      <c r="H99">
        <v>17114</v>
      </c>
      <c r="I99">
        <v>0</v>
      </c>
      <c r="J99">
        <v>1</v>
      </c>
      <c r="K99" t="s">
        <v>359</v>
      </c>
      <c r="L99" t="s">
        <v>359</v>
      </c>
      <c r="M99" t="s">
        <v>360</v>
      </c>
      <c r="N99">
        <v>1649156381.8900001</v>
      </c>
      <c r="O99">
        <v>0.188</v>
      </c>
      <c r="P99">
        <v>0.44500000000000001</v>
      </c>
      <c r="Q99">
        <v>58.234000000000002</v>
      </c>
      <c r="R99">
        <v>1E-3</v>
      </c>
      <c r="S99">
        <v>2E-3</v>
      </c>
      <c r="T99">
        <v>1.4059999999999999</v>
      </c>
      <c r="U99">
        <v>100.98399999999999</v>
      </c>
      <c r="V99">
        <v>20.809000000000001</v>
      </c>
      <c r="W99">
        <v>2.4660000000000002</v>
      </c>
      <c r="X99">
        <v>95.003</v>
      </c>
      <c r="Y99">
        <v>1.028</v>
      </c>
      <c r="Z99">
        <v>0.53100000000000003</v>
      </c>
      <c r="AA99">
        <v>0</v>
      </c>
      <c r="AB99">
        <v>0</v>
      </c>
      <c r="AC99">
        <v>1</v>
      </c>
      <c r="AD99">
        <v>39.875</v>
      </c>
      <c r="AE99">
        <v>1</v>
      </c>
      <c r="AF99">
        <v>9</v>
      </c>
      <c r="AG99">
        <v>2</v>
      </c>
      <c r="AH99" t="s">
        <v>361</v>
      </c>
      <c r="AI99">
        <v>0</v>
      </c>
    </row>
    <row r="100" spans="1:35" x14ac:dyDescent="0.2">
      <c r="A100">
        <v>99</v>
      </c>
      <c r="B100" t="s">
        <v>553</v>
      </c>
      <c r="C100" t="s">
        <v>559</v>
      </c>
      <c r="D100" t="s">
        <v>369</v>
      </c>
      <c r="E100">
        <v>6</v>
      </c>
      <c r="F100">
        <v>-5.6710000000000003</v>
      </c>
      <c r="G100">
        <v>-35.414999999999999</v>
      </c>
      <c r="H100">
        <v>17096</v>
      </c>
      <c r="I100">
        <v>0</v>
      </c>
      <c r="J100">
        <v>1</v>
      </c>
      <c r="K100" t="s">
        <v>359</v>
      </c>
      <c r="L100" t="s">
        <v>359</v>
      </c>
      <c r="M100" t="s">
        <v>360</v>
      </c>
      <c r="N100">
        <v>1649156918.46</v>
      </c>
      <c r="O100">
        <v>0.189</v>
      </c>
      <c r="P100">
        <v>0.38800000000000001</v>
      </c>
      <c r="Q100">
        <v>58.762999999999998</v>
      </c>
      <c r="R100">
        <v>1E-3</v>
      </c>
      <c r="S100">
        <v>0</v>
      </c>
      <c r="T100">
        <v>1.4</v>
      </c>
      <c r="U100">
        <v>101.08499999999999</v>
      </c>
      <c r="V100">
        <v>21.431999999999999</v>
      </c>
      <c r="W100">
        <v>2.3559999999999999</v>
      </c>
      <c r="X100">
        <v>91.747</v>
      </c>
      <c r="Y100">
        <v>1.02</v>
      </c>
      <c r="Z100">
        <v>2.5000000000000001E-2</v>
      </c>
      <c r="AA100">
        <v>0</v>
      </c>
      <c r="AB100">
        <v>0</v>
      </c>
      <c r="AC100">
        <v>1</v>
      </c>
      <c r="AD100">
        <v>39.875</v>
      </c>
      <c r="AE100">
        <v>1</v>
      </c>
      <c r="AF100">
        <v>9</v>
      </c>
      <c r="AG100">
        <v>2</v>
      </c>
      <c r="AH100" t="s">
        <v>361</v>
      </c>
      <c r="AI100">
        <v>0</v>
      </c>
    </row>
    <row r="101" spans="1:35" x14ac:dyDescent="0.2">
      <c r="A101">
        <v>100</v>
      </c>
      <c r="B101" t="s">
        <v>560</v>
      </c>
      <c r="C101" t="s">
        <v>561</v>
      </c>
      <c r="D101" t="s">
        <v>370</v>
      </c>
      <c r="E101">
        <v>1</v>
      </c>
      <c r="F101">
        <v>-5.4059999999999997</v>
      </c>
      <c r="G101">
        <v>-29.864999999999998</v>
      </c>
      <c r="H101">
        <v>16966</v>
      </c>
      <c r="I101">
        <v>-1</v>
      </c>
      <c r="J101">
        <v>1</v>
      </c>
      <c r="K101" t="s">
        <v>359</v>
      </c>
      <c r="L101" t="s">
        <v>359</v>
      </c>
      <c r="M101" t="s">
        <v>360</v>
      </c>
      <c r="N101">
        <v>1649157457.0599999</v>
      </c>
      <c r="O101">
        <v>0.192</v>
      </c>
      <c r="P101">
        <v>0.375</v>
      </c>
      <c r="Q101">
        <v>57.185000000000002</v>
      </c>
      <c r="R101">
        <v>0</v>
      </c>
      <c r="S101">
        <v>0</v>
      </c>
      <c r="T101">
        <v>1.3839999999999999</v>
      </c>
      <c r="U101">
        <v>100.476</v>
      </c>
      <c r="V101">
        <v>20.786000000000001</v>
      </c>
      <c r="W101">
        <v>2.2890000000000001</v>
      </c>
      <c r="X101">
        <v>91.632999999999996</v>
      </c>
      <c r="Y101">
        <v>0.98599999999999999</v>
      </c>
      <c r="Z101">
        <v>-5.8999999999999997E-2</v>
      </c>
      <c r="AA101">
        <v>0</v>
      </c>
      <c r="AB101">
        <v>0</v>
      </c>
      <c r="AC101">
        <v>1</v>
      </c>
      <c r="AD101">
        <v>39.875</v>
      </c>
      <c r="AE101">
        <v>1</v>
      </c>
      <c r="AF101">
        <v>10</v>
      </c>
      <c r="AG101">
        <v>2</v>
      </c>
      <c r="AH101" t="s">
        <v>361</v>
      </c>
      <c r="AI101">
        <v>0</v>
      </c>
    </row>
    <row r="102" spans="1:35" x14ac:dyDescent="0.2">
      <c r="A102">
        <v>101</v>
      </c>
      <c r="B102" t="s">
        <v>560</v>
      </c>
      <c r="C102" t="s">
        <v>562</v>
      </c>
      <c r="D102" t="s">
        <v>370</v>
      </c>
      <c r="E102">
        <v>2</v>
      </c>
      <c r="F102">
        <v>-5.4459999999999997</v>
      </c>
      <c r="G102">
        <v>-29.334</v>
      </c>
      <c r="H102">
        <v>16974</v>
      </c>
      <c r="I102">
        <v>-1</v>
      </c>
      <c r="J102">
        <v>1</v>
      </c>
      <c r="K102" t="s">
        <v>359</v>
      </c>
      <c r="L102" t="s">
        <v>359</v>
      </c>
      <c r="M102" t="s">
        <v>360</v>
      </c>
      <c r="N102">
        <v>1649157993.96</v>
      </c>
      <c r="O102">
        <v>0.22800000000000001</v>
      </c>
      <c r="P102">
        <v>0.41699999999999998</v>
      </c>
      <c r="Q102">
        <v>60.947000000000003</v>
      </c>
      <c r="R102">
        <v>1E-3</v>
      </c>
      <c r="S102">
        <v>1E-3</v>
      </c>
      <c r="T102">
        <v>1.4490000000000001</v>
      </c>
      <c r="U102">
        <v>100.068</v>
      </c>
      <c r="V102">
        <v>21.068999999999999</v>
      </c>
      <c r="W102">
        <v>2.4209999999999998</v>
      </c>
      <c r="X102">
        <v>93.468999999999994</v>
      </c>
      <c r="Y102">
        <v>0.98699999999999999</v>
      </c>
      <c r="Z102">
        <v>0.42299999999999999</v>
      </c>
      <c r="AA102">
        <v>0</v>
      </c>
      <c r="AB102">
        <v>0</v>
      </c>
      <c r="AC102">
        <v>1</v>
      </c>
      <c r="AD102">
        <v>39.875</v>
      </c>
      <c r="AE102">
        <v>1</v>
      </c>
      <c r="AF102">
        <v>10</v>
      </c>
      <c r="AG102">
        <v>2</v>
      </c>
      <c r="AH102" t="s">
        <v>361</v>
      </c>
      <c r="AI102">
        <v>0</v>
      </c>
    </row>
    <row r="103" spans="1:35" x14ac:dyDescent="0.2">
      <c r="A103">
        <v>102</v>
      </c>
      <c r="B103" t="s">
        <v>560</v>
      </c>
      <c r="C103" t="s">
        <v>563</v>
      </c>
      <c r="D103" t="s">
        <v>370</v>
      </c>
      <c r="E103">
        <v>3</v>
      </c>
      <c r="F103">
        <v>-5.4109999999999996</v>
      </c>
      <c r="G103">
        <v>-29.294</v>
      </c>
      <c r="H103">
        <v>17016</v>
      </c>
      <c r="I103">
        <v>-1</v>
      </c>
      <c r="J103">
        <v>1</v>
      </c>
      <c r="K103" t="s">
        <v>359</v>
      </c>
      <c r="L103" t="s">
        <v>359</v>
      </c>
      <c r="M103" t="s">
        <v>360</v>
      </c>
      <c r="N103">
        <v>1649158532.0999999</v>
      </c>
      <c r="O103">
        <v>0.19700000000000001</v>
      </c>
      <c r="P103">
        <v>0.40400000000000003</v>
      </c>
      <c r="Q103">
        <v>58.478000000000002</v>
      </c>
      <c r="R103">
        <v>0</v>
      </c>
      <c r="S103">
        <v>1E-3</v>
      </c>
      <c r="T103">
        <v>1.419</v>
      </c>
      <c r="U103">
        <v>100.35599999999999</v>
      </c>
      <c r="V103">
        <v>20.821999999999999</v>
      </c>
      <c r="W103">
        <v>2.4180000000000001</v>
      </c>
      <c r="X103">
        <v>94.265000000000001</v>
      </c>
      <c r="Y103">
        <v>0.96299999999999997</v>
      </c>
      <c r="Z103">
        <v>0.37</v>
      </c>
      <c r="AA103">
        <v>0</v>
      </c>
      <c r="AB103">
        <v>0</v>
      </c>
      <c r="AC103">
        <v>1</v>
      </c>
      <c r="AD103">
        <v>39.875</v>
      </c>
      <c r="AE103">
        <v>1</v>
      </c>
      <c r="AF103">
        <v>10</v>
      </c>
      <c r="AG103">
        <v>2</v>
      </c>
      <c r="AH103" t="s">
        <v>361</v>
      </c>
      <c r="AI103">
        <v>0</v>
      </c>
    </row>
    <row r="104" spans="1:35" x14ac:dyDescent="0.2">
      <c r="A104">
        <v>103</v>
      </c>
      <c r="B104" t="s">
        <v>560</v>
      </c>
      <c r="C104" t="s">
        <v>564</v>
      </c>
      <c r="D104" t="s">
        <v>370</v>
      </c>
      <c r="E104">
        <v>4</v>
      </c>
      <c r="F104">
        <v>-5.391</v>
      </c>
      <c r="G104">
        <v>-29.327999999999999</v>
      </c>
      <c r="H104">
        <v>17103</v>
      </c>
      <c r="I104">
        <v>0</v>
      </c>
      <c r="J104">
        <v>1</v>
      </c>
      <c r="K104" t="s">
        <v>359</v>
      </c>
      <c r="L104" t="s">
        <v>359</v>
      </c>
      <c r="M104" t="s">
        <v>360</v>
      </c>
      <c r="N104">
        <v>1649159070.6400001</v>
      </c>
      <c r="O104">
        <v>0.20300000000000001</v>
      </c>
      <c r="P104">
        <v>0.40100000000000002</v>
      </c>
      <c r="Q104">
        <v>59.781999999999996</v>
      </c>
      <c r="R104">
        <v>0</v>
      </c>
      <c r="S104">
        <v>1E-3</v>
      </c>
      <c r="T104">
        <v>1.4139999999999999</v>
      </c>
      <c r="U104">
        <v>100.806</v>
      </c>
      <c r="V104">
        <v>21.151</v>
      </c>
      <c r="W104">
        <v>2.4590000000000001</v>
      </c>
      <c r="X104">
        <v>94.47</v>
      </c>
      <c r="Y104">
        <v>0.97199999999999998</v>
      </c>
      <c r="Z104">
        <v>0.39300000000000002</v>
      </c>
      <c r="AA104">
        <v>0</v>
      </c>
      <c r="AB104">
        <v>0</v>
      </c>
      <c r="AC104">
        <v>1</v>
      </c>
      <c r="AD104">
        <v>39.875</v>
      </c>
      <c r="AE104">
        <v>1</v>
      </c>
      <c r="AF104">
        <v>10</v>
      </c>
      <c r="AG104">
        <v>2</v>
      </c>
      <c r="AH104" t="s">
        <v>361</v>
      </c>
      <c r="AI104">
        <v>0</v>
      </c>
    </row>
    <row r="105" spans="1:35" x14ac:dyDescent="0.2">
      <c r="A105">
        <v>104</v>
      </c>
      <c r="B105" t="s">
        <v>560</v>
      </c>
      <c r="C105" t="s">
        <v>565</v>
      </c>
      <c r="D105" t="s">
        <v>370</v>
      </c>
      <c r="E105">
        <v>5</v>
      </c>
      <c r="F105">
        <v>-5.3860000000000001</v>
      </c>
      <c r="G105">
        <v>-29.241</v>
      </c>
      <c r="H105">
        <v>17395</v>
      </c>
      <c r="I105">
        <v>0</v>
      </c>
      <c r="J105">
        <v>1</v>
      </c>
      <c r="K105" t="s">
        <v>359</v>
      </c>
      <c r="L105" t="s">
        <v>359</v>
      </c>
      <c r="M105" t="s">
        <v>360</v>
      </c>
      <c r="N105">
        <v>1649159607.0999999</v>
      </c>
      <c r="O105">
        <v>0.20899999999999999</v>
      </c>
      <c r="P105">
        <v>0.39</v>
      </c>
      <c r="Q105">
        <v>60.99</v>
      </c>
      <c r="R105">
        <v>0</v>
      </c>
      <c r="S105">
        <v>1E-3</v>
      </c>
      <c r="T105">
        <v>1.458</v>
      </c>
      <c r="U105">
        <v>102.706</v>
      </c>
      <c r="V105">
        <v>21.023</v>
      </c>
      <c r="W105">
        <v>2.5070000000000001</v>
      </c>
      <c r="X105">
        <v>96.813999999999993</v>
      </c>
      <c r="Y105">
        <v>0.94299999999999995</v>
      </c>
      <c r="Z105">
        <v>0.46899999999999997</v>
      </c>
      <c r="AA105">
        <v>0</v>
      </c>
      <c r="AB105">
        <v>0</v>
      </c>
      <c r="AC105">
        <v>1</v>
      </c>
      <c r="AD105">
        <v>39.811999999999998</v>
      </c>
      <c r="AE105">
        <v>1</v>
      </c>
      <c r="AF105">
        <v>10</v>
      </c>
      <c r="AG105">
        <v>2</v>
      </c>
      <c r="AH105" t="s">
        <v>361</v>
      </c>
      <c r="AI105">
        <v>0</v>
      </c>
    </row>
    <row r="106" spans="1:35" x14ac:dyDescent="0.2">
      <c r="A106">
        <v>105</v>
      </c>
      <c r="B106" t="s">
        <v>560</v>
      </c>
      <c r="C106" t="s">
        <v>566</v>
      </c>
      <c r="D106" t="s">
        <v>370</v>
      </c>
      <c r="E106">
        <v>6</v>
      </c>
      <c r="F106">
        <v>-5.3929999999999998</v>
      </c>
      <c r="G106">
        <v>-29.135999999999999</v>
      </c>
      <c r="H106">
        <v>17374</v>
      </c>
      <c r="I106">
        <v>0</v>
      </c>
      <c r="J106">
        <v>1</v>
      </c>
      <c r="K106" t="s">
        <v>359</v>
      </c>
      <c r="L106" t="s">
        <v>359</v>
      </c>
      <c r="M106" t="s">
        <v>360</v>
      </c>
      <c r="N106">
        <v>1649160146.5699999</v>
      </c>
      <c r="O106">
        <v>0.222</v>
      </c>
      <c r="P106">
        <v>0.41099999999999998</v>
      </c>
      <c r="Q106">
        <v>59.298000000000002</v>
      </c>
      <c r="R106">
        <v>1E-3</v>
      </c>
      <c r="S106">
        <v>0</v>
      </c>
      <c r="T106">
        <v>1.417</v>
      </c>
      <c r="U106">
        <v>102.91800000000001</v>
      </c>
      <c r="V106">
        <v>20.302</v>
      </c>
      <c r="W106">
        <v>2.5790000000000002</v>
      </c>
      <c r="X106">
        <v>97.147000000000006</v>
      </c>
      <c r="Y106">
        <v>0.95899999999999996</v>
      </c>
      <c r="Z106">
        <v>0.45300000000000001</v>
      </c>
      <c r="AA106">
        <v>0</v>
      </c>
      <c r="AB106">
        <v>0</v>
      </c>
      <c r="AC106">
        <v>1</v>
      </c>
      <c r="AD106">
        <v>39.875</v>
      </c>
      <c r="AE106">
        <v>1</v>
      </c>
      <c r="AF106">
        <v>10</v>
      </c>
      <c r="AG106">
        <v>2</v>
      </c>
      <c r="AH106" t="s">
        <v>361</v>
      </c>
      <c r="AI106">
        <v>0</v>
      </c>
    </row>
    <row r="107" spans="1:35" x14ac:dyDescent="0.2">
      <c r="A107">
        <v>106</v>
      </c>
      <c r="B107" t="s">
        <v>567</v>
      </c>
      <c r="C107" t="s">
        <v>568</v>
      </c>
      <c r="D107" t="s">
        <v>371</v>
      </c>
      <c r="E107">
        <v>1</v>
      </c>
      <c r="F107">
        <v>-6.1459999999999999</v>
      </c>
      <c r="G107">
        <v>-37.771999999999998</v>
      </c>
      <c r="H107">
        <v>17171</v>
      </c>
      <c r="I107">
        <v>-1</v>
      </c>
      <c r="J107">
        <v>1</v>
      </c>
      <c r="K107" t="s">
        <v>359</v>
      </c>
      <c r="L107" t="s">
        <v>359</v>
      </c>
      <c r="M107" t="s">
        <v>360</v>
      </c>
      <c r="N107">
        <v>1649160682.5999999</v>
      </c>
      <c r="O107">
        <v>0.20699999999999999</v>
      </c>
      <c r="P107">
        <v>0.40699999999999997</v>
      </c>
      <c r="Q107">
        <v>60.061999999999998</v>
      </c>
      <c r="R107">
        <v>1E-3</v>
      </c>
      <c r="S107">
        <v>2E-3</v>
      </c>
      <c r="T107">
        <v>1.4370000000000001</v>
      </c>
      <c r="U107">
        <v>101.598</v>
      </c>
      <c r="V107">
        <v>19.736000000000001</v>
      </c>
      <c r="W107">
        <v>2.585</v>
      </c>
      <c r="X107">
        <v>97.549000000000007</v>
      </c>
      <c r="Y107">
        <v>0.95</v>
      </c>
      <c r="Z107">
        <v>0.63700000000000001</v>
      </c>
      <c r="AA107">
        <v>0</v>
      </c>
      <c r="AB107">
        <v>0</v>
      </c>
      <c r="AC107">
        <v>1</v>
      </c>
      <c r="AD107">
        <v>39.875</v>
      </c>
      <c r="AE107">
        <v>1</v>
      </c>
      <c r="AF107">
        <v>11</v>
      </c>
      <c r="AG107">
        <v>2</v>
      </c>
      <c r="AH107" t="s">
        <v>361</v>
      </c>
      <c r="AI107">
        <v>0</v>
      </c>
    </row>
    <row r="108" spans="1:35" x14ac:dyDescent="0.2">
      <c r="A108">
        <v>107</v>
      </c>
      <c r="B108" t="s">
        <v>567</v>
      </c>
      <c r="C108" t="s">
        <v>569</v>
      </c>
      <c r="D108" t="s">
        <v>371</v>
      </c>
      <c r="E108">
        <v>2</v>
      </c>
      <c r="F108">
        <v>-6.16</v>
      </c>
      <c r="G108">
        <v>-38.634999999999998</v>
      </c>
      <c r="H108">
        <v>17551</v>
      </c>
      <c r="I108">
        <v>-1</v>
      </c>
      <c r="J108">
        <v>1</v>
      </c>
      <c r="K108" t="s">
        <v>359</v>
      </c>
      <c r="L108" t="s">
        <v>359</v>
      </c>
      <c r="M108" t="s">
        <v>360</v>
      </c>
      <c r="N108">
        <v>1649161221.1600001</v>
      </c>
      <c r="O108">
        <v>0.223</v>
      </c>
      <c r="P108">
        <v>0.42099999999999999</v>
      </c>
      <c r="Q108">
        <v>59.124000000000002</v>
      </c>
      <c r="R108">
        <v>1E-3</v>
      </c>
      <c r="S108">
        <v>2E-3</v>
      </c>
      <c r="T108">
        <v>1.427</v>
      </c>
      <c r="U108">
        <v>104.03100000000001</v>
      </c>
      <c r="V108">
        <v>20.210999999999999</v>
      </c>
      <c r="W108">
        <v>2.609</v>
      </c>
      <c r="X108">
        <v>98.733999999999995</v>
      </c>
      <c r="Y108">
        <v>0.93500000000000005</v>
      </c>
      <c r="Z108">
        <v>0.377</v>
      </c>
      <c r="AA108">
        <v>0</v>
      </c>
      <c r="AB108">
        <v>0</v>
      </c>
      <c r="AC108">
        <v>1</v>
      </c>
      <c r="AD108">
        <v>40</v>
      </c>
      <c r="AE108">
        <v>1</v>
      </c>
      <c r="AF108">
        <v>11</v>
      </c>
      <c r="AG108">
        <v>2</v>
      </c>
      <c r="AH108" t="s">
        <v>361</v>
      </c>
      <c r="AI108">
        <v>0</v>
      </c>
    </row>
    <row r="109" spans="1:35" x14ac:dyDescent="0.2">
      <c r="A109">
        <v>108</v>
      </c>
      <c r="B109" t="s">
        <v>567</v>
      </c>
      <c r="C109" t="s">
        <v>570</v>
      </c>
      <c r="D109" t="s">
        <v>371</v>
      </c>
      <c r="E109">
        <v>3</v>
      </c>
      <c r="F109">
        <v>-6.2160000000000002</v>
      </c>
      <c r="G109">
        <v>-38.743000000000002</v>
      </c>
      <c r="H109">
        <v>17462</v>
      </c>
      <c r="I109">
        <v>-1</v>
      </c>
      <c r="J109">
        <v>1</v>
      </c>
      <c r="K109" t="s">
        <v>359</v>
      </c>
      <c r="L109" t="s">
        <v>359</v>
      </c>
      <c r="M109" t="s">
        <v>360</v>
      </c>
      <c r="N109">
        <v>1649161759.53</v>
      </c>
      <c r="O109">
        <v>0.20499999999999999</v>
      </c>
      <c r="P109">
        <v>0.41099999999999998</v>
      </c>
      <c r="Q109">
        <v>60.078000000000003</v>
      </c>
      <c r="R109">
        <v>1E-3</v>
      </c>
      <c r="S109">
        <v>2E-3</v>
      </c>
      <c r="T109">
        <v>1.4350000000000001</v>
      </c>
      <c r="U109">
        <v>103.23399999999999</v>
      </c>
      <c r="V109">
        <v>19.943000000000001</v>
      </c>
      <c r="W109">
        <v>2.6779999999999999</v>
      </c>
      <c r="X109">
        <v>100.322</v>
      </c>
      <c r="Y109">
        <v>0.93600000000000005</v>
      </c>
      <c r="Z109">
        <v>0.876</v>
      </c>
      <c r="AA109">
        <v>0</v>
      </c>
      <c r="AB109">
        <v>0</v>
      </c>
      <c r="AC109">
        <v>1</v>
      </c>
      <c r="AD109">
        <v>40.061999999999998</v>
      </c>
      <c r="AE109">
        <v>1</v>
      </c>
      <c r="AF109">
        <v>11</v>
      </c>
      <c r="AG109">
        <v>2</v>
      </c>
      <c r="AH109" t="s">
        <v>361</v>
      </c>
      <c r="AI109">
        <v>0</v>
      </c>
    </row>
    <row r="110" spans="1:35" x14ac:dyDescent="0.2">
      <c r="A110">
        <v>109</v>
      </c>
      <c r="B110" t="s">
        <v>567</v>
      </c>
      <c r="C110" t="s">
        <v>571</v>
      </c>
      <c r="D110" t="s">
        <v>371</v>
      </c>
      <c r="E110">
        <v>4</v>
      </c>
      <c r="F110">
        <v>-6.1669999999999998</v>
      </c>
      <c r="G110">
        <v>-38.904000000000003</v>
      </c>
      <c r="H110">
        <v>17440</v>
      </c>
      <c r="I110">
        <v>0</v>
      </c>
      <c r="J110">
        <v>1</v>
      </c>
      <c r="K110" t="s">
        <v>359</v>
      </c>
      <c r="L110" t="s">
        <v>359</v>
      </c>
      <c r="M110" t="s">
        <v>360</v>
      </c>
      <c r="N110">
        <v>1649162295.3699999</v>
      </c>
      <c r="O110">
        <v>0.185</v>
      </c>
      <c r="P110">
        <v>0.40699999999999997</v>
      </c>
      <c r="Q110">
        <v>60.850999999999999</v>
      </c>
      <c r="R110">
        <v>1E-3</v>
      </c>
      <c r="S110">
        <v>0</v>
      </c>
      <c r="T110">
        <v>1.4530000000000001</v>
      </c>
      <c r="U110">
        <v>103.19199999999999</v>
      </c>
      <c r="V110">
        <v>19.611000000000001</v>
      </c>
      <c r="W110">
        <v>2.657</v>
      </c>
      <c r="X110">
        <v>100.60599999999999</v>
      </c>
      <c r="Y110">
        <v>0.93200000000000005</v>
      </c>
      <c r="Z110">
        <v>0.92500000000000004</v>
      </c>
      <c r="AA110">
        <v>0</v>
      </c>
      <c r="AB110">
        <v>0</v>
      </c>
      <c r="AC110">
        <v>1</v>
      </c>
      <c r="AD110">
        <v>40.061999999999998</v>
      </c>
      <c r="AE110">
        <v>1</v>
      </c>
      <c r="AF110">
        <v>11</v>
      </c>
      <c r="AG110">
        <v>2</v>
      </c>
      <c r="AH110" t="s">
        <v>361</v>
      </c>
      <c r="AI110">
        <v>0</v>
      </c>
    </row>
    <row r="111" spans="1:35" x14ac:dyDescent="0.2">
      <c r="A111">
        <v>110</v>
      </c>
      <c r="B111" t="s">
        <v>567</v>
      </c>
      <c r="C111" t="s">
        <v>572</v>
      </c>
      <c r="D111" t="s">
        <v>371</v>
      </c>
      <c r="E111">
        <v>5</v>
      </c>
      <c r="F111">
        <v>-6.1280000000000001</v>
      </c>
      <c r="G111">
        <v>-38.889000000000003</v>
      </c>
      <c r="H111">
        <v>17489</v>
      </c>
      <c r="I111">
        <v>0</v>
      </c>
      <c r="J111">
        <v>1</v>
      </c>
      <c r="K111" t="s">
        <v>359</v>
      </c>
      <c r="L111" t="s">
        <v>359</v>
      </c>
      <c r="M111" t="s">
        <v>360</v>
      </c>
      <c r="N111">
        <v>1649162834.0699999</v>
      </c>
      <c r="O111">
        <v>0.19500000000000001</v>
      </c>
      <c r="P111">
        <v>0.379</v>
      </c>
      <c r="Q111">
        <v>59.89</v>
      </c>
      <c r="R111">
        <v>1E-3</v>
      </c>
      <c r="S111">
        <v>2E-3</v>
      </c>
      <c r="T111">
        <v>1.4350000000000001</v>
      </c>
      <c r="U111">
        <v>103.60299999999999</v>
      </c>
      <c r="V111">
        <v>19.196000000000002</v>
      </c>
      <c r="W111">
        <v>2.6030000000000002</v>
      </c>
      <c r="X111">
        <v>101.89100000000001</v>
      </c>
      <c r="Y111">
        <v>0.91100000000000003</v>
      </c>
      <c r="Z111">
        <v>0.97</v>
      </c>
      <c r="AA111">
        <v>0</v>
      </c>
      <c r="AB111">
        <v>0</v>
      </c>
      <c r="AC111">
        <v>1</v>
      </c>
      <c r="AD111">
        <v>40.061999999999998</v>
      </c>
      <c r="AE111">
        <v>1</v>
      </c>
      <c r="AF111">
        <v>11</v>
      </c>
      <c r="AG111">
        <v>2</v>
      </c>
      <c r="AH111" t="s">
        <v>361</v>
      </c>
      <c r="AI111">
        <v>0</v>
      </c>
    </row>
    <row r="112" spans="1:35" x14ac:dyDescent="0.2">
      <c r="A112">
        <v>111</v>
      </c>
      <c r="B112" t="s">
        <v>567</v>
      </c>
      <c r="C112" t="s">
        <v>573</v>
      </c>
      <c r="D112" t="s">
        <v>371</v>
      </c>
      <c r="E112">
        <v>6</v>
      </c>
      <c r="F112">
        <v>-6.1539999999999999</v>
      </c>
      <c r="G112">
        <v>-38.847000000000001</v>
      </c>
      <c r="H112">
        <v>17449</v>
      </c>
      <c r="I112">
        <v>0</v>
      </c>
      <c r="J112">
        <v>1</v>
      </c>
      <c r="K112" t="s">
        <v>359</v>
      </c>
      <c r="L112" t="s">
        <v>359</v>
      </c>
      <c r="M112" t="s">
        <v>360</v>
      </c>
      <c r="N112">
        <v>1649163370.23</v>
      </c>
      <c r="O112">
        <v>0.19800000000000001</v>
      </c>
      <c r="P112">
        <v>0.38700000000000001</v>
      </c>
      <c r="Q112">
        <v>60.048999999999999</v>
      </c>
      <c r="R112">
        <v>1E-3</v>
      </c>
      <c r="S112">
        <v>0</v>
      </c>
      <c r="T112">
        <v>1.4390000000000001</v>
      </c>
      <c r="U112">
        <v>103.244</v>
      </c>
      <c r="V112">
        <v>19.940999999999999</v>
      </c>
      <c r="W112">
        <v>2.544</v>
      </c>
      <c r="X112">
        <v>99.685000000000002</v>
      </c>
      <c r="Y112">
        <v>0.91200000000000003</v>
      </c>
      <c r="Z112">
        <v>0.72599999999999998</v>
      </c>
      <c r="AA112">
        <v>0</v>
      </c>
      <c r="AB112">
        <v>0</v>
      </c>
      <c r="AC112">
        <v>1</v>
      </c>
      <c r="AD112">
        <v>40.125</v>
      </c>
      <c r="AE112">
        <v>1</v>
      </c>
      <c r="AF112">
        <v>11</v>
      </c>
      <c r="AG112">
        <v>2</v>
      </c>
      <c r="AH112" t="s">
        <v>361</v>
      </c>
      <c r="AI112">
        <v>0</v>
      </c>
    </row>
    <row r="113" spans="1:35" x14ac:dyDescent="0.2">
      <c r="A113">
        <v>112</v>
      </c>
      <c r="B113" t="s">
        <v>574</v>
      </c>
      <c r="C113" t="s">
        <v>575</v>
      </c>
      <c r="D113" t="s">
        <v>372</v>
      </c>
      <c r="E113">
        <v>1</v>
      </c>
      <c r="F113">
        <v>-6.2210000000000001</v>
      </c>
      <c r="G113">
        <v>-39.204000000000001</v>
      </c>
      <c r="H113">
        <v>17225</v>
      </c>
      <c r="I113">
        <v>-1</v>
      </c>
      <c r="J113">
        <v>1</v>
      </c>
      <c r="K113" t="s">
        <v>359</v>
      </c>
      <c r="L113" t="s">
        <v>359</v>
      </c>
      <c r="M113" t="s">
        <v>360</v>
      </c>
      <c r="N113">
        <v>1649163908.8099999</v>
      </c>
      <c r="O113">
        <v>0.20399999999999999</v>
      </c>
      <c r="P113">
        <v>0.40899999999999997</v>
      </c>
      <c r="Q113">
        <v>60.503</v>
      </c>
      <c r="R113">
        <v>0</v>
      </c>
      <c r="S113">
        <v>1E-3</v>
      </c>
      <c r="T113">
        <v>1.4550000000000001</v>
      </c>
      <c r="U113">
        <v>101.54</v>
      </c>
      <c r="V113">
        <v>20.143000000000001</v>
      </c>
      <c r="W113">
        <v>2.528</v>
      </c>
      <c r="X113">
        <v>98.867000000000004</v>
      </c>
      <c r="Y113">
        <v>0.93</v>
      </c>
      <c r="Z113">
        <v>0.95</v>
      </c>
      <c r="AA113">
        <v>0</v>
      </c>
      <c r="AB113">
        <v>0</v>
      </c>
      <c r="AC113">
        <v>1</v>
      </c>
      <c r="AD113">
        <v>40.125</v>
      </c>
      <c r="AE113">
        <v>1</v>
      </c>
      <c r="AF113">
        <v>12</v>
      </c>
      <c r="AG113">
        <v>2</v>
      </c>
      <c r="AH113" t="s">
        <v>361</v>
      </c>
      <c r="AI113">
        <v>0</v>
      </c>
    </row>
    <row r="114" spans="1:35" x14ac:dyDescent="0.2">
      <c r="A114">
        <v>113</v>
      </c>
      <c r="B114" t="s">
        <v>574</v>
      </c>
      <c r="C114" t="s">
        <v>576</v>
      </c>
      <c r="D114" t="s">
        <v>372</v>
      </c>
      <c r="E114">
        <v>2</v>
      </c>
      <c r="F114">
        <v>-6.24</v>
      </c>
      <c r="G114">
        <v>-39.252000000000002</v>
      </c>
      <c r="H114">
        <v>17495</v>
      </c>
      <c r="I114">
        <v>-1</v>
      </c>
      <c r="J114">
        <v>1</v>
      </c>
      <c r="K114" t="s">
        <v>359</v>
      </c>
      <c r="L114" t="s">
        <v>359</v>
      </c>
      <c r="M114" t="s">
        <v>360</v>
      </c>
      <c r="N114">
        <v>1649164446.1099999</v>
      </c>
      <c r="O114">
        <v>0.218</v>
      </c>
      <c r="P114">
        <v>0.40400000000000003</v>
      </c>
      <c r="Q114">
        <v>61.704999999999998</v>
      </c>
      <c r="R114">
        <v>1E-3</v>
      </c>
      <c r="S114">
        <v>2E-3</v>
      </c>
      <c r="T114">
        <v>1.46</v>
      </c>
      <c r="U114">
        <v>103.511</v>
      </c>
      <c r="V114">
        <v>20.451000000000001</v>
      </c>
      <c r="W114">
        <v>2.48</v>
      </c>
      <c r="X114">
        <v>98.813000000000002</v>
      </c>
      <c r="Y114">
        <v>0.92</v>
      </c>
      <c r="Z114">
        <v>0.66100000000000003</v>
      </c>
      <c r="AA114">
        <v>0</v>
      </c>
      <c r="AB114">
        <v>0</v>
      </c>
      <c r="AC114">
        <v>1</v>
      </c>
      <c r="AD114">
        <v>40.188000000000002</v>
      </c>
      <c r="AE114">
        <v>1</v>
      </c>
      <c r="AF114">
        <v>12</v>
      </c>
      <c r="AG114">
        <v>2</v>
      </c>
      <c r="AH114" t="s">
        <v>361</v>
      </c>
      <c r="AI114">
        <v>0</v>
      </c>
    </row>
    <row r="115" spans="1:35" x14ac:dyDescent="0.2">
      <c r="A115">
        <v>114</v>
      </c>
      <c r="B115" t="s">
        <v>574</v>
      </c>
      <c r="C115" t="s">
        <v>577</v>
      </c>
      <c r="D115" t="s">
        <v>372</v>
      </c>
      <c r="E115">
        <v>3</v>
      </c>
      <c r="F115">
        <v>-6.218</v>
      </c>
      <c r="G115">
        <v>-39.338000000000001</v>
      </c>
      <c r="H115">
        <v>17478</v>
      </c>
      <c r="I115">
        <v>-1</v>
      </c>
      <c r="J115">
        <v>1</v>
      </c>
      <c r="K115" t="s">
        <v>359</v>
      </c>
      <c r="L115" t="s">
        <v>359</v>
      </c>
      <c r="M115" t="s">
        <v>360</v>
      </c>
      <c r="N115">
        <v>1649164983.97</v>
      </c>
      <c r="O115">
        <v>0.20499999999999999</v>
      </c>
      <c r="P115">
        <v>0.39200000000000002</v>
      </c>
      <c r="Q115">
        <v>59.597999999999999</v>
      </c>
      <c r="R115">
        <v>1E-3</v>
      </c>
      <c r="S115">
        <v>2E-3</v>
      </c>
      <c r="T115">
        <v>1.4370000000000001</v>
      </c>
      <c r="U115">
        <v>103.22</v>
      </c>
      <c r="V115">
        <v>20.698</v>
      </c>
      <c r="W115">
        <v>2.48</v>
      </c>
      <c r="X115">
        <v>98.706000000000003</v>
      </c>
      <c r="Y115">
        <v>0.9</v>
      </c>
      <c r="Z115">
        <v>0.69399999999999995</v>
      </c>
      <c r="AA115">
        <v>0</v>
      </c>
      <c r="AB115">
        <v>0</v>
      </c>
      <c r="AC115">
        <v>1</v>
      </c>
      <c r="AD115">
        <v>40.25</v>
      </c>
      <c r="AE115">
        <v>1</v>
      </c>
      <c r="AF115">
        <v>12</v>
      </c>
      <c r="AG115">
        <v>2</v>
      </c>
      <c r="AH115" t="s">
        <v>361</v>
      </c>
      <c r="AI115">
        <v>0</v>
      </c>
    </row>
    <row r="116" spans="1:35" x14ac:dyDescent="0.2">
      <c r="A116">
        <v>115</v>
      </c>
      <c r="B116" t="s">
        <v>574</v>
      </c>
      <c r="C116" t="s">
        <v>578</v>
      </c>
      <c r="D116" t="s">
        <v>372</v>
      </c>
      <c r="E116">
        <v>4</v>
      </c>
      <c r="F116">
        <v>-6.2110000000000003</v>
      </c>
      <c r="G116">
        <v>-39.277999999999999</v>
      </c>
      <c r="H116">
        <v>17454</v>
      </c>
      <c r="I116">
        <v>0</v>
      </c>
      <c r="J116">
        <v>1</v>
      </c>
      <c r="K116" t="s">
        <v>359</v>
      </c>
      <c r="L116" t="s">
        <v>359</v>
      </c>
      <c r="M116" t="s">
        <v>360</v>
      </c>
      <c r="N116">
        <v>1649165522.3299999</v>
      </c>
      <c r="O116">
        <v>0.19700000000000001</v>
      </c>
      <c r="P116">
        <v>0.36099999999999999</v>
      </c>
      <c r="Q116">
        <v>60.215000000000003</v>
      </c>
      <c r="R116">
        <v>1E-3</v>
      </c>
      <c r="S116">
        <v>0</v>
      </c>
      <c r="T116">
        <v>1.431</v>
      </c>
      <c r="U116">
        <v>103.17700000000001</v>
      </c>
      <c r="V116">
        <v>20.73</v>
      </c>
      <c r="W116">
        <v>2.4460000000000002</v>
      </c>
      <c r="X116">
        <v>98.114999999999995</v>
      </c>
      <c r="Y116">
        <v>0.91500000000000004</v>
      </c>
      <c r="Z116">
        <v>0.56899999999999995</v>
      </c>
      <c r="AA116">
        <v>0</v>
      </c>
      <c r="AB116">
        <v>0</v>
      </c>
      <c r="AC116">
        <v>1</v>
      </c>
      <c r="AD116">
        <v>40.188000000000002</v>
      </c>
      <c r="AE116">
        <v>1</v>
      </c>
      <c r="AF116">
        <v>12</v>
      </c>
      <c r="AG116">
        <v>2</v>
      </c>
      <c r="AH116" t="s">
        <v>361</v>
      </c>
      <c r="AI116">
        <v>0</v>
      </c>
    </row>
    <row r="117" spans="1:35" x14ac:dyDescent="0.2">
      <c r="A117">
        <v>116</v>
      </c>
      <c r="B117" t="s">
        <v>574</v>
      </c>
      <c r="C117" t="s">
        <v>579</v>
      </c>
      <c r="D117" t="s">
        <v>372</v>
      </c>
      <c r="E117">
        <v>5</v>
      </c>
      <c r="F117">
        <v>-6.1829999999999998</v>
      </c>
      <c r="G117">
        <v>-39.225000000000001</v>
      </c>
      <c r="H117">
        <v>17455</v>
      </c>
      <c r="I117">
        <v>0</v>
      </c>
      <c r="J117">
        <v>1</v>
      </c>
      <c r="K117" t="s">
        <v>359</v>
      </c>
      <c r="L117" t="s">
        <v>359</v>
      </c>
      <c r="M117" t="s">
        <v>360</v>
      </c>
      <c r="N117">
        <v>1649166059.9000001</v>
      </c>
      <c r="O117">
        <v>0.20300000000000001</v>
      </c>
      <c r="P117">
        <v>0.40600000000000003</v>
      </c>
      <c r="Q117">
        <v>59.417999999999999</v>
      </c>
      <c r="R117">
        <v>1E-3</v>
      </c>
      <c r="S117">
        <v>1E-3</v>
      </c>
      <c r="T117">
        <v>1.42</v>
      </c>
      <c r="U117">
        <v>103.21599999999999</v>
      </c>
      <c r="V117">
        <v>21.152999999999999</v>
      </c>
      <c r="W117">
        <v>2.3919999999999999</v>
      </c>
      <c r="X117">
        <v>96.33</v>
      </c>
      <c r="Y117">
        <v>0.89700000000000002</v>
      </c>
      <c r="Z117">
        <v>0.30499999999999999</v>
      </c>
      <c r="AA117">
        <v>0</v>
      </c>
      <c r="AB117">
        <v>0</v>
      </c>
      <c r="AC117">
        <v>1</v>
      </c>
      <c r="AD117">
        <v>40.25</v>
      </c>
      <c r="AE117">
        <v>1</v>
      </c>
      <c r="AF117">
        <v>12</v>
      </c>
      <c r="AG117">
        <v>2</v>
      </c>
      <c r="AH117" t="s">
        <v>361</v>
      </c>
      <c r="AI117">
        <v>0</v>
      </c>
    </row>
    <row r="118" spans="1:35" x14ac:dyDescent="0.2">
      <c r="A118">
        <v>117</v>
      </c>
      <c r="B118" t="s">
        <v>574</v>
      </c>
      <c r="C118" t="s">
        <v>580</v>
      </c>
      <c r="D118" t="s">
        <v>372</v>
      </c>
      <c r="E118">
        <v>6</v>
      </c>
      <c r="F118">
        <v>-6.2030000000000003</v>
      </c>
      <c r="G118">
        <v>-39.226999999999997</v>
      </c>
      <c r="H118">
        <v>17432</v>
      </c>
      <c r="I118">
        <v>0</v>
      </c>
      <c r="J118">
        <v>1</v>
      </c>
      <c r="K118" t="s">
        <v>359</v>
      </c>
      <c r="L118" t="s">
        <v>359</v>
      </c>
      <c r="M118" t="s">
        <v>360</v>
      </c>
      <c r="N118">
        <v>1649166596.9200001</v>
      </c>
      <c r="O118">
        <v>0.20699999999999999</v>
      </c>
      <c r="P118">
        <v>0.39100000000000001</v>
      </c>
      <c r="Q118">
        <v>60.712000000000003</v>
      </c>
      <c r="R118">
        <v>1E-3</v>
      </c>
      <c r="S118">
        <v>0</v>
      </c>
      <c r="T118">
        <v>1.4530000000000001</v>
      </c>
      <c r="U118">
        <v>102.94199999999999</v>
      </c>
      <c r="V118">
        <v>21.169</v>
      </c>
      <c r="W118">
        <v>2.4129999999999998</v>
      </c>
      <c r="X118">
        <v>97.088999999999999</v>
      </c>
      <c r="Y118">
        <v>0.91700000000000004</v>
      </c>
      <c r="Z118">
        <v>0.436</v>
      </c>
      <c r="AA118">
        <v>0</v>
      </c>
      <c r="AB118">
        <v>0</v>
      </c>
      <c r="AC118">
        <v>1</v>
      </c>
      <c r="AD118">
        <v>40.25</v>
      </c>
      <c r="AE118">
        <v>1</v>
      </c>
      <c r="AF118">
        <v>12</v>
      </c>
      <c r="AG118">
        <v>2</v>
      </c>
      <c r="AH118" t="s">
        <v>361</v>
      </c>
      <c r="AI118">
        <v>0</v>
      </c>
    </row>
    <row r="119" spans="1:35" x14ac:dyDescent="0.2">
      <c r="A119">
        <v>118</v>
      </c>
      <c r="B119" t="s">
        <v>581</v>
      </c>
      <c r="C119" t="s">
        <v>582</v>
      </c>
      <c r="D119" t="s">
        <v>373</v>
      </c>
      <c r="E119">
        <v>1</v>
      </c>
      <c r="F119">
        <v>-6.1230000000000002</v>
      </c>
      <c r="G119">
        <v>-38.442999999999998</v>
      </c>
      <c r="H119">
        <v>17262</v>
      </c>
      <c r="I119">
        <v>-1</v>
      </c>
      <c r="J119">
        <v>1</v>
      </c>
      <c r="K119" t="s">
        <v>359</v>
      </c>
      <c r="L119" t="s">
        <v>359</v>
      </c>
      <c r="M119" t="s">
        <v>360</v>
      </c>
      <c r="N119">
        <v>1649167135.1199999</v>
      </c>
      <c r="O119">
        <v>0.19400000000000001</v>
      </c>
      <c r="P119">
        <v>0.39400000000000002</v>
      </c>
      <c r="Q119">
        <v>61.05</v>
      </c>
      <c r="R119">
        <v>0</v>
      </c>
      <c r="S119">
        <v>-1E-3</v>
      </c>
      <c r="T119">
        <v>1.4710000000000001</v>
      </c>
      <c r="U119">
        <v>101.867</v>
      </c>
      <c r="V119">
        <v>20.913</v>
      </c>
      <c r="W119">
        <v>2.4140000000000001</v>
      </c>
      <c r="X119">
        <v>96.495999999999995</v>
      </c>
      <c r="Y119">
        <v>0.90600000000000003</v>
      </c>
      <c r="Z119">
        <v>0.57099999999999995</v>
      </c>
      <c r="AA119">
        <v>0</v>
      </c>
      <c r="AB119">
        <v>0</v>
      </c>
      <c r="AC119">
        <v>1</v>
      </c>
      <c r="AD119">
        <v>40.25</v>
      </c>
      <c r="AE119">
        <v>1</v>
      </c>
      <c r="AF119">
        <v>13</v>
      </c>
      <c r="AG119">
        <v>2</v>
      </c>
      <c r="AH119" t="s">
        <v>361</v>
      </c>
      <c r="AI119">
        <v>0</v>
      </c>
    </row>
    <row r="120" spans="1:35" x14ac:dyDescent="0.2">
      <c r="A120">
        <v>119</v>
      </c>
      <c r="B120" t="s">
        <v>581</v>
      </c>
      <c r="C120" t="s">
        <v>583</v>
      </c>
      <c r="D120" t="s">
        <v>373</v>
      </c>
      <c r="E120">
        <v>2</v>
      </c>
      <c r="F120">
        <v>-6.0860000000000003</v>
      </c>
      <c r="G120">
        <v>-38.420999999999999</v>
      </c>
      <c r="H120">
        <v>17496</v>
      </c>
      <c r="I120">
        <v>-1</v>
      </c>
      <c r="J120">
        <v>1</v>
      </c>
      <c r="K120" t="s">
        <v>359</v>
      </c>
      <c r="L120" t="s">
        <v>359</v>
      </c>
      <c r="M120" t="s">
        <v>360</v>
      </c>
      <c r="N120">
        <v>1649167673.5</v>
      </c>
      <c r="O120">
        <v>0.20699999999999999</v>
      </c>
      <c r="P120">
        <v>0.41899999999999998</v>
      </c>
      <c r="Q120">
        <v>61.066000000000003</v>
      </c>
      <c r="R120">
        <v>1E-3</v>
      </c>
      <c r="S120">
        <v>1E-3</v>
      </c>
      <c r="T120">
        <v>1.454</v>
      </c>
      <c r="U120">
        <v>102.97199999999999</v>
      </c>
      <c r="V120">
        <v>22.190999999999999</v>
      </c>
      <c r="W120">
        <v>2.3889999999999998</v>
      </c>
      <c r="X120">
        <v>96.513999999999996</v>
      </c>
      <c r="Y120">
        <v>0.89900000000000002</v>
      </c>
      <c r="Z120">
        <v>0.49199999999999999</v>
      </c>
      <c r="AA120">
        <v>0</v>
      </c>
      <c r="AB120">
        <v>0</v>
      </c>
      <c r="AC120">
        <v>1</v>
      </c>
      <c r="AD120">
        <v>40.25</v>
      </c>
      <c r="AE120">
        <v>1</v>
      </c>
      <c r="AF120">
        <v>13</v>
      </c>
      <c r="AG120">
        <v>2</v>
      </c>
      <c r="AH120" t="s">
        <v>361</v>
      </c>
      <c r="AI120">
        <v>0</v>
      </c>
    </row>
    <row r="121" spans="1:35" x14ac:dyDescent="0.2">
      <c r="A121">
        <v>120</v>
      </c>
      <c r="B121" t="s">
        <v>581</v>
      </c>
      <c r="C121" t="s">
        <v>584</v>
      </c>
      <c r="D121" t="s">
        <v>373</v>
      </c>
      <c r="E121">
        <v>3</v>
      </c>
      <c r="F121">
        <v>-6.125</v>
      </c>
      <c r="G121">
        <v>-38.457999999999998</v>
      </c>
      <c r="H121">
        <v>17458</v>
      </c>
      <c r="I121">
        <v>-1</v>
      </c>
      <c r="J121">
        <v>1</v>
      </c>
      <c r="K121" t="s">
        <v>359</v>
      </c>
      <c r="L121" t="s">
        <v>359</v>
      </c>
      <c r="M121" t="s">
        <v>360</v>
      </c>
      <c r="N121">
        <v>1649168210.4200001</v>
      </c>
      <c r="O121">
        <v>0.219</v>
      </c>
      <c r="P121">
        <v>0.36499999999999999</v>
      </c>
      <c r="Q121">
        <v>61.414000000000001</v>
      </c>
      <c r="R121">
        <v>1E-3</v>
      </c>
      <c r="S121">
        <v>1E-3</v>
      </c>
      <c r="T121">
        <v>1.474</v>
      </c>
      <c r="U121">
        <v>103.27800000000001</v>
      </c>
      <c r="V121">
        <v>20.196999999999999</v>
      </c>
      <c r="W121">
        <v>2.508</v>
      </c>
      <c r="X121">
        <v>99.195999999999998</v>
      </c>
      <c r="Y121">
        <v>0.88700000000000001</v>
      </c>
      <c r="Z121">
        <v>0.57399999999999995</v>
      </c>
      <c r="AA121">
        <v>0</v>
      </c>
      <c r="AB121">
        <v>0</v>
      </c>
      <c r="AC121">
        <v>1</v>
      </c>
      <c r="AD121">
        <v>40.25</v>
      </c>
      <c r="AE121">
        <v>1</v>
      </c>
      <c r="AF121">
        <v>13</v>
      </c>
      <c r="AG121">
        <v>2</v>
      </c>
      <c r="AH121" t="s">
        <v>361</v>
      </c>
      <c r="AI121">
        <v>0</v>
      </c>
    </row>
    <row r="122" spans="1:35" x14ac:dyDescent="0.2">
      <c r="A122">
        <v>121</v>
      </c>
      <c r="B122" t="s">
        <v>581</v>
      </c>
      <c r="C122" t="s">
        <v>585</v>
      </c>
      <c r="D122" t="s">
        <v>373</v>
      </c>
      <c r="E122">
        <v>4</v>
      </c>
      <c r="F122">
        <v>-6.09</v>
      </c>
      <c r="G122">
        <v>-38.454999999999998</v>
      </c>
      <c r="H122">
        <v>17453</v>
      </c>
      <c r="I122">
        <v>0</v>
      </c>
      <c r="J122">
        <v>1</v>
      </c>
      <c r="K122" t="s">
        <v>359</v>
      </c>
      <c r="L122" t="s">
        <v>359</v>
      </c>
      <c r="M122" t="s">
        <v>360</v>
      </c>
      <c r="N122">
        <v>1649168747.97</v>
      </c>
      <c r="O122">
        <v>0.20599999999999999</v>
      </c>
      <c r="P122">
        <v>0.41499999999999998</v>
      </c>
      <c r="Q122">
        <v>59.893999999999998</v>
      </c>
      <c r="R122">
        <v>1E-3</v>
      </c>
      <c r="S122">
        <v>0</v>
      </c>
      <c r="T122">
        <v>1.4350000000000001</v>
      </c>
      <c r="U122">
        <v>102.895</v>
      </c>
      <c r="V122">
        <v>21.68</v>
      </c>
      <c r="W122">
        <v>2.444</v>
      </c>
      <c r="X122">
        <v>96.472999999999999</v>
      </c>
      <c r="Y122">
        <v>0.90200000000000002</v>
      </c>
      <c r="Z122">
        <v>0.42</v>
      </c>
      <c r="AA122">
        <v>0</v>
      </c>
      <c r="AB122">
        <v>0</v>
      </c>
      <c r="AC122">
        <v>1</v>
      </c>
      <c r="AD122">
        <v>40.188000000000002</v>
      </c>
      <c r="AE122">
        <v>1</v>
      </c>
      <c r="AF122">
        <v>13</v>
      </c>
      <c r="AG122">
        <v>2</v>
      </c>
      <c r="AH122" t="s">
        <v>361</v>
      </c>
      <c r="AI122">
        <v>0</v>
      </c>
    </row>
    <row r="123" spans="1:35" x14ac:dyDescent="0.2">
      <c r="A123">
        <v>122</v>
      </c>
      <c r="B123" t="s">
        <v>581</v>
      </c>
      <c r="C123" t="s">
        <v>586</v>
      </c>
      <c r="D123" t="s">
        <v>373</v>
      </c>
      <c r="E123">
        <v>5</v>
      </c>
      <c r="F123">
        <v>-6.0179999999999998</v>
      </c>
      <c r="G123">
        <v>-38.475999999999999</v>
      </c>
      <c r="H123">
        <v>17442</v>
      </c>
      <c r="I123">
        <v>0</v>
      </c>
      <c r="J123">
        <v>1</v>
      </c>
      <c r="K123" t="s">
        <v>359</v>
      </c>
      <c r="L123" t="s">
        <v>359</v>
      </c>
      <c r="M123" t="s">
        <v>360</v>
      </c>
      <c r="N123">
        <v>1649169285.3499999</v>
      </c>
      <c r="O123">
        <v>0.224</v>
      </c>
      <c r="P123">
        <v>0.372</v>
      </c>
      <c r="Q123">
        <v>59.975000000000001</v>
      </c>
      <c r="R123">
        <v>1E-3</v>
      </c>
      <c r="S123">
        <v>1E-3</v>
      </c>
      <c r="T123">
        <v>1.4319999999999999</v>
      </c>
      <c r="U123">
        <v>103.07899999999999</v>
      </c>
      <c r="V123">
        <v>21.391999999999999</v>
      </c>
      <c r="W123">
        <v>2.476</v>
      </c>
      <c r="X123">
        <v>96.027000000000001</v>
      </c>
      <c r="Y123">
        <v>0.90400000000000003</v>
      </c>
      <c r="Z123">
        <v>0.317</v>
      </c>
      <c r="AA123">
        <v>0</v>
      </c>
      <c r="AB123">
        <v>0</v>
      </c>
      <c r="AC123">
        <v>1</v>
      </c>
      <c r="AD123">
        <v>40.125</v>
      </c>
      <c r="AE123">
        <v>1</v>
      </c>
      <c r="AF123">
        <v>13</v>
      </c>
      <c r="AG123">
        <v>2</v>
      </c>
      <c r="AH123" t="s">
        <v>361</v>
      </c>
      <c r="AI123">
        <v>0</v>
      </c>
    </row>
    <row r="124" spans="1:35" x14ac:dyDescent="0.2">
      <c r="A124">
        <v>123</v>
      </c>
      <c r="B124" t="s">
        <v>581</v>
      </c>
      <c r="C124" t="s">
        <v>587</v>
      </c>
      <c r="D124" t="s">
        <v>373</v>
      </c>
      <c r="E124">
        <v>6</v>
      </c>
      <c r="F124">
        <v>-6.0270000000000001</v>
      </c>
      <c r="G124">
        <v>-38.274000000000001</v>
      </c>
      <c r="H124">
        <v>17454</v>
      </c>
      <c r="I124">
        <v>0</v>
      </c>
      <c r="J124">
        <v>1</v>
      </c>
      <c r="K124" t="s">
        <v>359</v>
      </c>
      <c r="L124" t="s">
        <v>359</v>
      </c>
      <c r="M124" t="s">
        <v>360</v>
      </c>
      <c r="N124">
        <v>1649169823.0599999</v>
      </c>
      <c r="O124">
        <v>0.19500000000000001</v>
      </c>
      <c r="P124">
        <v>0.38</v>
      </c>
      <c r="Q124">
        <v>60.244</v>
      </c>
      <c r="R124">
        <v>1E-3</v>
      </c>
      <c r="S124">
        <v>0</v>
      </c>
      <c r="T124">
        <v>1.4419999999999999</v>
      </c>
      <c r="U124">
        <v>103.086</v>
      </c>
      <c r="V124">
        <v>21.550999999999998</v>
      </c>
      <c r="W124">
        <v>2.48</v>
      </c>
      <c r="X124">
        <v>96.051000000000002</v>
      </c>
      <c r="Y124">
        <v>0.89800000000000002</v>
      </c>
      <c r="Z124">
        <v>0.33600000000000002</v>
      </c>
      <c r="AA124">
        <v>0</v>
      </c>
      <c r="AB124">
        <v>0</v>
      </c>
      <c r="AC124">
        <v>1</v>
      </c>
      <c r="AD124">
        <v>40.188000000000002</v>
      </c>
      <c r="AE124">
        <v>1</v>
      </c>
      <c r="AF124">
        <v>13</v>
      </c>
      <c r="AG124">
        <v>2</v>
      </c>
      <c r="AH124" t="s">
        <v>361</v>
      </c>
      <c r="AI124">
        <v>0</v>
      </c>
    </row>
    <row r="125" spans="1:35" x14ac:dyDescent="0.2">
      <c r="A125">
        <v>124</v>
      </c>
      <c r="B125" t="s">
        <v>588</v>
      </c>
      <c r="C125" t="s">
        <v>589</v>
      </c>
      <c r="D125" t="s">
        <v>374</v>
      </c>
      <c r="E125">
        <v>1</v>
      </c>
      <c r="F125">
        <v>-5.4429999999999996</v>
      </c>
      <c r="G125">
        <v>-30.317</v>
      </c>
      <c r="H125">
        <v>17309</v>
      </c>
      <c r="I125">
        <v>-1</v>
      </c>
      <c r="J125">
        <v>1</v>
      </c>
      <c r="K125" t="s">
        <v>359</v>
      </c>
      <c r="L125" t="s">
        <v>359</v>
      </c>
      <c r="M125" t="s">
        <v>360</v>
      </c>
      <c r="N125">
        <v>1649170360.5699999</v>
      </c>
      <c r="O125">
        <v>0.20200000000000001</v>
      </c>
      <c r="P125">
        <v>0.46600000000000003</v>
      </c>
      <c r="Q125">
        <v>62.274000000000001</v>
      </c>
      <c r="R125">
        <v>2E-3</v>
      </c>
      <c r="S125">
        <v>2E-3</v>
      </c>
      <c r="T125">
        <v>1.488</v>
      </c>
      <c r="U125">
        <v>101.991</v>
      </c>
      <c r="V125">
        <v>21.847000000000001</v>
      </c>
      <c r="W125">
        <v>2.4319999999999999</v>
      </c>
      <c r="X125">
        <v>95.001000000000005</v>
      </c>
      <c r="Y125">
        <v>0.90300000000000002</v>
      </c>
      <c r="Z125">
        <v>0.38</v>
      </c>
      <c r="AA125">
        <v>0</v>
      </c>
      <c r="AB125">
        <v>0</v>
      </c>
      <c r="AC125">
        <v>1</v>
      </c>
      <c r="AD125">
        <v>40.25</v>
      </c>
      <c r="AE125">
        <v>1</v>
      </c>
      <c r="AF125">
        <v>14</v>
      </c>
      <c r="AG125">
        <v>2</v>
      </c>
      <c r="AH125" t="s">
        <v>361</v>
      </c>
      <c r="AI125">
        <v>0</v>
      </c>
    </row>
    <row r="126" spans="1:35" x14ac:dyDescent="0.2">
      <c r="A126">
        <v>125</v>
      </c>
      <c r="B126" t="s">
        <v>588</v>
      </c>
      <c r="C126" t="s">
        <v>590</v>
      </c>
      <c r="D126" t="s">
        <v>374</v>
      </c>
      <c r="E126">
        <v>2</v>
      </c>
      <c r="F126">
        <v>-5.3259999999999996</v>
      </c>
      <c r="G126">
        <v>-29.667999999999999</v>
      </c>
      <c r="H126">
        <v>17544</v>
      </c>
      <c r="I126">
        <v>-1</v>
      </c>
      <c r="J126">
        <v>1</v>
      </c>
      <c r="K126" t="s">
        <v>359</v>
      </c>
      <c r="L126" t="s">
        <v>359</v>
      </c>
      <c r="M126" t="s">
        <v>360</v>
      </c>
      <c r="N126">
        <v>1649170898.9400001</v>
      </c>
      <c r="O126">
        <v>0.218</v>
      </c>
      <c r="P126">
        <v>0.42299999999999999</v>
      </c>
      <c r="Q126">
        <v>59.817</v>
      </c>
      <c r="R126">
        <v>1E-3</v>
      </c>
      <c r="S126">
        <v>0</v>
      </c>
      <c r="T126">
        <v>1.43</v>
      </c>
      <c r="U126">
        <v>103.92100000000001</v>
      </c>
      <c r="V126">
        <v>21.132000000000001</v>
      </c>
      <c r="W126">
        <v>2.4769999999999999</v>
      </c>
      <c r="X126">
        <v>96.539000000000001</v>
      </c>
      <c r="Y126">
        <v>0.89700000000000002</v>
      </c>
      <c r="Z126">
        <v>0.161</v>
      </c>
      <c r="AA126">
        <v>0</v>
      </c>
      <c r="AB126">
        <v>0</v>
      </c>
      <c r="AC126">
        <v>1</v>
      </c>
      <c r="AD126">
        <v>40.25</v>
      </c>
      <c r="AE126">
        <v>1</v>
      </c>
      <c r="AF126">
        <v>14</v>
      </c>
      <c r="AG126">
        <v>2</v>
      </c>
      <c r="AH126" t="s">
        <v>361</v>
      </c>
      <c r="AI126">
        <v>0</v>
      </c>
    </row>
    <row r="127" spans="1:35" x14ac:dyDescent="0.2">
      <c r="A127">
        <v>126</v>
      </c>
      <c r="B127" t="s">
        <v>588</v>
      </c>
      <c r="C127" t="s">
        <v>591</v>
      </c>
      <c r="D127" t="s">
        <v>374</v>
      </c>
      <c r="E127">
        <v>3</v>
      </c>
      <c r="F127">
        <v>-5.351</v>
      </c>
      <c r="G127">
        <v>-29.329000000000001</v>
      </c>
      <c r="H127">
        <v>17496</v>
      </c>
      <c r="I127">
        <v>-1</v>
      </c>
      <c r="J127">
        <v>1</v>
      </c>
      <c r="K127" t="s">
        <v>359</v>
      </c>
      <c r="L127" t="s">
        <v>359</v>
      </c>
      <c r="M127" t="s">
        <v>360</v>
      </c>
      <c r="N127">
        <v>1649171435.8199999</v>
      </c>
      <c r="O127">
        <v>0.19400000000000001</v>
      </c>
      <c r="P127">
        <v>0.375</v>
      </c>
      <c r="Q127">
        <v>61.027000000000001</v>
      </c>
      <c r="R127">
        <v>0</v>
      </c>
      <c r="S127">
        <v>-1E-3</v>
      </c>
      <c r="T127">
        <v>1.4490000000000001</v>
      </c>
      <c r="U127">
        <v>103.261</v>
      </c>
      <c r="V127">
        <v>21.789000000000001</v>
      </c>
      <c r="W127">
        <v>2.4529999999999998</v>
      </c>
      <c r="X127">
        <v>95.983999999999995</v>
      </c>
      <c r="Y127">
        <v>0.90300000000000002</v>
      </c>
      <c r="Z127">
        <v>0.317</v>
      </c>
      <c r="AA127">
        <v>0</v>
      </c>
      <c r="AB127">
        <v>0</v>
      </c>
      <c r="AC127">
        <v>1</v>
      </c>
      <c r="AD127">
        <v>40.25</v>
      </c>
      <c r="AE127">
        <v>1</v>
      </c>
      <c r="AF127">
        <v>14</v>
      </c>
      <c r="AG127">
        <v>2</v>
      </c>
      <c r="AH127" t="s">
        <v>361</v>
      </c>
      <c r="AI127">
        <v>0</v>
      </c>
    </row>
    <row r="128" spans="1:35" x14ac:dyDescent="0.2">
      <c r="A128">
        <v>127</v>
      </c>
      <c r="B128" t="s">
        <v>588</v>
      </c>
      <c r="C128" t="s">
        <v>592</v>
      </c>
      <c r="D128" t="s">
        <v>374</v>
      </c>
      <c r="E128">
        <v>4</v>
      </c>
      <c r="F128">
        <v>-5.3369999999999997</v>
      </c>
      <c r="G128">
        <v>-29.257999999999999</v>
      </c>
      <c r="H128">
        <v>17505</v>
      </c>
      <c r="I128">
        <v>0</v>
      </c>
      <c r="J128">
        <v>1</v>
      </c>
      <c r="K128" t="s">
        <v>359</v>
      </c>
      <c r="L128" t="s">
        <v>359</v>
      </c>
      <c r="M128" t="s">
        <v>360</v>
      </c>
      <c r="N128">
        <v>1649171974.75</v>
      </c>
      <c r="O128">
        <v>0.216</v>
      </c>
      <c r="P128">
        <v>0.35399999999999998</v>
      </c>
      <c r="Q128">
        <v>59.793999999999997</v>
      </c>
      <c r="R128">
        <v>1E-3</v>
      </c>
      <c r="S128">
        <v>-1E-3</v>
      </c>
      <c r="T128">
        <v>1.4390000000000001</v>
      </c>
      <c r="U128">
        <v>103.461</v>
      </c>
      <c r="V128">
        <v>20.96</v>
      </c>
      <c r="W128">
        <v>2.5089999999999999</v>
      </c>
      <c r="X128">
        <v>97.774000000000001</v>
      </c>
      <c r="Y128">
        <v>0.89600000000000002</v>
      </c>
      <c r="Z128">
        <v>0.55000000000000004</v>
      </c>
      <c r="AA128">
        <v>0</v>
      </c>
      <c r="AB128">
        <v>0</v>
      </c>
      <c r="AC128">
        <v>1</v>
      </c>
      <c r="AD128">
        <v>40.25</v>
      </c>
      <c r="AE128">
        <v>1</v>
      </c>
      <c r="AF128">
        <v>14</v>
      </c>
      <c r="AG128">
        <v>2</v>
      </c>
      <c r="AH128" t="s">
        <v>361</v>
      </c>
      <c r="AI128">
        <v>0</v>
      </c>
    </row>
    <row r="129" spans="1:35" x14ac:dyDescent="0.2">
      <c r="A129">
        <v>128</v>
      </c>
      <c r="B129" t="s">
        <v>588</v>
      </c>
      <c r="C129" t="s">
        <v>593</v>
      </c>
      <c r="D129" t="s">
        <v>374</v>
      </c>
      <c r="E129">
        <v>5</v>
      </c>
      <c r="F129">
        <v>-5.3929999999999998</v>
      </c>
      <c r="G129">
        <v>-29.484000000000002</v>
      </c>
      <c r="H129">
        <v>17500</v>
      </c>
      <c r="I129">
        <v>0</v>
      </c>
      <c r="J129">
        <v>1</v>
      </c>
      <c r="K129" t="s">
        <v>359</v>
      </c>
      <c r="L129" t="s">
        <v>359</v>
      </c>
      <c r="M129" t="s">
        <v>360</v>
      </c>
      <c r="N129">
        <v>1649172512.1700001</v>
      </c>
      <c r="O129">
        <v>0.21199999999999999</v>
      </c>
      <c r="P129">
        <v>0.41199999999999998</v>
      </c>
      <c r="Q129">
        <v>61.301000000000002</v>
      </c>
      <c r="R129">
        <v>0</v>
      </c>
      <c r="S129">
        <v>1E-3</v>
      </c>
      <c r="T129">
        <v>1.4610000000000001</v>
      </c>
      <c r="U129">
        <v>103.253</v>
      </c>
      <c r="V129">
        <v>21.73</v>
      </c>
      <c r="W129">
        <v>2.484</v>
      </c>
      <c r="X129">
        <v>96.486000000000004</v>
      </c>
      <c r="Y129">
        <v>0.89600000000000002</v>
      </c>
      <c r="Z129">
        <v>0.378</v>
      </c>
      <c r="AA129">
        <v>0</v>
      </c>
      <c r="AB129">
        <v>0</v>
      </c>
      <c r="AC129">
        <v>1</v>
      </c>
      <c r="AD129">
        <v>40.25</v>
      </c>
      <c r="AE129">
        <v>1</v>
      </c>
      <c r="AF129">
        <v>14</v>
      </c>
      <c r="AG129">
        <v>2</v>
      </c>
      <c r="AH129" t="s">
        <v>361</v>
      </c>
      <c r="AI129">
        <v>0</v>
      </c>
    </row>
    <row r="130" spans="1:35" x14ac:dyDescent="0.2">
      <c r="A130">
        <v>129</v>
      </c>
      <c r="B130" t="s">
        <v>588</v>
      </c>
      <c r="C130" t="s">
        <v>594</v>
      </c>
      <c r="D130" t="s">
        <v>374</v>
      </c>
      <c r="E130">
        <v>6</v>
      </c>
      <c r="F130">
        <v>-5.3710000000000004</v>
      </c>
      <c r="G130">
        <v>-29.390999999999998</v>
      </c>
      <c r="H130">
        <v>17526</v>
      </c>
      <c r="I130">
        <v>0</v>
      </c>
      <c r="J130">
        <v>1</v>
      </c>
      <c r="K130" t="s">
        <v>359</v>
      </c>
      <c r="L130" t="s">
        <v>359</v>
      </c>
      <c r="M130" t="s">
        <v>360</v>
      </c>
      <c r="N130">
        <v>1649173048.6900001</v>
      </c>
      <c r="O130">
        <v>0.20699999999999999</v>
      </c>
      <c r="P130">
        <v>0.38800000000000001</v>
      </c>
      <c r="Q130">
        <v>62.438000000000002</v>
      </c>
      <c r="R130">
        <v>1E-3</v>
      </c>
      <c r="S130">
        <v>1E-3</v>
      </c>
      <c r="T130">
        <v>1.488</v>
      </c>
      <c r="U130">
        <v>103.65900000000001</v>
      </c>
      <c r="V130">
        <v>21.332000000000001</v>
      </c>
      <c r="W130">
        <v>2.4729999999999999</v>
      </c>
      <c r="X130">
        <v>96.525000000000006</v>
      </c>
      <c r="Y130">
        <v>0.90600000000000003</v>
      </c>
      <c r="Z130">
        <v>0.29399999999999998</v>
      </c>
      <c r="AA130">
        <v>0</v>
      </c>
      <c r="AB130">
        <v>0</v>
      </c>
      <c r="AC130">
        <v>1</v>
      </c>
      <c r="AD130">
        <v>40.311999999999998</v>
      </c>
      <c r="AE130">
        <v>1</v>
      </c>
      <c r="AF130">
        <v>14</v>
      </c>
      <c r="AG130">
        <v>2</v>
      </c>
      <c r="AH130" t="s">
        <v>361</v>
      </c>
      <c r="AI130">
        <v>0</v>
      </c>
    </row>
    <row r="131" spans="1:35" x14ac:dyDescent="0.2">
      <c r="A131">
        <v>130</v>
      </c>
      <c r="B131" t="s">
        <v>595</v>
      </c>
      <c r="C131" t="s">
        <v>596</v>
      </c>
      <c r="D131" t="s">
        <v>375</v>
      </c>
      <c r="E131">
        <v>1</v>
      </c>
      <c r="F131">
        <v>-5.9589999999999996</v>
      </c>
      <c r="G131">
        <v>-37.277999999999999</v>
      </c>
      <c r="H131">
        <v>17251</v>
      </c>
      <c r="I131">
        <v>-1</v>
      </c>
      <c r="J131">
        <v>1</v>
      </c>
      <c r="K131" t="s">
        <v>359</v>
      </c>
      <c r="L131" t="s">
        <v>359</v>
      </c>
      <c r="M131" t="s">
        <v>360</v>
      </c>
      <c r="N131">
        <v>1649173587.04</v>
      </c>
      <c r="O131">
        <v>0.21</v>
      </c>
      <c r="P131">
        <v>0.41</v>
      </c>
      <c r="Q131">
        <v>60.761000000000003</v>
      </c>
      <c r="R131">
        <v>1E-3</v>
      </c>
      <c r="S131">
        <v>1E-3</v>
      </c>
      <c r="T131">
        <v>1.458</v>
      </c>
      <c r="U131">
        <v>102.059</v>
      </c>
      <c r="V131">
        <v>20.832999999999998</v>
      </c>
      <c r="W131">
        <v>2.444</v>
      </c>
      <c r="X131">
        <v>94.995999999999995</v>
      </c>
      <c r="Y131">
        <v>0.9</v>
      </c>
      <c r="Z131">
        <v>0.24299999999999999</v>
      </c>
      <c r="AA131">
        <v>0</v>
      </c>
      <c r="AB131">
        <v>0</v>
      </c>
      <c r="AC131">
        <v>1</v>
      </c>
      <c r="AD131">
        <v>40.25</v>
      </c>
      <c r="AE131">
        <v>1</v>
      </c>
      <c r="AF131">
        <v>15</v>
      </c>
      <c r="AG131">
        <v>2</v>
      </c>
      <c r="AH131" t="s">
        <v>361</v>
      </c>
      <c r="AI131">
        <v>0</v>
      </c>
    </row>
    <row r="132" spans="1:35" x14ac:dyDescent="0.2">
      <c r="A132">
        <v>131</v>
      </c>
      <c r="B132" t="s">
        <v>595</v>
      </c>
      <c r="C132" t="s">
        <v>597</v>
      </c>
      <c r="D132" t="s">
        <v>375</v>
      </c>
      <c r="E132">
        <v>2</v>
      </c>
      <c r="F132">
        <v>-6.024</v>
      </c>
      <c r="G132">
        <v>-37.975999999999999</v>
      </c>
      <c r="H132">
        <v>17530</v>
      </c>
      <c r="I132">
        <v>-1</v>
      </c>
      <c r="J132">
        <v>1</v>
      </c>
      <c r="K132" t="s">
        <v>359</v>
      </c>
      <c r="L132" t="s">
        <v>359</v>
      </c>
      <c r="M132" t="s">
        <v>360</v>
      </c>
      <c r="N132">
        <v>1649174124.53</v>
      </c>
      <c r="O132">
        <v>0.187</v>
      </c>
      <c r="P132">
        <v>0.40100000000000002</v>
      </c>
      <c r="Q132">
        <v>61.968000000000004</v>
      </c>
      <c r="R132">
        <v>1E-3</v>
      </c>
      <c r="S132">
        <v>2E-3</v>
      </c>
      <c r="T132">
        <v>1.482</v>
      </c>
      <c r="U132">
        <v>103.73399999999999</v>
      </c>
      <c r="V132">
        <v>21.582999999999998</v>
      </c>
      <c r="W132">
        <v>2.4710000000000001</v>
      </c>
      <c r="X132">
        <v>95.515000000000001</v>
      </c>
      <c r="Y132">
        <v>0.88800000000000001</v>
      </c>
      <c r="Z132">
        <v>0.17</v>
      </c>
      <c r="AA132">
        <v>0</v>
      </c>
      <c r="AB132">
        <v>0</v>
      </c>
      <c r="AC132">
        <v>1</v>
      </c>
      <c r="AD132">
        <v>40.25</v>
      </c>
      <c r="AE132">
        <v>1</v>
      </c>
      <c r="AF132">
        <v>15</v>
      </c>
      <c r="AG132">
        <v>2</v>
      </c>
      <c r="AH132" t="s">
        <v>361</v>
      </c>
      <c r="AI132">
        <v>0</v>
      </c>
    </row>
    <row r="133" spans="1:35" x14ac:dyDescent="0.2">
      <c r="A133">
        <v>132</v>
      </c>
      <c r="B133" t="s">
        <v>595</v>
      </c>
      <c r="C133" t="s">
        <v>598</v>
      </c>
      <c r="D133" t="s">
        <v>375</v>
      </c>
      <c r="E133">
        <v>3</v>
      </c>
      <c r="F133">
        <v>-6.0119999999999996</v>
      </c>
      <c r="G133">
        <v>-38.142000000000003</v>
      </c>
      <c r="H133">
        <v>17485</v>
      </c>
      <c r="I133">
        <v>-1</v>
      </c>
      <c r="J133">
        <v>1</v>
      </c>
      <c r="K133" t="s">
        <v>359</v>
      </c>
      <c r="L133" t="s">
        <v>359</v>
      </c>
      <c r="M133" t="s">
        <v>360</v>
      </c>
      <c r="N133">
        <v>1649174662.1099999</v>
      </c>
      <c r="O133">
        <v>0.19900000000000001</v>
      </c>
      <c r="P133">
        <v>0.35899999999999999</v>
      </c>
      <c r="Q133">
        <v>60.87</v>
      </c>
      <c r="R133">
        <v>1E-3</v>
      </c>
      <c r="S133">
        <v>1E-3</v>
      </c>
      <c r="T133">
        <v>1.4470000000000001</v>
      </c>
      <c r="U133">
        <v>103.23699999999999</v>
      </c>
      <c r="V133">
        <v>21.183</v>
      </c>
      <c r="W133">
        <v>2.488</v>
      </c>
      <c r="X133">
        <v>97.582999999999998</v>
      </c>
      <c r="Y133">
        <v>0.89600000000000002</v>
      </c>
      <c r="Z133">
        <v>0.50900000000000001</v>
      </c>
      <c r="AA133">
        <v>0</v>
      </c>
      <c r="AB133">
        <v>0</v>
      </c>
      <c r="AC133">
        <v>1</v>
      </c>
      <c r="AD133">
        <v>40.25</v>
      </c>
      <c r="AE133">
        <v>1</v>
      </c>
      <c r="AF133">
        <v>15</v>
      </c>
      <c r="AG133">
        <v>2</v>
      </c>
      <c r="AH133" t="s">
        <v>361</v>
      </c>
      <c r="AI133">
        <v>0</v>
      </c>
    </row>
    <row r="134" spans="1:35" x14ac:dyDescent="0.2">
      <c r="A134">
        <v>133</v>
      </c>
      <c r="B134" t="s">
        <v>595</v>
      </c>
      <c r="C134" t="s">
        <v>599</v>
      </c>
      <c r="D134" t="s">
        <v>375</v>
      </c>
      <c r="E134">
        <v>4</v>
      </c>
      <c r="F134">
        <v>-6.069</v>
      </c>
      <c r="G134">
        <v>-38.345999999999997</v>
      </c>
      <c r="H134">
        <v>17463</v>
      </c>
      <c r="I134">
        <v>0</v>
      </c>
      <c r="J134">
        <v>1</v>
      </c>
      <c r="K134" t="s">
        <v>359</v>
      </c>
      <c r="L134" t="s">
        <v>359</v>
      </c>
      <c r="M134" t="s">
        <v>360</v>
      </c>
      <c r="N134">
        <v>1649175199.3299999</v>
      </c>
      <c r="O134">
        <v>0.215</v>
      </c>
      <c r="P134">
        <v>0.378</v>
      </c>
      <c r="Q134">
        <v>61.429000000000002</v>
      </c>
      <c r="R134">
        <v>1E-3</v>
      </c>
      <c r="S134">
        <v>1E-3</v>
      </c>
      <c r="T134">
        <v>1.4770000000000001</v>
      </c>
      <c r="U134">
        <v>103.173</v>
      </c>
      <c r="V134">
        <v>21.515999999999998</v>
      </c>
      <c r="W134">
        <v>2.468</v>
      </c>
      <c r="X134">
        <v>95.963999999999999</v>
      </c>
      <c r="Y134">
        <v>0.89100000000000001</v>
      </c>
      <c r="Z134">
        <v>0.35599999999999998</v>
      </c>
      <c r="AA134">
        <v>0</v>
      </c>
      <c r="AB134">
        <v>0</v>
      </c>
      <c r="AC134">
        <v>1</v>
      </c>
      <c r="AD134">
        <v>40.25</v>
      </c>
      <c r="AE134">
        <v>1</v>
      </c>
      <c r="AF134">
        <v>15</v>
      </c>
      <c r="AG134">
        <v>2</v>
      </c>
      <c r="AH134" t="s">
        <v>361</v>
      </c>
      <c r="AI134">
        <v>0</v>
      </c>
    </row>
    <row r="135" spans="1:35" x14ac:dyDescent="0.2">
      <c r="A135">
        <v>134</v>
      </c>
      <c r="B135" t="s">
        <v>595</v>
      </c>
      <c r="C135" t="s">
        <v>600</v>
      </c>
      <c r="D135" t="s">
        <v>375</v>
      </c>
      <c r="E135">
        <v>5</v>
      </c>
      <c r="F135">
        <v>-6.0419999999999998</v>
      </c>
      <c r="G135">
        <v>-38.215000000000003</v>
      </c>
      <c r="H135">
        <v>17491</v>
      </c>
      <c r="I135">
        <v>0</v>
      </c>
      <c r="J135">
        <v>1</v>
      </c>
      <c r="K135" t="s">
        <v>359</v>
      </c>
      <c r="L135" t="s">
        <v>359</v>
      </c>
      <c r="M135" t="s">
        <v>360</v>
      </c>
      <c r="N135">
        <v>1649175736.53</v>
      </c>
      <c r="O135">
        <v>0.20799999999999999</v>
      </c>
      <c r="P135">
        <v>0.379</v>
      </c>
      <c r="Q135">
        <v>59.96</v>
      </c>
      <c r="R135">
        <v>1E-3</v>
      </c>
      <c r="S135">
        <v>1E-3</v>
      </c>
      <c r="T135">
        <v>1.4350000000000001</v>
      </c>
      <c r="U135">
        <v>103.46599999999999</v>
      </c>
      <c r="V135">
        <v>21.120999999999999</v>
      </c>
      <c r="W135">
        <v>2.472</v>
      </c>
      <c r="X135">
        <v>96.736999999999995</v>
      </c>
      <c r="Y135">
        <v>0.89600000000000002</v>
      </c>
      <c r="Z135">
        <v>0.26900000000000002</v>
      </c>
      <c r="AA135">
        <v>0</v>
      </c>
      <c r="AB135">
        <v>0</v>
      </c>
      <c r="AC135">
        <v>1</v>
      </c>
      <c r="AD135">
        <v>40.25</v>
      </c>
      <c r="AE135">
        <v>1</v>
      </c>
      <c r="AF135">
        <v>15</v>
      </c>
      <c r="AG135">
        <v>2</v>
      </c>
      <c r="AH135" t="s">
        <v>361</v>
      </c>
      <c r="AI135">
        <v>0</v>
      </c>
    </row>
    <row r="136" spans="1:35" x14ac:dyDescent="0.2">
      <c r="A136">
        <v>135</v>
      </c>
      <c r="B136" t="s">
        <v>595</v>
      </c>
      <c r="C136" t="s">
        <v>601</v>
      </c>
      <c r="D136" t="s">
        <v>375</v>
      </c>
      <c r="E136">
        <v>6</v>
      </c>
      <c r="F136">
        <v>-6.0960000000000001</v>
      </c>
      <c r="G136">
        <v>-38.393999999999998</v>
      </c>
      <c r="H136">
        <v>17396</v>
      </c>
      <c r="I136">
        <v>0</v>
      </c>
      <c r="J136">
        <v>1</v>
      </c>
      <c r="K136" t="s">
        <v>359</v>
      </c>
      <c r="L136" t="s">
        <v>359</v>
      </c>
      <c r="M136" t="s">
        <v>360</v>
      </c>
      <c r="N136">
        <v>1649176273.8599999</v>
      </c>
      <c r="O136">
        <v>0.23100000000000001</v>
      </c>
      <c r="P136">
        <v>0.43099999999999999</v>
      </c>
      <c r="Q136">
        <v>60.561999999999998</v>
      </c>
      <c r="R136">
        <v>1E-3</v>
      </c>
      <c r="S136">
        <v>1E-3</v>
      </c>
      <c r="T136">
        <v>1.4550000000000001</v>
      </c>
      <c r="U136">
        <v>102.742</v>
      </c>
      <c r="V136">
        <v>21.45</v>
      </c>
      <c r="W136">
        <v>2.4220000000000002</v>
      </c>
      <c r="X136">
        <v>95.453999999999994</v>
      </c>
      <c r="Y136">
        <v>0.88500000000000001</v>
      </c>
      <c r="Z136">
        <v>0.27900000000000003</v>
      </c>
      <c r="AA136">
        <v>0</v>
      </c>
      <c r="AB136">
        <v>0</v>
      </c>
      <c r="AC136">
        <v>1</v>
      </c>
      <c r="AD136">
        <v>40.25</v>
      </c>
      <c r="AE136">
        <v>1</v>
      </c>
      <c r="AF136">
        <v>15</v>
      </c>
      <c r="AG136">
        <v>2</v>
      </c>
      <c r="AH136" t="s">
        <v>361</v>
      </c>
      <c r="AI136">
        <v>0</v>
      </c>
    </row>
    <row r="137" spans="1:35" x14ac:dyDescent="0.2">
      <c r="A137">
        <v>136</v>
      </c>
      <c r="B137" t="s">
        <v>602</v>
      </c>
      <c r="C137" t="s">
        <v>603</v>
      </c>
      <c r="D137" t="s">
        <v>376</v>
      </c>
      <c r="E137">
        <v>1</v>
      </c>
      <c r="F137">
        <v>-5.6470000000000002</v>
      </c>
      <c r="G137">
        <v>-36.933999999999997</v>
      </c>
      <c r="H137">
        <v>17313</v>
      </c>
      <c r="I137">
        <v>-1</v>
      </c>
      <c r="J137">
        <v>1</v>
      </c>
      <c r="K137" t="s">
        <v>359</v>
      </c>
      <c r="L137" t="s">
        <v>359</v>
      </c>
      <c r="M137" t="s">
        <v>360</v>
      </c>
      <c r="N137">
        <v>1649176811.8599999</v>
      </c>
      <c r="O137">
        <v>0.22</v>
      </c>
      <c r="P137">
        <v>0.373</v>
      </c>
      <c r="Q137">
        <v>60.058999999999997</v>
      </c>
      <c r="R137">
        <v>1E-3</v>
      </c>
      <c r="S137">
        <v>1E-3</v>
      </c>
      <c r="T137">
        <v>1.4319999999999999</v>
      </c>
      <c r="U137">
        <v>102.217</v>
      </c>
      <c r="V137">
        <v>21.721</v>
      </c>
      <c r="W137">
        <v>2.3820000000000001</v>
      </c>
      <c r="X137">
        <v>94.06</v>
      </c>
      <c r="Y137">
        <v>0.88800000000000001</v>
      </c>
      <c r="Z137">
        <v>0.17499999999999999</v>
      </c>
      <c r="AA137">
        <v>0</v>
      </c>
      <c r="AB137">
        <v>0</v>
      </c>
      <c r="AC137">
        <v>1</v>
      </c>
      <c r="AD137">
        <v>40.25</v>
      </c>
      <c r="AE137">
        <v>1</v>
      </c>
      <c r="AF137">
        <v>16</v>
      </c>
      <c r="AG137">
        <v>2</v>
      </c>
      <c r="AH137" t="s">
        <v>361</v>
      </c>
      <c r="AI137">
        <v>0</v>
      </c>
    </row>
    <row r="138" spans="1:35" x14ac:dyDescent="0.2">
      <c r="A138">
        <v>137</v>
      </c>
      <c r="B138" t="s">
        <v>602</v>
      </c>
      <c r="C138" t="s">
        <v>604</v>
      </c>
      <c r="D138" t="s">
        <v>376</v>
      </c>
      <c r="E138">
        <v>2</v>
      </c>
      <c r="F138">
        <v>-5.6379999999999999</v>
      </c>
      <c r="G138">
        <v>-36.609000000000002</v>
      </c>
      <c r="H138">
        <v>17293</v>
      </c>
      <c r="I138">
        <v>-1</v>
      </c>
      <c r="J138">
        <v>1</v>
      </c>
      <c r="K138" t="s">
        <v>359</v>
      </c>
      <c r="L138" t="s">
        <v>359</v>
      </c>
      <c r="M138" t="s">
        <v>360</v>
      </c>
      <c r="N138">
        <v>1649177348.99</v>
      </c>
      <c r="O138">
        <v>0.192</v>
      </c>
      <c r="P138">
        <v>0.40400000000000003</v>
      </c>
      <c r="Q138">
        <v>62.109000000000002</v>
      </c>
      <c r="R138">
        <v>1E-3</v>
      </c>
      <c r="S138">
        <v>2E-3</v>
      </c>
      <c r="T138">
        <v>1.4890000000000001</v>
      </c>
      <c r="U138">
        <v>102.071</v>
      </c>
      <c r="V138">
        <v>21.376000000000001</v>
      </c>
      <c r="W138">
        <v>2.4089999999999998</v>
      </c>
      <c r="X138">
        <v>94.972999999999999</v>
      </c>
      <c r="Y138">
        <v>0.89200000000000002</v>
      </c>
      <c r="Z138">
        <v>0.36199999999999999</v>
      </c>
      <c r="AA138">
        <v>0</v>
      </c>
      <c r="AB138">
        <v>0</v>
      </c>
      <c r="AC138">
        <v>1</v>
      </c>
      <c r="AD138">
        <v>40.25</v>
      </c>
      <c r="AE138">
        <v>1</v>
      </c>
      <c r="AF138">
        <v>16</v>
      </c>
      <c r="AG138">
        <v>2</v>
      </c>
      <c r="AH138" t="s">
        <v>361</v>
      </c>
      <c r="AI138">
        <v>0</v>
      </c>
    </row>
    <row r="139" spans="1:35" x14ac:dyDescent="0.2">
      <c r="A139">
        <v>138</v>
      </c>
      <c r="B139" t="s">
        <v>602</v>
      </c>
      <c r="C139" t="s">
        <v>605</v>
      </c>
      <c r="D139" t="s">
        <v>376</v>
      </c>
      <c r="E139">
        <v>3</v>
      </c>
      <c r="F139">
        <v>-5.6589999999999998</v>
      </c>
      <c r="G139">
        <v>-36.668999999999997</v>
      </c>
      <c r="H139">
        <v>17420</v>
      </c>
      <c r="I139">
        <v>-1</v>
      </c>
      <c r="J139">
        <v>1</v>
      </c>
      <c r="K139" t="s">
        <v>359</v>
      </c>
      <c r="L139" t="s">
        <v>359</v>
      </c>
      <c r="M139" t="s">
        <v>360</v>
      </c>
      <c r="N139">
        <v>1649177887.04</v>
      </c>
      <c r="O139">
        <v>0.224</v>
      </c>
      <c r="P139">
        <v>0.38800000000000001</v>
      </c>
      <c r="Q139">
        <v>60.011000000000003</v>
      </c>
      <c r="R139">
        <v>0</v>
      </c>
      <c r="S139">
        <v>0</v>
      </c>
      <c r="T139">
        <v>1.4450000000000001</v>
      </c>
      <c r="U139">
        <v>102.646</v>
      </c>
      <c r="V139">
        <v>22.234999999999999</v>
      </c>
      <c r="W139">
        <v>2.4119999999999999</v>
      </c>
      <c r="X139">
        <v>94.587999999999994</v>
      </c>
      <c r="Y139">
        <v>0.88700000000000001</v>
      </c>
      <c r="Z139">
        <v>0.313</v>
      </c>
      <c r="AA139">
        <v>0</v>
      </c>
      <c r="AB139">
        <v>0</v>
      </c>
      <c r="AC139">
        <v>1</v>
      </c>
      <c r="AD139">
        <v>40.25</v>
      </c>
      <c r="AE139">
        <v>1</v>
      </c>
      <c r="AF139">
        <v>16</v>
      </c>
      <c r="AG139">
        <v>2</v>
      </c>
      <c r="AH139" t="s">
        <v>361</v>
      </c>
      <c r="AI139">
        <v>0</v>
      </c>
    </row>
    <row r="140" spans="1:35" x14ac:dyDescent="0.2">
      <c r="A140">
        <v>139</v>
      </c>
      <c r="B140" t="s">
        <v>602</v>
      </c>
      <c r="C140" t="s">
        <v>606</v>
      </c>
      <c r="D140" t="s">
        <v>376</v>
      </c>
      <c r="E140">
        <v>4</v>
      </c>
      <c r="F140">
        <v>-5.6689999999999996</v>
      </c>
      <c r="G140">
        <v>-36.813000000000002</v>
      </c>
      <c r="H140">
        <v>17482</v>
      </c>
      <c r="I140">
        <v>0</v>
      </c>
      <c r="J140">
        <v>1</v>
      </c>
      <c r="K140" t="s">
        <v>359</v>
      </c>
      <c r="L140" t="s">
        <v>359</v>
      </c>
      <c r="M140" t="s">
        <v>360</v>
      </c>
      <c r="N140">
        <v>1649178424.1099999</v>
      </c>
      <c r="O140">
        <v>0.22700000000000001</v>
      </c>
      <c r="P140">
        <v>0.41699999999999998</v>
      </c>
      <c r="Q140">
        <v>60.494999999999997</v>
      </c>
      <c r="R140">
        <v>1E-3</v>
      </c>
      <c r="S140">
        <v>1E-3</v>
      </c>
      <c r="T140">
        <v>1.454</v>
      </c>
      <c r="U140">
        <v>103.363</v>
      </c>
      <c r="V140">
        <v>22.436</v>
      </c>
      <c r="W140">
        <v>2.3039999999999998</v>
      </c>
      <c r="X140">
        <v>92.921000000000006</v>
      </c>
      <c r="Y140">
        <v>0.89200000000000002</v>
      </c>
      <c r="Z140">
        <v>-0.13700000000000001</v>
      </c>
      <c r="AA140">
        <v>0</v>
      </c>
      <c r="AB140">
        <v>0</v>
      </c>
      <c r="AC140">
        <v>1</v>
      </c>
      <c r="AD140">
        <v>40.311999999999998</v>
      </c>
      <c r="AE140">
        <v>1</v>
      </c>
      <c r="AF140">
        <v>16</v>
      </c>
      <c r="AG140">
        <v>2</v>
      </c>
      <c r="AH140" t="s">
        <v>361</v>
      </c>
      <c r="AI140">
        <v>0</v>
      </c>
    </row>
    <row r="141" spans="1:35" x14ac:dyDescent="0.2">
      <c r="A141">
        <v>140</v>
      </c>
      <c r="B141" t="s">
        <v>602</v>
      </c>
      <c r="C141" t="s">
        <v>607</v>
      </c>
      <c r="D141" t="s">
        <v>376</v>
      </c>
      <c r="E141">
        <v>5</v>
      </c>
      <c r="F141">
        <v>-5.7069999999999999</v>
      </c>
      <c r="G141">
        <v>-36.600999999999999</v>
      </c>
      <c r="H141">
        <v>17386</v>
      </c>
      <c r="I141">
        <v>0</v>
      </c>
      <c r="J141">
        <v>1</v>
      </c>
      <c r="K141" t="s">
        <v>359</v>
      </c>
      <c r="L141" t="s">
        <v>359</v>
      </c>
      <c r="M141" t="s">
        <v>360</v>
      </c>
      <c r="N141">
        <v>1649178962.4300001</v>
      </c>
      <c r="O141">
        <v>0.193</v>
      </c>
      <c r="P141">
        <v>0.41699999999999998</v>
      </c>
      <c r="Q141">
        <v>62.392000000000003</v>
      </c>
      <c r="R141">
        <v>0</v>
      </c>
      <c r="S141">
        <v>0</v>
      </c>
      <c r="T141">
        <v>1.492</v>
      </c>
      <c r="U141">
        <v>102.395</v>
      </c>
      <c r="V141">
        <v>22.187000000000001</v>
      </c>
      <c r="W141">
        <v>2.383</v>
      </c>
      <c r="X141">
        <v>94.733000000000004</v>
      </c>
      <c r="Y141">
        <v>0.88400000000000001</v>
      </c>
      <c r="Z141">
        <v>0.35399999999999998</v>
      </c>
      <c r="AA141">
        <v>0</v>
      </c>
      <c r="AB141">
        <v>0</v>
      </c>
      <c r="AC141">
        <v>1</v>
      </c>
      <c r="AD141">
        <v>40.311999999999998</v>
      </c>
      <c r="AE141">
        <v>1</v>
      </c>
      <c r="AF141">
        <v>16</v>
      </c>
      <c r="AG141">
        <v>2</v>
      </c>
      <c r="AH141" t="s">
        <v>361</v>
      </c>
      <c r="AI141">
        <v>0</v>
      </c>
    </row>
    <row r="142" spans="1:35" x14ac:dyDescent="0.2">
      <c r="A142">
        <v>141</v>
      </c>
      <c r="B142" t="s">
        <v>602</v>
      </c>
      <c r="C142" t="s">
        <v>608</v>
      </c>
      <c r="D142" t="s">
        <v>376</v>
      </c>
      <c r="E142">
        <v>6</v>
      </c>
      <c r="F142">
        <v>-5.8049999999999997</v>
      </c>
      <c r="G142">
        <v>-37.021000000000001</v>
      </c>
      <c r="H142">
        <v>17544</v>
      </c>
      <c r="I142">
        <v>0</v>
      </c>
      <c r="J142">
        <v>1</v>
      </c>
      <c r="K142" t="s">
        <v>359</v>
      </c>
      <c r="L142" t="s">
        <v>359</v>
      </c>
      <c r="M142" t="s">
        <v>360</v>
      </c>
      <c r="N142">
        <v>1649179500.7</v>
      </c>
      <c r="O142">
        <v>0.22900000000000001</v>
      </c>
      <c r="P142">
        <v>0.436</v>
      </c>
      <c r="Q142">
        <v>65.447000000000003</v>
      </c>
      <c r="R142">
        <v>1E-3</v>
      </c>
      <c r="S142">
        <v>3.0000000000000001E-3</v>
      </c>
      <c r="T142">
        <v>1.5620000000000001</v>
      </c>
      <c r="U142">
        <v>103.517</v>
      </c>
      <c r="V142">
        <v>22.033999999999999</v>
      </c>
      <c r="W142">
        <v>2.4350000000000001</v>
      </c>
      <c r="X142">
        <v>95.917000000000002</v>
      </c>
      <c r="Y142">
        <v>0.89500000000000002</v>
      </c>
      <c r="Z142">
        <v>0.27200000000000002</v>
      </c>
      <c r="AA142">
        <v>0</v>
      </c>
      <c r="AB142">
        <v>0</v>
      </c>
      <c r="AC142">
        <v>1</v>
      </c>
      <c r="AD142">
        <v>40.311999999999998</v>
      </c>
      <c r="AE142">
        <v>1</v>
      </c>
      <c r="AF142">
        <v>16</v>
      </c>
      <c r="AG142">
        <v>2</v>
      </c>
      <c r="AH142" t="s">
        <v>361</v>
      </c>
      <c r="AI142">
        <v>0</v>
      </c>
    </row>
    <row r="143" spans="1:35" x14ac:dyDescent="0.2">
      <c r="A143">
        <v>142</v>
      </c>
      <c r="B143" t="s">
        <v>609</v>
      </c>
      <c r="C143" t="s">
        <v>610</v>
      </c>
      <c r="D143" t="s">
        <v>377</v>
      </c>
      <c r="E143">
        <v>1</v>
      </c>
      <c r="F143">
        <v>-4.9210000000000003</v>
      </c>
      <c r="G143">
        <v>-30.594999999999999</v>
      </c>
      <c r="H143">
        <v>17299</v>
      </c>
      <c r="I143">
        <v>-1</v>
      </c>
      <c r="J143">
        <v>1</v>
      </c>
      <c r="K143" t="s">
        <v>359</v>
      </c>
      <c r="L143" t="s">
        <v>359</v>
      </c>
      <c r="M143" t="s">
        <v>360</v>
      </c>
      <c r="N143">
        <v>1649180037.6099999</v>
      </c>
      <c r="O143">
        <v>0.2</v>
      </c>
      <c r="P143">
        <v>0.40600000000000003</v>
      </c>
      <c r="Q143">
        <v>60.993000000000002</v>
      </c>
      <c r="R143">
        <v>0</v>
      </c>
      <c r="S143">
        <v>0</v>
      </c>
      <c r="T143">
        <v>1.45</v>
      </c>
      <c r="U143">
        <v>102.06</v>
      </c>
      <c r="V143">
        <v>21.032</v>
      </c>
      <c r="W143">
        <v>2.4860000000000002</v>
      </c>
      <c r="X143">
        <v>96.463999999999999</v>
      </c>
      <c r="Y143">
        <v>0.89500000000000002</v>
      </c>
      <c r="Z143">
        <v>0.44400000000000001</v>
      </c>
      <c r="AA143">
        <v>0</v>
      </c>
      <c r="AB143">
        <v>0</v>
      </c>
      <c r="AC143">
        <v>1</v>
      </c>
      <c r="AD143">
        <v>40.311999999999998</v>
      </c>
      <c r="AE143">
        <v>1</v>
      </c>
      <c r="AF143">
        <v>17</v>
      </c>
      <c r="AG143">
        <v>2</v>
      </c>
      <c r="AH143" t="s">
        <v>361</v>
      </c>
      <c r="AI143">
        <v>0</v>
      </c>
    </row>
    <row r="144" spans="1:35" x14ac:dyDescent="0.2">
      <c r="A144">
        <v>143</v>
      </c>
      <c r="B144" t="s">
        <v>609</v>
      </c>
      <c r="C144" t="s">
        <v>611</v>
      </c>
      <c r="D144" t="s">
        <v>377</v>
      </c>
      <c r="E144">
        <v>2</v>
      </c>
      <c r="F144">
        <v>-4.899</v>
      </c>
      <c r="G144">
        <v>-30.181000000000001</v>
      </c>
      <c r="H144">
        <v>17546</v>
      </c>
      <c r="I144">
        <v>-1</v>
      </c>
      <c r="J144">
        <v>1</v>
      </c>
      <c r="K144" t="s">
        <v>359</v>
      </c>
      <c r="L144" t="s">
        <v>359</v>
      </c>
      <c r="M144" t="s">
        <v>360</v>
      </c>
      <c r="N144">
        <v>1649180574.5</v>
      </c>
      <c r="O144">
        <v>0.20399999999999999</v>
      </c>
      <c r="P144">
        <v>0.38800000000000001</v>
      </c>
      <c r="Q144">
        <v>61.610999999999997</v>
      </c>
      <c r="R144">
        <v>1E-3</v>
      </c>
      <c r="S144">
        <v>0</v>
      </c>
      <c r="T144">
        <v>1.4750000000000001</v>
      </c>
      <c r="U144">
        <v>103.741</v>
      </c>
      <c r="V144">
        <v>21.052</v>
      </c>
      <c r="W144">
        <v>2.4580000000000002</v>
      </c>
      <c r="X144">
        <v>97.849000000000004</v>
      </c>
      <c r="Y144">
        <v>0.88800000000000001</v>
      </c>
      <c r="Z144">
        <v>0.33900000000000002</v>
      </c>
      <c r="AA144">
        <v>0</v>
      </c>
      <c r="AB144">
        <v>0</v>
      </c>
      <c r="AC144">
        <v>1</v>
      </c>
      <c r="AD144">
        <v>40.311999999999998</v>
      </c>
      <c r="AE144">
        <v>1</v>
      </c>
      <c r="AF144">
        <v>17</v>
      </c>
      <c r="AG144">
        <v>2</v>
      </c>
      <c r="AH144" t="s">
        <v>361</v>
      </c>
      <c r="AI144">
        <v>0</v>
      </c>
    </row>
    <row r="145" spans="1:35" x14ac:dyDescent="0.2">
      <c r="A145">
        <v>144</v>
      </c>
      <c r="B145" t="s">
        <v>609</v>
      </c>
      <c r="C145" t="s">
        <v>612</v>
      </c>
      <c r="D145" t="s">
        <v>377</v>
      </c>
      <c r="E145">
        <v>3</v>
      </c>
      <c r="F145">
        <v>-4.9080000000000004</v>
      </c>
      <c r="G145">
        <v>-30.027000000000001</v>
      </c>
      <c r="H145">
        <v>17550</v>
      </c>
      <c r="I145">
        <v>-1</v>
      </c>
      <c r="J145">
        <v>1</v>
      </c>
      <c r="K145" t="s">
        <v>359</v>
      </c>
      <c r="L145" t="s">
        <v>359</v>
      </c>
      <c r="M145" t="s">
        <v>360</v>
      </c>
      <c r="N145">
        <v>1649181112.8299999</v>
      </c>
      <c r="O145">
        <v>0.19400000000000001</v>
      </c>
      <c r="P145">
        <v>0.378</v>
      </c>
      <c r="Q145">
        <v>60.442999999999998</v>
      </c>
      <c r="R145">
        <v>0</v>
      </c>
      <c r="S145">
        <v>0</v>
      </c>
      <c r="T145">
        <v>1.4419999999999999</v>
      </c>
      <c r="U145">
        <v>103.553</v>
      </c>
      <c r="V145">
        <v>21.28</v>
      </c>
      <c r="W145">
        <v>2.423</v>
      </c>
      <c r="X145">
        <v>98.100999999999999</v>
      </c>
      <c r="Y145">
        <v>0.89500000000000002</v>
      </c>
      <c r="Z145">
        <v>0.57899999999999996</v>
      </c>
      <c r="AA145">
        <v>0</v>
      </c>
      <c r="AB145">
        <v>0</v>
      </c>
      <c r="AC145">
        <v>1</v>
      </c>
      <c r="AD145">
        <v>40.311999999999998</v>
      </c>
      <c r="AE145">
        <v>1</v>
      </c>
      <c r="AF145">
        <v>17</v>
      </c>
      <c r="AG145">
        <v>2</v>
      </c>
      <c r="AH145" t="s">
        <v>361</v>
      </c>
      <c r="AI145">
        <v>0</v>
      </c>
    </row>
    <row r="146" spans="1:35" x14ac:dyDescent="0.2">
      <c r="A146">
        <v>145</v>
      </c>
      <c r="B146" t="s">
        <v>609</v>
      </c>
      <c r="C146" t="s">
        <v>613</v>
      </c>
      <c r="D146" t="s">
        <v>377</v>
      </c>
      <c r="E146">
        <v>4</v>
      </c>
      <c r="F146">
        <v>-4.8899999999999997</v>
      </c>
      <c r="G146">
        <v>-30.061</v>
      </c>
      <c r="H146">
        <v>17593</v>
      </c>
      <c r="I146">
        <v>0</v>
      </c>
      <c r="J146">
        <v>1</v>
      </c>
      <c r="K146" t="s">
        <v>359</v>
      </c>
      <c r="L146" t="s">
        <v>359</v>
      </c>
      <c r="M146" t="s">
        <v>360</v>
      </c>
      <c r="N146">
        <v>1649181650.04</v>
      </c>
      <c r="O146">
        <v>0.192</v>
      </c>
      <c r="P146">
        <v>0.38500000000000001</v>
      </c>
      <c r="Q146">
        <v>61.863</v>
      </c>
      <c r="R146">
        <v>1E-3</v>
      </c>
      <c r="S146">
        <v>0</v>
      </c>
      <c r="T146">
        <v>1.474</v>
      </c>
      <c r="U146">
        <v>103.958</v>
      </c>
      <c r="V146">
        <v>20.812000000000001</v>
      </c>
      <c r="W146">
        <v>2.4820000000000002</v>
      </c>
      <c r="X146">
        <v>99.117999999999995</v>
      </c>
      <c r="Y146">
        <v>0.88100000000000001</v>
      </c>
      <c r="Z146">
        <v>0.55500000000000005</v>
      </c>
      <c r="AA146">
        <v>0</v>
      </c>
      <c r="AB146">
        <v>0</v>
      </c>
      <c r="AC146">
        <v>1</v>
      </c>
      <c r="AD146">
        <v>40.375</v>
      </c>
      <c r="AE146">
        <v>1</v>
      </c>
      <c r="AF146">
        <v>17</v>
      </c>
      <c r="AG146">
        <v>2</v>
      </c>
      <c r="AH146" t="s">
        <v>361</v>
      </c>
      <c r="AI146">
        <v>0</v>
      </c>
    </row>
    <row r="147" spans="1:35" x14ac:dyDescent="0.2">
      <c r="A147">
        <v>146</v>
      </c>
      <c r="B147" t="s">
        <v>609</v>
      </c>
      <c r="C147" t="s">
        <v>614</v>
      </c>
      <c r="D147" t="s">
        <v>377</v>
      </c>
      <c r="E147">
        <v>5</v>
      </c>
      <c r="F147">
        <v>-4.8949999999999996</v>
      </c>
      <c r="G147">
        <v>-30.004000000000001</v>
      </c>
      <c r="H147">
        <v>17474</v>
      </c>
      <c r="I147">
        <v>0</v>
      </c>
      <c r="J147">
        <v>1</v>
      </c>
      <c r="K147" t="s">
        <v>359</v>
      </c>
      <c r="L147" t="s">
        <v>359</v>
      </c>
      <c r="M147" t="s">
        <v>360</v>
      </c>
      <c r="N147">
        <v>1649182188.46</v>
      </c>
      <c r="O147">
        <v>0.193</v>
      </c>
      <c r="P147">
        <v>0.376</v>
      </c>
      <c r="Q147">
        <v>59.631</v>
      </c>
      <c r="R147">
        <v>0</v>
      </c>
      <c r="S147">
        <v>0</v>
      </c>
      <c r="T147">
        <v>1.431</v>
      </c>
      <c r="U147">
        <v>102.968</v>
      </c>
      <c r="V147">
        <v>20.763000000000002</v>
      </c>
      <c r="W147">
        <v>2.5</v>
      </c>
      <c r="X147">
        <v>99.570999999999998</v>
      </c>
      <c r="Y147">
        <v>0.89400000000000002</v>
      </c>
      <c r="Z147">
        <v>0.80700000000000005</v>
      </c>
      <c r="AA147">
        <v>0</v>
      </c>
      <c r="AB147">
        <v>0</v>
      </c>
      <c r="AC147">
        <v>1</v>
      </c>
      <c r="AD147">
        <v>40.311999999999998</v>
      </c>
      <c r="AE147">
        <v>1</v>
      </c>
      <c r="AF147">
        <v>17</v>
      </c>
      <c r="AG147">
        <v>2</v>
      </c>
      <c r="AH147" t="s">
        <v>361</v>
      </c>
      <c r="AI147">
        <v>0</v>
      </c>
    </row>
    <row r="148" spans="1:35" x14ac:dyDescent="0.2">
      <c r="A148">
        <v>147</v>
      </c>
      <c r="B148" t="s">
        <v>609</v>
      </c>
      <c r="C148" t="s">
        <v>615</v>
      </c>
      <c r="D148" t="s">
        <v>377</v>
      </c>
      <c r="E148">
        <v>6</v>
      </c>
      <c r="F148">
        <v>-4.9059999999999997</v>
      </c>
      <c r="G148">
        <v>-30.001000000000001</v>
      </c>
      <c r="H148">
        <v>17435</v>
      </c>
      <c r="I148">
        <v>0</v>
      </c>
      <c r="J148">
        <v>1</v>
      </c>
      <c r="K148" t="s">
        <v>359</v>
      </c>
      <c r="L148" t="s">
        <v>359</v>
      </c>
      <c r="M148" t="s">
        <v>360</v>
      </c>
      <c r="N148">
        <v>1649182725.6800001</v>
      </c>
      <c r="O148">
        <v>0.17699999999999999</v>
      </c>
      <c r="P148">
        <v>0.371</v>
      </c>
      <c r="Q148">
        <v>60.762999999999998</v>
      </c>
      <c r="R148">
        <v>1E-3</v>
      </c>
      <c r="S148">
        <v>0</v>
      </c>
      <c r="T148">
        <v>1.4630000000000001</v>
      </c>
      <c r="U148">
        <v>102.782</v>
      </c>
      <c r="V148">
        <v>21.004999999999999</v>
      </c>
      <c r="W148">
        <v>2.4660000000000002</v>
      </c>
      <c r="X148">
        <v>98.105000000000004</v>
      </c>
      <c r="Y148">
        <v>0.878</v>
      </c>
      <c r="Z148">
        <v>0.69899999999999995</v>
      </c>
      <c r="AA148">
        <v>0</v>
      </c>
      <c r="AB148">
        <v>0</v>
      </c>
      <c r="AC148">
        <v>1</v>
      </c>
      <c r="AD148">
        <v>40.311999999999998</v>
      </c>
      <c r="AE148">
        <v>1</v>
      </c>
      <c r="AF148">
        <v>17</v>
      </c>
      <c r="AG148">
        <v>2</v>
      </c>
      <c r="AH148" t="s">
        <v>361</v>
      </c>
      <c r="AI148">
        <v>0</v>
      </c>
    </row>
    <row r="149" spans="1:35" x14ac:dyDescent="0.2">
      <c r="A149">
        <v>148</v>
      </c>
      <c r="B149" t="s">
        <v>616</v>
      </c>
      <c r="C149" t="s">
        <v>617</v>
      </c>
      <c r="D149" t="s">
        <v>378</v>
      </c>
      <c r="E149">
        <v>1</v>
      </c>
      <c r="F149">
        <v>-4.0359999999999996</v>
      </c>
      <c r="G149">
        <v>-24.902999999999999</v>
      </c>
      <c r="H149">
        <v>17329</v>
      </c>
      <c r="I149">
        <v>-1</v>
      </c>
      <c r="J149">
        <v>1</v>
      </c>
      <c r="K149" t="s">
        <v>359</v>
      </c>
      <c r="L149" t="s">
        <v>359</v>
      </c>
      <c r="M149" t="s">
        <v>360</v>
      </c>
      <c r="N149">
        <v>1649183262.8900001</v>
      </c>
      <c r="O149">
        <v>0.223</v>
      </c>
      <c r="P149">
        <v>0.42399999999999999</v>
      </c>
      <c r="Q149">
        <v>68.099000000000004</v>
      </c>
      <c r="R149">
        <v>1E-3</v>
      </c>
      <c r="S149">
        <v>4.0000000000000001E-3</v>
      </c>
      <c r="T149">
        <v>1.627</v>
      </c>
      <c r="U149">
        <v>102.42400000000001</v>
      </c>
      <c r="V149">
        <v>20.463999999999999</v>
      </c>
      <c r="W149">
        <v>2.4510000000000001</v>
      </c>
      <c r="X149">
        <v>97.52</v>
      </c>
      <c r="Y149">
        <v>0.88500000000000001</v>
      </c>
      <c r="Z149">
        <v>0.495</v>
      </c>
      <c r="AA149">
        <v>0</v>
      </c>
      <c r="AB149">
        <v>0</v>
      </c>
      <c r="AC149">
        <v>1</v>
      </c>
      <c r="AD149">
        <v>40.311999999999998</v>
      </c>
      <c r="AE149">
        <v>1</v>
      </c>
      <c r="AF149">
        <v>18</v>
      </c>
      <c r="AG149">
        <v>2</v>
      </c>
      <c r="AH149" t="s">
        <v>361</v>
      </c>
      <c r="AI149">
        <v>0</v>
      </c>
    </row>
    <row r="150" spans="1:35" x14ac:dyDescent="0.2">
      <c r="A150">
        <v>149</v>
      </c>
      <c r="B150" t="s">
        <v>616</v>
      </c>
      <c r="C150" t="s">
        <v>618</v>
      </c>
      <c r="D150" t="s">
        <v>378</v>
      </c>
      <c r="E150">
        <v>2</v>
      </c>
      <c r="F150">
        <v>-3.8479999999999999</v>
      </c>
      <c r="G150">
        <v>-23.995000000000001</v>
      </c>
      <c r="H150">
        <v>17457</v>
      </c>
      <c r="I150">
        <v>-1</v>
      </c>
      <c r="J150">
        <v>1</v>
      </c>
      <c r="K150" t="s">
        <v>359</v>
      </c>
      <c r="L150" t="s">
        <v>359</v>
      </c>
      <c r="M150" t="s">
        <v>360</v>
      </c>
      <c r="N150">
        <v>1649183800.2</v>
      </c>
      <c r="O150">
        <v>0.20200000000000001</v>
      </c>
      <c r="P150">
        <v>0.39700000000000002</v>
      </c>
      <c r="Q150">
        <v>62.066000000000003</v>
      </c>
      <c r="R150">
        <v>1E-3</v>
      </c>
      <c r="S150">
        <v>0</v>
      </c>
      <c r="T150">
        <v>1.49</v>
      </c>
      <c r="U150">
        <v>103.206</v>
      </c>
      <c r="V150">
        <v>20.498999999999999</v>
      </c>
      <c r="W150">
        <v>2.46</v>
      </c>
      <c r="X150">
        <v>98.471999999999994</v>
      </c>
      <c r="Y150">
        <v>0.88400000000000001</v>
      </c>
      <c r="Z150">
        <v>0.53600000000000003</v>
      </c>
      <c r="AA150">
        <v>0</v>
      </c>
      <c r="AB150">
        <v>0</v>
      </c>
      <c r="AC150">
        <v>1</v>
      </c>
      <c r="AD150">
        <v>40.311999999999998</v>
      </c>
      <c r="AE150">
        <v>1</v>
      </c>
      <c r="AF150">
        <v>18</v>
      </c>
      <c r="AG150">
        <v>2</v>
      </c>
      <c r="AH150" t="s">
        <v>361</v>
      </c>
      <c r="AI150">
        <v>0</v>
      </c>
    </row>
    <row r="151" spans="1:35" x14ac:dyDescent="0.2">
      <c r="A151">
        <v>150</v>
      </c>
      <c r="B151" t="s">
        <v>616</v>
      </c>
      <c r="C151" t="s">
        <v>619</v>
      </c>
      <c r="D151" t="s">
        <v>378</v>
      </c>
      <c r="E151">
        <v>3</v>
      </c>
      <c r="F151">
        <v>-3.8780000000000001</v>
      </c>
      <c r="G151">
        <v>-23.891999999999999</v>
      </c>
      <c r="H151">
        <v>17476</v>
      </c>
      <c r="I151">
        <v>-1</v>
      </c>
      <c r="J151">
        <v>1</v>
      </c>
      <c r="K151" t="s">
        <v>359</v>
      </c>
      <c r="L151" t="s">
        <v>359</v>
      </c>
      <c r="M151" t="s">
        <v>360</v>
      </c>
      <c r="N151">
        <v>1649184338.79</v>
      </c>
      <c r="O151">
        <v>0.20499999999999999</v>
      </c>
      <c r="P151">
        <v>0.43</v>
      </c>
      <c r="Q151">
        <v>59.49</v>
      </c>
      <c r="R151">
        <v>0</v>
      </c>
      <c r="S151">
        <v>-1E-3</v>
      </c>
      <c r="T151">
        <v>1.4179999999999999</v>
      </c>
      <c r="U151">
        <v>103.268</v>
      </c>
      <c r="V151">
        <v>20.529</v>
      </c>
      <c r="W151">
        <v>2.4780000000000002</v>
      </c>
      <c r="X151">
        <v>98.665999999999997</v>
      </c>
      <c r="Y151">
        <v>0.89</v>
      </c>
      <c r="Z151">
        <v>0.57299999999999995</v>
      </c>
      <c r="AA151">
        <v>0</v>
      </c>
      <c r="AB151">
        <v>0</v>
      </c>
      <c r="AC151">
        <v>1</v>
      </c>
      <c r="AD151">
        <v>40.311999999999998</v>
      </c>
      <c r="AE151">
        <v>1</v>
      </c>
      <c r="AF151">
        <v>18</v>
      </c>
      <c r="AG151">
        <v>2</v>
      </c>
      <c r="AH151" t="s">
        <v>361</v>
      </c>
      <c r="AI151">
        <v>0</v>
      </c>
    </row>
    <row r="152" spans="1:35" x14ac:dyDescent="0.2">
      <c r="A152">
        <v>151</v>
      </c>
      <c r="B152" t="s">
        <v>616</v>
      </c>
      <c r="C152" t="s">
        <v>620</v>
      </c>
      <c r="D152" t="s">
        <v>378</v>
      </c>
      <c r="E152">
        <v>4</v>
      </c>
      <c r="F152">
        <v>-3.8740000000000001</v>
      </c>
      <c r="G152">
        <v>-23.948</v>
      </c>
      <c r="H152">
        <v>17448</v>
      </c>
      <c r="I152">
        <v>0</v>
      </c>
      <c r="J152">
        <v>1</v>
      </c>
      <c r="K152" t="s">
        <v>359</v>
      </c>
      <c r="L152" t="s">
        <v>359</v>
      </c>
      <c r="M152" t="s">
        <v>360</v>
      </c>
      <c r="N152">
        <v>1649184875.9000001</v>
      </c>
      <c r="O152">
        <v>0.19800000000000001</v>
      </c>
      <c r="P152">
        <v>0.371</v>
      </c>
      <c r="Q152">
        <v>60.51</v>
      </c>
      <c r="R152">
        <v>1E-3</v>
      </c>
      <c r="S152">
        <v>0</v>
      </c>
      <c r="T152">
        <v>1.4450000000000001</v>
      </c>
      <c r="U152">
        <v>102.9</v>
      </c>
      <c r="V152">
        <v>20.771000000000001</v>
      </c>
      <c r="W152">
        <v>2.4889999999999999</v>
      </c>
      <c r="X152">
        <v>98.822000000000003</v>
      </c>
      <c r="Y152">
        <v>0.89800000000000002</v>
      </c>
      <c r="Z152">
        <v>0.75700000000000001</v>
      </c>
      <c r="AA152">
        <v>0</v>
      </c>
      <c r="AB152">
        <v>0</v>
      </c>
      <c r="AC152">
        <v>1</v>
      </c>
      <c r="AD152">
        <v>40.311999999999998</v>
      </c>
      <c r="AE152">
        <v>1</v>
      </c>
      <c r="AF152">
        <v>18</v>
      </c>
      <c r="AG152">
        <v>2</v>
      </c>
      <c r="AH152" t="s">
        <v>361</v>
      </c>
      <c r="AI152">
        <v>0</v>
      </c>
    </row>
    <row r="153" spans="1:35" x14ac:dyDescent="0.2">
      <c r="A153">
        <v>152</v>
      </c>
      <c r="B153" t="s">
        <v>616</v>
      </c>
      <c r="C153" t="s">
        <v>621</v>
      </c>
      <c r="D153" t="s">
        <v>378</v>
      </c>
      <c r="E153">
        <v>5</v>
      </c>
      <c r="F153">
        <v>-3.9039999999999999</v>
      </c>
      <c r="G153">
        <v>-23.829000000000001</v>
      </c>
      <c r="H153">
        <v>17456</v>
      </c>
      <c r="I153">
        <v>0</v>
      </c>
      <c r="J153">
        <v>1</v>
      </c>
      <c r="K153" t="s">
        <v>359</v>
      </c>
      <c r="L153" t="s">
        <v>359</v>
      </c>
      <c r="M153" t="s">
        <v>360</v>
      </c>
      <c r="N153">
        <v>1649185413.74</v>
      </c>
      <c r="O153">
        <v>0.192</v>
      </c>
      <c r="P153">
        <v>0.39600000000000002</v>
      </c>
      <c r="Q153">
        <v>61.725000000000001</v>
      </c>
      <c r="R153">
        <v>0</v>
      </c>
      <c r="S153">
        <v>0</v>
      </c>
      <c r="T153">
        <v>1.4810000000000001</v>
      </c>
      <c r="U153">
        <v>103.032</v>
      </c>
      <c r="V153">
        <v>20.686</v>
      </c>
      <c r="W153">
        <v>2.4780000000000002</v>
      </c>
      <c r="X153">
        <v>98.566999999999993</v>
      </c>
      <c r="Y153">
        <v>0.88600000000000001</v>
      </c>
      <c r="Z153">
        <v>0.64100000000000001</v>
      </c>
      <c r="AA153">
        <v>0</v>
      </c>
      <c r="AB153">
        <v>0</v>
      </c>
      <c r="AC153">
        <v>1</v>
      </c>
      <c r="AD153">
        <v>40.375</v>
      </c>
      <c r="AE153">
        <v>1</v>
      </c>
      <c r="AF153">
        <v>18</v>
      </c>
      <c r="AG153">
        <v>2</v>
      </c>
      <c r="AH153" t="s">
        <v>361</v>
      </c>
      <c r="AI153">
        <v>0</v>
      </c>
    </row>
    <row r="154" spans="1:35" x14ac:dyDescent="0.2">
      <c r="A154">
        <v>153</v>
      </c>
      <c r="B154" t="s">
        <v>616</v>
      </c>
      <c r="C154" t="s">
        <v>622</v>
      </c>
      <c r="D154" t="s">
        <v>378</v>
      </c>
      <c r="E154">
        <v>6</v>
      </c>
      <c r="F154">
        <v>-3.8849999999999998</v>
      </c>
      <c r="G154">
        <v>-23.818999999999999</v>
      </c>
      <c r="H154">
        <v>17462</v>
      </c>
      <c r="I154">
        <v>0</v>
      </c>
      <c r="J154">
        <v>1</v>
      </c>
      <c r="K154" t="s">
        <v>359</v>
      </c>
      <c r="L154" t="s">
        <v>359</v>
      </c>
      <c r="M154" t="s">
        <v>360</v>
      </c>
      <c r="N154">
        <v>1649185951.26</v>
      </c>
      <c r="O154">
        <v>0.20799999999999999</v>
      </c>
      <c r="P154">
        <v>0.39100000000000001</v>
      </c>
      <c r="Q154">
        <v>60.316000000000003</v>
      </c>
      <c r="R154">
        <v>0</v>
      </c>
      <c r="S154">
        <v>-1E-3</v>
      </c>
      <c r="T154">
        <v>1.4419999999999999</v>
      </c>
      <c r="U154">
        <v>103.10599999999999</v>
      </c>
      <c r="V154">
        <v>20.92</v>
      </c>
      <c r="W154">
        <v>2.4609999999999999</v>
      </c>
      <c r="X154">
        <v>97.897999999999996</v>
      </c>
      <c r="Y154">
        <v>0.89300000000000002</v>
      </c>
      <c r="Z154">
        <v>0.55700000000000005</v>
      </c>
      <c r="AA154">
        <v>0</v>
      </c>
      <c r="AB154">
        <v>0</v>
      </c>
      <c r="AC154">
        <v>1</v>
      </c>
      <c r="AD154">
        <v>40.375</v>
      </c>
      <c r="AE154">
        <v>1</v>
      </c>
      <c r="AF154">
        <v>18</v>
      </c>
      <c r="AG154">
        <v>2</v>
      </c>
      <c r="AH154" t="s">
        <v>361</v>
      </c>
      <c r="AI154">
        <v>0</v>
      </c>
    </row>
    <row r="155" spans="1:35" x14ac:dyDescent="0.2">
      <c r="A155">
        <v>154</v>
      </c>
      <c r="B155" t="s">
        <v>623</v>
      </c>
      <c r="C155" t="s">
        <v>624</v>
      </c>
      <c r="D155" t="s">
        <v>379</v>
      </c>
      <c r="E155">
        <v>1</v>
      </c>
      <c r="F155">
        <v>-5.766</v>
      </c>
      <c r="G155">
        <v>-35.456000000000003</v>
      </c>
      <c r="H155">
        <v>17224</v>
      </c>
      <c r="I155">
        <v>-1</v>
      </c>
      <c r="J155">
        <v>1</v>
      </c>
      <c r="K155" t="s">
        <v>359</v>
      </c>
      <c r="L155" t="s">
        <v>359</v>
      </c>
      <c r="M155" t="s">
        <v>360</v>
      </c>
      <c r="N155">
        <v>1649186488.3199999</v>
      </c>
      <c r="O155">
        <v>0.19700000000000001</v>
      </c>
      <c r="P155">
        <v>0.39700000000000002</v>
      </c>
      <c r="Q155">
        <v>60.158000000000001</v>
      </c>
      <c r="R155">
        <v>1E-3</v>
      </c>
      <c r="S155">
        <v>2E-3</v>
      </c>
      <c r="T155">
        <v>1.446</v>
      </c>
      <c r="U155">
        <v>101.858</v>
      </c>
      <c r="V155">
        <v>20.853000000000002</v>
      </c>
      <c r="W155">
        <v>2.3570000000000002</v>
      </c>
      <c r="X155">
        <v>94.762</v>
      </c>
      <c r="Y155">
        <v>0.89600000000000002</v>
      </c>
      <c r="Z155">
        <v>0.19900000000000001</v>
      </c>
      <c r="AA155">
        <v>0</v>
      </c>
      <c r="AB155">
        <v>0</v>
      </c>
      <c r="AC155">
        <v>1</v>
      </c>
      <c r="AD155">
        <v>40.375</v>
      </c>
      <c r="AE155">
        <v>1</v>
      </c>
      <c r="AF155">
        <v>19</v>
      </c>
      <c r="AG155">
        <v>2</v>
      </c>
      <c r="AH155" t="s">
        <v>361</v>
      </c>
      <c r="AI155">
        <v>0</v>
      </c>
    </row>
    <row r="156" spans="1:35" x14ac:dyDescent="0.2">
      <c r="A156">
        <v>155</v>
      </c>
      <c r="B156" t="s">
        <v>623</v>
      </c>
      <c r="C156" t="s">
        <v>625</v>
      </c>
      <c r="D156" t="s">
        <v>379</v>
      </c>
      <c r="E156">
        <v>2</v>
      </c>
      <c r="F156">
        <v>-5.8129999999999997</v>
      </c>
      <c r="G156">
        <v>-36.311</v>
      </c>
      <c r="H156">
        <v>17587</v>
      </c>
      <c r="I156">
        <v>-1</v>
      </c>
      <c r="J156">
        <v>1</v>
      </c>
      <c r="K156" t="s">
        <v>359</v>
      </c>
      <c r="L156" t="s">
        <v>359</v>
      </c>
      <c r="M156" t="s">
        <v>360</v>
      </c>
      <c r="N156">
        <v>1649187026.97</v>
      </c>
      <c r="O156">
        <v>0.20899999999999999</v>
      </c>
      <c r="P156">
        <v>0.45100000000000001</v>
      </c>
      <c r="Q156">
        <v>60.085000000000001</v>
      </c>
      <c r="R156">
        <v>1E-3</v>
      </c>
      <c r="S156">
        <v>0</v>
      </c>
      <c r="T156">
        <v>1.4330000000000001</v>
      </c>
      <c r="U156">
        <v>104.036</v>
      </c>
      <c r="V156">
        <v>20.786999999999999</v>
      </c>
      <c r="W156">
        <v>2.4860000000000002</v>
      </c>
      <c r="X156">
        <v>98.381</v>
      </c>
      <c r="Y156">
        <v>0.89</v>
      </c>
      <c r="Z156">
        <v>0.53400000000000003</v>
      </c>
      <c r="AA156">
        <v>0</v>
      </c>
      <c r="AB156">
        <v>0</v>
      </c>
      <c r="AC156">
        <v>1</v>
      </c>
      <c r="AD156">
        <v>40.375</v>
      </c>
      <c r="AE156">
        <v>1</v>
      </c>
      <c r="AF156">
        <v>19</v>
      </c>
      <c r="AG156">
        <v>2</v>
      </c>
      <c r="AH156" t="s">
        <v>361</v>
      </c>
      <c r="AI156">
        <v>0</v>
      </c>
    </row>
    <row r="157" spans="1:35" x14ac:dyDescent="0.2">
      <c r="A157">
        <v>156</v>
      </c>
      <c r="B157" t="s">
        <v>623</v>
      </c>
      <c r="C157" t="s">
        <v>626</v>
      </c>
      <c r="D157" t="s">
        <v>379</v>
      </c>
      <c r="E157">
        <v>3</v>
      </c>
      <c r="F157">
        <v>-5.8819999999999997</v>
      </c>
      <c r="G157">
        <v>-36.609000000000002</v>
      </c>
      <c r="H157">
        <v>17452</v>
      </c>
      <c r="I157">
        <v>-1</v>
      </c>
      <c r="J157">
        <v>1</v>
      </c>
      <c r="K157" t="s">
        <v>359</v>
      </c>
      <c r="L157" t="s">
        <v>359</v>
      </c>
      <c r="M157" t="s">
        <v>360</v>
      </c>
      <c r="N157">
        <v>1649187563.8800001</v>
      </c>
      <c r="O157">
        <v>0.185</v>
      </c>
      <c r="P157">
        <v>0.374</v>
      </c>
      <c r="Q157">
        <v>62.067999999999998</v>
      </c>
      <c r="R157">
        <v>0</v>
      </c>
      <c r="S157">
        <v>2E-3</v>
      </c>
      <c r="T157">
        <v>1.4770000000000001</v>
      </c>
      <c r="U157">
        <v>103.011</v>
      </c>
      <c r="V157">
        <v>20.521999999999998</v>
      </c>
      <c r="W157">
        <v>2.5</v>
      </c>
      <c r="X157">
        <v>99.194000000000003</v>
      </c>
      <c r="Y157">
        <v>0.89600000000000002</v>
      </c>
      <c r="Z157">
        <v>0.67400000000000004</v>
      </c>
      <c r="AA157">
        <v>0</v>
      </c>
      <c r="AB157">
        <v>0</v>
      </c>
      <c r="AC157">
        <v>1</v>
      </c>
      <c r="AD157">
        <v>40.311999999999998</v>
      </c>
      <c r="AE157">
        <v>1</v>
      </c>
      <c r="AF157">
        <v>19</v>
      </c>
      <c r="AG157">
        <v>2</v>
      </c>
      <c r="AH157" t="s">
        <v>361</v>
      </c>
      <c r="AI157">
        <v>0</v>
      </c>
    </row>
    <row r="158" spans="1:35" x14ac:dyDescent="0.2">
      <c r="A158">
        <v>157</v>
      </c>
      <c r="B158" t="s">
        <v>623</v>
      </c>
      <c r="C158" t="s">
        <v>627</v>
      </c>
      <c r="D158" t="s">
        <v>379</v>
      </c>
      <c r="E158">
        <v>4</v>
      </c>
      <c r="F158">
        <v>-5.8310000000000004</v>
      </c>
      <c r="G158">
        <v>-36.792999999999999</v>
      </c>
      <c r="H158">
        <v>17497</v>
      </c>
      <c r="I158">
        <v>0</v>
      </c>
      <c r="J158">
        <v>1</v>
      </c>
      <c r="K158" t="s">
        <v>359</v>
      </c>
      <c r="L158" t="s">
        <v>359</v>
      </c>
      <c r="M158" t="s">
        <v>360</v>
      </c>
      <c r="N158">
        <v>1649188102.04</v>
      </c>
      <c r="O158">
        <v>0.219</v>
      </c>
      <c r="P158">
        <v>0.40400000000000003</v>
      </c>
      <c r="Q158">
        <v>59.664000000000001</v>
      </c>
      <c r="R158">
        <v>1E-3</v>
      </c>
      <c r="S158">
        <v>0</v>
      </c>
      <c r="T158">
        <v>1.4319999999999999</v>
      </c>
      <c r="U158">
        <v>103.336</v>
      </c>
      <c r="V158">
        <v>21.036000000000001</v>
      </c>
      <c r="W158">
        <v>2.4489999999999998</v>
      </c>
      <c r="X158">
        <v>97.676000000000002</v>
      </c>
      <c r="Y158">
        <v>0.89700000000000002</v>
      </c>
      <c r="Z158">
        <v>0.47299999999999998</v>
      </c>
      <c r="AA158">
        <v>0</v>
      </c>
      <c r="AB158">
        <v>0</v>
      </c>
      <c r="AC158">
        <v>1</v>
      </c>
      <c r="AD158">
        <v>40.375</v>
      </c>
      <c r="AE158">
        <v>1</v>
      </c>
      <c r="AF158">
        <v>19</v>
      </c>
      <c r="AG158">
        <v>2</v>
      </c>
      <c r="AH158" t="s">
        <v>361</v>
      </c>
      <c r="AI158">
        <v>0</v>
      </c>
    </row>
    <row r="159" spans="1:35" x14ac:dyDescent="0.2">
      <c r="A159">
        <v>158</v>
      </c>
      <c r="B159" t="s">
        <v>623</v>
      </c>
      <c r="C159" t="s">
        <v>628</v>
      </c>
      <c r="D159" t="s">
        <v>379</v>
      </c>
      <c r="E159">
        <v>5</v>
      </c>
      <c r="F159">
        <v>-5.8760000000000003</v>
      </c>
      <c r="G159">
        <v>-36.680999999999997</v>
      </c>
      <c r="H159">
        <v>17483</v>
      </c>
      <c r="I159">
        <v>0</v>
      </c>
      <c r="J159">
        <v>1</v>
      </c>
      <c r="K159" t="s">
        <v>359</v>
      </c>
      <c r="L159" t="s">
        <v>359</v>
      </c>
      <c r="M159" t="s">
        <v>360</v>
      </c>
      <c r="N159">
        <v>1649188639.1700001</v>
      </c>
      <c r="O159">
        <v>0.19700000000000001</v>
      </c>
      <c r="P159">
        <v>0.38100000000000001</v>
      </c>
      <c r="Q159">
        <v>60.156999999999996</v>
      </c>
      <c r="R159">
        <v>1E-3</v>
      </c>
      <c r="S159">
        <v>1E-3</v>
      </c>
      <c r="T159">
        <v>1.4450000000000001</v>
      </c>
      <c r="U159">
        <v>103.34099999999999</v>
      </c>
      <c r="V159">
        <v>21.22</v>
      </c>
      <c r="W159">
        <v>2.3929999999999998</v>
      </c>
      <c r="X159">
        <v>96.533000000000001</v>
      </c>
      <c r="Y159">
        <v>0.88500000000000001</v>
      </c>
      <c r="Z159">
        <v>0.33600000000000002</v>
      </c>
      <c r="AA159">
        <v>0</v>
      </c>
      <c r="AB159">
        <v>0</v>
      </c>
      <c r="AC159">
        <v>1</v>
      </c>
      <c r="AD159">
        <v>40.375</v>
      </c>
      <c r="AE159">
        <v>1</v>
      </c>
      <c r="AF159">
        <v>19</v>
      </c>
      <c r="AG159">
        <v>2</v>
      </c>
      <c r="AH159" t="s">
        <v>361</v>
      </c>
      <c r="AI159">
        <v>0</v>
      </c>
    </row>
    <row r="160" spans="1:35" x14ac:dyDescent="0.2">
      <c r="A160">
        <v>159</v>
      </c>
      <c r="B160" t="s">
        <v>623</v>
      </c>
      <c r="C160" t="s">
        <v>629</v>
      </c>
      <c r="D160" t="s">
        <v>379</v>
      </c>
      <c r="E160">
        <v>6</v>
      </c>
      <c r="F160">
        <v>-5.8929999999999998</v>
      </c>
      <c r="G160">
        <v>-36.823</v>
      </c>
      <c r="H160">
        <v>17489</v>
      </c>
      <c r="I160">
        <v>0</v>
      </c>
      <c r="J160">
        <v>1</v>
      </c>
      <c r="K160" t="s">
        <v>359</v>
      </c>
      <c r="L160" t="s">
        <v>359</v>
      </c>
      <c r="M160" t="s">
        <v>360</v>
      </c>
      <c r="N160">
        <v>1649189176.49</v>
      </c>
      <c r="O160">
        <v>0.21299999999999999</v>
      </c>
      <c r="P160">
        <v>0.4</v>
      </c>
      <c r="Q160">
        <v>60.241</v>
      </c>
      <c r="R160">
        <v>1E-3</v>
      </c>
      <c r="S160">
        <v>0</v>
      </c>
      <c r="T160">
        <v>1.4390000000000001</v>
      </c>
      <c r="U160">
        <v>103.366</v>
      </c>
      <c r="V160">
        <v>21.023</v>
      </c>
      <c r="W160">
        <v>2.4660000000000002</v>
      </c>
      <c r="X160">
        <v>97.102999999999994</v>
      </c>
      <c r="Y160">
        <v>0.89700000000000002</v>
      </c>
      <c r="Z160">
        <v>0.39700000000000002</v>
      </c>
      <c r="AA160">
        <v>0</v>
      </c>
      <c r="AB160">
        <v>0</v>
      </c>
      <c r="AC160">
        <v>1</v>
      </c>
      <c r="AD160">
        <v>40.375</v>
      </c>
      <c r="AE160">
        <v>1</v>
      </c>
      <c r="AF160">
        <v>19</v>
      </c>
      <c r="AG160">
        <v>2</v>
      </c>
      <c r="AH160" t="s">
        <v>361</v>
      </c>
      <c r="AI160">
        <v>0</v>
      </c>
    </row>
    <row r="161" spans="1:35" x14ac:dyDescent="0.2">
      <c r="A161">
        <v>160</v>
      </c>
      <c r="B161" t="s">
        <v>630</v>
      </c>
      <c r="C161" t="s">
        <v>631</v>
      </c>
      <c r="D161" t="s">
        <v>380</v>
      </c>
      <c r="E161">
        <v>1</v>
      </c>
      <c r="F161">
        <v>-5.9420000000000002</v>
      </c>
      <c r="G161">
        <v>-37.389000000000003</v>
      </c>
      <c r="H161">
        <v>17309</v>
      </c>
      <c r="I161">
        <v>-1</v>
      </c>
      <c r="J161">
        <v>1</v>
      </c>
      <c r="K161" t="s">
        <v>359</v>
      </c>
      <c r="L161" t="s">
        <v>359</v>
      </c>
      <c r="M161" t="s">
        <v>360</v>
      </c>
      <c r="N161">
        <v>1649189714.02</v>
      </c>
      <c r="O161">
        <v>0.217</v>
      </c>
      <c r="P161">
        <v>0.378</v>
      </c>
      <c r="Q161">
        <v>61.27</v>
      </c>
      <c r="R161">
        <v>1E-3</v>
      </c>
      <c r="S161">
        <v>1E-3</v>
      </c>
      <c r="T161">
        <v>1.46</v>
      </c>
      <c r="U161">
        <v>102.098</v>
      </c>
      <c r="V161">
        <v>20.765999999999998</v>
      </c>
      <c r="W161">
        <v>2.444</v>
      </c>
      <c r="X161">
        <v>97.387</v>
      </c>
      <c r="Y161">
        <v>0.88200000000000001</v>
      </c>
      <c r="Z161">
        <v>0.63700000000000001</v>
      </c>
      <c r="AA161">
        <v>0</v>
      </c>
      <c r="AB161">
        <v>0</v>
      </c>
      <c r="AC161">
        <v>1</v>
      </c>
      <c r="AD161">
        <v>40.375</v>
      </c>
      <c r="AE161">
        <v>1</v>
      </c>
      <c r="AF161">
        <v>20</v>
      </c>
      <c r="AG161">
        <v>2</v>
      </c>
      <c r="AH161" t="s">
        <v>361</v>
      </c>
      <c r="AI161">
        <v>0</v>
      </c>
    </row>
    <row r="162" spans="1:35" x14ac:dyDescent="0.2">
      <c r="A162">
        <v>161</v>
      </c>
      <c r="B162" t="s">
        <v>630</v>
      </c>
      <c r="C162" t="s">
        <v>632</v>
      </c>
      <c r="D162" t="s">
        <v>380</v>
      </c>
      <c r="E162">
        <v>2</v>
      </c>
      <c r="F162">
        <v>-5.9160000000000004</v>
      </c>
      <c r="G162">
        <v>-37.457000000000001</v>
      </c>
      <c r="H162">
        <v>17555</v>
      </c>
      <c r="I162">
        <v>-1</v>
      </c>
      <c r="J162">
        <v>1</v>
      </c>
      <c r="K162" t="s">
        <v>359</v>
      </c>
      <c r="L162" t="s">
        <v>359</v>
      </c>
      <c r="M162" t="s">
        <v>360</v>
      </c>
      <c r="N162">
        <v>1649190251.5699999</v>
      </c>
      <c r="O162">
        <v>0.20599999999999999</v>
      </c>
      <c r="P162">
        <v>0.40699999999999997</v>
      </c>
      <c r="Q162">
        <v>61.508000000000003</v>
      </c>
      <c r="R162">
        <v>2E-3</v>
      </c>
      <c r="S162">
        <v>3.0000000000000001E-3</v>
      </c>
      <c r="T162">
        <v>1.454</v>
      </c>
      <c r="U162">
        <v>103.527</v>
      </c>
      <c r="V162">
        <v>21.247</v>
      </c>
      <c r="W162">
        <v>2.5070000000000001</v>
      </c>
      <c r="X162">
        <v>98.537000000000006</v>
      </c>
      <c r="Y162">
        <v>0.89100000000000001</v>
      </c>
      <c r="Z162">
        <v>0.61699999999999999</v>
      </c>
      <c r="AA162">
        <v>0</v>
      </c>
      <c r="AB162">
        <v>0</v>
      </c>
      <c r="AC162">
        <v>1</v>
      </c>
      <c r="AD162">
        <v>40.375</v>
      </c>
      <c r="AE162">
        <v>1</v>
      </c>
      <c r="AF162">
        <v>20</v>
      </c>
      <c r="AG162">
        <v>2</v>
      </c>
      <c r="AH162" t="s">
        <v>361</v>
      </c>
      <c r="AI162">
        <v>0</v>
      </c>
    </row>
    <row r="163" spans="1:35" x14ac:dyDescent="0.2">
      <c r="A163">
        <v>162</v>
      </c>
      <c r="B163" t="s">
        <v>630</v>
      </c>
      <c r="C163" t="s">
        <v>633</v>
      </c>
      <c r="D163" t="s">
        <v>380</v>
      </c>
      <c r="E163">
        <v>3</v>
      </c>
      <c r="F163">
        <v>-5.9459999999999997</v>
      </c>
      <c r="G163">
        <v>-37.555</v>
      </c>
      <c r="H163">
        <v>17504</v>
      </c>
      <c r="I163">
        <v>-1</v>
      </c>
      <c r="J163">
        <v>1</v>
      </c>
      <c r="K163" t="s">
        <v>359</v>
      </c>
      <c r="L163" t="s">
        <v>359</v>
      </c>
      <c r="M163" t="s">
        <v>360</v>
      </c>
      <c r="N163">
        <v>1649190789.5699999</v>
      </c>
      <c r="O163">
        <v>0.217</v>
      </c>
      <c r="P163">
        <v>0.41499999999999998</v>
      </c>
      <c r="Q163">
        <v>61.88</v>
      </c>
      <c r="R163">
        <v>1E-3</v>
      </c>
      <c r="S163">
        <v>2E-3</v>
      </c>
      <c r="T163">
        <v>1.4790000000000001</v>
      </c>
      <c r="U163">
        <v>103.51300000000001</v>
      </c>
      <c r="V163">
        <v>21.215</v>
      </c>
      <c r="W163">
        <v>2.4369999999999998</v>
      </c>
      <c r="X163">
        <v>96.543999999999997</v>
      </c>
      <c r="Y163">
        <v>0.88400000000000001</v>
      </c>
      <c r="Z163">
        <v>0.23499999999999999</v>
      </c>
      <c r="AA163">
        <v>0</v>
      </c>
      <c r="AB163">
        <v>0</v>
      </c>
      <c r="AC163">
        <v>1</v>
      </c>
      <c r="AD163">
        <v>40.375</v>
      </c>
      <c r="AE163">
        <v>1</v>
      </c>
      <c r="AF163">
        <v>20</v>
      </c>
      <c r="AG163">
        <v>2</v>
      </c>
      <c r="AH163" t="s">
        <v>361</v>
      </c>
      <c r="AI163">
        <v>0</v>
      </c>
    </row>
    <row r="164" spans="1:35" x14ac:dyDescent="0.2">
      <c r="A164">
        <v>163</v>
      </c>
      <c r="B164" t="s">
        <v>630</v>
      </c>
      <c r="C164" t="s">
        <v>634</v>
      </c>
      <c r="D164" t="s">
        <v>380</v>
      </c>
      <c r="E164">
        <v>4</v>
      </c>
      <c r="F164">
        <v>-5.9420000000000002</v>
      </c>
      <c r="G164">
        <v>-37.395000000000003</v>
      </c>
      <c r="H164">
        <v>17482</v>
      </c>
      <c r="I164">
        <v>0</v>
      </c>
      <c r="J164">
        <v>1</v>
      </c>
      <c r="K164" t="s">
        <v>359</v>
      </c>
      <c r="L164" t="s">
        <v>359</v>
      </c>
      <c r="M164" t="s">
        <v>360</v>
      </c>
      <c r="N164">
        <v>1649191326.98</v>
      </c>
      <c r="O164">
        <v>0.19500000000000001</v>
      </c>
      <c r="P164">
        <v>0.38500000000000001</v>
      </c>
      <c r="Q164">
        <v>60.786000000000001</v>
      </c>
      <c r="R164">
        <v>0</v>
      </c>
      <c r="S164">
        <v>0</v>
      </c>
      <c r="T164">
        <v>1.448</v>
      </c>
      <c r="U164">
        <v>103.27200000000001</v>
      </c>
      <c r="V164">
        <v>19.239000000000001</v>
      </c>
      <c r="W164">
        <v>2.6909999999999998</v>
      </c>
      <c r="X164">
        <v>103.04300000000001</v>
      </c>
      <c r="Y164">
        <v>0.89900000000000002</v>
      </c>
      <c r="Z164">
        <v>1.1359999999999999</v>
      </c>
      <c r="AA164">
        <v>0</v>
      </c>
      <c r="AB164">
        <v>0</v>
      </c>
      <c r="AC164">
        <v>1</v>
      </c>
      <c r="AD164">
        <v>40.375</v>
      </c>
      <c r="AE164">
        <v>1</v>
      </c>
      <c r="AF164">
        <v>20</v>
      </c>
      <c r="AG164">
        <v>2</v>
      </c>
      <c r="AH164" t="s">
        <v>361</v>
      </c>
      <c r="AI164">
        <v>0</v>
      </c>
    </row>
    <row r="165" spans="1:35" x14ac:dyDescent="0.2">
      <c r="A165">
        <v>164</v>
      </c>
      <c r="B165" t="s">
        <v>630</v>
      </c>
      <c r="C165" t="s">
        <v>635</v>
      </c>
      <c r="D165" t="s">
        <v>380</v>
      </c>
      <c r="E165">
        <v>5</v>
      </c>
      <c r="F165">
        <v>-5.9409999999999998</v>
      </c>
      <c r="G165">
        <v>-37.695999999999998</v>
      </c>
      <c r="H165">
        <v>17465</v>
      </c>
      <c r="I165">
        <v>0</v>
      </c>
      <c r="J165">
        <v>1</v>
      </c>
      <c r="K165" t="s">
        <v>359</v>
      </c>
      <c r="L165" t="s">
        <v>359</v>
      </c>
      <c r="M165" t="s">
        <v>360</v>
      </c>
      <c r="N165">
        <v>1649191864.51</v>
      </c>
      <c r="O165">
        <v>0.23300000000000001</v>
      </c>
      <c r="P165">
        <v>0.42099999999999999</v>
      </c>
      <c r="Q165">
        <v>60.622999999999998</v>
      </c>
      <c r="R165">
        <v>1E-3</v>
      </c>
      <c r="S165">
        <v>0</v>
      </c>
      <c r="T165">
        <v>1.4450000000000001</v>
      </c>
      <c r="U165">
        <v>103.29600000000001</v>
      </c>
      <c r="V165">
        <v>20.968</v>
      </c>
      <c r="W165">
        <v>2.46</v>
      </c>
      <c r="X165">
        <v>96.713999999999999</v>
      </c>
      <c r="Y165">
        <v>0.89200000000000002</v>
      </c>
      <c r="Z165">
        <v>0.318</v>
      </c>
      <c r="AA165">
        <v>0</v>
      </c>
      <c r="AB165">
        <v>0</v>
      </c>
      <c r="AC165">
        <v>1</v>
      </c>
      <c r="AD165">
        <v>40.438000000000002</v>
      </c>
      <c r="AE165">
        <v>1</v>
      </c>
      <c r="AF165">
        <v>20</v>
      </c>
      <c r="AG165">
        <v>2</v>
      </c>
      <c r="AH165" t="s">
        <v>361</v>
      </c>
      <c r="AI165">
        <v>0</v>
      </c>
    </row>
    <row r="166" spans="1:35" x14ac:dyDescent="0.2">
      <c r="A166">
        <v>165</v>
      </c>
      <c r="B166" t="s">
        <v>630</v>
      </c>
      <c r="C166" t="s">
        <v>636</v>
      </c>
      <c r="D166" t="s">
        <v>380</v>
      </c>
      <c r="E166">
        <v>6</v>
      </c>
      <c r="F166">
        <v>-5.89</v>
      </c>
      <c r="G166">
        <v>-37.494</v>
      </c>
      <c r="H166">
        <v>17485</v>
      </c>
      <c r="I166">
        <v>0</v>
      </c>
      <c r="J166">
        <v>1</v>
      </c>
      <c r="K166" t="s">
        <v>359</v>
      </c>
      <c r="L166" t="s">
        <v>359</v>
      </c>
      <c r="M166" t="s">
        <v>360</v>
      </c>
      <c r="N166">
        <v>1649192402.29</v>
      </c>
      <c r="O166">
        <v>0.186</v>
      </c>
      <c r="P166">
        <v>0.35799999999999998</v>
      </c>
      <c r="Q166">
        <v>59.457999999999998</v>
      </c>
      <c r="R166">
        <v>1E-3</v>
      </c>
      <c r="S166">
        <v>1E-3</v>
      </c>
      <c r="T166">
        <v>1.4279999999999999</v>
      </c>
      <c r="U166">
        <v>103.38800000000001</v>
      </c>
      <c r="V166">
        <v>21.934999999999999</v>
      </c>
      <c r="W166">
        <v>2.3530000000000002</v>
      </c>
      <c r="X166">
        <v>94.188999999999993</v>
      </c>
      <c r="Y166">
        <v>0.89100000000000001</v>
      </c>
      <c r="Z166">
        <v>3.2000000000000001E-2</v>
      </c>
      <c r="AA166">
        <v>0</v>
      </c>
      <c r="AB166">
        <v>0</v>
      </c>
      <c r="AC166">
        <v>1</v>
      </c>
      <c r="AD166">
        <v>40.375</v>
      </c>
      <c r="AE166">
        <v>1</v>
      </c>
      <c r="AF166">
        <v>20</v>
      </c>
      <c r="AG166">
        <v>2</v>
      </c>
      <c r="AH166" t="s">
        <v>361</v>
      </c>
      <c r="AI166">
        <v>0</v>
      </c>
    </row>
    <row r="167" spans="1:35" x14ac:dyDescent="0.2">
      <c r="A167">
        <v>166</v>
      </c>
      <c r="B167" t="s">
        <v>637</v>
      </c>
      <c r="C167" t="s">
        <v>638</v>
      </c>
      <c r="D167" t="s">
        <v>381</v>
      </c>
      <c r="E167">
        <v>1</v>
      </c>
      <c r="F167">
        <v>-5.5010000000000003</v>
      </c>
      <c r="G167">
        <v>-30.291</v>
      </c>
      <c r="H167">
        <v>17317</v>
      </c>
      <c r="I167">
        <v>-1</v>
      </c>
      <c r="J167">
        <v>1</v>
      </c>
      <c r="K167" t="s">
        <v>359</v>
      </c>
      <c r="L167" t="s">
        <v>359</v>
      </c>
      <c r="M167" t="s">
        <v>360</v>
      </c>
      <c r="N167">
        <v>1649192939.9200001</v>
      </c>
      <c r="O167">
        <v>0.191</v>
      </c>
      <c r="P167">
        <v>0.39900000000000002</v>
      </c>
      <c r="Q167">
        <v>60.905999999999999</v>
      </c>
      <c r="R167">
        <v>1E-3</v>
      </c>
      <c r="S167">
        <v>0</v>
      </c>
      <c r="T167">
        <v>1.448</v>
      </c>
      <c r="U167">
        <v>102.398</v>
      </c>
      <c r="V167">
        <v>20.67</v>
      </c>
      <c r="W167">
        <v>2.4630000000000001</v>
      </c>
      <c r="X167">
        <v>96.429000000000002</v>
      </c>
      <c r="Y167">
        <v>0.90100000000000002</v>
      </c>
      <c r="Z167">
        <v>0.38</v>
      </c>
      <c r="AA167">
        <v>0</v>
      </c>
      <c r="AB167">
        <v>0</v>
      </c>
      <c r="AC167">
        <v>1</v>
      </c>
      <c r="AD167">
        <v>40.375</v>
      </c>
      <c r="AE167">
        <v>1</v>
      </c>
      <c r="AF167">
        <v>21</v>
      </c>
      <c r="AG167">
        <v>2</v>
      </c>
      <c r="AH167" t="s">
        <v>361</v>
      </c>
      <c r="AI167">
        <v>0</v>
      </c>
    </row>
    <row r="168" spans="1:35" x14ac:dyDescent="0.2">
      <c r="A168">
        <v>167</v>
      </c>
      <c r="B168" t="s">
        <v>637</v>
      </c>
      <c r="C168" t="s">
        <v>639</v>
      </c>
      <c r="D168" t="s">
        <v>381</v>
      </c>
      <c r="E168">
        <v>2</v>
      </c>
      <c r="F168">
        <v>-5.5289999999999999</v>
      </c>
      <c r="G168">
        <v>-29.76</v>
      </c>
      <c r="H168">
        <v>17467</v>
      </c>
      <c r="I168">
        <v>-1</v>
      </c>
      <c r="J168">
        <v>1</v>
      </c>
      <c r="K168" t="s">
        <v>359</v>
      </c>
      <c r="L168" t="s">
        <v>359</v>
      </c>
      <c r="M168" t="s">
        <v>360</v>
      </c>
      <c r="N168">
        <v>1649193477.77</v>
      </c>
      <c r="O168">
        <v>0.20799999999999999</v>
      </c>
      <c r="P168">
        <v>0.38100000000000001</v>
      </c>
      <c r="Q168">
        <v>60.545000000000002</v>
      </c>
      <c r="R168">
        <v>1E-3</v>
      </c>
      <c r="S168">
        <v>0</v>
      </c>
      <c r="T168">
        <v>1.4419999999999999</v>
      </c>
      <c r="U168">
        <v>103.139</v>
      </c>
      <c r="V168">
        <v>21.459</v>
      </c>
      <c r="W168">
        <v>2.4350000000000001</v>
      </c>
      <c r="X168">
        <v>96.251999999999995</v>
      </c>
      <c r="Y168">
        <v>0.88800000000000001</v>
      </c>
      <c r="Z168">
        <v>0.28999999999999998</v>
      </c>
      <c r="AA168">
        <v>0</v>
      </c>
      <c r="AB168">
        <v>0</v>
      </c>
      <c r="AC168">
        <v>1</v>
      </c>
      <c r="AD168">
        <v>40.375</v>
      </c>
      <c r="AE168">
        <v>1</v>
      </c>
      <c r="AF168">
        <v>21</v>
      </c>
      <c r="AG168">
        <v>2</v>
      </c>
      <c r="AH168" t="s">
        <v>361</v>
      </c>
      <c r="AI168">
        <v>0</v>
      </c>
    </row>
    <row r="169" spans="1:35" x14ac:dyDescent="0.2">
      <c r="A169">
        <v>168</v>
      </c>
      <c r="B169" t="s">
        <v>637</v>
      </c>
      <c r="C169" t="s">
        <v>640</v>
      </c>
      <c r="D169" t="s">
        <v>381</v>
      </c>
      <c r="E169">
        <v>3</v>
      </c>
      <c r="F169">
        <v>-5.4960000000000004</v>
      </c>
      <c r="G169">
        <v>-29.494</v>
      </c>
      <c r="H169">
        <v>17443</v>
      </c>
      <c r="I169">
        <v>-1</v>
      </c>
      <c r="J169">
        <v>1</v>
      </c>
      <c r="K169" t="s">
        <v>359</v>
      </c>
      <c r="L169" t="s">
        <v>359</v>
      </c>
      <c r="M169" t="s">
        <v>360</v>
      </c>
      <c r="N169">
        <v>1649194014.98</v>
      </c>
      <c r="O169">
        <v>0.193</v>
      </c>
      <c r="P169">
        <v>0.372</v>
      </c>
      <c r="Q169">
        <v>62.084000000000003</v>
      </c>
      <c r="R169">
        <v>1E-3</v>
      </c>
      <c r="S169">
        <v>0</v>
      </c>
      <c r="T169">
        <v>1.4870000000000001</v>
      </c>
      <c r="U169">
        <v>102.994</v>
      </c>
      <c r="V169">
        <v>20.602</v>
      </c>
      <c r="W169">
        <v>2.5640000000000001</v>
      </c>
      <c r="X169">
        <v>98.724999999999994</v>
      </c>
      <c r="Y169">
        <v>0.90100000000000002</v>
      </c>
      <c r="Z169">
        <v>0.56299999999999994</v>
      </c>
      <c r="AA169">
        <v>0</v>
      </c>
      <c r="AB169">
        <v>0</v>
      </c>
      <c r="AC169">
        <v>1</v>
      </c>
      <c r="AD169">
        <v>40.375</v>
      </c>
      <c r="AE169">
        <v>1</v>
      </c>
      <c r="AF169">
        <v>21</v>
      </c>
      <c r="AG169">
        <v>2</v>
      </c>
      <c r="AH169" t="s">
        <v>361</v>
      </c>
      <c r="AI169">
        <v>0</v>
      </c>
    </row>
    <row r="170" spans="1:35" x14ac:dyDescent="0.2">
      <c r="A170">
        <v>169</v>
      </c>
      <c r="B170" t="s">
        <v>637</v>
      </c>
      <c r="C170" t="s">
        <v>641</v>
      </c>
      <c r="D170" t="s">
        <v>381</v>
      </c>
      <c r="E170">
        <v>4</v>
      </c>
      <c r="F170">
        <v>-5.5060000000000002</v>
      </c>
      <c r="G170">
        <v>-29.491</v>
      </c>
      <c r="H170">
        <v>17453</v>
      </c>
      <c r="I170">
        <v>0</v>
      </c>
      <c r="J170">
        <v>1</v>
      </c>
      <c r="K170" t="s">
        <v>359</v>
      </c>
      <c r="L170" t="s">
        <v>359</v>
      </c>
      <c r="M170" t="s">
        <v>360</v>
      </c>
      <c r="N170">
        <v>1649194553.05</v>
      </c>
      <c r="O170">
        <v>0.22500000000000001</v>
      </c>
      <c r="P170">
        <v>0.36499999999999999</v>
      </c>
      <c r="Q170">
        <v>60.042000000000002</v>
      </c>
      <c r="R170">
        <v>1E-3</v>
      </c>
      <c r="S170">
        <v>0</v>
      </c>
      <c r="T170">
        <v>1.4279999999999999</v>
      </c>
      <c r="U170">
        <v>103.21899999999999</v>
      </c>
      <c r="V170">
        <v>20.100000000000001</v>
      </c>
      <c r="W170">
        <v>2.5870000000000002</v>
      </c>
      <c r="X170">
        <v>99.290999999999997</v>
      </c>
      <c r="Y170">
        <v>0.89700000000000002</v>
      </c>
      <c r="Z170">
        <v>0.59099999999999997</v>
      </c>
      <c r="AA170">
        <v>0</v>
      </c>
      <c r="AB170">
        <v>0</v>
      </c>
      <c r="AC170">
        <v>1</v>
      </c>
      <c r="AD170">
        <v>40.311999999999998</v>
      </c>
      <c r="AE170">
        <v>1</v>
      </c>
      <c r="AF170">
        <v>21</v>
      </c>
      <c r="AG170">
        <v>2</v>
      </c>
      <c r="AH170" t="s">
        <v>361</v>
      </c>
      <c r="AI170">
        <v>0</v>
      </c>
    </row>
    <row r="171" spans="1:35" x14ac:dyDescent="0.2">
      <c r="A171">
        <v>170</v>
      </c>
      <c r="B171" t="s">
        <v>637</v>
      </c>
      <c r="C171" t="s">
        <v>642</v>
      </c>
      <c r="D171" t="s">
        <v>381</v>
      </c>
      <c r="E171">
        <v>5</v>
      </c>
      <c r="F171">
        <v>-5.508</v>
      </c>
      <c r="G171">
        <v>-29.437999999999999</v>
      </c>
      <c r="H171">
        <v>17466</v>
      </c>
      <c r="I171">
        <v>0</v>
      </c>
      <c r="J171">
        <v>1</v>
      </c>
      <c r="K171" t="s">
        <v>359</v>
      </c>
      <c r="L171" t="s">
        <v>359</v>
      </c>
      <c r="M171" t="s">
        <v>360</v>
      </c>
      <c r="N171">
        <v>1649195089.25</v>
      </c>
      <c r="O171">
        <v>0.19700000000000001</v>
      </c>
      <c r="P171">
        <v>0.41199999999999998</v>
      </c>
      <c r="Q171">
        <v>61.432000000000002</v>
      </c>
      <c r="R171">
        <v>1E-3</v>
      </c>
      <c r="S171">
        <v>1E-3</v>
      </c>
      <c r="T171">
        <v>1.4790000000000001</v>
      </c>
      <c r="U171">
        <v>103.29900000000001</v>
      </c>
      <c r="V171">
        <v>21.146999999999998</v>
      </c>
      <c r="W171">
        <v>2.4369999999999998</v>
      </c>
      <c r="X171">
        <v>96.364999999999995</v>
      </c>
      <c r="Y171">
        <v>0.88900000000000001</v>
      </c>
      <c r="Z171">
        <v>0.17299999999999999</v>
      </c>
      <c r="AA171">
        <v>0</v>
      </c>
      <c r="AB171">
        <v>0</v>
      </c>
      <c r="AC171">
        <v>1</v>
      </c>
      <c r="AD171">
        <v>40.375</v>
      </c>
      <c r="AE171">
        <v>1</v>
      </c>
      <c r="AF171">
        <v>21</v>
      </c>
      <c r="AG171">
        <v>2</v>
      </c>
      <c r="AH171" t="s">
        <v>361</v>
      </c>
      <c r="AI171">
        <v>0</v>
      </c>
    </row>
    <row r="172" spans="1:35" x14ac:dyDescent="0.2">
      <c r="A172">
        <v>171</v>
      </c>
      <c r="B172" t="s">
        <v>637</v>
      </c>
      <c r="C172" t="s">
        <v>643</v>
      </c>
      <c r="D172" t="s">
        <v>381</v>
      </c>
      <c r="E172">
        <v>6</v>
      </c>
      <c r="F172">
        <v>-5.5060000000000002</v>
      </c>
      <c r="G172">
        <v>-29.422999999999998</v>
      </c>
      <c r="H172">
        <v>17482</v>
      </c>
      <c r="I172">
        <v>0</v>
      </c>
      <c r="J172">
        <v>1</v>
      </c>
      <c r="K172" t="s">
        <v>359</v>
      </c>
      <c r="L172" t="s">
        <v>359</v>
      </c>
      <c r="M172" t="s">
        <v>360</v>
      </c>
      <c r="N172">
        <v>1649195628.1800001</v>
      </c>
      <c r="O172">
        <v>0.19600000000000001</v>
      </c>
      <c r="P172">
        <v>0.372</v>
      </c>
      <c r="Q172">
        <v>60.65</v>
      </c>
      <c r="R172">
        <v>0</v>
      </c>
      <c r="S172">
        <v>1E-3</v>
      </c>
      <c r="T172">
        <v>1.4430000000000001</v>
      </c>
      <c r="U172">
        <v>103.54900000000001</v>
      </c>
      <c r="V172">
        <v>21.12</v>
      </c>
      <c r="W172">
        <v>2.4350000000000001</v>
      </c>
      <c r="X172">
        <v>95.766999999999996</v>
      </c>
      <c r="Y172">
        <v>0.88600000000000001</v>
      </c>
      <c r="Z172">
        <v>8.1000000000000003E-2</v>
      </c>
      <c r="AA172">
        <v>0</v>
      </c>
      <c r="AB172">
        <v>0</v>
      </c>
      <c r="AC172">
        <v>1</v>
      </c>
      <c r="AD172">
        <v>40.311999999999998</v>
      </c>
      <c r="AE172">
        <v>1</v>
      </c>
      <c r="AF172">
        <v>21</v>
      </c>
      <c r="AG172">
        <v>2</v>
      </c>
      <c r="AH172" t="s">
        <v>361</v>
      </c>
      <c r="AI172">
        <v>0</v>
      </c>
    </row>
    <row r="173" spans="1:35" x14ac:dyDescent="0.2">
      <c r="A173">
        <v>172</v>
      </c>
      <c r="B173" t="s">
        <v>644</v>
      </c>
      <c r="C173" t="s">
        <v>645</v>
      </c>
      <c r="D173" t="s">
        <v>382</v>
      </c>
      <c r="E173">
        <v>1</v>
      </c>
      <c r="F173">
        <v>-5.835</v>
      </c>
      <c r="G173">
        <v>-35.942999999999998</v>
      </c>
      <c r="H173">
        <v>17283</v>
      </c>
      <c r="I173">
        <v>-1</v>
      </c>
      <c r="J173">
        <v>1</v>
      </c>
      <c r="K173" t="s">
        <v>359</v>
      </c>
      <c r="L173" t="s">
        <v>359</v>
      </c>
      <c r="M173" t="s">
        <v>360</v>
      </c>
      <c r="N173">
        <v>1649196164.8599999</v>
      </c>
      <c r="O173">
        <v>0.21</v>
      </c>
      <c r="P173">
        <v>0.41299999999999998</v>
      </c>
      <c r="Q173">
        <v>61.563000000000002</v>
      </c>
      <c r="R173">
        <v>0</v>
      </c>
      <c r="S173">
        <v>1E-3</v>
      </c>
      <c r="T173">
        <v>1.4710000000000001</v>
      </c>
      <c r="U173">
        <v>102.206</v>
      </c>
      <c r="V173">
        <v>20.675000000000001</v>
      </c>
      <c r="W173">
        <v>2.4510000000000001</v>
      </c>
      <c r="X173">
        <v>95.834000000000003</v>
      </c>
      <c r="Y173">
        <v>0.89</v>
      </c>
      <c r="Z173">
        <v>0.33400000000000002</v>
      </c>
      <c r="AA173">
        <v>0</v>
      </c>
      <c r="AB173">
        <v>0</v>
      </c>
      <c r="AC173">
        <v>1</v>
      </c>
      <c r="AD173">
        <v>40.311999999999998</v>
      </c>
      <c r="AE173">
        <v>1</v>
      </c>
      <c r="AF173">
        <v>22</v>
      </c>
      <c r="AG173">
        <v>2</v>
      </c>
      <c r="AH173" t="s">
        <v>361</v>
      </c>
      <c r="AI173">
        <v>0</v>
      </c>
    </row>
    <row r="174" spans="1:35" x14ac:dyDescent="0.2">
      <c r="A174">
        <v>173</v>
      </c>
      <c r="B174" t="s">
        <v>644</v>
      </c>
      <c r="C174" t="s">
        <v>646</v>
      </c>
      <c r="D174" t="s">
        <v>382</v>
      </c>
      <c r="E174">
        <v>2</v>
      </c>
      <c r="F174">
        <v>-5.8289999999999997</v>
      </c>
      <c r="G174">
        <v>-36.420999999999999</v>
      </c>
      <c r="H174">
        <v>17489</v>
      </c>
      <c r="I174">
        <v>-1</v>
      </c>
      <c r="J174">
        <v>1</v>
      </c>
      <c r="K174" t="s">
        <v>359</v>
      </c>
      <c r="L174" t="s">
        <v>359</v>
      </c>
      <c r="M174" t="s">
        <v>360</v>
      </c>
      <c r="N174">
        <v>1649196703.73</v>
      </c>
      <c r="O174">
        <v>0.19800000000000001</v>
      </c>
      <c r="P174">
        <v>0.36499999999999999</v>
      </c>
      <c r="Q174">
        <v>59.219000000000001</v>
      </c>
      <c r="R174">
        <v>0</v>
      </c>
      <c r="S174">
        <v>1E-3</v>
      </c>
      <c r="T174">
        <v>1.4159999999999999</v>
      </c>
      <c r="U174">
        <v>103.55500000000001</v>
      </c>
      <c r="V174">
        <v>20.931000000000001</v>
      </c>
      <c r="W174">
        <v>2.4510000000000001</v>
      </c>
      <c r="X174">
        <v>96.44</v>
      </c>
      <c r="Y174">
        <v>0.89800000000000002</v>
      </c>
      <c r="Z174">
        <v>0.24</v>
      </c>
      <c r="AA174">
        <v>0</v>
      </c>
      <c r="AB174">
        <v>0</v>
      </c>
      <c r="AC174">
        <v>1</v>
      </c>
      <c r="AD174">
        <v>40.311999999999998</v>
      </c>
      <c r="AE174">
        <v>1</v>
      </c>
      <c r="AF174">
        <v>22</v>
      </c>
      <c r="AG174">
        <v>2</v>
      </c>
      <c r="AH174" t="s">
        <v>361</v>
      </c>
      <c r="AI174">
        <v>0</v>
      </c>
    </row>
    <row r="175" spans="1:35" x14ac:dyDescent="0.2">
      <c r="A175">
        <v>174</v>
      </c>
      <c r="B175" t="s">
        <v>644</v>
      </c>
      <c r="C175" t="s">
        <v>647</v>
      </c>
      <c r="D175" t="s">
        <v>382</v>
      </c>
      <c r="E175">
        <v>3</v>
      </c>
      <c r="F175">
        <v>-5.8410000000000002</v>
      </c>
      <c r="G175">
        <v>-36.677999999999997</v>
      </c>
      <c r="H175">
        <v>17412</v>
      </c>
      <c r="I175">
        <v>-1</v>
      </c>
      <c r="J175">
        <v>1</v>
      </c>
      <c r="K175" t="s">
        <v>359</v>
      </c>
      <c r="L175" t="s">
        <v>359</v>
      </c>
      <c r="M175" t="s">
        <v>360</v>
      </c>
      <c r="N175">
        <v>1649197239.48</v>
      </c>
      <c r="O175">
        <v>0.216</v>
      </c>
      <c r="P175">
        <v>0.42199999999999999</v>
      </c>
      <c r="Q175">
        <v>60.463000000000001</v>
      </c>
      <c r="R175">
        <v>1E-3</v>
      </c>
      <c r="S175">
        <v>1E-3</v>
      </c>
      <c r="T175">
        <v>1.4450000000000001</v>
      </c>
      <c r="U175">
        <v>102.83499999999999</v>
      </c>
      <c r="V175">
        <v>20.933</v>
      </c>
      <c r="W175">
        <v>2.5049999999999999</v>
      </c>
      <c r="X175">
        <v>97.168999999999997</v>
      </c>
      <c r="Y175">
        <v>0.89500000000000002</v>
      </c>
      <c r="Z175">
        <v>0.56399999999999995</v>
      </c>
      <c r="AA175">
        <v>0</v>
      </c>
      <c r="AB175">
        <v>0</v>
      </c>
      <c r="AC175">
        <v>1</v>
      </c>
      <c r="AD175">
        <v>40.311999999999998</v>
      </c>
      <c r="AE175">
        <v>1</v>
      </c>
      <c r="AF175">
        <v>22</v>
      </c>
      <c r="AG175">
        <v>2</v>
      </c>
      <c r="AH175" t="s">
        <v>361</v>
      </c>
      <c r="AI175">
        <v>0</v>
      </c>
    </row>
    <row r="176" spans="1:35" x14ac:dyDescent="0.2">
      <c r="A176">
        <v>175</v>
      </c>
      <c r="B176" t="s">
        <v>644</v>
      </c>
      <c r="C176" t="s">
        <v>648</v>
      </c>
      <c r="D176" t="s">
        <v>382</v>
      </c>
      <c r="E176">
        <v>4</v>
      </c>
      <c r="F176">
        <v>-5.8570000000000002</v>
      </c>
      <c r="G176">
        <v>-36.93</v>
      </c>
      <c r="H176">
        <v>17407</v>
      </c>
      <c r="I176">
        <v>0</v>
      </c>
      <c r="J176">
        <v>1</v>
      </c>
      <c r="K176" t="s">
        <v>359</v>
      </c>
      <c r="L176" t="s">
        <v>359</v>
      </c>
      <c r="M176" t="s">
        <v>360</v>
      </c>
      <c r="N176">
        <v>1649197778.05</v>
      </c>
      <c r="O176">
        <v>0.193</v>
      </c>
      <c r="P176">
        <v>0.437</v>
      </c>
      <c r="Q176">
        <v>58.664999999999999</v>
      </c>
      <c r="R176">
        <v>1E-3</v>
      </c>
      <c r="S176">
        <v>0</v>
      </c>
      <c r="T176">
        <v>1.403</v>
      </c>
      <c r="U176">
        <v>102.961</v>
      </c>
      <c r="V176">
        <v>20.983000000000001</v>
      </c>
      <c r="W176">
        <v>2.4300000000000002</v>
      </c>
      <c r="X176">
        <v>96.197000000000003</v>
      </c>
      <c r="Y176">
        <v>0.90400000000000003</v>
      </c>
      <c r="Z176">
        <v>0.21099999999999999</v>
      </c>
      <c r="AA176">
        <v>0</v>
      </c>
      <c r="AB176">
        <v>0</v>
      </c>
      <c r="AC176">
        <v>1</v>
      </c>
      <c r="AD176">
        <v>40.25</v>
      </c>
      <c r="AE176">
        <v>1</v>
      </c>
      <c r="AF176">
        <v>22</v>
      </c>
      <c r="AG176">
        <v>2</v>
      </c>
      <c r="AH176" t="s">
        <v>361</v>
      </c>
      <c r="AI176">
        <v>0</v>
      </c>
    </row>
    <row r="177" spans="1:35" x14ac:dyDescent="0.2">
      <c r="A177">
        <v>176</v>
      </c>
      <c r="B177" t="s">
        <v>644</v>
      </c>
      <c r="C177" t="s">
        <v>649</v>
      </c>
      <c r="D177" t="s">
        <v>382</v>
      </c>
      <c r="E177">
        <v>5</v>
      </c>
      <c r="F177">
        <v>-5.8789999999999996</v>
      </c>
      <c r="G177">
        <v>-36.853999999999999</v>
      </c>
      <c r="H177">
        <v>17439</v>
      </c>
      <c r="I177">
        <v>0</v>
      </c>
      <c r="J177">
        <v>1</v>
      </c>
      <c r="K177" t="s">
        <v>359</v>
      </c>
      <c r="L177" t="s">
        <v>359</v>
      </c>
      <c r="M177" t="s">
        <v>360</v>
      </c>
      <c r="N177">
        <v>1649198314.8399999</v>
      </c>
      <c r="O177">
        <v>0.189</v>
      </c>
      <c r="P177">
        <v>0.374</v>
      </c>
      <c r="Q177">
        <v>60.185000000000002</v>
      </c>
      <c r="R177">
        <v>1E-3</v>
      </c>
      <c r="S177">
        <v>2E-3</v>
      </c>
      <c r="T177">
        <v>1.44</v>
      </c>
      <c r="U177">
        <v>103.131</v>
      </c>
      <c r="V177">
        <v>21.466000000000001</v>
      </c>
      <c r="W177">
        <v>2.4329999999999998</v>
      </c>
      <c r="X177">
        <v>94.831999999999994</v>
      </c>
      <c r="Y177">
        <v>0.90200000000000002</v>
      </c>
      <c r="Z177">
        <v>0.115</v>
      </c>
      <c r="AA177">
        <v>0</v>
      </c>
      <c r="AB177">
        <v>0</v>
      </c>
      <c r="AC177">
        <v>1</v>
      </c>
      <c r="AD177">
        <v>40.375</v>
      </c>
      <c r="AE177">
        <v>1</v>
      </c>
      <c r="AF177">
        <v>22</v>
      </c>
      <c r="AG177">
        <v>2</v>
      </c>
      <c r="AH177" t="s">
        <v>361</v>
      </c>
      <c r="AI177">
        <v>0</v>
      </c>
    </row>
    <row r="178" spans="1:35" x14ac:dyDescent="0.2">
      <c r="A178">
        <v>177</v>
      </c>
      <c r="B178" t="s">
        <v>644</v>
      </c>
      <c r="C178" t="s">
        <v>650</v>
      </c>
      <c r="D178" t="s">
        <v>382</v>
      </c>
      <c r="E178">
        <v>6</v>
      </c>
      <c r="F178">
        <v>-5.8760000000000003</v>
      </c>
      <c r="G178">
        <v>-36.768000000000001</v>
      </c>
      <c r="H178">
        <v>17428</v>
      </c>
      <c r="I178">
        <v>0</v>
      </c>
      <c r="J178">
        <v>1</v>
      </c>
      <c r="K178" t="s">
        <v>359</v>
      </c>
      <c r="L178" t="s">
        <v>359</v>
      </c>
      <c r="M178" t="s">
        <v>360</v>
      </c>
      <c r="N178">
        <v>1649198852.95</v>
      </c>
      <c r="O178">
        <v>0.20899999999999999</v>
      </c>
      <c r="P178">
        <v>0.371</v>
      </c>
      <c r="Q178">
        <v>59.725999999999999</v>
      </c>
      <c r="R178">
        <v>0</v>
      </c>
      <c r="S178">
        <v>-1E-3</v>
      </c>
      <c r="T178">
        <v>1.427</v>
      </c>
      <c r="U178">
        <v>103.255</v>
      </c>
      <c r="V178">
        <v>21.251000000000001</v>
      </c>
      <c r="W178">
        <v>2.3849999999999998</v>
      </c>
      <c r="X178">
        <v>94.68</v>
      </c>
      <c r="Y178">
        <v>0.90800000000000003</v>
      </c>
      <c r="Z178">
        <v>0.01</v>
      </c>
      <c r="AA178">
        <v>0</v>
      </c>
      <c r="AB178">
        <v>0</v>
      </c>
      <c r="AC178">
        <v>1</v>
      </c>
      <c r="AD178">
        <v>40.375</v>
      </c>
      <c r="AE178">
        <v>1</v>
      </c>
      <c r="AF178">
        <v>22</v>
      </c>
      <c r="AG178">
        <v>2</v>
      </c>
      <c r="AH178" t="s">
        <v>361</v>
      </c>
      <c r="AI178">
        <v>0</v>
      </c>
    </row>
    <row r="179" spans="1:35" x14ac:dyDescent="0.2">
      <c r="A179">
        <v>178</v>
      </c>
      <c r="B179" t="s">
        <v>651</v>
      </c>
      <c r="C179" t="s">
        <v>652</v>
      </c>
      <c r="D179" t="s">
        <v>383</v>
      </c>
      <c r="E179">
        <v>1</v>
      </c>
      <c r="F179">
        <v>-4.1360000000000001</v>
      </c>
      <c r="G179">
        <v>-25.992999999999999</v>
      </c>
      <c r="H179">
        <v>17386</v>
      </c>
      <c r="I179">
        <v>-1</v>
      </c>
      <c r="J179">
        <v>1</v>
      </c>
      <c r="K179" t="s">
        <v>359</v>
      </c>
      <c r="L179" t="s">
        <v>359</v>
      </c>
      <c r="M179" t="s">
        <v>360</v>
      </c>
      <c r="N179">
        <v>1649199389.9400001</v>
      </c>
      <c r="O179">
        <v>0.214</v>
      </c>
      <c r="P179">
        <v>0.39700000000000002</v>
      </c>
      <c r="Q179">
        <v>60.036000000000001</v>
      </c>
      <c r="R179">
        <v>1E-3</v>
      </c>
      <c r="S179">
        <v>0</v>
      </c>
      <c r="T179">
        <v>1.4450000000000001</v>
      </c>
      <c r="U179">
        <v>102.86</v>
      </c>
      <c r="V179">
        <v>21.800999999999998</v>
      </c>
      <c r="W179">
        <v>2.3559999999999999</v>
      </c>
      <c r="X179">
        <v>93.206000000000003</v>
      </c>
      <c r="Y179">
        <v>0.89</v>
      </c>
      <c r="Z179">
        <v>-0.115</v>
      </c>
      <c r="AA179">
        <v>0</v>
      </c>
      <c r="AB179">
        <v>0</v>
      </c>
      <c r="AC179">
        <v>1</v>
      </c>
      <c r="AD179">
        <v>40.375</v>
      </c>
      <c r="AE179">
        <v>1</v>
      </c>
      <c r="AF179">
        <v>23</v>
      </c>
      <c r="AG179">
        <v>2</v>
      </c>
      <c r="AH179" t="s">
        <v>361</v>
      </c>
      <c r="AI179">
        <v>0</v>
      </c>
    </row>
    <row r="180" spans="1:35" x14ac:dyDescent="0.2">
      <c r="A180">
        <v>179</v>
      </c>
      <c r="B180" t="s">
        <v>651</v>
      </c>
      <c r="C180" t="s">
        <v>653</v>
      </c>
      <c r="D180" t="s">
        <v>383</v>
      </c>
      <c r="E180">
        <v>2</v>
      </c>
      <c r="F180">
        <v>-4.0460000000000003</v>
      </c>
      <c r="G180">
        <v>-25.184000000000001</v>
      </c>
      <c r="H180">
        <v>17489</v>
      </c>
      <c r="I180">
        <v>-1</v>
      </c>
      <c r="J180">
        <v>1</v>
      </c>
      <c r="K180" t="s">
        <v>359</v>
      </c>
      <c r="L180" t="s">
        <v>359</v>
      </c>
      <c r="M180" t="s">
        <v>360</v>
      </c>
      <c r="N180">
        <v>1649199927.5</v>
      </c>
      <c r="O180">
        <v>0.19500000000000001</v>
      </c>
      <c r="P180">
        <v>0.39</v>
      </c>
      <c r="Q180">
        <v>58.872</v>
      </c>
      <c r="R180">
        <v>0</v>
      </c>
      <c r="S180">
        <v>-1E-3</v>
      </c>
      <c r="T180">
        <v>1.4079999999999999</v>
      </c>
      <c r="U180">
        <v>103.572</v>
      </c>
      <c r="V180">
        <v>21.196999999999999</v>
      </c>
      <c r="W180">
        <v>2.4350000000000001</v>
      </c>
      <c r="X180">
        <v>95.39</v>
      </c>
      <c r="Y180">
        <v>0.90100000000000002</v>
      </c>
      <c r="Z180">
        <v>0.107</v>
      </c>
      <c r="AA180">
        <v>0</v>
      </c>
      <c r="AB180">
        <v>0</v>
      </c>
      <c r="AC180">
        <v>1</v>
      </c>
      <c r="AD180">
        <v>40.375</v>
      </c>
      <c r="AE180">
        <v>1</v>
      </c>
      <c r="AF180">
        <v>23</v>
      </c>
      <c r="AG180">
        <v>2</v>
      </c>
      <c r="AH180" t="s">
        <v>361</v>
      </c>
      <c r="AI180">
        <v>0</v>
      </c>
    </row>
    <row r="181" spans="1:35" x14ac:dyDescent="0.2">
      <c r="A181">
        <v>180</v>
      </c>
      <c r="B181" t="s">
        <v>651</v>
      </c>
      <c r="C181" t="s">
        <v>654</v>
      </c>
      <c r="D181" t="s">
        <v>383</v>
      </c>
      <c r="E181">
        <v>3</v>
      </c>
      <c r="F181">
        <v>-4.0640000000000001</v>
      </c>
      <c r="G181">
        <v>-25.114999999999998</v>
      </c>
      <c r="H181">
        <v>17469</v>
      </c>
      <c r="I181">
        <v>-1</v>
      </c>
      <c r="J181">
        <v>1</v>
      </c>
      <c r="K181" t="s">
        <v>359</v>
      </c>
      <c r="L181" t="s">
        <v>359</v>
      </c>
      <c r="M181" t="s">
        <v>360</v>
      </c>
      <c r="N181">
        <v>1649200463.99</v>
      </c>
      <c r="O181">
        <v>0.21</v>
      </c>
      <c r="P181">
        <v>0.38200000000000001</v>
      </c>
      <c r="Q181">
        <v>59.692999999999998</v>
      </c>
      <c r="R181">
        <v>0</v>
      </c>
      <c r="S181">
        <v>0</v>
      </c>
      <c r="T181">
        <v>1.4330000000000001</v>
      </c>
      <c r="U181">
        <v>103.414</v>
      </c>
      <c r="V181">
        <v>20.960999999999999</v>
      </c>
      <c r="W181">
        <v>2.4689999999999999</v>
      </c>
      <c r="X181">
        <v>96.314999999999998</v>
      </c>
      <c r="Y181">
        <v>0.90400000000000003</v>
      </c>
      <c r="Z181">
        <v>9.0999999999999998E-2</v>
      </c>
      <c r="AA181">
        <v>0</v>
      </c>
      <c r="AB181">
        <v>0</v>
      </c>
      <c r="AC181">
        <v>1</v>
      </c>
      <c r="AD181">
        <v>40.311999999999998</v>
      </c>
      <c r="AE181">
        <v>1</v>
      </c>
      <c r="AF181">
        <v>23</v>
      </c>
      <c r="AG181">
        <v>2</v>
      </c>
      <c r="AH181" t="s">
        <v>361</v>
      </c>
      <c r="AI181">
        <v>0</v>
      </c>
    </row>
    <row r="182" spans="1:35" x14ac:dyDescent="0.2">
      <c r="A182">
        <v>181</v>
      </c>
      <c r="B182" t="s">
        <v>651</v>
      </c>
      <c r="C182" t="s">
        <v>655</v>
      </c>
      <c r="D182" t="s">
        <v>383</v>
      </c>
      <c r="E182">
        <v>4</v>
      </c>
      <c r="F182">
        <v>-4.1260000000000003</v>
      </c>
      <c r="G182">
        <v>-25.140999999999998</v>
      </c>
      <c r="H182">
        <v>17420</v>
      </c>
      <c r="I182">
        <v>0</v>
      </c>
      <c r="J182">
        <v>1</v>
      </c>
      <c r="K182" t="s">
        <v>359</v>
      </c>
      <c r="L182" t="s">
        <v>359</v>
      </c>
      <c r="M182" t="s">
        <v>360</v>
      </c>
      <c r="N182">
        <v>1649201002.54</v>
      </c>
      <c r="O182">
        <v>0.192</v>
      </c>
      <c r="P182">
        <v>0.40699999999999997</v>
      </c>
      <c r="Q182">
        <v>62.984000000000002</v>
      </c>
      <c r="R182">
        <v>1E-3</v>
      </c>
      <c r="S182">
        <v>1E-3</v>
      </c>
      <c r="T182">
        <v>1.5129999999999999</v>
      </c>
      <c r="U182">
        <v>102.92100000000001</v>
      </c>
      <c r="V182">
        <v>21.609000000000002</v>
      </c>
      <c r="W182">
        <v>2.4089999999999998</v>
      </c>
      <c r="X182">
        <v>95.034999999999997</v>
      </c>
      <c r="Y182">
        <v>0.90300000000000002</v>
      </c>
      <c r="Z182">
        <v>0.22500000000000001</v>
      </c>
      <c r="AA182">
        <v>0</v>
      </c>
      <c r="AB182">
        <v>0</v>
      </c>
      <c r="AC182">
        <v>1</v>
      </c>
      <c r="AD182">
        <v>40.375</v>
      </c>
      <c r="AE182">
        <v>1</v>
      </c>
      <c r="AF182">
        <v>23</v>
      </c>
      <c r="AG182">
        <v>2</v>
      </c>
      <c r="AH182" t="s">
        <v>361</v>
      </c>
      <c r="AI182">
        <v>0</v>
      </c>
    </row>
    <row r="183" spans="1:35" x14ac:dyDescent="0.2">
      <c r="A183">
        <v>182</v>
      </c>
      <c r="B183" t="s">
        <v>651</v>
      </c>
      <c r="C183" t="s">
        <v>656</v>
      </c>
      <c r="D183" t="s">
        <v>383</v>
      </c>
      <c r="E183">
        <v>5</v>
      </c>
      <c r="F183">
        <v>-4</v>
      </c>
      <c r="G183">
        <v>-24.975000000000001</v>
      </c>
      <c r="H183">
        <v>17420</v>
      </c>
      <c r="I183">
        <v>0</v>
      </c>
      <c r="J183">
        <v>1</v>
      </c>
      <c r="K183" t="s">
        <v>359</v>
      </c>
      <c r="L183" t="s">
        <v>359</v>
      </c>
      <c r="M183" t="s">
        <v>360</v>
      </c>
      <c r="N183">
        <v>1649201539.5999999</v>
      </c>
      <c r="O183">
        <v>0.22</v>
      </c>
      <c r="P183">
        <v>0.41799999999999998</v>
      </c>
      <c r="Q183">
        <v>61.113</v>
      </c>
      <c r="R183">
        <v>1E-3</v>
      </c>
      <c r="S183">
        <v>1E-3</v>
      </c>
      <c r="T183">
        <v>1.464</v>
      </c>
      <c r="U183">
        <v>103.03400000000001</v>
      </c>
      <c r="V183">
        <v>20.891999999999999</v>
      </c>
      <c r="W183">
        <v>2.476</v>
      </c>
      <c r="X183">
        <v>96.587000000000003</v>
      </c>
      <c r="Y183">
        <v>0.90600000000000003</v>
      </c>
      <c r="Z183">
        <v>0.27200000000000002</v>
      </c>
      <c r="AA183">
        <v>0</v>
      </c>
      <c r="AB183">
        <v>0</v>
      </c>
      <c r="AC183">
        <v>1</v>
      </c>
      <c r="AD183">
        <v>40.311999999999998</v>
      </c>
      <c r="AE183">
        <v>1</v>
      </c>
      <c r="AF183">
        <v>23</v>
      </c>
      <c r="AG183">
        <v>2</v>
      </c>
      <c r="AH183" t="s">
        <v>361</v>
      </c>
      <c r="AI183">
        <v>0</v>
      </c>
    </row>
    <row r="184" spans="1:35" x14ac:dyDescent="0.2">
      <c r="A184">
        <v>183</v>
      </c>
      <c r="B184" t="s">
        <v>651</v>
      </c>
      <c r="C184" t="s">
        <v>657</v>
      </c>
      <c r="D184" t="s">
        <v>383</v>
      </c>
      <c r="E184">
        <v>6</v>
      </c>
      <c r="F184">
        <v>-4.01</v>
      </c>
      <c r="G184">
        <v>-24.876999999999999</v>
      </c>
      <c r="H184">
        <v>17407</v>
      </c>
      <c r="I184">
        <v>0</v>
      </c>
      <c r="J184">
        <v>1</v>
      </c>
      <c r="K184" t="s">
        <v>359</v>
      </c>
      <c r="L184" t="s">
        <v>359</v>
      </c>
      <c r="M184" t="s">
        <v>360</v>
      </c>
      <c r="N184">
        <v>1649202077.71</v>
      </c>
      <c r="O184">
        <v>0.22</v>
      </c>
      <c r="P184">
        <v>0.42099999999999999</v>
      </c>
      <c r="Q184">
        <v>61.505000000000003</v>
      </c>
      <c r="R184">
        <v>0</v>
      </c>
      <c r="S184">
        <v>0</v>
      </c>
      <c r="T184">
        <v>1.464</v>
      </c>
      <c r="U184">
        <v>103.07</v>
      </c>
      <c r="V184">
        <v>20.914000000000001</v>
      </c>
      <c r="W184">
        <v>2.4350000000000001</v>
      </c>
      <c r="X184">
        <v>95.668999999999997</v>
      </c>
      <c r="Y184">
        <v>0.90400000000000003</v>
      </c>
      <c r="Z184">
        <v>0.128</v>
      </c>
      <c r="AA184">
        <v>0</v>
      </c>
      <c r="AB184">
        <v>0</v>
      </c>
      <c r="AC184">
        <v>1</v>
      </c>
      <c r="AD184">
        <v>40.311999999999998</v>
      </c>
      <c r="AE184">
        <v>1</v>
      </c>
      <c r="AF184">
        <v>23</v>
      </c>
      <c r="AG184">
        <v>2</v>
      </c>
      <c r="AH184" t="s">
        <v>361</v>
      </c>
      <c r="AI184">
        <v>0</v>
      </c>
    </row>
    <row r="185" spans="1:35" x14ac:dyDescent="0.2">
      <c r="A185">
        <v>184</v>
      </c>
      <c r="B185" t="s">
        <v>658</v>
      </c>
      <c r="C185" t="s">
        <v>659</v>
      </c>
      <c r="D185" t="s">
        <v>384</v>
      </c>
      <c r="E185">
        <v>1</v>
      </c>
      <c r="F185">
        <v>-4.6829999999999998</v>
      </c>
      <c r="G185">
        <v>-28.280999999999999</v>
      </c>
      <c r="H185">
        <v>17404</v>
      </c>
      <c r="I185">
        <v>-1</v>
      </c>
      <c r="J185">
        <v>1</v>
      </c>
      <c r="K185" t="s">
        <v>359</v>
      </c>
      <c r="L185" t="s">
        <v>359</v>
      </c>
      <c r="M185" t="s">
        <v>360</v>
      </c>
      <c r="N185">
        <v>1649202615.27</v>
      </c>
      <c r="O185">
        <v>0.221</v>
      </c>
      <c r="P185">
        <v>0.36699999999999999</v>
      </c>
      <c r="Q185">
        <v>60.024999999999999</v>
      </c>
      <c r="R185">
        <v>1E-3</v>
      </c>
      <c r="S185">
        <v>0</v>
      </c>
      <c r="T185">
        <v>1.43</v>
      </c>
      <c r="U185">
        <v>102.944</v>
      </c>
      <c r="V185">
        <v>21.152999999999999</v>
      </c>
      <c r="W185">
        <v>2.4660000000000002</v>
      </c>
      <c r="X185">
        <v>95.635000000000005</v>
      </c>
      <c r="Y185">
        <v>0.90500000000000003</v>
      </c>
      <c r="Z185">
        <v>0.186</v>
      </c>
      <c r="AA185">
        <v>0</v>
      </c>
      <c r="AB185">
        <v>0</v>
      </c>
      <c r="AC185">
        <v>1</v>
      </c>
      <c r="AD185">
        <v>40.311999999999998</v>
      </c>
      <c r="AE185">
        <v>1</v>
      </c>
      <c r="AF185">
        <v>24</v>
      </c>
      <c r="AG185">
        <v>2</v>
      </c>
      <c r="AH185" t="s">
        <v>361</v>
      </c>
      <c r="AI185">
        <v>0</v>
      </c>
    </row>
    <row r="186" spans="1:35" x14ac:dyDescent="0.2">
      <c r="A186">
        <v>185</v>
      </c>
      <c r="B186" t="s">
        <v>658</v>
      </c>
      <c r="C186" t="s">
        <v>660</v>
      </c>
      <c r="D186" t="s">
        <v>384</v>
      </c>
      <c r="E186">
        <v>2</v>
      </c>
      <c r="F186">
        <v>-4.7469999999999999</v>
      </c>
      <c r="G186">
        <v>-28.762</v>
      </c>
      <c r="H186">
        <v>17493</v>
      </c>
      <c r="I186">
        <v>-1</v>
      </c>
      <c r="J186">
        <v>1</v>
      </c>
      <c r="K186" t="s">
        <v>359</v>
      </c>
      <c r="L186" t="s">
        <v>359</v>
      </c>
      <c r="M186" t="s">
        <v>360</v>
      </c>
      <c r="N186">
        <v>1649203152.22</v>
      </c>
      <c r="O186">
        <v>0.20599999999999999</v>
      </c>
      <c r="P186">
        <v>0.39600000000000002</v>
      </c>
      <c r="Q186">
        <v>62.161999999999999</v>
      </c>
      <c r="R186">
        <v>0</v>
      </c>
      <c r="S186">
        <v>1E-3</v>
      </c>
      <c r="T186">
        <v>1.49</v>
      </c>
      <c r="U186">
        <v>103.553</v>
      </c>
      <c r="V186">
        <v>21.535</v>
      </c>
      <c r="W186">
        <v>2.4159999999999999</v>
      </c>
      <c r="X186">
        <v>94.679000000000002</v>
      </c>
      <c r="Y186">
        <v>0.89600000000000002</v>
      </c>
      <c r="Z186">
        <v>-1.2E-2</v>
      </c>
      <c r="AA186">
        <v>0</v>
      </c>
      <c r="AB186">
        <v>0</v>
      </c>
      <c r="AC186">
        <v>1</v>
      </c>
      <c r="AD186">
        <v>40.375</v>
      </c>
      <c r="AE186">
        <v>1</v>
      </c>
      <c r="AF186">
        <v>24</v>
      </c>
      <c r="AG186">
        <v>2</v>
      </c>
      <c r="AH186" t="s">
        <v>361</v>
      </c>
      <c r="AI186">
        <v>0</v>
      </c>
    </row>
    <row r="187" spans="1:35" x14ac:dyDescent="0.2">
      <c r="A187">
        <v>186</v>
      </c>
      <c r="B187" t="s">
        <v>658</v>
      </c>
      <c r="C187" t="s">
        <v>661</v>
      </c>
      <c r="D187" t="s">
        <v>384</v>
      </c>
      <c r="E187">
        <v>3</v>
      </c>
      <c r="F187">
        <v>-4.7110000000000003</v>
      </c>
      <c r="G187">
        <v>-28.902999999999999</v>
      </c>
      <c r="H187">
        <v>17430</v>
      </c>
      <c r="I187">
        <v>-1</v>
      </c>
      <c r="J187">
        <v>1</v>
      </c>
      <c r="K187" t="s">
        <v>359</v>
      </c>
      <c r="L187" t="s">
        <v>359</v>
      </c>
      <c r="M187" t="s">
        <v>360</v>
      </c>
      <c r="N187">
        <v>1649203689.25</v>
      </c>
      <c r="O187">
        <v>0.20399999999999999</v>
      </c>
      <c r="P187">
        <v>0.41</v>
      </c>
      <c r="Q187">
        <v>60.335000000000001</v>
      </c>
      <c r="R187">
        <v>0</v>
      </c>
      <c r="S187">
        <v>0</v>
      </c>
      <c r="T187">
        <v>1.4379999999999999</v>
      </c>
      <c r="U187">
        <v>103.279</v>
      </c>
      <c r="V187">
        <v>20.754999999999999</v>
      </c>
      <c r="W187">
        <v>2.4649999999999999</v>
      </c>
      <c r="X187">
        <v>95.893000000000001</v>
      </c>
      <c r="Y187">
        <v>0.90500000000000003</v>
      </c>
      <c r="Z187">
        <v>0.128</v>
      </c>
      <c r="AA187">
        <v>0</v>
      </c>
      <c r="AB187">
        <v>0</v>
      </c>
      <c r="AC187">
        <v>1</v>
      </c>
      <c r="AD187">
        <v>40.311999999999998</v>
      </c>
      <c r="AE187">
        <v>1</v>
      </c>
      <c r="AF187">
        <v>24</v>
      </c>
      <c r="AG187">
        <v>2</v>
      </c>
      <c r="AH187" t="s">
        <v>361</v>
      </c>
      <c r="AI187">
        <v>0</v>
      </c>
    </row>
    <row r="188" spans="1:35" x14ac:dyDescent="0.2">
      <c r="A188">
        <v>187</v>
      </c>
      <c r="B188" t="s">
        <v>658</v>
      </c>
      <c r="C188" t="s">
        <v>662</v>
      </c>
      <c r="D188" t="s">
        <v>384</v>
      </c>
      <c r="E188">
        <v>4</v>
      </c>
      <c r="F188">
        <v>-4.7300000000000004</v>
      </c>
      <c r="G188">
        <v>-28.623999999999999</v>
      </c>
      <c r="H188">
        <v>17405</v>
      </c>
      <c r="I188">
        <v>0</v>
      </c>
      <c r="J188">
        <v>1</v>
      </c>
      <c r="K188" t="s">
        <v>359</v>
      </c>
      <c r="L188" t="s">
        <v>359</v>
      </c>
      <c r="M188" t="s">
        <v>360</v>
      </c>
      <c r="N188">
        <v>1649204226.6500001</v>
      </c>
      <c r="O188">
        <v>0.19900000000000001</v>
      </c>
      <c r="P188">
        <v>0.41899999999999998</v>
      </c>
      <c r="Q188">
        <v>60.566000000000003</v>
      </c>
      <c r="R188">
        <v>0</v>
      </c>
      <c r="S188">
        <v>-1E-3</v>
      </c>
      <c r="T188">
        <v>1.45</v>
      </c>
      <c r="U188">
        <v>103.107</v>
      </c>
      <c r="V188">
        <v>20.76</v>
      </c>
      <c r="W188">
        <v>2.456</v>
      </c>
      <c r="X188">
        <v>95.757999999999996</v>
      </c>
      <c r="Y188">
        <v>0.89300000000000002</v>
      </c>
      <c r="Z188">
        <v>0.19</v>
      </c>
      <c r="AA188">
        <v>0</v>
      </c>
      <c r="AB188">
        <v>0</v>
      </c>
      <c r="AC188">
        <v>1</v>
      </c>
      <c r="AD188">
        <v>40.25</v>
      </c>
      <c r="AE188">
        <v>1</v>
      </c>
      <c r="AF188">
        <v>24</v>
      </c>
      <c r="AG188">
        <v>2</v>
      </c>
      <c r="AH188" t="s">
        <v>361</v>
      </c>
      <c r="AI188">
        <v>0</v>
      </c>
    </row>
    <row r="189" spans="1:35" x14ac:dyDescent="0.2">
      <c r="A189">
        <v>188</v>
      </c>
      <c r="B189" t="s">
        <v>658</v>
      </c>
      <c r="C189" t="s">
        <v>663</v>
      </c>
      <c r="D189" t="s">
        <v>384</v>
      </c>
      <c r="E189">
        <v>5</v>
      </c>
      <c r="F189">
        <v>-4.7009999999999996</v>
      </c>
      <c r="G189">
        <v>-28.934000000000001</v>
      </c>
      <c r="H189">
        <v>17426</v>
      </c>
      <c r="I189">
        <v>0</v>
      </c>
      <c r="J189">
        <v>1</v>
      </c>
      <c r="K189" t="s">
        <v>359</v>
      </c>
      <c r="L189" t="s">
        <v>359</v>
      </c>
      <c r="M189" t="s">
        <v>360</v>
      </c>
      <c r="N189">
        <v>1649204763.8499999</v>
      </c>
      <c r="O189">
        <v>0.20599999999999999</v>
      </c>
      <c r="P189">
        <v>0.378</v>
      </c>
      <c r="Q189">
        <v>59.328000000000003</v>
      </c>
      <c r="R189">
        <v>1E-3</v>
      </c>
      <c r="S189">
        <v>0</v>
      </c>
      <c r="T189">
        <v>1.4239999999999999</v>
      </c>
      <c r="U189">
        <v>103.035</v>
      </c>
      <c r="V189">
        <v>21.327999999999999</v>
      </c>
      <c r="W189">
        <v>2.464</v>
      </c>
      <c r="X189">
        <v>95.662000000000006</v>
      </c>
      <c r="Y189">
        <v>0.90100000000000002</v>
      </c>
      <c r="Z189">
        <v>0.26900000000000002</v>
      </c>
      <c r="AA189">
        <v>0</v>
      </c>
      <c r="AB189">
        <v>0</v>
      </c>
      <c r="AC189">
        <v>1</v>
      </c>
      <c r="AD189">
        <v>40.25</v>
      </c>
      <c r="AE189">
        <v>1</v>
      </c>
      <c r="AF189">
        <v>24</v>
      </c>
      <c r="AG189">
        <v>2</v>
      </c>
      <c r="AH189" t="s">
        <v>361</v>
      </c>
      <c r="AI189">
        <v>0</v>
      </c>
    </row>
    <row r="190" spans="1:35" x14ac:dyDescent="0.2">
      <c r="A190">
        <v>189</v>
      </c>
      <c r="B190" t="s">
        <v>658</v>
      </c>
      <c r="C190" t="s">
        <v>664</v>
      </c>
      <c r="D190" t="s">
        <v>384</v>
      </c>
      <c r="E190">
        <v>6</v>
      </c>
      <c r="F190">
        <v>-4.6989999999999998</v>
      </c>
      <c r="G190">
        <v>-28.850999999999999</v>
      </c>
      <c r="H190">
        <v>17388</v>
      </c>
      <c r="I190">
        <v>0</v>
      </c>
      <c r="J190">
        <v>1</v>
      </c>
      <c r="K190" t="s">
        <v>359</v>
      </c>
      <c r="L190" t="s">
        <v>359</v>
      </c>
      <c r="M190" t="s">
        <v>360</v>
      </c>
      <c r="N190">
        <v>1649205301.1900001</v>
      </c>
      <c r="O190">
        <v>0.21</v>
      </c>
      <c r="P190">
        <v>0.43</v>
      </c>
      <c r="Q190">
        <v>59.707000000000001</v>
      </c>
      <c r="R190">
        <v>1E-3</v>
      </c>
      <c r="S190">
        <v>0</v>
      </c>
      <c r="T190">
        <v>1.42</v>
      </c>
      <c r="U190">
        <v>102.78</v>
      </c>
      <c r="V190">
        <v>21.367999999999999</v>
      </c>
      <c r="W190">
        <v>2.4870000000000001</v>
      </c>
      <c r="X190">
        <v>95.099000000000004</v>
      </c>
      <c r="Y190">
        <v>0.89600000000000002</v>
      </c>
      <c r="Z190">
        <v>0.23799999999999999</v>
      </c>
      <c r="AA190">
        <v>0</v>
      </c>
      <c r="AB190">
        <v>0</v>
      </c>
      <c r="AC190">
        <v>1</v>
      </c>
      <c r="AD190">
        <v>40.25</v>
      </c>
      <c r="AE190">
        <v>1</v>
      </c>
      <c r="AF190">
        <v>24</v>
      </c>
      <c r="AG190">
        <v>2</v>
      </c>
      <c r="AH190" t="s">
        <v>361</v>
      </c>
      <c r="AI190">
        <v>0</v>
      </c>
    </row>
    <row r="191" spans="1:35" x14ac:dyDescent="0.2">
      <c r="A191">
        <v>190</v>
      </c>
      <c r="B191" t="s">
        <v>665</v>
      </c>
      <c r="C191" t="s">
        <v>666</v>
      </c>
      <c r="D191" t="s">
        <v>385</v>
      </c>
      <c r="E191">
        <v>1</v>
      </c>
      <c r="F191">
        <v>-5.5679999999999996</v>
      </c>
      <c r="G191">
        <v>-29.113</v>
      </c>
      <c r="H191">
        <v>17690</v>
      </c>
      <c r="I191">
        <v>-1</v>
      </c>
      <c r="J191">
        <v>1</v>
      </c>
      <c r="K191" t="s">
        <v>359</v>
      </c>
      <c r="L191" t="s">
        <v>359</v>
      </c>
      <c r="M191" t="s">
        <v>360</v>
      </c>
      <c r="N191">
        <v>1649205839.4200001</v>
      </c>
      <c r="O191">
        <v>0.19400000000000001</v>
      </c>
      <c r="P191">
        <v>0.41499999999999998</v>
      </c>
      <c r="Q191">
        <v>59.624000000000002</v>
      </c>
      <c r="R191">
        <v>0</v>
      </c>
      <c r="S191">
        <v>-2E-3</v>
      </c>
      <c r="T191">
        <v>1.423</v>
      </c>
      <c r="U191">
        <v>104.688</v>
      </c>
      <c r="V191">
        <v>21.39</v>
      </c>
      <c r="W191">
        <v>2.508</v>
      </c>
      <c r="X191">
        <v>97.572999999999993</v>
      </c>
      <c r="Y191">
        <v>0.89100000000000001</v>
      </c>
      <c r="Z191">
        <v>0.34499999999999997</v>
      </c>
      <c r="AA191">
        <v>0</v>
      </c>
      <c r="AB191">
        <v>0</v>
      </c>
      <c r="AC191">
        <v>1</v>
      </c>
      <c r="AD191">
        <v>40.125</v>
      </c>
      <c r="AE191">
        <v>1</v>
      </c>
      <c r="AF191">
        <v>25</v>
      </c>
      <c r="AG191">
        <v>2</v>
      </c>
      <c r="AH191" t="s">
        <v>361</v>
      </c>
      <c r="AI191">
        <v>0</v>
      </c>
    </row>
    <row r="192" spans="1:35" x14ac:dyDescent="0.2">
      <c r="A192">
        <v>191</v>
      </c>
      <c r="B192" t="s">
        <v>665</v>
      </c>
      <c r="C192" t="s">
        <v>667</v>
      </c>
      <c r="D192" t="s">
        <v>385</v>
      </c>
      <c r="E192">
        <v>2</v>
      </c>
      <c r="F192">
        <v>-5.6509999999999998</v>
      </c>
      <c r="G192">
        <v>-29.446000000000002</v>
      </c>
      <c r="H192">
        <v>17669</v>
      </c>
      <c r="I192">
        <v>-1</v>
      </c>
      <c r="J192">
        <v>1</v>
      </c>
      <c r="K192" t="s">
        <v>359</v>
      </c>
      <c r="L192" t="s">
        <v>359</v>
      </c>
      <c r="M192" t="s">
        <v>360</v>
      </c>
      <c r="N192">
        <v>1649206376.5899999</v>
      </c>
      <c r="O192">
        <v>0.219</v>
      </c>
      <c r="P192">
        <v>0.34</v>
      </c>
      <c r="Q192">
        <v>60.19</v>
      </c>
      <c r="R192">
        <v>1E-3</v>
      </c>
      <c r="S192">
        <v>1E-3</v>
      </c>
      <c r="T192">
        <v>1.4450000000000001</v>
      </c>
      <c r="U192">
        <v>104.395</v>
      </c>
      <c r="V192">
        <v>21.689</v>
      </c>
      <c r="W192">
        <v>2.496</v>
      </c>
      <c r="X192">
        <v>97.346999999999994</v>
      </c>
      <c r="Y192">
        <v>0.88600000000000001</v>
      </c>
      <c r="Z192">
        <v>0.34799999999999998</v>
      </c>
      <c r="AA192">
        <v>0</v>
      </c>
      <c r="AB192">
        <v>0</v>
      </c>
      <c r="AC192">
        <v>1</v>
      </c>
      <c r="AD192">
        <v>40</v>
      </c>
      <c r="AE192">
        <v>1</v>
      </c>
      <c r="AF192">
        <v>25</v>
      </c>
      <c r="AG192">
        <v>2</v>
      </c>
      <c r="AH192" t="s">
        <v>361</v>
      </c>
      <c r="AI192">
        <v>0</v>
      </c>
    </row>
    <row r="193" spans="1:35" x14ac:dyDescent="0.2">
      <c r="A193">
        <v>192</v>
      </c>
      <c r="B193" t="s">
        <v>665</v>
      </c>
      <c r="C193" t="s">
        <v>668</v>
      </c>
      <c r="D193" t="s">
        <v>385</v>
      </c>
      <c r="E193">
        <v>3</v>
      </c>
      <c r="F193">
        <v>-5.633</v>
      </c>
      <c r="G193">
        <v>-29.196999999999999</v>
      </c>
      <c r="H193">
        <v>17642</v>
      </c>
      <c r="I193">
        <v>-1</v>
      </c>
      <c r="J193">
        <v>1</v>
      </c>
      <c r="K193" t="s">
        <v>359</v>
      </c>
      <c r="L193" t="s">
        <v>359</v>
      </c>
      <c r="M193" t="s">
        <v>360</v>
      </c>
      <c r="N193">
        <v>1649206914.1099999</v>
      </c>
      <c r="O193">
        <v>0.19800000000000001</v>
      </c>
      <c r="P193">
        <v>0.4</v>
      </c>
      <c r="Q193">
        <v>59.534999999999997</v>
      </c>
      <c r="R193">
        <v>0</v>
      </c>
      <c r="S193">
        <v>-1E-3</v>
      </c>
      <c r="T193">
        <v>1.425</v>
      </c>
      <c r="U193">
        <v>104.25700000000001</v>
      </c>
      <c r="V193">
        <v>21.437999999999999</v>
      </c>
      <c r="W193">
        <v>2.5409999999999999</v>
      </c>
      <c r="X193">
        <v>97.760999999999996</v>
      </c>
      <c r="Y193">
        <v>0.89100000000000001</v>
      </c>
      <c r="Z193">
        <v>0.38900000000000001</v>
      </c>
      <c r="AA193">
        <v>0</v>
      </c>
      <c r="AB193">
        <v>0</v>
      </c>
      <c r="AC193">
        <v>1</v>
      </c>
      <c r="AD193">
        <v>40</v>
      </c>
      <c r="AE193">
        <v>1</v>
      </c>
      <c r="AF193">
        <v>25</v>
      </c>
      <c r="AG193">
        <v>2</v>
      </c>
      <c r="AH193" t="s">
        <v>361</v>
      </c>
      <c r="AI193">
        <v>0</v>
      </c>
    </row>
    <row r="194" spans="1:35" x14ac:dyDescent="0.2">
      <c r="A194">
        <v>193</v>
      </c>
      <c r="B194" t="s">
        <v>665</v>
      </c>
      <c r="C194" t="s">
        <v>669</v>
      </c>
      <c r="D194" t="s">
        <v>385</v>
      </c>
      <c r="E194">
        <v>4</v>
      </c>
      <c r="F194">
        <v>-5.6859999999999999</v>
      </c>
      <c r="G194">
        <v>-29.472999999999999</v>
      </c>
      <c r="H194">
        <v>17656</v>
      </c>
      <c r="I194">
        <v>0</v>
      </c>
      <c r="J194">
        <v>1</v>
      </c>
      <c r="K194" t="s">
        <v>359</v>
      </c>
      <c r="L194" t="s">
        <v>359</v>
      </c>
      <c r="M194" t="s">
        <v>360</v>
      </c>
      <c r="N194">
        <v>1649207451.0799999</v>
      </c>
      <c r="O194">
        <v>0.22</v>
      </c>
      <c r="P194">
        <v>0.36399999999999999</v>
      </c>
      <c r="Q194">
        <v>61.369</v>
      </c>
      <c r="R194">
        <v>1E-3</v>
      </c>
      <c r="S194">
        <v>1E-3</v>
      </c>
      <c r="T194">
        <v>1.466</v>
      </c>
      <c r="U194">
        <v>104.333</v>
      </c>
      <c r="V194">
        <v>21.552</v>
      </c>
      <c r="W194">
        <v>2.5299999999999998</v>
      </c>
      <c r="X194">
        <v>97.528999999999996</v>
      </c>
      <c r="Y194">
        <v>0.88400000000000001</v>
      </c>
      <c r="Z194">
        <v>0.379</v>
      </c>
      <c r="AA194">
        <v>0</v>
      </c>
      <c r="AB194">
        <v>0</v>
      </c>
      <c r="AC194">
        <v>1</v>
      </c>
      <c r="AD194">
        <v>39.875</v>
      </c>
      <c r="AE194">
        <v>1</v>
      </c>
      <c r="AF194">
        <v>25</v>
      </c>
      <c r="AG194">
        <v>2</v>
      </c>
      <c r="AH194" t="s">
        <v>361</v>
      </c>
      <c r="AI194">
        <v>0</v>
      </c>
    </row>
    <row r="195" spans="1:35" x14ac:dyDescent="0.2">
      <c r="A195">
        <v>194</v>
      </c>
      <c r="B195" t="s">
        <v>665</v>
      </c>
      <c r="C195" t="s">
        <v>670</v>
      </c>
      <c r="D195" t="s">
        <v>385</v>
      </c>
      <c r="E195">
        <v>5</v>
      </c>
      <c r="F195">
        <v>-5.6719999999999997</v>
      </c>
      <c r="G195">
        <v>-29.405999999999999</v>
      </c>
      <c r="H195">
        <v>17687</v>
      </c>
      <c r="I195">
        <v>0</v>
      </c>
      <c r="J195">
        <v>1</v>
      </c>
      <c r="K195" t="s">
        <v>359</v>
      </c>
      <c r="L195" t="s">
        <v>359</v>
      </c>
      <c r="M195" t="s">
        <v>360</v>
      </c>
      <c r="N195">
        <v>1649207988.29</v>
      </c>
      <c r="O195">
        <v>0.214</v>
      </c>
      <c r="P195">
        <v>0.34</v>
      </c>
      <c r="Q195">
        <v>61.814</v>
      </c>
      <c r="R195">
        <v>0</v>
      </c>
      <c r="S195">
        <v>0</v>
      </c>
      <c r="T195">
        <v>1.478</v>
      </c>
      <c r="U195">
        <v>104.387</v>
      </c>
      <c r="V195">
        <v>21.61</v>
      </c>
      <c r="W195">
        <v>2.5579999999999998</v>
      </c>
      <c r="X195">
        <v>98.400999999999996</v>
      </c>
      <c r="Y195">
        <v>0.88200000000000001</v>
      </c>
      <c r="Z195">
        <v>0.63600000000000001</v>
      </c>
      <c r="AA195">
        <v>0</v>
      </c>
      <c r="AB195">
        <v>0</v>
      </c>
      <c r="AC195">
        <v>1</v>
      </c>
      <c r="AD195">
        <v>39.875</v>
      </c>
      <c r="AE195">
        <v>1</v>
      </c>
      <c r="AF195">
        <v>25</v>
      </c>
      <c r="AG195">
        <v>2</v>
      </c>
      <c r="AH195" t="s">
        <v>361</v>
      </c>
      <c r="AI195">
        <v>0</v>
      </c>
    </row>
    <row r="196" spans="1:35" x14ac:dyDescent="0.2">
      <c r="A196">
        <v>195</v>
      </c>
      <c r="B196" t="s">
        <v>665</v>
      </c>
      <c r="C196" t="s">
        <v>671</v>
      </c>
      <c r="D196" t="s">
        <v>385</v>
      </c>
      <c r="E196">
        <v>6</v>
      </c>
      <c r="F196">
        <v>-5.6580000000000004</v>
      </c>
      <c r="G196">
        <v>-29.408999999999999</v>
      </c>
      <c r="H196">
        <v>17660</v>
      </c>
      <c r="I196">
        <v>0</v>
      </c>
      <c r="J196">
        <v>1</v>
      </c>
      <c r="K196" t="s">
        <v>359</v>
      </c>
      <c r="L196" t="s">
        <v>359</v>
      </c>
      <c r="M196" t="s">
        <v>360</v>
      </c>
      <c r="N196">
        <v>1649208525.9000001</v>
      </c>
      <c r="O196">
        <v>0.222</v>
      </c>
      <c r="P196">
        <v>0.38700000000000001</v>
      </c>
      <c r="Q196">
        <v>61.503</v>
      </c>
      <c r="R196">
        <v>1E-3</v>
      </c>
      <c r="S196">
        <v>1E-3</v>
      </c>
      <c r="T196">
        <v>1.4650000000000001</v>
      </c>
      <c r="U196">
        <v>104.602</v>
      </c>
      <c r="V196">
        <v>20.974</v>
      </c>
      <c r="W196">
        <v>2.5379999999999998</v>
      </c>
      <c r="X196">
        <v>98.182000000000002</v>
      </c>
      <c r="Y196">
        <v>0.88900000000000001</v>
      </c>
      <c r="Z196">
        <v>0.40799999999999997</v>
      </c>
      <c r="AA196">
        <v>0</v>
      </c>
      <c r="AB196">
        <v>0</v>
      </c>
      <c r="AC196">
        <v>1</v>
      </c>
      <c r="AD196">
        <v>39.875</v>
      </c>
      <c r="AE196">
        <v>1</v>
      </c>
      <c r="AF196">
        <v>25</v>
      </c>
      <c r="AG196">
        <v>2</v>
      </c>
      <c r="AH196" t="s">
        <v>361</v>
      </c>
      <c r="AI196">
        <v>0</v>
      </c>
    </row>
    <row r="197" spans="1:35" x14ac:dyDescent="0.2">
      <c r="A197">
        <v>196</v>
      </c>
      <c r="B197" t="s">
        <v>672</v>
      </c>
      <c r="C197" t="s">
        <v>673</v>
      </c>
      <c r="D197" t="s">
        <v>386</v>
      </c>
      <c r="E197">
        <v>1</v>
      </c>
      <c r="F197">
        <v>-4.9960000000000004</v>
      </c>
      <c r="G197">
        <v>-29.872</v>
      </c>
      <c r="H197">
        <v>17358</v>
      </c>
      <c r="I197">
        <v>-1</v>
      </c>
      <c r="J197">
        <v>1</v>
      </c>
      <c r="K197" t="s">
        <v>359</v>
      </c>
      <c r="L197" t="s">
        <v>359</v>
      </c>
      <c r="M197" t="s">
        <v>360</v>
      </c>
      <c r="N197">
        <v>1649209064.05</v>
      </c>
      <c r="O197">
        <v>0.21299999999999999</v>
      </c>
      <c r="P197">
        <v>0.40799999999999997</v>
      </c>
      <c r="Q197">
        <v>62.000999999999998</v>
      </c>
      <c r="R197">
        <v>0</v>
      </c>
      <c r="S197">
        <v>-1E-3</v>
      </c>
      <c r="T197">
        <v>1.4790000000000001</v>
      </c>
      <c r="U197">
        <v>102.738</v>
      </c>
      <c r="V197">
        <v>20.759</v>
      </c>
      <c r="W197">
        <v>2.492</v>
      </c>
      <c r="X197">
        <v>96.004999999999995</v>
      </c>
      <c r="Y197">
        <v>0.88</v>
      </c>
      <c r="Z197">
        <v>0.312</v>
      </c>
      <c r="AA197">
        <v>0</v>
      </c>
      <c r="AB197">
        <v>0</v>
      </c>
      <c r="AC197">
        <v>1</v>
      </c>
      <c r="AD197">
        <v>39.875</v>
      </c>
      <c r="AE197">
        <v>1</v>
      </c>
      <c r="AF197">
        <v>26</v>
      </c>
      <c r="AG197">
        <v>2</v>
      </c>
      <c r="AH197" t="s">
        <v>361</v>
      </c>
      <c r="AI197">
        <v>0</v>
      </c>
    </row>
    <row r="198" spans="1:35" x14ac:dyDescent="0.2">
      <c r="A198">
        <v>197</v>
      </c>
      <c r="B198" t="s">
        <v>672</v>
      </c>
      <c r="C198" t="s">
        <v>674</v>
      </c>
      <c r="D198" t="s">
        <v>386</v>
      </c>
      <c r="E198">
        <v>2</v>
      </c>
      <c r="F198">
        <v>-6.8019999999999996</v>
      </c>
      <c r="G198">
        <v>-32.115000000000002</v>
      </c>
      <c r="H198">
        <v>17669</v>
      </c>
      <c r="I198">
        <v>-1</v>
      </c>
      <c r="J198">
        <v>1</v>
      </c>
      <c r="K198" t="s">
        <v>359</v>
      </c>
      <c r="L198" t="s">
        <v>359</v>
      </c>
      <c r="M198" t="s">
        <v>360</v>
      </c>
      <c r="N198">
        <v>1649209645.6800001</v>
      </c>
      <c r="O198">
        <v>3.9119999999999999</v>
      </c>
      <c r="P198">
        <v>4.742</v>
      </c>
      <c r="Q198">
        <v>259.40600000000001</v>
      </c>
      <c r="R198">
        <v>6.2E-2</v>
      </c>
      <c r="S198">
        <v>7.0999999999999994E-2</v>
      </c>
      <c r="T198">
        <v>3.8479999999999999</v>
      </c>
      <c r="U198">
        <v>102.706</v>
      </c>
      <c r="V198">
        <v>23.501999999999999</v>
      </c>
      <c r="W198">
        <v>3.6549999999999998</v>
      </c>
      <c r="X198">
        <v>97.715000000000003</v>
      </c>
      <c r="Y198">
        <v>7.3559999999999999</v>
      </c>
      <c r="Z198">
        <v>1.129</v>
      </c>
      <c r="AA198">
        <v>2.0000000000000001E-4</v>
      </c>
      <c r="AB198">
        <v>2.0000000000000001E-4</v>
      </c>
      <c r="AC198">
        <v>1</v>
      </c>
      <c r="AD198">
        <v>39.938000000000002</v>
      </c>
      <c r="AE198">
        <v>1</v>
      </c>
      <c r="AF198">
        <v>26</v>
      </c>
      <c r="AG198">
        <v>2</v>
      </c>
      <c r="AH198" t="s">
        <v>361</v>
      </c>
      <c r="AI198">
        <v>0</v>
      </c>
    </row>
    <row r="199" spans="1:35" x14ac:dyDescent="0.2">
      <c r="A199">
        <v>198</v>
      </c>
      <c r="B199" t="s">
        <v>672</v>
      </c>
      <c r="C199" t="s">
        <v>675</v>
      </c>
      <c r="D199" t="s">
        <v>386</v>
      </c>
      <c r="E199">
        <v>3</v>
      </c>
      <c r="F199">
        <v>-4.9690000000000003</v>
      </c>
      <c r="G199">
        <v>-29.949000000000002</v>
      </c>
      <c r="H199">
        <v>17599</v>
      </c>
      <c r="I199">
        <v>-1</v>
      </c>
      <c r="J199">
        <v>1</v>
      </c>
      <c r="K199" t="s">
        <v>359</v>
      </c>
      <c r="L199" t="s">
        <v>359</v>
      </c>
      <c r="M199" t="s">
        <v>360</v>
      </c>
      <c r="N199">
        <v>1649210138.46</v>
      </c>
      <c r="O199">
        <v>0.22900000000000001</v>
      </c>
      <c r="P199">
        <v>0.376</v>
      </c>
      <c r="Q199">
        <v>60.817</v>
      </c>
      <c r="R199">
        <v>1E-3</v>
      </c>
      <c r="S199">
        <v>-1E-3</v>
      </c>
      <c r="T199">
        <v>1.4550000000000001</v>
      </c>
      <c r="U199">
        <v>104.239</v>
      </c>
      <c r="V199">
        <v>20.728000000000002</v>
      </c>
      <c r="W199">
        <v>2.4969999999999999</v>
      </c>
      <c r="X199">
        <v>98.153000000000006</v>
      </c>
      <c r="Y199">
        <v>0.89100000000000001</v>
      </c>
      <c r="Z199">
        <v>0.35499999999999998</v>
      </c>
      <c r="AA199">
        <v>0</v>
      </c>
      <c r="AB199">
        <v>0</v>
      </c>
      <c r="AC199">
        <v>1</v>
      </c>
      <c r="AD199">
        <v>39.875</v>
      </c>
      <c r="AE199">
        <v>1</v>
      </c>
      <c r="AF199">
        <v>26</v>
      </c>
      <c r="AG199">
        <v>2</v>
      </c>
      <c r="AH199" t="s">
        <v>361</v>
      </c>
      <c r="AI199">
        <v>0</v>
      </c>
    </row>
    <row r="200" spans="1:35" x14ac:dyDescent="0.2">
      <c r="A200">
        <v>199</v>
      </c>
      <c r="B200" t="s">
        <v>672</v>
      </c>
      <c r="C200" t="s">
        <v>676</v>
      </c>
      <c r="D200" t="s">
        <v>386</v>
      </c>
      <c r="E200">
        <v>4</v>
      </c>
      <c r="F200">
        <v>-4.9420000000000002</v>
      </c>
      <c r="G200">
        <v>-30.024999999999999</v>
      </c>
      <c r="H200">
        <v>17685</v>
      </c>
      <c r="I200">
        <v>0</v>
      </c>
      <c r="J200">
        <v>1</v>
      </c>
      <c r="K200" t="s">
        <v>359</v>
      </c>
      <c r="L200" t="s">
        <v>359</v>
      </c>
      <c r="M200" t="s">
        <v>360</v>
      </c>
      <c r="N200">
        <v>1649210676.78</v>
      </c>
      <c r="O200">
        <v>0.21299999999999999</v>
      </c>
      <c r="P200">
        <v>0.4</v>
      </c>
      <c r="Q200">
        <v>60.564999999999998</v>
      </c>
      <c r="R200">
        <v>0</v>
      </c>
      <c r="S200">
        <v>0</v>
      </c>
      <c r="T200">
        <v>1.454</v>
      </c>
      <c r="U200">
        <v>104.756</v>
      </c>
      <c r="V200">
        <v>21.132000000000001</v>
      </c>
      <c r="W200">
        <v>2.581</v>
      </c>
      <c r="X200">
        <v>97.9</v>
      </c>
      <c r="Y200">
        <v>0.88600000000000001</v>
      </c>
      <c r="Z200">
        <v>0.30399999999999999</v>
      </c>
      <c r="AA200">
        <v>0</v>
      </c>
      <c r="AB200">
        <v>0</v>
      </c>
      <c r="AC200">
        <v>1</v>
      </c>
      <c r="AD200">
        <v>39.938000000000002</v>
      </c>
      <c r="AE200">
        <v>1</v>
      </c>
      <c r="AF200">
        <v>26</v>
      </c>
      <c r="AG200">
        <v>2</v>
      </c>
      <c r="AH200" t="s">
        <v>361</v>
      </c>
      <c r="AI200">
        <v>0</v>
      </c>
    </row>
    <row r="201" spans="1:35" x14ac:dyDescent="0.2">
      <c r="A201">
        <v>200</v>
      </c>
      <c r="B201" t="s">
        <v>672</v>
      </c>
      <c r="C201" t="s">
        <v>677</v>
      </c>
      <c r="D201" t="s">
        <v>386</v>
      </c>
      <c r="E201">
        <v>5</v>
      </c>
      <c r="F201">
        <v>-4.9560000000000004</v>
      </c>
      <c r="G201">
        <v>-29.968</v>
      </c>
      <c r="H201">
        <v>17336</v>
      </c>
      <c r="I201">
        <v>0</v>
      </c>
      <c r="J201">
        <v>1</v>
      </c>
      <c r="K201" t="s">
        <v>359</v>
      </c>
      <c r="L201" t="s">
        <v>359</v>
      </c>
      <c r="M201" t="s">
        <v>360</v>
      </c>
      <c r="N201">
        <v>1649211214.03</v>
      </c>
      <c r="O201">
        <v>0.20200000000000001</v>
      </c>
      <c r="P201">
        <v>0.35899999999999999</v>
      </c>
      <c r="Q201">
        <v>60.499000000000002</v>
      </c>
      <c r="R201">
        <v>0</v>
      </c>
      <c r="S201">
        <v>1E-3</v>
      </c>
      <c r="T201">
        <v>1.448</v>
      </c>
      <c r="U201">
        <v>102.42700000000001</v>
      </c>
      <c r="V201">
        <v>21.231000000000002</v>
      </c>
      <c r="W201">
        <v>2.4649999999999999</v>
      </c>
      <c r="X201">
        <v>95.177000000000007</v>
      </c>
      <c r="Y201">
        <v>0.88200000000000001</v>
      </c>
      <c r="Z201">
        <v>0.26300000000000001</v>
      </c>
      <c r="AA201">
        <v>0</v>
      </c>
      <c r="AB201">
        <v>0</v>
      </c>
      <c r="AC201">
        <v>1</v>
      </c>
      <c r="AD201">
        <v>39.938000000000002</v>
      </c>
      <c r="AE201">
        <v>1</v>
      </c>
      <c r="AF201">
        <v>26</v>
      </c>
      <c r="AG201">
        <v>2</v>
      </c>
      <c r="AH201" t="s">
        <v>361</v>
      </c>
      <c r="AI201">
        <v>0</v>
      </c>
    </row>
    <row r="202" spans="1:35" x14ac:dyDescent="0.2">
      <c r="A202">
        <v>201</v>
      </c>
      <c r="B202" t="s">
        <v>672</v>
      </c>
      <c r="C202" t="s">
        <v>678</v>
      </c>
      <c r="D202" t="s">
        <v>386</v>
      </c>
      <c r="E202">
        <v>6</v>
      </c>
      <c r="F202">
        <v>-4.9660000000000002</v>
      </c>
      <c r="G202">
        <v>-29.832000000000001</v>
      </c>
      <c r="H202">
        <v>17418</v>
      </c>
      <c r="I202">
        <v>0</v>
      </c>
      <c r="J202">
        <v>1</v>
      </c>
      <c r="K202" t="s">
        <v>359</v>
      </c>
      <c r="L202" t="s">
        <v>359</v>
      </c>
      <c r="M202" t="s">
        <v>360</v>
      </c>
      <c r="N202">
        <v>1649211751.5999999</v>
      </c>
      <c r="O202">
        <v>0.216</v>
      </c>
      <c r="P202">
        <v>0.38900000000000001</v>
      </c>
      <c r="Q202">
        <v>62.442</v>
      </c>
      <c r="R202">
        <v>1E-3</v>
      </c>
      <c r="S202">
        <v>0</v>
      </c>
      <c r="T202">
        <v>1.4970000000000001</v>
      </c>
      <c r="U202">
        <v>102.917</v>
      </c>
      <c r="V202">
        <v>20.864000000000001</v>
      </c>
      <c r="W202">
        <v>2.5209999999999999</v>
      </c>
      <c r="X202">
        <v>97.347999999999999</v>
      </c>
      <c r="Y202">
        <v>0.88500000000000001</v>
      </c>
      <c r="Z202">
        <v>0.436</v>
      </c>
      <c r="AA202">
        <v>0</v>
      </c>
      <c r="AB202">
        <v>0</v>
      </c>
      <c r="AC202">
        <v>1</v>
      </c>
      <c r="AD202">
        <v>39.875</v>
      </c>
      <c r="AE202">
        <v>1</v>
      </c>
      <c r="AF202">
        <v>26</v>
      </c>
      <c r="AG202">
        <v>2</v>
      </c>
      <c r="AH202" t="s">
        <v>361</v>
      </c>
      <c r="AI202">
        <v>0</v>
      </c>
    </row>
    <row r="203" spans="1:35" x14ac:dyDescent="0.2">
      <c r="A203">
        <v>202</v>
      </c>
      <c r="B203" t="s">
        <v>679</v>
      </c>
      <c r="C203" t="s">
        <v>680</v>
      </c>
      <c r="D203" t="s">
        <v>387</v>
      </c>
      <c r="E203">
        <v>1</v>
      </c>
      <c r="F203">
        <v>-4.7960000000000003</v>
      </c>
      <c r="G203">
        <v>-24.937000000000001</v>
      </c>
      <c r="H203">
        <v>17389</v>
      </c>
      <c r="I203">
        <v>-1</v>
      </c>
      <c r="J203">
        <v>1</v>
      </c>
      <c r="K203" t="s">
        <v>359</v>
      </c>
      <c r="L203" t="s">
        <v>359</v>
      </c>
      <c r="M203" t="s">
        <v>360</v>
      </c>
      <c r="N203">
        <v>1649212289.1900001</v>
      </c>
      <c r="O203">
        <v>0.187</v>
      </c>
      <c r="P203">
        <v>0.42399999999999999</v>
      </c>
      <c r="Q203">
        <v>59.981000000000002</v>
      </c>
      <c r="R203">
        <v>1E-3</v>
      </c>
      <c r="S203">
        <v>-1E-3</v>
      </c>
      <c r="T203">
        <v>1.4370000000000001</v>
      </c>
      <c r="U203">
        <v>102.708</v>
      </c>
      <c r="V203">
        <v>21.097000000000001</v>
      </c>
      <c r="W203">
        <v>2.5409999999999999</v>
      </c>
      <c r="X203">
        <v>96.397999999999996</v>
      </c>
      <c r="Y203">
        <v>0.88100000000000001</v>
      </c>
      <c r="Z203">
        <v>0.44900000000000001</v>
      </c>
      <c r="AA203">
        <v>0</v>
      </c>
      <c r="AB203">
        <v>0</v>
      </c>
      <c r="AC203">
        <v>1</v>
      </c>
      <c r="AD203">
        <v>39.875</v>
      </c>
      <c r="AE203">
        <v>1</v>
      </c>
      <c r="AF203">
        <v>27</v>
      </c>
      <c r="AG203">
        <v>2</v>
      </c>
      <c r="AH203" t="s">
        <v>361</v>
      </c>
      <c r="AI203">
        <v>0</v>
      </c>
    </row>
    <row r="204" spans="1:35" x14ac:dyDescent="0.2">
      <c r="A204">
        <v>203</v>
      </c>
      <c r="B204" t="s">
        <v>679</v>
      </c>
      <c r="C204" t="s">
        <v>681</v>
      </c>
      <c r="D204" t="s">
        <v>387</v>
      </c>
      <c r="E204">
        <v>2</v>
      </c>
      <c r="F204">
        <v>-4.6189999999999998</v>
      </c>
      <c r="G204">
        <v>-24.294</v>
      </c>
      <c r="H204">
        <v>17524</v>
      </c>
      <c r="I204">
        <v>-1</v>
      </c>
      <c r="J204">
        <v>1</v>
      </c>
      <c r="K204" t="s">
        <v>359</v>
      </c>
      <c r="L204" t="s">
        <v>359</v>
      </c>
      <c r="M204" t="s">
        <v>360</v>
      </c>
      <c r="N204">
        <v>1649212827.3699999</v>
      </c>
      <c r="O204">
        <v>0.25</v>
      </c>
      <c r="P204">
        <v>0.56100000000000005</v>
      </c>
      <c r="Q204">
        <v>78.438999999999993</v>
      </c>
      <c r="R204">
        <v>3.0000000000000001E-3</v>
      </c>
      <c r="S204">
        <v>8.9999999999999993E-3</v>
      </c>
      <c r="T204">
        <v>1.8819999999999999</v>
      </c>
      <c r="U204">
        <v>103.78100000000001</v>
      </c>
      <c r="V204">
        <v>21.231000000000002</v>
      </c>
      <c r="W204">
        <v>2.4820000000000002</v>
      </c>
      <c r="X204">
        <v>96.135999999999996</v>
      </c>
      <c r="Y204">
        <v>0.88500000000000001</v>
      </c>
      <c r="Z204">
        <v>0.21099999999999999</v>
      </c>
      <c r="AA204">
        <v>0</v>
      </c>
      <c r="AB204">
        <v>0</v>
      </c>
      <c r="AC204">
        <v>1</v>
      </c>
      <c r="AD204">
        <v>39.875</v>
      </c>
      <c r="AE204">
        <v>1</v>
      </c>
      <c r="AF204">
        <v>27</v>
      </c>
      <c r="AG204">
        <v>2</v>
      </c>
      <c r="AH204" t="s">
        <v>361</v>
      </c>
      <c r="AI204">
        <v>0</v>
      </c>
    </row>
    <row r="205" spans="1:35" x14ac:dyDescent="0.2">
      <c r="A205">
        <v>204</v>
      </c>
      <c r="B205" t="s">
        <v>679</v>
      </c>
      <c r="C205" t="s">
        <v>682</v>
      </c>
      <c r="D205" t="s">
        <v>387</v>
      </c>
      <c r="E205">
        <v>3</v>
      </c>
      <c r="F205">
        <v>-4.7450000000000001</v>
      </c>
      <c r="G205">
        <v>-24.283000000000001</v>
      </c>
      <c r="H205">
        <v>17432</v>
      </c>
      <c r="I205">
        <v>-1</v>
      </c>
      <c r="J205">
        <v>1</v>
      </c>
      <c r="K205" t="s">
        <v>359</v>
      </c>
      <c r="L205" t="s">
        <v>359</v>
      </c>
      <c r="M205" t="s">
        <v>360</v>
      </c>
      <c r="N205">
        <v>1649213363.9300001</v>
      </c>
      <c r="O205">
        <v>0.20399999999999999</v>
      </c>
      <c r="P205">
        <v>0.36399999999999999</v>
      </c>
      <c r="Q205">
        <v>61.27</v>
      </c>
      <c r="R205">
        <v>1E-3</v>
      </c>
      <c r="S205">
        <v>1E-3</v>
      </c>
      <c r="T205">
        <v>1.466</v>
      </c>
      <c r="U205">
        <v>102.92100000000001</v>
      </c>
      <c r="V205">
        <v>20.891999999999999</v>
      </c>
      <c r="W205">
        <v>2.532</v>
      </c>
      <c r="X205">
        <v>97.897999999999996</v>
      </c>
      <c r="Y205">
        <v>0.88200000000000001</v>
      </c>
      <c r="Z205">
        <v>0.57899999999999996</v>
      </c>
      <c r="AA205">
        <v>0</v>
      </c>
      <c r="AB205">
        <v>0</v>
      </c>
      <c r="AC205">
        <v>1</v>
      </c>
      <c r="AD205">
        <v>39.875</v>
      </c>
      <c r="AE205">
        <v>1</v>
      </c>
      <c r="AF205">
        <v>27</v>
      </c>
      <c r="AG205">
        <v>2</v>
      </c>
      <c r="AH205" t="s">
        <v>361</v>
      </c>
      <c r="AI205">
        <v>0</v>
      </c>
    </row>
    <row r="206" spans="1:35" x14ac:dyDescent="0.2">
      <c r="A206">
        <v>205</v>
      </c>
      <c r="B206" t="s">
        <v>679</v>
      </c>
      <c r="C206" t="s">
        <v>683</v>
      </c>
      <c r="D206" t="s">
        <v>387</v>
      </c>
      <c r="E206">
        <v>4</v>
      </c>
      <c r="F206">
        <v>-4.7930000000000001</v>
      </c>
      <c r="G206">
        <v>-24.626000000000001</v>
      </c>
      <c r="H206">
        <v>17419</v>
      </c>
      <c r="I206">
        <v>0</v>
      </c>
      <c r="J206">
        <v>1</v>
      </c>
      <c r="K206" t="s">
        <v>359</v>
      </c>
      <c r="L206" t="s">
        <v>359</v>
      </c>
      <c r="M206" t="s">
        <v>360</v>
      </c>
      <c r="N206">
        <v>1649213902.0599999</v>
      </c>
      <c r="O206">
        <v>0.19900000000000001</v>
      </c>
      <c r="P206">
        <v>0.36499999999999999</v>
      </c>
      <c r="Q206">
        <v>60.798000000000002</v>
      </c>
      <c r="R206">
        <v>1E-3</v>
      </c>
      <c r="S206">
        <v>0</v>
      </c>
      <c r="T206">
        <v>1.4590000000000001</v>
      </c>
      <c r="U206">
        <v>103.125</v>
      </c>
      <c r="V206">
        <v>20.846</v>
      </c>
      <c r="W206">
        <v>2.496</v>
      </c>
      <c r="X206">
        <v>96.274000000000001</v>
      </c>
      <c r="Y206">
        <v>0.88700000000000001</v>
      </c>
      <c r="Z206">
        <v>0.31</v>
      </c>
      <c r="AA206">
        <v>0</v>
      </c>
      <c r="AB206">
        <v>0</v>
      </c>
      <c r="AC206">
        <v>1</v>
      </c>
      <c r="AD206">
        <v>39.875</v>
      </c>
      <c r="AE206">
        <v>1</v>
      </c>
      <c r="AF206">
        <v>27</v>
      </c>
      <c r="AG206">
        <v>2</v>
      </c>
      <c r="AH206" t="s">
        <v>361</v>
      </c>
      <c r="AI206">
        <v>0</v>
      </c>
    </row>
    <row r="207" spans="1:35" x14ac:dyDescent="0.2">
      <c r="A207">
        <v>206</v>
      </c>
      <c r="B207" t="s">
        <v>679</v>
      </c>
      <c r="C207" t="s">
        <v>684</v>
      </c>
      <c r="D207" t="s">
        <v>387</v>
      </c>
      <c r="E207">
        <v>5</v>
      </c>
      <c r="F207">
        <v>-4.8280000000000003</v>
      </c>
      <c r="G207">
        <v>-24.47</v>
      </c>
      <c r="H207">
        <v>17384</v>
      </c>
      <c r="I207">
        <v>0</v>
      </c>
      <c r="J207">
        <v>1</v>
      </c>
      <c r="K207" t="s">
        <v>359</v>
      </c>
      <c r="L207" t="s">
        <v>359</v>
      </c>
      <c r="M207" t="s">
        <v>360</v>
      </c>
      <c r="N207">
        <v>1649214438.8900001</v>
      </c>
      <c r="O207">
        <v>0.192</v>
      </c>
      <c r="P207">
        <v>0.40400000000000003</v>
      </c>
      <c r="Q207">
        <v>61.325000000000003</v>
      </c>
      <c r="R207">
        <v>1E-3</v>
      </c>
      <c r="S207">
        <v>1E-3</v>
      </c>
      <c r="T207">
        <v>1.4650000000000001</v>
      </c>
      <c r="U207">
        <v>102.8</v>
      </c>
      <c r="V207">
        <v>21.007000000000001</v>
      </c>
      <c r="W207">
        <v>2.488</v>
      </c>
      <c r="X207">
        <v>95.866</v>
      </c>
      <c r="Y207">
        <v>0.88200000000000001</v>
      </c>
      <c r="Z207">
        <v>0.40200000000000002</v>
      </c>
      <c r="AA207">
        <v>0</v>
      </c>
      <c r="AB207">
        <v>0</v>
      </c>
      <c r="AC207">
        <v>1</v>
      </c>
      <c r="AD207">
        <v>39.938000000000002</v>
      </c>
      <c r="AE207">
        <v>1</v>
      </c>
      <c r="AF207">
        <v>27</v>
      </c>
      <c r="AG207">
        <v>2</v>
      </c>
      <c r="AH207" t="s">
        <v>361</v>
      </c>
      <c r="AI207">
        <v>0</v>
      </c>
    </row>
    <row r="208" spans="1:35" x14ac:dyDescent="0.2">
      <c r="A208">
        <v>207</v>
      </c>
      <c r="B208" t="s">
        <v>679</v>
      </c>
      <c r="C208" t="s">
        <v>685</v>
      </c>
      <c r="D208" t="s">
        <v>387</v>
      </c>
      <c r="E208">
        <v>6</v>
      </c>
      <c r="F208">
        <v>-4.7750000000000004</v>
      </c>
      <c r="G208">
        <v>-24.315999999999999</v>
      </c>
      <c r="H208">
        <v>17393</v>
      </c>
      <c r="I208">
        <v>0</v>
      </c>
      <c r="J208">
        <v>1</v>
      </c>
      <c r="K208" t="s">
        <v>359</v>
      </c>
      <c r="L208" t="s">
        <v>359</v>
      </c>
      <c r="M208" t="s">
        <v>360</v>
      </c>
      <c r="N208">
        <v>1649214976.8800001</v>
      </c>
      <c r="O208">
        <v>0.193</v>
      </c>
      <c r="P208">
        <v>0.35899999999999999</v>
      </c>
      <c r="Q208">
        <v>59.868000000000002</v>
      </c>
      <c r="R208">
        <v>0</v>
      </c>
      <c r="S208">
        <v>0</v>
      </c>
      <c r="T208">
        <v>1.4339999999999999</v>
      </c>
      <c r="U208">
        <v>102.791</v>
      </c>
      <c r="V208">
        <v>21.053000000000001</v>
      </c>
      <c r="W208">
        <v>2.488</v>
      </c>
      <c r="X208">
        <v>96.489000000000004</v>
      </c>
      <c r="Y208">
        <v>0.89</v>
      </c>
      <c r="Z208">
        <v>0.42</v>
      </c>
      <c r="AA208">
        <v>0</v>
      </c>
      <c r="AB208">
        <v>0</v>
      </c>
      <c r="AC208">
        <v>1</v>
      </c>
      <c r="AD208">
        <v>39.938000000000002</v>
      </c>
      <c r="AE208">
        <v>1</v>
      </c>
      <c r="AF208">
        <v>27</v>
      </c>
      <c r="AG208">
        <v>2</v>
      </c>
      <c r="AH208" t="s">
        <v>361</v>
      </c>
      <c r="AI208">
        <v>0</v>
      </c>
    </row>
    <row r="209" spans="1:35" x14ac:dyDescent="0.2">
      <c r="A209">
        <v>208</v>
      </c>
      <c r="B209" t="s">
        <v>686</v>
      </c>
      <c r="C209" t="s">
        <v>687</v>
      </c>
      <c r="D209" t="s">
        <v>388</v>
      </c>
      <c r="E209">
        <v>1</v>
      </c>
      <c r="F209">
        <v>-5.3810000000000002</v>
      </c>
      <c r="G209">
        <v>-28.632999999999999</v>
      </c>
      <c r="H209">
        <v>17450</v>
      </c>
      <c r="I209">
        <v>-1</v>
      </c>
      <c r="J209">
        <v>1</v>
      </c>
      <c r="K209" t="s">
        <v>359</v>
      </c>
      <c r="L209" t="s">
        <v>359</v>
      </c>
      <c r="M209" t="s">
        <v>360</v>
      </c>
      <c r="N209">
        <v>1649215514.54</v>
      </c>
      <c r="O209">
        <v>0.23200000000000001</v>
      </c>
      <c r="P209">
        <v>0.40500000000000003</v>
      </c>
      <c r="Q209">
        <v>59.155000000000001</v>
      </c>
      <c r="R209">
        <v>1E-3</v>
      </c>
      <c r="S209">
        <v>0</v>
      </c>
      <c r="T209">
        <v>1.421</v>
      </c>
      <c r="U209">
        <v>102.971</v>
      </c>
      <c r="V209">
        <v>21.722000000000001</v>
      </c>
      <c r="W209">
        <v>2.4660000000000002</v>
      </c>
      <c r="X209">
        <v>95.566999999999993</v>
      </c>
      <c r="Y209">
        <v>0.879</v>
      </c>
      <c r="Z209">
        <v>0.42199999999999999</v>
      </c>
      <c r="AA209">
        <v>0</v>
      </c>
      <c r="AB209">
        <v>0</v>
      </c>
      <c r="AC209">
        <v>1</v>
      </c>
      <c r="AD209">
        <v>40</v>
      </c>
      <c r="AE209">
        <v>1</v>
      </c>
      <c r="AF209">
        <v>28</v>
      </c>
      <c r="AG209">
        <v>2</v>
      </c>
      <c r="AH209" t="s">
        <v>361</v>
      </c>
      <c r="AI209">
        <v>0</v>
      </c>
    </row>
    <row r="210" spans="1:35" x14ac:dyDescent="0.2">
      <c r="A210">
        <v>209</v>
      </c>
      <c r="B210" t="s">
        <v>686</v>
      </c>
      <c r="C210" t="s">
        <v>688</v>
      </c>
      <c r="D210" t="s">
        <v>388</v>
      </c>
      <c r="E210">
        <v>2</v>
      </c>
      <c r="F210">
        <v>-5.4829999999999997</v>
      </c>
      <c r="G210">
        <v>-29.181999999999999</v>
      </c>
      <c r="H210">
        <v>17412</v>
      </c>
      <c r="I210">
        <v>-1</v>
      </c>
      <c r="J210">
        <v>1</v>
      </c>
      <c r="K210" t="s">
        <v>359</v>
      </c>
      <c r="L210" t="s">
        <v>359</v>
      </c>
      <c r="M210" t="s">
        <v>360</v>
      </c>
      <c r="N210">
        <v>1649216052.0899999</v>
      </c>
      <c r="O210">
        <v>0.215</v>
      </c>
      <c r="P210">
        <v>0.38800000000000001</v>
      </c>
      <c r="Q210">
        <v>60.576000000000001</v>
      </c>
      <c r="R210">
        <v>0</v>
      </c>
      <c r="S210">
        <v>0</v>
      </c>
      <c r="T210">
        <v>1.4570000000000001</v>
      </c>
      <c r="U210">
        <v>102.723</v>
      </c>
      <c r="V210">
        <v>21.427</v>
      </c>
      <c r="W210">
        <v>2.5270000000000001</v>
      </c>
      <c r="X210">
        <v>96.436000000000007</v>
      </c>
      <c r="Y210">
        <v>0.88800000000000001</v>
      </c>
      <c r="Z210">
        <v>0.50900000000000001</v>
      </c>
      <c r="AA210">
        <v>0</v>
      </c>
      <c r="AB210">
        <v>0</v>
      </c>
      <c r="AC210">
        <v>1</v>
      </c>
      <c r="AD210">
        <v>40</v>
      </c>
      <c r="AE210">
        <v>1</v>
      </c>
      <c r="AF210">
        <v>28</v>
      </c>
      <c r="AG210">
        <v>2</v>
      </c>
      <c r="AH210" t="s">
        <v>361</v>
      </c>
      <c r="AI210">
        <v>0</v>
      </c>
    </row>
    <row r="211" spans="1:35" x14ac:dyDescent="0.2">
      <c r="A211">
        <v>210</v>
      </c>
      <c r="B211" t="s">
        <v>686</v>
      </c>
      <c r="C211" t="s">
        <v>689</v>
      </c>
      <c r="D211" t="s">
        <v>388</v>
      </c>
      <c r="E211">
        <v>3</v>
      </c>
      <c r="F211">
        <v>-5.4980000000000002</v>
      </c>
      <c r="G211">
        <v>-29.312999999999999</v>
      </c>
      <c r="H211">
        <v>17386</v>
      </c>
      <c r="I211">
        <v>-1</v>
      </c>
      <c r="J211">
        <v>1</v>
      </c>
      <c r="K211" t="s">
        <v>359</v>
      </c>
      <c r="L211" t="s">
        <v>359</v>
      </c>
      <c r="M211" t="s">
        <v>360</v>
      </c>
      <c r="N211">
        <v>1649216589.5999999</v>
      </c>
      <c r="O211">
        <v>0.20699999999999999</v>
      </c>
      <c r="P211">
        <v>0.39</v>
      </c>
      <c r="Q211">
        <v>61.844000000000001</v>
      </c>
      <c r="R211">
        <v>1E-3</v>
      </c>
      <c r="S211">
        <v>1E-3</v>
      </c>
      <c r="T211">
        <v>1.474</v>
      </c>
      <c r="U211">
        <v>102.76600000000001</v>
      </c>
      <c r="V211">
        <v>20.73</v>
      </c>
      <c r="W211">
        <v>2.5139999999999998</v>
      </c>
      <c r="X211">
        <v>97.216999999999999</v>
      </c>
      <c r="Y211">
        <v>0.88600000000000001</v>
      </c>
      <c r="Z211">
        <v>0.52</v>
      </c>
      <c r="AA211">
        <v>0</v>
      </c>
      <c r="AB211">
        <v>0</v>
      </c>
      <c r="AC211">
        <v>1</v>
      </c>
      <c r="AD211">
        <v>40</v>
      </c>
      <c r="AE211">
        <v>1</v>
      </c>
      <c r="AF211">
        <v>28</v>
      </c>
      <c r="AG211">
        <v>2</v>
      </c>
      <c r="AH211" t="s">
        <v>361</v>
      </c>
      <c r="AI211">
        <v>0</v>
      </c>
    </row>
    <row r="212" spans="1:35" x14ac:dyDescent="0.2">
      <c r="A212">
        <v>211</v>
      </c>
      <c r="B212" t="s">
        <v>686</v>
      </c>
      <c r="C212" t="s">
        <v>690</v>
      </c>
      <c r="D212" t="s">
        <v>388</v>
      </c>
      <c r="E212">
        <v>4</v>
      </c>
      <c r="F212">
        <v>-5.4909999999999997</v>
      </c>
      <c r="G212">
        <v>-29.349</v>
      </c>
      <c r="H212">
        <v>17399</v>
      </c>
      <c r="I212">
        <v>0</v>
      </c>
      <c r="J212">
        <v>1</v>
      </c>
      <c r="K212" t="s">
        <v>359</v>
      </c>
      <c r="L212" t="s">
        <v>359</v>
      </c>
      <c r="M212" t="s">
        <v>360</v>
      </c>
      <c r="N212">
        <v>1649217127.96</v>
      </c>
      <c r="O212">
        <v>0.21199999999999999</v>
      </c>
      <c r="P212">
        <v>0.39700000000000002</v>
      </c>
      <c r="Q212">
        <v>60.231999999999999</v>
      </c>
      <c r="R212">
        <v>1E-3</v>
      </c>
      <c r="S212">
        <v>-1E-3</v>
      </c>
      <c r="T212">
        <v>1.4339999999999999</v>
      </c>
      <c r="U212">
        <v>102.842</v>
      </c>
      <c r="V212">
        <v>21.41</v>
      </c>
      <c r="W212">
        <v>2.419</v>
      </c>
      <c r="X212">
        <v>95.117000000000004</v>
      </c>
      <c r="Y212">
        <v>0.88100000000000001</v>
      </c>
      <c r="Z212">
        <v>0.307</v>
      </c>
      <c r="AA212">
        <v>0</v>
      </c>
      <c r="AB212">
        <v>0</v>
      </c>
      <c r="AC212">
        <v>1</v>
      </c>
      <c r="AD212">
        <v>40</v>
      </c>
      <c r="AE212">
        <v>1</v>
      </c>
      <c r="AF212">
        <v>28</v>
      </c>
      <c r="AG212">
        <v>2</v>
      </c>
      <c r="AH212" t="s">
        <v>361</v>
      </c>
      <c r="AI212">
        <v>0</v>
      </c>
    </row>
    <row r="213" spans="1:35" x14ac:dyDescent="0.2">
      <c r="A213">
        <v>212</v>
      </c>
      <c r="B213" t="s">
        <v>686</v>
      </c>
      <c r="C213" t="s">
        <v>691</v>
      </c>
      <c r="D213" t="s">
        <v>388</v>
      </c>
      <c r="E213">
        <v>5</v>
      </c>
      <c r="F213">
        <v>-5.5570000000000004</v>
      </c>
      <c r="G213">
        <v>-29.488</v>
      </c>
      <c r="H213">
        <v>17375</v>
      </c>
      <c r="I213">
        <v>0</v>
      </c>
      <c r="J213">
        <v>1</v>
      </c>
      <c r="K213" t="s">
        <v>359</v>
      </c>
      <c r="L213" t="s">
        <v>359</v>
      </c>
      <c r="M213" t="s">
        <v>360</v>
      </c>
      <c r="N213">
        <v>1649217665.3900001</v>
      </c>
      <c r="O213">
        <v>0.23699999999999999</v>
      </c>
      <c r="P213">
        <v>0.41</v>
      </c>
      <c r="Q213">
        <v>64.144000000000005</v>
      </c>
      <c r="R213">
        <v>2E-3</v>
      </c>
      <c r="S213">
        <v>3.0000000000000001E-3</v>
      </c>
      <c r="T213">
        <v>1.546</v>
      </c>
      <c r="U213">
        <v>102.768</v>
      </c>
      <c r="V213">
        <v>20.652999999999999</v>
      </c>
      <c r="W213">
        <v>2.4980000000000002</v>
      </c>
      <c r="X213">
        <v>96.972999999999999</v>
      </c>
      <c r="Y213">
        <v>0.88100000000000001</v>
      </c>
      <c r="Z213">
        <v>0.41099999999999998</v>
      </c>
      <c r="AA213">
        <v>0</v>
      </c>
      <c r="AB213">
        <v>0</v>
      </c>
      <c r="AC213">
        <v>1</v>
      </c>
      <c r="AD213">
        <v>39.938000000000002</v>
      </c>
      <c r="AE213">
        <v>1</v>
      </c>
      <c r="AF213">
        <v>28</v>
      </c>
      <c r="AG213">
        <v>2</v>
      </c>
      <c r="AH213" t="s">
        <v>361</v>
      </c>
      <c r="AI213">
        <v>0</v>
      </c>
    </row>
    <row r="214" spans="1:35" x14ac:dyDescent="0.2">
      <c r="A214">
        <v>213</v>
      </c>
      <c r="B214" t="s">
        <v>686</v>
      </c>
      <c r="C214" t="s">
        <v>692</v>
      </c>
      <c r="D214" t="s">
        <v>388</v>
      </c>
      <c r="E214">
        <v>6</v>
      </c>
      <c r="F214">
        <v>-5.4770000000000003</v>
      </c>
      <c r="G214">
        <v>-29.298999999999999</v>
      </c>
      <c r="H214">
        <v>17399</v>
      </c>
      <c r="I214">
        <v>0</v>
      </c>
      <c r="J214">
        <v>1</v>
      </c>
      <c r="K214" t="s">
        <v>359</v>
      </c>
      <c r="L214" t="s">
        <v>359</v>
      </c>
      <c r="M214" t="s">
        <v>360</v>
      </c>
      <c r="N214">
        <v>1649218202.22</v>
      </c>
      <c r="O214">
        <v>0.20200000000000001</v>
      </c>
      <c r="P214">
        <v>0.36399999999999999</v>
      </c>
      <c r="Q214">
        <v>61.177999999999997</v>
      </c>
      <c r="R214">
        <v>1E-3</v>
      </c>
      <c r="S214">
        <v>1E-3</v>
      </c>
      <c r="T214">
        <v>1.4590000000000001</v>
      </c>
      <c r="U214">
        <v>102.504</v>
      </c>
      <c r="V214">
        <v>21.545000000000002</v>
      </c>
      <c r="W214">
        <v>2.5270000000000001</v>
      </c>
      <c r="X214">
        <v>96.79</v>
      </c>
      <c r="Y214">
        <v>0.88400000000000001</v>
      </c>
      <c r="Z214">
        <v>0.628</v>
      </c>
      <c r="AA214">
        <v>0</v>
      </c>
      <c r="AB214">
        <v>0</v>
      </c>
      <c r="AC214">
        <v>1</v>
      </c>
      <c r="AD214">
        <v>39.938000000000002</v>
      </c>
      <c r="AE214">
        <v>1</v>
      </c>
      <c r="AF214">
        <v>28</v>
      </c>
      <c r="AG214">
        <v>2</v>
      </c>
      <c r="AH214" t="s">
        <v>361</v>
      </c>
      <c r="AI214">
        <v>0</v>
      </c>
    </row>
    <row r="215" spans="1:35" x14ac:dyDescent="0.2">
      <c r="A215">
        <v>214</v>
      </c>
      <c r="B215" t="s">
        <v>693</v>
      </c>
      <c r="C215" t="s">
        <v>694</v>
      </c>
      <c r="D215" t="s">
        <v>389</v>
      </c>
      <c r="E215">
        <v>1</v>
      </c>
      <c r="F215">
        <v>-4.891</v>
      </c>
      <c r="G215">
        <v>-25.288</v>
      </c>
      <c r="H215">
        <v>17293</v>
      </c>
      <c r="I215">
        <v>-1</v>
      </c>
      <c r="J215">
        <v>1</v>
      </c>
      <c r="K215" t="s">
        <v>359</v>
      </c>
      <c r="L215" t="s">
        <v>359</v>
      </c>
      <c r="M215" t="s">
        <v>360</v>
      </c>
      <c r="N215">
        <v>1649218740.6900001</v>
      </c>
      <c r="O215">
        <v>0.219</v>
      </c>
      <c r="P215">
        <v>0.41899999999999998</v>
      </c>
      <c r="Q215">
        <v>65.843999999999994</v>
      </c>
      <c r="R215">
        <v>1E-3</v>
      </c>
      <c r="S215">
        <v>3.0000000000000001E-3</v>
      </c>
      <c r="T215">
        <v>1.57</v>
      </c>
      <c r="U215">
        <v>102.008</v>
      </c>
      <c r="V215">
        <v>21.17</v>
      </c>
      <c r="W215">
        <v>2.4950000000000001</v>
      </c>
      <c r="X215">
        <v>95.816999999999993</v>
      </c>
      <c r="Y215">
        <v>0.88</v>
      </c>
      <c r="Z215">
        <v>0.46400000000000002</v>
      </c>
      <c r="AA215">
        <v>0</v>
      </c>
      <c r="AB215">
        <v>0</v>
      </c>
      <c r="AC215">
        <v>1</v>
      </c>
      <c r="AD215">
        <v>39.938000000000002</v>
      </c>
      <c r="AE215">
        <v>1</v>
      </c>
      <c r="AF215">
        <v>29</v>
      </c>
      <c r="AG215">
        <v>2</v>
      </c>
      <c r="AH215" t="s">
        <v>361</v>
      </c>
      <c r="AI215">
        <v>0</v>
      </c>
    </row>
    <row r="216" spans="1:35" x14ac:dyDescent="0.2">
      <c r="A216">
        <v>215</v>
      </c>
      <c r="B216" t="s">
        <v>693</v>
      </c>
      <c r="C216" t="s">
        <v>695</v>
      </c>
      <c r="D216" t="s">
        <v>389</v>
      </c>
      <c r="E216">
        <v>2</v>
      </c>
      <c r="F216">
        <v>-4.7409999999999997</v>
      </c>
      <c r="G216">
        <v>-24.797000000000001</v>
      </c>
      <c r="H216">
        <v>17464</v>
      </c>
      <c r="I216">
        <v>-1</v>
      </c>
      <c r="J216">
        <v>1</v>
      </c>
      <c r="K216" t="s">
        <v>359</v>
      </c>
      <c r="L216" t="s">
        <v>359</v>
      </c>
      <c r="M216" t="s">
        <v>360</v>
      </c>
      <c r="N216">
        <v>1649219277.47</v>
      </c>
      <c r="O216">
        <v>0.218</v>
      </c>
      <c r="P216">
        <v>0.40600000000000003</v>
      </c>
      <c r="Q216">
        <v>61.843000000000004</v>
      </c>
      <c r="R216">
        <v>2E-3</v>
      </c>
      <c r="S216">
        <v>2E-3</v>
      </c>
      <c r="T216">
        <v>1.4690000000000001</v>
      </c>
      <c r="U216">
        <v>103.264</v>
      </c>
      <c r="V216">
        <v>21.16</v>
      </c>
      <c r="W216">
        <v>2.4889999999999999</v>
      </c>
      <c r="X216">
        <v>96.501999999999995</v>
      </c>
      <c r="Y216">
        <v>0.88300000000000001</v>
      </c>
      <c r="Z216">
        <v>0.39400000000000002</v>
      </c>
      <c r="AA216">
        <v>0</v>
      </c>
      <c r="AB216">
        <v>0</v>
      </c>
      <c r="AC216">
        <v>1</v>
      </c>
      <c r="AD216">
        <v>39.938000000000002</v>
      </c>
      <c r="AE216">
        <v>1</v>
      </c>
      <c r="AF216">
        <v>29</v>
      </c>
      <c r="AG216">
        <v>2</v>
      </c>
      <c r="AH216" t="s">
        <v>361</v>
      </c>
      <c r="AI216">
        <v>0</v>
      </c>
    </row>
    <row r="217" spans="1:35" x14ac:dyDescent="0.2">
      <c r="A217">
        <v>216</v>
      </c>
      <c r="B217" t="s">
        <v>693</v>
      </c>
      <c r="C217" t="s">
        <v>696</v>
      </c>
      <c r="D217" t="s">
        <v>389</v>
      </c>
      <c r="E217">
        <v>3</v>
      </c>
      <c r="F217">
        <v>-4.7709999999999999</v>
      </c>
      <c r="G217">
        <v>-24.687000000000001</v>
      </c>
      <c r="H217">
        <v>17444</v>
      </c>
      <c r="I217">
        <v>-1</v>
      </c>
      <c r="J217">
        <v>1</v>
      </c>
      <c r="K217" t="s">
        <v>359</v>
      </c>
      <c r="L217" t="s">
        <v>359</v>
      </c>
      <c r="M217" t="s">
        <v>360</v>
      </c>
      <c r="N217">
        <v>1649219815.1500001</v>
      </c>
      <c r="O217">
        <v>0.21</v>
      </c>
      <c r="P217">
        <v>0.40200000000000002</v>
      </c>
      <c r="Q217">
        <v>59.832000000000001</v>
      </c>
      <c r="R217">
        <v>0</v>
      </c>
      <c r="S217">
        <v>0</v>
      </c>
      <c r="T217">
        <v>1.4359999999999999</v>
      </c>
      <c r="U217">
        <v>103.169</v>
      </c>
      <c r="V217">
        <v>21.244</v>
      </c>
      <c r="W217">
        <v>2.4780000000000002</v>
      </c>
      <c r="X217">
        <v>95.838999999999999</v>
      </c>
      <c r="Y217">
        <v>0.88400000000000001</v>
      </c>
      <c r="Z217">
        <v>0.34499999999999997</v>
      </c>
      <c r="AA217">
        <v>0</v>
      </c>
      <c r="AB217">
        <v>0</v>
      </c>
      <c r="AC217">
        <v>1</v>
      </c>
      <c r="AD217">
        <v>39.938000000000002</v>
      </c>
      <c r="AE217">
        <v>1</v>
      </c>
      <c r="AF217">
        <v>29</v>
      </c>
      <c r="AG217">
        <v>2</v>
      </c>
      <c r="AH217" t="s">
        <v>361</v>
      </c>
      <c r="AI217">
        <v>0</v>
      </c>
    </row>
    <row r="218" spans="1:35" x14ac:dyDescent="0.2">
      <c r="A218">
        <v>217</v>
      </c>
      <c r="B218" t="s">
        <v>693</v>
      </c>
      <c r="C218" t="s">
        <v>697</v>
      </c>
      <c r="D218" t="s">
        <v>389</v>
      </c>
      <c r="E218">
        <v>4</v>
      </c>
      <c r="F218">
        <v>-4.7750000000000004</v>
      </c>
      <c r="G218">
        <v>-24.564</v>
      </c>
      <c r="H218">
        <v>17427</v>
      </c>
      <c r="I218">
        <v>0</v>
      </c>
      <c r="J218">
        <v>1</v>
      </c>
      <c r="K218" t="s">
        <v>359</v>
      </c>
      <c r="L218" t="s">
        <v>359</v>
      </c>
      <c r="M218" t="s">
        <v>360</v>
      </c>
      <c r="N218">
        <v>1649220352.8599999</v>
      </c>
      <c r="O218">
        <v>0.19900000000000001</v>
      </c>
      <c r="P218">
        <v>0.42</v>
      </c>
      <c r="Q218">
        <v>60.832000000000001</v>
      </c>
      <c r="R218">
        <v>1E-3</v>
      </c>
      <c r="S218">
        <v>0</v>
      </c>
      <c r="T218">
        <v>1.4570000000000001</v>
      </c>
      <c r="U218">
        <v>103.217</v>
      </c>
      <c r="V218">
        <v>20.812999999999999</v>
      </c>
      <c r="W218">
        <v>2.4660000000000002</v>
      </c>
      <c r="X218">
        <v>96.311999999999998</v>
      </c>
      <c r="Y218">
        <v>0.88100000000000001</v>
      </c>
      <c r="Z218">
        <v>0.29599999999999999</v>
      </c>
      <c r="AA218">
        <v>0</v>
      </c>
      <c r="AB218">
        <v>0</v>
      </c>
      <c r="AC218">
        <v>1</v>
      </c>
      <c r="AD218">
        <v>39.875</v>
      </c>
      <c r="AE218">
        <v>1</v>
      </c>
      <c r="AF218">
        <v>29</v>
      </c>
      <c r="AG218">
        <v>2</v>
      </c>
      <c r="AH218" t="s">
        <v>361</v>
      </c>
      <c r="AI218">
        <v>0</v>
      </c>
    </row>
    <row r="219" spans="1:35" x14ac:dyDescent="0.2">
      <c r="A219">
        <v>218</v>
      </c>
      <c r="B219" t="s">
        <v>693</v>
      </c>
      <c r="C219" t="s">
        <v>698</v>
      </c>
      <c r="D219" t="s">
        <v>389</v>
      </c>
      <c r="E219">
        <v>5</v>
      </c>
      <c r="F219">
        <v>-4.798</v>
      </c>
      <c r="G219">
        <v>-24.574999999999999</v>
      </c>
      <c r="H219">
        <v>17389</v>
      </c>
      <c r="I219">
        <v>0</v>
      </c>
      <c r="J219">
        <v>1</v>
      </c>
      <c r="K219" t="s">
        <v>359</v>
      </c>
      <c r="L219" t="s">
        <v>359</v>
      </c>
      <c r="M219" t="s">
        <v>360</v>
      </c>
      <c r="N219">
        <v>1649220890.4300001</v>
      </c>
      <c r="O219">
        <v>0.21</v>
      </c>
      <c r="P219">
        <v>0.38800000000000001</v>
      </c>
      <c r="Q219">
        <v>61.290999999999997</v>
      </c>
      <c r="R219">
        <v>0</v>
      </c>
      <c r="S219">
        <v>0</v>
      </c>
      <c r="T219">
        <v>1.462</v>
      </c>
      <c r="U219">
        <v>102.65300000000001</v>
      </c>
      <c r="V219">
        <v>20.689</v>
      </c>
      <c r="W219">
        <v>2.5539999999999998</v>
      </c>
      <c r="X219">
        <v>98.037999999999997</v>
      </c>
      <c r="Y219">
        <v>0.88300000000000001</v>
      </c>
      <c r="Z219">
        <v>0.64400000000000002</v>
      </c>
      <c r="AA219">
        <v>0</v>
      </c>
      <c r="AB219">
        <v>0</v>
      </c>
      <c r="AC219">
        <v>1</v>
      </c>
      <c r="AD219">
        <v>39.875</v>
      </c>
      <c r="AE219">
        <v>1</v>
      </c>
      <c r="AF219">
        <v>29</v>
      </c>
      <c r="AG219">
        <v>2</v>
      </c>
      <c r="AH219" t="s">
        <v>361</v>
      </c>
      <c r="AI219">
        <v>0</v>
      </c>
    </row>
    <row r="220" spans="1:35" x14ac:dyDescent="0.2">
      <c r="A220">
        <v>219</v>
      </c>
      <c r="B220" t="s">
        <v>693</v>
      </c>
      <c r="C220" t="s">
        <v>699</v>
      </c>
      <c r="D220" t="s">
        <v>389</v>
      </c>
      <c r="E220">
        <v>6</v>
      </c>
      <c r="F220">
        <v>-4.7779999999999996</v>
      </c>
      <c r="G220">
        <v>-24.666</v>
      </c>
      <c r="H220">
        <v>17384</v>
      </c>
      <c r="I220">
        <v>0</v>
      </c>
      <c r="J220">
        <v>1</v>
      </c>
      <c r="K220" t="s">
        <v>359</v>
      </c>
      <c r="L220" t="s">
        <v>359</v>
      </c>
      <c r="M220" t="s">
        <v>360</v>
      </c>
      <c r="N220">
        <v>1649221427.03</v>
      </c>
      <c r="O220">
        <v>0.19700000000000001</v>
      </c>
      <c r="P220">
        <v>0.36799999999999999</v>
      </c>
      <c r="Q220">
        <v>60.561999999999998</v>
      </c>
      <c r="R220">
        <v>1E-3</v>
      </c>
      <c r="S220">
        <v>1E-3</v>
      </c>
      <c r="T220">
        <v>1.4610000000000001</v>
      </c>
      <c r="U220">
        <v>102.523</v>
      </c>
      <c r="V220">
        <v>21.26</v>
      </c>
      <c r="W220">
        <v>2.5059999999999998</v>
      </c>
      <c r="X220">
        <v>96.887</v>
      </c>
      <c r="Y220">
        <v>0.88100000000000001</v>
      </c>
      <c r="Z220">
        <v>0.54</v>
      </c>
      <c r="AA220">
        <v>0</v>
      </c>
      <c r="AB220">
        <v>0</v>
      </c>
      <c r="AC220">
        <v>1</v>
      </c>
      <c r="AD220">
        <v>39.875</v>
      </c>
      <c r="AE220">
        <v>1</v>
      </c>
      <c r="AF220">
        <v>29</v>
      </c>
      <c r="AG220">
        <v>2</v>
      </c>
      <c r="AH220" t="s">
        <v>361</v>
      </c>
      <c r="AI220">
        <v>0</v>
      </c>
    </row>
    <row r="221" spans="1:35" x14ac:dyDescent="0.2">
      <c r="A221">
        <v>220</v>
      </c>
      <c r="B221" t="s">
        <v>700</v>
      </c>
      <c r="C221" t="s">
        <v>701</v>
      </c>
      <c r="D221" t="s">
        <v>390</v>
      </c>
      <c r="E221">
        <v>1</v>
      </c>
      <c r="F221">
        <v>-4.7779999999999996</v>
      </c>
      <c r="G221">
        <v>-24.58</v>
      </c>
      <c r="H221">
        <v>17356</v>
      </c>
      <c r="I221">
        <v>-1</v>
      </c>
      <c r="J221">
        <v>1</v>
      </c>
      <c r="K221" t="s">
        <v>359</v>
      </c>
      <c r="L221" t="s">
        <v>359</v>
      </c>
      <c r="M221" t="s">
        <v>360</v>
      </c>
      <c r="N221">
        <v>1649221965.45</v>
      </c>
      <c r="O221">
        <v>0.217</v>
      </c>
      <c r="P221">
        <v>0.42</v>
      </c>
      <c r="Q221">
        <v>59.255000000000003</v>
      </c>
      <c r="R221">
        <v>1E-3</v>
      </c>
      <c r="S221">
        <v>0</v>
      </c>
      <c r="T221">
        <v>1.42</v>
      </c>
      <c r="U221">
        <v>102.128</v>
      </c>
      <c r="V221">
        <v>21.766999999999999</v>
      </c>
      <c r="W221">
        <v>2.5299999999999998</v>
      </c>
      <c r="X221">
        <v>96.182000000000002</v>
      </c>
      <c r="Y221">
        <v>0.88</v>
      </c>
      <c r="Z221">
        <v>0.57199999999999995</v>
      </c>
      <c r="AA221">
        <v>0</v>
      </c>
      <c r="AB221">
        <v>0</v>
      </c>
      <c r="AC221">
        <v>1</v>
      </c>
      <c r="AD221">
        <v>39.938000000000002</v>
      </c>
      <c r="AE221">
        <v>1</v>
      </c>
      <c r="AF221">
        <v>30</v>
      </c>
      <c r="AG221">
        <v>2</v>
      </c>
      <c r="AH221" t="s">
        <v>361</v>
      </c>
      <c r="AI221">
        <v>0</v>
      </c>
    </row>
    <row r="222" spans="1:35" x14ac:dyDescent="0.2">
      <c r="A222">
        <v>221</v>
      </c>
      <c r="B222" t="s">
        <v>700</v>
      </c>
      <c r="C222" t="s">
        <v>702</v>
      </c>
      <c r="D222" t="s">
        <v>390</v>
      </c>
      <c r="E222">
        <v>2</v>
      </c>
      <c r="F222">
        <v>-4.8150000000000004</v>
      </c>
      <c r="G222">
        <v>-24.684999999999999</v>
      </c>
      <c r="H222">
        <v>17390</v>
      </c>
      <c r="I222">
        <v>-1</v>
      </c>
      <c r="J222">
        <v>1</v>
      </c>
      <c r="K222" t="s">
        <v>359</v>
      </c>
      <c r="L222" t="s">
        <v>359</v>
      </c>
      <c r="M222" t="s">
        <v>360</v>
      </c>
      <c r="N222">
        <v>1649222501.9100001</v>
      </c>
      <c r="O222">
        <v>0.21299999999999999</v>
      </c>
      <c r="P222">
        <v>0.374</v>
      </c>
      <c r="Q222">
        <v>60.82</v>
      </c>
      <c r="R222">
        <v>1E-3</v>
      </c>
      <c r="S222">
        <v>1E-3</v>
      </c>
      <c r="T222">
        <v>1.458</v>
      </c>
      <c r="U222">
        <v>102.526</v>
      </c>
      <c r="V222">
        <v>21.364999999999998</v>
      </c>
      <c r="W222">
        <v>2.5030000000000001</v>
      </c>
      <c r="X222">
        <v>96.710999999999999</v>
      </c>
      <c r="Y222">
        <v>0.88400000000000001</v>
      </c>
      <c r="Z222">
        <v>0.56200000000000006</v>
      </c>
      <c r="AA222">
        <v>0</v>
      </c>
      <c r="AB222">
        <v>0</v>
      </c>
      <c r="AC222">
        <v>1</v>
      </c>
      <c r="AD222">
        <v>39.938000000000002</v>
      </c>
      <c r="AE222">
        <v>1</v>
      </c>
      <c r="AF222">
        <v>30</v>
      </c>
      <c r="AG222">
        <v>2</v>
      </c>
      <c r="AH222" t="s">
        <v>361</v>
      </c>
      <c r="AI222">
        <v>0</v>
      </c>
    </row>
    <row r="223" spans="1:35" x14ac:dyDescent="0.2">
      <c r="A223">
        <v>222</v>
      </c>
      <c r="B223" t="s">
        <v>700</v>
      </c>
      <c r="C223" t="s">
        <v>703</v>
      </c>
      <c r="D223" t="s">
        <v>390</v>
      </c>
      <c r="E223">
        <v>3</v>
      </c>
      <c r="F223">
        <v>-4.8019999999999996</v>
      </c>
      <c r="G223">
        <v>-24.677</v>
      </c>
      <c r="H223">
        <v>17424</v>
      </c>
      <c r="I223">
        <v>-1</v>
      </c>
      <c r="J223">
        <v>1</v>
      </c>
      <c r="K223" t="s">
        <v>359</v>
      </c>
      <c r="L223" t="s">
        <v>359</v>
      </c>
      <c r="M223" t="s">
        <v>360</v>
      </c>
      <c r="N223">
        <v>1649223039.54</v>
      </c>
      <c r="O223">
        <v>0.19700000000000001</v>
      </c>
      <c r="P223">
        <v>0.40200000000000002</v>
      </c>
      <c r="Q223">
        <v>60.015999999999998</v>
      </c>
      <c r="R223">
        <v>1E-3</v>
      </c>
      <c r="S223">
        <v>1E-3</v>
      </c>
      <c r="T223">
        <v>1.4370000000000001</v>
      </c>
      <c r="U223">
        <v>102.92100000000001</v>
      </c>
      <c r="V223">
        <v>21.591999999999999</v>
      </c>
      <c r="W223">
        <v>2.4830000000000001</v>
      </c>
      <c r="X223">
        <v>95.143000000000001</v>
      </c>
      <c r="Y223">
        <v>0.88200000000000001</v>
      </c>
      <c r="Z223">
        <v>0.31900000000000001</v>
      </c>
      <c r="AA223">
        <v>0</v>
      </c>
      <c r="AB223">
        <v>0</v>
      </c>
      <c r="AC223">
        <v>1</v>
      </c>
      <c r="AD223">
        <v>39.938000000000002</v>
      </c>
      <c r="AE223">
        <v>1</v>
      </c>
      <c r="AF223">
        <v>30</v>
      </c>
      <c r="AG223">
        <v>2</v>
      </c>
      <c r="AH223" t="s">
        <v>361</v>
      </c>
      <c r="AI223">
        <v>0</v>
      </c>
    </row>
    <row r="224" spans="1:35" x14ac:dyDescent="0.2">
      <c r="A224">
        <v>223</v>
      </c>
      <c r="B224" t="s">
        <v>700</v>
      </c>
      <c r="C224" t="s">
        <v>704</v>
      </c>
      <c r="D224" t="s">
        <v>390</v>
      </c>
      <c r="E224">
        <v>4</v>
      </c>
      <c r="F224">
        <v>-4.806</v>
      </c>
      <c r="G224">
        <v>-24.562999999999999</v>
      </c>
      <c r="H224">
        <v>17403</v>
      </c>
      <c r="I224">
        <v>0</v>
      </c>
      <c r="J224">
        <v>1</v>
      </c>
      <c r="K224" t="s">
        <v>359</v>
      </c>
      <c r="L224" t="s">
        <v>359</v>
      </c>
      <c r="M224" t="s">
        <v>360</v>
      </c>
      <c r="N224">
        <v>1649223577.0999999</v>
      </c>
      <c r="O224">
        <v>0.187</v>
      </c>
      <c r="P224">
        <v>0.39900000000000002</v>
      </c>
      <c r="Q224">
        <v>60.273000000000003</v>
      </c>
      <c r="R224">
        <v>1E-3</v>
      </c>
      <c r="S224">
        <v>1E-3</v>
      </c>
      <c r="T224">
        <v>1.4450000000000001</v>
      </c>
      <c r="U224">
        <v>102.628</v>
      </c>
      <c r="V224">
        <v>21.114999999999998</v>
      </c>
      <c r="W224">
        <v>2.516</v>
      </c>
      <c r="X224">
        <v>97.444999999999993</v>
      </c>
      <c r="Y224">
        <v>0.88</v>
      </c>
      <c r="Z224">
        <v>0.629</v>
      </c>
      <c r="AA224">
        <v>0</v>
      </c>
      <c r="AB224">
        <v>0</v>
      </c>
      <c r="AC224">
        <v>1</v>
      </c>
      <c r="AD224">
        <v>39.938000000000002</v>
      </c>
      <c r="AE224">
        <v>1</v>
      </c>
      <c r="AF224">
        <v>30</v>
      </c>
      <c r="AG224">
        <v>2</v>
      </c>
      <c r="AH224" t="s">
        <v>361</v>
      </c>
      <c r="AI224">
        <v>0</v>
      </c>
    </row>
    <row r="225" spans="1:35" x14ac:dyDescent="0.2">
      <c r="A225">
        <v>224</v>
      </c>
      <c r="B225" t="s">
        <v>700</v>
      </c>
      <c r="C225" t="s">
        <v>705</v>
      </c>
      <c r="D225" t="s">
        <v>390</v>
      </c>
      <c r="E225">
        <v>5</v>
      </c>
      <c r="F225">
        <v>-4.7910000000000004</v>
      </c>
      <c r="G225">
        <v>-24.65</v>
      </c>
      <c r="H225">
        <v>17398</v>
      </c>
      <c r="I225">
        <v>0</v>
      </c>
      <c r="J225">
        <v>1</v>
      </c>
      <c r="K225" t="s">
        <v>359</v>
      </c>
      <c r="L225" t="s">
        <v>359</v>
      </c>
      <c r="M225" t="s">
        <v>360</v>
      </c>
      <c r="N225">
        <v>1649224113.8699999</v>
      </c>
      <c r="O225">
        <v>0.193</v>
      </c>
      <c r="P225">
        <v>0.36799999999999999</v>
      </c>
      <c r="Q225">
        <v>60.850999999999999</v>
      </c>
      <c r="R225">
        <v>1E-3</v>
      </c>
      <c r="S225">
        <v>0</v>
      </c>
      <c r="T225">
        <v>1.4530000000000001</v>
      </c>
      <c r="U225">
        <v>102.634</v>
      </c>
      <c r="V225">
        <v>21.192</v>
      </c>
      <c r="W225">
        <v>2.5310000000000001</v>
      </c>
      <c r="X225">
        <v>97.064999999999998</v>
      </c>
      <c r="Y225">
        <v>0.877</v>
      </c>
      <c r="Z225">
        <v>0.56899999999999995</v>
      </c>
      <c r="AA225">
        <v>0</v>
      </c>
      <c r="AB225">
        <v>0</v>
      </c>
      <c r="AC225">
        <v>1</v>
      </c>
      <c r="AD225">
        <v>39.938000000000002</v>
      </c>
      <c r="AE225">
        <v>1</v>
      </c>
      <c r="AF225">
        <v>30</v>
      </c>
      <c r="AG225">
        <v>2</v>
      </c>
      <c r="AH225" t="s">
        <v>361</v>
      </c>
      <c r="AI225">
        <v>0</v>
      </c>
    </row>
    <row r="226" spans="1:35" x14ac:dyDescent="0.2">
      <c r="A226">
        <v>225</v>
      </c>
      <c r="B226" t="s">
        <v>700</v>
      </c>
      <c r="C226" t="s">
        <v>706</v>
      </c>
      <c r="D226" t="s">
        <v>390</v>
      </c>
      <c r="E226">
        <v>6</v>
      </c>
      <c r="F226">
        <v>-4.8099999999999996</v>
      </c>
      <c r="G226">
        <v>-24.707000000000001</v>
      </c>
      <c r="H226">
        <v>17408</v>
      </c>
      <c r="I226">
        <v>0</v>
      </c>
      <c r="J226">
        <v>1</v>
      </c>
      <c r="K226" t="s">
        <v>359</v>
      </c>
      <c r="L226" t="s">
        <v>359</v>
      </c>
      <c r="M226" t="s">
        <v>360</v>
      </c>
      <c r="N226">
        <v>1649224651.9100001</v>
      </c>
      <c r="O226">
        <v>0.21099999999999999</v>
      </c>
      <c r="P226">
        <v>0.39600000000000002</v>
      </c>
      <c r="Q226">
        <v>60.441000000000003</v>
      </c>
      <c r="R226">
        <v>1E-3</v>
      </c>
      <c r="S226">
        <v>0</v>
      </c>
      <c r="T226">
        <v>1.4470000000000001</v>
      </c>
      <c r="U226">
        <v>102.93600000000001</v>
      </c>
      <c r="V226">
        <v>20.718</v>
      </c>
      <c r="W226">
        <v>2.5150000000000001</v>
      </c>
      <c r="X226">
        <v>97.298000000000002</v>
      </c>
      <c r="Y226">
        <v>0.88</v>
      </c>
      <c r="Z226">
        <v>0.52</v>
      </c>
      <c r="AA226">
        <v>0</v>
      </c>
      <c r="AB226">
        <v>0</v>
      </c>
      <c r="AC226">
        <v>1</v>
      </c>
      <c r="AD226">
        <v>39.938000000000002</v>
      </c>
      <c r="AE226">
        <v>1</v>
      </c>
      <c r="AF226">
        <v>30</v>
      </c>
      <c r="AG226">
        <v>2</v>
      </c>
      <c r="AH226" t="s">
        <v>361</v>
      </c>
      <c r="AI226">
        <v>0</v>
      </c>
    </row>
    <row r="227" spans="1:35" x14ac:dyDescent="0.2">
      <c r="A227">
        <v>226</v>
      </c>
      <c r="B227" t="s">
        <v>707</v>
      </c>
      <c r="C227" t="s">
        <v>708</v>
      </c>
      <c r="D227" t="s">
        <v>391</v>
      </c>
      <c r="E227">
        <v>1</v>
      </c>
      <c r="F227">
        <v>-4.57</v>
      </c>
      <c r="G227">
        <v>-22.41</v>
      </c>
      <c r="H227">
        <v>17389</v>
      </c>
      <c r="I227">
        <v>-1</v>
      </c>
      <c r="J227">
        <v>1</v>
      </c>
      <c r="K227" t="s">
        <v>359</v>
      </c>
      <c r="L227" t="s">
        <v>359</v>
      </c>
      <c r="M227" t="s">
        <v>360</v>
      </c>
      <c r="N227">
        <v>1649225189.5</v>
      </c>
      <c r="O227">
        <v>0.20799999999999999</v>
      </c>
      <c r="P227">
        <v>0.39600000000000002</v>
      </c>
      <c r="Q227">
        <v>60.926000000000002</v>
      </c>
      <c r="R227">
        <v>0</v>
      </c>
      <c r="S227">
        <v>-1E-3</v>
      </c>
      <c r="T227">
        <v>1.4650000000000001</v>
      </c>
      <c r="U227">
        <v>102.559</v>
      </c>
      <c r="V227">
        <v>21.271000000000001</v>
      </c>
      <c r="W227">
        <v>2.5099999999999998</v>
      </c>
      <c r="X227">
        <v>96.813000000000002</v>
      </c>
      <c r="Y227">
        <v>0.88800000000000001</v>
      </c>
      <c r="Z227">
        <v>0.57599999999999996</v>
      </c>
      <c r="AA227">
        <v>0</v>
      </c>
      <c r="AB227">
        <v>0</v>
      </c>
      <c r="AC227">
        <v>1</v>
      </c>
      <c r="AD227">
        <v>39.938000000000002</v>
      </c>
      <c r="AE227">
        <v>1</v>
      </c>
      <c r="AF227">
        <v>31</v>
      </c>
      <c r="AG227">
        <v>2</v>
      </c>
      <c r="AH227" t="s">
        <v>361</v>
      </c>
      <c r="AI227">
        <v>0</v>
      </c>
    </row>
    <row r="228" spans="1:35" x14ac:dyDescent="0.2">
      <c r="A228">
        <v>227</v>
      </c>
      <c r="B228" t="s">
        <v>707</v>
      </c>
      <c r="C228" t="s">
        <v>709</v>
      </c>
      <c r="D228" t="s">
        <v>391</v>
      </c>
      <c r="E228">
        <v>2</v>
      </c>
      <c r="F228">
        <v>-4.5309999999999997</v>
      </c>
      <c r="G228">
        <v>-22.184000000000001</v>
      </c>
      <c r="H228">
        <v>17640</v>
      </c>
      <c r="I228">
        <v>-1</v>
      </c>
      <c r="J228">
        <v>1</v>
      </c>
      <c r="K228" t="s">
        <v>359</v>
      </c>
      <c r="L228" t="s">
        <v>359</v>
      </c>
      <c r="M228" t="s">
        <v>360</v>
      </c>
      <c r="N228">
        <v>1649225726.6900001</v>
      </c>
      <c r="O228">
        <v>0.21</v>
      </c>
      <c r="P228">
        <v>0.41799999999999998</v>
      </c>
      <c r="Q228">
        <v>61.963999999999999</v>
      </c>
      <c r="R228">
        <v>1E-3</v>
      </c>
      <c r="S228">
        <v>-2E-3</v>
      </c>
      <c r="T228">
        <v>1.4730000000000001</v>
      </c>
      <c r="U228">
        <v>104.184</v>
      </c>
      <c r="V228">
        <v>21.46</v>
      </c>
      <c r="W228">
        <v>2.5640000000000001</v>
      </c>
      <c r="X228">
        <v>98.132000000000005</v>
      </c>
      <c r="Y228">
        <v>0.88700000000000001</v>
      </c>
      <c r="Z228">
        <v>0.53400000000000003</v>
      </c>
      <c r="AA228">
        <v>0</v>
      </c>
      <c r="AB228">
        <v>0</v>
      </c>
      <c r="AC228">
        <v>1</v>
      </c>
      <c r="AD228">
        <v>39.875</v>
      </c>
      <c r="AE228">
        <v>1</v>
      </c>
      <c r="AF228">
        <v>31</v>
      </c>
      <c r="AG228">
        <v>2</v>
      </c>
      <c r="AH228" t="s">
        <v>361</v>
      </c>
      <c r="AI228">
        <v>0</v>
      </c>
    </row>
    <row r="229" spans="1:35" x14ac:dyDescent="0.2">
      <c r="A229">
        <v>228</v>
      </c>
      <c r="B229" t="s">
        <v>707</v>
      </c>
      <c r="C229" t="s">
        <v>710</v>
      </c>
      <c r="D229" t="s">
        <v>391</v>
      </c>
      <c r="E229">
        <v>3</v>
      </c>
      <c r="F229">
        <v>-4.5330000000000004</v>
      </c>
      <c r="G229">
        <v>-22.25</v>
      </c>
      <c r="H229">
        <v>17448</v>
      </c>
      <c r="I229">
        <v>-1</v>
      </c>
      <c r="J229">
        <v>1</v>
      </c>
      <c r="K229" t="s">
        <v>359</v>
      </c>
      <c r="L229" t="s">
        <v>359</v>
      </c>
      <c r="M229" t="s">
        <v>360</v>
      </c>
      <c r="N229">
        <v>1649226264.01</v>
      </c>
      <c r="O229">
        <v>0.22</v>
      </c>
      <c r="P229">
        <v>0.376</v>
      </c>
      <c r="Q229">
        <v>60.393999999999998</v>
      </c>
      <c r="R229">
        <v>1E-3</v>
      </c>
      <c r="S229">
        <v>1E-3</v>
      </c>
      <c r="T229">
        <v>1.4450000000000001</v>
      </c>
      <c r="U229">
        <v>102.965</v>
      </c>
      <c r="V229">
        <v>20.998999999999999</v>
      </c>
      <c r="W229">
        <v>2.5289999999999999</v>
      </c>
      <c r="X229">
        <v>97.918999999999997</v>
      </c>
      <c r="Y229">
        <v>0.88100000000000001</v>
      </c>
      <c r="Z229">
        <v>0.59799999999999998</v>
      </c>
      <c r="AA229">
        <v>0</v>
      </c>
      <c r="AB229">
        <v>0</v>
      </c>
      <c r="AC229">
        <v>1</v>
      </c>
      <c r="AD229">
        <v>39.938000000000002</v>
      </c>
      <c r="AE229">
        <v>1</v>
      </c>
      <c r="AF229">
        <v>31</v>
      </c>
      <c r="AG229">
        <v>2</v>
      </c>
      <c r="AH229" t="s">
        <v>361</v>
      </c>
      <c r="AI229">
        <v>0</v>
      </c>
    </row>
    <row r="230" spans="1:35" x14ac:dyDescent="0.2">
      <c r="A230">
        <v>229</v>
      </c>
      <c r="B230" t="s">
        <v>707</v>
      </c>
      <c r="C230" t="s">
        <v>711</v>
      </c>
      <c r="D230" t="s">
        <v>391</v>
      </c>
      <c r="E230">
        <v>4</v>
      </c>
      <c r="F230">
        <v>-4.5129999999999999</v>
      </c>
      <c r="G230">
        <v>-22.164999999999999</v>
      </c>
      <c r="H230">
        <v>17467</v>
      </c>
      <c r="I230">
        <v>0</v>
      </c>
      <c r="J230">
        <v>1</v>
      </c>
      <c r="K230" t="s">
        <v>359</v>
      </c>
      <c r="L230" t="s">
        <v>359</v>
      </c>
      <c r="M230" t="s">
        <v>360</v>
      </c>
      <c r="N230">
        <v>1649226801.0799999</v>
      </c>
      <c r="O230">
        <v>0.218</v>
      </c>
      <c r="P230">
        <v>0.38300000000000001</v>
      </c>
      <c r="Q230">
        <v>59.982999999999997</v>
      </c>
      <c r="R230">
        <v>0</v>
      </c>
      <c r="S230">
        <v>1E-3</v>
      </c>
      <c r="T230">
        <v>1.4430000000000001</v>
      </c>
      <c r="U230">
        <v>103.126</v>
      </c>
      <c r="V230">
        <v>21.628</v>
      </c>
      <c r="W230">
        <v>2.5070000000000001</v>
      </c>
      <c r="X230">
        <v>95.796000000000006</v>
      </c>
      <c r="Y230">
        <v>0.88200000000000001</v>
      </c>
      <c r="Z230">
        <v>0.40100000000000002</v>
      </c>
      <c r="AA230">
        <v>0</v>
      </c>
      <c r="AB230">
        <v>0</v>
      </c>
      <c r="AC230">
        <v>1</v>
      </c>
      <c r="AD230">
        <v>39.938000000000002</v>
      </c>
      <c r="AE230">
        <v>1</v>
      </c>
      <c r="AF230">
        <v>31</v>
      </c>
      <c r="AG230">
        <v>2</v>
      </c>
      <c r="AH230" t="s">
        <v>361</v>
      </c>
      <c r="AI230">
        <v>0</v>
      </c>
    </row>
    <row r="231" spans="1:35" x14ac:dyDescent="0.2">
      <c r="A231">
        <v>230</v>
      </c>
      <c r="B231" t="s">
        <v>707</v>
      </c>
      <c r="C231" t="s">
        <v>712</v>
      </c>
      <c r="D231" t="s">
        <v>391</v>
      </c>
      <c r="E231">
        <v>5</v>
      </c>
      <c r="F231">
        <v>-4.5439999999999996</v>
      </c>
      <c r="G231">
        <v>-22.074999999999999</v>
      </c>
      <c r="H231">
        <v>17404</v>
      </c>
      <c r="I231">
        <v>0</v>
      </c>
      <c r="J231">
        <v>1</v>
      </c>
      <c r="K231" t="s">
        <v>359</v>
      </c>
      <c r="L231" t="s">
        <v>359</v>
      </c>
      <c r="M231" t="s">
        <v>360</v>
      </c>
      <c r="N231">
        <v>1649227338.5999999</v>
      </c>
      <c r="O231">
        <v>0.21099999999999999</v>
      </c>
      <c r="P231">
        <v>0.40500000000000003</v>
      </c>
      <c r="Q231">
        <v>60.81</v>
      </c>
      <c r="R231">
        <v>0</v>
      </c>
      <c r="S231">
        <v>0</v>
      </c>
      <c r="T231">
        <v>1.4570000000000001</v>
      </c>
      <c r="U231">
        <v>103.01</v>
      </c>
      <c r="V231">
        <v>20.721</v>
      </c>
      <c r="W231">
        <v>2.4689999999999999</v>
      </c>
      <c r="X231">
        <v>96.65</v>
      </c>
      <c r="Y231">
        <v>0.88100000000000001</v>
      </c>
      <c r="Z231">
        <v>0.36399999999999999</v>
      </c>
      <c r="AA231">
        <v>0</v>
      </c>
      <c r="AB231">
        <v>0</v>
      </c>
      <c r="AC231">
        <v>1</v>
      </c>
      <c r="AD231">
        <v>39.938000000000002</v>
      </c>
      <c r="AE231">
        <v>1</v>
      </c>
      <c r="AF231">
        <v>31</v>
      </c>
      <c r="AG231">
        <v>2</v>
      </c>
      <c r="AH231" t="s">
        <v>361</v>
      </c>
      <c r="AI231">
        <v>0</v>
      </c>
    </row>
    <row r="232" spans="1:35" x14ac:dyDescent="0.2">
      <c r="A232">
        <v>231</v>
      </c>
      <c r="B232" t="s">
        <v>707</v>
      </c>
      <c r="C232" t="s">
        <v>713</v>
      </c>
      <c r="D232" t="s">
        <v>391</v>
      </c>
      <c r="E232">
        <v>6</v>
      </c>
      <c r="F232">
        <v>-4.53</v>
      </c>
      <c r="G232">
        <v>-22.148</v>
      </c>
      <c r="H232">
        <v>17442</v>
      </c>
      <c r="I232">
        <v>0</v>
      </c>
      <c r="J232">
        <v>1</v>
      </c>
      <c r="K232" t="s">
        <v>359</v>
      </c>
      <c r="L232" t="s">
        <v>359</v>
      </c>
      <c r="M232" t="s">
        <v>360</v>
      </c>
      <c r="N232">
        <v>1649227875.9100001</v>
      </c>
      <c r="O232">
        <v>0.2</v>
      </c>
      <c r="P232">
        <v>0.371</v>
      </c>
      <c r="Q232">
        <v>60.496000000000002</v>
      </c>
      <c r="R232">
        <v>1E-3</v>
      </c>
      <c r="S232">
        <v>0</v>
      </c>
      <c r="T232">
        <v>1.446</v>
      </c>
      <c r="U232">
        <v>102.818</v>
      </c>
      <c r="V232">
        <v>21.105</v>
      </c>
      <c r="W232">
        <v>2.5880000000000001</v>
      </c>
      <c r="X232">
        <v>98.266999999999996</v>
      </c>
      <c r="Y232">
        <v>0.88500000000000001</v>
      </c>
      <c r="Z232">
        <v>0.77100000000000002</v>
      </c>
      <c r="AA232">
        <v>0</v>
      </c>
      <c r="AB232">
        <v>0</v>
      </c>
      <c r="AC232">
        <v>1</v>
      </c>
      <c r="AD232">
        <v>39.875</v>
      </c>
      <c r="AE232">
        <v>1</v>
      </c>
      <c r="AF232">
        <v>31</v>
      </c>
      <c r="AG232">
        <v>2</v>
      </c>
      <c r="AH232" t="s">
        <v>361</v>
      </c>
      <c r="AI232">
        <v>0</v>
      </c>
    </row>
    <row r="233" spans="1:35" x14ac:dyDescent="0.2">
      <c r="A233">
        <v>232</v>
      </c>
      <c r="B233" t="s">
        <v>714</v>
      </c>
      <c r="C233" t="s">
        <v>715</v>
      </c>
      <c r="D233" t="s">
        <v>392</v>
      </c>
      <c r="E233">
        <v>1</v>
      </c>
      <c r="F233">
        <v>-5.44</v>
      </c>
      <c r="G233">
        <v>-28.388000000000002</v>
      </c>
      <c r="H233">
        <v>17343</v>
      </c>
      <c r="I233">
        <v>-1</v>
      </c>
      <c r="J233">
        <v>1</v>
      </c>
      <c r="K233" t="s">
        <v>359</v>
      </c>
      <c r="L233" t="s">
        <v>359</v>
      </c>
      <c r="M233" t="s">
        <v>360</v>
      </c>
      <c r="N233">
        <v>1649228412.9000001</v>
      </c>
      <c r="O233">
        <v>0.215</v>
      </c>
      <c r="P233">
        <v>0.39600000000000002</v>
      </c>
      <c r="Q233">
        <v>60.487000000000002</v>
      </c>
      <c r="R233">
        <v>1E-3</v>
      </c>
      <c r="S233">
        <v>2E-3</v>
      </c>
      <c r="T233">
        <v>1.454</v>
      </c>
      <c r="U233">
        <v>102.309</v>
      </c>
      <c r="V233">
        <v>21.666</v>
      </c>
      <c r="W233">
        <v>2.46</v>
      </c>
      <c r="X233">
        <v>95.013000000000005</v>
      </c>
      <c r="Y233">
        <v>0.878</v>
      </c>
      <c r="Z233">
        <v>0.42299999999999999</v>
      </c>
      <c r="AA233">
        <v>0</v>
      </c>
      <c r="AB233">
        <v>0</v>
      </c>
      <c r="AC233">
        <v>1</v>
      </c>
      <c r="AD233">
        <v>40</v>
      </c>
      <c r="AE233">
        <v>1</v>
      </c>
      <c r="AF233">
        <v>32</v>
      </c>
      <c r="AG233">
        <v>3</v>
      </c>
      <c r="AH233" t="s">
        <v>361</v>
      </c>
      <c r="AI233">
        <v>0</v>
      </c>
    </row>
    <row r="234" spans="1:35" x14ac:dyDescent="0.2">
      <c r="A234">
        <v>233</v>
      </c>
      <c r="B234" t="s">
        <v>714</v>
      </c>
      <c r="C234" t="s">
        <v>716</v>
      </c>
      <c r="D234" t="s">
        <v>392</v>
      </c>
      <c r="E234">
        <v>2</v>
      </c>
      <c r="F234">
        <v>-5.5590000000000002</v>
      </c>
      <c r="G234">
        <v>-29.335000000000001</v>
      </c>
      <c r="H234">
        <v>17477</v>
      </c>
      <c r="I234">
        <v>-1</v>
      </c>
      <c r="J234">
        <v>1</v>
      </c>
      <c r="K234" t="s">
        <v>359</v>
      </c>
      <c r="L234" t="s">
        <v>359</v>
      </c>
      <c r="M234" t="s">
        <v>360</v>
      </c>
      <c r="N234">
        <v>1649228951.0799999</v>
      </c>
      <c r="O234">
        <v>0.20200000000000001</v>
      </c>
      <c r="P234">
        <v>0.42699999999999999</v>
      </c>
      <c r="Q234">
        <v>66.180999999999997</v>
      </c>
      <c r="R234">
        <v>1E-3</v>
      </c>
      <c r="S234">
        <v>4.0000000000000001E-3</v>
      </c>
      <c r="T234">
        <v>1.575</v>
      </c>
      <c r="U234">
        <v>103.23399999999999</v>
      </c>
      <c r="V234">
        <v>21.382000000000001</v>
      </c>
      <c r="W234">
        <v>2.4670000000000001</v>
      </c>
      <c r="X234">
        <v>96.468999999999994</v>
      </c>
      <c r="Y234">
        <v>0.88400000000000001</v>
      </c>
      <c r="Z234">
        <v>0.41099999999999998</v>
      </c>
      <c r="AA234">
        <v>0</v>
      </c>
      <c r="AB234">
        <v>0</v>
      </c>
      <c r="AC234">
        <v>1</v>
      </c>
      <c r="AD234">
        <v>39.938000000000002</v>
      </c>
      <c r="AE234">
        <v>1</v>
      </c>
      <c r="AF234">
        <v>32</v>
      </c>
      <c r="AG234">
        <v>3</v>
      </c>
      <c r="AH234" t="s">
        <v>361</v>
      </c>
      <c r="AI234">
        <v>0</v>
      </c>
    </row>
    <row r="235" spans="1:35" x14ac:dyDescent="0.2">
      <c r="A235">
        <v>234</v>
      </c>
      <c r="B235" t="s">
        <v>714</v>
      </c>
      <c r="C235" t="s">
        <v>717</v>
      </c>
      <c r="D235" t="s">
        <v>392</v>
      </c>
      <c r="E235">
        <v>3</v>
      </c>
      <c r="F235">
        <v>-5.452</v>
      </c>
      <c r="G235">
        <v>-29.088999999999999</v>
      </c>
      <c r="H235">
        <v>17472</v>
      </c>
      <c r="I235">
        <v>-1</v>
      </c>
      <c r="J235">
        <v>1</v>
      </c>
      <c r="K235" t="s">
        <v>359</v>
      </c>
      <c r="L235" t="s">
        <v>359</v>
      </c>
      <c r="M235" t="s">
        <v>360</v>
      </c>
      <c r="N235">
        <v>1649229487.5999999</v>
      </c>
      <c r="O235">
        <v>0.20399999999999999</v>
      </c>
      <c r="P235">
        <v>0.41599999999999998</v>
      </c>
      <c r="Q235">
        <v>60.540999999999997</v>
      </c>
      <c r="R235">
        <v>0</v>
      </c>
      <c r="S235">
        <v>1E-3</v>
      </c>
      <c r="T235">
        <v>1.4470000000000001</v>
      </c>
      <c r="U235">
        <v>103.101</v>
      </c>
      <c r="V235">
        <v>21.138000000000002</v>
      </c>
      <c r="W235">
        <v>2.573</v>
      </c>
      <c r="X235">
        <v>97.552999999999997</v>
      </c>
      <c r="Y235">
        <v>0.88100000000000001</v>
      </c>
      <c r="Z235">
        <v>0.55100000000000005</v>
      </c>
      <c r="AA235">
        <v>0</v>
      </c>
      <c r="AB235">
        <v>0</v>
      </c>
      <c r="AC235">
        <v>1</v>
      </c>
      <c r="AD235">
        <v>39.938000000000002</v>
      </c>
      <c r="AE235">
        <v>1</v>
      </c>
      <c r="AF235">
        <v>32</v>
      </c>
      <c r="AG235">
        <v>3</v>
      </c>
      <c r="AH235" t="s">
        <v>361</v>
      </c>
      <c r="AI235">
        <v>0</v>
      </c>
    </row>
    <row r="236" spans="1:35" x14ac:dyDescent="0.2">
      <c r="A236">
        <v>235</v>
      </c>
      <c r="B236" t="s">
        <v>714</v>
      </c>
      <c r="C236" t="s">
        <v>718</v>
      </c>
      <c r="D236" t="s">
        <v>392</v>
      </c>
      <c r="E236">
        <v>4</v>
      </c>
      <c r="F236">
        <v>-5.4580000000000002</v>
      </c>
      <c r="G236">
        <v>-29.082999999999998</v>
      </c>
      <c r="H236">
        <v>17486</v>
      </c>
      <c r="I236">
        <v>0</v>
      </c>
      <c r="J236">
        <v>1</v>
      </c>
      <c r="K236" t="s">
        <v>359</v>
      </c>
      <c r="L236" t="s">
        <v>359</v>
      </c>
      <c r="M236" t="s">
        <v>360</v>
      </c>
      <c r="N236">
        <v>1649230025</v>
      </c>
      <c r="O236">
        <v>0.20399999999999999</v>
      </c>
      <c r="P236">
        <v>0.38900000000000001</v>
      </c>
      <c r="Q236">
        <v>60.134999999999998</v>
      </c>
      <c r="R236">
        <v>1E-3</v>
      </c>
      <c r="S236">
        <v>1E-3</v>
      </c>
      <c r="T236">
        <v>1.4470000000000001</v>
      </c>
      <c r="U236">
        <v>103.398</v>
      </c>
      <c r="V236">
        <v>21.684999999999999</v>
      </c>
      <c r="W236">
        <v>2.4590000000000001</v>
      </c>
      <c r="X236">
        <v>94.698999999999998</v>
      </c>
      <c r="Y236">
        <v>0.88300000000000001</v>
      </c>
      <c r="Z236">
        <v>0.218</v>
      </c>
      <c r="AA236">
        <v>0</v>
      </c>
      <c r="AB236">
        <v>0</v>
      </c>
      <c r="AC236">
        <v>1</v>
      </c>
      <c r="AD236">
        <v>39.938000000000002</v>
      </c>
      <c r="AE236">
        <v>1</v>
      </c>
      <c r="AF236">
        <v>32</v>
      </c>
      <c r="AG236">
        <v>3</v>
      </c>
      <c r="AH236" t="s">
        <v>361</v>
      </c>
      <c r="AI236">
        <v>0</v>
      </c>
    </row>
    <row r="237" spans="1:35" x14ac:dyDescent="0.2">
      <c r="A237">
        <v>236</v>
      </c>
      <c r="B237" t="s">
        <v>714</v>
      </c>
      <c r="C237" t="s">
        <v>719</v>
      </c>
      <c r="D237" t="s">
        <v>392</v>
      </c>
      <c r="E237">
        <v>5</v>
      </c>
      <c r="F237">
        <v>-5.4770000000000003</v>
      </c>
      <c r="G237">
        <v>-29.195</v>
      </c>
      <c r="H237">
        <v>17449</v>
      </c>
      <c r="I237">
        <v>0</v>
      </c>
      <c r="J237">
        <v>1</v>
      </c>
      <c r="K237" t="s">
        <v>359</v>
      </c>
      <c r="L237" t="s">
        <v>359</v>
      </c>
      <c r="M237" t="s">
        <v>360</v>
      </c>
      <c r="N237">
        <v>1649230563</v>
      </c>
      <c r="O237">
        <v>0.20799999999999999</v>
      </c>
      <c r="P237">
        <v>0.38100000000000001</v>
      </c>
      <c r="Q237">
        <v>60.435000000000002</v>
      </c>
      <c r="R237">
        <v>0</v>
      </c>
      <c r="S237">
        <v>-1E-3</v>
      </c>
      <c r="T237">
        <v>1.4430000000000001</v>
      </c>
      <c r="U237">
        <v>102.843</v>
      </c>
      <c r="V237">
        <v>21.873000000000001</v>
      </c>
      <c r="W237">
        <v>2.4820000000000002</v>
      </c>
      <c r="X237">
        <v>95.950999999999993</v>
      </c>
      <c r="Y237">
        <v>0.88300000000000001</v>
      </c>
      <c r="Z237">
        <v>0.53100000000000003</v>
      </c>
      <c r="AA237">
        <v>0</v>
      </c>
      <c r="AB237">
        <v>0</v>
      </c>
      <c r="AC237">
        <v>1</v>
      </c>
      <c r="AD237">
        <v>39.938000000000002</v>
      </c>
      <c r="AE237">
        <v>1</v>
      </c>
      <c r="AF237">
        <v>32</v>
      </c>
      <c r="AG237">
        <v>3</v>
      </c>
      <c r="AH237" t="s">
        <v>361</v>
      </c>
      <c r="AI237">
        <v>0</v>
      </c>
    </row>
    <row r="238" spans="1:35" x14ac:dyDescent="0.2">
      <c r="A238">
        <v>237</v>
      </c>
      <c r="B238" t="s">
        <v>714</v>
      </c>
      <c r="C238" t="s">
        <v>720</v>
      </c>
      <c r="D238" t="s">
        <v>392</v>
      </c>
      <c r="E238">
        <v>6</v>
      </c>
      <c r="F238">
        <v>-5.4809999999999999</v>
      </c>
      <c r="G238">
        <v>-29.202999999999999</v>
      </c>
      <c r="H238">
        <v>17461</v>
      </c>
      <c r="I238">
        <v>0</v>
      </c>
      <c r="J238">
        <v>1</v>
      </c>
      <c r="K238" t="s">
        <v>359</v>
      </c>
      <c r="L238" t="s">
        <v>359</v>
      </c>
      <c r="M238" t="s">
        <v>360</v>
      </c>
      <c r="N238">
        <v>1649231100.23</v>
      </c>
      <c r="O238">
        <v>0.217</v>
      </c>
      <c r="P238">
        <v>0.38</v>
      </c>
      <c r="Q238">
        <v>59.95</v>
      </c>
      <c r="R238">
        <v>1E-3</v>
      </c>
      <c r="S238">
        <v>2E-3</v>
      </c>
      <c r="T238">
        <v>1.4330000000000001</v>
      </c>
      <c r="U238">
        <v>103.294</v>
      </c>
      <c r="V238">
        <v>21.369</v>
      </c>
      <c r="W238">
        <v>2.4670000000000001</v>
      </c>
      <c r="X238">
        <v>95.501000000000005</v>
      </c>
      <c r="Y238">
        <v>0.88100000000000001</v>
      </c>
      <c r="Z238">
        <v>0.23799999999999999</v>
      </c>
      <c r="AA238">
        <v>0</v>
      </c>
      <c r="AB238">
        <v>0</v>
      </c>
      <c r="AC238">
        <v>1</v>
      </c>
      <c r="AD238">
        <v>39.938000000000002</v>
      </c>
      <c r="AE238">
        <v>1</v>
      </c>
      <c r="AF238">
        <v>32</v>
      </c>
      <c r="AG238">
        <v>3</v>
      </c>
      <c r="AH238" t="s">
        <v>361</v>
      </c>
      <c r="AI238">
        <v>0</v>
      </c>
    </row>
    <row r="239" spans="1:35" x14ac:dyDescent="0.2">
      <c r="A239">
        <v>238</v>
      </c>
      <c r="B239" t="s">
        <v>714</v>
      </c>
      <c r="C239" t="s">
        <v>721</v>
      </c>
      <c r="D239" t="s">
        <v>392</v>
      </c>
      <c r="E239">
        <v>7</v>
      </c>
      <c r="F239">
        <v>-5.4560000000000004</v>
      </c>
      <c r="G239">
        <v>-29.219000000000001</v>
      </c>
      <c r="H239">
        <v>17456</v>
      </c>
      <c r="I239">
        <v>0</v>
      </c>
      <c r="J239">
        <v>1</v>
      </c>
      <c r="K239" t="s">
        <v>359</v>
      </c>
      <c r="L239" t="s">
        <v>359</v>
      </c>
      <c r="M239" t="s">
        <v>360</v>
      </c>
      <c r="N239">
        <v>1649231637.5699999</v>
      </c>
      <c r="O239">
        <v>0.19600000000000001</v>
      </c>
      <c r="P239">
        <v>0.40200000000000002</v>
      </c>
      <c r="Q239">
        <v>59.951999999999998</v>
      </c>
      <c r="R239">
        <v>1E-3</v>
      </c>
      <c r="S239">
        <v>1E-3</v>
      </c>
      <c r="T239">
        <v>1.44</v>
      </c>
      <c r="U239">
        <v>103.04300000000001</v>
      </c>
      <c r="V239">
        <v>21.286000000000001</v>
      </c>
      <c r="W239">
        <v>2.5070000000000001</v>
      </c>
      <c r="X239">
        <v>97.010999999999996</v>
      </c>
      <c r="Y239">
        <v>0.88300000000000001</v>
      </c>
      <c r="Z239">
        <v>0.49399999999999999</v>
      </c>
      <c r="AA239">
        <v>0</v>
      </c>
      <c r="AB239">
        <v>0</v>
      </c>
      <c r="AC239">
        <v>1</v>
      </c>
      <c r="AD239">
        <v>39.875</v>
      </c>
      <c r="AE239">
        <v>1</v>
      </c>
      <c r="AF239">
        <v>32</v>
      </c>
      <c r="AG239">
        <v>3</v>
      </c>
      <c r="AH239" t="s">
        <v>361</v>
      </c>
      <c r="AI239">
        <v>0</v>
      </c>
    </row>
    <row r="240" spans="1:35" x14ac:dyDescent="0.2">
      <c r="A240">
        <v>239</v>
      </c>
      <c r="B240" t="s">
        <v>714</v>
      </c>
      <c r="C240" t="s">
        <v>722</v>
      </c>
      <c r="D240" t="s">
        <v>392</v>
      </c>
      <c r="E240">
        <v>8</v>
      </c>
      <c r="F240">
        <v>-5.4770000000000003</v>
      </c>
      <c r="G240">
        <v>-29.253</v>
      </c>
      <c r="H240">
        <v>17464</v>
      </c>
      <c r="I240">
        <v>0</v>
      </c>
      <c r="J240">
        <v>1</v>
      </c>
      <c r="K240" t="s">
        <v>359</v>
      </c>
      <c r="L240" t="s">
        <v>359</v>
      </c>
      <c r="M240" t="s">
        <v>360</v>
      </c>
      <c r="N240">
        <v>1649232175.26</v>
      </c>
      <c r="O240">
        <v>0.20699999999999999</v>
      </c>
      <c r="P240">
        <v>0.39400000000000002</v>
      </c>
      <c r="Q240">
        <v>59.305999999999997</v>
      </c>
      <c r="R240">
        <v>1E-3</v>
      </c>
      <c r="S240">
        <v>1E-3</v>
      </c>
      <c r="T240">
        <v>1.4379999999999999</v>
      </c>
      <c r="U240">
        <v>103.048</v>
      </c>
      <c r="V240">
        <v>21.866</v>
      </c>
      <c r="W240">
        <v>2.4649999999999999</v>
      </c>
      <c r="X240">
        <v>95.262</v>
      </c>
      <c r="Y240">
        <v>0.877</v>
      </c>
      <c r="Z240">
        <v>0.44</v>
      </c>
      <c r="AA240">
        <v>0</v>
      </c>
      <c r="AB240">
        <v>0</v>
      </c>
      <c r="AC240">
        <v>1</v>
      </c>
      <c r="AD240">
        <v>39.875</v>
      </c>
      <c r="AE240">
        <v>1</v>
      </c>
      <c r="AF240">
        <v>32</v>
      </c>
      <c r="AG240">
        <v>3</v>
      </c>
      <c r="AH240" t="s">
        <v>361</v>
      </c>
      <c r="AI240">
        <v>0</v>
      </c>
    </row>
    <row r="241" spans="1:35" x14ac:dyDescent="0.2">
      <c r="A241">
        <v>240</v>
      </c>
      <c r="B241" t="s">
        <v>714</v>
      </c>
      <c r="C241" t="s">
        <v>723</v>
      </c>
      <c r="D241" t="s">
        <v>392</v>
      </c>
      <c r="E241">
        <v>9</v>
      </c>
      <c r="F241">
        <v>-5.5759999999999996</v>
      </c>
      <c r="G241">
        <v>-29.55</v>
      </c>
      <c r="H241">
        <v>17386</v>
      </c>
      <c r="I241">
        <v>0</v>
      </c>
      <c r="J241">
        <v>1</v>
      </c>
      <c r="K241" t="s">
        <v>359</v>
      </c>
      <c r="L241" t="s">
        <v>359</v>
      </c>
      <c r="M241" t="s">
        <v>360</v>
      </c>
      <c r="N241">
        <v>1649232712.8</v>
      </c>
      <c r="O241">
        <v>0.22</v>
      </c>
      <c r="P241">
        <v>0.38700000000000001</v>
      </c>
      <c r="Q241">
        <v>65.421999999999997</v>
      </c>
      <c r="R241">
        <v>2E-3</v>
      </c>
      <c r="S241">
        <v>3.0000000000000001E-3</v>
      </c>
      <c r="T241">
        <v>1.569</v>
      </c>
      <c r="U241">
        <v>102.82899999999999</v>
      </c>
      <c r="V241">
        <v>21.533999999999999</v>
      </c>
      <c r="W241">
        <v>2.4489999999999998</v>
      </c>
      <c r="X241">
        <v>94.442999999999998</v>
      </c>
      <c r="Y241">
        <v>0.88300000000000001</v>
      </c>
      <c r="Z241">
        <v>0.152</v>
      </c>
      <c r="AA241">
        <v>0</v>
      </c>
      <c r="AB241">
        <v>0</v>
      </c>
      <c r="AC241">
        <v>1</v>
      </c>
      <c r="AD241">
        <v>39.875</v>
      </c>
      <c r="AE241">
        <v>1</v>
      </c>
      <c r="AF241">
        <v>32</v>
      </c>
      <c r="AG241">
        <v>3</v>
      </c>
      <c r="AH241" t="s">
        <v>361</v>
      </c>
      <c r="AI241">
        <v>0</v>
      </c>
    </row>
    <row r="242" spans="1:35" x14ac:dyDescent="0.2">
      <c r="A242">
        <v>241</v>
      </c>
      <c r="B242" t="s">
        <v>714</v>
      </c>
      <c r="C242" t="s">
        <v>724</v>
      </c>
      <c r="D242" t="s">
        <v>392</v>
      </c>
      <c r="E242">
        <v>10</v>
      </c>
      <c r="F242">
        <v>-5.468</v>
      </c>
      <c r="G242">
        <v>-29.183</v>
      </c>
      <c r="H242">
        <v>17420</v>
      </c>
      <c r="I242">
        <v>0</v>
      </c>
      <c r="J242">
        <v>1</v>
      </c>
      <c r="K242" t="s">
        <v>359</v>
      </c>
      <c r="L242" t="s">
        <v>359</v>
      </c>
      <c r="M242" t="s">
        <v>360</v>
      </c>
      <c r="N242">
        <v>1649233249.79</v>
      </c>
      <c r="O242">
        <v>0.214</v>
      </c>
      <c r="P242">
        <v>0.4</v>
      </c>
      <c r="Q242">
        <v>61.22</v>
      </c>
      <c r="R242">
        <v>1E-3</v>
      </c>
      <c r="S242">
        <v>2E-3</v>
      </c>
      <c r="T242">
        <v>1.47</v>
      </c>
      <c r="U242">
        <v>103.04300000000001</v>
      </c>
      <c r="V242">
        <v>21.21</v>
      </c>
      <c r="W242">
        <v>2.4470000000000001</v>
      </c>
      <c r="X242">
        <v>95.453000000000003</v>
      </c>
      <c r="Y242">
        <v>0.878</v>
      </c>
      <c r="Z242">
        <v>0.27400000000000002</v>
      </c>
      <c r="AA242">
        <v>0</v>
      </c>
      <c r="AB242">
        <v>0</v>
      </c>
      <c r="AC242">
        <v>1</v>
      </c>
      <c r="AD242">
        <v>39.875</v>
      </c>
      <c r="AE242">
        <v>1</v>
      </c>
      <c r="AF242">
        <v>32</v>
      </c>
      <c r="AG242">
        <v>3</v>
      </c>
      <c r="AH242" t="s">
        <v>361</v>
      </c>
      <c r="AI242">
        <v>0</v>
      </c>
    </row>
    <row r="243" spans="1:35" x14ac:dyDescent="0.2">
      <c r="A243">
        <v>242</v>
      </c>
      <c r="B243" t="s">
        <v>714</v>
      </c>
      <c r="C243" t="s">
        <v>725</v>
      </c>
      <c r="D243" t="s">
        <v>392</v>
      </c>
      <c r="E243">
        <v>11</v>
      </c>
      <c r="F243">
        <v>-5.4509999999999996</v>
      </c>
      <c r="G243">
        <v>-29.218</v>
      </c>
      <c r="H243">
        <v>17442</v>
      </c>
      <c r="I243">
        <v>0</v>
      </c>
      <c r="J243">
        <v>1</v>
      </c>
      <c r="K243" t="s">
        <v>359</v>
      </c>
      <c r="L243" t="s">
        <v>359</v>
      </c>
      <c r="M243" t="s">
        <v>360</v>
      </c>
      <c r="N243">
        <v>1649233786.98</v>
      </c>
      <c r="O243">
        <v>0.216</v>
      </c>
      <c r="P243">
        <v>0.42499999999999999</v>
      </c>
      <c r="Q243">
        <v>60.177999999999997</v>
      </c>
      <c r="R243">
        <v>1E-3</v>
      </c>
      <c r="S243">
        <v>0</v>
      </c>
      <c r="T243">
        <v>1.4430000000000001</v>
      </c>
      <c r="U243">
        <v>103.083</v>
      </c>
      <c r="V243">
        <v>21.178000000000001</v>
      </c>
      <c r="W243">
        <v>2.4950000000000001</v>
      </c>
      <c r="X243">
        <v>96.263999999999996</v>
      </c>
      <c r="Y243">
        <v>0.879</v>
      </c>
      <c r="Z243">
        <v>0.42199999999999999</v>
      </c>
      <c r="AA243">
        <v>0</v>
      </c>
      <c r="AB243">
        <v>0</v>
      </c>
      <c r="AC243">
        <v>1</v>
      </c>
      <c r="AD243">
        <v>39.875</v>
      </c>
      <c r="AE243">
        <v>1</v>
      </c>
      <c r="AF243">
        <v>32</v>
      </c>
      <c r="AG243">
        <v>3</v>
      </c>
      <c r="AH243" t="s">
        <v>361</v>
      </c>
      <c r="AI243">
        <v>0</v>
      </c>
    </row>
    <row r="244" spans="1:35" x14ac:dyDescent="0.2">
      <c r="A244">
        <v>243</v>
      </c>
      <c r="B244" t="s">
        <v>714</v>
      </c>
      <c r="C244" t="s">
        <v>726</v>
      </c>
      <c r="D244" t="s">
        <v>392</v>
      </c>
      <c r="E244">
        <v>12</v>
      </c>
      <c r="F244">
        <v>-5.4969999999999999</v>
      </c>
      <c r="G244">
        <v>-29.181000000000001</v>
      </c>
      <c r="H244">
        <v>17456</v>
      </c>
      <c r="I244">
        <v>0</v>
      </c>
      <c r="J244">
        <v>1</v>
      </c>
      <c r="K244" t="s">
        <v>359</v>
      </c>
      <c r="L244" t="s">
        <v>359</v>
      </c>
      <c r="M244" t="s">
        <v>360</v>
      </c>
      <c r="N244">
        <v>1649234324.8900001</v>
      </c>
      <c r="O244">
        <v>0.21299999999999999</v>
      </c>
      <c r="P244">
        <v>0.39600000000000002</v>
      </c>
      <c r="Q244">
        <v>60.445</v>
      </c>
      <c r="R244">
        <v>0</v>
      </c>
      <c r="S244">
        <v>0</v>
      </c>
      <c r="T244">
        <v>1.464</v>
      </c>
      <c r="U244">
        <v>103.26</v>
      </c>
      <c r="V244">
        <v>20.613</v>
      </c>
      <c r="W244">
        <v>2.5590000000000002</v>
      </c>
      <c r="X244">
        <v>97.677999999999997</v>
      </c>
      <c r="Y244">
        <v>0.88200000000000001</v>
      </c>
      <c r="Z244">
        <v>0.56200000000000006</v>
      </c>
      <c r="AA244">
        <v>0</v>
      </c>
      <c r="AB244">
        <v>0</v>
      </c>
      <c r="AC244">
        <v>1</v>
      </c>
      <c r="AD244">
        <v>39.938000000000002</v>
      </c>
      <c r="AE244">
        <v>1</v>
      </c>
      <c r="AF244">
        <v>32</v>
      </c>
      <c r="AG244">
        <v>3</v>
      </c>
      <c r="AH244" t="s">
        <v>361</v>
      </c>
      <c r="AI244">
        <v>0</v>
      </c>
    </row>
    <row r="245" spans="1:35" x14ac:dyDescent="0.2">
      <c r="A245">
        <v>244</v>
      </c>
      <c r="B245" t="s">
        <v>714</v>
      </c>
      <c r="C245" t="s">
        <v>727</v>
      </c>
      <c r="D245" t="s">
        <v>392</v>
      </c>
      <c r="E245">
        <v>13</v>
      </c>
      <c r="F245">
        <v>-5.4720000000000004</v>
      </c>
      <c r="G245">
        <v>-29.224</v>
      </c>
      <c r="H245">
        <v>17429</v>
      </c>
      <c r="I245">
        <v>0</v>
      </c>
      <c r="J245">
        <v>1</v>
      </c>
      <c r="K245" t="s">
        <v>359</v>
      </c>
      <c r="L245" t="s">
        <v>359</v>
      </c>
      <c r="M245" t="s">
        <v>360</v>
      </c>
      <c r="N245">
        <v>1649234862.6800001</v>
      </c>
      <c r="O245">
        <v>0.184</v>
      </c>
      <c r="P245">
        <v>0.38600000000000001</v>
      </c>
      <c r="Q245">
        <v>58.997999999999998</v>
      </c>
      <c r="R245">
        <v>1E-3</v>
      </c>
      <c r="S245">
        <v>1E-3</v>
      </c>
      <c r="T245">
        <v>1.419</v>
      </c>
      <c r="U245">
        <v>103.142</v>
      </c>
      <c r="V245">
        <v>21.114000000000001</v>
      </c>
      <c r="W245">
        <v>2.4580000000000002</v>
      </c>
      <c r="X245">
        <v>95.86</v>
      </c>
      <c r="Y245">
        <v>0.878</v>
      </c>
      <c r="Z245">
        <v>0.26400000000000001</v>
      </c>
      <c r="AA245">
        <v>0</v>
      </c>
      <c r="AB245">
        <v>0</v>
      </c>
      <c r="AC245">
        <v>1</v>
      </c>
      <c r="AD245">
        <v>39.811999999999998</v>
      </c>
      <c r="AE245">
        <v>1</v>
      </c>
      <c r="AF245">
        <v>32</v>
      </c>
      <c r="AG245">
        <v>3</v>
      </c>
      <c r="AH245" t="s">
        <v>361</v>
      </c>
      <c r="AI245">
        <v>0</v>
      </c>
    </row>
    <row r="246" spans="1:35" x14ac:dyDescent="0.2">
      <c r="A246">
        <v>245</v>
      </c>
      <c r="B246" t="s">
        <v>714</v>
      </c>
      <c r="C246" t="s">
        <v>728</v>
      </c>
      <c r="D246" t="s">
        <v>392</v>
      </c>
      <c r="E246">
        <v>14</v>
      </c>
      <c r="F246">
        <v>-5.4269999999999996</v>
      </c>
      <c r="G246">
        <v>-29.209</v>
      </c>
      <c r="H246">
        <v>17470</v>
      </c>
      <c r="I246">
        <v>0</v>
      </c>
      <c r="J246">
        <v>1</v>
      </c>
      <c r="K246" t="s">
        <v>359</v>
      </c>
      <c r="L246" t="s">
        <v>359</v>
      </c>
      <c r="M246" t="s">
        <v>360</v>
      </c>
      <c r="N246">
        <v>1649235408.04</v>
      </c>
      <c r="O246">
        <v>0.20300000000000001</v>
      </c>
      <c r="P246">
        <v>0.39700000000000002</v>
      </c>
      <c r="Q246">
        <v>53.728000000000002</v>
      </c>
      <c r="R246">
        <v>0</v>
      </c>
      <c r="S246">
        <v>2E-3</v>
      </c>
      <c r="T246">
        <v>1.423</v>
      </c>
      <c r="U246">
        <v>103.223</v>
      </c>
      <c r="V246">
        <v>21.210999999999999</v>
      </c>
      <c r="W246">
        <v>2.4590000000000001</v>
      </c>
      <c r="X246">
        <v>97</v>
      </c>
      <c r="Y246">
        <v>1.028</v>
      </c>
      <c r="Z246">
        <v>0.41499999999999998</v>
      </c>
      <c r="AA246">
        <v>0</v>
      </c>
      <c r="AB246">
        <v>0</v>
      </c>
      <c r="AC246">
        <v>1</v>
      </c>
      <c r="AD246">
        <v>39.875</v>
      </c>
      <c r="AE246">
        <v>1</v>
      </c>
      <c r="AF246">
        <v>32</v>
      </c>
      <c r="AG246">
        <v>3</v>
      </c>
      <c r="AH246" t="s">
        <v>361</v>
      </c>
      <c r="AI246">
        <v>0</v>
      </c>
    </row>
    <row r="247" spans="1:35" x14ac:dyDescent="0.2">
      <c r="A247">
        <v>246</v>
      </c>
      <c r="B247" t="s">
        <v>714</v>
      </c>
      <c r="C247" t="s">
        <v>729</v>
      </c>
      <c r="D247" t="s">
        <v>392</v>
      </c>
      <c r="E247">
        <v>15</v>
      </c>
      <c r="F247">
        <v>-5.4740000000000002</v>
      </c>
      <c r="G247">
        <v>-29.282</v>
      </c>
      <c r="H247">
        <v>17434</v>
      </c>
      <c r="I247">
        <v>0</v>
      </c>
      <c r="J247">
        <v>1</v>
      </c>
      <c r="K247" t="s">
        <v>359</v>
      </c>
      <c r="L247" t="s">
        <v>359</v>
      </c>
      <c r="M247" t="s">
        <v>360</v>
      </c>
      <c r="N247">
        <v>1649235936.3199999</v>
      </c>
      <c r="O247">
        <v>0.188</v>
      </c>
      <c r="P247">
        <v>0.40300000000000002</v>
      </c>
      <c r="Q247">
        <v>59.902999999999999</v>
      </c>
      <c r="R247">
        <v>0</v>
      </c>
      <c r="S247">
        <v>-2E-3</v>
      </c>
      <c r="T247">
        <v>1.4319999999999999</v>
      </c>
      <c r="U247">
        <v>103.039</v>
      </c>
      <c r="V247">
        <v>21.369</v>
      </c>
      <c r="W247">
        <v>2.4849999999999999</v>
      </c>
      <c r="X247">
        <v>95.873000000000005</v>
      </c>
      <c r="Y247">
        <v>0.877</v>
      </c>
      <c r="Z247">
        <v>0.44600000000000001</v>
      </c>
      <c r="AA247">
        <v>0</v>
      </c>
      <c r="AB247">
        <v>0</v>
      </c>
      <c r="AC247">
        <v>1</v>
      </c>
      <c r="AD247">
        <v>39.875</v>
      </c>
      <c r="AE247">
        <v>1</v>
      </c>
      <c r="AF247">
        <v>32</v>
      </c>
      <c r="AG247">
        <v>3</v>
      </c>
      <c r="AH247" t="s">
        <v>361</v>
      </c>
      <c r="AI247">
        <v>0</v>
      </c>
    </row>
    <row r="248" spans="1:35" x14ac:dyDescent="0.2">
      <c r="A248">
        <v>247</v>
      </c>
      <c r="B248" t="s">
        <v>730</v>
      </c>
      <c r="C248" t="s">
        <v>731</v>
      </c>
      <c r="D248" t="s">
        <v>393</v>
      </c>
      <c r="E248">
        <v>1</v>
      </c>
      <c r="F248">
        <v>-4.609</v>
      </c>
      <c r="G248">
        <v>-22.875</v>
      </c>
      <c r="H248">
        <v>17404</v>
      </c>
      <c r="I248">
        <v>-1</v>
      </c>
      <c r="J248">
        <v>1</v>
      </c>
      <c r="K248" t="s">
        <v>359</v>
      </c>
      <c r="L248" t="s">
        <v>359</v>
      </c>
      <c r="M248" t="s">
        <v>360</v>
      </c>
      <c r="N248">
        <v>1649236474.6800001</v>
      </c>
      <c r="O248">
        <v>0.19800000000000001</v>
      </c>
      <c r="P248">
        <v>0.38600000000000001</v>
      </c>
      <c r="Q248">
        <v>60.61</v>
      </c>
      <c r="R248">
        <v>1E-3</v>
      </c>
      <c r="S248">
        <v>0</v>
      </c>
      <c r="T248">
        <v>1.4630000000000001</v>
      </c>
      <c r="U248">
        <v>102.83</v>
      </c>
      <c r="V248">
        <v>21.068999999999999</v>
      </c>
      <c r="W248">
        <v>2.4780000000000002</v>
      </c>
      <c r="X248">
        <v>96.474000000000004</v>
      </c>
      <c r="Y248">
        <v>0.88400000000000001</v>
      </c>
      <c r="Z248">
        <v>0.42799999999999999</v>
      </c>
      <c r="AA248">
        <v>0</v>
      </c>
      <c r="AB248">
        <v>0</v>
      </c>
      <c r="AC248">
        <v>1</v>
      </c>
      <c r="AD248">
        <v>39.938000000000002</v>
      </c>
      <c r="AE248">
        <v>1</v>
      </c>
      <c r="AF248">
        <v>33</v>
      </c>
      <c r="AG248">
        <v>3</v>
      </c>
      <c r="AH248" t="s">
        <v>361</v>
      </c>
      <c r="AI248">
        <v>0</v>
      </c>
    </row>
    <row r="249" spans="1:35" x14ac:dyDescent="0.2">
      <c r="A249">
        <v>248</v>
      </c>
      <c r="B249" t="s">
        <v>730</v>
      </c>
      <c r="C249" t="s">
        <v>732</v>
      </c>
      <c r="D249" t="s">
        <v>393</v>
      </c>
      <c r="E249">
        <v>2</v>
      </c>
      <c r="F249">
        <v>-4.5380000000000003</v>
      </c>
      <c r="G249">
        <v>-22.73</v>
      </c>
      <c r="H249">
        <v>17487</v>
      </c>
      <c r="I249">
        <v>-1</v>
      </c>
      <c r="J249">
        <v>1</v>
      </c>
      <c r="K249" t="s">
        <v>359</v>
      </c>
      <c r="L249" t="s">
        <v>359</v>
      </c>
      <c r="M249" t="s">
        <v>360</v>
      </c>
      <c r="N249">
        <v>1649237012.0599999</v>
      </c>
      <c r="O249">
        <v>0.22600000000000001</v>
      </c>
      <c r="P249">
        <v>0.40799999999999997</v>
      </c>
      <c r="Q249">
        <v>60.813000000000002</v>
      </c>
      <c r="R249">
        <v>1E-3</v>
      </c>
      <c r="S249">
        <v>1E-3</v>
      </c>
      <c r="T249">
        <v>1.4450000000000001</v>
      </c>
      <c r="U249">
        <v>103.387</v>
      </c>
      <c r="V249">
        <v>21.425999999999998</v>
      </c>
      <c r="W249">
        <v>2.4820000000000002</v>
      </c>
      <c r="X249">
        <v>95.823999999999998</v>
      </c>
      <c r="Y249">
        <v>0.877</v>
      </c>
      <c r="Z249">
        <v>0.28899999999999998</v>
      </c>
      <c r="AA249">
        <v>0</v>
      </c>
      <c r="AB249">
        <v>0</v>
      </c>
      <c r="AC249">
        <v>1</v>
      </c>
      <c r="AD249">
        <v>39.875</v>
      </c>
      <c r="AE249">
        <v>1</v>
      </c>
      <c r="AF249">
        <v>33</v>
      </c>
      <c r="AG249">
        <v>3</v>
      </c>
      <c r="AH249" t="s">
        <v>361</v>
      </c>
      <c r="AI249">
        <v>0</v>
      </c>
    </row>
    <row r="250" spans="1:35" x14ac:dyDescent="0.2">
      <c r="A250">
        <v>249</v>
      </c>
      <c r="B250" t="s">
        <v>730</v>
      </c>
      <c r="C250" t="s">
        <v>733</v>
      </c>
      <c r="D250" t="s">
        <v>393</v>
      </c>
      <c r="E250">
        <v>3</v>
      </c>
      <c r="F250">
        <v>-4.548</v>
      </c>
      <c r="G250">
        <v>-22.463999999999999</v>
      </c>
      <c r="H250">
        <v>17486</v>
      </c>
      <c r="I250">
        <v>-1</v>
      </c>
      <c r="J250">
        <v>1</v>
      </c>
      <c r="K250" t="s">
        <v>359</v>
      </c>
      <c r="L250" t="s">
        <v>359</v>
      </c>
      <c r="M250" t="s">
        <v>360</v>
      </c>
      <c r="N250">
        <v>1649237549.5699999</v>
      </c>
      <c r="O250">
        <v>0.20899999999999999</v>
      </c>
      <c r="P250">
        <v>0.39100000000000001</v>
      </c>
      <c r="Q250">
        <v>59.280999999999999</v>
      </c>
      <c r="R250">
        <v>1E-3</v>
      </c>
      <c r="S250">
        <v>0</v>
      </c>
      <c r="T250">
        <v>1.429</v>
      </c>
      <c r="U250">
        <v>103.337</v>
      </c>
      <c r="V250">
        <v>21.510999999999999</v>
      </c>
      <c r="W250">
        <v>2.4649999999999999</v>
      </c>
      <c r="X250">
        <v>95.795000000000002</v>
      </c>
      <c r="Y250">
        <v>0.877</v>
      </c>
      <c r="Z250">
        <v>0.28899999999999998</v>
      </c>
      <c r="AA250">
        <v>0</v>
      </c>
      <c r="AB250">
        <v>0</v>
      </c>
      <c r="AC250">
        <v>1</v>
      </c>
      <c r="AD250">
        <v>39.938000000000002</v>
      </c>
      <c r="AE250">
        <v>1</v>
      </c>
      <c r="AF250">
        <v>33</v>
      </c>
      <c r="AG250">
        <v>3</v>
      </c>
      <c r="AH250" t="s">
        <v>361</v>
      </c>
      <c r="AI250">
        <v>0</v>
      </c>
    </row>
    <row r="251" spans="1:35" x14ac:dyDescent="0.2">
      <c r="A251">
        <v>250</v>
      </c>
      <c r="B251" t="s">
        <v>730</v>
      </c>
      <c r="C251" t="s">
        <v>734</v>
      </c>
      <c r="D251" t="s">
        <v>393</v>
      </c>
      <c r="E251">
        <v>4</v>
      </c>
      <c r="F251">
        <v>-4.5220000000000002</v>
      </c>
      <c r="G251">
        <v>-22.495000000000001</v>
      </c>
      <c r="H251">
        <v>17457</v>
      </c>
      <c r="I251">
        <v>0</v>
      </c>
      <c r="J251">
        <v>1</v>
      </c>
      <c r="K251" t="s">
        <v>359</v>
      </c>
      <c r="L251" t="s">
        <v>359</v>
      </c>
      <c r="M251" t="s">
        <v>360</v>
      </c>
      <c r="N251">
        <v>1649238086.46</v>
      </c>
      <c r="O251">
        <v>0.20699999999999999</v>
      </c>
      <c r="P251">
        <v>0.38200000000000001</v>
      </c>
      <c r="Q251">
        <v>61.279000000000003</v>
      </c>
      <c r="R251">
        <v>0</v>
      </c>
      <c r="S251">
        <v>1E-3</v>
      </c>
      <c r="T251">
        <v>1.4570000000000001</v>
      </c>
      <c r="U251">
        <v>103.08199999999999</v>
      </c>
      <c r="V251">
        <v>21.47</v>
      </c>
      <c r="W251">
        <v>2.4790000000000001</v>
      </c>
      <c r="X251">
        <v>96.313999999999993</v>
      </c>
      <c r="Y251">
        <v>0.89</v>
      </c>
      <c r="Z251">
        <v>0.42799999999999999</v>
      </c>
      <c r="AA251">
        <v>0</v>
      </c>
      <c r="AB251">
        <v>0</v>
      </c>
      <c r="AC251">
        <v>1</v>
      </c>
      <c r="AD251">
        <v>40</v>
      </c>
      <c r="AE251">
        <v>1</v>
      </c>
      <c r="AF251">
        <v>33</v>
      </c>
      <c r="AG251">
        <v>3</v>
      </c>
      <c r="AH251" t="s">
        <v>361</v>
      </c>
      <c r="AI251">
        <v>0</v>
      </c>
    </row>
    <row r="252" spans="1:35" x14ac:dyDescent="0.2">
      <c r="A252">
        <v>251</v>
      </c>
      <c r="B252" t="s">
        <v>730</v>
      </c>
      <c r="C252" t="s">
        <v>735</v>
      </c>
      <c r="D252" t="s">
        <v>393</v>
      </c>
      <c r="E252">
        <v>5</v>
      </c>
      <c r="F252">
        <v>-4.5490000000000004</v>
      </c>
      <c r="G252">
        <v>-22.484999999999999</v>
      </c>
      <c r="H252">
        <v>17469</v>
      </c>
      <c r="I252">
        <v>0</v>
      </c>
      <c r="J252">
        <v>1</v>
      </c>
      <c r="K252" t="s">
        <v>359</v>
      </c>
      <c r="L252" t="s">
        <v>359</v>
      </c>
      <c r="M252" t="s">
        <v>360</v>
      </c>
      <c r="N252">
        <v>1649238624.4300001</v>
      </c>
      <c r="O252">
        <v>0.20300000000000001</v>
      </c>
      <c r="P252">
        <v>0.442</v>
      </c>
      <c r="Q252">
        <v>58.908000000000001</v>
      </c>
      <c r="R252">
        <v>1E-3</v>
      </c>
      <c r="S252">
        <v>-1E-3</v>
      </c>
      <c r="T252">
        <v>1.427</v>
      </c>
      <c r="U252">
        <v>103.08</v>
      </c>
      <c r="V252">
        <v>21.539000000000001</v>
      </c>
      <c r="W252">
        <v>2.5019999999999998</v>
      </c>
      <c r="X252">
        <v>96.515000000000001</v>
      </c>
      <c r="Y252">
        <v>0.877</v>
      </c>
      <c r="Z252">
        <v>0.46100000000000002</v>
      </c>
      <c r="AA252">
        <v>0</v>
      </c>
      <c r="AB252">
        <v>0</v>
      </c>
      <c r="AC252">
        <v>1</v>
      </c>
      <c r="AD252">
        <v>40</v>
      </c>
      <c r="AE252">
        <v>1</v>
      </c>
      <c r="AF252">
        <v>33</v>
      </c>
      <c r="AG252">
        <v>3</v>
      </c>
      <c r="AH252" t="s">
        <v>361</v>
      </c>
      <c r="AI252">
        <v>0</v>
      </c>
    </row>
    <row r="253" spans="1:35" x14ac:dyDescent="0.2">
      <c r="A253">
        <v>252</v>
      </c>
      <c r="B253" t="s">
        <v>730</v>
      </c>
      <c r="C253" t="s">
        <v>736</v>
      </c>
      <c r="D253" t="s">
        <v>393</v>
      </c>
      <c r="E253">
        <v>6</v>
      </c>
      <c r="F253">
        <v>-4.5659999999999998</v>
      </c>
      <c r="G253">
        <v>-22.274000000000001</v>
      </c>
      <c r="H253">
        <v>17446</v>
      </c>
      <c r="I253">
        <v>0</v>
      </c>
      <c r="J253">
        <v>1</v>
      </c>
      <c r="K253" t="s">
        <v>359</v>
      </c>
      <c r="L253" t="s">
        <v>359</v>
      </c>
      <c r="M253" t="s">
        <v>360</v>
      </c>
      <c r="N253">
        <v>1649239161.5599999</v>
      </c>
      <c r="O253">
        <v>0.20599999999999999</v>
      </c>
      <c r="P253">
        <v>0.40799999999999997</v>
      </c>
      <c r="Q253">
        <v>61.151000000000003</v>
      </c>
      <c r="R253">
        <v>1E-3</v>
      </c>
      <c r="S253">
        <v>-1E-3</v>
      </c>
      <c r="T253">
        <v>1.4610000000000001</v>
      </c>
      <c r="U253">
        <v>102.989</v>
      </c>
      <c r="V253">
        <v>21.523</v>
      </c>
      <c r="W253">
        <v>2.488</v>
      </c>
      <c r="X253">
        <v>96.231999999999999</v>
      </c>
      <c r="Y253">
        <v>0.88200000000000001</v>
      </c>
      <c r="Z253">
        <v>0.374</v>
      </c>
      <c r="AA253">
        <v>0</v>
      </c>
      <c r="AB253">
        <v>0</v>
      </c>
      <c r="AC253">
        <v>1</v>
      </c>
      <c r="AD253">
        <v>39.938000000000002</v>
      </c>
      <c r="AE253">
        <v>1</v>
      </c>
      <c r="AF253">
        <v>33</v>
      </c>
      <c r="AG253">
        <v>3</v>
      </c>
      <c r="AH253" t="s">
        <v>361</v>
      </c>
      <c r="AI253">
        <v>0</v>
      </c>
    </row>
    <row r="254" spans="1:35" x14ac:dyDescent="0.2">
      <c r="A254">
        <v>253</v>
      </c>
      <c r="B254" t="s">
        <v>730</v>
      </c>
      <c r="C254" t="s">
        <v>737</v>
      </c>
      <c r="D254" t="s">
        <v>393</v>
      </c>
      <c r="E254">
        <v>7</v>
      </c>
      <c r="F254">
        <v>-4.5529999999999999</v>
      </c>
      <c r="G254">
        <v>-22.474</v>
      </c>
      <c r="H254">
        <v>17472</v>
      </c>
      <c r="I254">
        <v>0</v>
      </c>
      <c r="J254">
        <v>1</v>
      </c>
      <c r="K254" t="s">
        <v>359</v>
      </c>
      <c r="L254" t="s">
        <v>359</v>
      </c>
      <c r="M254" t="s">
        <v>360</v>
      </c>
      <c r="N254">
        <v>1649239699.0699999</v>
      </c>
      <c r="O254">
        <v>0.21299999999999999</v>
      </c>
      <c r="P254">
        <v>0.374</v>
      </c>
      <c r="Q254">
        <v>60.454999999999998</v>
      </c>
      <c r="R254">
        <v>1E-3</v>
      </c>
      <c r="S254">
        <v>0</v>
      </c>
      <c r="T254">
        <v>1.45</v>
      </c>
      <c r="U254">
        <v>103.117</v>
      </c>
      <c r="V254">
        <v>21.152000000000001</v>
      </c>
      <c r="W254">
        <v>2.5409999999999999</v>
      </c>
      <c r="X254">
        <v>97.653999999999996</v>
      </c>
      <c r="Y254">
        <v>0.88</v>
      </c>
      <c r="Z254">
        <v>0.61599999999999999</v>
      </c>
      <c r="AA254">
        <v>0</v>
      </c>
      <c r="AB254">
        <v>0</v>
      </c>
      <c r="AC254">
        <v>1</v>
      </c>
      <c r="AD254">
        <v>39.938000000000002</v>
      </c>
      <c r="AE254">
        <v>1</v>
      </c>
      <c r="AF254">
        <v>33</v>
      </c>
      <c r="AG254">
        <v>3</v>
      </c>
      <c r="AH254" t="s">
        <v>361</v>
      </c>
      <c r="AI254">
        <v>0</v>
      </c>
    </row>
    <row r="255" spans="1:35" x14ac:dyDescent="0.2">
      <c r="A255">
        <v>254</v>
      </c>
      <c r="B255" t="s">
        <v>730</v>
      </c>
      <c r="C255" t="s">
        <v>738</v>
      </c>
      <c r="D255" t="s">
        <v>393</v>
      </c>
      <c r="E255">
        <v>8</v>
      </c>
      <c r="F255">
        <v>-4.5640000000000001</v>
      </c>
      <c r="G255">
        <v>-22.306999999999999</v>
      </c>
      <c r="H255">
        <v>17459</v>
      </c>
      <c r="I255">
        <v>0</v>
      </c>
      <c r="J255">
        <v>1</v>
      </c>
      <c r="K255" t="s">
        <v>359</v>
      </c>
      <c r="L255" t="s">
        <v>359</v>
      </c>
      <c r="M255" t="s">
        <v>360</v>
      </c>
      <c r="N255">
        <v>1649240236.3599999</v>
      </c>
      <c r="O255">
        <v>0.19900000000000001</v>
      </c>
      <c r="P255">
        <v>0.36399999999999999</v>
      </c>
      <c r="Q255">
        <v>60.651000000000003</v>
      </c>
      <c r="R255">
        <v>1E-3</v>
      </c>
      <c r="S255">
        <v>1E-3</v>
      </c>
      <c r="T255">
        <v>1.4510000000000001</v>
      </c>
      <c r="U255">
        <v>103.032</v>
      </c>
      <c r="V255">
        <v>21.25</v>
      </c>
      <c r="W255">
        <v>2.5169999999999999</v>
      </c>
      <c r="X255">
        <v>97.376000000000005</v>
      </c>
      <c r="Y255">
        <v>0.88</v>
      </c>
      <c r="Z255">
        <v>0.47699999999999998</v>
      </c>
      <c r="AA255">
        <v>0</v>
      </c>
      <c r="AB255">
        <v>0</v>
      </c>
      <c r="AC255">
        <v>1</v>
      </c>
      <c r="AD255">
        <v>39.938000000000002</v>
      </c>
      <c r="AE255">
        <v>1</v>
      </c>
      <c r="AF255">
        <v>33</v>
      </c>
      <c r="AG255">
        <v>3</v>
      </c>
      <c r="AH255" t="s">
        <v>361</v>
      </c>
      <c r="AI255">
        <v>0</v>
      </c>
    </row>
    <row r="256" spans="1:35" x14ac:dyDescent="0.2">
      <c r="A256">
        <v>255</v>
      </c>
      <c r="B256" t="s">
        <v>730</v>
      </c>
      <c r="C256" t="s">
        <v>739</v>
      </c>
      <c r="D256" t="s">
        <v>393</v>
      </c>
      <c r="E256">
        <v>9</v>
      </c>
      <c r="F256">
        <v>-4.5590000000000002</v>
      </c>
      <c r="G256">
        <v>-22.440999999999999</v>
      </c>
      <c r="H256">
        <v>17468</v>
      </c>
      <c r="I256">
        <v>0</v>
      </c>
      <c r="J256">
        <v>1</v>
      </c>
      <c r="K256" t="s">
        <v>359</v>
      </c>
      <c r="L256" t="s">
        <v>359</v>
      </c>
      <c r="M256" t="s">
        <v>360</v>
      </c>
      <c r="N256">
        <v>1649240773.9300001</v>
      </c>
      <c r="O256">
        <v>0.20599999999999999</v>
      </c>
      <c r="P256">
        <v>0.36499999999999999</v>
      </c>
      <c r="Q256">
        <v>60.576000000000001</v>
      </c>
      <c r="R256">
        <v>0</v>
      </c>
      <c r="S256">
        <v>0</v>
      </c>
      <c r="T256">
        <v>1.452</v>
      </c>
      <c r="U256">
        <v>103.03700000000001</v>
      </c>
      <c r="V256">
        <v>21.675999999999998</v>
      </c>
      <c r="W256">
        <v>2.4969999999999999</v>
      </c>
      <c r="X256">
        <v>96.103999999999999</v>
      </c>
      <c r="Y256">
        <v>0.88200000000000001</v>
      </c>
      <c r="Z256">
        <v>0.39800000000000002</v>
      </c>
      <c r="AA256">
        <v>0</v>
      </c>
      <c r="AB256">
        <v>0</v>
      </c>
      <c r="AC256">
        <v>1</v>
      </c>
      <c r="AD256">
        <v>39.938000000000002</v>
      </c>
      <c r="AE256">
        <v>1</v>
      </c>
      <c r="AF256">
        <v>33</v>
      </c>
      <c r="AG256">
        <v>3</v>
      </c>
      <c r="AH256" t="s">
        <v>361</v>
      </c>
      <c r="AI256">
        <v>0</v>
      </c>
    </row>
    <row r="257" spans="1:35" x14ac:dyDescent="0.2">
      <c r="A257">
        <v>256</v>
      </c>
      <c r="B257" t="s">
        <v>730</v>
      </c>
      <c r="C257" t="s">
        <v>740</v>
      </c>
      <c r="D257" t="s">
        <v>393</v>
      </c>
      <c r="E257">
        <v>10</v>
      </c>
      <c r="F257">
        <v>-4.524</v>
      </c>
      <c r="G257">
        <v>-22.419</v>
      </c>
      <c r="H257">
        <v>17456</v>
      </c>
      <c r="I257">
        <v>0</v>
      </c>
      <c r="J257">
        <v>1</v>
      </c>
      <c r="K257" t="s">
        <v>359</v>
      </c>
      <c r="L257" t="s">
        <v>359</v>
      </c>
      <c r="M257" t="s">
        <v>360</v>
      </c>
      <c r="N257">
        <v>1649241311.1500001</v>
      </c>
      <c r="O257">
        <v>0.19500000000000001</v>
      </c>
      <c r="P257">
        <v>0.35899999999999999</v>
      </c>
      <c r="Q257">
        <v>60.97</v>
      </c>
      <c r="R257">
        <v>0</v>
      </c>
      <c r="S257">
        <v>0</v>
      </c>
      <c r="T257">
        <v>1.46</v>
      </c>
      <c r="U257">
        <v>103.13500000000001</v>
      </c>
      <c r="V257">
        <v>21.686</v>
      </c>
      <c r="W257">
        <v>2.4609999999999999</v>
      </c>
      <c r="X257">
        <v>95.239000000000004</v>
      </c>
      <c r="Y257">
        <v>0.88</v>
      </c>
      <c r="Z257">
        <v>0.29799999999999999</v>
      </c>
      <c r="AA257">
        <v>0</v>
      </c>
      <c r="AB257">
        <v>0</v>
      </c>
      <c r="AC257">
        <v>1</v>
      </c>
      <c r="AD257">
        <v>40</v>
      </c>
      <c r="AE257">
        <v>1</v>
      </c>
      <c r="AF257">
        <v>33</v>
      </c>
      <c r="AG257">
        <v>3</v>
      </c>
      <c r="AH257" t="s">
        <v>361</v>
      </c>
      <c r="AI257">
        <v>0</v>
      </c>
    </row>
    <row r="258" spans="1:35" x14ac:dyDescent="0.2">
      <c r="A258">
        <v>257</v>
      </c>
      <c r="B258" t="s">
        <v>730</v>
      </c>
      <c r="C258" t="s">
        <v>741</v>
      </c>
      <c r="D258" t="s">
        <v>393</v>
      </c>
      <c r="E258">
        <v>11</v>
      </c>
      <c r="F258">
        <v>-4.5419999999999998</v>
      </c>
      <c r="G258">
        <v>-22.306000000000001</v>
      </c>
      <c r="H258">
        <v>17449</v>
      </c>
      <c r="I258">
        <v>0</v>
      </c>
      <c r="J258">
        <v>1</v>
      </c>
      <c r="K258" t="s">
        <v>359</v>
      </c>
      <c r="L258" t="s">
        <v>359</v>
      </c>
      <c r="M258" t="s">
        <v>360</v>
      </c>
      <c r="N258">
        <v>1649241848.3299999</v>
      </c>
      <c r="O258">
        <v>0.191</v>
      </c>
      <c r="P258">
        <v>0.35399999999999998</v>
      </c>
      <c r="Q258">
        <v>60.777999999999999</v>
      </c>
      <c r="R258">
        <v>1E-3</v>
      </c>
      <c r="S258">
        <v>2E-3</v>
      </c>
      <c r="T258">
        <v>1.4530000000000001</v>
      </c>
      <c r="U258">
        <v>102.985</v>
      </c>
      <c r="V258">
        <v>21.771000000000001</v>
      </c>
      <c r="W258">
        <v>2.4409999999999998</v>
      </c>
      <c r="X258">
        <v>95.319000000000003</v>
      </c>
      <c r="Y258">
        <v>0.88100000000000001</v>
      </c>
      <c r="Z258">
        <v>0.38500000000000001</v>
      </c>
      <c r="AA258">
        <v>0</v>
      </c>
      <c r="AB258">
        <v>0</v>
      </c>
      <c r="AC258">
        <v>1</v>
      </c>
      <c r="AD258">
        <v>39.938000000000002</v>
      </c>
      <c r="AE258">
        <v>1</v>
      </c>
      <c r="AF258">
        <v>33</v>
      </c>
      <c r="AG258">
        <v>3</v>
      </c>
      <c r="AH258" t="s">
        <v>361</v>
      </c>
      <c r="AI258">
        <v>0</v>
      </c>
    </row>
    <row r="259" spans="1:35" x14ac:dyDescent="0.2">
      <c r="A259">
        <v>258</v>
      </c>
      <c r="B259" t="s">
        <v>730</v>
      </c>
      <c r="C259" t="s">
        <v>742</v>
      </c>
      <c r="D259" t="s">
        <v>393</v>
      </c>
      <c r="E259">
        <v>12</v>
      </c>
      <c r="F259">
        <v>-4.5389999999999997</v>
      </c>
      <c r="G259">
        <v>-22.344999999999999</v>
      </c>
      <c r="H259">
        <v>17456</v>
      </c>
      <c r="I259">
        <v>0</v>
      </c>
      <c r="J259">
        <v>1</v>
      </c>
      <c r="K259" t="s">
        <v>359</v>
      </c>
      <c r="L259" t="s">
        <v>359</v>
      </c>
      <c r="M259" t="s">
        <v>360</v>
      </c>
      <c r="N259">
        <v>1649242386.1600001</v>
      </c>
      <c r="O259">
        <v>0.20699999999999999</v>
      </c>
      <c r="P259">
        <v>0.437</v>
      </c>
      <c r="Q259">
        <v>60.274000000000001</v>
      </c>
      <c r="R259">
        <v>1E-3</v>
      </c>
      <c r="S259">
        <v>1E-3</v>
      </c>
      <c r="T259">
        <v>1.4379999999999999</v>
      </c>
      <c r="U259">
        <v>103.404</v>
      </c>
      <c r="V259">
        <v>21.224</v>
      </c>
      <c r="W259">
        <v>2.4329999999999998</v>
      </c>
      <c r="X259">
        <v>95.263999999999996</v>
      </c>
      <c r="Y259">
        <v>0.88300000000000001</v>
      </c>
      <c r="Z259">
        <v>0.10299999999999999</v>
      </c>
      <c r="AA259">
        <v>0</v>
      </c>
      <c r="AB259">
        <v>0</v>
      </c>
      <c r="AC259">
        <v>1</v>
      </c>
      <c r="AD259">
        <v>39.938000000000002</v>
      </c>
      <c r="AE259">
        <v>1</v>
      </c>
      <c r="AF259">
        <v>33</v>
      </c>
      <c r="AG259">
        <v>3</v>
      </c>
      <c r="AH259" t="s">
        <v>361</v>
      </c>
      <c r="AI259">
        <v>0</v>
      </c>
    </row>
    <row r="260" spans="1:35" x14ac:dyDescent="0.2">
      <c r="A260">
        <v>259</v>
      </c>
      <c r="B260" t="s">
        <v>730</v>
      </c>
      <c r="C260" t="s">
        <v>743</v>
      </c>
      <c r="D260" t="s">
        <v>393</v>
      </c>
      <c r="E260">
        <v>13</v>
      </c>
      <c r="F260">
        <v>-4.5380000000000003</v>
      </c>
      <c r="G260">
        <v>-22.350999999999999</v>
      </c>
      <c r="H260">
        <v>17456</v>
      </c>
      <c r="I260">
        <v>0</v>
      </c>
      <c r="J260">
        <v>1</v>
      </c>
      <c r="K260" t="s">
        <v>359</v>
      </c>
      <c r="L260" t="s">
        <v>359</v>
      </c>
      <c r="M260" t="s">
        <v>360</v>
      </c>
      <c r="N260">
        <v>1649242923.5</v>
      </c>
      <c r="O260">
        <v>0.19</v>
      </c>
      <c r="P260">
        <v>0.41799999999999998</v>
      </c>
      <c r="Q260">
        <v>59.936999999999998</v>
      </c>
      <c r="R260">
        <v>0</v>
      </c>
      <c r="S260">
        <v>2E-3</v>
      </c>
      <c r="T260">
        <v>1.44</v>
      </c>
      <c r="U260">
        <v>103.154</v>
      </c>
      <c r="V260">
        <v>21.099</v>
      </c>
      <c r="W260">
        <v>2.472</v>
      </c>
      <c r="X260">
        <v>96.933000000000007</v>
      </c>
      <c r="Y260">
        <v>0.878</v>
      </c>
      <c r="Z260">
        <v>0.40600000000000003</v>
      </c>
      <c r="AA260">
        <v>0</v>
      </c>
      <c r="AB260">
        <v>0</v>
      </c>
      <c r="AC260">
        <v>1</v>
      </c>
      <c r="AD260">
        <v>39.938000000000002</v>
      </c>
      <c r="AE260">
        <v>1</v>
      </c>
      <c r="AF260">
        <v>33</v>
      </c>
      <c r="AG260">
        <v>3</v>
      </c>
      <c r="AH260" t="s">
        <v>361</v>
      </c>
      <c r="AI260">
        <v>0</v>
      </c>
    </row>
    <row r="261" spans="1:35" x14ac:dyDescent="0.2">
      <c r="A261">
        <v>260</v>
      </c>
      <c r="B261" t="s">
        <v>730</v>
      </c>
      <c r="C261" t="s">
        <v>744</v>
      </c>
      <c r="D261" t="s">
        <v>393</v>
      </c>
      <c r="E261">
        <v>14</v>
      </c>
      <c r="F261">
        <v>-4.5170000000000003</v>
      </c>
      <c r="G261">
        <v>-22.268999999999998</v>
      </c>
      <c r="H261">
        <v>17454</v>
      </c>
      <c r="I261">
        <v>0</v>
      </c>
      <c r="J261">
        <v>1</v>
      </c>
      <c r="K261" t="s">
        <v>359</v>
      </c>
      <c r="L261" t="s">
        <v>359</v>
      </c>
      <c r="M261" t="s">
        <v>360</v>
      </c>
      <c r="N261">
        <v>1649243461.04</v>
      </c>
      <c r="O261">
        <v>0.216</v>
      </c>
      <c r="P261">
        <v>0.40200000000000002</v>
      </c>
      <c r="Q261">
        <v>61.414000000000001</v>
      </c>
      <c r="R261">
        <v>1E-3</v>
      </c>
      <c r="S261">
        <v>1E-3</v>
      </c>
      <c r="T261">
        <v>1.462</v>
      </c>
      <c r="U261">
        <v>103.247</v>
      </c>
      <c r="V261">
        <v>21.18</v>
      </c>
      <c r="W261">
        <v>2.456</v>
      </c>
      <c r="X261">
        <v>96.016000000000005</v>
      </c>
      <c r="Y261">
        <v>0.88600000000000001</v>
      </c>
      <c r="Z261">
        <v>0.28999999999999998</v>
      </c>
      <c r="AA261">
        <v>0</v>
      </c>
      <c r="AB261">
        <v>0</v>
      </c>
      <c r="AC261">
        <v>1</v>
      </c>
      <c r="AD261">
        <v>39.938000000000002</v>
      </c>
      <c r="AE261">
        <v>1</v>
      </c>
      <c r="AF261">
        <v>33</v>
      </c>
      <c r="AG261">
        <v>3</v>
      </c>
      <c r="AH261" t="s">
        <v>361</v>
      </c>
      <c r="AI261">
        <v>0</v>
      </c>
    </row>
    <row r="262" spans="1:35" x14ac:dyDescent="0.2">
      <c r="A262">
        <v>261</v>
      </c>
      <c r="B262" t="s">
        <v>730</v>
      </c>
      <c r="C262" t="s">
        <v>745</v>
      </c>
      <c r="D262" t="s">
        <v>393</v>
      </c>
      <c r="E262">
        <v>15</v>
      </c>
      <c r="F262">
        <v>-4.532</v>
      </c>
      <c r="G262">
        <v>-22.338000000000001</v>
      </c>
      <c r="H262">
        <v>17457</v>
      </c>
      <c r="I262">
        <v>0</v>
      </c>
      <c r="J262">
        <v>1</v>
      </c>
      <c r="K262" t="s">
        <v>359</v>
      </c>
      <c r="L262" t="s">
        <v>359</v>
      </c>
      <c r="M262" t="s">
        <v>360</v>
      </c>
      <c r="N262">
        <v>1649243998.74</v>
      </c>
      <c r="O262">
        <v>0.19900000000000001</v>
      </c>
      <c r="P262">
        <v>0.39700000000000002</v>
      </c>
      <c r="Q262">
        <v>59.393999999999998</v>
      </c>
      <c r="R262">
        <v>0</v>
      </c>
      <c r="S262">
        <v>1E-3</v>
      </c>
      <c r="T262">
        <v>1.425</v>
      </c>
      <c r="U262">
        <v>103.209</v>
      </c>
      <c r="V262">
        <v>21.114999999999998</v>
      </c>
      <c r="W262">
        <v>2.532</v>
      </c>
      <c r="X262">
        <v>96.518000000000001</v>
      </c>
      <c r="Y262">
        <v>0.88800000000000001</v>
      </c>
      <c r="Z262">
        <v>0.42299999999999999</v>
      </c>
      <c r="AA262">
        <v>0</v>
      </c>
      <c r="AB262">
        <v>0</v>
      </c>
      <c r="AC262">
        <v>1</v>
      </c>
      <c r="AD262">
        <v>39.938000000000002</v>
      </c>
      <c r="AE262">
        <v>1</v>
      </c>
      <c r="AF262">
        <v>33</v>
      </c>
      <c r="AG262">
        <v>3</v>
      </c>
      <c r="AH262" t="s">
        <v>361</v>
      </c>
      <c r="AI262">
        <v>0</v>
      </c>
    </row>
    <row r="263" spans="1:35" x14ac:dyDescent="0.2">
      <c r="A263">
        <v>262</v>
      </c>
      <c r="B263" t="s">
        <v>746</v>
      </c>
      <c r="C263" t="s">
        <v>747</v>
      </c>
      <c r="D263" t="s">
        <v>394</v>
      </c>
      <c r="E263">
        <v>1</v>
      </c>
      <c r="F263">
        <v>-7.84</v>
      </c>
      <c r="G263">
        <v>-49.14</v>
      </c>
      <c r="H263">
        <v>17346</v>
      </c>
      <c r="I263">
        <v>-1</v>
      </c>
      <c r="J263">
        <v>1</v>
      </c>
      <c r="K263" t="s">
        <v>359</v>
      </c>
      <c r="L263" t="s">
        <v>359</v>
      </c>
      <c r="M263" t="s">
        <v>360</v>
      </c>
      <c r="N263">
        <v>1649244536.1300001</v>
      </c>
      <c r="O263">
        <v>0.222</v>
      </c>
      <c r="P263">
        <v>0.45600000000000002</v>
      </c>
      <c r="Q263">
        <v>69.614000000000004</v>
      </c>
      <c r="R263">
        <v>2E-3</v>
      </c>
      <c r="S263">
        <v>6.0000000000000001E-3</v>
      </c>
      <c r="T263">
        <v>1.665</v>
      </c>
      <c r="U263">
        <v>102.56</v>
      </c>
      <c r="V263">
        <v>21.253</v>
      </c>
      <c r="W263">
        <v>2.4510000000000001</v>
      </c>
      <c r="X263">
        <v>95.043999999999997</v>
      </c>
      <c r="Y263">
        <v>0.88100000000000001</v>
      </c>
      <c r="Z263">
        <v>0.25900000000000001</v>
      </c>
      <c r="AA263">
        <v>0</v>
      </c>
      <c r="AB263">
        <v>0</v>
      </c>
      <c r="AC263">
        <v>1</v>
      </c>
      <c r="AD263">
        <v>39.938000000000002</v>
      </c>
      <c r="AE263">
        <v>1</v>
      </c>
      <c r="AF263">
        <v>34</v>
      </c>
      <c r="AG263">
        <v>3</v>
      </c>
      <c r="AH263" t="s">
        <v>361</v>
      </c>
      <c r="AI263">
        <v>0</v>
      </c>
    </row>
    <row r="264" spans="1:35" x14ac:dyDescent="0.2">
      <c r="A264">
        <v>263</v>
      </c>
      <c r="B264" t="s">
        <v>746</v>
      </c>
      <c r="C264" t="s">
        <v>748</v>
      </c>
      <c r="D264" t="s">
        <v>394</v>
      </c>
      <c r="E264">
        <v>2</v>
      </c>
      <c r="F264">
        <v>-7.8010000000000002</v>
      </c>
      <c r="G264">
        <v>-50.860999999999997</v>
      </c>
      <c r="H264">
        <v>17452</v>
      </c>
      <c r="I264">
        <v>-1</v>
      </c>
      <c r="J264">
        <v>1</v>
      </c>
      <c r="K264" t="s">
        <v>359</v>
      </c>
      <c r="L264" t="s">
        <v>359</v>
      </c>
      <c r="M264" t="s">
        <v>360</v>
      </c>
      <c r="N264">
        <v>1649245073.96</v>
      </c>
      <c r="O264">
        <v>0.192</v>
      </c>
      <c r="P264">
        <v>0.434</v>
      </c>
      <c r="Q264">
        <v>59.518000000000001</v>
      </c>
      <c r="R264">
        <v>1E-3</v>
      </c>
      <c r="S264">
        <v>3.0000000000000001E-3</v>
      </c>
      <c r="T264">
        <v>1.4350000000000001</v>
      </c>
      <c r="U264">
        <v>103.101</v>
      </c>
      <c r="V264">
        <v>22.07</v>
      </c>
      <c r="W264">
        <v>2.4180000000000001</v>
      </c>
      <c r="X264">
        <v>94.150999999999996</v>
      </c>
      <c r="Y264">
        <v>0.88</v>
      </c>
      <c r="Z264">
        <v>0.1</v>
      </c>
      <c r="AA264">
        <v>0</v>
      </c>
      <c r="AB264">
        <v>0</v>
      </c>
      <c r="AC264">
        <v>1</v>
      </c>
      <c r="AD264">
        <v>39.875</v>
      </c>
      <c r="AE264">
        <v>1</v>
      </c>
      <c r="AF264">
        <v>34</v>
      </c>
      <c r="AG264">
        <v>3</v>
      </c>
      <c r="AH264" t="s">
        <v>361</v>
      </c>
      <c r="AI264">
        <v>0</v>
      </c>
    </row>
    <row r="265" spans="1:35" x14ac:dyDescent="0.2">
      <c r="A265">
        <v>264</v>
      </c>
      <c r="B265" t="s">
        <v>746</v>
      </c>
      <c r="C265" t="s">
        <v>749</v>
      </c>
      <c r="D265" t="s">
        <v>394</v>
      </c>
      <c r="E265">
        <v>3</v>
      </c>
      <c r="F265">
        <v>-7.8460000000000001</v>
      </c>
      <c r="G265">
        <v>-51.523000000000003</v>
      </c>
      <c r="H265">
        <v>17393</v>
      </c>
      <c r="I265">
        <v>-1</v>
      </c>
      <c r="J265">
        <v>1</v>
      </c>
      <c r="K265" t="s">
        <v>359</v>
      </c>
      <c r="L265" t="s">
        <v>359</v>
      </c>
      <c r="M265" t="s">
        <v>360</v>
      </c>
      <c r="N265">
        <v>1649245611.51</v>
      </c>
      <c r="O265">
        <v>0.219</v>
      </c>
      <c r="P265">
        <v>0.40500000000000003</v>
      </c>
      <c r="Q265">
        <v>60.566000000000003</v>
      </c>
      <c r="R265">
        <v>1E-3</v>
      </c>
      <c r="S265">
        <v>2E-3</v>
      </c>
      <c r="T265">
        <v>1.4490000000000001</v>
      </c>
      <c r="U265">
        <v>102.53400000000001</v>
      </c>
      <c r="V265">
        <v>21.577000000000002</v>
      </c>
      <c r="W265">
        <v>2.5089999999999999</v>
      </c>
      <c r="X265">
        <v>96.328999999999994</v>
      </c>
      <c r="Y265">
        <v>0.88100000000000001</v>
      </c>
      <c r="Z265">
        <v>0.52300000000000002</v>
      </c>
      <c r="AA265">
        <v>0</v>
      </c>
      <c r="AB265">
        <v>0</v>
      </c>
      <c r="AC265">
        <v>1</v>
      </c>
      <c r="AD265">
        <v>39.938000000000002</v>
      </c>
      <c r="AE265">
        <v>1</v>
      </c>
      <c r="AF265">
        <v>34</v>
      </c>
      <c r="AG265">
        <v>3</v>
      </c>
      <c r="AH265" t="s">
        <v>361</v>
      </c>
      <c r="AI265">
        <v>0</v>
      </c>
    </row>
    <row r="266" spans="1:35" x14ac:dyDescent="0.2">
      <c r="A266">
        <v>265</v>
      </c>
      <c r="B266" t="s">
        <v>746</v>
      </c>
      <c r="C266" t="s">
        <v>750</v>
      </c>
      <c r="D266" t="s">
        <v>394</v>
      </c>
      <c r="E266">
        <v>4</v>
      </c>
      <c r="F266">
        <v>-7.907</v>
      </c>
      <c r="G266">
        <v>-52.005000000000003</v>
      </c>
      <c r="H266">
        <v>17399</v>
      </c>
      <c r="I266">
        <v>0</v>
      </c>
      <c r="J266">
        <v>1</v>
      </c>
      <c r="K266" t="s">
        <v>359</v>
      </c>
      <c r="L266" t="s">
        <v>359</v>
      </c>
      <c r="M266" t="s">
        <v>360</v>
      </c>
      <c r="N266">
        <v>1649246149.1199999</v>
      </c>
      <c r="O266">
        <v>0.224</v>
      </c>
      <c r="P266">
        <v>0.376</v>
      </c>
      <c r="Q266">
        <v>59.991999999999997</v>
      </c>
      <c r="R266">
        <v>1E-3</v>
      </c>
      <c r="S266">
        <v>3.0000000000000001E-3</v>
      </c>
      <c r="T266">
        <v>1.4339999999999999</v>
      </c>
      <c r="U266">
        <v>102.739</v>
      </c>
      <c r="V266">
        <v>21.402000000000001</v>
      </c>
      <c r="W266">
        <v>2.4590000000000001</v>
      </c>
      <c r="X266">
        <v>96.01</v>
      </c>
      <c r="Y266">
        <v>0.88200000000000001</v>
      </c>
      <c r="Z266">
        <v>0.47499999999999998</v>
      </c>
      <c r="AA266">
        <v>0</v>
      </c>
      <c r="AB266">
        <v>0</v>
      </c>
      <c r="AC266">
        <v>1</v>
      </c>
      <c r="AD266">
        <v>39.938000000000002</v>
      </c>
      <c r="AE266">
        <v>1</v>
      </c>
      <c r="AF266">
        <v>34</v>
      </c>
      <c r="AG266">
        <v>3</v>
      </c>
      <c r="AH266" t="s">
        <v>361</v>
      </c>
      <c r="AI266">
        <v>0</v>
      </c>
    </row>
    <row r="267" spans="1:35" x14ac:dyDescent="0.2">
      <c r="A267">
        <v>266</v>
      </c>
      <c r="B267" t="s">
        <v>746</v>
      </c>
      <c r="C267" t="s">
        <v>751</v>
      </c>
      <c r="D267" t="s">
        <v>394</v>
      </c>
      <c r="E267">
        <v>5</v>
      </c>
      <c r="F267">
        <v>-7.9050000000000002</v>
      </c>
      <c r="G267">
        <v>-52.005000000000003</v>
      </c>
      <c r="H267">
        <v>17398</v>
      </c>
      <c r="I267">
        <v>0</v>
      </c>
      <c r="J267">
        <v>1</v>
      </c>
      <c r="K267" t="s">
        <v>359</v>
      </c>
      <c r="L267" t="s">
        <v>359</v>
      </c>
      <c r="M267" t="s">
        <v>360</v>
      </c>
      <c r="N267">
        <v>1649246686.4400001</v>
      </c>
      <c r="O267">
        <v>0.21199999999999999</v>
      </c>
      <c r="P267">
        <v>0.40799999999999997</v>
      </c>
      <c r="Q267">
        <v>60.856999999999999</v>
      </c>
      <c r="R267">
        <v>1E-3</v>
      </c>
      <c r="S267">
        <v>0</v>
      </c>
      <c r="T267">
        <v>1.4610000000000001</v>
      </c>
      <c r="U267">
        <v>102.748</v>
      </c>
      <c r="V267">
        <v>21.236000000000001</v>
      </c>
      <c r="W267">
        <v>2.516</v>
      </c>
      <c r="X267">
        <v>96.385999999999996</v>
      </c>
      <c r="Y267">
        <v>0.88300000000000001</v>
      </c>
      <c r="Z267">
        <v>0.51600000000000001</v>
      </c>
      <c r="AA267">
        <v>0</v>
      </c>
      <c r="AB267">
        <v>0</v>
      </c>
      <c r="AC267">
        <v>1</v>
      </c>
      <c r="AD267">
        <v>39.875</v>
      </c>
      <c r="AE267">
        <v>1</v>
      </c>
      <c r="AF267">
        <v>34</v>
      </c>
      <c r="AG267">
        <v>3</v>
      </c>
      <c r="AH267" t="s">
        <v>361</v>
      </c>
      <c r="AI267">
        <v>0</v>
      </c>
    </row>
    <row r="268" spans="1:35" x14ac:dyDescent="0.2">
      <c r="A268">
        <v>267</v>
      </c>
      <c r="B268" t="s">
        <v>746</v>
      </c>
      <c r="C268" t="s">
        <v>752</v>
      </c>
      <c r="D268" t="s">
        <v>394</v>
      </c>
      <c r="E268">
        <v>6</v>
      </c>
      <c r="F268">
        <v>-7.93</v>
      </c>
      <c r="G268">
        <v>-52.119</v>
      </c>
      <c r="H268">
        <v>17411</v>
      </c>
      <c r="I268">
        <v>0</v>
      </c>
      <c r="J268">
        <v>1</v>
      </c>
      <c r="K268" t="s">
        <v>359</v>
      </c>
      <c r="L268" t="s">
        <v>359</v>
      </c>
      <c r="M268" t="s">
        <v>360</v>
      </c>
      <c r="N268">
        <v>1649247223.23</v>
      </c>
      <c r="O268">
        <v>0.20899999999999999</v>
      </c>
      <c r="P268">
        <v>0.38100000000000001</v>
      </c>
      <c r="Q268">
        <v>59.857999999999997</v>
      </c>
      <c r="R268">
        <v>1E-3</v>
      </c>
      <c r="S268">
        <v>3.0000000000000001E-3</v>
      </c>
      <c r="T268">
        <v>1.4419999999999999</v>
      </c>
      <c r="U268">
        <v>103.164</v>
      </c>
      <c r="V268">
        <v>21.024000000000001</v>
      </c>
      <c r="W268">
        <v>2.39</v>
      </c>
      <c r="X268">
        <v>95.364999999999995</v>
      </c>
      <c r="Y268">
        <v>0.88100000000000001</v>
      </c>
      <c r="Z268">
        <v>0.18099999999999999</v>
      </c>
      <c r="AA268">
        <v>0</v>
      </c>
      <c r="AB268">
        <v>0</v>
      </c>
      <c r="AC268">
        <v>1</v>
      </c>
      <c r="AD268">
        <v>39.875</v>
      </c>
      <c r="AE268">
        <v>1</v>
      </c>
      <c r="AF268">
        <v>34</v>
      </c>
      <c r="AG268">
        <v>3</v>
      </c>
      <c r="AH268" t="s">
        <v>361</v>
      </c>
      <c r="AI268">
        <v>0</v>
      </c>
    </row>
    <row r="269" spans="1:35" x14ac:dyDescent="0.2">
      <c r="A269">
        <v>268</v>
      </c>
      <c r="B269" t="s">
        <v>746</v>
      </c>
      <c r="C269" t="s">
        <v>753</v>
      </c>
      <c r="D269" t="s">
        <v>394</v>
      </c>
      <c r="E269">
        <v>7</v>
      </c>
      <c r="F269">
        <v>-7.9329999999999998</v>
      </c>
      <c r="G269">
        <v>-52.186</v>
      </c>
      <c r="H269">
        <v>17403</v>
      </c>
      <c r="I269">
        <v>0</v>
      </c>
      <c r="J269">
        <v>1</v>
      </c>
      <c r="K269" t="s">
        <v>359</v>
      </c>
      <c r="L269" t="s">
        <v>359</v>
      </c>
      <c r="M269" t="s">
        <v>360</v>
      </c>
      <c r="N269">
        <v>1649247761.6300001</v>
      </c>
      <c r="O269">
        <v>0.19</v>
      </c>
      <c r="P269">
        <v>0.38600000000000001</v>
      </c>
      <c r="Q269">
        <v>59.972000000000001</v>
      </c>
      <c r="R269">
        <v>0</v>
      </c>
      <c r="S269">
        <v>2E-3</v>
      </c>
      <c r="T269">
        <v>1.4319999999999999</v>
      </c>
      <c r="U269">
        <v>102.967</v>
      </c>
      <c r="V269">
        <v>21.27</v>
      </c>
      <c r="W269">
        <v>2.468</v>
      </c>
      <c r="X269">
        <v>95.406000000000006</v>
      </c>
      <c r="Y269">
        <v>0.89300000000000002</v>
      </c>
      <c r="Z269">
        <v>0.28999999999999998</v>
      </c>
      <c r="AA269">
        <v>0</v>
      </c>
      <c r="AB269">
        <v>0</v>
      </c>
      <c r="AC269">
        <v>1</v>
      </c>
      <c r="AD269">
        <v>39.875</v>
      </c>
      <c r="AE269">
        <v>1</v>
      </c>
      <c r="AF269">
        <v>34</v>
      </c>
      <c r="AG269">
        <v>3</v>
      </c>
      <c r="AH269" t="s">
        <v>361</v>
      </c>
      <c r="AI269">
        <v>0</v>
      </c>
    </row>
    <row r="270" spans="1:35" x14ac:dyDescent="0.2">
      <c r="A270">
        <v>269</v>
      </c>
      <c r="B270" t="s">
        <v>746</v>
      </c>
      <c r="C270" t="s">
        <v>754</v>
      </c>
      <c r="D270" t="s">
        <v>394</v>
      </c>
      <c r="E270">
        <v>8</v>
      </c>
      <c r="F270">
        <v>-7.9249999999999998</v>
      </c>
      <c r="G270">
        <v>-52.192999999999998</v>
      </c>
      <c r="H270">
        <v>17399</v>
      </c>
      <c r="I270">
        <v>0</v>
      </c>
      <c r="J270">
        <v>1</v>
      </c>
      <c r="K270" t="s">
        <v>359</v>
      </c>
      <c r="L270" t="s">
        <v>359</v>
      </c>
      <c r="M270" t="s">
        <v>360</v>
      </c>
      <c r="N270">
        <v>1649248298.77</v>
      </c>
      <c r="O270">
        <v>0.20599999999999999</v>
      </c>
      <c r="P270">
        <v>0.39600000000000002</v>
      </c>
      <c r="Q270">
        <v>61.378</v>
      </c>
      <c r="R270">
        <v>1E-3</v>
      </c>
      <c r="S270">
        <v>1E-3</v>
      </c>
      <c r="T270">
        <v>1.4630000000000001</v>
      </c>
      <c r="U270">
        <v>102.79300000000001</v>
      </c>
      <c r="V270">
        <v>21.399000000000001</v>
      </c>
      <c r="W270">
        <v>2.4889999999999999</v>
      </c>
      <c r="X270">
        <v>95.849000000000004</v>
      </c>
      <c r="Y270">
        <v>0.88100000000000001</v>
      </c>
      <c r="Z270">
        <v>0.39700000000000002</v>
      </c>
      <c r="AA270">
        <v>0</v>
      </c>
      <c r="AB270">
        <v>0</v>
      </c>
      <c r="AC270">
        <v>1</v>
      </c>
      <c r="AD270">
        <v>39.875</v>
      </c>
      <c r="AE270">
        <v>1</v>
      </c>
      <c r="AF270">
        <v>34</v>
      </c>
      <c r="AG270">
        <v>3</v>
      </c>
      <c r="AH270" t="s">
        <v>361</v>
      </c>
      <c r="AI270">
        <v>0</v>
      </c>
    </row>
    <row r="271" spans="1:35" x14ac:dyDescent="0.2">
      <c r="A271">
        <v>270</v>
      </c>
      <c r="B271" t="s">
        <v>746</v>
      </c>
      <c r="C271" t="s">
        <v>755</v>
      </c>
      <c r="D271" t="s">
        <v>394</v>
      </c>
      <c r="E271">
        <v>9</v>
      </c>
      <c r="F271">
        <v>-7.9260000000000002</v>
      </c>
      <c r="G271">
        <v>-52.354999999999997</v>
      </c>
      <c r="H271">
        <v>17389</v>
      </c>
      <c r="I271">
        <v>0</v>
      </c>
      <c r="J271">
        <v>1</v>
      </c>
      <c r="K271" t="s">
        <v>359</v>
      </c>
      <c r="L271" t="s">
        <v>359</v>
      </c>
      <c r="M271" t="s">
        <v>360</v>
      </c>
      <c r="N271">
        <v>1649248836.8299999</v>
      </c>
      <c r="O271">
        <v>0.215</v>
      </c>
      <c r="P271">
        <v>0.379</v>
      </c>
      <c r="Q271">
        <v>58.87</v>
      </c>
      <c r="R271">
        <v>1E-3</v>
      </c>
      <c r="S271">
        <v>1E-3</v>
      </c>
      <c r="T271">
        <v>1.417</v>
      </c>
      <c r="U271">
        <v>102.586</v>
      </c>
      <c r="V271">
        <v>21.823</v>
      </c>
      <c r="W271">
        <v>2.4319999999999999</v>
      </c>
      <c r="X271">
        <v>95.096000000000004</v>
      </c>
      <c r="Y271">
        <v>0.878</v>
      </c>
      <c r="Z271">
        <v>0.30599999999999999</v>
      </c>
      <c r="AA271">
        <v>0</v>
      </c>
      <c r="AB271">
        <v>0</v>
      </c>
      <c r="AC271">
        <v>1</v>
      </c>
      <c r="AD271">
        <v>39.875</v>
      </c>
      <c r="AE271">
        <v>1</v>
      </c>
      <c r="AF271">
        <v>34</v>
      </c>
      <c r="AG271">
        <v>3</v>
      </c>
      <c r="AH271" t="s">
        <v>361</v>
      </c>
      <c r="AI271">
        <v>0</v>
      </c>
    </row>
    <row r="272" spans="1:35" x14ac:dyDescent="0.2">
      <c r="A272">
        <v>271</v>
      </c>
      <c r="B272" t="s">
        <v>746</v>
      </c>
      <c r="C272" t="s">
        <v>756</v>
      </c>
      <c r="D272" t="s">
        <v>394</v>
      </c>
      <c r="E272">
        <v>10</v>
      </c>
      <c r="F272">
        <v>-7.9370000000000003</v>
      </c>
      <c r="G272">
        <v>-52.372999999999998</v>
      </c>
      <c r="H272">
        <v>17412</v>
      </c>
      <c r="I272">
        <v>0</v>
      </c>
      <c r="J272">
        <v>1</v>
      </c>
      <c r="K272" t="s">
        <v>359</v>
      </c>
      <c r="L272" t="s">
        <v>359</v>
      </c>
      <c r="M272" t="s">
        <v>360</v>
      </c>
      <c r="N272">
        <v>1649249373.8</v>
      </c>
      <c r="O272">
        <v>0.19600000000000001</v>
      </c>
      <c r="P272">
        <v>0.41399999999999998</v>
      </c>
      <c r="Q272">
        <v>60.865000000000002</v>
      </c>
      <c r="R272">
        <v>1E-3</v>
      </c>
      <c r="S272">
        <v>2E-3</v>
      </c>
      <c r="T272">
        <v>1.4470000000000001</v>
      </c>
      <c r="U272">
        <v>102.884</v>
      </c>
      <c r="V272">
        <v>21.454999999999998</v>
      </c>
      <c r="W272">
        <v>2.4590000000000001</v>
      </c>
      <c r="X272">
        <v>95.391000000000005</v>
      </c>
      <c r="Y272">
        <v>0.88</v>
      </c>
      <c r="Z272">
        <v>0.32200000000000001</v>
      </c>
      <c r="AA272">
        <v>0</v>
      </c>
      <c r="AB272">
        <v>0</v>
      </c>
      <c r="AC272">
        <v>1</v>
      </c>
      <c r="AD272">
        <v>39.875</v>
      </c>
      <c r="AE272">
        <v>1</v>
      </c>
      <c r="AF272">
        <v>34</v>
      </c>
      <c r="AG272">
        <v>3</v>
      </c>
      <c r="AH272" t="s">
        <v>361</v>
      </c>
      <c r="AI272">
        <v>0</v>
      </c>
    </row>
    <row r="273" spans="1:35" x14ac:dyDescent="0.2">
      <c r="A273">
        <v>272</v>
      </c>
      <c r="B273" t="s">
        <v>746</v>
      </c>
      <c r="C273" t="s">
        <v>757</v>
      </c>
      <c r="D273" t="s">
        <v>394</v>
      </c>
      <c r="E273">
        <v>11</v>
      </c>
      <c r="F273">
        <v>-7.94</v>
      </c>
      <c r="G273">
        <v>-52.265000000000001</v>
      </c>
      <c r="H273">
        <v>17389</v>
      </c>
      <c r="I273">
        <v>0</v>
      </c>
      <c r="J273">
        <v>1</v>
      </c>
      <c r="K273" t="s">
        <v>359</v>
      </c>
      <c r="L273" t="s">
        <v>359</v>
      </c>
      <c r="M273" t="s">
        <v>360</v>
      </c>
      <c r="N273">
        <v>1649249911.3399999</v>
      </c>
      <c r="O273">
        <v>0.191</v>
      </c>
      <c r="P273">
        <v>0.38400000000000001</v>
      </c>
      <c r="Q273">
        <v>60.524000000000001</v>
      </c>
      <c r="R273">
        <v>1E-3</v>
      </c>
      <c r="S273">
        <v>1E-3</v>
      </c>
      <c r="T273">
        <v>1.4510000000000001</v>
      </c>
      <c r="U273">
        <v>102.58</v>
      </c>
      <c r="V273">
        <v>21.786999999999999</v>
      </c>
      <c r="W273">
        <v>2.4710000000000001</v>
      </c>
      <c r="X273">
        <v>95.168000000000006</v>
      </c>
      <c r="Y273">
        <v>0.88</v>
      </c>
      <c r="Z273">
        <v>0.36499999999999999</v>
      </c>
      <c r="AA273">
        <v>0</v>
      </c>
      <c r="AB273">
        <v>0</v>
      </c>
      <c r="AC273">
        <v>1</v>
      </c>
      <c r="AD273">
        <v>39.875</v>
      </c>
      <c r="AE273">
        <v>1</v>
      </c>
      <c r="AF273">
        <v>34</v>
      </c>
      <c r="AG273">
        <v>3</v>
      </c>
      <c r="AH273" t="s">
        <v>361</v>
      </c>
      <c r="AI273">
        <v>0</v>
      </c>
    </row>
    <row r="274" spans="1:35" x14ac:dyDescent="0.2">
      <c r="A274">
        <v>273</v>
      </c>
      <c r="B274" t="s">
        <v>746</v>
      </c>
      <c r="C274" t="s">
        <v>758</v>
      </c>
      <c r="D274" t="s">
        <v>394</v>
      </c>
      <c r="E274">
        <v>12</v>
      </c>
      <c r="F274">
        <v>-7.9539999999999997</v>
      </c>
      <c r="G274">
        <v>-52.363999999999997</v>
      </c>
      <c r="H274">
        <v>17409</v>
      </c>
      <c r="I274">
        <v>0</v>
      </c>
      <c r="J274">
        <v>1</v>
      </c>
      <c r="K274" t="s">
        <v>359</v>
      </c>
      <c r="L274" t="s">
        <v>359</v>
      </c>
      <c r="M274" t="s">
        <v>360</v>
      </c>
      <c r="N274">
        <v>1649250449.1099999</v>
      </c>
      <c r="O274">
        <v>0.20499999999999999</v>
      </c>
      <c r="P274">
        <v>0.36399999999999999</v>
      </c>
      <c r="Q274">
        <v>60.168999999999997</v>
      </c>
      <c r="R274">
        <v>1E-3</v>
      </c>
      <c r="S274">
        <v>1E-3</v>
      </c>
      <c r="T274">
        <v>1.4390000000000001</v>
      </c>
      <c r="U274">
        <v>102.777</v>
      </c>
      <c r="V274">
        <v>22.163</v>
      </c>
      <c r="W274">
        <v>2.4009999999999998</v>
      </c>
      <c r="X274">
        <v>93.927000000000007</v>
      </c>
      <c r="Y274">
        <v>0.88300000000000001</v>
      </c>
      <c r="Z274">
        <v>0.16200000000000001</v>
      </c>
      <c r="AA274">
        <v>0</v>
      </c>
      <c r="AB274">
        <v>0</v>
      </c>
      <c r="AC274">
        <v>1</v>
      </c>
      <c r="AD274">
        <v>39.875</v>
      </c>
      <c r="AE274">
        <v>1</v>
      </c>
      <c r="AF274">
        <v>34</v>
      </c>
      <c r="AG274">
        <v>3</v>
      </c>
      <c r="AH274" t="s">
        <v>361</v>
      </c>
      <c r="AI274">
        <v>0</v>
      </c>
    </row>
    <row r="275" spans="1:35" x14ac:dyDescent="0.2">
      <c r="A275">
        <v>274</v>
      </c>
      <c r="B275" t="s">
        <v>746</v>
      </c>
      <c r="C275" t="s">
        <v>759</v>
      </c>
      <c r="D275" t="s">
        <v>394</v>
      </c>
      <c r="E275">
        <v>13</v>
      </c>
      <c r="F275">
        <v>-7.9710000000000001</v>
      </c>
      <c r="G275">
        <v>-52.497</v>
      </c>
      <c r="H275">
        <v>17412</v>
      </c>
      <c r="I275">
        <v>0</v>
      </c>
      <c r="J275">
        <v>1</v>
      </c>
      <c r="K275" t="s">
        <v>359</v>
      </c>
      <c r="L275" t="s">
        <v>359</v>
      </c>
      <c r="M275" t="s">
        <v>360</v>
      </c>
      <c r="N275">
        <v>1649250986.3599999</v>
      </c>
      <c r="O275">
        <v>0.21</v>
      </c>
      <c r="P275">
        <v>0.42</v>
      </c>
      <c r="Q275">
        <v>59.540999999999997</v>
      </c>
      <c r="R275">
        <v>1E-3</v>
      </c>
      <c r="S275">
        <v>1E-3</v>
      </c>
      <c r="T275">
        <v>1.4279999999999999</v>
      </c>
      <c r="U275">
        <v>102.973</v>
      </c>
      <c r="V275">
        <v>21.494</v>
      </c>
      <c r="W275">
        <v>2.4489999999999998</v>
      </c>
      <c r="X275">
        <v>94.941000000000003</v>
      </c>
      <c r="Y275">
        <v>0.879</v>
      </c>
      <c r="Z275">
        <v>0.217</v>
      </c>
      <c r="AA275">
        <v>0</v>
      </c>
      <c r="AB275">
        <v>0</v>
      </c>
      <c r="AC275">
        <v>1</v>
      </c>
      <c r="AD275">
        <v>39.875</v>
      </c>
      <c r="AE275">
        <v>1</v>
      </c>
      <c r="AF275">
        <v>34</v>
      </c>
      <c r="AG275">
        <v>3</v>
      </c>
      <c r="AH275" t="s">
        <v>361</v>
      </c>
      <c r="AI275">
        <v>0</v>
      </c>
    </row>
    <row r="276" spans="1:35" x14ac:dyDescent="0.2">
      <c r="A276">
        <v>275</v>
      </c>
      <c r="B276" t="s">
        <v>746</v>
      </c>
      <c r="C276" t="s">
        <v>760</v>
      </c>
      <c r="D276" t="s">
        <v>394</v>
      </c>
      <c r="E276">
        <v>14</v>
      </c>
      <c r="F276">
        <v>-8.0060000000000002</v>
      </c>
      <c r="G276">
        <v>-52.451999999999998</v>
      </c>
      <c r="H276">
        <v>17407</v>
      </c>
      <c r="I276">
        <v>0</v>
      </c>
      <c r="J276">
        <v>1</v>
      </c>
      <c r="K276" t="s">
        <v>359</v>
      </c>
      <c r="L276" t="s">
        <v>359</v>
      </c>
      <c r="M276" t="s">
        <v>360</v>
      </c>
      <c r="N276">
        <v>1649251523.6700001</v>
      </c>
      <c r="O276">
        <v>0.215</v>
      </c>
      <c r="P276">
        <v>0.36899999999999999</v>
      </c>
      <c r="Q276">
        <v>60.804000000000002</v>
      </c>
      <c r="R276">
        <v>1E-3</v>
      </c>
      <c r="S276">
        <v>1E-3</v>
      </c>
      <c r="T276">
        <v>1.4570000000000001</v>
      </c>
      <c r="U276">
        <v>102.875</v>
      </c>
      <c r="V276">
        <v>21.704999999999998</v>
      </c>
      <c r="W276">
        <v>2.4220000000000002</v>
      </c>
      <c r="X276">
        <v>94.614000000000004</v>
      </c>
      <c r="Y276">
        <v>0.88400000000000001</v>
      </c>
      <c r="Z276">
        <v>0.10299999999999999</v>
      </c>
      <c r="AA276">
        <v>0</v>
      </c>
      <c r="AB276">
        <v>0</v>
      </c>
      <c r="AC276">
        <v>1</v>
      </c>
      <c r="AD276">
        <v>39.875</v>
      </c>
      <c r="AE276">
        <v>1</v>
      </c>
      <c r="AF276">
        <v>34</v>
      </c>
      <c r="AG276">
        <v>3</v>
      </c>
      <c r="AH276" t="s">
        <v>361</v>
      </c>
      <c r="AI276">
        <v>0</v>
      </c>
    </row>
    <row r="277" spans="1:35" x14ac:dyDescent="0.2">
      <c r="A277">
        <v>276</v>
      </c>
      <c r="B277" t="s">
        <v>746</v>
      </c>
      <c r="C277" t="s">
        <v>761</v>
      </c>
      <c r="D277" t="s">
        <v>394</v>
      </c>
      <c r="E277">
        <v>15</v>
      </c>
      <c r="F277">
        <v>-7.99</v>
      </c>
      <c r="G277">
        <v>-52.484999999999999</v>
      </c>
      <c r="H277">
        <v>17458</v>
      </c>
      <c r="I277">
        <v>0</v>
      </c>
      <c r="J277">
        <v>1</v>
      </c>
      <c r="K277" t="s">
        <v>359</v>
      </c>
      <c r="L277" t="s">
        <v>359</v>
      </c>
      <c r="M277" t="s">
        <v>360</v>
      </c>
      <c r="N277">
        <v>1649252061.6099999</v>
      </c>
      <c r="O277">
        <v>0.217</v>
      </c>
      <c r="P277">
        <v>0.42399999999999999</v>
      </c>
      <c r="Q277">
        <v>59.941000000000003</v>
      </c>
      <c r="R277">
        <v>1E-3</v>
      </c>
      <c r="S277">
        <v>0</v>
      </c>
      <c r="T277">
        <v>1.4430000000000001</v>
      </c>
      <c r="U277">
        <v>103.285</v>
      </c>
      <c r="V277">
        <v>21.085000000000001</v>
      </c>
      <c r="W277">
        <v>2.476</v>
      </c>
      <c r="X277">
        <v>96.293999999999997</v>
      </c>
      <c r="Y277">
        <v>0.877</v>
      </c>
      <c r="Z277">
        <v>0.32200000000000001</v>
      </c>
      <c r="AA277">
        <v>0</v>
      </c>
      <c r="AB277">
        <v>0</v>
      </c>
      <c r="AC277">
        <v>1</v>
      </c>
      <c r="AD277">
        <v>39.875</v>
      </c>
      <c r="AE277">
        <v>1</v>
      </c>
      <c r="AF277">
        <v>34</v>
      </c>
      <c r="AG277">
        <v>3</v>
      </c>
      <c r="AH277" t="s">
        <v>361</v>
      </c>
      <c r="AI277">
        <v>0</v>
      </c>
    </row>
    <row r="278" spans="1:35" x14ac:dyDescent="0.2">
      <c r="A278">
        <v>277</v>
      </c>
      <c r="B278" t="s">
        <v>762</v>
      </c>
      <c r="C278" t="s">
        <v>763</v>
      </c>
      <c r="D278" t="s">
        <v>395</v>
      </c>
      <c r="E278">
        <v>1</v>
      </c>
      <c r="F278">
        <v>-5.6529999999999996</v>
      </c>
      <c r="G278">
        <v>-31.960999999999999</v>
      </c>
      <c r="H278">
        <v>17387</v>
      </c>
      <c r="I278">
        <v>-1</v>
      </c>
      <c r="J278">
        <v>1</v>
      </c>
      <c r="K278" t="s">
        <v>359</v>
      </c>
      <c r="L278" t="s">
        <v>359</v>
      </c>
      <c r="M278" t="s">
        <v>360</v>
      </c>
      <c r="N278">
        <v>1649252600.05</v>
      </c>
      <c r="O278">
        <v>0.2</v>
      </c>
      <c r="P278">
        <v>0.41399999999999998</v>
      </c>
      <c r="Q278">
        <v>58.689</v>
      </c>
      <c r="R278">
        <v>0</v>
      </c>
      <c r="S278">
        <v>-2E-3</v>
      </c>
      <c r="T278">
        <v>1.409</v>
      </c>
      <c r="U278">
        <v>102.744</v>
      </c>
      <c r="V278">
        <v>21.04</v>
      </c>
      <c r="W278">
        <v>2.4969999999999999</v>
      </c>
      <c r="X278">
        <v>96.405000000000001</v>
      </c>
      <c r="Y278">
        <v>0.879</v>
      </c>
      <c r="Z278">
        <v>0.45200000000000001</v>
      </c>
      <c r="AA278">
        <v>0</v>
      </c>
      <c r="AB278">
        <v>0</v>
      </c>
      <c r="AC278">
        <v>1</v>
      </c>
      <c r="AD278">
        <v>39.875</v>
      </c>
      <c r="AE278">
        <v>1</v>
      </c>
      <c r="AF278">
        <v>35</v>
      </c>
      <c r="AG278">
        <v>3</v>
      </c>
      <c r="AH278" t="s">
        <v>361</v>
      </c>
      <c r="AI278">
        <v>0</v>
      </c>
    </row>
    <row r="279" spans="1:35" x14ac:dyDescent="0.2">
      <c r="A279">
        <v>278</v>
      </c>
      <c r="B279" t="s">
        <v>762</v>
      </c>
      <c r="C279" t="s">
        <v>764</v>
      </c>
      <c r="D279" t="s">
        <v>395</v>
      </c>
      <c r="E279">
        <v>2</v>
      </c>
      <c r="F279">
        <v>-5.5659999999999998</v>
      </c>
      <c r="G279">
        <v>-30.451000000000001</v>
      </c>
      <c r="H279">
        <v>17481</v>
      </c>
      <c r="I279">
        <v>-1</v>
      </c>
      <c r="J279">
        <v>1</v>
      </c>
      <c r="K279" t="s">
        <v>359</v>
      </c>
      <c r="L279" t="s">
        <v>359</v>
      </c>
      <c r="M279" t="s">
        <v>360</v>
      </c>
      <c r="N279">
        <v>1649253136.96</v>
      </c>
      <c r="O279">
        <v>0.22</v>
      </c>
      <c r="P279">
        <v>0.41099999999999998</v>
      </c>
      <c r="Q279">
        <v>60.116999999999997</v>
      </c>
      <c r="R279">
        <v>0</v>
      </c>
      <c r="S279">
        <v>-2E-3</v>
      </c>
      <c r="T279">
        <v>1.4370000000000001</v>
      </c>
      <c r="U279">
        <v>103.227</v>
      </c>
      <c r="V279">
        <v>21.32</v>
      </c>
      <c r="W279">
        <v>2.504</v>
      </c>
      <c r="X279">
        <v>97.266999999999996</v>
      </c>
      <c r="Y279">
        <v>0.88200000000000001</v>
      </c>
      <c r="Z279">
        <v>0.48899999999999999</v>
      </c>
      <c r="AA279">
        <v>0</v>
      </c>
      <c r="AB279">
        <v>0</v>
      </c>
      <c r="AC279">
        <v>1</v>
      </c>
      <c r="AD279">
        <v>39.875</v>
      </c>
      <c r="AE279">
        <v>1</v>
      </c>
      <c r="AF279">
        <v>35</v>
      </c>
      <c r="AG279">
        <v>3</v>
      </c>
      <c r="AH279" t="s">
        <v>361</v>
      </c>
      <c r="AI279">
        <v>0</v>
      </c>
    </row>
    <row r="280" spans="1:35" x14ac:dyDescent="0.2">
      <c r="A280">
        <v>279</v>
      </c>
      <c r="B280" t="s">
        <v>762</v>
      </c>
      <c r="C280" t="s">
        <v>765</v>
      </c>
      <c r="D280" t="s">
        <v>395</v>
      </c>
      <c r="E280">
        <v>3</v>
      </c>
      <c r="F280">
        <v>-5.5190000000000001</v>
      </c>
      <c r="G280">
        <v>-30.026</v>
      </c>
      <c r="H280">
        <v>17469</v>
      </c>
      <c r="I280">
        <v>-1</v>
      </c>
      <c r="J280">
        <v>1</v>
      </c>
      <c r="K280" t="s">
        <v>359</v>
      </c>
      <c r="L280" t="s">
        <v>359</v>
      </c>
      <c r="M280" t="s">
        <v>360</v>
      </c>
      <c r="N280">
        <v>1649253675.1199999</v>
      </c>
      <c r="O280">
        <v>0.22</v>
      </c>
      <c r="P280">
        <v>0.375</v>
      </c>
      <c r="Q280">
        <v>59.195999999999998</v>
      </c>
      <c r="R280">
        <v>1E-3</v>
      </c>
      <c r="S280">
        <v>0</v>
      </c>
      <c r="T280">
        <v>1.4219999999999999</v>
      </c>
      <c r="U280">
        <v>103.425</v>
      </c>
      <c r="V280">
        <v>21.125</v>
      </c>
      <c r="W280">
        <v>2.4569999999999999</v>
      </c>
      <c r="X280">
        <v>95.902000000000001</v>
      </c>
      <c r="Y280">
        <v>0.879</v>
      </c>
      <c r="Z280">
        <v>0.29899999999999999</v>
      </c>
      <c r="AA280">
        <v>0</v>
      </c>
      <c r="AB280">
        <v>0</v>
      </c>
      <c r="AC280">
        <v>1</v>
      </c>
      <c r="AD280">
        <v>39.938000000000002</v>
      </c>
      <c r="AE280">
        <v>1</v>
      </c>
      <c r="AF280">
        <v>35</v>
      </c>
      <c r="AG280">
        <v>3</v>
      </c>
      <c r="AH280" t="s">
        <v>361</v>
      </c>
      <c r="AI280">
        <v>0</v>
      </c>
    </row>
    <row r="281" spans="1:35" x14ac:dyDescent="0.2">
      <c r="A281">
        <v>280</v>
      </c>
      <c r="B281" t="s">
        <v>762</v>
      </c>
      <c r="C281" t="s">
        <v>766</v>
      </c>
      <c r="D281" t="s">
        <v>395</v>
      </c>
      <c r="E281">
        <v>4</v>
      </c>
      <c r="F281">
        <v>-5.55</v>
      </c>
      <c r="G281">
        <v>-29.85</v>
      </c>
      <c r="H281">
        <v>17433</v>
      </c>
      <c r="I281">
        <v>0</v>
      </c>
      <c r="J281">
        <v>1</v>
      </c>
      <c r="K281" t="s">
        <v>359</v>
      </c>
      <c r="L281" t="s">
        <v>359</v>
      </c>
      <c r="M281" t="s">
        <v>360</v>
      </c>
      <c r="N281">
        <v>1649254212.47</v>
      </c>
      <c r="O281">
        <v>0.19800000000000001</v>
      </c>
      <c r="P281">
        <v>0.378</v>
      </c>
      <c r="Q281">
        <v>61.908000000000001</v>
      </c>
      <c r="R281">
        <v>1E-3</v>
      </c>
      <c r="S281">
        <v>0</v>
      </c>
      <c r="T281">
        <v>1.4810000000000001</v>
      </c>
      <c r="U281">
        <v>103.026</v>
      </c>
      <c r="V281">
        <v>21.504000000000001</v>
      </c>
      <c r="W281">
        <v>2.5030000000000001</v>
      </c>
      <c r="X281">
        <v>95.704999999999998</v>
      </c>
      <c r="Y281">
        <v>0.88500000000000001</v>
      </c>
      <c r="Z281">
        <v>0.35299999999999998</v>
      </c>
      <c r="AA281">
        <v>0</v>
      </c>
      <c r="AB281">
        <v>0</v>
      </c>
      <c r="AC281">
        <v>1</v>
      </c>
      <c r="AD281">
        <v>39.938000000000002</v>
      </c>
      <c r="AE281">
        <v>1</v>
      </c>
      <c r="AF281">
        <v>35</v>
      </c>
      <c r="AG281">
        <v>3</v>
      </c>
      <c r="AH281" t="s">
        <v>361</v>
      </c>
      <c r="AI281">
        <v>0</v>
      </c>
    </row>
    <row r="282" spans="1:35" x14ac:dyDescent="0.2">
      <c r="A282">
        <v>281</v>
      </c>
      <c r="B282" t="s">
        <v>762</v>
      </c>
      <c r="C282" t="s">
        <v>767</v>
      </c>
      <c r="D282" t="s">
        <v>395</v>
      </c>
      <c r="E282">
        <v>5</v>
      </c>
      <c r="F282">
        <v>-5.53</v>
      </c>
      <c r="G282">
        <v>-29.734000000000002</v>
      </c>
      <c r="H282">
        <v>17451</v>
      </c>
      <c r="I282">
        <v>0</v>
      </c>
      <c r="J282">
        <v>1</v>
      </c>
      <c r="K282" t="s">
        <v>359</v>
      </c>
      <c r="L282" t="s">
        <v>359</v>
      </c>
      <c r="M282" t="s">
        <v>360</v>
      </c>
      <c r="N282">
        <v>1649254750.3299999</v>
      </c>
      <c r="O282">
        <v>0.186</v>
      </c>
      <c r="P282">
        <v>0.376</v>
      </c>
      <c r="Q282">
        <v>61.107999999999997</v>
      </c>
      <c r="R282">
        <v>0</v>
      </c>
      <c r="S282">
        <v>-1E-3</v>
      </c>
      <c r="T282">
        <v>1.4550000000000001</v>
      </c>
      <c r="U282">
        <v>103.176</v>
      </c>
      <c r="V282">
        <v>21.687000000000001</v>
      </c>
      <c r="W282">
        <v>2.4460000000000002</v>
      </c>
      <c r="X282">
        <v>94.917000000000002</v>
      </c>
      <c r="Y282">
        <v>0.877</v>
      </c>
      <c r="Z282">
        <v>0.23599999999999999</v>
      </c>
      <c r="AA282">
        <v>0</v>
      </c>
      <c r="AB282">
        <v>0</v>
      </c>
      <c r="AC282">
        <v>1</v>
      </c>
      <c r="AD282">
        <v>40</v>
      </c>
      <c r="AE282">
        <v>1</v>
      </c>
      <c r="AF282">
        <v>35</v>
      </c>
      <c r="AG282">
        <v>3</v>
      </c>
      <c r="AH282" t="s">
        <v>361</v>
      </c>
      <c r="AI282">
        <v>0</v>
      </c>
    </row>
    <row r="283" spans="1:35" x14ac:dyDescent="0.2">
      <c r="A283">
        <v>282</v>
      </c>
      <c r="B283" t="s">
        <v>762</v>
      </c>
      <c r="C283" t="s">
        <v>768</v>
      </c>
      <c r="D283" t="s">
        <v>395</v>
      </c>
      <c r="E283">
        <v>6</v>
      </c>
      <c r="F283">
        <v>-5.492</v>
      </c>
      <c r="G283">
        <v>-29.701000000000001</v>
      </c>
      <c r="H283">
        <v>17523</v>
      </c>
      <c r="I283">
        <v>0</v>
      </c>
      <c r="J283">
        <v>1</v>
      </c>
      <c r="K283" t="s">
        <v>359</v>
      </c>
      <c r="L283" t="s">
        <v>359</v>
      </c>
      <c r="M283" t="s">
        <v>360</v>
      </c>
      <c r="N283">
        <v>1649255288.05</v>
      </c>
      <c r="O283">
        <v>0.20300000000000001</v>
      </c>
      <c r="P283">
        <v>0.39900000000000002</v>
      </c>
      <c r="Q283">
        <v>59.860999999999997</v>
      </c>
      <c r="R283">
        <v>1E-3</v>
      </c>
      <c r="S283">
        <v>-1E-3</v>
      </c>
      <c r="T283">
        <v>1.4350000000000001</v>
      </c>
      <c r="U283">
        <v>103.56</v>
      </c>
      <c r="V283">
        <v>21.422999999999998</v>
      </c>
      <c r="W283">
        <v>2.4820000000000002</v>
      </c>
      <c r="X283">
        <v>96.688999999999993</v>
      </c>
      <c r="Y283">
        <v>0.879</v>
      </c>
      <c r="Z283">
        <v>0.39400000000000002</v>
      </c>
      <c r="AA283">
        <v>0</v>
      </c>
      <c r="AB283">
        <v>0</v>
      </c>
      <c r="AC283">
        <v>1</v>
      </c>
      <c r="AD283">
        <v>40</v>
      </c>
      <c r="AE283">
        <v>1</v>
      </c>
      <c r="AF283">
        <v>35</v>
      </c>
      <c r="AG283">
        <v>3</v>
      </c>
      <c r="AH283" t="s">
        <v>361</v>
      </c>
      <c r="AI283">
        <v>0</v>
      </c>
    </row>
    <row r="284" spans="1:35" x14ac:dyDescent="0.2">
      <c r="A284">
        <v>283</v>
      </c>
      <c r="B284" t="s">
        <v>762</v>
      </c>
      <c r="C284" t="s">
        <v>769</v>
      </c>
      <c r="D284" t="s">
        <v>395</v>
      </c>
      <c r="E284">
        <v>7</v>
      </c>
      <c r="F284">
        <v>-5.4960000000000004</v>
      </c>
      <c r="G284">
        <v>-29.558</v>
      </c>
      <c r="H284">
        <v>17456</v>
      </c>
      <c r="I284">
        <v>0</v>
      </c>
      <c r="J284">
        <v>1</v>
      </c>
      <c r="K284" t="s">
        <v>359</v>
      </c>
      <c r="L284" t="s">
        <v>359</v>
      </c>
      <c r="M284" t="s">
        <v>360</v>
      </c>
      <c r="N284">
        <v>1649255825.48</v>
      </c>
      <c r="O284">
        <v>0.21199999999999999</v>
      </c>
      <c r="P284">
        <v>0.36</v>
      </c>
      <c r="Q284">
        <v>58.994999999999997</v>
      </c>
      <c r="R284">
        <v>1E-3</v>
      </c>
      <c r="S284">
        <v>0</v>
      </c>
      <c r="T284">
        <v>1.419</v>
      </c>
      <c r="U284">
        <v>103.226</v>
      </c>
      <c r="V284">
        <v>21.25</v>
      </c>
      <c r="W284">
        <v>2.5</v>
      </c>
      <c r="X284">
        <v>95.992999999999995</v>
      </c>
      <c r="Y284">
        <v>0.88200000000000001</v>
      </c>
      <c r="Z284">
        <v>0.27200000000000002</v>
      </c>
      <c r="AA284">
        <v>0</v>
      </c>
      <c r="AB284">
        <v>0</v>
      </c>
      <c r="AC284">
        <v>1</v>
      </c>
      <c r="AD284">
        <v>39.938000000000002</v>
      </c>
      <c r="AE284">
        <v>1</v>
      </c>
      <c r="AF284">
        <v>35</v>
      </c>
      <c r="AG284">
        <v>3</v>
      </c>
      <c r="AH284" t="s">
        <v>361</v>
      </c>
      <c r="AI284">
        <v>0</v>
      </c>
    </row>
    <row r="285" spans="1:35" x14ac:dyDescent="0.2">
      <c r="A285">
        <v>284</v>
      </c>
      <c r="B285" t="s">
        <v>762</v>
      </c>
      <c r="C285" t="s">
        <v>770</v>
      </c>
      <c r="D285" t="s">
        <v>395</v>
      </c>
      <c r="E285">
        <v>8</v>
      </c>
      <c r="F285">
        <v>-5.45</v>
      </c>
      <c r="G285">
        <v>-29.51</v>
      </c>
      <c r="H285">
        <v>17508</v>
      </c>
      <c r="I285">
        <v>0</v>
      </c>
      <c r="J285">
        <v>1</v>
      </c>
      <c r="K285" t="s">
        <v>359</v>
      </c>
      <c r="L285" t="s">
        <v>359</v>
      </c>
      <c r="M285" t="s">
        <v>360</v>
      </c>
      <c r="N285">
        <v>1649256362.22</v>
      </c>
      <c r="O285">
        <v>0.222</v>
      </c>
      <c r="P285">
        <v>0.39900000000000002</v>
      </c>
      <c r="Q285">
        <v>59.253999999999998</v>
      </c>
      <c r="R285">
        <v>2E-3</v>
      </c>
      <c r="S285">
        <v>1E-3</v>
      </c>
      <c r="T285">
        <v>1.417</v>
      </c>
      <c r="U285">
        <v>103.22499999999999</v>
      </c>
      <c r="V285">
        <v>21.167999999999999</v>
      </c>
      <c r="W285">
        <v>2.5550000000000002</v>
      </c>
      <c r="X285">
        <v>98.781999999999996</v>
      </c>
      <c r="Y285">
        <v>0.88100000000000001</v>
      </c>
      <c r="Z285">
        <v>0.76500000000000001</v>
      </c>
      <c r="AA285">
        <v>0</v>
      </c>
      <c r="AB285">
        <v>0</v>
      </c>
      <c r="AC285">
        <v>1</v>
      </c>
      <c r="AD285">
        <v>39.938000000000002</v>
      </c>
      <c r="AE285">
        <v>1</v>
      </c>
      <c r="AF285">
        <v>35</v>
      </c>
      <c r="AG285">
        <v>3</v>
      </c>
      <c r="AH285" t="s">
        <v>361</v>
      </c>
      <c r="AI285">
        <v>0</v>
      </c>
    </row>
    <row r="286" spans="1:35" x14ac:dyDescent="0.2">
      <c r="A286">
        <v>285</v>
      </c>
      <c r="B286" t="s">
        <v>762</v>
      </c>
      <c r="C286" t="s">
        <v>771</v>
      </c>
      <c r="D286" t="s">
        <v>395</v>
      </c>
      <c r="E286">
        <v>9</v>
      </c>
      <c r="F286">
        <v>-5.5309999999999997</v>
      </c>
      <c r="G286">
        <v>-29.585000000000001</v>
      </c>
      <c r="H286">
        <v>17424</v>
      </c>
      <c r="I286">
        <v>0</v>
      </c>
      <c r="J286">
        <v>1</v>
      </c>
      <c r="K286" t="s">
        <v>359</v>
      </c>
      <c r="L286" t="s">
        <v>359</v>
      </c>
      <c r="M286" t="s">
        <v>360</v>
      </c>
      <c r="N286">
        <v>1649256900.46</v>
      </c>
      <c r="O286">
        <v>0.20499999999999999</v>
      </c>
      <c r="P286">
        <v>0.433</v>
      </c>
      <c r="Q286">
        <v>59.896999999999998</v>
      </c>
      <c r="R286">
        <v>1E-3</v>
      </c>
      <c r="S286">
        <v>1E-3</v>
      </c>
      <c r="T286">
        <v>1.4359999999999999</v>
      </c>
      <c r="U286">
        <v>102.97499999999999</v>
      </c>
      <c r="V286">
        <v>20.827999999999999</v>
      </c>
      <c r="W286">
        <v>2.516</v>
      </c>
      <c r="X286">
        <v>97.379000000000005</v>
      </c>
      <c r="Y286">
        <v>0.88100000000000001</v>
      </c>
      <c r="Z286">
        <v>0.57999999999999996</v>
      </c>
      <c r="AA286">
        <v>0</v>
      </c>
      <c r="AB286">
        <v>0</v>
      </c>
      <c r="AC286">
        <v>1</v>
      </c>
      <c r="AD286">
        <v>39.938000000000002</v>
      </c>
      <c r="AE286">
        <v>1</v>
      </c>
      <c r="AF286">
        <v>35</v>
      </c>
      <c r="AG286">
        <v>3</v>
      </c>
      <c r="AH286" t="s">
        <v>361</v>
      </c>
      <c r="AI286">
        <v>0</v>
      </c>
    </row>
    <row r="287" spans="1:35" x14ac:dyDescent="0.2">
      <c r="A287">
        <v>286</v>
      </c>
      <c r="B287" t="s">
        <v>762</v>
      </c>
      <c r="C287" t="s">
        <v>772</v>
      </c>
      <c r="D287" t="s">
        <v>395</v>
      </c>
      <c r="E287">
        <v>10</v>
      </c>
      <c r="F287">
        <v>-5.4660000000000002</v>
      </c>
      <c r="G287">
        <v>-29.364999999999998</v>
      </c>
      <c r="H287">
        <v>17567</v>
      </c>
      <c r="I287">
        <v>0</v>
      </c>
      <c r="J287">
        <v>1</v>
      </c>
      <c r="K287" t="s">
        <v>359</v>
      </c>
      <c r="L287" t="s">
        <v>359</v>
      </c>
      <c r="M287" t="s">
        <v>360</v>
      </c>
      <c r="N287">
        <v>1649257437.6900001</v>
      </c>
      <c r="O287">
        <v>0.215</v>
      </c>
      <c r="P287">
        <v>0.39400000000000002</v>
      </c>
      <c r="Q287">
        <v>60.844000000000001</v>
      </c>
      <c r="R287">
        <v>1E-3</v>
      </c>
      <c r="S287">
        <v>1E-3</v>
      </c>
      <c r="T287">
        <v>1.4530000000000001</v>
      </c>
      <c r="U287">
        <v>103.99299999999999</v>
      </c>
      <c r="V287">
        <v>21.143999999999998</v>
      </c>
      <c r="W287">
        <v>2.488</v>
      </c>
      <c r="X287">
        <v>97.135999999999996</v>
      </c>
      <c r="Y287">
        <v>0.88100000000000001</v>
      </c>
      <c r="Z287">
        <v>0.36299999999999999</v>
      </c>
      <c r="AA287">
        <v>0</v>
      </c>
      <c r="AB287">
        <v>0</v>
      </c>
      <c r="AC287">
        <v>1</v>
      </c>
      <c r="AD287">
        <v>40</v>
      </c>
      <c r="AE287">
        <v>1</v>
      </c>
      <c r="AF287">
        <v>35</v>
      </c>
      <c r="AG287">
        <v>3</v>
      </c>
      <c r="AH287" t="s">
        <v>361</v>
      </c>
      <c r="AI287">
        <v>0</v>
      </c>
    </row>
    <row r="288" spans="1:35" x14ac:dyDescent="0.2">
      <c r="A288">
        <v>287</v>
      </c>
      <c r="B288" t="s">
        <v>762</v>
      </c>
      <c r="C288" t="s">
        <v>773</v>
      </c>
      <c r="D288" t="s">
        <v>395</v>
      </c>
      <c r="E288">
        <v>11</v>
      </c>
      <c r="F288">
        <v>-5.5380000000000003</v>
      </c>
      <c r="G288">
        <v>-29.454000000000001</v>
      </c>
      <c r="H288">
        <v>17442</v>
      </c>
      <c r="I288">
        <v>0</v>
      </c>
      <c r="J288">
        <v>1</v>
      </c>
      <c r="K288" t="s">
        <v>359</v>
      </c>
      <c r="L288" t="s">
        <v>359</v>
      </c>
      <c r="M288" t="s">
        <v>360</v>
      </c>
      <c r="N288">
        <v>1649257975.1400001</v>
      </c>
      <c r="O288">
        <v>0.20599999999999999</v>
      </c>
      <c r="P288">
        <v>0.42399999999999999</v>
      </c>
      <c r="Q288">
        <v>61.122999999999998</v>
      </c>
      <c r="R288">
        <v>1E-3</v>
      </c>
      <c r="S288">
        <v>1E-3</v>
      </c>
      <c r="T288">
        <v>1.456</v>
      </c>
      <c r="U288">
        <v>102.78700000000001</v>
      </c>
      <c r="V288">
        <v>21.562000000000001</v>
      </c>
      <c r="W288">
        <v>2.5259999999999998</v>
      </c>
      <c r="X288">
        <v>96.793000000000006</v>
      </c>
      <c r="Y288">
        <v>0.88200000000000001</v>
      </c>
      <c r="Z288">
        <v>0.61099999999999999</v>
      </c>
      <c r="AA288">
        <v>0</v>
      </c>
      <c r="AB288">
        <v>0</v>
      </c>
      <c r="AC288">
        <v>1</v>
      </c>
      <c r="AD288">
        <v>40.061999999999998</v>
      </c>
      <c r="AE288">
        <v>1</v>
      </c>
      <c r="AF288">
        <v>35</v>
      </c>
      <c r="AG288">
        <v>3</v>
      </c>
      <c r="AH288" t="s">
        <v>361</v>
      </c>
      <c r="AI288">
        <v>0</v>
      </c>
    </row>
    <row r="289" spans="1:35" x14ac:dyDescent="0.2">
      <c r="A289">
        <v>288</v>
      </c>
      <c r="B289" t="s">
        <v>762</v>
      </c>
      <c r="C289" t="s">
        <v>774</v>
      </c>
      <c r="D289" t="s">
        <v>395</v>
      </c>
      <c r="E289">
        <v>12</v>
      </c>
      <c r="F289">
        <v>-5.4950000000000001</v>
      </c>
      <c r="G289">
        <v>-29.225000000000001</v>
      </c>
      <c r="H289">
        <v>17475</v>
      </c>
      <c r="I289">
        <v>0</v>
      </c>
      <c r="J289">
        <v>1</v>
      </c>
      <c r="K289" t="s">
        <v>359</v>
      </c>
      <c r="L289" t="s">
        <v>359</v>
      </c>
      <c r="M289" t="s">
        <v>360</v>
      </c>
      <c r="N289">
        <v>1649258512.6500001</v>
      </c>
      <c r="O289">
        <v>0.19800000000000001</v>
      </c>
      <c r="P289">
        <v>0.41599999999999998</v>
      </c>
      <c r="Q289">
        <v>60.061</v>
      </c>
      <c r="R289">
        <v>1E-3</v>
      </c>
      <c r="S289">
        <v>-1E-3</v>
      </c>
      <c r="T289">
        <v>1.4419999999999999</v>
      </c>
      <c r="U289">
        <v>103.229</v>
      </c>
      <c r="V289">
        <v>21.155000000000001</v>
      </c>
      <c r="W289">
        <v>2.488</v>
      </c>
      <c r="X289">
        <v>97.167000000000002</v>
      </c>
      <c r="Y289">
        <v>0.88500000000000001</v>
      </c>
      <c r="Z289">
        <v>0.47399999999999998</v>
      </c>
      <c r="AA289">
        <v>0</v>
      </c>
      <c r="AB289">
        <v>0</v>
      </c>
      <c r="AC289">
        <v>1</v>
      </c>
      <c r="AD289">
        <v>40</v>
      </c>
      <c r="AE289">
        <v>1</v>
      </c>
      <c r="AF289">
        <v>35</v>
      </c>
      <c r="AG289">
        <v>3</v>
      </c>
      <c r="AH289" t="s">
        <v>361</v>
      </c>
      <c r="AI289">
        <v>0</v>
      </c>
    </row>
    <row r="290" spans="1:35" x14ac:dyDescent="0.2">
      <c r="A290">
        <v>289</v>
      </c>
      <c r="B290" t="s">
        <v>762</v>
      </c>
      <c r="C290" t="s">
        <v>775</v>
      </c>
      <c r="D290" t="s">
        <v>395</v>
      </c>
      <c r="E290">
        <v>13</v>
      </c>
      <c r="F290">
        <v>-5.5090000000000003</v>
      </c>
      <c r="G290">
        <v>-29.43</v>
      </c>
      <c r="H290">
        <v>17469</v>
      </c>
      <c r="I290">
        <v>0</v>
      </c>
      <c r="J290">
        <v>1</v>
      </c>
      <c r="K290" t="s">
        <v>359</v>
      </c>
      <c r="L290" t="s">
        <v>359</v>
      </c>
      <c r="M290" t="s">
        <v>360</v>
      </c>
      <c r="N290">
        <v>1649259050.7</v>
      </c>
      <c r="O290">
        <v>0.21199999999999999</v>
      </c>
      <c r="P290">
        <v>0.41599999999999998</v>
      </c>
      <c r="Q290">
        <v>59.631999999999998</v>
      </c>
      <c r="R290">
        <v>1E-3</v>
      </c>
      <c r="S290">
        <v>-1E-3</v>
      </c>
      <c r="T290">
        <v>1.425</v>
      </c>
      <c r="U290">
        <v>103.196</v>
      </c>
      <c r="V290">
        <v>21.254000000000001</v>
      </c>
      <c r="W290">
        <v>2.484</v>
      </c>
      <c r="X290">
        <v>96.861999999999995</v>
      </c>
      <c r="Y290">
        <v>0.89300000000000002</v>
      </c>
      <c r="Z290">
        <v>0.438</v>
      </c>
      <c r="AA290">
        <v>0</v>
      </c>
      <c r="AB290">
        <v>0</v>
      </c>
      <c r="AC290">
        <v>1</v>
      </c>
      <c r="AD290">
        <v>40.061999999999998</v>
      </c>
      <c r="AE290">
        <v>1</v>
      </c>
      <c r="AF290">
        <v>35</v>
      </c>
      <c r="AG290">
        <v>3</v>
      </c>
      <c r="AH290" t="s">
        <v>361</v>
      </c>
      <c r="AI290">
        <v>0</v>
      </c>
    </row>
    <row r="291" spans="1:35" x14ac:dyDescent="0.2">
      <c r="A291">
        <v>290</v>
      </c>
      <c r="B291" t="s">
        <v>762</v>
      </c>
      <c r="C291" t="s">
        <v>776</v>
      </c>
      <c r="D291" t="s">
        <v>395</v>
      </c>
      <c r="E291">
        <v>14</v>
      </c>
      <c r="F291">
        <v>-5.4749999999999996</v>
      </c>
      <c r="G291">
        <v>-29.277000000000001</v>
      </c>
      <c r="H291">
        <v>17504</v>
      </c>
      <c r="I291">
        <v>0</v>
      </c>
      <c r="J291">
        <v>1</v>
      </c>
      <c r="K291" t="s">
        <v>359</v>
      </c>
      <c r="L291" t="s">
        <v>359</v>
      </c>
      <c r="M291" t="s">
        <v>360</v>
      </c>
      <c r="N291">
        <v>1649259588.01</v>
      </c>
      <c r="O291">
        <v>0.20499999999999999</v>
      </c>
      <c r="P291">
        <v>0.38300000000000001</v>
      </c>
      <c r="Q291">
        <v>59.808999999999997</v>
      </c>
      <c r="R291">
        <v>1E-3</v>
      </c>
      <c r="S291">
        <v>-1E-3</v>
      </c>
      <c r="T291">
        <v>1.4279999999999999</v>
      </c>
      <c r="U291">
        <v>103.511</v>
      </c>
      <c r="V291">
        <v>21.132999999999999</v>
      </c>
      <c r="W291">
        <v>2.528</v>
      </c>
      <c r="X291">
        <v>97.113</v>
      </c>
      <c r="Y291">
        <v>0.88400000000000001</v>
      </c>
      <c r="Z291">
        <v>0.42199999999999999</v>
      </c>
      <c r="AA291">
        <v>0</v>
      </c>
      <c r="AB291">
        <v>0</v>
      </c>
      <c r="AC291">
        <v>1</v>
      </c>
      <c r="AD291">
        <v>40.125</v>
      </c>
      <c r="AE291">
        <v>1</v>
      </c>
      <c r="AF291">
        <v>35</v>
      </c>
      <c r="AG291">
        <v>3</v>
      </c>
      <c r="AH291" t="s">
        <v>361</v>
      </c>
      <c r="AI291">
        <v>0</v>
      </c>
    </row>
    <row r="292" spans="1:35" x14ac:dyDescent="0.2">
      <c r="A292">
        <v>291</v>
      </c>
      <c r="B292" t="s">
        <v>762</v>
      </c>
      <c r="C292" t="s">
        <v>777</v>
      </c>
      <c r="D292" t="s">
        <v>395</v>
      </c>
      <c r="E292">
        <v>15</v>
      </c>
      <c r="F292">
        <v>-5.48</v>
      </c>
      <c r="G292">
        <v>-29.271999999999998</v>
      </c>
      <c r="H292">
        <v>17478</v>
      </c>
      <c r="I292">
        <v>0</v>
      </c>
      <c r="J292">
        <v>1</v>
      </c>
      <c r="K292" t="s">
        <v>359</v>
      </c>
      <c r="L292" t="s">
        <v>359</v>
      </c>
      <c r="M292" t="s">
        <v>360</v>
      </c>
      <c r="N292">
        <v>1649260125.74</v>
      </c>
      <c r="O292">
        <v>0.21</v>
      </c>
      <c r="P292">
        <v>0.434</v>
      </c>
      <c r="Q292">
        <v>59.59</v>
      </c>
      <c r="R292">
        <v>1E-3</v>
      </c>
      <c r="S292">
        <v>0</v>
      </c>
      <c r="T292">
        <v>1.423</v>
      </c>
      <c r="U292">
        <v>102.90300000000001</v>
      </c>
      <c r="V292">
        <v>21.873000000000001</v>
      </c>
      <c r="W292">
        <v>2.4870000000000001</v>
      </c>
      <c r="X292">
        <v>97.150999999999996</v>
      </c>
      <c r="Y292">
        <v>0.88600000000000001</v>
      </c>
      <c r="Z292">
        <v>0.60599999999999998</v>
      </c>
      <c r="AA292">
        <v>0</v>
      </c>
      <c r="AB292">
        <v>0</v>
      </c>
      <c r="AC292">
        <v>1</v>
      </c>
      <c r="AD292">
        <v>40.061999999999998</v>
      </c>
      <c r="AE292">
        <v>1</v>
      </c>
      <c r="AF292">
        <v>35</v>
      </c>
      <c r="AG292">
        <v>3</v>
      </c>
      <c r="AH292" t="s">
        <v>361</v>
      </c>
      <c r="AI292">
        <v>0</v>
      </c>
    </row>
    <row r="293" spans="1:35" x14ac:dyDescent="0.2">
      <c r="A293">
        <v>292</v>
      </c>
      <c r="B293" t="s">
        <v>778</v>
      </c>
      <c r="C293" t="s">
        <v>779</v>
      </c>
      <c r="D293" t="s">
        <v>396</v>
      </c>
      <c r="E293">
        <v>1</v>
      </c>
      <c r="F293">
        <v>-4.7779999999999996</v>
      </c>
      <c r="G293">
        <v>-24.614000000000001</v>
      </c>
      <c r="H293">
        <v>17459</v>
      </c>
      <c r="I293">
        <v>-1</v>
      </c>
      <c r="J293">
        <v>1</v>
      </c>
      <c r="K293" t="s">
        <v>359</v>
      </c>
      <c r="L293" t="s">
        <v>359</v>
      </c>
      <c r="M293" t="s">
        <v>360</v>
      </c>
      <c r="N293">
        <v>1649260662.76</v>
      </c>
      <c r="O293">
        <v>0.18099999999999999</v>
      </c>
      <c r="P293">
        <v>0.42099999999999999</v>
      </c>
      <c r="Q293">
        <v>59.6</v>
      </c>
      <c r="R293">
        <v>0</v>
      </c>
      <c r="S293">
        <v>-1E-3</v>
      </c>
      <c r="T293">
        <v>1.431</v>
      </c>
      <c r="U293">
        <v>103.09</v>
      </c>
      <c r="V293">
        <v>21.111000000000001</v>
      </c>
      <c r="W293">
        <v>2.5299999999999998</v>
      </c>
      <c r="X293">
        <v>97.358000000000004</v>
      </c>
      <c r="Y293">
        <v>0.876</v>
      </c>
      <c r="Z293">
        <v>0.54300000000000004</v>
      </c>
      <c r="AA293">
        <v>0</v>
      </c>
      <c r="AB293">
        <v>0</v>
      </c>
      <c r="AC293">
        <v>1</v>
      </c>
      <c r="AD293">
        <v>40.061999999999998</v>
      </c>
      <c r="AE293">
        <v>1</v>
      </c>
      <c r="AF293">
        <v>36</v>
      </c>
      <c r="AG293">
        <v>4</v>
      </c>
      <c r="AH293" t="s">
        <v>361</v>
      </c>
      <c r="AI293">
        <v>0</v>
      </c>
    </row>
    <row r="294" spans="1:35" x14ac:dyDescent="0.2">
      <c r="A294">
        <v>293</v>
      </c>
      <c r="B294" t="s">
        <v>778</v>
      </c>
      <c r="C294" t="s">
        <v>780</v>
      </c>
      <c r="D294" t="s">
        <v>396</v>
      </c>
      <c r="E294">
        <v>2</v>
      </c>
      <c r="F294">
        <v>-4.7880000000000003</v>
      </c>
      <c r="G294">
        <v>-24.492000000000001</v>
      </c>
      <c r="H294">
        <v>17582</v>
      </c>
      <c r="I294">
        <v>-1</v>
      </c>
      <c r="J294">
        <v>1</v>
      </c>
      <c r="K294" t="s">
        <v>359</v>
      </c>
      <c r="L294" t="s">
        <v>359</v>
      </c>
      <c r="M294" t="s">
        <v>360</v>
      </c>
      <c r="N294">
        <v>1649261200.3499999</v>
      </c>
      <c r="O294">
        <v>0.183</v>
      </c>
      <c r="P294">
        <v>0.379</v>
      </c>
      <c r="Q294">
        <v>59.561</v>
      </c>
      <c r="R294">
        <v>0</v>
      </c>
      <c r="S294">
        <v>-1E-3</v>
      </c>
      <c r="T294">
        <v>1.4259999999999999</v>
      </c>
      <c r="U294">
        <v>104.029</v>
      </c>
      <c r="V294">
        <v>21.244</v>
      </c>
      <c r="W294">
        <v>2.4630000000000001</v>
      </c>
      <c r="X294">
        <v>97.168000000000006</v>
      </c>
      <c r="Y294">
        <v>0.88</v>
      </c>
      <c r="Z294">
        <v>0.309</v>
      </c>
      <c r="AA294">
        <v>0</v>
      </c>
      <c r="AB294">
        <v>0</v>
      </c>
      <c r="AC294">
        <v>1</v>
      </c>
      <c r="AD294">
        <v>39.938000000000002</v>
      </c>
      <c r="AE294">
        <v>1</v>
      </c>
      <c r="AF294">
        <v>36</v>
      </c>
      <c r="AG294">
        <v>4</v>
      </c>
      <c r="AH294" t="s">
        <v>361</v>
      </c>
      <c r="AI294">
        <v>0</v>
      </c>
    </row>
    <row r="295" spans="1:35" x14ac:dyDescent="0.2">
      <c r="A295">
        <v>294</v>
      </c>
      <c r="B295" t="s">
        <v>778</v>
      </c>
      <c r="C295" t="s">
        <v>781</v>
      </c>
      <c r="D295" t="s">
        <v>396</v>
      </c>
      <c r="E295">
        <v>3</v>
      </c>
      <c r="F295">
        <v>-4.7699999999999996</v>
      </c>
      <c r="G295">
        <v>-24.341999999999999</v>
      </c>
      <c r="H295">
        <v>17413</v>
      </c>
      <c r="I295">
        <v>-1</v>
      </c>
      <c r="J295">
        <v>1</v>
      </c>
      <c r="K295" t="s">
        <v>359</v>
      </c>
      <c r="L295" t="s">
        <v>359</v>
      </c>
      <c r="M295" t="s">
        <v>360</v>
      </c>
      <c r="N295">
        <v>1649261737.5999999</v>
      </c>
      <c r="O295">
        <v>0.20499999999999999</v>
      </c>
      <c r="P295">
        <v>0.42699999999999999</v>
      </c>
      <c r="Q295">
        <v>60.844999999999999</v>
      </c>
      <c r="R295">
        <v>1E-3</v>
      </c>
      <c r="S295">
        <v>0</v>
      </c>
      <c r="T295">
        <v>1.452</v>
      </c>
      <c r="U295">
        <v>102.99299999999999</v>
      </c>
      <c r="V295">
        <v>21.018000000000001</v>
      </c>
      <c r="W295">
        <v>2.4969999999999999</v>
      </c>
      <c r="X295">
        <v>96.34</v>
      </c>
      <c r="Y295">
        <v>0.88400000000000001</v>
      </c>
      <c r="Z295">
        <v>0.35499999999999998</v>
      </c>
      <c r="AA295">
        <v>0</v>
      </c>
      <c r="AB295">
        <v>0</v>
      </c>
      <c r="AC295">
        <v>1</v>
      </c>
      <c r="AD295">
        <v>39.938000000000002</v>
      </c>
      <c r="AE295">
        <v>1</v>
      </c>
      <c r="AF295">
        <v>36</v>
      </c>
      <c r="AG295">
        <v>4</v>
      </c>
      <c r="AH295" t="s">
        <v>361</v>
      </c>
      <c r="AI295">
        <v>0</v>
      </c>
    </row>
    <row r="296" spans="1:35" x14ac:dyDescent="0.2">
      <c r="A296">
        <v>295</v>
      </c>
      <c r="B296" t="s">
        <v>778</v>
      </c>
      <c r="C296" t="s">
        <v>782</v>
      </c>
      <c r="D296" t="s">
        <v>396</v>
      </c>
      <c r="E296">
        <v>4</v>
      </c>
      <c r="F296">
        <v>-4.7859999999999996</v>
      </c>
      <c r="G296">
        <v>-24.117000000000001</v>
      </c>
      <c r="H296">
        <v>17452</v>
      </c>
      <c r="I296">
        <v>0</v>
      </c>
      <c r="J296">
        <v>1</v>
      </c>
      <c r="K296" t="s">
        <v>359</v>
      </c>
      <c r="L296" t="s">
        <v>359</v>
      </c>
      <c r="M296" t="s">
        <v>360</v>
      </c>
      <c r="N296">
        <v>1649262275.1199999</v>
      </c>
      <c r="O296">
        <v>0.224</v>
      </c>
      <c r="P296">
        <v>0.36599999999999999</v>
      </c>
      <c r="Q296">
        <v>60.125999999999998</v>
      </c>
      <c r="R296">
        <v>1E-3</v>
      </c>
      <c r="S296">
        <v>0</v>
      </c>
      <c r="T296">
        <v>1.444</v>
      </c>
      <c r="U296">
        <v>103.123</v>
      </c>
      <c r="V296">
        <v>20.998999999999999</v>
      </c>
      <c r="W296">
        <v>2.492</v>
      </c>
      <c r="X296">
        <v>97.221000000000004</v>
      </c>
      <c r="Y296">
        <v>0.88400000000000001</v>
      </c>
      <c r="Z296">
        <v>0.432</v>
      </c>
      <c r="AA296">
        <v>0</v>
      </c>
      <c r="AB296">
        <v>0</v>
      </c>
      <c r="AC296">
        <v>1</v>
      </c>
      <c r="AD296">
        <v>40</v>
      </c>
      <c r="AE296">
        <v>1</v>
      </c>
      <c r="AF296">
        <v>36</v>
      </c>
      <c r="AG296">
        <v>4</v>
      </c>
      <c r="AH296" t="s">
        <v>361</v>
      </c>
      <c r="AI296">
        <v>0</v>
      </c>
    </row>
    <row r="297" spans="1:35" x14ac:dyDescent="0.2">
      <c r="A297">
        <v>296</v>
      </c>
      <c r="B297" t="s">
        <v>778</v>
      </c>
      <c r="C297" t="s">
        <v>783</v>
      </c>
      <c r="D297" t="s">
        <v>396</v>
      </c>
      <c r="E297">
        <v>5</v>
      </c>
      <c r="F297">
        <v>-4.7489999999999997</v>
      </c>
      <c r="G297">
        <v>-24.215</v>
      </c>
      <c r="H297">
        <v>17435</v>
      </c>
      <c r="I297">
        <v>0</v>
      </c>
      <c r="J297">
        <v>1</v>
      </c>
      <c r="K297" t="s">
        <v>359</v>
      </c>
      <c r="L297" t="s">
        <v>359</v>
      </c>
      <c r="M297" t="s">
        <v>360</v>
      </c>
      <c r="N297">
        <v>1649262812.3099999</v>
      </c>
      <c r="O297">
        <v>0.20200000000000001</v>
      </c>
      <c r="P297">
        <v>0.437</v>
      </c>
      <c r="Q297">
        <v>61.558999999999997</v>
      </c>
      <c r="R297">
        <v>1E-3</v>
      </c>
      <c r="S297">
        <v>0</v>
      </c>
      <c r="T297">
        <v>1.47</v>
      </c>
      <c r="U297">
        <v>103.041</v>
      </c>
      <c r="V297">
        <v>21.396999999999998</v>
      </c>
      <c r="W297">
        <v>2.468</v>
      </c>
      <c r="X297">
        <v>95.66</v>
      </c>
      <c r="Y297">
        <v>0.88800000000000001</v>
      </c>
      <c r="Z297">
        <v>0.29599999999999999</v>
      </c>
      <c r="AA297">
        <v>0</v>
      </c>
      <c r="AB297">
        <v>0</v>
      </c>
      <c r="AC297">
        <v>1</v>
      </c>
      <c r="AD297">
        <v>40</v>
      </c>
      <c r="AE297">
        <v>1</v>
      </c>
      <c r="AF297">
        <v>36</v>
      </c>
      <c r="AG297">
        <v>4</v>
      </c>
      <c r="AH297" t="s">
        <v>361</v>
      </c>
      <c r="AI297">
        <v>0</v>
      </c>
    </row>
    <row r="298" spans="1:35" x14ac:dyDescent="0.2">
      <c r="A298">
        <v>297</v>
      </c>
      <c r="B298" t="s">
        <v>778</v>
      </c>
      <c r="C298" t="s">
        <v>784</v>
      </c>
      <c r="D298" t="s">
        <v>396</v>
      </c>
      <c r="E298">
        <v>6</v>
      </c>
      <c r="F298">
        <v>-4.7670000000000003</v>
      </c>
      <c r="G298">
        <v>-24.184999999999999</v>
      </c>
      <c r="H298">
        <v>17425</v>
      </c>
      <c r="I298">
        <v>0</v>
      </c>
      <c r="J298">
        <v>1</v>
      </c>
      <c r="K298" t="s">
        <v>359</v>
      </c>
      <c r="L298" t="s">
        <v>359</v>
      </c>
      <c r="M298" t="s">
        <v>360</v>
      </c>
      <c r="N298">
        <v>1649263349.5599999</v>
      </c>
      <c r="O298">
        <v>0.21199999999999999</v>
      </c>
      <c r="P298">
        <v>0.41399999999999998</v>
      </c>
      <c r="Q298">
        <v>60.741999999999997</v>
      </c>
      <c r="R298">
        <v>1E-3</v>
      </c>
      <c r="S298">
        <v>2E-3</v>
      </c>
      <c r="T298">
        <v>1.454</v>
      </c>
      <c r="U298">
        <v>102.57899999999999</v>
      </c>
      <c r="V298">
        <v>21.462</v>
      </c>
      <c r="W298">
        <v>2.5089999999999999</v>
      </c>
      <c r="X298">
        <v>97.748999999999995</v>
      </c>
      <c r="Y298">
        <v>0.88200000000000001</v>
      </c>
      <c r="Z298">
        <v>0.76900000000000002</v>
      </c>
      <c r="AA298">
        <v>0</v>
      </c>
      <c r="AB298">
        <v>0</v>
      </c>
      <c r="AC298">
        <v>1</v>
      </c>
      <c r="AD298">
        <v>40</v>
      </c>
      <c r="AE298">
        <v>1</v>
      </c>
      <c r="AF298">
        <v>36</v>
      </c>
      <c r="AG298">
        <v>4</v>
      </c>
      <c r="AH298" t="s">
        <v>361</v>
      </c>
      <c r="AI298">
        <v>0</v>
      </c>
    </row>
    <row r="299" spans="1:35" x14ac:dyDescent="0.2">
      <c r="A299">
        <v>298</v>
      </c>
      <c r="B299" t="s">
        <v>785</v>
      </c>
      <c r="C299" t="s">
        <v>786</v>
      </c>
      <c r="D299" t="s">
        <v>397</v>
      </c>
      <c r="E299">
        <v>1</v>
      </c>
      <c r="F299">
        <v>-4.8079999999999998</v>
      </c>
      <c r="G299">
        <v>-24.268999999999998</v>
      </c>
      <c r="H299">
        <v>17391</v>
      </c>
      <c r="I299">
        <v>-1</v>
      </c>
      <c r="J299">
        <v>1</v>
      </c>
      <c r="K299" t="s">
        <v>359</v>
      </c>
      <c r="L299" t="s">
        <v>359</v>
      </c>
      <c r="M299" t="s">
        <v>360</v>
      </c>
      <c r="N299">
        <v>1649263886.7</v>
      </c>
      <c r="O299">
        <v>0.20599999999999999</v>
      </c>
      <c r="P299">
        <v>0.44</v>
      </c>
      <c r="Q299">
        <v>60.334000000000003</v>
      </c>
      <c r="R299">
        <v>1E-3</v>
      </c>
      <c r="S299">
        <v>0</v>
      </c>
      <c r="T299">
        <v>1.45</v>
      </c>
      <c r="U299">
        <v>102.43899999999999</v>
      </c>
      <c r="V299">
        <v>21.481000000000002</v>
      </c>
      <c r="W299">
        <v>2.52</v>
      </c>
      <c r="X299">
        <v>96.945999999999998</v>
      </c>
      <c r="Y299">
        <v>0.88300000000000001</v>
      </c>
      <c r="Z299">
        <v>0.64800000000000002</v>
      </c>
      <c r="AA299">
        <v>0</v>
      </c>
      <c r="AB299">
        <v>0</v>
      </c>
      <c r="AC299">
        <v>1</v>
      </c>
      <c r="AD299">
        <v>40</v>
      </c>
      <c r="AE299">
        <v>1</v>
      </c>
      <c r="AF299">
        <v>37</v>
      </c>
      <c r="AG299">
        <v>4</v>
      </c>
      <c r="AH299" t="s">
        <v>361</v>
      </c>
      <c r="AI299">
        <v>0</v>
      </c>
    </row>
    <row r="300" spans="1:35" x14ac:dyDescent="0.2">
      <c r="A300">
        <v>299</v>
      </c>
      <c r="B300" t="s">
        <v>785</v>
      </c>
      <c r="C300" t="s">
        <v>787</v>
      </c>
      <c r="D300" t="s">
        <v>397</v>
      </c>
      <c r="E300">
        <v>2</v>
      </c>
      <c r="F300">
        <v>-4.8010000000000002</v>
      </c>
      <c r="G300">
        <v>-24.283999999999999</v>
      </c>
      <c r="H300">
        <v>17494</v>
      </c>
      <c r="I300">
        <v>-1</v>
      </c>
      <c r="J300">
        <v>1</v>
      </c>
      <c r="K300" t="s">
        <v>359</v>
      </c>
      <c r="L300" t="s">
        <v>359</v>
      </c>
      <c r="M300" t="s">
        <v>360</v>
      </c>
      <c r="N300">
        <v>1649264423.9000001</v>
      </c>
      <c r="O300">
        <v>0.20699999999999999</v>
      </c>
      <c r="P300">
        <v>0.39800000000000002</v>
      </c>
      <c r="Q300">
        <v>60.265999999999998</v>
      </c>
      <c r="R300">
        <v>0</v>
      </c>
      <c r="S300">
        <v>-1E-3</v>
      </c>
      <c r="T300">
        <v>1.444</v>
      </c>
      <c r="U300">
        <v>103.154</v>
      </c>
      <c r="V300">
        <v>21.321999999999999</v>
      </c>
      <c r="W300">
        <v>2.581</v>
      </c>
      <c r="X300">
        <v>97.984999999999999</v>
      </c>
      <c r="Y300">
        <v>0.88700000000000001</v>
      </c>
      <c r="Z300">
        <v>0.64800000000000002</v>
      </c>
      <c r="AA300">
        <v>0</v>
      </c>
      <c r="AB300">
        <v>0</v>
      </c>
      <c r="AC300">
        <v>1</v>
      </c>
      <c r="AD300">
        <v>40</v>
      </c>
      <c r="AE300">
        <v>1</v>
      </c>
      <c r="AF300">
        <v>37</v>
      </c>
      <c r="AG300">
        <v>4</v>
      </c>
      <c r="AH300" t="s">
        <v>361</v>
      </c>
      <c r="AI300">
        <v>0</v>
      </c>
    </row>
    <row r="301" spans="1:35" x14ac:dyDescent="0.2">
      <c r="A301">
        <v>300</v>
      </c>
      <c r="B301" t="s">
        <v>785</v>
      </c>
      <c r="C301" t="s">
        <v>788</v>
      </c>
      <c r="D301" t="s">
        <v>397</v>
      </c>
      <c r="E301">
        <v>3</v>
      </c>
      <c r="F301">
        <v>-4.7679999999999998</v>
      </c>
      <c r="G301">
        <v>-24.210999999999999</v>
      </c>
      <c r="H301">
        <v>17566</v>
      </c>
      <c r="I301">
        <v>-1</v>
      </c>
      <c r="J301">
        <v>1</v>
      </c>
      <c r="K301" t="s">
        <v>359</v>
      </c>
      <c r="L301" t="s">
        <v>359</v>
      </c>
      <c r="M301" t="s">
        <v>360</v>
      </c>
      <c r="N301">
        <v>1649264961.3399999</v>
      </c>
      <c r="O301">
        <v>0.215</v>
      </c>
      <c r="P301">
        <v>0.42599999999999999</v>
      </c>
      <c r="Q301">
        <v>59.918999999999997</v>
      </c>
      <c r="R301">
        <v>1E-3</v>
      </c>
      <c r="S301">
        <v>0</v>
      </c>
      <c r="T301">
        <v>1.4279999999999999</v>
      </c>
      <c r="U301">
        <v>103.779</v>
      </c>
      <c r="V301">
        <v>21.132999999999999</v>
      </c>
      <c r="W301">
        <v>2.5409999999999999</v>
      </c>
      <c r="X301">
        <v>98.44</v>
      </c>
      <c r="Y301">
        <v>0.88800000000000001</v>
      </c>
      <c r="Z301">
        <v>0.54100000000000004</v>
      </c>
      <c r="AA301">
        <v>0</v>
      </c>
      <c r="AB301">
        <v>0</v>
      </c>
      <c r="AC301">
        <v>1</v>
      </c>
      <c r="AD301">
        <v>40</v>
      </c>
      <c r="AE301">
        <v>1</v>
      </c>
      <c r="AF301">
        <v>37</v>
      </c>
      <c r="AG301">
        <v>4</v>
      </c>
      <c r="AH301" t="s">
        <v>361</v>
      </c>
      <c r="AI301">
        <v>0</v>
      </c>
    </row>
    <row r="302" spans="1:35" x14ac:dyDescent="0.2">
      <c r="A302">
        <v>301</v>
      </c>
      <c r="B302" t="s">
        <v>785</v>
      </c>
      <c r="C302" t="s">
        <v>789</v>
      </c>
      <c r="D302" t="s">
        <v>397</v>
      </c>
      <c r="E302">
        <v>4</v>
      </c>
      <c r="F302">
        <v>-4.7850000000000001</v>
      </c>
      <c r="G302">
        <v>-24.135999999999999</v>
      </c>
      <c r="H302">
        <v>17483</v>
      </c>
      <c r="I302">
        <v>0</v>
      </c>
      <c r="J302">
        <v>1</v>
      </c>
      <c r="K302" t="s">
        <v>359</v>
      </c>
      <c r="L302" t="s">
        <v>359</v>
      </c>
      <c r="M302" t="s">
        <v>360</v>
      </c>
      <c r="N302">
        <v>1649265513.26</v>
      </c>
      <c r="O302">
        <v>0.23</v>
      </c>
      <c r="P302">
        <v>0.41299999999999998</v>
      </c>
      <c r="Q302">
        <v>49.557000000000002</v>
      </c>
      <c r="R302">
        <v>2E-3</v>
      </c>
      <c r="S302">
        <v>0</v>
      </c>
      <c r="T302">
        <v>1.4610000000000001</v>
      </c>
      <c r="U302">
        <v>103.379</v>
      </c>
      <c r="V302">
        <v>21.172000000000001</v>
      </c>
      <c r="W302">
        <v>2.5129999999999999</v>
      </c>
      <c r="X302">
        <v>96.754000000000005</v>
      </c>
      <c r="Y302">
        <v>1.36</v>
      </c>
      <c r="Z302">
        <v>0.34200000000000003</v>
      </c>
      <c r="AA302">
        <v>0</v>
      </c>
      <c r="AB302">
        <v>0</v>
      </c>
      <c r="AC302">
        <v>1</v>
      </c>
      <c r="AD302">
        <v>40</v>
      </c>
      <c r="AE302">
        <v>1</v>
      </c>
      <c r="AF302">
        <v>37</v>
      </c>
      <c r="AG302">
        <v>4</v>
      </c>
      <c r="AH302" t="s">
        <v>361</v>
      </c>
      <c r="AI302">
        <v>0</v>
      </c>
    </row>
    <row r="303" spans="1:35" x14ac:dyDescent="0.2">
      <c r="A303">
        <v>302</v>
      </c>
      <c r="B303" t="s">
        <v>785</v>
      </c>
      <c r="C303" t="s">
        <v>790</v>
      </c>
      <c r="D303" t="s">
        <v>397</v>
      </c>
      <c r="E303">
        <v>5</v>
      </c>
      <c r="F303">
        <v>-4.7359999999999998</v>
      </c>
      <c r="G303">
        <v>-23.991</v>
      </c>
      <c r="H303">
        <v>17506</v>
      </c>
      <c r="I303">
        <v>0</v>
      </c>
      <c r="J303">
        <v>1</v>
      </c>
      <c r="K303" t="s">
        <v>359</v>
      </c>
      <c r="L303" t="s">
        <v>359</v>
      </c>
      <c r="M303" t="s">
        <v>360</v>
      </c>
      <c r="N303">
        <v>1649266036.3399999</v>
      </c>
      <c r="O303">
        <v>0.19700000000000001</v>
      </c>
      <c r="P303">
        <v>0.371</v>
      </c>
      <c r="Q303">
        <v>59.731999999999999</v>
      </c>
      <c r="R303">
        <v>1E-3</v>
      </c>
      <c r="S303">
        <v>-2E-3</v>
      </c>
      <c r="T303">
        <v>1.4279999999999999</v>
      </c>
      <c r="U303">
        <v>103.46899999999999</v>
      </c>
      <c r="V303">
        <v>21.533999999999999</v>
      </c>
      <c r="W303">
        <v>2.488</v>
      </c>
      <c r="X303">
        <v>96.337000000000003</v>
      </c>
      <c r="Y303">
        <v>0.88600000000000001</v>
      </c>
      <c r="Z303">
        <v>0.32800000000000001</v>
      </c>
      <c r="AA303">
        <v>0</v>
      </c>
      <c r="AB303">
        <v>0</v>
      </c>
      <c r="AC303">
        <v>1</v>
      </c>
      <c r="AD303">
        <v>39.938000000000002</v>
      </c>
      <c r="AE303">
        <v>1</v>
      </c>
      <c r="AF303">
        <v>37</v>
      </c>
      <c r="AG303">
        <v>4</v>
      </c>
      <c r="AH303" t="s">
        <v>361</v>
      </c>
      <c r="AI303">
        <v>0</v>
      </c>
    </row>
    <row r="304" spans="1:35" x14ac:dyDescent="0.2">
      <c r="A304">
        <v>303</v>
      </c>
      <c r="B304" t="s">
        <v>785</v>
      </c>
      <c r="C304" t="s">
        <v>791</v>
      </c>
      <c r="D304" t="s">
        <v>397</v>
      </c>
      <c r="E304">
        <v>6</v>
      </c>
      <c r="F304">
        <v>-4.774</v>
      </c>
      <c r="G304">
        <v>-24.178999999999998</v>
      </c>
      <c r="H304">
        <v>17470</v>
      </c>
      <c r="I304">
        <v>0</v>
      </c>
      <c r="J304">
        <v>1</v>
      </c>
      <c r="K304" t="s">
        <v>359</v>
      </c>
      <c r="L304" t="s">
        <v>359</v>
      </c>
      <c r="M304" t="s">
        <v>360</v>
      </c>
      <c r="N304">
        <v>1649266573.47</v>
      </c>
      <c r="O304">
        <v>0.21099999999999999</v>
      </c>
      <c r="P304">
        <v>0.40799999999999997</v>
      </c>
      <c r="Q304">
        <v>60.039000000000001</v>
      </c>
      <c r="R304">
        <v>1E-3</v>
      </c>
      <c r="S304">
        <v>2E-3</v>
      </c>
      <c r="T304">
        <v>1.4419999999999999</v>
      </c>
      <c r="U304">
        <v>103.083</v>
      </c>
      <c r="V304">
        <v>21.437999999999999</v>
      </c>
      <c r="W304">
        <v>2.5</v>
      </c>
      <c r="X304">
        <v>96.965000000000003</v>
      </c>
      <c r="Y304">
        <v>0.879</v>
      </c>
      <c r="Z304">
        <v>0.50900000000000001</v>
      </c>
      <c r="AA304">
        <v>0</v>
      </c>
      <c r="AB304">
        <v>0</v>
      </c>
      <c r="AC304">
        <v>1</v>
      </c>
      <c r="AD304">
        <v>40</v>
      </c>
      <c r="AE304">
        <v>1</v>
      </c>
      <c r="AF304">
        <v>37</v>
      </c>
      <c r="AG304">
        <v>4</v>
      </c>
      <c r="AH304" t="s">
        <v>361</v>
      </c>
      <c r="AI304">
        <v>0</v>
      </c>
    </row>
    <row r="305" spans="1:35" x14ac:dyDescent="0.2">
      <c r="A305">
        <v>304</v>
      </c>
      <c r="B305" t="s">
        <v>792</v>
      </c>
      <c r="C305" t="s">
        <v>793</v>
      </c>
      <c r="D305" t="s">
        <v>398</v>
      </c>
      <c r="E305">
        <v>1</v>
      </c>
      <c r="F305">
        <v>-4.72</v>
      </c>
      <c r="G305">
        <v>-23.835999999999999</v>
      </c>
      <c r="H305">
        <v>17482</v>
      </c>
      <c r="I305">
        <v>-1</v>
      </c>
      <c r="J305">
        <v>1</v>
      </c>
      <c r="K305" t="s">
        <v>359</v>
      </c>
      <c r="L305" t="s">
        <v>359</v>
      </c>
      <c r="M305" t="s">
        <v>360</v>
      </c>
      <c r="N305">
        <v>1649267111.28</v>
      </c>
      <c r="O305">
        <v>0.21299999999999999</v>
      </c>
      <c r="P305">
        <v>0.40799999999999997</v>
      </c>
      <c r="Q305">
        <v>59.704999999999998</v>
      </c>
      <c r="R305">
        <v>1E-3</v>
      </c>
      <c r="S305">
        <v>-1E-3</v>
      </c>
      <c r="T305">
        <v>1.4339999999999999</v>
      </c>
      <c r="U305">
        <v>103.261</v>
      </c>
      <c r="V305">
        <v>21.64</v>
      </c>
      <c r="W305">
        <v>2.4670000000000001</v>
      </c>
      <c r="X305">
        <v>95.9</v>
      </c>
      <c r="Y305">
        <v>0.878</v>
      </c>
      <c r="Z305">
        <v>0.30099999999999999</v>
      </c>
      <c r="AA305">
        <v>0</v>
      </c>
      <c r="AB305">
        <v>0</v>
      </c>
      <c r="AC305">
        <v>1</v>
      </c>
      <c r="AD305">
        <v>40</v>
      </c>
      <c r="AE305">
        <v>1</v>
      </c>
      <c r="AF305">
        <v>38</v>
      </c>
      <c r="AG305">
        <v>4</v>
      </c>
      <c r="AH305" t="s">
        <v>361</v>
      </c>
      <c r="AI305">
        <v>0</v>
      </c>
    </row>
    <row r="306" spans="1:35" x14ac:dyDescent="0.2">
      <c r="A306">
        <v>305</v>
      </c>
      <c r="B306" t="s">
        <v>792</v>
      </c>
      <c r="C306" t="s">
        <v>794</v>
      </c>
      <c r="D306" t="s">
        <v>398</v>
      </c>
      <c r="E306">
        <v>2</v>
      </c>
      <c r="F306">
        <v>-4.7279999999999998</v>
      </c>
      <c r="G306">
        <v>-23.71</v>
      </c>
      <c r="H306">
        <v>17462</v>
      </c>
      <c r="I306">
        <v>-1</v>
      </c>
      <c r="J306">
        <v>1</v>
      </c>
      <c r="K306" t="s">
        <v>359</v>
      </c>
      <c r="L306" t="s">
        <v>359</v>
      </c>
      <c r="M306" t="s">
        <v>360</v>
      </c>
      <c r="N306">
        <v>1649267648.72</v>
      </c>
      <c r="O306">
        <v>0.219</v>
      </c>
      <c r="P306">
        <v>0.40400000000000003</v>
      </c>
      <c r="Q306">
        <v>62.890999999999998</v>
      </c>
      <c r="R306">
        <v>1E-3</v>
      </c>
      <c r="S306">
        <v>2E-3</v>
      </c>
      <c r="T306">
        <v>1.5069999999999999</v>
      </c>
      <c r="U306">
        <v>103.17700000000001</v>
      </c>
      <c r="V306">
        <v>21.413</v>
      </c>
      <c r="W306">
        <v>2.48</v>
      </c>
      <c r="X306">
        <v>96.281999999999996</v>
      </c>
      <c r="Y306">
        <v>0.88500000000000001</v>
      </c>
      <c r="Z306">
        <v>0.33</v>
      </c>
      <c r="AA306">
        <v>0</v>
      </c>
      <c r="AB306">
        <v>0</v>
      </c>
      <c r="AC306">
        <v>1</v>
      </c>
      <c r="AD306">
        <v>40</v>
      </c>
      <c r="AE306">
        <v>1</v>
      </c>
      <c r="AF306">
        <v>38</v>
      </c>
      <c r="AG306">
        <v>4</v>
      </c>
      <c r="AH306" t="s">
        <v>361</v>
      </c>
      <c r="AI306">
        <v>0</v>
      </c>
    </row>
    <row r="307" spans="1:35" x14ac:dyDescent="0.2">
      <c r="A307">
        <v>306</v>
      </c>
      <c r="B307" t="s">
        <v>792</v>
      </c>
      <c r="C307" t="s">
        <v>795</v>
      </c>
      <c r="D307" t="s">
        <v>398</v>
      </c>
      <c r="E307">
        <v>3</v>
      </c>
      <c r="F307">
        <v>-4.7119999999999997</v>
      </c>
      <c r="G307">
        <v>-23.774000000000001</v>
      </c>
      <c r="H307">
        <v>17587</v>
      </c>
      <c r="I307">
        <v>-1</v>
      </c>
      <c r="J307">
        <v>1</v>
      </c>
      <c r="K307" t="s">
        <v>359</v>
      </c>
      <c r="L307" t="s">
        <v>359</v>
      </c>
      <c r="M307" t="s">
        <v>360</v>
      </c>
      <c r="N307">
        <v>1649268186.21</v>
      </c>
      <c r="O307">
        <v>0.21</v>
      </c>
      <c r="P307">
        <v>0.39</v>
      </c>
      <c r="Q307">
        <v>60.113999999999997</v>
      </c>
      <c r="R307">
        <v>0</v>
      </c>
      <c r="S307">
        <v>0</v>
      </c>
      <c r="T307">
        <v>1.43</v>
      </c>
      <c r="U307">
        <v>104.149</v>
      </c>
      <c r="V307">
        <v>20.962</v>
      </c>
      <c r="W307">
        <v>2.5259999999999998</v>
      </c>
      <c r="X307">
        <v>97.734999999999999</v>
      </c>
      <c r="Y307">
        <v>0.89600000000000002</v>
      </c>
      <c r="Z307">
        <v>0.33200000000000002</v>
      </c>
      <c r="AA307">
        <v>0</v>
      </c>
      <c r="AB307">
        <v>0</v>
      </c>
      <c r="AC307">
        <v>1</v>
      </c>
      <c r="AD307">
        <v>40</v>
      </c>
      <c r="AE307">
        <v>1</v>
      </c>
      <c r="AF307">
        <v>38</v>
      </c>
      <c r="AG307">
        <v>4</v>
      </c>
      <c r="AH307" t="s">
        <v>361</v>
      </c>
      <c r="AI307">
        <v>0</v>
      </c>
    </row>
    <row r="308" spans="1:35" x14ac:dyDescent="0.2">
      <c r="A308">
        <v>307</v>
      </c>
      <c r="B308" t="s">
        <v>792</v>
      </c>
      <c r="C308" t="s">
        <v>796</v>
      </c>
      <c r="D308" t="s">
        <v>398</v>
      </c>
      <c r="E308">
        <v>4</v>
      </c>
      <c r="F308">
        <v>-4.734</v>
      </c>
      <c r="G308">
        <v>-23.722999999999999</v>
      </c>
      <c r="H308">
        <v>17487</v>
      </c>
      <c r="I308">
        <v>0</v>
      </c>
      <c r="J308">
        <v>1</v>
      </c>
      <c r="K308" t="s">
        <v>359</v>
      </c>
      <c r="L308" t="s">
        <v>359</v>
      </c>
      <c r="M308" t="s">
        <v>360</v>
      </c>
      <c r="N308">
        <v>1649268723.51</v>
      </c>
      <c r="O308">
        <v>0.221</v>
      </c>
      <c r="P308">
        <v>0.39600000000000002</v>
      </c>
      <c r="Q308">
        <v>61.305</v>
      </c>
      <c r="R308">
        <v>0</v>
      </c>
      <c r="S308">
        <v>1E-3</v>
      </c>
      <c r="T308">
        <v>1.462</v>
      </c>
      <c r="U308">
        <v>103.336</v>
      </c>
      <c r="V308">
        <v>21.355</v>
      </c>
      <c r="W308">
        <v>2.5299999999999998</v>
      </c>
      <c r="X308">
        <v>96.668999999999997</v>
      </c>
      <c r="Y308">
        <v>0.88400000000000001</v>
      </c>
      <c r="Z308">
        <v>0.32300000000000001</v>
      </c>
      <c r="AA308">
        <v>0</v>
      </c>
      <c r="AB308">
        <v>0</v>
      </c>
      <c r="AC308">
        <v>1</v>
      </c>
      <c r="AD308">
        <v>40</v>
      </c>
      <c r="AE308">
        <v>1</v>
      </c>
      <c r="AF308">
        <v>38</v>
      </c>
      <c r="AG308">
        <v>4</v>
      </c>
      <c r="AH308" t="s">
        <v>361</v>
      </c>
      <c r="AI308">
        <v>0</v>
      </c>
    </row>
    <row r="309" spans="1:35" x14ac:dyDescent="0.2">
      <c r="A309">
        <v>308</v>
      </c>
      <c r="B309" t="s">
        <v>792</v>
      </c>
      <c r="C309" t="s">
        <v>797</v>
      </c>
      <c r="D309" t="s">
        <v>398</v>
      </c>
      <c r="E309">
        <v>5</v>
      </c>
      <c r="F309">
        <v>-4.7229999999999999</v>
      </c>
      <c r="G309">
        <v>-23.690999999999999</v>
      </c>
      <c r="H309">
        <v>17524</v>
      </c>
      <c r="I309">
        <v>0</v>
      </c>
      <c r="J309">
        <v>1</v>
      </c>
      <c r="K309" t="s">
        <v>359</v>
      </c>
      <c r="L309" t="s">
        <v>359</v>
      </c>
      <c r="M309" t="s">
        <v>360</v>
      </c>
      <c r="N309">
        <v>1649269260.9100001</v>
      </c>
      <c r="O309">
        <v>0.20699999999999999</v>
      </c>
      <c r="P309">
        <v>0.40100000000000002</v>
      </c>
      <c r="Q309">
        <v>59.722000000000001</v>
      </c>
      <c r="R309">
        <v>1E-3</v>
      </c>
      <c r="S309">
        <v>0</v>
      </c>
      <c r="T309">
        <v>1.4319999999999999</v>
      </c>
      <c r="U309">
        <v>103.447</v>
      </c>
      <c r="V309">
        <v>21.542999999999999</v>
      </c>
      <c r="W309">
        <v>2.5030000000000001</v>
      </c>
      <c r="X309">
        <v>97.203999999999994</v>
      </c>
      <c r="Y309">
        <v>0.88400000000000001</v>
      </c>
      <c r="Z309">
        <v>0.46200000000000002</v>
      </c>
      <c r="AA309">
        <v>0</v>
      </c>
      <c r="AB309">
        <v>0</v>
      </c>
      <c r="AC309">
        <v>1</v>
      </c>
      <c r="AD309">
        <v>40</v>
      </c>
      <c r="AE309">
        <v>1</v>
      </c>
      <c r="AF309">
        <v>38</v>
      </c>
      <c r="AG309">
        <v>4</v>
      </c>
      <c r="AH309" t="s">
        <v>361</v>
      </c>
      <c r="AI309">
        <v>0</v>
      </c>
    </row>
    <row r="310" spans="1:35" x14ac:dyDescent="0.2">
      <c r="A310">
        <v>309</v>
      </c>
      <c r="B310" t="s">
        <v>792</v>
      </c>
      <c r="C310" t="s">
        <v>798</v>
      </c>
      <c r="D310" t="s">
        <v>398</v>
      </c>
      <c r="E310">
        <v>6</v>
      </c>
      <c r="F310">
        <v>-4.7009999999999996</v>
      </c>
      <c r="G310">
        <v>-23.718</v>
      </c>
      <c r="H310">
        <v>17574</v>
      </c>
      <c r="I310">
        <v>0</v>
      </c>
      <c r="J310">
        <v>1</v>
      </c>
      <c r="K310" t="s">
        <v>359</v>
      </c>
      <c r="L310" t="s">
        <v>359</v>
      </c>
      <c r="M310" t="s">
        <v>360</v>
      </c>
      <c r="N310">
        <v>1649269798.1600001</v>
      </c>
      <c r="O310">
        <v>0.20599999999999999</v>
      </c>
      <c r="P310">
        <v>0.38900000000000001</v>
      </c>
      <c r="Q310">
        <v>60.411999999999999</v>
      </c>
      <c r="R310">
        <v>1E-3</v>
      </c>
      <c r="S310">
        <v>0</v>
      </c>
      <c r="T310">
        <v>1.4370000000000001</v>
      </c>
      <c r="U310">
        <v>103.642</v>
      </c>
      <c r="V310">
        <v>22.106999999999999</v>
      </c>
      <c r="W310">
        <v>2.52</v>
      </c>
      <c r="X310">
        <v>96.233999999999995</v>
      </c>
      <c r="Y310">
        <v>0.88300000000000001</v>
      </c>
      <c r="Z310">
        <v>0.45600000000000002</v>
      </c>
      <c r="AA310">
        <v>0</v>
      </c>
      <c r="AB310">
        <v>0</v>
      </c>
      <c r="AC310">
        <v>1</v>
      </c>
      <c r="AD310">
        <v>40</v>
      </c>
      <c r="AE310">
        <v>1</v>
      </c>
      <c r="AF310">
        <v>38</v>
      </c>
      <c r="AG310">
        <v>4</v>
      </c>
      <c r="AH310" t="s">
        <v>361</v>
      </c>
      <c r="AI310">
        <v>0</v>
      </c>
    </row>
    <row r="311" spans="1:35" x14ac:dyDescent="0.2">
      <c r="A311">
        <v>310</v>
      </c>
      <c r="B311" t="s">
        <v>799</v>
      </c>
      <c r="C311" t="s">
        <v>800</v>
      </c>
      <c r="D311" t="s">
        <v>399</v>
      </c>
      <c r="E311">
        <v>1</v>
      </c>
      <c r="F311">
        <v>-4.7859999999999996</v>
      </c>
      <c r="G311">
        <v>-23.71</v>
      </c>
      <c r="H311">
        <v>17415</v>
      </c>
      <c r="I311">
        <v>-1</v>
      </c>
      <c r="J311">
        <v>1</v>
      </c>
      <c r="K311" t="s">
        <v>359</v>
      </c>
      <c r="L311" t="s">
        <v>359</v>
      </c>
      <c r="M311" t="s">
        <v>360</v>
      </c>
      <c r="N311">
        <v>1649270335.1400001</v>
      </c>
      <c r="O311">
        <v>0.21199999999999999</v>
      </c>
      <c r="P311">
        <v>0.35899999999999999</v>
      </c>
      <c r="Q311">
        <v>62.238</v>
      </c>
      <c r="R311">
        <v>1E-3</v>
      </c>
      <c r="S311">
        <v>2E-3</v>
      </c>
      <c r="T311">
        <v>1.482</v>
      </c>
      <c r="U311">
        <v>102.71899999999999</v>
      </c>
      <c r="V311">
        <v>21.359000000000002</v>
      </c>
      <c r="W311">
        <v>2.5259999999999998</v>
      </c>
      <c r="X311">
        <v>96.95</v>
      </c>
      <c r="Y311">
        <v>0.88900000000000001</v>
      </c>
      <c r="Z311">
        <v>0.60699999999999998</v>
      </c>
      <c r="AA311">
        <v>0</v>
      </c>
      <c r="AB311">
        <v>0</v>
      </c>
      <c r="AC311">
        <v>1</v>
      </c>
      <c r="AD311">
        <v>40</v>
      </c>
      <c r="AE311">
        <v>1</v>
      </c>
      <c r="AF311">
        <v>39</v>
      </c>
      <c r="AG311">
        <v>4</v>
      </c>
      <c r="AH311" t="s">
        <v>361</v>
      </c>
      <c r="AI311">
        <v>0</v>
      </c>
    </row>
    <row r="312" spans="1:35" x14ac:dyDescent="0.2">
      <c r="A312">
        <v>311</v>
      </c>
      <c r="B312" t="s">
        <v>799</v>
      </c>
      <c r="C312" t="s">
        <v>801</v>
      </c>
      <c r="D312" t="s">
        <v>399</v>
      </c>
      <c r="E312">
        <v>2</v>
      </c>
      <c r="F312">
        <v>-4.7380000000000004</v>
      </c>
      <c r="G312">
        <v>-23.841999999999999</v>
      </c>
      <c r="H312">
        <v>17546</v>
      </c>
      <c r="I312">
        <v>-1</v>
      </c>
      <c r="J312">
        <v>1</v>
      </c>
      <c r="K312" t="s">
        <v>359</v>
      </c>
      <c r="L312" t="s">
        <v>359</v>
      </c>
      <c r="M312" t="s">
        <v>360</v>
      </c>
      <c r="N312">
        <v>1649270872.5899999</v>
      </c>
      <c r="O312">
        <v>0.187</v>
      </c>
      <c r="P312">
        <v>0.378</v>
      </c>
      <c r="Q312">
        <v>61.039000000000001</v>
      </c>
      <c r="R312">
        <v>0</v>
      </c>
      <c r="S312">
        <v>-1E-3</v>
      </c>
      <c r="T312">
        <v>1.4630000000000001</v>
      </c>
      <c r="U312">
        <v>103.536</v>
      </c>
      <c r="V312">
        <v>21.661000000000001</v>
      </c>
      <c r="W312">
        <v>2.4630000000000001</v>
      </c>
      <c r="X312">
        <v>97.248000000000005</v>
      </c>
      <c r="Y312">
        <v>0.88700000000000001</v>
      </c>
      <c r="Z312">
        <v>0.46899999999999997</v>
      </c>
      <c r="AA312">
        <v>0</v>
      </c>
      <c r="AB312">
        <v>0</v>
      </c>
      <c r="AC312">
        <v>1</v>
      </c>
      <c r="AD312">
        <v>40</v>
      </c>
      <c r="AE312">
        <v>1</v>
      </c>
      <c r="AF312">
        <v>39</v>
      </c>
      <c r="AG312">
        <v>4</v>
      </c>
      <c r="AH312" t="s">
        <v>361</v>
      </c>
      <c r="AI312">
        <v>0</v>
      </c>
    </row>
    <row r="313" spans="1:35" x14ac:dyDescent="0.2">
      <c r="A313">
        <v>312</v>
      </c>
      <c r="B313" t="s">
        <v>799</v>
      </c>
      <c r="C313" t="s">
        <v>802</v>
      </c>
      <c r="D313" t="s">
        <v>399</v>
      </c>
      <c r="E313">
        <v>3</v>
      </c>
      <c r="F313">
        <v>-4.7309999999999999</v>
      </c>
      <c r="G313">
        <v>-23.931999999999999</v>
      </c>
      <c r="H313">
        <v>17608</v>
      </c>
      <c r="I313">
        <v>-1</v>
      </c>
      <c r="J313">
        <v>1</v>
      </c>
      <c r="K313" t="s">
        <v>359</v>
      </c>
      <c r="L313" t="s">
        <v>359</v>
      </c>
      <c r="M313" t="s">
        <v>360</v>
      </c>
      <c r="N313">
        <v>1649271410.04</v>
      </c>
      <c r="O313">
        <v>0.20799999999999999</v>
      </c>
      <c r="P313">
        <v>0.41099999999999998</v>
      </c>
      <c r="Q313">
        <v>60.768000000000001</v>
      </c>
      <c r="R313">
        <v>1E-3</v>
      </c>
      <c r="S313">
        <v>0</v>
      </c>
      <c r="T313">
        <v>1.454</v>
      </c>
      <c r="U313">
        <v>104.16</v>
      </c>
      <c r="V313">
        <v>21.552</v>
      </c>
      <c r="W313">
        <v>2.4550000000000001</v>
      </c>
      <c r="X313">
        <v>96.691999999999993</v>
      </c>
      <c r="Y313">
        <v>0.88600000000000001</v>
      </c>
      <c r="Z313">
        <v>0.26700000000000002</v>
      </c>
      <c r="AA313">
        <v>0</v>
      </c>
      <c r="AB313">
        <v>0</v>
      </c>
      <c r="AC313">
        <v>1</v>
      </c>
      <c r="AD313">
        <v>40</v>
      </c>
      <c r="AE313">
        <v>1</v>
      </c>
      <c r="AF313">
        <v>39</v>
      </c>
      <c r="AG313">
        <v>4</v>
      </c>
      <c r="AH313" t="s">
        <v>361</v>
      </c>
      <c r="AI313">
        <v>0</v>
      </c>
    </row>
    <row r="314" spans="1:35" x14ac:dyDescent="0.2">
      <c r="A314">
        <v>313</v>
      </c>
      <c r="B314" t="s">
        <v>799</v>
      </c>
      <c r="C314" t="s">
        <v>803</v>
      </c>
      <c r="D314" t="s">
        <v>399</v>
      </c>
      <c r="E314">
        <v>4</v>
      </c>
      <c r="F314">
        <v>-4.7119999999999997</v>
      </c>
      <c r="G314">
        <v>-23.855</v>
      </c>
      <c r="H314">
        <v>17529</v>
      </c>
      <c r="I314">
        <v>0</v>
      </c>
      <c r="J314">
        <v>1</v>
      </c>
      <c r="K314" t="s">
        <v>359</v>
      </c>
      <c r="L314" t="s">
        <v>359</v>
      </c>
      <c r="M314" t="s">
        <v>360</v>
      </c>
      <c r="N314">
        <v>1649271947.27</v>
      </c>
      <c r="O314">
        <v>0.20300000000000001</v>
      </c>
      <c r="P314">
        <v>0.38500000000000001</v>
      </c>
      <c r="Q314">
        <v>60.374000000000002</v>
      </c>
      <c r="R314">
        <v>0</v>
      </c>
      <c r="S314">
        <v>-1E-3</v>
      </c>
      <c r="T314">
        <v>1.4430000000000001</v>
      </c>
      <c r="U314">
        <v>103.688</v>
      </c>
      <c r="V314">
        <v>21.026</v>
      </c>
      <c r="W314">
        <v>2.5310000000000001</v>
      </c>
      <c r="X314">
        <v>97.677999999999997</v>
      </c>
      <c r="Y314">
        <v>0.88700000000000001</v>
      </c>
      <c r="Z314">
        <v>0.442</v>
      </c>
      <c r="AA314">
        <v>0</v>
      </c>
      <c r="AB314">
        <v>0</v>
      </c>
      <c r="AC314">
        <v>1</v>
      </c>
      <c r="AD314">
        <v>40</v>
      </c>
      <c r="AE314">
        <v>1</v>
      </c>
      <c r="AF314">
        <v>39</v>
      </c>
      <c r="AG314">
        <v>4</v>
      </c>
      <c r="AH314" t="s">
        <v>361</v>
      </c>
      <c r="AI314">
        <v>0</v>
      </c>
    </row>
    <row r="315" spans="1:35" x14ac:dyDescent="0.2">
      <c r="A315">
        <v>314</v>
      </c>
      <c r="B315" t="s">
        <v>799</v>
      </c>
      <c r="C315" t="s">
        <v>804</v>
      </c>
      <c r="D315" t="s">
        <v>399</v>
      </c>
      <c r="E315">
        <v>5</v>
      </c>
      <c r="F315">
        <v>-4.82</v>
      </c>
      <c r="G315">
        <v>-24.138000000000002</v>
      </c>
      <c r="H315">
        <v>17464</v>
      </c>
      <c r="I315">
        <v>0</v>
      </c>
      <c r="J315">
        <v>1</v>
      </c>
      <c r="K315" t="s">
        <v>359</v>
      </c>
      <c r="L315" t="s">
        <v>359</v>
      </c>
      <c r="M315" t="s">
        <v>360</v>
      </c>
      <c r="N315">
        <v>1649272484.02</v>
      </c>
      <c r="O315">
        <v>0.21</v>
      </c>
      <c r="P315">
        <v>0.42099999999999999</v>
      </c>
      <c r="Q315">
        <v>69.457999999999998</v>
      </c>
      <c r="R315">
        <v>2E-3</v>
      </c>
      <c r="S315">
        <v>3.0000000000000001E-3</v>
      </c>
      <c r="T315">
        <v>1.66</v>
      </c>
      <c r="U315">
        <v>103.01900000000001</v>
      </c>
      <c r="V315">
        <v>21.315999999999999</v>
      </c>
      <c r="W315">
        <v>2.5190000000000001</v>
      </c>
      <c r="X315">
        <v>97.706000000000003</v>
      </c>
      <c r="Y315">
        <v>0.88800000000000001</v>
      </c>
      <c r="Z315">
        <v>0.60699999999999998</v>
      </c>
      <c r="AA315">
        <v>0</v>
      </c>
      <c r="AB315">
        <v>0</v>
      </c>
      <c r="AC315">
        <v>1</v>
      </c>
      <c r="AD315">
        <v>40.061999999999998</v>
      </c>
      <c r="AE315">
        <v>1</v>
      </c>
      <c r="AF315">
        <v>39</v>
      </c>
      <c r="AG315">
        <v>4</v>
      </c>
      <c r="AH315" t="s">
        <v>361</v>
      </c>
      <c r="AI315">
        <v>0</v>
      </c>
    </row>
    <row r="316" spans="1:35" x14ac:dyDescent="0.2">
      <c r="A316">
        <v>315</v>
      </c>
      <c r="B316" t="s">
        <v>799</v>
      </c>
      <c r="C316" t="s">
        <v>805</v>
      </c>
      <c r="D316" t="s">
        <v>399</v>
      </c>
      <c r="E316">
        <v>6</v>
      </c>
      <c r="F316">
        <v>-4.6929999999999996</v>
      </c>
      <c r="G316">
        <v>-23.77</v>
      </c>
      <c r="H316">
        <v>17540</v>
      </c>
      <c r="I316">
        <v>0</v>
      </c>
      <c r="J316">
        <v>1</v>
      </c>
      <c r="K316" t="s">
        <v>359</v>
      </c>
      <c r="L316" t="s">
        <v>359</v>
      </c>
      <c r="M316" t="s">
        <v>360</v>
      </c>
      <c r="N316">
        <v>1649273021.8599999</v>
      </c>
      <c r="O316">
        <v>0.20599999999999999</v>
      </c>
      <c r="P316">
        <v>0.41299999999999998</v>
      </c>
      <c r="Q316">
        <v>60.023000000000003</v>
      </c>
      <c r="R316">
        <v>1E-3</v>
      </c>
      <c r="S316">
        <v>1E-3</v>
      </c>
      <c r="T316">
        <v>1.4330000000000001</v>
      </c>
      <c r="U316">
        <v>103.47199999999999</v>
      </c>
      <c r="V316">
        <v>21.36</v>
      </c>
      <c r="W316">
        <v>2.556</v>
      </c>
      <c r="X316">
        <v>98.16</v>
      </c>
      <c r="Y316">
        <v>0.89100000000000001</v>
      </c>
      <c r="Z316">
        <v>0.57099999999999995</v>
      </c>
      <c r="AA316">
        <v>0</v>
      </c>
      <c r="AB316">
        <v>0</v>
      </c>
      <c r="AC316">
        <v>1</v>
      </c>
      <c r="AD316">
        <v>40.061999999999998</v>
      </c>
      <c r="AE316">
        <v>1</v>
      </c>
      <c r="AF316">
        <v>39</v>
      </c>
      <c r="AG316">
        <v>4</v>
      </c>
      <c r="AH316" t="s">
        <v>361</v>
      </c>
      <c r="AI316">
        <v>0</v>
      </c>
    </row>
    <row r="317" spans="1:35" x14ac:dyDescent="0.2">
      <c r="A317">
        <v>316</v>
      </c>
      <c r="B317" t="s">
        <v>806</v>
      </c>
      <c r="C317" t="s">
        <v>807</v>
      </c>
      <c r="D317" t="s">
        <v>400</v>
      </c>
      <c r="E317">
        <v>1</v>
      </c>
      <c r="F317">
        <v>-4.702</v>
      </c>
      <c r="G317">
        <v>-23.414999999999999</v>
      </c>
      <c r="H317">
        <v>17430</v>
      </c>
      <c r="I317">
        <v>-1</v>
      </c>
      <c r="J317">
        <v>1</v>
      </c>
      <c r="K317" t="s">
        <v>359</v>
      </c>
      <c r="L317" t="s">
        <v>359</v>
      </c>
      <c r="M317" t="s">
        <v>360</v>
      </c>
      <c r="N317">
        <v>1649273559.9200001</v>
      </c>
      <c r="O317">
        <v>0.215</v>
      </c>
      <c r="P317">
        <v>0.38700000000000001</v>
      </c>
      <c r="Q317">
        <v>59.667000000000002</v>
      </c>
      <c r="R317">
        <v>0</v>
      </c>
      <c r="S317">
        <v>-1E-3</v>
      </c>
      <c r="T317">
        <v>1.43</v>
      </c>
      <c r="U317">
        <v>102.97799999999999</v>
      </c>
      <c r="V317">
        <v>21.355</v>
      </c>
      <c r="W317">
        <v>2.4660000000000002</v>
      </c>
      <c r="X317">
        <v>96.218000000000004</v>
      </c>
      <c r="Y317">
        <v>0.88500000000000001</v>
      </c>
      <c r="Z317">
        <v>0.38500000000000001</v>
      </c>
      <c r="AA317">
        <v>0</v>
      </c>
      <c r="AB317">
        <v>0</v>
      </c>
      <c r="AC317">
        <v>1</v>
      </c>
      <c r="AD317">
        <v>40.061999999999998</v>
      </c>
      <c r="AE317">
        <v>1</v>
      </c>
      <c r="AF317">
        <v>40</v>
      </c>
      <c r="AG317">
        <v>4</v>
      </c>
      <c r="AH317" t="s">
        <v>361</v>
      </c>
      <c r="AI317">
        <v>0</v>
      </c>
    </row>
    <row r="318" spans="1:35" x14ac:dyDescent="0.2">
      <c r="A318">
        <v>317</v>
      </c>
      <c r="B318" t="s">
        <v>806</v>
      </c>
      <c r="C318" t="s">
        <v>808</v>
      </c>
      <c r="D318" t="s">
        <v>400</v>
      </c>
      <c r="E318">
        <v>2</v>
      </c>
      <c r="F318">
        <v>-5.3680000000000003</v>
      </c>
      <c r="G318">
        <v>-24.173999999999999</v>
      </c>
      <c r="H318">
        <v>17626</v>
      </c>
      <c r="I318">
        <v>-1</v>
      </c>
      <c r="J318">
        <v>1</v>
      </c>
      <c r="K318" t="s">
        <v>359</v>
      </c>
      <c r="L318" t="s">
        <v>359</v>
      </c>
      <c r="M318" t="s">
        <v>360</v>
      </c>
      <c r="N318">
        <v>1649274128.95</v>
      </c>
      <c r="O318">
        <v>3.355</v>
      </c>
      <c r="P318">
        <v>3.3620000000000001</v>
      </c>
      <c r="Q318">
        <v>48.212000000000003</v>
      </c>
      <c r="R318">
        <v>7.1999999999999995E-2</v>
      </c>
      <c r="S318">
        <v>6.9000000000000006E-2</v>
      </c>
      <c r="T318">
        <v>0.157</v>
      </c>
      <c r="U318">
        <v>104.00700000000001</v>
      </c>
      <c r="V318">
        <v>21.728000000000002</v>
      </c>
      <c r="W318">
        <v>2.5609999999999999</v>
      </c>
      <c r="X318">
        <v>96.96</v>
      </c>
      <c r="Y318">
        <v>2.6760000000000002</v>
      </c>
      <c r="Z318">
        <v>0.40699999999999997</v>
      </c>
      <c r="AA318">
        <v>0</v>
      </c>
      <c r="AB318">
        <v>0</v>
      </c>
      <c r="AC318">
        <v>1</v>
      </c>
      <c r="AD318">
        <v>40.061999999999998</v>
      </c>
      <c r="AE318">
        <v>1</v>
      </c>
      <c r="AF318">
        <v>40</v>
      </c>
      <c r="AG318">
        <v>4</v>
      </c>
      <c r="AH318" t="s">
        <v>361</v>
      </c>
      <c r="AI318">
        <v>0</v>
      </c>
    </row>
    <row r="319" spans="1:35" x14ac:dyDescent="0.2">
      <c r="A319">
        <v>318</v>
      </c>
      <c r="B319" t="s">
        <v>806</v>
      </c>
      <c r="C319" t="s">
        <v>809</v>
      </c>
      <c r="D319" t="s">
        <v>400</v>
      </c>
      <c r="E319">
        <v>3</v>
      </c>
      <c r="F319">
        <v>-4.7149999999999999</v>
      </c>
      <c r="G319">
        <v>-23.709</v>
      </c>
      <c r="H319">
        <v>17533</v>
      </c>
      <c r="I319">
        <v>-1</v>
      </c>
      <c r="J319">
        <v>1</v>
      </c>
      <c r="K319" t="s">
        <v>359</v>
      </c>
      <c r="L319" t="s">
        <v>359</v>
      </c>
      <c r="M319" t="s">
        <v>360</v>
      </c>
      <c r="N319">
        <v>1649274634</v>
      </c>
      <c r="O319">
        <v>0.2</v>
      </c>
      <c r="P319">
        <v>0.42499999999999999</v>
      </c>
      <c r="Q319">
        <v>60.402999999999999</v>
      </c>
      <c r="R319">
        <v>1E-3</v>
      </c>
      <c r="S319">
        <v>1E-3</v>
      </c>
      <c r="T319">
        <v>1.448</v>
      </c>
      <c r="U319">
        <v>103.71299999999999</v>
      </c>
      <c r="V319">
        <v>21.062000000000001</v>
      </c>
      <c r="W319">
        <v>2.5310000000000001</v>
      </c>
      <c r="X319">
        <v>97.686999999999998</v>
      </c>
      <c r="Y319">
        <v>0.89100000000000001</v>
      </c>
      <c r="Z319">
        <v>0.442</v>
      </c>
      <c r="AA319">
        <v>0</v>
      </c>
      <c r="AB319">
        <v>0</v>
      </c>
      <c r="AC319">
        <v>1</v>
      </c>
      <c r="AD319">
        <v>39.938000000000002</v>
      </c>
      <c r="AE319">
        <v>1</v>
      </c>
      <c r="AF319">
        <v>40</v>
      </c>
      <c r="AG319">
        <v>4</v>
      </c>
      <c r="AH319" t="s">
        <v>361</v>
      </c>
      <c r="AI319">
        <v>0</v>
      </c>
    </row>
    <row r="320" spans="1:35" x14ac:dyDescent="0.2">
      <c r="A320">
        <v>319</v>
      </c>
      <c r="B320" t="s">
        <v>806</v>
      </c>
      <c r="C320" t="s">
        <v>810</v>
      </c>
      <c r="D320" t="s">
        <v>400</v>
      </c>
      <c r="E320">
        <v>4</v>
      </c>
      <c r="F320">
        <v>-4.726</v>
      </c>
      <c r="G320">
        <v>-23.581</v>
      </c>
      <c r="H320">
        <v>17536</v>
      </c>
      <c r="I320">
        <v>0</v>
      </c>
      <c r="J320">
        <v>1</v>
      </c>
      <c r="K320" t="s">
        <v>359</v>
      </c>
      <c r="L320" t="s">
        <v>359</v>
      </c>
      <c r="M320" t="s">
        <v>360</v>
      </c>
      <c r="N320">
        <v>1649275171.26</v>
      </c>
      <c r="O320">
        <v>0.19600000000000001</v>
      </c>
      <c r="P320">
        <v>0.376</v>
      </c>
      <c r="Q320">
        <v>60.115000000000002</v>
      </c>
      <c r="R320">
        <v>0</v>
      </c>
      <c r="S320">
        <v>1E-3</v>
      </c>
      <c r="T320">
        <v>1.448</v>
      </c>
      <c r="U320">
        <v>103.53100000000001</v>
      </c>
      <c r="V320">
        <v>21.227</v>
      </c>
      <c r="W320">
        <v>2.5190000000000001</v>
      </c>
      <c r="X320">
        <v>97.984999999999999</v>
      </c>
      <c r="Y320">
        <v>0.88300000000000001</v>
      </c>
      <c r="Z320">
        <v>0.61499999999999999</v>
      </c>
      <c r="AA320">
        <v>0</v>
      </c>
      <c r="AB320">
        <v>0</v>
      </c>
      <c r="AC320">
        <v>1</v>
      </c>
      <c r="AD320">
        <v>40</v>
      </c>
      <c r="AE320">
        <v>1</v>
      </c>
      <c r="AF320">
        <v>40</v>
      </c>
      <c r="AG320">
        <v>4</v>
      </c>
      <c r="AH320" t="s">
        <v>361</v>
      </c>
      <c r="AI320">
        <v>0</v>
      </c>
    </row>
    <row r="321" spans="1:35" x14ac:dyDescent="0.2">
      <c r="A321">
        <v>320</v>
      </c>
      <c r="B321" t="s">
        <v>806</v>
      </c>
      <c r="C321" t="s">
        <v>811</v>
      </c>
      <c r="D321" t="s">
        <v>400</v>
      </c>
      <c r="E321">
        <v>5</v>
      </c>
      <c r="F321">
        <v>-4.6859999999999999</v>
      </c>
      <c r="G321">
        <v>-23.507999999999999</v>
      </c>
      <c r="H321">
        <v>17592</v>
      </c>
      <c r="I321">
        <v>0</v>
      </c>
      <c r="J321">
        <v>1</v>
      </c>
      <c r="K321" t="s">
        <v>359</v>
      </c>
      <c r="L321" t="s">
        <v>359</v>
      </c>
      <c r="M321" t="s">
        <v>360</v>
      </c>
      <c r="N321">
        <v>1649275709.23</v>
      </c>
      <c r="O321">
        <v>0.191</v>
      </c>
      <c r="P321">
        <v>0.41699999999999998</v>
      </c>
      <c r="Q321">
        <v>60.06</v>
      </c>
      <c r="R321">
        <v>0</v>
      </c>
      <c r="S321">
        <v>0</v>
      </c>
      <c r="T321">
        <v>1.429</v>
      </c>
      <c r="U321">
        <v>104.065</v>
      </c>
      <c r="V321">
        <v>21.279</v>
      </c>
      <c r="W321">
        <v>2.528</v>
      </c>
      <c r="X321">
        <v>97.521000000000001</v>
      </c>
      <c r="Y321">
        <v>0.89400000000000002</v>
      </c>
      <c r="Z321">
        <v>0.46200000000000002</v>
      </c>
      <c r="AA321">
        <v>0</v>
      </c>
      <c r="AB321">
        <v>0</v>
      </c>
      <c r="AC321">
        <v>1</v>
      </c>
      <c r="AD321">
        <v>40</v>
      </c>
      <c r="AE321">
        <v>1</v>
      </c>
      <c r="AF321">
        <v>40</v>
      </c>
      <c r="AG321">
        <v>4</v>
      </c>
      <c r="AH321" t="s">
        <v>361</v>
      </c>
      <c r="AI321">
        <v>0</v>
      </c>
    </row>
    <row r="322" spans="1:35" x14ac:dyDescent="0.2">
      <c r="A322">
        <v>321</v>
      </c>
      <c r="B322" t="s">
        <v>806</v>
      </c>
      <c r="C322" t="s">
        <v>812</v>
      </c>
      <c r="D322" t="s">
        <v>400</v>
      </c>
      <c r="E322">
        <v>6</v>
      </c>
      <c r="F322">
        <v>-4.7060000000000004</v>
      </c>
      <c r="G322">
        <v>-23.556000000000001</v>
      </c>
      <c r="H322">
        <v>17562</v>
      </c>
      <c r="I322">
        <v>0</v>
      </c>
      <c r="J322">
        <v>1</v>
      </c>
      <c r="K322" t="s">
        <v>359</v>
      </c>
      <c r="L322" t="s">
        <v>359</v>
      </c>
      <c r="M322" t="s">
        <v>360</v>
      </c>
      <c r="N322">
        <v>1649276246.02</v>
      </c>
      <c r="O322">
        <v>0.20599999999999999</v>
      </c>
      <c r="P322">
        <v>0.39800000000000002</v>
      </c>
      <c r="Q322">
        <v>60.889000000000003</v>
      </c>
      <c r="R322">
        <v>1E-3</v>
      </c>
      <c r="S322">
        <v>0</v>
      </c>
      <c r="T322">
        <v>1.454</v>
      </c>
      <c r="U322">
        <v>103.63200000000001</v>
      </c>
      <c r="V322">
        <v>21.439</v>
      </c>
      <c r="W322">
        <v>2.5219999999999998</v>
      </c>
      <c r="X322">
        <v>97.962999999999994</v>
      </c>
      <c r="Y322">
        <v>0.88100000000000001</v>
      </c>
      <c r="Z322">
        <v>0.56399999999999995</v>
      </c>
      <c r="AA322">
        <v>0</v>
      </c>
      <c r="AB322">
        <v>0</v>
      </c>
      <c r="AC322">
        <v>1</v>
      </c>
      <c r="AD322">
        <v>40</v>
      </c>
      <c r="AE322">
        <v>1</v>
      </c>
      <c r="AF322">
        <v>40</v>
      </c>
      <c r="AG322">
        <v>4</v>
      </c>
      <c r="AH322" t="s">
        <v>361</v>
      </c>
      <c r="AI322">
        <v>0</v>
      </c>
    </row>
    <row r="323" spans="1:35" x14ac:dyDescent="0.2">
      <c r="A323">
        <v>322</v>
      </c>
      <c r="B323" t="s">
        <v>813</v>
      </c>
      <c r="C323" t="s">
        <v>814</v>
      </c>
      <c r="D323" t="s">
        <v>401</v>
      </c>
      <c r="E323">
        <v>1</v>
      </c>
      <c r="F323">
        <v>-4.7880000000000003</v>
      </c>
      <c r="G323">
        <v>-23.895</v>
      </c>
      <c r="H323">
        <v>17392</v>
      </c>
      <c r="I323">
        <v>-1</v>
      </c>
      <c r="J323">
        <v>1</v>
      </c>
      <c r="K323" t="s">
        <v>359</v>
      </c>
      <c r="L323" t="s">
        <v>359</v>
      </c>
      <c r="M323" t="s">
        <v>360</v>
      </c>
      <c r="N323">
        <v>1649276783.71</v>
      </c>
      <c r="O323">
        <v>0.23</v>
      </c>
      <c r="P323">
        <v>0.38200000000000001</v>
      </c>
      <c r="Q323">
        <v>72.340999999999994</v>
      </c>
      <c r="R323">
        <v>3.0000000000000001E-3</v>
      </c>
      <c r="S323">
        <v>3.0000000000000001E-3</v>
      </c>
      <c r="T323">
        <v>1.7330000000000001</v>
      </c>
      <c r="U323">
        <v>102.602</v>
      </c>
      <c r="V323">
        <v>21.398</v>
      </c>
      <c r="W323">
        <v>2.5390000000000001</v>
      </c>
      <c r="X323">
        <v>96.338999999999999</v>
      </c>
      <c r="Y323">
        <v>0.88400000000000001</v>
      </c>
      <c r="Z323">
        <v>0.49299999999999999</v>
      </c>
      <c r="AA323">
        <v>0</v>
      </c>
      <c r="AB323">
        <v>0</v>
      </c>
      <c r="AC323">
        <v>1</v>
      </c>
      <c r="AD323">
        <v>40</v>
      </c>
      <c r="AE323">
        <v>1</v>
      </c>
      <c r="AF323">
        <v>41</v>
      </c>
      <c r="AG323">
        <v>4</v>
      </c>
      <c r="AH323" t="s">
        <v>361</v>
      </c>
      <c r="AI323">
        <v>0</v>
      </c>
    </row>
    <row r="324" spans="1:35" x14ac:dyDescent="0.2">
      <c r="A324">
        <v>323</v>
      </c>
      <c r="B324" t="s">
        <v>813</v>
      </c>
      <c r="C324" t="s">
        <v>815</v>
      </c>
      <c r="D324" t="s">
        <v>401</v>
      </c>
      <c r="E324">
        <v>2</v>
      </c>
      <c r="F324">
        <v>-4.6820000000000004</v>
      </c>
      <c r="G324">
        <v>-23.617000000000001</v>
      </c>
      <c r="H324">
        <v>17502</v>
      </c>
      <c r="I324">
        <v>-1</v>
      </c>
      <c r="J324">
        <v>1</v>
      </c>
      <c r="K324" t="s">
        <v>359</v>
      </c>
      <c r="L324" t="s">
        <v>359</v>
      </c>
      <c r="M324" t="s">
        <v>360</v>
      </c>
      <c r="N324">
        <v>1649277320.5699999</v>
      </c>
      <c r="O324">
        <v>0.21</v>
      </c>
      <c r="P324">
        <v>0.40899999999999997</v>
      </c>
      <c r="Q324">
        <v>62</v>
      </c>
      <c r="R324">
        <v>2E-3</v>
      </c>
      <c r="S324">
        <v>1E-3</v>
      </c>
      <c r="T324">
        <v>1.4890000000000001</v>
      </c>
      <c r="U324">
        <v>103.46299999999999</v>
      </c>
      <c r="V324">
        <v>21.36</v>
      </c>
      <c r="W324">
        <v>2.5150000000000001</v>
      </c>
      <c r="X324">
        <v>96.569000000000003</v>
      </c>
      <c r="Y324">
        <v>0.88400000000000001</v>
      </c>
      <c r="Z324">
        <v>0.41599999999999998</v>
      </c>
      <c r="AA324">
        <v>0</v>
      </c>
      <c r="AB324">
        <v>0</v>
      </c>
      <c r="AC324">
        <v>1</v>
      </c>
      <c r="AD324">
        <v>40</v>
      </c>
      <c r="AE324">
        <v>1</v>
      </c>
      <c r="AF324">
        <v>41</v>
      </c>
      <c r="AG324">
        <v>4</v>
      </c>
      <c r="AH324" t="s">
        <v>361</v>
      </c>
      <c r="AI324">
        <v>0</v>
      </c>
    </row>
    <row r="325" spans="1:35" x14ac:dyDescent="0.2">
      <c r="A325">
        <v>324</v>
      </c>
      <c r="B325" t="s">
        <v>813</v>
      </c>
      <c r="C325" t="s">
        <v>816</v>
      </c>
      <c r="D325" t="s">
        <v>401</v>
      </c>
      <c r="E325">
        <v>3</v>
      </c>
      <c r="F325">
        <v>-4.67</v>
      </c>
      <c r="G325">
        <v>-23.39</v>
      </c>
      <c r="H325">
        <v>17687</v>
      </c>
      <c r="I325">
        <v>-1</v>
      </c>
      <c r="J325">
        <v>1</v>
      </c>
      <c r="K325" t="s">
        <v>359</v>
      </c>
      <c r="L325" t="s">
        <v>359</v>
      </c>
      <c r="M325" t="s">
        <v>360</v>
      </c>
      <c r="N325">
        <v>1649277858.6500001</v>
      </c>
      <c r="O325">
        <v>0.21199999999999999</v>
      </c>
      <c r="P325">
        <v>0.40200000000000002</v>
      </c>
      <c r="Q325">
        <v>60.387</v>
      </c>
      <c r="R325">
        <v>0</v>
      </c>
      <c r="S325">
        <v>-1E-3</v>
      </c>
      <c r="T325">
        <v>1.4430000000000001</v>
      </c>
      <c r="U325">
        <v>104.578</v>
      </c>
      <c r="V325">
        <v>21.39</v>
      </c>
      <c r="W325">
        <v>2.5110000000000001</v>
      </c>
      <c r="X325">
        <v>98.445999999999998</v>
      </c>
      <c r="Y325">
        <v>0.88700000000000001</v>
      </c>
      <c r="Z325">
        <v>0.48599999999999999</v>
      </c>
      <c r="AA325">
        <v>0</v>
      </c>
      <c r="AB325">
        <v>0</v>
      </c>
      <c r="AC325">
        <v>1</v>
      </c>
      <c r="AD325">
        <v>39.938000000000002</v>
      </c>
      <c r="AE325">
        <v>1</v>
      </c>
      <c r="AF325">
        <v>41</v>
      </c>
      <c r="AG325">
        <v>4</v>
      </c>
      <c r="AH325" t="s">
        <v>361</v>
      </c>
      <c r="AI325">
        <v>0</v>
      </c>
    </row>
    <row r="326" spans="1:35" x14ac:dyDescent="0.2">
      <c r="A326">
        <v>325</v>
      </c>
      <c r="B326" t="s">
        <v>813</v>
      </c>
      <c r="C326" t="s">
        <v>817</v>
      </c>
      <c r="D326" t="s">
        <v>401</v>
      </c>
      <c r="E326">
        <v>4</v>
      </c>
      <c r="F326">
        <v>-4.6669999999999998</v>
      </c>
      <c r="G326">
        <v>-23.524000000000001</v>
      </c>
      <c r="H326">
        <v>17612</v>
      </c>
      <c r="I326">
        <v>0</v>
      </c>
      <c r="J326">
        <v>1</v>
      </c>
      <c r="K326" t="s">
        <v>359</v>
      </c>
      <c r="L326" t="s">
        <v>359</v>
      </c>
      <c r="M326" t="s">
        <v>360</v>
      </c>
      <c r="N326">
        <v>1649278395.55</v>
      </c>
      <c r="O326">
        <v>0.222</v>
      </c>
      <c r="P326">
        <v>0.41499999999999998</v>
      </c>
      <c r="Q326">
        <v>62.576000000000001</v>
      </c>
      <c r="R326">
        <v>1E-3</v>
      </c>
      <c r="S326">
        <v>0</v>
      </c>
      <c r="T326">
        <v>1.4950000000000001</v>
      </c>
      <c r="U326">
        <v>103.961</v>
      </c>
      <c r="V326">
        <v>21.460999999999999</v>
      </c>
      <c r="W326">
        <v>2.5579999999999998</v>
      </c>
      <c r="X326">
        <v>98.382000000000005</v>
      </c>
      <c r="Y326">
        <v>0.88400000000000001</v>
      </c>
      <c r="Z326">
        <v>0.59399999999999997</v>
      </c>
      <c r="AA326">
        <v>0</v>
      </c>
      <c r="AB326">
        <v>0</v>
      </c>
      <c r="AC326">
        <v>1</v>
      </c>
      <c r="AD326">
        <v>40</v>
      </c>
      <c r="AE326">
        <v>1</v>
      </c>
      <c r="AF326">
        <v>41</v>
      </c>
      <c r="AG326">
        <v>4</v>
      </c>
      <c r="AH326" t="s">
        <v>361</v>
      </c>
      <c r="AI326">
        <v>0</v>
      </c>
    </row>
    <row r="327" spans="1:35" x14ac:dyDescent="0.2">
      <c r="A327">
        <v>326</v>
      </c>
      <c r="B327" t="s">
        <v>813</v>
      </c>
      <c r="C327" t="s">
        <v>818</v>
      </c>
      <c r="D327" t="s">
        <v>401</v>
      </c>
      <c r="E327">
        <v>5</v>
      </c>
      <c r="F327">
        <v>-4.6950000000000003</v>
      </c>
      <c r="G327">
        <v>-23.54</v>
      </c>
      <c r="H327">
        <v>17634</v>
      </c>
      <c r="I327">
        <v>0</v>
      </c>
      <c r="J327">
        <v>1</v>
      </c>
      <c r="K327" t="s">
        <v>359</v>
      </c>
      <c r="L327" t="s">
        <v>359</v>
      </c>
      <c r="M327" t="s">
        <v>360</v>
      </c>
      <c r="N327">
        <v>1649278933.6300001</v>
      </c>
      <c r="O327">
        <v>0.21299999999999999</v>
      </c>
      <c r="P327">
        <v>0.38</v>
      </c>
      <c r="Q327">
        <v>60.396999999999998</v>
      </c>
      <c r="R327">
        <v>1E-3</v>
      </c>
      <c r="S327">
        <v>1E-3</v>
      </c>
      <c r="T327">
        <v>1.454</v>
      </c>
      <c r="U327">
        <v>104.29600000000001</v>
      </c>
      <c r="V327">
        <v>21.193000000000001</v>
      </c>
      <c r="W327">
        <v>2.5649999999999999</v>
      </c>
      <c r="X327">
        <v>98.236000000000004</v>
      </c>
      <c r="Y327">
        <v>0.88900000000000001</v>
      </c>
      <c r="Z327">
        <v>0.42399999999999999</v>
      </c>
      <c r="AA327">
        <v>0</v>
      </c>
      <c r="AB327">
        <v>0</v>
      </c>
      <c r="AC327">
        <v>1</v>
      </c>
      <c r="AD327">
        <v>40.061999999999998</v>
      </c>
      <c r="AE327">
        <v>1</v>
      </c>
      <c r="AF327">
        <v>41</v>
      </c>
      <c r="AG327">
        <v>4</v>
      </c>
      <c r="AH327" t="s">
        <v>361</v>
      </c>
      <c r="AI327">
        <v>0</v>
      </c>
    </row>
    <row r="328" spans="1:35" x14ac:dyDescent="0.2">
      <c r="A328">
        <v>327</v>
      </c>
      <c r="B328" t="s">
        <v>813</v>
      </c>
      <c r="C328" t="s">
        <v>819</v>
      </c>
      <c r="D328" t="s">
        <v>401</v>
      </c>
      <c r="E328">
        <v>6</v>
      </c>
      <c r="F328">
        <v>-4.7320000000000002</v>
      </c>
      <c r="G328">
        <v>-23.79</v>
      </c>
      <c r="H328">
        <v>17587</v>
      </c>
      <c r="I328">
        <v>0</v>
      </c>
      <c r="J328">
        <v>1</v>
      </c>
      <c r="K328" t="s">
        <v>359</v>
      </c>
      <c r="L328" t="s">
        <v>359</v>
      </c>
      <c r="M328" t="s">
        <v>360</v>
      </c>
      <c r="N328">
        <v>1649279471.03</v>
      </c>
      <c r="O328">
        <v>0.193</v>
      </c>
      <c r="P328">
        <v>0.44800000000000001</v>
      </c>
      <c r="Q328">
        <v>60.884</v>
      </c>
      <c r="R328">
        <v>1E-3</v>
      </c>
      <c r="S328">
        <v>-1E-3</v>
      </c>
      <c r="T328">
        <v>1.466</v>
      </c>
      <c r="U328">
        <v>104.131</v>
      </c>
      <c r="V328">
        <v>20.82</v>
      </c>
      <c r="W328">
        <v>2.5059999999999998</v>
      </c>
      <c r="X328">
        <v>98.278999999999996</v>
      </c>
      <c r="Y328">
        <v>0.89200000000000002</v>
      </c>
      <c r="Z328">
        <v>0.443</v>
      </c>
      <c r="AA328">
        <v>0</v>
      </c>
      <c r="AB328">
        <v>0</v>
      </c>
      <c r="AC328">
        <v>1</v>
      </c>
      <c r="AD328">
        <v>40.061999999999998</v>
      </c>
      <c r="AE328">
        <v>1</v>
      </c>
      <c r="AF328">
        <v>41</v>
      </c>
      <c r="AG328">
        <v>4</v>
      </c>
      <c r="AH328" t="s">
        <v>361</v>
      </c>
      <c r="AI328">
        <v>0</v>
      </c>
    </row>
    <row r="329" spans="1:35" x14ac:dyDescent="0.2">
      <c r="A329">
        <v>328</v>
      </c>
      <c r="B329" t="s">
        <v>820</v>
      </c>
      <c r="C329" t="s">
        <v>821</v>
      </c>
      <c r="D329" t="s">
        <v>402</v>
      </c>
      <c r="E329">
        <v>1</v>
      </c>
      <c r="F329">
        <v>-5.4139999999999997</v>
      </c>
      <c r="G329">
        <v>-28.460999999999999</v>
      </c>
      <c r="H329">
        <v>17552</v>
      </c>
      <c r="I329">
        <v>-1</v>
      </c>
      <c r="J329">
        <v>1</v>
      </c>
      <c r="K329" t="s">
        <v>359</v>
      </c>
      <c r="L329" t="s">
        <v>359</v>
      </c>
      <c r="M329" t="s">
        <v>360</v>
      </c>
      <c r="N329">
        <v>1649280007.8299999</v>
      </c>
      <c r="O329">
        <v>0.20100000000000001</v>
      </c>
      <c r="P329">
        <v>0.432</v>
      </c>
      <c r="Q329">
        <v>62.920999999999999</v>
      </c>
      <c r="R329">
        <v>1E-3</v>
      </c>
      <c r="S329">
        <v>1E-3</v>
      </c>
      <c r="T329">
        <v>1.498</v>
      </c>
      <c r="U329">
        <v>103.86499999999999</v>
      </c>
      <c r="V329">
        <v>21.416</v>
      </c>
      <c r="W329">
        <v>2.5059999999999998</v>
      </c>
      <c r="X329">
        <v>96.602999999999994</v>
      </c>
      <c r="Y329">
        <v>0.89</v>
      </c>
      <c r="Z329">
        <v>0.26200000000000001</v>
      </c>
      <c r="AA329">
        <v>0</v>
      </c>
      <c r="AB329">
        <v>0</v>
      </c>
      <c r="AC329">
        <v>1</v>
      </c>
      <c r="AD329">
        <v>40.061999999999998</v>
      </c>
      <c r="AE329">
        <v>1</v>
      </c>
      <c r="AF329">
        <v>42</v>
      </c>
      <c r="AG329">
        <v>4</v>
      </c>
      <c r="AH329" t="s">
        <v>361</v>
      </c>
      <c r="AI329">
        <v>0</v>
      </c>
    </row>
    <row r="330" spans="1:35" x14ac:dyDescent="0.2">
      <c r="A330">
        <v>329</v>
      </c>
      <c r="B330" t="s">
        <v>820</v>
      </c>
      <c r="C330" t="s">
        <v>822</v>
      </c>
      <c r="D330" t="s">
        <v>402</v>
      </c>
      <c r="E330">
        <v>2</v>
      </c>
      <c r="F330">
        <v>-6.9870000000000001</v>
      </c>
      <c r="G330">
        <v>-29.238</v>
      </c>
      <c r="H330">
        <v>17554</v>
      </c>
      <c r="I330">
        <v>-1</v>
      </c>
      <c r="J330">
        <v>1</v>
      </c>
      <c r="K330" t="s">
        <v>359</v>
      </c>
      <c r="L330" t="s">
        <v>359</v>
      </c>
      <c r="M330" t="s">
        <v>360</v>
      </c>
      <c r="N330">
        <v>1649280564.5599999</v>
      </c>
      <c r="O330">
        <v>3.8</v>
      </c>
      <c r="P330">
        <v>11.262</v>
      </c>
      <c r="Q330">
        <v>60.462000000000003</v>
      </c>
      <c r="R330">
        <v>0.06</v>
      </c>
      <c r="S330">
        <v>0.124</v>
      </c>
      <c r="T330">
        <v>1.1399999999999999</v>
      </c>
      <c r="U330">
        <v>103.905</v>
      </c>
      <c r="V330">
        <v>22.54</v>
      </c>
      <c r="W330">
        <v>3.3559999999999999</v>
      </c>
      <c r="X330">
        <v>95.364999999999995</v>
      </c>
      <c r="Y330">
        <v>14.118</v>
      </c>
      <c r="Z330">
        <v>-1.2949999999999999</v>
      </c>
      <c r="AA330">
        <v>4.0000000000000002E-4</v>
      </c>
      <c r="AB330">
        <v>4.0000000000000002E-4</v>
      </c>
      <c r="AC330">
        <v>1</v>
      </c>
      <c r="AD330">
        <v>39.938000000000002</v>
      </c>
      <c r="AE330">
        <v>1</v>
      </c>
      <c r="AF330">
        <v>42</v>
      </c>
      <c r="AG330">
        <v>4</v>
      </c>
      <c r="AH330" t="s">
        <v>361</v>
      </c>
      <c r="AI330">
        <v>0</v>
      </c>
    </row>
    <row r="331" spans="1:35" x14ac:dyDescent="0.2">
      <c r="A331">
        <v>330</v>
      </c>
      <c r="B331" t="s">
        <v>820</v>
      </c>
      <c r="C331" t="s">
        <v>823</v>
      </c>
      <c r="D331" t="s">
        <v>402</v>
      </c>
      <c r="E331">
        <v>3</v>
      </c>
      <c r="F331">
        <v>-5.4359999999999999</v>
      </c>
      <c r="G331">
        <v>-28.882999999999999</v>
      </c>
      <c r="H331">
        <v>17542</v>
      </c>
      <c r="I331">
        <v>-1</v>
      </c>
      <c r="J331">
        <v>1</v>
      </c>
      <c r="K331" t="s">
        <v>359</v>
      </c>
      <c r="L331" t="s">
        <v>359</v>
      </c>
      <c r="M331" t="s">
        <v>360</v>
      </c>
      <c r="N331">
        <v>1649281083.02</v>
      </c>
      <c r="O331">
        <v>0.186</v>
      </c>
      <c r="P331">
        <v>0.41299999999999998</v>
      </c>
      <c r="Q331">
        <v>62.594999999999999</v>
      </c>
      <c r="R331">
        <v>0</v>
      </c>
      <c r="S331">
        <v>0</v>
      </c>
      <c r="T331">
        <v>1.496</v>
      </c>
      <c r="U331">
        <v>103.898</v>
      </c>
      <c r="V331">
        <v>21.052</v>
      </c>
      <c r="W331">
        <v>2.4940000000000002</v>
      </c>
      <c r="X331">
        <v>97.03</v>
      </c>
      <c r="Y331">
        <v>0.88900000000000001</v>
      </c>
      <c r="Z331">
        <v>0.34200000000000003</v>
      </c>
      <c r="AA331">
        <v>0</v>
      </c>
      <c r="AB331">
        <v>0</v>
      </c>
      <c r="AC331">
        <v>1</v>
      </c>
      <c r="AD331">
        <v>39.938000000000002</v>
      </c>
      <c r="AE331">
        <v>1</v>
      </c>
      <c r="AF331">
        <v>42</v>
      </c>
      <c r="AG331">
        <v>4</v>
      </c>
      <c r="AH331" t="s">
        <v>361</v>
      </c>
      <c r="AI331">
        <v>0</v>
      </c>
    </row>
    <row r="332" spans="1:35" x14ac:dyDescent="0.2">
      <c r="A332">
        <v>331</v>
      </c>
      <c r="B332" t="s">
        <v>820</v>
      </c>
      <c r="C332" t="s">
        <v>824</v>
      </c>
      <c r="D332" t="s">
        <v>402</v>
      </c>
      <c r="E332">
        <v>4</v>
      </c>
      <c r="F332">
        <v>-5.4249999999999998</v>
      </c>
      <c r="G332">
        <v>-28.971</v>
      </c>
      <c r="H332">
        <v>17478</v>
      </c>
      <c r="I332">
        <v>0</v>
      </c>
      <c r="J332">
        <v>1</v>
      </c>
      <c r="K332" t="s">
        <v>359</v>
      </c>
      <c r="L332" t="s">
        <v>359</v>
      </c>
      <c r="M332" t="s">
        <v>360</v>
      </c>
      <c r="N332">
        <v>1649281620.6700001</v>
      </c>
      <c r="O332">
        <v>0.21199999999999999</v>
      </c>
      <c r="P332">
        <v>0.41499999999999998</v>
      </c>
      <c r="Q332">
        <v>60.933</v>
      </c>
      <c r="R332">
        <v>1E-3</v>
      </c>
      <c r="S332">
        <v>1E-3</v>
      </c>
      <c r="T332">
        <v>1.4630000000000001</v>
      </c>
      <c r="U332">
        <v>103.43300000000001</v>
      </c>
      <c r="V332">
        <v>21.292000000000002</v>
      </c>
      <c r="W332">
        <v>2.4340000000000002</v>
      </c>
      <c r="X332">
        <v>96.078000000000003</v>
      </c>
      <c r="Y332">
        <v>0.88400000000000001</v>
      </c>
      <c r="Z332">
        <v>0.376</v>
      </c>
      <c r="AA332">
        <v>0</v>
      </c>
      <c r="AB332">
        <v>0</v>
      </c>
      <c r="AC332">
        <v>1</v>
      </c>
      <c r="AD332">
        <v>40.061999999999998</v>
      </c>
      <c r="AE332">
        <v>1</v>
      </c>
      <c r="AF332">
        <v>42</v>
      </c>
      <c r="AG332">
        <v>4</v>
      </c>
      <c r="AH332" t="s">
        <v>361</v>
      </c>
      <c r="AI332">
        <v>0</v>
      </c>
    </row>
    <row r="333" spans="1:35" x14ac:dyDescent="0.2">
      <c r="A333">
        <v>332</v>
      </c>
      <c r="B333" t="s">
        <v>820</v>
      </c>
      <c r="C333" t="s">
        <v>825</v>
      </c>
      <c r="D333" t="s">
        <v>402</v>
      </c>
      <c r="E333">
        <v>5</v>
      </c>
      <c r="F333">
        <v>-5.4580000000000002</v>
      </c>
      <c r="G333">
        <v>-29.265999999999998</v>
      </c>
      <c r="H333">
        <v>17524</v>
      </c>
      <c r="I333">
        <v>0</v>
      </c>
      <c r="J333">
        <v>1</v>
      </c>
      <c r="K333" t="s">
        <v>359</v>
      </c>
      <c r="L333" t="s">
        <v>359</v>
      </c>
      <c r="M333" t="s">
        <v>360</v>
      </c>
      <c r="N333">
        <v>1649282157.8499999</v>
      </c>
      <c r="O333">
        <v>0.221</v>
      </c>
      <c r="P333">
        <v>0.38500000000000001</v>
      </c>
      <c r="Q333">
        <v>60.756999999999998</v>
      </c>
      <c r="R333">
        <v>0</v>
      </c>
      <c r="S333">
        <v>0</v>
      </c>
      <c r="T333">
        <v>1.45</v>
      </c>
      <c r="U333">
        <v>103.386</v>
      </c>
      <c r="V333">
        <v>21.238</v>
      </c>
      <c r="W333">
        <v>2.548</v>
      </c>
      <c r="X333">
        <v>98.474000000000004</v>
      </c>
      <c r="Y333">
        <v>0.88500000000000001</v>
      </c>
      <c r="Z333">
        <v>0.72599999999999998</v>
      </c>
      <c r="AA333">
        <v>0</v>
      </c>
      <c r="AB333">
        <v>0</v>
      </c>
      <c r="AC333">
        <v>1</v>
      </c>
      <c r="AD333">
        <v>40.125</v>
      </c>
      <c r="AE333">
        <v>1</v>
      </c>
      <c r="AF333">
        <v>42</v>
      </c>
      <c r="AG333">
        <v>4</v>
      </c>
      <c r="AH333" t="s">
        <v>361</v>
      </c>
      <c r="AI333">
        <v>0</v>
      </c>
    </row>
    <row r="334" spans="1:35" x14ac:dyDescent="0.2">
      <c r="A334">
        <v>333</v>
      </c>
      <c r="B334" t="s">
        <v>820</v>
      </c>
      <c r="C334" t="s">
        <v>826</v>
      </c>
      <c r="D334" t="s">
        <v>402</v>
      </c>
      <c r="E334">
        <v>6</v>
      </c>
      <c r="F334">
        <v>-5.4640000000000004</v>
      </c>
      <c r="G334">
        <v>-29.154</v>
      </c>
      <c r="H334">
        <v>17541</v>
      </c>
      <c r="I334">
        <v>0</v>
      </c>
      <c r="J334">
        <v>1</v>
      </c>
      <c r="K334" t="s">
        <v>359</v>
      </c>
      <c r="L334" t="s">
        <v>359</v>
      </c>
      <c r="M334" t="s">
        <v>360</v>
      </c>
      <c r="N334">
        <v>1649282695.4100001</v>
      </c>
      <c r="O334">
        <v>0.20699999999999999</v>
      </c>
      <c r="P334">
        <v>0.35</v>
      </c>
      <c r="Q334">
        <v>60.185000000000002</v>
      </c>
      <c r="R334">
        <v>1E-3</v>
      </c>
      <c r="S334">
        <v>2E-3</v>
      </c>
      <c r="T334">
        <v>1.444</v>
      </c>
      <c r="U334">
        <v>103.751</v>
      </c>
      <c r="V334">
        <v>20.931000000000001</v>
      </c>
      <c r="W334">
        <v>2.536</v>
      </c>
      <c r="X334">
        <v>97.998999999999995</v>
      </c>
      <c r="Y334">
        <v>0.89400000000000002</v>
      </c>
      <c r="Z334">
        <v>0.52</v>
      </c>
      <c r="AA334">
        <v>0</v>
      </c>
      <c r="AB334">
        <v>0</v>
      </c>
      <c r="AC334">
        <v>1</v>
      </c>
      <c r="AD334">
        <v>40.25</v>
      </c>
      <c r="AE334">
        <v>1</v>
      </c>
      <c r="AF334">
        <v>42</v>
      </c>
      <c r="AG334">
        <v>4</v>
      </c>
      <c r="AH334" t="s">
        <v>361</v>
      </c>
      <c r="AI334">
        <v>0</v>
      </c>
    </row>
    <row r="335" spans="1:35" x14ac:dyDescent="0.2">
      <c r="A335">
        <v>334</v>
      </c>
      <c r="B335" t="s">
        <v>827</v>
      </c>
      <c r="C335" t="s">
        <v>828</v>
      </c>
      <c r="D335" t="s">
        <v>403</v>
      </c>
      <c r="E335">
        <v>1</v>
      </c>
      <c r="F335">
        <v>-4.8579999999999997</v>
      </c>
      <c r="G335">
        <v>-24.651</v>
      </c>
      <c r="H335">
        <v>17447</v>
      </c>
      <c r="I335">
        <v>-1</v>
      </c>
      <c r="J335">
        <v>1</v>
      </c>
      <c r="K335" t="s">
        <v>359</v>
      </c>
      <c r="L335" t="s">
        <v>359</v>
      </c>
      <c r="M335" t="s">
        <v>360</v>
      </c>
      <c r="N335">
        <v>1649283232.55</v>
      </c>
      <c r="O335">
        <v>0.22600000000000001</v>
      </c>
      <c r="P335">
        <v>0.371</v>
      </c>
      <c r="Q335">
        <v>61.683999999999997</v>
      </c>
      <c r="R335">
        <v>1E-3</v>
      </c>
      <c r="S335">
        <v>2E-3</v>
      </c>
      <c r="T335">
        <v>1.4770000000000001</v>
      </c>
      <c r="U335">
        <v>102.83499999999999</v>
      </c>
      <c r="V335">
        <v>21.306000000000001</v>
      </c>
      <c r="W335">
        <v>2.5350000000000001</v>
      </c>
      <c r="X335">
        <v>97.908000000000001</v>
      </c>
      <c r="Y335">
        <v>0.89300000000000002</v>
      </c>
      <c r="Z335">
        <v>0.71399999999999997</v>
      </c>
      <c r="AA335">
        <v>0</v>
      </c>
      <c r="AB335">
        <v>0</v>
      </c>
      <c r="AC335">
        <v>1</v>
      </c>
      <c r="AD335">
        <v>40.311999999999998</v>
      </c>
      <c r="AE335">
        <v>1</v>
      </c>
      <c r="AF335">
        <v>43</v>
      </c>
      <c r="AG335">
        <v>4</v>
      </c>
      <c r="AH335" t="s">
        <v>361</v>
      </c>
      <c r="AI335">
        <v>0</v>
      </c>
    </row>
    <row r="336" spans="1:35" x14ac:dyDescent="0.2">
      <c r="A336">
        <v>335</v>
      </c>
      <c r="B336" t="s">
        <v>827</v>
      </c>
      <c r="C336" t="s">
        <v>829</v>
      </c>
      <c r="D336" t="s">
        <v>403</v>
      </c>
      <c r="E336">
        <v>2</v>
      </c>
      <c r="F336">
        <v>-4.8550000000000004</v>
      </c>
      <c r="G336">
        <v>-24.6</v>
      </c>
      <c r="H336">
        <v>17587</v>
      </c>
      <c r="I336">
        <v>-1</v>
      </c>
      <c r="J336">
        <v>1</v>
      </c>
      <c r="K336" t="s">
        <v>359</v>
      </c>
      <c r="L336" t="s">
        <v>359</v>
      </c>
      <c r="M336" t="s">
        <v>360</v>
      </c>
      <c r="N336">
        <v>1649283770.21</v>
      </c>
      <c r="O336">
        <v>0.19800000000000001</v>
      </c>
      <c r="P336">
        <v>0.42699999999999999</v>
      </c>
      <c r="Q336">
        <v>61.235999999999997</v>
      </c>
      <c r="R336">
        <v>0</v>
      </c>
      <c r="S336">
        <v>-2E-3</v>
      </c>
      <c r="T336">
        <v>1.4530000000000001</v>
      </c>
      <c r="U336">
        <v>103.869</v>
      </c>
      <c r="V336">
        <v>21.689</v>
      </c>
      <c r="W336">
        <v>2.508</v>
      </c>
      <c r="X336">
        <v>97.117999999999995</v>
      </c>
      <c r="Y336">
        <v>0.88900000000000001</v>
      </c>
      <c r="Z336">
        <v>0.433</v>
      </c>
      <c r="AA336">
        <v>0</v>
      </c>
      <c r="AB336">
        <v>0</v>
      </c>
      <c r="AC336">
        <v>1</v>
      </c>
      <c r="AD336">
        <v>40.311999999999998</v>
      </c>
      <c r="AE336">
        <v>1</v>
      </c>
      <c r="AF336">
        <v>43</v>
      </c>
      <c r="AG336">
        <v>4</v>
      </c>
      <c r="AH336" t="s">
        <v>361</v>
      </c>
      <c r="AI336">
        <v>0</v>
      </c>
    </row>
    <row r="337" spans="1:35" x14ac:dyDescent="0.2">
      <c r="A337">
        <v>336</v>
      </c>
      <c r="B337" t="s">
        <v>827</v>
      </c>
      <c r="C337" t="s">
        <v>830</v>
      </c>
      <c r="D337" t="s">
        <v>403</v>
      </c>
      <c r="E337">
        <v>3</v>
      </c>
      <c r="F337">
        <v>-4.83</v>
      </c>
      <c r="G337">
        <v>-24.335999999999999</v>
      </c>
      <c r="H337">
        <v>17533</v>
      </c>
      <c r="I337">
        <v>-1</v>
      </c>
      <c r="J337">
        <v>1</v>
      </c>
      <c r="K337" t="s">
        <v>359</v>
      </c>
      <c r="L337" t="s">
        <v>359</v>
      </c>
      <c r="M337" t="s">
        <v>360</v>
      </c>
      <c r="N337">
        <v>1649284307.3</v>
      </c>
      <c r="O337">
        <v>0.19900000000000001</v>
      </c>
      <c r="P337">
        <v>0.38900000000000001</v>
      </c>
      <c r="Q337">
        <v>61.347000000000001</v>
      </c>
      <c r="R337">
        <v>1E-3</v>
      </c>
      <c r="S337">
        <v>0</v>
      </c>
      <c r="T337">
        <v>1.47</v>
      </c>
      <c r="U337">
        <v>103.59399999999999</v>
      </c>
      <c r="V337">
        <v>21.405999999999999</v>
      </c>
      <c r="W337">
        <v>2.4990000000000001</v>
      </c>
      <c r="X337">
        <v>97.049000000000007</v>
      </c>
      <c r="Y337">
        <v>0.89</v>
      </c>
      <c r="Z337">
        <v>0.432</v>
      </c>
      <c r="AA337">
        <v>0</v>
      </c>
      <c r="AB337">
        <v>0</v>
      </c>
      <c r="AC337">
        <v>1</v>
      </c>
      <c r="AD337">
        <v>40.25</v>
      </c>
      <c r="AE337">
        <v>1</v>
      </c>
      <c r="AF337">
        <v>43</v>
      </c>
      <c r="AG337">
        <v>4</v>
      </c>
      <c r="AH337" t="s">
        <v>361</v>
      </c>
      <c r="AI337">
        <v>0</v>
      </c>
    </row>
    <row r="338" spans="1:35" x14ac:dyDescent="0.2">
      <c r="A338">
        <v>337</v>
      </c>
      <c r="B338" t="s">
        <v>827</v>
      </c>
      <c r="C338" t="s">
        <v>831</v>
      </c>
      <c r="D338" t="s">
        <v>403</v>
      </c>
      <c r="E338">
        <v>4</v>
      </c>
      <c r="F338">
        <v>-4.8070000000000004</v>
      </c>
      <c r="G338">
        <v>-24.294</v>
      </c>
      <c r="H338">
        <v>17562</v>
      </c>
      <c r="I338">
        <v>0</v>
      </c>
      <c r="J338">
        <v>1</v>
      </c>
      <c r="K338" t="s">
        <v>359</v>
      </c>
      <c r="L338" t="s">
        <v>359</v>
      </c>
      <c r="M338" t="s">
        <v>360</v>
      </c>
      <c r="N338">
        <v>1649284844.4200001</v>
      </c>
      <c r="O338">
        <v>0.219</v>
      </c>
      <c r="P338">
        <v>0.40400000000000003</v>
      </c>
      <c r="Q338">
        <v>61.223999999999997</v>
      </c>
      <c r="R338">
        <v>0</v>
      </c>
      <c r="S338">
        <v>0</v>
      </c>
      <c r="T338">
        <v>1.46</v>
      </c>
      <c r="U338">
        <v>103.858</v>
      </c>
      <c r="V338">
        <v>21.478000000000002</v>
      </c>
      <c r="W338">
        <v>2.532</v>
      </c>
      <c r="X338">
        <v>96.638999999999996</v>
      </c>
      <c r="Y338">
        <v>0.88600000000000001</v>
      </c>
      <c r="Z338">
        <v>0.32700000000000001</v>
      </c>
      <c r="AA338">
        <v>0</v>
      </c>
      <c r="AB338">
        <v>0</v>
      </c>
      <c r="AC338">
        <v>1</v>
      </c>
      <c r="AD338">
        <v>40.125</v>
      </c>
      <c r="AE338">
        <v>1</v>
      </c>
      <c r="AF338">
        <v>43</v>
      </c>
      <c r="AG338">
        <v>4</v>
      </c>
      <c r="AH338" t="s">
        <v>361</v>
      </c>
      <c r="AI338">
        <v>0</v>
      </c>
    </row>
    <row r="339" spans="1:35" x14ac:dyDescent="0.2">
      <c r="A339">
        <v>338</v>
      </c>
      <c r="B339" t="s">
        <v>827</v>
      </c>
      <c r="C339" t="s">
        <v>832</v>
      </c>
      <c r="D339" t="s">
        <v>403</v>
      </c>
      <c r="E339">
        <v>5</v>
      </c>
      <c r="F339">
        <v>-4.8380000000000001</v>
      </c>
      <c r="G339">
        <v>-24.367999999999999</v>
      </c>
      <c r="H339">
        <v>17537</v>
      </c>
      <c r="I339">
        <v>0</v>
      </c>
      <c r="J339">
        <v>1</v>
      </c>
      <c r="K339" t="s">
        <v>359</v>
      </c>
      <c r="L339" t="s">
        <v>359</v>
      </c>
      <c r="M339" t="s">
        <v>360</v>
      </c>
      <c r="N339">
        <v>1649285381.46</v>
      </c>
      <c r="O339">
        <v>0.20599999999999999</v>
      </c>
      <c r="P339">
        <v>0.39500000000000002</v>
      </c>
      <c r="Q339">
        <v>59.997</v>
      </c>
      <c r="R339">
        <v>1E-3</v>
      </c>
      <c r="S339">
        <v>-1E-3</v>
      </c>
      <c r="T339">
        <v>1.4339999999999999</v>
      </c>
      <c r="U339">
        <v>103.767</v>
      </c>
      <c r="V339">
        <v>21.167999999999999</v>
      </c>
      <c r="W339">
        <v>2.4980000000000002</v>
      </c>
      <c r="X339">
        <v>97.081000000000003</v>
      </c>
      <c r="Y339">
        <v>0.88700000000000001</v>
      </c>
      <c r="Z339">
        <v>0.33500000000000002</v>
      </c>
      <c r="AA339">
        <v>0</v>
      </c>
      <c r="AB339">
        <v>0</v>
      </c>
      <c r="AC339">
        <v>1</v>
      </c>
      <c r="AD339">
        <v>40.125</v>
      </c>
      <c r="AE339">
        <v>1</v>
      </c>
      <c r="AF339">
        <v>43</v>
      </c>
      <c r="AG339">
        <v>4</v>
      </c>
      <c r="AH339" t="s">
        <v>361</v>
      </c>
      <c r="AI339">
        <v>0</v>
      </c>
    </row>
    <row r="340" spans="1:35" x14ac:dyDescent="0.2">
      <c r="A340">
        <v>339</v>
      </c>
      <c r="B340" t="s">
        <v>827</v>
      </c>
      <c r="C340" t="s">
        <v>833</v>
      </c>
      <c r="D340" t="s">
        <v>403</v>
      </c>
      <c r="E340">
        <v>6</v>
      </c>
      <c r="F340">
        <v>-4.8129999999999997</v>
      </c>
      <c r="G340">
        <v>-24.306999999999999</v>
      </c>
      <c r="H340">
        <v>17574</v>
      </c>
      <c r="I340">
        <v>0</v>
      </c>
      <c r="J340">
        <v>1</v>
      </c>
      <c r="K340" t="s">
        <v>359</v>
      </c>
      <c r="L340" t="s">
        <v>359</v>
      </c>
      <c r="M340" t="s">
        <v>360</v>
      </c>
      <c r="N340">
        <v>1649285917.9200001</v>
      </c>
      <c r="O340">
        <v>0.23100000000000001</v>
      </c>
      <c r="P340">
        <v>0.39700000000000002</v>
      </c>
      <c r="Q340">
        <v>61.076999999999998</v>
      </c>
      <c r="R340">
        <v>1E-3</v>
      </c>
      <c r="S340">
        <v>1E-3</v>
      </c>
      <c r="T340">
        <v>1.4550000000000001</v>
      </c>
      <c r="U340">
        <v>103.849</v>
      </c>
      <c r="V340">
        <v>21.326000000000001</v>
      </c>
      <c r="W340">
        <v>2.5070000000000001</v>
      </c>
      <c r="X340">
        <v>97.816000000000003</v>
      </c>
      <c r="Y340">
        <v>0.9</v>
      </c>
      <c r="Z340">
        <v>0.44800000000000001</v>
      </c>
      <c r="AA340">
        <v>0</v>
      </c>
      <c r="AB340">
        <v>0</v>
      </c>
      <c r="AC340">
        <v>1</v>
      </c>
      <c r="AD340">
        <v>40.125</v>
      </c>
      <c r="AE340">
        <v>1</v>
      </c>
      <c r="AF340">
        <v>43</v>
      </c>
      <c r="AG340">
        <v>4</v>
      </c>
      <c r="AH340" t="s">
        <v>361</v>
      </c>
      <c r="AI340">
        <v>0</v>
      </c>
    </row>
    <row r="341" spans="1:35" x14ac:dyDescent="0.2">
      <c r="A341">
        <v>340</v>
      </c>
      <c r="B341" t="s">
        <v>834</v>
      </c>
      <c r="C341" t="s">
        <v>835</v>
      </c>
      <c r="D341" t="s">
        <v>404</v>
      </c>
      <c r="E341">
        <v>1</v>
      </c>
      <c r="F341">
        <v>-4.7370000000000001</v>
      </c>
      <c r="G341">
        <v>-23.568999999999999</v>
      </c>
      <c r="H341">
        <v>17410</v>
      </c>
      <c r="I341">
        <v>-1</v>
      </c>
      <c r="J341">
        <v>1</v>
      </c>
      <c r="K341" t="s">
        <v>359</v>
      </c>
      <c r="L341" t="s">
        <v>359</v>
      </c>
      <c r="M341" t="s">
        <v>360</v>
      </c>
      <c r="N341">
        <v>1649286457.0699999</v>
      </c>
      <c r="O341">
        <v>0.21099999999999999</v>
      </c>
      <c r="P341">
        <v>0.436</v>
      </c>
      <c r="Q341">
        <v>59.814999999999998</v>
      </c>
      <c r="R341">
        <v>0</v>
      </c>
      <c r="S341">
        <v>0</v>
      </c>
      <c r="T341">
        <v>1.43</v>
      </c>
      <c r="U341">
        <v>102.831</v>
      </c>
      <c r="V341">
        <v>21.356999999999999</v>
      </c>
      <c r="W341">
        <v>2.4750000000000001</v>
      </c>
      <c r="X341">
        <v>96.406000000000006</v>
      </c>
      <c r="Y341">
        <v>0.88800000000000001</v>
      </c>
      <c r="Z341">
        <v>0.39700000000000002</v>
      </c>
      <c r="AA341">
        <v>0</v>
      </c>
      <c r="AB341">
        <v>0</v>
      </c>
      <c r="AC341">
        <v>1</v>
      </c>
      <c r="AD341">
        <v>40.125</v>
      </c>
      <c r="AE341">
        <v>1</v>
      </c>
      <c r="AF341">
        <v>44</v>
      </c>
      <c r="AG341">
        <v>4</v>
      </c>
      <c r="AH341" t="s">
        <v>361</v>
      </c>
      <c r="AI341">
        <v>0</v>
      </c>
    </row>
    <row r="342" spans="1:35" x14ac:dyDescent="0.2">
      <c r="A342">
        <v>341</v>
      </c>
      <c r="B342" t="s">
        <v>834</v>
      </c>
      <c r="C342" t="s">
        <v>836</v>
      </c>
      <c r="D342" t="s">
        <v>404</v>
      </c>
      <c r="E342">
        <v>2</v>
      </c>
      <c r="F342">
        <v>-4.7160000000000002</v>
      </c>
      <c r="G342">
        <v>-23.373000000000001</v>
      </c>
      <c r="H342">
        <v>17477</v>
      </c>
      <c r="I342">
        <v>-1</v>
      </c>
      <c r="J342">
        <v>1</v>
      </c>
      <c r="K342" t="s">
        <v>359</v>
      </c>
      <c r="L342" t="s">
        <v>359</v>
      </c>
      <c r="M342" t="s">
        <v>360</v>
      </c>
      <c r="N342">
        <v>1649286993.99</v>
      </c>
      <c r="O342">
        <v>0.20499999999999999</v>
      </c>
      <c r="P342">
        <v>0.41099999999999998</v>
      </c>
      <c r="Q342">
        <v>59.918999999999997</v>
      </c>
      <c r="R342">
        <v>1E-3</v>
      </c>
      <c r="S342">
        <v>1E-3</v>
      </c>
      <c r="T342">
        <v>1.4470000000000001</v>
      </c>
      <c r="U342">
        <v>103.14400000000001</v>
      </c>
      <c r="V342">
        <v>21.327000000000002</v>
      </c>
      <c r="W342">
        <v>2.5379999999999998</v>
      </c>
      <c r="X342">
        <v>97.564999999999998</v>
      </c>
      <c r="Y342">
        <v>0.88900000000000001</v>
      </c>
      <c r="Z342">
        <v>0.53400000000000003</v>
      </c>
      <c r="AA342">
        <v>0</v>
      </c>
      <c r="AB342">
        <v>0</v>
      </c>
      <c r="AC342">
        <v>1</v>
      </c>
      <c r="AD342">
        <v>40.061999999999998</v>
      </c>
      <c r="AE342">
        <v>1</v>
      </c>
      <c r="AF342">
        <v>44</v>
      </c>
      <c r="AG342">
        <v>4</v>
      </c>
      <c r="AH342" t="s">
        <v>361</v>
      </c>
      <c r="AI342">
        <v>0</v>
      </c>
    </row>
    <row r="343" spans="1:35" x14ac:dyDescent="0.2">
      <c r="A343">
        <v>342</v>
      </c>
      <c r="B343" t="s">
        <v>834</v>
      </c>
      <c r="C343" t="s">
        <v>837</v>
      </c>
      <c r="D343" t="s">
        <v>404</v>
      </c>
      <c r="E343">
        <v>3</v>
      </c>
      <c r="F343">
        <v>-4.665</v>
      </c>
      <c r="G343">
        <v>-23.338999999999999</v>
      </c>
      <c r="H343">
        <v>17503</v>
      </c>
      <c r="I343">
        <v>-1</v>
      </c>
      <c r="J343">
        <v>1</v>
      </c>
      <c r="K343" t="s">
        <v>359</v>
      </c>
      <c r="L343" t="s">
        <v>359</v>
      </c>
      <c r="M343" t="s">
        <v>360</v>
      </c>
      <c r="N343">
        <v>1649287531.96</v>
      </c>
      <c r="O343">
        <v>0.21299999999999999</v>
      </c>
      <c r="P343">
        <v>0.41699999999999998</v>
      </c>
      <c r="Q343">
        <v>60.457999999999998</v>
      </c>
      <c r="R343">
        <v>1E-3</v>
      </c>
      <c r="S343">
        <v>-2E-3</v>
      </c>
      <c r="T343">
        <v>1.4450000000000001</v>
      </c>
      <c r="U343">
        <v>103.29900000000001</v>
      </c>
      <c r="V343">
        <v>21.727</v>
      </c>
      <c r="W343">
        <v>2.54</v>
      </c>
      <c r="X343">
        <v>96.430999999999997</v>
      </c>
      <c r="Y343">
        <v>0.88900000000000001</v>
      </c>
      <c r="Z343">
        <v>0.49199999999999999</v>
      </c>
      <c r="AA343">
        <v>0</v>
      </c>
      <c r="AB343">
        <v>0</v>
      </c>
      <c r="AC343">
        <v>1</v>
      </c>
      <c r="AD343">
        <v>40.061999999999998</v>
      </c>
      <c r="AE343">
        <v>1</v>
      </c>
      <c r="AF343">
        <v>44</v>
      </c>
      <c r="AG343">
        <v>4</v>
      </c>
      <c r="AH343" t="s">
        <v>361</v>
      </c>
      <c r="AI343">
        <v>0</v>
      </c>
    </row>
    <row r="344" spans="1:35" x14ac:dyDescent="0.2">
      <c r="A344">
        <v>343</v>
      </c>
      <c r="B344" t="s">
        <v>834</v>
      </c>
      <c r="C344" t="s">
        <v>838</v>
      </c>
      <c r="D344" t="s">
        <v>404</v>
      </c>
      <c r="E344">
        <v>4</v>
      </c>
      <c r="F344">
        <v>-4.7130000000000001</v>
      </c>
      <c r="G344">
        <v>-23.495999999999999</v>
      </c>
      <c r="H344">
        <v>17562</v>
      </c>
      <c r="I344">
        <v>0</v>
      </c>
      <c r="J344">
        <v>1</v>
      </c>
      <c r="K344" t="s">
        <v>359</v>
      </c>
      <c r="L344" t="s">
        <v>359</v>
      </c>
      <c r="M344" t="s">
        <v>360</v>
      </c>
      <c r="N344">
        <v>1649288069.1199999</v>
      </c>
      <c r="O344">
        <v>0.20200000000000001</v>
      </c>
      <c r="P344">
        <v>0.39100000000000001</v>
      </c>
      <c r="Q344">
        <v>60.241999999999997</v>
      </c>
      <c r="R344">
        <v>1E-3</v>
      </c>
      <c r="S344">
        <v>1E-3</v>
      </c>
      <c r="T344">
        <v>1.431</v>
      </c>
      <c r="U344">
        <v>103.89700000000001</v>
      </c>
      <c r="V344">
        <v>21.433</v>
      </c>
      <c r="W344">
        <v>2.468</v>
      </c>
      <c r="X344">
        <v>96.671999999999997</v>
      </c>
      <c r="Y344">
        <v>0.89200000000000002</v>
      </c>
      <c r="Z344">
        <v>0.30299999999999999</v>
      </c>
      <c r="AA344">
        <v>0</v>
      </c>
      <c r="AB344">
        <v>0</v>
      </c>
      <c r="AC344">
        <v>1</v>
      </c>
      <c r="AD344">
        <v>40</v>
      </c>
      <c r="AE344">
        <v>1</v>
      </c>
      <c r="AF344">
        <v>44</v>
      </c>
      <c r="AG344">
        <v>4</v>
      </c>
      <c r="AH344" t="s">
        <v>361</v>
      </c>
      <c r="AI344">
        <v>0</v>
      </c>
    </row>
    <row r="345" spans="1:35" x14ac:dyDescent="0.2">
      <c r="A345">
        <v>344</v>
      </c>
      <c r="B345" t="s">
        <v>834</v>
      </c>
      <c r="C345" t="s">
        <v>839</v>
      </c>
      <c r="D345" t="s">
        <v>404</v>
      </c>
      <c r="E345">
        <v>5</v>
      </c>
      <c r="F345">
        <v>-4.7519999999999998</v>
      </c>
      <c r="G345">
        <v>-23.376000000000001</v>
      </c>
      <c r="H345">
        <v>17431</v>
      </c>
      <c r="I345">
        <v>0</v>
      </c>
      <c r="J345">
        <v>1</v>
      </c>
      <c r="K345" t="s">
        <v>359</v>
      </c>
      <c r="L345" t="s">
        <v>359</v>
      </c>
      <c r="M345" t="s">
        <v>360</v>
      </c>
      <c r="N345">
        <v>1649288606.0799999</v>
      </c>
      <c r="O345">
        <v>0.216</v>
      </c>
      <c r="P345">
        <v>0.41099999999999998</v>
      </c>
      <c r="Q345">
        <v>60.540999999999997</v>
      </c>
      <c r="R345">
        <v>1E-3</v>
      </c>
      <c r="S345">
        <v>0</v>
      </c>
      <c r="T345">
        <v>1.448</v>
      </c>
      <c r="U345">
        <v>102.717</v>
      </c>
      <c r="V345">
        <v>21.524999999999999</v>
      </c>
      <c r="W345">
        <v>2.5249999999999999</v>
      </c>
      <c r="X345">
        <v>97.064999999999998</v>
      </c>
      <c r="Y345">
        <v>0.88700000000000001</v>
      </c>
      <c r="Z345">
        <v>0.64800000000000002</v>
      </c>
      <c r="AA345">
        <v>0</v>
      </c>
      <c r="AB345">
        <v>0</v>
      </c>
      <c r="AC345">
        <v>1</v>
      </c>
      <c r="AD345">
        <v>39.938000000000002</v>
      </c>
      <c r="AE345">
        <v>1</v>
      </c>
      <c r="AF345">
        <v>44</v>
      </c>
      <c r="AG345">
        <v>4</v>
      </c>
      <c r="AH345" t="s">
        <v>361</v>
      </c>
      <c r="AI345">
        <v>0</v>
      </c>
    </row>
    <row r="346" spans="1:35" x14ac:dyDescent="0.2">
      <c r="A346">
        <v>345</v>
      </c>
      <c r="B346" t="s">
        <v>834</v>
      </c>
      <c r="C346" t="s">
        <v>840</v>
      </c>
      <c r="D346" t="s">
        <v>404</v>
      </c>
      <c r="E346">
        <v>6</v>
      </c>
      <c r="F346">
        <v>-4.6870000000000003</v>
      </c>
      <c r="G346">
        <v>-23.378</v>
      </c>
      <c r="H346">
        <v>17512</v>
      </c>
      <c r="I346">
        <v>0</v>
      </c>
      <c r="J346">
        <v>1</v>
      </c>
      <c r="K346" t="s">
        <v>359</v>
      </c>
      <c r="L346" t="s">
        <v>359</v>
      </c>
      <c r="M346" t="s">
        <v>360</v>
      </c>
      <c r="N346">
        <v>1649289143.77</v>
      </c>
      <c r="O346">
        <v>0.23699999999999999</v>
      </c>
      <c r="P346">
        <v>0.36299999999999999</v>
      </c>
      <c r="Q346">
        <v>58.762999999999998</v>
      </c>
      <c r="R346">
        <v>1E-3</v>
      </c>
      <c r="S346">
        <v>0</v>
      </c>
      <c r="T346">
        <v>1.413</v>
      </c>
      <c r="U346">
        <v>103.509</v>
      </c>
      <c r="V346">
        <v>21.565999999999999</v>
      </c>
      <c r="W346">
        <v>2.4660000000000002</v>
      </c>
      <c r="X346">
        <v>96.183999999999997</v>
      </c>
      <c r="Y346">
        <v>0.88200000000000001</v>
      </c>
      <c r="Z346">
        <v>0.3</v>
      </c>
      <c r="AA346">
        <v>0</v>
      </c>
      <c r="AB346">
        <v>0</v>
      </c>
      <c r="AC346">
        <v>1</v>
      </c>
      <c r="AD346">
        <v>39.875</v>
      </c>
      <c r="AE346">
        <v>1</v>
      </c>
      <c r="AF346">
        <v>44</v>
      </c>
      <c r="AG346">
        <v>4</v>
      </c>
      <c r="AH346" t="s">
        <v>361</v>
      </c>
      <c r="AI346">
        <v>0</v>
      </c>
    </row>
    <row r="347" spans="1:35" x14ac:dyDescent="0.2">
      <c r="A347">
        <v>346</v>
      </c>
      <c r="B347" t="s">
        <v>841</v>
      </c>
      <c r="C347" t="s">
        <v>842</v>
      </c>
      <c r="D347" t="s">
        <v>405</v>
      </c>
      <c r="E347">
        <v>1</v>
      </c>
      <c r="F347">
        <v>-4.6429999999999998</v>
      </c>
      <c r="G347">
        <v>-22.884</v>
      </c>
      <c r="H347">
        <v>17439</v>
      </c>
      <c r="I347">
        <v>-1</v>
      </c>
      <c r="J347">
        <v>1</v>
      </c>
      <c r="K347" t="s">
        <v>359</v>
      </c>
      <c r="L347" t="s">
        <v>359</v>
      </c>
      <c r="M347" t="s">
        <v>360</v>
      </c>
      <c r="N347">
        <v>1649289680.54</v>
      </c>
      <c r="O347">
        <v>0.189</v>
      </c>
      <c r="P347">
        <v>0.34799999999999998</v>
      </c>
      <c r="Q347">
        <v>59.872999999999998</v>
      </c>
      <c r="R347">
        <v>0</v>
      </c>
      <c r="S347">
        <v>1E-3</v>
      </c>
      <c r="T347">
        <v>1.43</v>
      </c>
      <c r="U347">
        <v>102.791</v>
      </c>
      <c r="V347">
        <v>21.686</v>
      </c>
      <c r="W347">
        <v>2.5129999999999999</v>
      </c>
      <c r="X347">
        <v>96.725999999999999</v>
      </c>
      <c r="Y347">
        <v>0.88800000000000001</v>
      </c>
      <c r="Z347">
        <v>0.49099999999999999</v>
      </c>
      <c r="AA347">
        <v>0</v>
      </c>
      <c r="AB347">
        <v>0</v>
      </c>
      <c r="AC347">
        <v>1</v>
      </c>
      <c r="AD347">
        <v>39.938000000000002</v>
      </c>
      <c r="AE347">
        <v>1</v>
      </c>
      <c r="AF347">
        <v>45</v>
      </c>
      <c r="AG347">
        <v>4</v>
      </c>
      <c r="AH347" t="s">
        <v>361</v>
      </c>
      <c r="AI347">
        <v>0</v>
      </c>
    </row>
    <row r="348" spans="1:35" x14ac:dyDescent="0.2">
      <c r="A348">
        <v>347</v>
      </c>
      <c r="B348" t="s">
        <v>841</v>
      </c>
      <c r="C348" t="s">
        <v>843</v>
      </c>
      <c r="D348" t="s">
        <v>405</v>
      </c>
      <c r="E348">
        <v>2</v>
      </c>
      <c r="F348">
        <v>-4.6749999999999998</v>
      </c>
      <c r="G348">
        <v>-23.085000000000001</v>
      </c>
      <c r="H348">
        <v>17520</v>
      </c>
      <c r="I348">
        <v>-1</v>
      </c>
      <c r="J348">
        <v>1</v>
      </c>
      <c r="K348" t="s">
        <v>359</v>
      </c>
      <c r="L348" t="s">
        <v>359</v>
      </c>
      <c r="M348" t="s">
        <v>360</v>
      </c>
      <c r="N348">
        <v>1649290218.5999999</v>
      </c>
      <c r="O348">
        <v>0.22500000000000001</v>
      </c>
      <c r="P348">
        <v>0.39</v>
      </c>
      <c r="Q348">
        <v>58.847999999999999</v>
      </c>
      <c r="R348">
        <v>1E-3</v>
      </c>
      <c r="S348">
        <v>0</v>
      </c>
      <c r="T348">
        <v>1.4139999999999999</v>
      </c>
      <c r="U348">
        <v>103.325</v>
      </c>
      <c r="V348">
        <v>21.55</v>
      </c>
      <c r="W348">
        <v>2.556</v>
      </c>
      <c r="X348">
        <v>97.66</v>
      </c>
      <c r="Y348">
        <v>0.878</v>
      </c>
      <c r="Z348">
        <v>0.58399999999999996</v>
      </c>
      <c r="AA348">
        <v>0</v>
      </c>
      <c r="AB348">
        <v>0</v>
      </c>
      <c r="AC348">
        <v>1</v>
      </c>
      <c r="AD348">
        <v>39.938000000000002</v>
      </c>
      <c r="AE348">
        <v>1</v>
      </c>
      <c r="AF348">
        <v>45</v>
      </c>
      <c r="AG348">
        <v>4</v>
      </c>
      <c r="AH348" t="s">
        <v>361</v>
      </c>
      <c r="AI348">
        <v>0</v>
      </c>
    </row>
    <row r="349" spans="1:35" x14ac:dyDescent="0.2">
      <c r="A349">
        <v>348</v>
      </c>
      <c r="B349" t="s">
        <v>841</v>
      </c>
      <c r="C349" t="s">
        <v>844</v>
      </c>
      <c r="D349" t="s">
        <v>405</v>
      </c>
      <c r="E349">
        <v>3</v>
      </c>
      <c r="F349">
        <v>-4.673</v>
      </c>
      <c r="G349">
        <v>-22.861000000000001</v>
      </c>
      <c r="H349">
        <v>17507</v>
      </c>
      <c r="I349">
        <v>-1</v>
      </c>
      <c r="J349">
        <v>1</v>
      </c>
      <c r="K349" t="s">
        <v>359</v>
      </c>
      <c r="L349" t="s">
        <v>359</v>
      </c>
      <c r="M349" t="s">
        <v>360</v>
      </c>
      <c r="N349">
        <v>1649290755.97</v>
      </c>
      <c r="O349">
        <v>0.21299999999999999</v>
      </c>
      <c r="P349">
        <v>0.38500000000000001</v>
      </c>
      <c r="Q349">
        <v>61.433999999999997</v>
      </c>
      <c r="R349">
        <v>1E-3</v>
      </c>
      <c r="S349">
        <v>0</v>
      </c>
      <c r="T349">
        <v>1.476</v>
      </c>
      <c r="U349">
        <v>103.295</v>
      </c>
      <c r="V349">
        <v>21.199000000000002</v>
      </c>
      <c r="W349">
        <v>2.528</v>
      </c>
      <c r="X349">
        <v>98.453999999999994</v>
      </c>
      <c r="Y349">
        <v>0.88300000000000001</v>
      </c>
      <c r="Z349">
        <v>0.70299999999999996</v>
      </c>
      <c r="AA349">
        <v>0</v>
      </c>
      <c r="AB349">
        <v>0</v>
      </c>
      <c r="AC349">
        <v>1</v>
      </c>
      <c r="AD349">
        <v>39.875</v>
      </c>
      <c r="AE349">
        <v>1</v>
      </c>
      <c r="AF349">
        <v>45</v>
      </c>
      <c r="AG349">
        <v>4</v>
      </c>
      <c r="AH349" t="s">
        <v>361</v>
      </c>
      <c r="AI349">
        <v>0</v>
      </c>
    </row>
    <row r="350" spans="1:35" x14ac:dyDescent="0.2">
      <c r="A350">
        <v>349</v>
      </c>
      <c r="B350" t="s">
        <v>841</v>
      </c>
      <c r="C350" t="s">
        <v>845</v>
      </c>
      <c r="D350" t="s">
        <v>405</v>
      </c>
      <c r="E350">
        <v>4</v>
      </c>
      <c r="F350">
        <v>-4.6340000000000003</v>
      </c>
      <c r="G350">
        <v>-22.905000000000001</v>
      </c>
      <c r="H350">
        <v>17515</v>
      </c>
      <c r="I350">
        <v>0</v>
      </c>
      <c r="J350">
        <v>1</v>
      </c>
      <c r="K350" t="s">
        <v>359</v>
      </c>
      <c r="L350" t="s">
        <v>359</v>
      </c>
      <c r="M350" t="s">
        <v>360</v>
      </c>
      <c r="N350">
        <v>1649291292.98</v>
      </c>
      <c r="O350">
        <v>0.21199999999999999</v>
      </c>
      <c r="P350">
        <v>0.38500000000000001</v>
      </c>
      <c r="Q350">
        <v>60.683999999999997</v>
      </c>
      <c r="R350">
        <v>1E-3</v>
      </c>
      <c r="S350">
        <v>0</v>
      </c>
      <c r="T350">
        <v>1.4510000000000001</v>
      </c>
      <c r="U350">
        <v>103.321</v>
      </c>
      <c r="V350">
        <v>21.414000000000001</v>
      </c>
      <c r="W350">
        <v>2.5150000000000001</v>
      </c>
      <c r="X350">
        <v>97.88</v>
      </c>
      <c r="Y350">
        <v>0.88300000000000001</v>
      </c>
      <c r="Z350">
        <v>0.59299999999999997</v>
      </c>
      <c r="AA350">
        <v>0</v>
      </c>
      <c r="AB350">
        <v>0</v>
      </c>
      <c r="AC350">
        <v>1</v>
      </c>
      <c r="AD350">
        <v>39.938000000000002</v>
      </c>
      <c r="AE350">
        <v>1</v>
      </c>
      <c r="AF350">
        <v>45</v>
      </c>
      <c r="AG350">
        <v>4</v>
      </c>
      <c r="AH350" t="s">
        <v>361</v>
      </c>
      <c r="AI350">
        <v>0</v>
      </c>
    </row>
    <row r="351" spans="1:35" x14ac:dyDescent="0.2">
      <c r="A351">
        <v>350</v>
      </c>
      <c r="B351" t="s">
        <v>841</v>
      </c>
      <c r="C351" t="s">
        <v>846</v>
      </c>
      <c r="D351" t="s">
        <v>405</v>
      </c>
      <c r="E351">
        <v>5</v>
      </c>
      <c r="F351">
        <v>-4.6580000000000004</v>
      </c>
      <c r="G351">
        <v>-22.989000000000001</v>
      </c>
      <c r="H351">
        <v>17486</v>
      </c>
      <c r="I351">
        <v>0</v>
      </c>
      <c r="J351">
        <v>1</v>
      </c>
      <c r="K351" t="s">
        <v>359</v>
      </c>
      <c r="L351" t="s">
        <v>359</v>
      </c>
      <c r="M351" t="s">
        <v>360</v>
      </c>
      <c r="N351">
        <v>1649291830.9300001</v>
      </c>
      <c r="O351">
        <v>0.19800000000000001</v>
      </c>
      <c r="P351">
        <v>0.373</v>
      </c>
      <c r="Q351">
        <v>61.515000000000001</v>
      </c>
      <c r="R351">
        <v>1E-3</v>
      </c>
      <c r="S351">
        <v>1E-3</v>
      </c>
      <c r="T351">
        <v>1.466</v>
      </c>
      <c r="U351">
        <v>103.262</v>
      </c>
      <c r="V351">
        <v>21.524000000000001</v>
      </c>
      <c r="W351">
        <v>2.5089999999999999</v>
      </c>
      <c r="X351">
        <v>96.518000000000001</v>
      </c>
      <c r="Y351">
        <v>0.88600000000000001</v>
      </c>
      <c r="Z351">
        <v>0.40400000000000003</v>
      </c>
      <c r="AA351">
        <v>0</v>
      </c>
      <c r="AB351">
        <v>0</v>
      </c>
      <c r="AC351">
        <v>1</v>
      </c>
      <c r="AD351">
        <v>39.938000000000002</v>
      </c>
      <c r="AE351">
        <v>1</v>
      </c>
      <c r="AF351">
        <v>45</v>
      </c>
      <c r="AG351">
        <v>4</v>
      </c>
      <c r="AH351" t="s">
        <v>361</v>
      </c>
      <c r="AI351">
        <v>0</v>
      </c>
    </row>
    <row r="352" spans="1:35" x14ac:dyDescent="0.2">
      <c r="A352">
        <v>351</v>
      </c>
      <c r="B352" t="s">
        <v>841</v>
      </c>
      <c r="C352" t="s">
        <v>847</v>
      </c>
      <c r="D352" t="s">
        <v>405</v>
      </c>
      <c r="E352">
        <v>6</v>
      </c>
      <c r="F352">
        <v>-4.6669999999999998</v>
      </c>
      <c r="G352">
        <v>-23.016999999999999</v>
      </c>
      <c r="H352">
        <v>17489</v>
      </c>
      <c r="I352">
        <v>0</v>
      </c>
      <c r="J352">
        <v>1</v>
      </c>
      <c r="K352" t="s">
        <v>359</v>
      </c>
      <c r="L352" t="s">
        <v>359</v>
      </c>
      <c r="M352" t="s">
        <v>360</v>
      </c>
      <c r="N352">
        <v>1649292368.3800001</v>
      </c>
      <c r="O352">
        <v>0.19600000000000001</v>
      </c>
      <c r="P352">
        <v>0.38100000000000001</v>
      </c>
      <c r="Q352">
        <v>60.149000000000001</v>
      </c>
      <c r="R352">
        <v>1E-3</v>
      </c>
      <c r="S352">
        <v>0</v>
      </c>
      <c r="T352">
        <v>1.44</v>
      </c>
      <c r="U352">
        <v>103.22799999999999</v>
      </c>
      <c r="V352">
        <v>21.841000000000001</v>
      </c>
      <c r="W352">
        <v>2.488</v>
      </c>
      <c r="X352">
        <v>95.78</v>
      </c>
      <c r="Y352">
        <v>0.88600000000000001</v>
      </c>
      <c r="Z352">
        <v>0.27100000000000002</v>
      </c>
      <c r="AA352">
        <v>0</v>
      </c>
      <c r="AB352">
        <v>0</v>
      </c>
      <c r="AC352">
        <v>1</v>
      </c>
      <c r="AD352">
        <v>39.938000000000002</v>
      </c>
      <c r="AE352">
        <v>1</v>
      </c>
      <c r="AF352">
        <v>45</v>
      </c>
      <c r="AG352">
        <v>4</v>
      </c>
      <c r="AH352" t="s">
        <v>361</v>
      </c>
      <c r="AI352">
        <v>0</v>
      </c>
    </row>
    <row r="353" spans="1:35" x14ac:dyDescent="0.2">
      <c r="A353">
        <v>352</v>
      </c>
      <c r="B353" t="s">
        <v>848</v>
      </c>
      <c r="C353" t="s">
        <v>849</v>
      </c>
      <c r="D353" t="s">
        <v>406</v>
      </c>
      <c r="E353">
        <v>1</v>
      </c>
      <c r="F353">
        <v>-4.6310000000000002</v>
      </c>
      <c r="G353">
        <v>-22.571000000000002</v>
      </c>
      <c r="H353">
        <v>17427</v>
      </c>
      <c r="I353">
        <v>-1</v>
      </c>
      <c r="J353">
        <v>1</v>
      </c>
      <c r="K353" t="s">
        <v>359</v>
      </c>
      <c r="L353" t="s">
        <v>359</v>
      </c>
      <c r="M353" t="s">
        <v>360</v>
      </c>
      <c r="N353">
        <v>1649292905.0799999</v>
      </c>
      <c r="O353">
        <v>0.218</v>
      </c>
      <c r="P353">
        <v>0.39</v>
      </c>
      <c r="Q353">
        <v>61.188000000000002</v>
      </c>
      <c r="R353">
        <v>0</v>
      </c>
      <c r="S353">
        <v>1E-3</v>
      </c>
      <c r="T353">
        <v>1.4590000000000001</v>
      </c>
      <c r="U353">
        <v>103.127</v>
      </c>
      <c r="V353">
        <v>21.167999999999999</v>
      </c>
      <c r="W353">
        <v>2.4670000000000001</v>
      </c>
      <c r="X353">
        <v>96.016000000000005</v>
      </c>
      <c r="Y353">
        <v>0.88800000000000001</v>
      </c>
      <c r="Z353">
        <v>0.29399999999999998</v>
      </c>
      <c r="AA353">
        <v>0</v>
      </c>
      <c r="AB353">
        <v>0</v>
      </c>
      <c r="AC353">
        <v>1</v>
      </c>
      <c r="AD353">
        <v>39.938000000000002</v>
      </c>
      <c r="AE353">
        <v>1</v>
      </c>
      <c r="AF353">
        <v>46</v>
      </c>
      <c r="AG353">
        <v>4</v>
      </c>
      <c r="AH353" t="s">
        <v>361</v>
      </c>
      <c r="AI353">
        <v>0</v>
      </c>
    </row>
    <row r="354" spans="1:35" x14ac:dyDescent="0.2">
      <c r="A354">
        <v>353</v>
      </c>
      <c r="B354" t="s">
        <v>848</v>
      </c>
      <c r="C354" t="s">
        <v>850</v>
      </c>
      <c r="D354" t="s">
        <v>406</v>
      </c>
      <c r="E354">
        <v>2</v>
      </c>
      <c r="F354">
        <v>-4.6180000000000003</v>
      </c>
      <c r="G354">
        <v>-22.731000000000002</v>
      </c>
      <c r="H354">
        <v>17586</v>
      </c>
      <c r="I354">
        <v>-1</v>
      </c>
      <c r="J354">
        <v>1</v>
      </c>
      <c r="K354" t="s">
        <v>359</v>
      </c>
      <c r="L354" t="s">
        <v>359</v>
      </c>
      <c r="M354" t="s">
        <v>360</v>
      </c>
      <c r="N354">
        <v>1649293443.6500001</v>
      </c>
      <c r="O354">
        <v>0.19600000000000001</v>
      </c>
      <c r="P354">
        <v>0.373</v>
      </c>
      <c r="Q354">
        <v>61.503999999999998</v>
      </c>
      <c r="R354">
        <v>1E-3</v>
      </c>
      <c r="S354">
        <v>1E-3</v>
      </c>
      <c r="T354">
        <v>1.474</v>
      </c>
      <c r="U354">
        <v>103.837</v>
      </c>
      <c r="V354">
        <v>21.55</v>
      </c>
      <c r="W354">
        <v>2.5</v>
      </c>
      <c r="X354">
        <v>97.811000000000007</v>
      </c>
      <c r="Y354">
        <v>0.88700000000000001</v>
      </c>
      <c r="Z354">
        <v>0.52</v>
      </c>
      <c r="AA354">
        <v>0</v>
      </c>
      <c r="AB354">
        <v>0</v>
      </c>
      <c r="AC354">
        <v>1</v>
      </c>
      <c r="AD354">
        <v>40</v>
      </c>
      <c r="AE354">
        <v>1</v>
      </c>
      <c r="AF354">
        <v>46</v>
      </c>
      <c r="AG354">
        <v>4</v>
      </c>
      <c r="AH354" t="s">
        <v>361</v>
      </c>
      <c r="AI354">
        <v>0</v>
      </c>
    </row>
    <row r="355" spans="1:35" x14ac:dyDescent="0.2">
      <c r="A355">
        <v>354</v>
      </c>
      <c r="B355" t="s">
        <v>848</v>
      </c>
      <c r="C355" t="s">
        <v>851</v>
      </c>
      <c r="D355" t="s">
        <v>406</v>
      </c>
      <c r="E355">
        <v>3</v>
      </c>
      <c r="F355">
        <v>-4.5949999999999998</v>
      </c>
      <c r="G355">
        <v>-22.579000000000001</v>
      </c>
      <c r="H355">
        <v>17643</v>
      </c>
      <c r="I355">
        <v>-1</v>
      </c>
      <c r="J355">
        <v>1</v>
      </c>
      <c r="K355" t="s">
        <v>359</v>
      </c>
      <c r="L355" t="s">
        <v>359</v>
      </c>
      <c r="M355" t="s">
        <v>360</v>
      </c>
      <c r="N355">
        <v>1649293980.8699999</v>
      </c>
      <c r="O355">
        <v>0.19800000000000001</v>
      </c>
      <c r="P355">
        <v>0.38200000000000001</v>
      </c>
      <c r="Q355">
        <v>59.305</v>
      </c>
      <c r="R355">
        <v>0</v>
      </c>
      <c r="S355">
        <v>-2E-3</v>
      </c>
      <c r="T355">
        <v>1.417</v>
      </c>
      <c r="U355">
        <v>104.45099999999999</v>
      </c>
      <c r="V355">
        <v>21.327000000000002</v>
      </c>
      <c r="W355">
        <v>2.5289999999999999</v>
      </c>
      <c r="X355">
        <v>97.33</v>
      </c>
      <c r="Y355">
        <v>0.89400000000000002</v>
      </c>
      <c r="Z355">
        <v>0.311</v>
      </c>
      <c r="AA355">
        <v>0</v>
      </c>
      <c r="AB355">
        <v>0</v>
      </c>
      <c r="AC355">
        <v>1</v>
      </c>
      <c r="AD355">
        <v>39.938000000000002</v>
      </c>
      <c r="AE355">
        <v>1</v>
      </c>
      <c r="AF355">
        <v>46</v>
      </c>
      <c r="AG355">
        <v>4</v>
      </c>
      <c r="AH355" t="s">
        <v>361</v>
      </c>
      <c r="AI355">
        <v>0</v>
      </c>
    </row>
    <row r="356" spans="1:35" x14ac:dyDescent="0.2">
      <c r="A356">
        <v>355</v>
      </c>
      <c r="B356" t="s">
        <v>848</v>
      </c>
      <c r="C356" t="s">
        <v>852</v>
      </c>
      <c r="D356" t="s">
        <v>406</v>
      </c>
      <c r="E356">
        <v>4</v>
      </c>
      <c r="F356">
        <v>-4.6020000000000003</v>
      </c>
      <c r="G356">
        <v>-22.763999999999999</v>
      </c>
      <c r="H356">
        <v>17591</v>
      </c>
      <c r="I356">
        <v>0</v>
      </c>
      <c r="J356">
        <v>1</v>
      </c>
      <c r="K356" t="s">
        <v>359</v>
      </c>
      <c r="L356" t="s">
        <v>359</v>
      </c>
      <c r="M356" t="s">
        <v>360</v>
      </c>
      <c r="N356">
        <v>1649294517.5599999</v>
      </c>
      <c r="O356">
        <v>0.20100000000000001</v>
      </c>
      <c r="P356">
        <v>0.39100000000000001</v>
      </c>
      <c r="Q356">
        <v>60.591000000000001</v>
      </c>
      <c r="R356">
        <v>1E-3</v>
      </c>
      <c r="S356">
        <v>0</v>
      </c>
      <c r="T356">
        <v>1.456</v>
      </c>
      <c r="U356">
        <v>103.88800000000001</v>
      </c>
      <c r="V356">
        <v>21.510999999999999</v>
      </c>
      <c r="W356">
        <v>2.5470000000000002</v>
      </c>
      <c r="X356">
        <v>98.031000000000006</v>
      </c>
      <c r="Y356">
        <v>0.88500000000000001</v>
      </c>
      <c r="Z356">
        <v>0.51400000000000001</v>
      </c>
      <c r="AA356">
        <v>0</v>
      </c>
      <c r="AB356">
        <v>0</v>
      </c>
      <c r="AC356">
        <v>1</v>
      </c>
      <c r="AD356">
        <v>39.938000000000002</v>
      </c>
      <c r="AE356">
        <v>1</v>
      </c>
      <c r="AF356">
        <v>46</v>
      </c>
      <c r="AG356">
        <v>4</v>
      </c>
      <c r="AH356" t="s">
        <v>361</v>
      </c>
      <c r="AI356">
        <v>0</v>
      </c>
    </row>
    <row r="357" spans="1:35" x14ac:dyDescent="0.2">
      <c r="A357">
        <v>356</v>
      </c>
      <c r="B357" t="s">
        <v>848</v>
      </c>
      <c r="C357" t="s">
        <v>853</v>
      </c>
      <c r="D357" t="s">
        <v>406</v>
      </c>
      <c r="E357">
        <v>5</v>
      </c>
      <c r="F357">
        <v>-4.6230000000000002</v>
      </c>
      <c r="G357">
        <v>-22.678999999999998</v>
      </c>
      <c r="H357">
        <v>17422</v>
      </c>
      <c r="I357">
        <v>0</v>
      </c>
      <c r="J357">
        <v>1</v>
      </c>
      <c r="K357" t="s">
        <v>359</v>
      </c>
      <c r="L357" t="s">
        <v>359</v>
      </c>
      <c r="M357" t="s">
        <v>360</v>
      </c>
      <c r="N357">
        <v>1649295055.98</v>
      </c>
      <c r="O357">
        <v>0.19700000000000001</v>
      </c>
      <c r="P357">
        <v>0.40500000000000003</v>
      </c>
      <c r="Q357">
        <v>60.206000000000003</v>
      </c>
      <c r="R357">
        <v>0</v>
      </c>
      <c r="S357">
        <v>-1E-3</v>
      </c>
      <c r="T357">
        <v>1.4390000000000001</v>
      </c>
      <c r="U357">
        <v>102.68300000000001</v>
      </c>
      <c r="V357">
        <v>21.821999999999999</v>
      </c>
      <c r="W357">
        <v>2.4910000000000001</v>
      </c>
      <c r="X357">
        <v>96.066000000000003</v>
      </c>
      <c r="Y357">
        <v>0.88200000000000001</v>
      </c>
      <c r="Z357">
        <v>0.44900000000000001</v>
      </c>
      <c r="AA357">
        <v>0</v>
      </c>
      <c r="AB357">
        <v>0</v>
      </c>
      <c r="AC357">
        <v>1</v>
      </c>
      <c r="AD357">
        <v>39.875</v>
      </c>
      <c r="AE357">
        <v>1</v>
      </c>
      <c r="AF357">
        <v>46</v>
      </c>
      <c r="AG357">
        <v>4</v>
      </c>
      <c r="AH357" t="s">
        <v>361</v>
      </c>
      <c r="AI357">
        <v>0</v>
      </c>
    </row>
    <row r="358" spans="1:35" x14ac:dyDescent="0.2">
      <c r="A358">
        <v>357</v>
      </c>
      <c r="B358" t="s">
        <v>848</v>
      </c>
      <c r="C358" t="s">
        <v>854</v>
      </c>
      <c r="D358" t="s">
        <v>406</v>
      </c>
      <c r="E358">
        <v>6</v>
      </c>
      <c r="F358">
        <v>-4.62</v>
      </c>
      <c r="G358">
        <v>-22.73</v>
      </c>
      <c r="H358">
        <v>17477</v>
      </c>
      <c r="I358">
        <v>0</v>
      </c>
      <c r="J358">
        <v>1</v>
      </c>
      <c r="K358" t="s">
        <v>359</v>
      </c>
      <c r="L358" t="s">
        <v>359</v>
      </c>
      <c r="M358" t="s">
        <v>360</v>
      </c>
      <c r="N358">
        <v>1649295592.5999999</v>
      </c>
      <c r="O358">
        <v>0.221</v>
      </c>
      <c r="P358">
        <v>0.39900000000000002</v>
      </c>
      <c r="Q358">
        <v>61.051000000000002</v>
      </c>
      <c r="R358">
        <v>0</v>
      </c>
      <c r="S358">
        <v>1E-3</v>
      </c>
      <c r="T358">
        <v>1.46</v>
      </c>
      <c r="U358">
        <v>102.98699999999999</v>
      </c>
      <c r="V358">
        <v>21.745999999999999</v>
      </c>
      <c r="W358">
        <v>2.5019999999999998</v>
      </c>
      <c r="X358">
        <v>97.027000000000001</v>
      </c>
      <c r="Y358">
        <v>0.88600000000000001</v>
      </c>
      <c r="Z358">
        <v>0.61599999999999999</v>
      </c>
      <c r="AA358">
        <v>0</v>
      </c>
      <c r="AB358">
        <v>0</v>
      </c>
      <c r="AC358">
        <v>1</v>
      </c>
      <c r="AD358">
        <v>39.875</v>
      </c>
      <c r="AE358">
        <v>1</v>
      </c>
      <c r="AF358">
        <v>46</v>
      </c>
      <c r="AG358">
        <v>4</v>
      </c>
      <c r="AH358" t="s">
        <v>361</v>
      </c>
      <c r="AI358">
        <v>0</v>
      </c>
    </row>
    <row r="359" spans="1:35" x14ac:dyDescent="0.2">
      <c r="A359">
        <v>358</v>
      </c>
      <c r="B359" t="s">
        <v>855</v>
      </c>
      <c r="C359" t="s">
        <v>856</v>
      </c>
      <c r="D359" t="s">
        <v>407</v>
      </c>
      <c r="E359">
        <v>1</v>
      </c>
      <c r="F359">
        <v>-4.6609999999999996</v>
      </c>
      <c r="G359">
        <v>-23.173999999999999</v>
      </c>
      <c r="H359">
        <v>17506</v>
      </c>
      <c r="I359">
        <v>-1</v>
      </c>
      <c r="J359">
        <v>1</v>
      </c>
      <c r="K359" t="s">
        <v>359</v>
      </c>
      <c r="L359" t="s">
        <v>359</v>
      </c>
      <c r="M359" t="s">
        <v>360</v>
      </c>
      <c r="N359">
        <v>1649296129.8399999</v>
      </c>
      <c r="O359">
        <v>0.19</v>
      </c>
      <c r="P359">
        <v>0.41199999999999998</v>
      </c>
      <c r="Q359">
        <v>60.765999999999998</v>
      </c>
      <c r="R359">
        <v>0</v>
      </c>
      <c r="S359">
        <v>0</v>
      </c>
      <c r="T359">
        <v>1.4550000000000001</v>
      </c>
      <c r="U359">
        <v>103.254</v>
      </c>
      <c r="V359">
        <v>21.338999999999999</v>
      </c>
      <c r="W359">
        <v>2.57</v>
      </c>
      <c r="X359">
        <v>98.057000000000002</v>
      </c>
      <c r="Y359">
        <v>0.88300000000000001</v>
      </c>
      <c r="Z359">
        <v>0.68899999999999995</v>
      </c>
      <c r="AA359">
        <v>0</v>
      </c>
      <c r="AB359">
        <v>0</v>
      </c>
      <c r="AC359">
        <v>1</v>
      </c>
      <c r="AD359">
        <v>39.875</v>
      </c>
      <c r="AE359">
        <v>1</v>
      </c>
      <c r="AF359">
        <v>47</v>
      </c>
      <c r="AG359">
        <v>4</v>
      </c>
      <c r="AH359" t="s">
        <v>361</v>
      </c>
      <c r="AI359">
        <v>0</v>
      </c>
    </row>
    <row r="360" spans="1:35" x14ac:dyDescent="0.2">
      <c r="A360">
        <v>359</v>
      </c>
      <c r="B360" t="s">
        <v>855</v>
      </c>
      <c r="C360" t="s">
        <v>857</v>
      </c>
      <c r="D360" t="s">
        <v>407</v>
      </c>
      <c r="E360">
        <v>2</v>
      </c>
      <c r="F360">
        <v>-4.6449999999999996</v>
      </c>
      <c r="G360">
        <v>-22.864000000000001</v>
      </c>
      <c r="H360">
        <v>17601</v>
      </c>
      <c r="I360">
        <v>-1</v>
      </c>
      <c r="J360">
        <v>1</v>
      </c>
      <c r="K360" t="s">
        <v>359</v>
      </c>
      <c r="L360" t="s">
        <v>359</v>
      </c>
      <c r="M360" t="s">
        <v>360</v>
      </c>
      <c r="N360">
        <v>1649296667.3900001</v>
      </c>
      <c r="O360">
        <v>0.22</v>
      </c>
      <c r="P360">
        <v>0.40100000000000002</v>
      </c>
      <c r="Q360">
        <v>61.17</v>
      </c>
      <c r="R360">
        <v>1E-3</v>
      </c>
      <c r="S360">
        <v>1E-3</v>
      </c>
      <c r="T360">
        <v>1.458</v>
      </c>
      <c r="U360">
        <v>103.81699999999999</v>
      </c>
      <c r="V360">
        <v>21.963000000000001</v>
      </c>
      <c r="W360">
        <v>2.5289999999999999</v>
      </c>
      <c r="X360">
        <v>97.13</v>
      </c>
      <c r="Y360">
        <v>0.88700000000000001</v>
      </c>
      <c r="Z360">
        <v>0.48699999999999999</v>
      </c>
      <c r="AA360">
        <v>0</v>
      </c>
      <c r="AB360">
        <v>0</v>
      </c>
      <c r="AC360">
        <v>1</v>
      </c>
      <c r="AD360">
        <v>39.875</v>
      </c>
      <c r="AE360">
        <v>1</v>
      </c>
      <c r="AF360">
        <v>47</v>
      </c>
      <c r="AG360">
        <v>4</v>
      </c>
      <c r="AH360" t="s">
        <v>361</v>
      </c>
      <c r="AI360">
        <v>0</v>
      </c>
    </row>
    <row r="361" spans="1:35" x14ac:dyDescent="0.2">
      <c r="A361">
        <v>360</v>
      </c>
      <c r="B361" t="s">
        <v>855</v>
      </c>
      <c r="C361" t="s">
        <v>858</v>
      </c>
      <c r="D361" t="s">
        <v>407</v>
      </c>
      <c r="E361">
        <v>3</v>
      </c>
      <c r="F361">
        <v>-4.7140000000000004</v>
      </c>
      <c r="G361">
        <v>-23.286000000000001</v>
      </c>
      <c r="H361">
        <v>17426</v>
      </c>
      <c r="I361">
        <v>-1</v>
      </c>
      <c r="J361">
        <v>1</v>
      </c>
      <c r="K361" t="s">
        <v>359</v>
      </c>
      <c r="L361" t="s">
        <v>359</v>
      </c>
      <c r="M361" t="s">
        <v>360</v>
      </c>
      <c r="N361">
        <v>1649297205.1300001</v>
      </c>
      <c r="O361">
        <v>0.21</v>
      </c>
      <c r="P361">
        <v>0.41599999999999998</v>
      </c>
      <c r="Q361">
        <v>60.063000000000002</v>
      </c>
      <c r="R361">
        <v>1E-3</v>
      </c>
      <c r="S361">
        <v>1E-3</v>
      </c>
      <c r="T361">
        <v>1.4350000000000001</v>
      </c>
      <c r="U361">
        <v>102.944</v>
      </c>
      <c r="V361">
        <v>21.332000000000001</v>
      </c>
      <c r="W361">
        <v>2.468</v>
      </c>
      <c r="X361">
        <v>96.287000000000006</v>
      </c>
      <c r="Y361">
        <v>0.878</v>
      </c>
      <c r="Z361">
        <v>0.35099999999999998</v>
      </c>
      <c r="AA361">
        <v>0</v>
      </c>
      <c r="AB361">
        <v>0</v>
      </c>
      <c r="AC361">
        <v>1</v>
      </c>
      <c r="AD361">
        <v>39.875</v>
      </c>
      <c r="AE361">
        <v>1</v>
      </c>
      <c r="AF361">
        <v>47</v>
      </c>
      <c r="AG361">
        <v>4</v>
      </c>
      <c r="AH361" t="s">
        <v>361</v>
      </c>
      <c r="AI361">
        <v>0</v>
      </c>
    </row>
    <row r="362" spans="1:35" x14ac:dyDescent="0.2">
      <c r="A362">
        <v>361</v>
      </c>
      <c r="B362" t="s">
        <v>855</v>
      </c>
      <c r="C362" t="s">
        <v>859</v>
      </c>
      <c r="D362" t="s">
        <v>407</v>
      </c>
      <c r="E362">
        <v>4</v>
      </c>
      <c r="F362">
        <v>-4.633</v>
      </c>
      <c r="G362">
        <v>-23.172000000000001</v>
      </c>
      <c r="H362">
        <v>17578</v>
      </c>
      <c r="I362">
        <v>0</v>
      </c>
      <c r="J362">
        <v>1</v>
      </c>
      <c r="K362" t="s">
        <v>359</v>
      </c>
      <c r="L362" t="s">
        <v>359</v>
      </c>
      <c r="M362" t="s">
        <v>360</v>
      </c>
      <c r="N362">
        <v>1649297741.4300001</v>
      </c>
      <c r="O362">
        <v>0.193</v>
      </c>
      <c r="P362">
        <v>0.41899999999999998</v>
      </c>
      <c r="Q362">
        <v>59.529000000000003</v>
      </c>
      <c r="R362">
        <v>0</v>
      </c>
      <c r="S362">
        <v>1E-3</v>
      </c>
      <c r="T362">
        <v>1.4279999999999999</v>
      </c>
      <c r="U362">
        <v>103.93</v>
      </c>
      <c r="V362">
        <v>21.425999999999998</v>
      </c>
      <c r="W362">
        <v>2.5230000000000001</v>
      </c>
      <c r="X362">
        <v>97.331999999999994</v>
      </c>
      <c r="Y362">
        <v>0.89600000000000002</v>
      </c>
      <c r="Z362">
        <v>0.442</v>
      </c>
      <c r="AA362">
        <v>0</v>
      </c>
      <c r="AB362">
        <v>0</v>
      </c>
      <c r="AC362">
        <v>1</v>
      </c>
      <c r="AD362">
        <v>39.875</v>
      </c>
      <c r="AE362">
        <v>1</v>
      </c>
      <c r="AF362">
        <v>47</v>
      </c>
      <c r="AG362">
        <v>4</v>
      </c>
      <c r="AH362" t="s">
        <v>361</v>
      </c>
      <c r="AI362">
        <v>0</v>
      </c>
    </row>
    <row r="363" spans="1:35" x14ac:dyDescent="0.2">
      <c r="A363">
        <v>362</v>
      </c>
      <c r="B363" t="s">
        <v>855</v>
      </c>
      <c r="C363" t="s">
        <v>860</v>
      </c>
      <c r="D363" t="s">
        <v>407</v>
      </c>
      <c r="E363">
        <v>5</v>
      </c>
      <c r="F363">
        <v>-4.6760000000000002</v>
      </c>
      <c r="G363">
        <v>-23.19</v>
      </c>
      <c r="H363">
        <v>17401</v>
      </c>
      <c r="I363">
        <v>0</v>
      </c>
      <c r="J363">
        <v>1</v>
      </c>
      <c r="K363" t="s">
        <v>359</v>
      </c>
      <c r="L363" t="s">
        <v>359</v>
      </c>
      <c r="M363" t="s">
        <v>360</v>
      </c>
      <c r="N363">
        <v>1649298279.6700001</v>
      </c>
      <c r="O363">
        <v>0.19600000000000001</v>
      </c>
      <c r="P363">
        <v>0.374</v>
      </c>
      <c r="Q363">
        <v>60.283000000000001</v>
      </c>
      <c r="R363">
        <v>0</v>
      </c>
      <c r="S363">
        <v>0</v>
      </c>
      <c r="T363">
        <v>1.4430000000000001</v>
      </c>
      <c r="U363">
        <v>102.645</v>
      </c>
      <c r="V363">
        <v>21.504999999999999</v>
      </c>
      <c r="W363">
        <v>2.5449999999999999</v>
      </c>
      <c r="X363">
        <v>96.367000000000004</v>
      </c>
      <c r="Y363">
        <v>0.89200000000000002</v>
      </c>
      <c r="Z363">
        <v>0.53300000000000003</v>
      </c>
      <c r="AA363">
        <v>0</v>
      </c>
      <c r="AB363">
        <v>0</v>
      </c>
      <c r="AC363">
        <v>1</v>
      </c>
      <c r="AD363">
        <v>39.875</v>
      </c>
      <c r="AE363">
        <v>1</v>
      </c>
      <c r="AF363">
        <v>47</v>
      </c>
      <c r="AG363">
        <v>4</v>
      </c>
      <c r="AH363" t="s">
        <v>361</v>
      </c>
      <c r="AI363">
        <v>0</v>
      </c>
    </row>
    <row r="364" spans="1:35" x14ac:dyDescent="0.2">
      <c r="A364">
        <v>363</v>
      </c>
      <c r="B364" t="s">
        <v>855</v>
      </c>
      <c r="C364" t="s">
        <v>861</v>
      </c>
      <c r="D364" t="s">
        <v>407</v>
      </c>
      <c r="E364">
        <v>6</v>
      </c>
      <c r="F364">
        <v>-4.66</v>
      </c>
      <c r="G364">
        <v>-23.25</v>
      </c>
      <c r="H364">
        <v>17447</v>
      </c>
      <c r="I364">
        <v>0</v>
      </c>
      <c r="J364">
        <v>1</v>
      </c>
      <c r="K364" t="s">
        <v>359</v>
      </c>
      <c r="L364" t="s">
        <v>359</v>
      </c>
      <c r="M364" t="s">
        <v>360</v>
      </c>
      <c r="N364">
        <v>1649298816.49</v>
      </c>
      <c r="O364">
        <v>0.21199999999999999</v>
      </c>
      <c r="P364">
        <v>0.41</v>
      </c>
      <c r="Q364">
        <v>59.600999999999999</v>
      </c>
      <c r="R364">
        <v>1E-3</v>
      </c>
      <c r="S364">
        <v>0</v>
      </c>
      <c r="T364">
        <v>1.421</v>
      </c>
      <c r="U364">
        <v>102.94</v>
      </c>
      <c r="V364">
        <v>21.736999999999998</v>
      </c>
      <c r="W364">
        <v>2.4870000000000001</v>
      </c>
      <c r="X364">
        <v>95.855999999999995</v>
      </c>
      <c r="Y364">
        <v>0.88700000000000001</v>
      </c>
      <c r="Z364">
        <v>0.437</v>
      </c>
      <c r="AA364">
        <v>0</v>
      </c>
      <c r="AB364">
        <v>0</v>
      </c>
      <c r="AC364">
        <v>1</v>
      </c>
      <c r="AD364">
        <v>39.875</v>
      </c>
      <c r="AE364">
        <v>1</v>
      </c>
      <c r="AF364">
        <v>47</v>
      </c>
      <c r="AG364">
        <v>4</v>
      </c>
      <c r="AH364" t="s">
        <v>361</v>
      </c>
      <c r="AI364">
        <v>0</v>
      </c>
    </row>
    <row r="365" spans="1:35" x14ac:dyDescent="0.2">
      <c r="A365">
        <v>364</v>
      </c>
      <c r="B365" t="s">
        <v>862</v>
      </c>
      <c r="C365" t="s">
        <v>863</v>
      </c>
      <c r="D365" t="s">
        <v>408</v>
      </c>
      <c r="E365">
        <v>1</v>
      </c>
      <c r="F365">
        <v>-4.6369999999999996</v>
      </c>
      <c r="G365">
        <v>-22.588999999999999</v>
      </c>
      <c r="H365">
        <v>17482</v>
      </c>
      <c r="I365">
        <v>-1</v>
      </c>
      <c r="J365">
        <v>1</v>
      </c>
      <c r="K365" t="s">
        <v>359</v>
      </c>
      <c r="L365" t="s">
        <v>359</v>
      </c>
      <c r="M365" t="s">
        <v>360</v>
      </c>
      <c r="N365">
        <v>1649299354.0799999</v>
      </c>
      <c r="O365">
        <v>0.22600000000000001</v>
      </c>
      <c r="P365">
        <v>0.41699999999999998</v>
      </c>
      <c r="Q365">
        <v>59.222000000000001</v>
      </c>
      <c r="R365">
        <v>0</v>
      </c>
      <c r="S365">
        <v>0</v>
      </c>
      <c r="T365">
        <v>1.4219999999999999</v>
      </c>
      <c r="U365">
        <v>103.18600000000001</v>
      </c>
      <c r="V365">
        <v>21.640999999999998</v>
      </c>
      <c r="W365">
        <v>2.4940000000000002</v>
      </c>
      <c r="X365">
        <v>96.600999999999999</v>
      </c>
      <c r="Y365">
        <v>0.89700000000000002</v>
      </c>
      <c r="Z365">
        <v>0.44</v>
      </c>
      <c r="AA365">
        <v>0</v>
      </c>
      <c r="AB365">
        <v>0</v>
      </c>
      <c r="AC365">
        <v>1</v>
      </c>
      <c r="AD365">
        <v>39.875</v>
      </c>
      <c r="AE365">
        <v>1</v>
      </c>
      <c r="AF365">
        <v>48</v>
      </c>
      <c r="AG365">
        <v>4</v>
      </c>
      <c r="AH365" t="s">
        <v>361</v>
      </c>
      <c r="AI365">
        <v>0</v>
      </c>
    </row>
    <row r="366" spans="1:35" x14ac:dyDescent="0.2">
      <c r="A366">
        <v>365</v>
      </c>
      <c r="B366" t="s">
        <v>862</v>
      </c>
      <c r="C366" t="s">
        <v>864</v>
      </c>
      <c r="D366" t="s">
        <v>408</v>
      </c>
      <c r="E366">
        <v>2</v>
      </c>
      <c r="F366">
        <v>-4.6669999999999998</v>
      </c>
      <c r="G366">
        <v>-22.834</v>
      </c>
      <c r="H366">
        <v>17448</v>
      </c>
      <c r="I366">
        <v>-1</v>
      </c>
      <c r="J366">
        <v>1</v>
      </c>
      <c r="K366" t="s">
        <v>359</v>
      </c>
      <c r="L366" t="s">
        <v>359</v>
      </c>
      <c r="M366" t="s">
        <v>360</v>
      </c>
      <c r="N366">
        <v>1649299891.8099999</v>
      </c>
      <c r="O366">
        <v>0.19800000000000001</v>
      </c>
      <c r="P366">
        <v>0.40300000000000002</v>
      </c>
      <c r="Q366">
        <v>60.34</v>
      </c>
      <c r="R366">
        <v>1E-3</v>
      </c>
      <c r="S366">
        <v>0</v>
      </c>
      <c r="T366">
        <v>1.448</v>
      </c>
      <c r="U366">
        <v>102.928</v>
      </c>
      <c r="V366">
        <v>21.475000000000001</v>
      </c>
      <c r="W366">
        <v>2.54</v>
      </c>
      <c r="X366">
        <v>97.263000000000005</v>
      </c>
      <c r="Y366">
        <v>0.91300000000000003</v>
      </c>
      <c r="Z366">
        <v>0.59799999999999998</v>
      </c>
      <c r="AA366">
        <v>0</v>
      </c>
      <c r="AB366">
        <v>0</v>
      </c>
      <c r="AC366">
        <v>1</v>
      </c>
      <c r="AD366">
        <v>39.938000000000002</v>
      </c>
      <c r="AE366">
        <v>1</v>
      </c>
      <c r="AF366">
        <v>48</v>
      </c>
      <c r="AG366">
        <v>4</v>
      </c>
      <c r="AH366" t="s">
        <v>361</v>
      </c>
      <c r="AI366">
        <v>0</v>
      </c>
    </row>
    <row r="367" spans="1:35" x14ac:dyDescent="0.2">
      <c r="A367">
        <v>366</v>
      </c>
      <c r="B367" t="s">
        <v>862</v>
      </c>
      <c r="C367" t="s">
        <v>865</v>
      </c>
      <c r="D367" t="s">
        <v>408</v>
      </c>
      <c r="E367">
        <v>3</v>
      </c>
      <c r="F367">
        <v>-4.6310000000000002</v>
      </c>
      <c r="G367">
        <v>-22.838000000000001</v>
      </c>
      <c r="H367">
        <v>17474</v>
      </c>
      <c r="I367">
        <v>-1</v>
      </c>
      <c r="J367">
        <v>1</v>
      </c>
      <c r="K367" t="s">
        <v>359</v>
      </c>
      <c r="L367" t="s">
        <v>359</v>
      </c>
      <c r="M367" t="s">
        <v>360</v>
      </c>
      <c r="N367">
        <v>1649300428.78</v>
      </c>
      <c r="O367">
        <v>0.20200000000000001</v>
      </c>
      <c r="P367">
        <v>0.38900000000000001</v>
      </c>
      <c r="Q367">
        <v>59.707000000000001</v>
      </c>
      <c r="R367">
        <v>1E-3</v>
      </c>
      <c r="S367">
        <v>1E-3</v>
      </c>
      <c r="T367">
        <v>1.4279999999999999</v>
      </c>
      <c r="U367">
        <v>103.066</v>
      </c>
      <c r="V367">
        <v>21.507999999999999</v>
      </c>
      <c r="W367">
        <v>2.524</v>
      </c>
      <c r="X367">
        <v>97.358999999999995</v>
      </c>
      <c r="Y367">
        <v>0.92100000000000004</v>
      </c>
      <c r="Z367">
        <v>0.57299999999999995</v>
      </c>
      <c r="AA367">
        <v>0</v>
      </c>
      <c r="AB367">
        <v>0</v>
      </c>
      <c r="AC367">
        <v>1</v>
      </c>
      <c r="AD367">
        <v>39.938000000000002</v>
      </c>
      <c r="AE367">
        <v>1</v>
      </c>
      <c r="AF367">
        <v>48</v>
      </c>
      <c r="AG367">
        <v>4</v>
      </c>
      <c r="AH367" t="s">
        <v>361</v>
      </c>
      <c r="AI367">
        <v>0</v>
      </c>
    </row>
    <row r="368" spans="1:35" x14ac:dyDescent="0.2">
      <c r="A368">
        <v>367</v>
      </c>
      <c r="B368" t="s">
        <v>862</v>
      </c>
      <c r="C368" t="s">
        <v>866</v>
      </c>
      <c r="D368" t="s">
        <v>408</v>
      </c>
      <c r="E368">
        <v>4</v>
      </c>
      <c r="F368">
        <v>-4.6189999999999998</v>
      </c>
      <c r="G368">
        <v>-22.741</v>
      </c>
      <c r="H368">
        <v>17524</v>
      </c>
      <c r="I368">
        <v>0</v>
      </c>
      <c r="J368">
        <v>1</v>
      </c>
      <c r="K368" t="s">
        <v>359</v>
      </c>
      <c r="L368" t="s">
        <v>359</v>
      </c>
      <c r="M368" t="s">
        <v>360</v>
      </c>
      <c r="N368">
        <v>1649300966.5699999</v>
      </c>
      <c r="O368">
        <v>0.192</v>
      </c>
      <c r="P368">
        <v>0.39</v>
      </c>
      <c r="Q368">
        <v>59.573</v>
      </c>
      <c r="R368">
        <v>0</v>
      </c>
      <c r="S368">
        <v>0</v>
      </c>
      <c r="T368">
        <v>1.431</v>
      </c>
      <c r="U368">
        <v>103.501</v>
      </c>
      <c r="V368">
        <v>21.343</v>
      </c>
      <c r="W368">
        <v>2.4969999999999999</v>
      </c>
      <c r="X368">
        <v>97.563999999999993</v>
      </c>
      <c r="Y368">
        <v>0.92100000000000004</v>
      </c>
      <c r="Z368">
        <v>0.57799999999999996</v>
      </c>
      <c r="AA368">
        <v>0</v>
      </c>
      <c r="AB368">
        <v>0</v>
      </c>
      <c r="AC368">
        <v>1</v>
      </c>
      <c r="AD368">
        <v>39.938000000000002</v>
      </c>
      <c r="AE368">
        <v>1</v>
      </c>
      <c r="AF368">
        <v>48</v>
      </c>
      <c r="AG368">
        <v>4</v>
      </c>
      <c r="AH368" t="s">
        <v>361</v>
      </c>
      <c r="AI368">
        <v>0</v>
      </c>
    </row>
    <row r="369" spans="1:35" x14ac:dyDescent="0.2">
      <c r="A369">
        <v>368</v>
      </c>
      <c r="B369" t="s">
        <v>862</v>
      </c>
      <c r="C369" t="s">
        <v>867</v>
      </c>
      <c r="D369" t="s">
        <v>408</v>
      </c>
      <c r="E369">
        <v>5</v>
      </c>
      <c r="F369">
        <v>-4.6219999999999999</v>
      </c>
      <c r="G369">
        <v>-22.646000000000001</v>
      </c>
      <c r="H369">
        <v>17365</v>
      </c>
      <c r="I369">
        <v>0</v>
      </c>
      <c r="J369">
        <v>1</v>
      </c>
      <c r="K369" t="s">
        <v>359</v>
      </c>
      <c r="L369" t="s">
        <v>359</v>
      </c>
      <c r="M369" t="s">
        <v>360</v>
      </c>
      <c r="N369">
        <v>1649301503.8800001</v>
      </c>
      <c r="O369">
        <v>0.217</v>
      </c>
      <c r="P369">
        <v>0.40100000000000002</v>
      </c>
      <c r="Q369">
        <v>60.509</v>
      </c>
      <c r="R369">
        <v>1E-3</v>
      </c>
      <c r="S369">
        <v>1E-3</v>
      </c>
      <c r="T369">
        <v>1.4319999999999999</v>
      </c>
      <c r="U369">
        <v>102.672</v>
      </c>
      <c r="V369">
        <v>20.901</v>
      </c>
      <c r="W369">
        <v>2.4750000000000001</v>
      </c>
      <c r="X369">
        <v>96.792000000000002</v>
      </c>
      <c r="Y369">
        <v>0.94799999999999995</v>
      </c>
      <c r="Z369">
        <v>0.49099999999999999</v>
      </c>
      <c r="AA369">
        <v>0</v>
      </c>
      <c r="AB369">
        <v>0</v>
      </c>
      <c r="AC369">
        <v>1</v>
      </c>
      <c r="AD369">
        <v>39.875</v>
      </c>
      <c r="AE369">
        <v>1</v>
      </c>
      <c r="AF369">
        <v>48</v>
      </c>
      <c r="AG369">
        <v>4</v>
      </c>
      <c r="AH369" t="s">
        <v>361</v>
      </c>
      <c r="AI369">
        <v>0</v>
      </c>
    </row>
    <row r="370" spans="1:35" x14ac:dyDescent="0.2">
      <c r="A370">
        <v>369</v>
      </c>
      <c r="B370" t="s">
        <v>862</v>
      </c>
      <c r="C370" t="s">
        <v>868</v>
      </c>
      <c r="D370" t="s">
        <v>408</v>
      </c>
      <c r="E370">
        <v>6</v>
      </c>
      <c r="F370">
        <v>-4.6120000000000001</v>
      </c>
      <c r="G370">
        <v>-22.741</v>
      </c>
      <c r="H370">
        <v>17488</v>
      </c>
      <c r="I370">
        <v>0</v>
      </c>
      <c r="J370">
        <v>1</v>
      </c>
      <c r="K370" t="s">
        <v>359</v>
      </c>
      <c r="L370" t="s">
        <v>359</v>
      </c>
      <c r="M370" t="s">
        <v>360</v>
      </c>
      <c r="N370">
        <v>1649302042.04</v>
      </c>
      <c r="O370">
        <v>0.20100000000000001</v>
      </c>
      <c r="P370">
        <v>0.38300000000000001</v>
      </c>
      <c r="Q370">
        <v>59.237000000000002</v>
      </c>
      <c r="R370">
        <v>0</v>
      </c>
      <c r="S370">
        <v>1E-3</v>
      </c>
      <c r="T370">
        <v>1.4319999999999999</v>
      </c>
      <c r="U370">
        <v>103.09699999999999</v>
      </c>
      <c r="V370">
        <v>21.398</v>
      </c>
      <c r="W370">
        <v>2.5390000000000001</v>
      </c>
      <c r="X370">
        <v>98.084999999999994</v>
      </c>
      <c r="Y370">
        <v>0.93</v>
      </c>
      <c r="Z370">
        <v>0.69099999999999995</v>
      </c>
      <c r="AA370">
        <v>0</v>
      </c>
      <c r="AB370">
        <v>0</v>
      </c>
      <c r="AC370">
        <v>1</v>
      </c>
      <c r="AD370">
        <v>39.875</v>
      </c>
      <c r="AE370">
        <v>1</v>
      </c>
      <c r="AF370">
        <v>48</v>
      </c>
      <c r="AG370">
        <v>4</v>
      </c>
      <c r="AH370" t="s">
        <v>361</v>
      </c>
      <c r="AI370">
        <v>0</v>
      </c>
    </row>
    <row r="371" spans="1:35" x14ac:dyDescent="0.2">
      <c r="A371">
        <v>370</v>
      </c>
      <c r="B371" t="s">
        <v>869</v>
      </c>
      <c r="C371" t="s">
        <v>870</v>
      </c>
      <c r="D371" t="s">
        <v>409</v>
      </c>
      <c r="E371">
        <v>1</v>
      </c>
      <c r="F371">
        <v>-5.3979999999999997</v>
      </c>
      <c r="G371">
        <v>-28.344999999999999</v>
      </c>
      <c r="H371">
        <v>17414</v>
      </c>
      <c r="I371">
        <v>-1</v>
      </c>
      <c r="J371">
        <v>1</v>
      </c>
      <c r="K371" t="s">
        <v>359</v>
      </c>
      <c r="L371" t="s">
        <v>359</v>
      </c>
      <c r="M371" t="s">
        <v>360</v>
      </c>
      <c r="N371">
        <v>1649302579.76</v>
      </c>
      <c r="O371">
        <v>0.19</v>
      </c>
      <c r="P371">
        <v>0.34300000000000003</v>
      </c>
      <c r="Q371">
        <v>59.488</v>
      </c>
      <c r="R371">
        <v>0</v>
      </c>
      <c r="S371">
        <v>1E-3</v>
      </c>
      <c r="T371">
        <v>1.409</v>
      </c>
      <c r="U371">
        <v>102.63</v>
      </c>
      <c r="V371">
        <v>21.265000000000001</v>
      </c>
      <c r="W371">
        <v>2.548</v>
      </c>
      <c r="X371">
        <v>98.043999999999997</v>
      </c>
      <c r="Y371">
        <v>0.96399999999999997</v>
      </c>
      <c r="Z371">
        <v>0.73399999999999999</v>
      </c>
      <c r="AA371">
        <v>0</v>
      </c>
      <c r="AB371">
        <v>0</v>
      </c>
      <c r="AC371">
        <v>1</v>
      </c>
      <c r="AD371">
        <v>39.875</v>
      </c>
      <c r="AE371">
        <v>1</v>
      </c>
      <c r="AF371">
        <v>49</v>
      </c>
      <c r="AG371">
        <v>4</v>
      </c>
      <c r="AH371" t="s">
        <v>361</v>
      </c>
      <c r="AI371">
        <v>0</v>
      </c>
    </row>
    <row r="372" spans="1:35" x14ac:dyDescent="0.2">
      <c r="A372">
        <v>371</v>
      </c>
      <c r="B372" t="s">
        <v>869</v>
      </c>
      <c r="C372" t="s">
        <v>871</v>
      </c>
      <c r="D372" t="s">
        <v>409</v>
      </c>
      <c r="E372">
        <v>2</v>
      </c>
      <c r="F372">
        <v>-5.47</v>
      </c>
      <c r="G372">
        <v>-28.834</v>
      </c>
      <c r="H372">
        <v>17400</v>
      </c>
      <c r="I372">
        <v>-1</v>
      </c>
      <c r="J372">
        <v>1</v>
      </c>
      <c r="K372" t="s">
        <v>359</v>
      </c>
      <c r="L372" t="s">
        <v>359</v>
      </c>
      <c r="M372" t="s">
        <v>360</v>
      </c>
      <c r="N372">
        <v>1649303116.5599999</v>
      </c>
      <c r="O372">
        <v>0.185</v>
      </c>
      <c r="P372">
        <v>0.39400000000000002</v>
      </c>
      <c r="Q372">
        <v>59.646999999999998</v>
      </c>
      <c r="R372">
        <v>1E-3</v>
      </c>
      <c r="S372">
        <v>2E-3</v>
      </c>
      <c r="T372">
        <v>1.4430000000000001</v>
      </c>
      <c r="U372">
        <v>102.732</v>
      </c>
      <c r="V372">
        <v>21.556999999999999</v>
      </c>
      <c r="W372">
        <v>2.5009999999999999</v>
      </c>
      <c r="X372">
        <v>95.713999999999999</v>
      </c>
      <c r="Y372">
        <v>0.93899999999999995</v>
      </c>
      <c r="Z372">
        <v>0.373</v>
      </c>
      <c r="AA372">
        <v>0</v>
      </c>
      <c r="AB372">
        <v>0</v>
      </c>
      <c r="AC372">
        <v>1</v>
      </c>
      <c r="AD372">
        <v>40</v>
      </c>
      <c r="AE372">
        <v>1</v>
      </c>
      <c r="AF372">
        <v>49</v>
      </c>
      <c r="AG372">
        <v>4</v>
      </c>
      <c r="AH372" t="s">
        <v>361</v>
      </c>
      <c r="AI372">
        <v>0</v>
      </c>
    </row>
    <row r="373" spans="1:35" x14ac:dyDescent="0.2">
      <c r="A373">
        <v>372</v>
      </c>
      <c r="B373" t="s">
        <v>869</v>
      </c>
      <c r="C373" t="s">
        <v>872</v>
      </c>
      <c r="D373" t="s">
        <v>409</v>
      </c>
      <c r="E373">
        <v>3</v>
      </c>
      <c r="F373">
        <v>-5.4909999999999997</v>
      </c>
      <c r="G373">
        <v>-28.786000000000001</v>
      </c>
      <c r="H373">
        <v>17420</v>
      </c>
      <c r="I373">
        <v>-1</v>
      </c>
      <c r="J373">
        <v>1</v>
      </c>
      <c r="K373" t="s">
        <v>359</v>
      </c>
      <c r="L373" t="s">
        <v>359</v>
      </c>
      <c r="M373" t="s">
        <v>360</v>
      </c>
      <c r="N373">
        <v>1649303654.6600001</v>
      </c>
      <c r="O373">
        <v>0.20599999999999999</v>
      </c>
      <c r="P373">
        <v>0.377</v>
      </c>
      <c r="Q373">
        <v>60.691000000000003</v>
      </c>
      <c r="R373">
        <v>1E-3</v>
      </c>
      <c r="S373">
        <v>0</v>
      </c>
      <c r="T373">
        <v>1.4450000000000001</v>
      </c>
      <c r="U373">
        <v>103.05200000000001</v>
      </c>
      <c r="V373">
        <v>21.782</v>
      </c>
      <c r="W373">
        <v>2.4239999999999999</v>
      </c>
      <c r="X373">
        <v>94.159000000000006</v>
      </c>
      <c r="Y373">
        <v>0.96599999999999997</v>
      </c>
      <c r="Z373">
        <v>0.11899999999999999</v>
      </c>
      <c r="AA373">
        <v>0</v>
      </c>
      <c r="AB373">
        <v>0</v>
      </c>
      <c r="AC373">
        <v>1</v>
      </c>
      <c r="AD373">
        <v>39.875</v>
      </c>
      <c r="AE373">
        <v>1</v>
      </c>
      <c r="AF373">
        <v>49</v>
      </c>
      <c r="AG373">
        <v>4</v>
      </c>
      <c r="AH373" t="s">
        <v>361</v>
      </c>
      <c r="AI373">
        <v>0</v>
      </c>
    </row>
    <row r="374" spans="1:35" x14ac:dyDescent="0.2">
      <c r="A374">
        <v>373</v>
      </c>
      <c r="B374" t="s">
        <v>869</v>
      </c>
      <c r="C374" t="s">
        <v>873</v>
      </c>
      <c r="D374" t="s">
        <v>409</v>
      </c>
      <c r="E374">
        <v>4</v>
      </c>
      <c r="F374">
        <v>-5.4489999999999998</v>
      </c>
      <c r="G374">
        <v>-28.977</v>
      </c>
      <c r="H374">
        <v>17411</v>
      </c>
      <c r="I374">
        <v>0</v>
      </c>
      <c r="J374">
        <v>1</v>
      </c>
      <c r="K374" t="s">
        <v>359</v>
      </c>
      <c r="L374" t="s">
        <v>359</v>
      </c>
      <c r="M374" t="s">
        <v>360</v>
      </c>
      <c r="N374">
        <v>1649304190.3800001</v>
      </c>
      <c r="O374">
        <v>0.19900000000000001</v>
      </c>
      <c r="P374">
        <v>0.378</v>
      </c>
      <c r="Q374">
        <v>60.767000000000003</v>
      </c>
      <c r="R374">
        <v>1E-3</v>
      </c>
      <c r="S374">
        <v>1E-3</v>
      </c>
      <c r="T374">
        <v>1.4570000000000001</v>
      </c>
      <c r="U374">
        <v>102.956</v>
      </c>
      <c r="V374">
        <v>21.664000000000001</v>
      </c>
      <c r="W374">
        <v>2.415</v>
      </c>
      <c r="X374">
        <v>94.695999999999998</v>
      </c>
      <c r="Y374">
        <v>0.94399999999999995</v>
      </c>
      <c r="Z374">
        <v>0.159</v>
      </c>
      <c r="AA374">
        <v>0</v>
      </c>
      <c r="AB374">
        <v>0</v>
      </c>
      <c r="AC374">
        <v>1</v>
      </c>
      <c r="AD374">
        <v>39.875</v>
      </c>
      <c r="AE374">
        <v>1</v>
      </c>
      <c r="AF374">
        <v>49</v>
      </c>
      <c r="AG374">
        <v>4</v>
      </c>
      <c r="AH374" t="s">
        <v>361</v>
      </c>
      <c r="AI374">
        <v>0</v>
      </c>
    </row>
    <row r="375" spans="1:35" x14ac:dyDescent="0.2">
      <c r="A375">
        <v>374</v>
      </c>
      <c r="B375" t="s">
        <v>869</v>
      </c>
      <c r="C375" t="s">
        <v>874</v>
      </c>
      <c r="D375" t="s">
        <v>409</v>
      </c>
      <c r="E375">
        <v>5</v>
      </c>
      <c r="F375">
        <v>-5.4480000000000004</v>
      </c>
      <c r="G375">
        <v>-28.902999999999999</v>
      </c>
      <c r="H375">
        <v>17412</v>
      </c>
      <c r="I375">
        <v>0</v>
      </c>
      <c r="J375">
        <v>1</v>
      </c>
      <c r="K375" t="s">
        <v>359</v>
      </c>
      <c r="L375" t="s">
        <v>359</v>
      </c>
      <c r="M375" t="s">
        <v>360</v>
      </c>
      <c r="N375">
        <v>1649304729.8699999</v>
      </c>
      <c r="O375">
        <v>0.192</v>
      </c>
      <c r="P375">
        <v>0.39900000000000002</v>
      </c>
      <c r="Q375">
        <v>58.735999999999997</v>
      </c>
      <c r="R375">
        <v>0</v>
      </c>
      <c r="S375">
        <v>0</v>
      </c>
      <c r="T375">
        <v>1.4079999999999999</v>
      </c>
      <c r="U375">
        <v>103.092</v>
      </c>
      <c r="V375">
        <v>20.753</v>
      </c>
      <c r="W375">
        <v>2.4660000000000002</v>
      </c>
      <c r="X375">
        <v>96.677000000000007</v>
      </c>
      <c r="Y375">
        <v>0.96699999999999997</v>
      </c>
      <c r="Z375">
        <v>0.39</v>
      </c>
      <c r="AA375">
        <v>0</v>
      </c>
      <c r="AB375">
        <v>0</v>
      </c>
      <c r="AC375">
        <v>1</v>
      </c>
      <c r="AD375">
        <v>39.875</v>
      </c>
      <c r="AE375">
        <v>1</v>
      </c>
      <c r="AF375">
        <v>49</v>
      </c>
      <c r="AG375">
        <v>4</v>
      </c>
      <c r="AH375" t="s">
        <v>361</v>
      </c>
      <c r="AI375">
        <v>0</v>
      </c>
    </row>
    <row r="376" spans="1:35" x14ac:dyDescent="0.2">
      <c r="A376">
        <v>375</v>
      </c>
      <c r="B376" t="s">
        <v>869</v>
      </c>
      <c r="C376" t="s">
        <v>875</v>
      </c>
      <c r="D376" t="s">
        <v>409</v>
      </c>
      <c r="E376">
        <v>6</v>
      </c>
      <c r="F376">
        <v>-5.4370000000000003</v>
      </c>
      <c r="G376">
        <v>-28.943000000000001</v>
      </c>
      <c r="H376">
        <v>17401</v>
      </c>
      <c r="I376">
        <v>0</v>
      </c>
      <c r="J376">
        <v>1</v>
      </c>
      <c r="K376" t="s">
        <v>359</v>
      </c>
      <c r="L376" t="s">
        <v>359</v>
      </c>
      <c r="M376" t="s">
        <v>360</v>
      </c>
      <c r="N376">
        <v>1649305267.05</v>
      </c>
      <c r="O376">
        <v>0.21199999999999999</v>
      </c>
      <c r="P376">
        <v>0.42599999999999999</v>
      </c>
      <c r="Q376">
        <v>58.863</v>
      </c>
      <c r="R376">
        <v>1E-3</v>
      </c>
      <c r="S376">
        <v>-1E-3</v>
      </c>
      <c r="T376">
        <v>1.4079999999999999</v>
      </c>
      <c r="U376">
        <v>103.093</v>
      </c>
      <c r="V376">
        <v>20.756</v>
      </c>
      <c r="W376">
        <v>2.4950000000000001</v>
      </c>
      <c r="X376">
        <v>96.507999999999996</v>
      </c>
      <c r="Y376">
        <v>0.996</v>
      </c>
      <c r="Z376">
        <v>0.25600000000000001</v>
      </c>
      <c r="AA376">
        <v>0</v>
      </c>
      <c r="AB376">
        <v>0</v>
      </c>
      <c r="AC376">
        <v>1</v>
      </c>
      <c r="AD376">
        <v>39.811999999999998</v>
      </c>
      <c r="AE376">
        <v>1</v>
      </c>
      <c r="AF376">
        <v>49</v>
      </c>
      <c r="AG376">
        <v>4</v>
      </c>
      <c r="AH376" t="s">
        <v>361</v>
      </c>
      <c r="AI376">
        <v>0</v>
      </c>
    </row>
    <row r="377" spans="1:35" x14ac:dyDescent="0.2">
      <c r="A377">
        <v>376</v>
      </c>
      <c r="B377" t="s">
        <v>876</v>
      </c>
      <c r="C377" t="s">
        <v>877</v>
      </c>
      <c r="D377" t="s">
        <v>410</v>
      </c>
      <c r="E377">
        <v>1</v>
      </c>
      <c r="F377">
        <v>-4.6760000000000002</v>
      </c>
      <c r="G377">
        <v>-23.236999999999998</v>
      </c>
      <c r="H377">
        <v>17341</v>
      </c>
      <c r="I377">
        <v>-1</v>
      </c>
      <c r="J377">
        <v>1</v>
      </c>
      <c r="K377" t="s">
        <v>359</v>
      </c>
      <c r="L377" t="s">
        <v>359</v>
      </c>
      <c r="M377" t="s">
        <v>360</v>
      </c>
      <c r="N377">
        <v>1649305803.8900001</v>
      </c>
      <c r="O377">
        <v>0.21299999999999999</v>
      </c>
      <c r="P377">
        <v>0.34100000000000003</v>
      </c>
      <c r="Q377">
        <v>59.540999999999997</v>
      </c>
      <c r="R377">
        <v>1E-3</v>
      </c>
      <c r="S377">
        <v>0</v>
      </c>
      <c r="T377">
        <v>1.4239999999999999</v>
      </c>
      <c r="U377">
        <v>102.762</v>
      </c>
      <c r="V377">
        <v>21.03</v>
      </c>
      <c r="W377">
        <v>2.488</v>
      </c>
      <c r="X377">
        <v>94.736000000000004</v>
      </c>
      <c r="Y377">
        <v>1.01</v>
      </c>
      <c r="Z377">
        <v>5.0999999999999997E-2</v>
      </c>
      <c r="AA377">
        <v>0</v>
      </c>
      <c r="AB377">
        <v>0</v>
      </c>
      <c r="AC377">
        <v>1</v>
      </c>
      <c r="AD377">
        <v>39.938000000000002</v>
      </c>
      <c r="AE377">
        <v>1</v>
      </c>
      <c r="AF377">
        <v>50</v>
      </c>
      <c r="AG377">
        <v>4</v>
      </c>
      <c r="AH377" t="s">
        <v>361</v>
      </c>
      <c r="AI377">
        <v>0</v>
      </c>
    </row>
    <row r="378" spans="1:35" x14ac:dyDescent="0.2">
      <c r="A378">
        <v>377</v>
      </c>
      <c r="B378" t="s">
        <v>876</v>
      </c>
      <c r="C378" t="s">
        <v>878</v>
      </c>
      <c r="D378" t="s">
        <v>410</v>
      </c>
      <c r="E378">
        <v>2</v>
      </c>
      <c r="F378">
        <v>-4.6180000000000003</v>
      </c>
      <c r="G378">
        <v>-22.763000000000002</v>
      </c>
      <c r="H378">
        <v>17416</v>
      </c>
      <c r="I378">
        <v>-1</v>
      </c>
      <c r="J378">
        <v>1</v>
      </c>
      <c r="K378" t="s">
        <v>359</v>
      </c>
      <c r="L378" t="s">
        <v>359</v>
      </c>
      <c r="M378" t="s">
        <v>360</v>
      </c>
      <c r="N378">
        <v>1649306340.8900001</v>
      </c>
      <c r="O378">
        <v>0.20300000000000001</v>
      </c>
      <c r="P378">
        <v>0.41699999999999998</v>
      </c>
      <c r="Q378">
        <v>57.518999999999998</v>
      </c>
      <c r="R378">
        <v>0</v>
      </c>
      <c r="S378">
        <v>-1E-3</v>
      </c>
      <c r="T378">
        <v>1.3839999999999999</v>
      </c>
      <c r="U378">
        <v>102.949</v>
      </c>
      <c r="V378">
        <v>20.963000000000001</v>
      </c>
      <c r="W378">
        <v>2.5289999999999999</v>
      </c>
      <c r="X378">
        <v>97.215000000000003</v>
      </c>
      <c r="Y378">
        <v>0.98799999999999999</v>
      </c>
      <c r="Z378">
        <v>0.49199999999999999</v>
      </c>
      <c r="AA378">
        <v>0</v>
      </c>
      <c r="AB378">
        <v>0</v>
      </c>
      <c r="AC378">
        <v>1</v>
      </c>
      <c r="AD378">
        <v>39.938000000000002</v>
      </c>
      <c r="AE378">
        <v>1</v>
      </c>
      <c r="AF378">
        <v>50</v>
      </c>
      <c r="AG378">
        <v>4</v>
      </c>
      <c r="AH378" t="s">
        <v>361</v>
      </c>
      <c r="AI378">
        <v>0</v>
      </c>
    </row>
    <row r="379" spans="1:35" x14ac:dyDescent="0.2">
      <c r="A379">
        <v>378</v>
      </c>
      <c r="B379" t="s">
        <v>876</v>
      </c>
      <c r="C379" t="s">
        <v>879</v>
      </c>
      <c r="D379" t="s">
        <v>410</v>
      </c>
      <c r="E379">
        <v>3</v>
      </c>
      <c r="F379">
        <v>-4.6210000000000004</v>
      </c>
      <c r="G379">
        <v>-22.881</v>
      </c>
      <c r="H379">
        <v>17377</v>
      </c>
      <c r="I379">
        <v>-1</v>
      </c>
      <c r="J379">
        <v>1</v>
      </c>
      <c r="K379" t="s">
        <v>359</v>
      </c>
      <c r="L379" t="s">
        <v>359</v>
      </c>
      <c r="M379" t="s">
        <v>360</v>
      </c>
      <c r="N379">
        <v>1649306877.3199999</v>
      </c>
      <c r="O379">
        <v>0.219</v>
      </c>
      <c r="P379">
        <v>0.39600000000000002</v>
      </c>
      <c r="Q379">
        <v>59.122</v>
      </c>
      <c r="R379">
        <v>2E-3</v>
      </c>
      <c r="S379">
        <v>0</v>
      </c>
      <c r="T379">
        <v>1.411</v>
      </c>
      <c r="U379">
        <v>102.91200000000001</v>
      </c>
      <c r="V379">
        <v>20.68</v>
      </c>
      <c r="W379">
        <v>2.4830000000000001</v>
      </c>
      <c r="X379">
        <v>96.47</v>
      </c>
      <c r="Y379">
        <v>0.95599999999999996</v>
      </c>
      <c r="Z379">
        <v>0.24199999999999999</v>
      </c>
      <c r="AA379">
        <v>0</v>
      </c>
      <c r="AB379">
        <v>0</v>
      </c>
      <c r="AC379">
        <v>1</v>
      </c>
      <c r="AD379">
        <v>39.938000000000002</v>
      </c>
      <c r="AE379">
        <v>1</v>
      </c>
      <c r="AF379">
        <v>50</v>
      </c>
      <c r="AG379">
        <v>4</v>
      </c>
      <c r="AH379" t="s">
        <v>361</v>
      </c>
      <c r="AI379">
        <v>0</v>
      </c>
    </row>
    <row r="380" spans="1:35" x14ac:dyDescent="0.2">
      <c r="A380">
        <v>379</v>
      </c>
      <c r="B380" t="s">
        <v>876</v>
      </c>
      <c r="C380" t="s">
        <v>880</v>
      </c>
      <c r="D380" t="s">
        <v>410</v>
      </c>
      <c r="E380">
        <v>4</v>
      </c>
      <c r="F380">
        <v>-4.6059999999999999</v>
      </c>
      <c r="G380">
        <v>-22.640999999999998</v>
      </c>
      <c r="H380">
        <v>17385</v>
      </c>
      <c r="I380">
        <v>0</v>
      </c>
      <c r="J380">
        <v>1</v>
      </c>
      <c r="K380" t="s">
        <v>359</v>
      </c>
      <c r="L380" t="s">
        <v>359</v>
      </c>
      <c r="M380" t="s">
        <v>360</v>
      </c>
      <c r="N380">
        <v>1649307416.5999999</v>
      </c>
      <c r="O380">
        <v>0.19400000000000001</v>
      </c>
      <c r="P380">
        <v>0.39300000000000002</v>
      </c>
      <c r="Q380">
        <v>58.1</v>
      </c>
      <c r="R380">
        <v>0</v>
      </c>
      <c r="S380">
        <v>-1E-3</v>
      </c>
      <c r="T380">
        <v>1.423</v>
      </c>
      <c r="U380">
        <v>102.873</v>
      </c>
      <c r="V380">
        <v>20.943000000000001</v>
      </c>
      <c r="W380">
        <v>2.472</v>
      </c>
      <c r="X380">
        <v>96.436000000000007</v>
      </c>
      <c r="Y380">
        <v>1.002</v>
      </c>
      <c r="Z380">
        <v>0.222</v>
      </c>
      <c r="AA380">
        <v>0</v>
      </c>
      <c r="AB380">
        <v>0</v>
      </c>
      <c r="AC380">
        <v>1</v>
      </c>
      <c r="AD380">
        <v>40</v>
      </c>
      <c r="AE380">
        <v>1</v>
      </c>
      <c r="AF380">
        <v>50</v>
      </c>
      <c r="AG380">
        <v>4</v>
      </c>
      <c r="AH380" t="s">
        <v>361</v>
      </c>
      <c r="AI380">
        <v>0</v>
      </c>
    </row>
    <row r="381" spans="1:35" x14ac:dyDescent="0.2">
      <c r="A381">
        <v>380</v>
      </c>
      <c r="B381" t="s">
        <v>876</v>
      </c>
      <c r="C381" t="s">
        <v>881</v>
      </c>
      <c r="D381" t="s">
        <v>410</v>
      </c>
      <c r="E381">
        <v>5</v>
      </c>
      <c r="F381">
        <v>-4.593</v>
      </c>
      <c r="G381">
        <v>-22.515000000000001</v>
      </c>
      <c r="H381">
        <v>17372</v>
      </c>
      <c r="I381">
        <v>0</v>
      </c>
      <c r="J381">
        <v>1</v>
      </c>
      <c r="K381" t="s">
        <v>359</v>
      </c>
      <c r="L381" t="s">
        <v>359</v>
      </c>
      <c r="M381" t="s">
        <v>360</v>
      </c>
      <c r="N381">
        <v>1649307952.1099999</v>
      </c>
      <c r="O381">
        <v>0.20699999999999999</v>
      </c>
      <c r="P381">
        <v>0.41099999999999998</v>
      </c>
      <c r="Q381">
        <v>58.451000000000001</v>
      </c>
      <c r="R381">
        <v>1E-3</v>
      </c>
      <c r="S381">
        <v>-1E-3</v>
      </c>
      <c r="T381">
        <v>1.4079999999999999</v>
      </c>
      <c r="U381">
        <v>103.23</v>
      </c>
      <c r="V381">
        <v>20.145</v>
      </c>
      <c r="W381">
        <v>2.419</v>
      </c>
      <c r="X381">
        <v>96.403000000000006</v>
      </c>
      <c r="Y381">
        <v>1.0149999999999999</v>
      </c>
      <c r="Z381">
        <v>8.4000000000000005E-2</v>
      </c>
      <c r="AA381">
        <v>0</v>
      </c>
      <c r="AB381">
        <v>0</v>
      </c>
      <c r="AC381">
        <v>1</v>
      </c>
      <c r="AD381">
        <v>39.938000000000002</v>
      </c>
      <c r="AE381">
        <v>1</v>
      </c>
      <c r="AF381">
        <v>50</v>
      </c>
      <c r="AG381">
        <v>4</v>
      </c>
      <c r="AH381" t="s">
        <v>361</v>
      </c>
      <c r="AI381">
        <v>0</v>
      </c>
    </row>
    <row r="382" spans="1:35" x14ac:dyDescent="0.2">
      <c r="A382">
        <v>381</v>
      </c>
      <c r="B382" t="s">
        <v>876</v>
      </c>
      <c r="C382" t="s">
        <v>882</v>
      </c>
      <c r="D382" t="s">
        <v>410</v>
      </c>
      <c r="E382">
        <v>6</v>
      </c>
      <c r="F382">
        <v>-4.5640000000000001</v>
      </c>
      <c r="G382">
        <v>-22.655000000000001</v>
      </c>
      <c r="H382">
        <v>17444</v>
      </c>
      <c r="I382">
        <v>0</v>
      </c>
      <c r="J382">
        <v>1</v>
      </c>
      <c r="K382" t="s">
        <v>359</v>
      </c>
      <c r="L382" t="s">
        <v>359</v>
      </c>
      <c r="M382" t="s">
        <v>360</v>
      </c>
      <c r="N382">
        <v>1649308488.8699999</v>
      </c>
      <c r="O382">
        <v>0.17799999999999999</v>
      </c>
      <c r="P382">
        <v>0.42199999999999999</v>
      </c>
      <c r="Q382">
        <v>59.369</v>
      </c>
      <c r="R382">
        <v>1E-3</v>
      </c>
      <c r="S382">
        <v>1E-3</v>
      </c>
      <c r="T382">
        <v>1.4119999999999999</v>
      </c>
      <c r="U382">
        <v>103.61499999999999</v>
      </c>
      <c r="V382">
        <v>19.806999999999999</v>
      </c>
      <c r="W382">
        <v>2.4969999999999999</v>
      </c>
      <c r="X382">
        <v>98.436000000000007</v>
      </c>
      <c r="Y382">
        <v>1.004</v>
      </c>
      <c r="Z382">
        <v>0.31</v>
      </c>
      <c r="AA382">
        <v>0</v>
      </c>
      <c r="AB382">
        <v>0</v>
      </c>
      <c r="AC382">
        <v>1</v>
      </c>
      <c r="AD382">
        <v>40</v>
      </c>
      <c r="AE382">
        <v>1</v>
      </c>
      <c r="AF382">
        <v>50</v>
      </c>
      <c r="AG382">
        <v>4</v>
      </c>
      <c r="AH382" t="s">
        <v>361</v>
      </c>
      <c r="AI382">
        <v>0</v>
      </c>
    </row>
    <row r="383" spans="1:35" x14ac:dyDescent="0.2">
      <c r="A383">
        <v>382</v>
      </c>
      <c r="B383" t="s">
        <v>883</v>
      </c>
      <c r="C383" t="s">
        <v>884</v>
      </c>
      <c r="D383" t="s">
        <v>411</v>
      </c>
      <c r="E383">
        <v>1</v>
      </c>
      <c r="F383">
        <v>-4.7389999999999999</v>
      </c>
      <c r="G383">
        <v>-23.451000000000001</v>
      </c>
      <c r="H383">
        <v>17385</v>
      </c>
      <c r="I383">
        <v>-1</v>
      </c>
      <c r="J383">
        <v>1</v>
      </c>
      <c r="K383" t="s">
        <v>359</v>
      </c>
      <c r="L383" t="s">
        <v>359</v>
      </c>
      <c r="M383" t="s">
        <v>360</v>
      </c>
      <c r="N383">
        <v>1649309027.5899999</v>
      </c>
      <c r="O383">
        <v>0.18099999999999999</v>
      </c>
      <c r="P383">
        <v>0.38600000000000001</v>
      </c>
      <c r="Q383">
        <v>58.953000000000003</v>
      </c>
      <c r="R383">
        <v>1E-3</v>
      </c>
      <c r="S383">
        <v>1E-3</v>
      </c>
      <c r="T383">
        <v>1.411</v>
      </c>
      <c r="U383">
        <v>103.502</v>
      </c>
      <c r="V383">
        <v>19.760999999999999</v>
      </c>
      <c r="W383">
        <v>2.468</v>
      </c>
      <c r="X383">
        <v>96.91</v>
      </c>
      <c r="Y383">
        <v>1.014</v>
      </c>
      <c r="Z383">
        <v>-0.01</v>
      </c>
      <c r="AA383">
        <v>0</v>
      </c>
      <c r="AB383">
        <v>0</v>
      </c>
      <c r="AC383">
        <v>1</v>
      </c>
      <c r="AD383">
        <v>39.938000000000002</v>
      </c>
      <c r="AE383">
        <v>1</v>
      </c>
      <c r="AF383">
        <v>51</v>
      </c>
      <c r="AG383">
        <v>4</v>
      </c>
      <c r="AH383" t="s">
        <v>361</v>
      </c>
      <c r="AI383">
        <v>0</v>
      </c>
    </row>
    <row r="384" spans="1:35" x14ac:dyDescent="0.2">
      <c r="A384">
        <v>383</v>
      </c>
      <c r="B384" t="s">
        <v>883</v>
      </c>
      <c r="C384" t="s">
        <v>885</v>
      </c>
      <c r="D384" t="s">
        <v>411</v>
      </c>
      <c r="E384">
        <v>2</v>
      </c>
      <c r="F384">
        <v>-4.7060000000000004</v>
      </c>
      <c r="G384">
        <v>-23.181000000000001</v>
      </c>
      <c r="H384">
        <v>17381</v>
      </c>
      <c r="I384">
        <v>-1</v>
      </c>
      <c r="J384">
        <v>1</v>
      </c>
      <c r="K384" t="s">
        <v>359</v>
      </c>
      <c r="L384" t="s">
        <v>359</v>
      </c>
      <c r="M384" t="s">
        <v>360</v>
      </c>
      <c r="N384">
        <v>1649309564.5</v>
      </c>
      <c r="O384">
        <v>0.20899999999999999</v>
      </c>
      <c r="P384">
        <v>0.44400000000000001</v>
      </c>
      <c r="Q384">
        <v>58.293999999999997</v>
      </c>
      <c r="R384">
        <v>0</v>
      </c>
      <c r="S384">
        <v>-1E-3</v>
      </c>
      <c r="T384">
        <v>1.3919999999999999</v>
      </c>
      <c r="U384">
        <v>103.28700000000001</v>
      </c>
      <c r="V384">
        <v>18.303000000000001</v>
      </c>
      <c r="W384">
        <v>2.6389999999999998</v>
      </c>
      <c r="X384">
        <v>102.023</v>
      </c>
      <c r="Y384">
        <v>1.0149999999999999</v>
      </c>
      <c r="Z384">
        <v>0.77200000000000002</v>
      </c>
      <c r="AA384">
        <v>0</v>
      </c>
      <c r="AB384">
        <v>0</v>
      </c>
      <c r="AC384">
        <v>1</v>
      </c>
      <c r="AD384">
        <v>40</v>
      </c>
      <c r="AE384">
        <v>1</v>
      </c>
      <c r="AF384">
        <v>51</v>
      </c>
      <c r="AG384">
        <v>4</v>
      </c>
      <c r="AH384" t="s">
        <v>361</v>
      </c>
      <c r="AI384">
        <v>0</v>
      </c>
    </row>
    <row r="385" spans="1:35" x14ac:dyDescent="0.2">
      <c r="A385">
        <v>384</v>
      </c>
      <c r="B385" t="s">
        <v>883</v>
      </c>
      <c r="C385" t="s">
        <v>886</v>
      </c>
      <c r="D385" t="s">
        <v>411</v>
      </c>
      <c r="E385">
        <v>3</v>
      </c>
      <c r="F385">
        <v>-4.7640000000000002</v>
      </c>
      <c r="G385">
        <v>-23.329000000000001</v>
      </c>
      <c r="H385">
        <v>17384</v>
      </c>
      <c r="I385">
        <v>-1</v>
      </c>
      <c r="J385">
        <v>1</v>
      </c>
      <c r="K385" t="s">
        <v>359</v>
      </c>
      <c r="L385" t="s">
        <v>359</v>
      </c>
      <c r="M385" t="s">
        <v>360</v>
      </c>
      <c r="N385">
        <v>1649310101.96</v>
      </c>
      <c r="O385">
        <v>0.21</v>
      </c>
      <c r="P385">
        <v>0.39600000000000002</v>
      </c>
      <c r="Q385">
        <v>58.463000000000001</v>
      </c>
      <c r="R385">
        <v>1E-3</v>
      </c>
      <c r="S385">
        <v>0</v>
      </c>
      <c r="T385">
        <v>1.399</v>
      </c>
      <c r="U385">
        <v>103.205</v>
      </c>
      <c r="V385">
        <v>17.707999999999998</v>
      </c>
      <c r="W385">
        <v>2.71</v>
      </c>
      <c r="X385">
        <v>104.508</v>
      </c>
      <c r="Y385">
        <v>1.0229999999999999</v>
      </c>
      <c r="Z385">
        <v>1.2070000000000001</v>
      </c>
      <c r="AA385">
        <v>0</v>
      </c>
      <c r="AB385">
        <v>0</v>
      </c>
      <c r="AC385">
        <v>1</v>
      </c>
      <c r="AD385">
        <v>40</v>
      </c>
      <c r="AE385">
        <v>1</v>
      </c>
      <c r="AF385">
        <v>51</v>
      </c>
      <c r="AG385">
        <v>4</v>
      </c>
      <c r="AH385" t="s">
        <v>361</v>
      </c>
      <c r="AI385">
        <v>0</v>
      </c>
    </row>
    <row r="386" spans="1:35" x14ac:dyDescent="0.2">
      <c r="A386">
        <v>385</v>
      </c>
      <c r="B386" t="s">
        <v>883</v>
      </c>
      <c r="C386" t="s">
        <v>887</v>
      </c>
      <c r="D386" t="s">
        <v>411</v>
      </c>
      <c r="E386">
        <v>4</v>
      </c>
      <c r="F386">
        <v>-4.7510000000000003</v>
      </c>
      <c r="G386">
        <v>-23.501000000000001</v>
      </c>
      <c r="H386">
        <v>17415</v>
      </c>
      <c r="I386">
        <v>0</v>
      </c>
      <c r="J386">
        <v>1</v>
      </c>
      <c r="K386" t="s">
        <v>359</v>
      </c>
      <c r="L386" t="s">
        <v>359</v>
      </c>
      <c r="M386" t="s">
        <v>360</v>
      </c>
      <c r="N386">
        <v>1649310638.74</v>
      </c>
      <c r="O386">
        <v>0.21099999999999999</v>
      </c>
      <c r="P386">
        <v>0.40200000000000002</v>
      </c>
      <c r="Q386">
        <v>59.673999999999999</v>
      </c>
      <c r="R386">
        <v>1E-3</v>
      </c>
      <c r="S386">
        <v>0</v>
      </c>
      <c r="T386">
        <v>1.427</v>
      </c>
      <c r="U386">
        <v>103.274</v>
      </c>
      <c r="V386">
        <v>18.023</v>
      </c>
      <c r="W386">
        <v>2.7810000000000001</v>
      </c>
      <c r="X386">
        <v>104.43</v>
      </c>
      <c r="Y386">
        <v>1.036</v>
      </c>
      <c r="Z386">
        <v>1.163</v>
      </c>
      <c r="AA386">
        <v>0</v>
      </c>
      <c r="AB386">
        <v>0</v>
      </c>
      <c r="AC386">
        <v>1</v>
      </c>
      <c r="AD386">
        <v>40</v>
      </c>
      <c r="AE386">
        <v>1</v>
      </c>
      <c r="AF386">
        <v>51</v>
      </c>
      <c r="AG386">
        <v>4</v>
      </c>
      <c r="AH386" t="s">
        <v>361</v>
      </c>
      <c r="AI386">
        <v>0</v>
      </c>
    </row>
    <row r="387" spans="1:35" x14ac:dyDescent="0.2">
      <c r="A387">
        <v>386</v>
      </c>
      <c r="B387" t="s">
        <v>883</v>
      </c>
      <c r="C387" t="s">
        <v>888</v>
      </c>
      <c r="D387" t="s">
        <v>411</v>
      </c>
      <c r="E387">
        <v>5</v>
      </c>
      <c r="F387">
        <v>-4.7409999999999997</v>
      </c>
      <c r="G387">
        <v>-23.472000000000001</v>
      </c>
      <c r="H387">
        <v>17327</v>
      </c>
      <c r="I387">
        <v>0</v>
      </c>
      <c r="J387">
        <v>1</v>
      </c>
      <c r="K387" t="s">
        <v>359</v>
      </c>
      <c r="L387" t="s">
        <v>359</v>
      </c>
      <c r="M387" t="s">
        <v>360</v>
      </c>
      <c r="N387">
        <v>1649311175.9300001</v>
      </c>
      <c r="O387">
        <v>0.214</v>
      </c>
      <c r="P387">
        <v>0.35599999999999998</v>
      </c>
      <c r="Q387">
        <v>58.09</v>
      </c>
      <c r="R387">
        <v>0</v>
      </c>
      <c r="S387">
        <v>-1E-3</v>
      </c>
      <c r="T387">
        <v>1.389</v>
      </c>
      <c r="U387">
        <v>102.858</v>
      </c>
      <c r="V387">
        <v>17.917000000000002</v>
      </c>
      <c r="W387">
        <v>2.7320000000000002</v>
      </c>
      <c r="X387">
        <v>103.4</v>
      </c>
      <c r="Y387">
        <v>1.038</v>
      </c>
      <c r="Z387">
        <v>1.1279999999999999</v>
      </c>
      <c r="AA387">
        <v>0</v>
      </c>
      <c r="AB387">
        <v>0</v>
      </c>
      <c r="AC387">
        <v>1</v>
      </c>
      <c r="AD387">
        <v>40</v>
      </c>
      <c r="AE387">
        <v>1</v>
      </c>
      <c r="AF387">
        <v>51</v>
      </c>
      <c r="AG387">
        <v>4</v>
      </c>
      <c r="AH387" t="s">
        <v>361</v>
      </c>
      <c r="AI387">
        <v>0</v>
      </c>
    </row>
    <row r="388" spans="1:35" x14ac:dyDescent="0.2">
      <c r="A388">
        <v>387</v>
      </c>
      <c r="B388" t="s">
        <v>883</v>
      </c>
      <c r="C388" t="s">
        <v>889</v>
      </c>
      <c r="D388" t="s">
        <v>411</v>
      </c>
      <c r="E388">
        <v>6</v>
      </c>
      <c r="F388">
        <v>-4.7670000000000003</v>
      </c>
      <c r="G388">
        <v>-23.288</v>
      </c>
      <c r="H388">
        <v>17390</v>
      </c>
      <c r="I388">
        <v>0</v>
      </c>
      <c r="J388">
        <v>1</v>
      </c>
      <c r="K388" t="s">
        <v>359</v>
      </c>
      <c r="L388" t="s">
        <v>359</v>
      </c>
      <c r="M388" t="s">
        <v>360</v>
      </c>
      <c r="N388">
        <v>1649311712.97</v>
      </c>
      <c r="O388">
        <v>0.20899999999999999</v>
      </c>
      <c r="P388">
        <v>0.40400000000000003</v>
      </c>
      <c r="Q388">
        <v>61.625</v>
      </c>
      <c r="R388">
        <v>1E-3</v>
      </c>
      <c r="S388">
        <v>3.0000000000000001E-3</v>
      </c>
      <c r="T388">
        <v>1.476</v>
      </c>
      <c r="U388">
        <v>102.87</v>
      </c>
      <c r="V388">
        <v>18.599</v>
      </c>
      <c r="W388">
        <v>2.78</v>
      </c>
      <c r="X388">
        <v>103.833</v>
      </c>
      <c r="Y388">
        <v>1.0149999999999999</v>
      </c>
      <c r="Z388">
        <v>1.2989999999999999</v>
      </c>
      <c r="AA388">
        <v>0</v>
      </c>
      <c r="AB388">
        <v>0</v>
      </c>
      <c r="AC388">
        <v>1</v>
      </c>
      <c r="AD388">
        <v>40</v>
      </c>
      <c r="AE388">
        <v>1</v>
      </c>
      <c r="AF388">
        <v>51</v>
      </c>
      <c r="AG388">
        <v>4</v>
      </c>
      <c r="AH388" t="s">
        <v>361</v>
      </c>
      <c r="AI388">
        <v>0</v>
      </c>
    </row>
    <row r="389" spans="1:35" x14ac:dyDescent="0.2">
      <c r="A389">
        <v>388</v>
      </c>
      <c r="B389" t="s">
        <v>890</v>
      </c>
      <c r="C389" t="s">
        <v>891</v>
      </c>
      <c r="D389" t="s">
        <v>412</v>
      </c>
      <c r="E389">
        <v>1</v>
      </c>
      <c r="F389">
        <v>-4.6120000000000001</v>
      </c>
      <c r="G389">
        <v>-22.538</v>
      </c>
      <c r="H389">
        <v>17357</v>
      </c>
      <c r="I389">
        <v>-1</v>
      </c>
      <c r="J389">
        <v>1</v>
      </c>
      <c r="K389" t="s">
        <v>359</v>
      </c>
      <c r="L389" t="s">
        <v>359</v>
      </c>
      <c r="M389" t="s">
        <v>360</v>
      </c>
      <c r="N389">
        <v>1649312252.3699999</v>
      </c>
      <c r="O389">
        <v>0.218</v>
      </c>
      <c r="P389">
        <v>0.38600000000000001</v>
      </c>
      <c r="Q389">
        <v>57.564</v>
      </c>
      <c r="R389">
        <v>1E-3</v>
      </c>
      <c r="S389">
        <v>-1E-3</v>
      </c>
      <c r="T389">
        <v>1.377</v>
      </c>
      <c r="U389">
        <v>102.578</v>
      </c>
      <c r="V389">
        <v>17.044</v>
      </c>
      <c r="W389">
        <v>2.9569999999999999</v>
      </c>
      <c r="X389">
        <v>108.78700000000001</v>
      </c>
      <c r="Y389">
        <v>1.028</v>
      </c>
      <c r="Z389">
        <v>1.966</v>
      </c>
      <c r="AA389">
        <v>0</v>
      </c>
      <c r="AB389">
        <v>0</v>
      </c>
      <c r="AC389">
        <v>1</v>
      </c>
      <c r="AD389">
        <v>39.938000000000002</v>
      </c>
      <c r="AE389">
        <v>1</v>
      </c>
      <c r="AF389">
        <v>52</v>
      </c>
      <c r="AG389">
        <v>4</v>
      </c>
      <c r="AH389" t="s">
        <v>361</v>
      </c>
      <c r="AI389">
        <v>0</v>
      </c>
    </row>
    <row r="390" spans="1:35" x14ac:dyDescent="0.2">
      <c r="A390">
        <v>389</v>
      </c>
      <c r="B390" t="s">
        <v>890</v>
      </c>
      <c r="C390" t="s">
        <v>892</v>
      </c>
      <c r="D390" t="s">
        <v>412</v>
      </c>
      <c r="E390">
        <v>2</v>
      </c>
      <c r="F390">
        <v>-4.6710000000000003</v>
      </c>
      <c r="G390">
        <v>-22.942</v>
      </c>
      <c r="H390">
        <v>17465</v>
      </c>
      <c r="I390">
        <v>-1</v>
      </c>
      <c r="J390">
        <v>1</v>
      </c>
      <c r="K390" t="s">
        <v>359</v>
      </c>
      <c r="L390" t="s">
        <v>359</v>
      </c>
      <c r="M390" t="s">
        <v>360</v>
      </c>
      <c r="N390">
        <v>1649312789.1199999</v>
      </c>
      <c r="O390">
        <v>0.216</v>
      </c>
      <c r="P390">
        <v>0.46400000000000002</v>
      </c>
      <c r="Q390">
        <v>72.561000000000007</v>
      </c>
      <c r="R390">
        <v>2E-3</v>
      </c>
      <c r="S390">
        <v>6.0000000000000001E-3</v>
      </c>
      <c r="T390">
        <v>1.7529999999999999</v>
      </c>
      <c r="U390">
        <v>103.474</v>
      </c>
      <c r="V390">
        <v>17.132000000000001</v>
      </c>
      <c r="W390">
        <v>2.9180000000000001</v>
      </c>
      <c r="X390">
        <v>108.172</v>
      </c>
      <c r="Y390">
        <v>1.0089999999999999</v>
      </c>
      <c r="Z390">
        <v>1.7430000000000001</v>
      </c>
      <c r="AA390">
        <v>0</v>
      </c>
      <c r="AB390">
        <v>0</v>
      </c>
      <c r="AC390">
        <v>1</v>
      </c>
      <c r="AD390">
        <v>40</v>
      </c>
      <c r="AE390">
        <v>1</v>
      </c>
      <c r="AF390">
        <v>52</v>
      </c>
      <c r="AG390">
        <v>4</v>
      </c>
      <c r="AH390" t="s">
        <v>361</v>
      </c>
      <c r="AI390">
        <v>0</v>
      </c>
    </row>
    <row r="391" spans="1:35" x14ac:dyDescent="0.2">
      <c r="A391">
        <v>390</v>
      </c>
      <c r="B391" t="s">
        <v>890</v>
      </c>
      <c r="C391" t="s">
        <v>893</v>
      </c>
      <c r="D391" t="s">
        <v>412</v>
      </c>
      <c r="E391">
        <v>3</v>
      </c>
      <c r="F391">
        <v>-4.5519999999999996</v>
      </c>
      <c r="G391">
        <v>-22.582999999999998</v>
      </c>
      <c r="H391">
        <v>17479</v>
      </c>
      <c r="I391">
        <v>-1</v>
      </c>
      <c r="J391">
        <v>1</v>
      </c>
      <c r="K391" t="s">
        <v>359</v>
      </c>
      <c r="L391" t="s">
        <v>359</v>
      </c>
      <c r="M391" t="s">
        <v>360</v>
      </c>
      <c r="N391">
        <v>1649313325.8299999</v>
      </c>
      <c r="O391">
        <v>0.20499999999999999</v>
      </c>
      <c r="P391">
        <v>0.38900000000000001</v>
      </c>
      <c r="Q391">
        <v>58.828000000000003</v>
      </c>
      <c r="R391">
        <v>1E-3</v>
      </c>
      <c r="S391">
        <v>2E-3</v>
      </c>
      <c r="T391">
        <v>1.4079999999999999</v>
      </c>
      <c r="U391">
        <v>103.34699999999999</v>
      </c>
      <c r="V391">
        <v>17.518000000000001</v>
      </c>
      <c r="W391">
        <v>2.8849999999999998</v>
      </c>
      <c r="X391">
        <v>108.44</v>
      </c>
      <c r="Y391">
        <v>1.03</v>
      </c>
      <c r="Z391">
        <v>1.883</v>
      </c>
      <c r="AA391">
        <v>0</v>
      </c>
      <c r="AB391">
        <v>0</v>
      </c>
      <c r="AC391">
        <v>1</v>
      </c>
      <c r="AD391">
        <v>39.938000000000002</v>
      </c>
      <c r="AE391">
        <v>1</v>
      </c>
      <c r="AF391">
        <v>52</v>
      </c>
      <c r="AG391">
        <v>4</v>
      </c>
      <c r="AH391" t="s">
        <v>361</v>
      </c>
      <c r="AI391">
        <v>0</v>
      </c>
    </row>
    <row r="392" spans="1:35" x14ac:dyDescent="0.2">
      <c r="A392">
        <v>391</v>
      </c>
      <c r="B392" t="s">
        <v>890</v>
      </c>
      <c r="C392" t="s">
        <v>894</v>
      </c>
      <c r="D392" t="s">
        <v>412</v>
      </c>
      <c r="E392">
        <v>4</v>
      </c>
      <c r="F392">
        <v>-4.6139999999999999</v>
      </c>
      <c r="G392">
        <v>-22.637</v>
      </c>
      <c r="H392">
        <v>17341</v>
      </c>
      <c r="I392">
        <v>0</v>
      </c>
      <c r="J392">
        <v>1</v>
      </c>
      <c r="K392" t="s">
        <v>359</v>
      </c>
      <c r="L392" t="s">
        <v>359</v>
      </c>
      <c r="M392" t="s">
        <v>360</v>
      </c>
      <c r="N392">
        <v>1649313862.79</v>
      </c>
      <c r="O392">
        <v>0.214</v>
      </c>
      <c r="P392">
        <v>0.40300000000000002</v>
      </c>
      <c r="Q392">
        <v>59.805999999999997</v>
      </c>
      <c r="R392">
        <v>1E-3</v>
      </c>
      <c r="S392">
        <v>2E-3</v>
      </c>
      <c r="T392">
        <v>1.4359999999999999</v>
      </c>
      <c r="U392">
        <v>102.26300000000001</v>
      </c>
      <c r="V392">
        <v>18.204000000000001</v>
      </c>
      <c r="W392">
        <v>2.839</v>
      </c>
      <c r="X392">
        <v>106.361</v>
      </c>
      <c r="Y392">
        <v>1.0329999999999999</v>
      </c>
      <c r="Z392">
        <v>1.726</v>
      </c>
      <c r="AA392">
        <v>0</v>
      </c>
      <c r="AB392">
        <v>0</v>
      </c>
      <c r="AC392">
        <v>1</v>
      </c>
      <c r="AD392">
        <v>39.875</v>
      </c>
      <c r="AE392">
        <v>1</v>
      </c>
      <c r="AF392">
        <v>52</v>
      </c>
      <c r="AG392">
        <v>4</v>
      </c>
      <c r="AH392" t="s">
        <v>361</v>
      </c>
      <c r="AI392">
        <v>0</v>
      </c>
    </row>
    <row r="393" spans="1:35" x14ac:dyDescent="0.2">
      <c r="A393">
        <v>392</v>
      </c>
      <c r="B393" t="s">
        <v>890</v>
      </c>
      <c r="C393" t="s">
        <v>895</v>
      </c>
      <c r="D393" t="s">
        <v>412</v>
      </c>
      <c r="E393">
        <v>5</v>
      </c>
      <c r="F393">
        <v>-4.6180000000000003</v>
      </c>
      <c r="G393">
        <v>-22.562999999999999</v>
      </c>
      <c r="H393">
        <v>17375</v>
      </c>
      <c r="I393">
        <v>0</v>
      </c>
      <c r="J393">
        <v>1</v>
      </c>
      <c r="K393" t="s">
        <v>359</v>
      </c>
      <c r="L393" t="s">
        <v>359</v>
      </c>
      <c r="M393" t="s">
        <v>360</v>
      </c>
      <c r="N393">
        <v>1649314400.6600001</v>
      </c>
      <c r="O393">
        <v>0.191</v>
      </c>
      <c r="P393">
        <v>0.38300000000000001</v>
      </c>
      <c r="Q393">
        <v>60.098999999999997</v>
      </c>
      <c r="R393">
        <v>1E-3</v>
      </c>
      <c r="S393">
        <v>1E-3</v>
      </c>
      <c r="T393">
        <v>1.44</v>
      </c>
      <c r="U393">
        <v>102.501</v>
      </c>
      <c r="V393">
        <v>19.213000000000001</v>
      </c>
      <c r="W393">
        <v>2.7240000000000002</v>
      </c>
      <c r="X393">
        <v>103.57299999999999</v>
      </c>
      <c r="Y393">
        <v>1.0489999999999999</v>
      </c>
      <c r="Z393">
        <v>1.448</v>
      </c>
      <c r="AA393">
        <v>0</v>
      </c>
      <c r="AB393">
        <v>0</v>
      </c>
      <c r="AC393">
        <v>1</v>
      </c>
      <c r="AD393">
        <v>39.875</v>
      </c>
      <c r="AE393">
        <v>1</v>
      </c>
      <c r="AF393">
        <v>52</v>
      </c>
      <c r="AG393">
        <v>4</v>
      </c>
      <c r="AH393" t="s">
        <v>361</v>
      </c>
      <c r="AI393">
        <v>0</v>
      </c>
    </row>
    <row r="394" spans="1:35" x14ac:dyDescent="0.2">
      <c r="A394">
        <v>393</v>
      </c>
      <c r="B394" t="s">
        <v>890</v>
      </c>
      <c r="C394" t="s">
        <v>896</v>
      </c>
      <c r="D394" t="s">
        <v>412</v>
      </c>
      <c r="E394">
        <v>6</v>
      </c>
      <c r="F394">
        <v>-4.6059999999999999</v>
      </c>
      <c r="G394">
        <v>-22.526</v>
      </c>
      <c r="H394">
        <v>17378</v>
      </c>
      <c r="I394">
        <v>0</v>
      </c>
      <c r="J394">
        <v>1</v>
      </c>
      <c r="K394" t="s">
        <v>359</v>
      </c>
      <c r="L394" t="s">
        <v>359</v>
      </c>
      <c r="M394" t="s">
        <v>360</v>
      </c>
      <c r="N394">
        <v>1649314938.22</v>
      </c>
      <c r="O394">
        <v>0.21199999999999999</v>
      </c>
      <c r="P394">
        <v>0.436</v>
      </c>
      <c r="Q394">
        <v>59.000999999999998</v>
      </c>
      <c r="R394">
        <v>1E-3</v>
      </c>
      <c r="S394">
        <v>1E-3</v>
      </c>
      <c r="T394">
        <v>1.4019999999999999</v>
      </c>
      <c r="U394">
        <v>102.452</v>
      </c>
      <c r="V394">
        <v>20.614000000000001</v>
      </c>
      <c r="W394">
        <v>2.5609999999999999</v>
      </c>
      <c r="X394">
        <v>99.826999999999998</v>
      </c>
      <c r="Y394">
        <v>1.048</v>
      </c>
      <c r="Z394">
        <v>1.0049999999999999</v>
      </c>
      <c r="AA394">
        <v>0</v>
      </c>
      <c r="AB394">
        <v>0</v>
      </c>
      <c r="AC394">
        <v>1</v>
      </c>
      <c r="AD394">
        <v>39.938000000000002</v>
      </c>
      <c r="AE394">
        <v>1</v>
      </c>
      <c r="AF394">
        <v>52</v>
      </c>
      <c r="AG394">
        <v>4</v>
      </c>
      <c r="AH394" t="s">
        <v>361</v>
      </c>
      <c r="AI394">
        <v>0</v>
      </c>
    </row>
    <row r="395" spans="1:35" x14ac:dyDescent="0.2">
      <c r="A395">
        <v>394</v>
      </c>
      <c r="B395" t="s">
        <v>897</v>
      </c>
      <c r="C395" t="s">
        <v>898</v>
      </c>
      <c r="D395" t="s">
        <v>413</v>
      </c>
      <c r="E395">
        <v>1</v>
      </c>
      <c r="F395">
        <v>-4.5439999999999996</v>
      </c>
      <c r="G395">
        <v>-21.596</v>
      </c>
      <c r="H395">
        <v>17380</v>
      </c>
      <c r="I395">
        <v>-1</v>
      </c>
      <c r="J395">
        <v>1</v>
      </c>
      <c r="K395" t="s">
        <v>359</v>
      </c>
      <c r="L395" t="s">
        <v>359</v>
      </c>
      <c r="M395" t="s">
        <v>360</v>
      </c>
      <c r="N395">
        <v>1649315475.4200001</v>
      </c>
      <c r="O395">
        <v>0.20200000000000001</v>
      </c>
      <c r="P395">
        <v>0.45200000000000001</v>
      </c>
      <c r="Q395">
        <v>58.732999999999997</v>
      </c>
      <c r="R395">
        <v>0</v>
      </c>
      <c r="S395">
        <v>0</v>
      </c>
      <c r="T395">
        <v>1.4019999999999999</v>
      </c>
      <c r="U395">
        <v>102.535</v>
      </c>
      <c r="V395">
        <v>21.303999999999998</v>
      </c>
      <c r="W395">
        <v>2.427</v>
      </c>
      <c r="X395">
        <v>96.87</v>
      </c>
      <c r="Y395">
        <v>1.04</v>
      </c>
      <c r="Z395">
        <v>0.54600000000000004</v>
      </c>
      <c r="AA395">
        <v>0</v>
      </c>
      <c r="AB395">
        <v>0</v>
      </c>
      <c r="AC395">
        <v>1</v>
      </c>
      <c r="AD395">
        <v>39.938000000000002</v>
      </c>
      <c r="AE395">
        <v>1</v>
      </c>
      <c r="AF395">
        <v>53</v>
      </c>
      <c r="AG395">
        <v>4</v>
      </c>
      <c r="AH395" t="s">
        <v>361</v>
      </c>
      <c r="AI395">
        <v>0</v>
      </c>
    </row>
    <row r="396" spans="1:35" x14ac:dyDescent="0.2">
      <c r="A396">
        <v>395</v>
      </c>
      <c r="B396" t="s">
        <v>897</v>
      </c>
      <c r="C396" t="s">
        <v>899</v>
      </c>
      <c r="D396" t="s">
        <v>413</v>
      </c>
      <c r="E396">
        <v>2</v>
      </c>
      <c r="F396">
        <v>-4.5679999999999996</v>
      </c>
      <c r="G396">
        <v>-21.724</v>
      </c>
      <c r="H396">
        <v>17394</v>
      </c>
      <c r="I396">
        <v>-1</v>
      </c>
      <c r="J396">
        <v>1</v>
      </c>
      <c r="K396" t="s">
        <v>359</v>
      </c>
      <c r="L396" t="s">
        <v>359</v>
      </c>
      <c r="M396" t="s">
        <v>360</v>
      </c>
      <c r="N396">
        <v>1649316012.48</v>
      </c>
      <c r="O396">
        <v>0.21199999999999999</v>
      </c>
      <c r="P396">
        <v>0.45600000000000002</v>
      </c>
      <c r="Q396">
        <v>63.273000000000003</v>
      </c>
      <c r="R396">
        <v>1E-3</v>
      </c>
      <c r="S396">
        <v>2E-3</v>
      </c>
      <c r="T396">
        <v>1.5189999999999999</v>
      </c>
      <c r="U396">
        <v>102.55500000000001</v>
      </c>
      <c r="V396">
        <v>21.533000000000001</v>
      </c>
      <c r="W396">
        <v>2.4</v>
      </c>
      <c r="X396">
        <v>96.935000000000002</v>
      </c>
      <c r="Y396">
        <v>1.0429999999999999</v>
      </c>
      <c r="Z396">
        <v>0.60799999999999998</v>
      </c>
      <c r="AA396">
        <v>0</v>
      </c>
      <c r="AB396">
        <v>0</v>
      </c>
      <c r="AC396">
        <v>1</v>
      </c>
      <c r="AD396">
        <v>39.938000000000002</v>
      </c>
      <c r="AE396">
        <v>1</v>
      </c>
      <c r="AF396">
        <v>53</v>
      </c>
      <c r="AG396">
        <v>4</v>
      </c>
      <c r="AH396" t="s">
        <v>361</v>
      </c>
      <c r="AI396">
        <v>0</v>
      </c>
    </row>
    <row r="397" spans="1:35" x14ac:dyDescent="0.2">
      <c r="A397">
        <v>396</v>
      </c>
      <c r="B397" t="s">
        <v>897</v>
      </c>
      <c r="C397" t="s">
        <v>900</v>
      </c>
      <c r="D397" t="s">
        <v>413</v>
      </c>
      <c r="E397">
        <v>3</v>
      </c>
      <c r="F397">
        <v>-4.4909999999999997</v>
      </c>
      <c r="G397">
        <v>-21.527000000000001</v>
      </c>
      <c r="H397">
        <v>17391</v>
      </c>
      <c r="I397">
        <v>-1</v>
      </c>
      <c r="J397">
        <v>1</v>
      </c>
      <c r="K397" t="s">
        <v>359</v>
      </c>
      <c r="L397" t="s">
        <v>359</v>
      </c>
      <c r="M397" t="s">
        <v>360</v>
      </c>
      <c r="N397">
        <v>1649316550.03</v>
      </c>
      <c r="O397">
        <v>0.21299999999999999</v>
      </c>
      <c r="P397">
        <v>0.34399999999999997</v>
      </c>
      <c r="Q397">
        <v>57.689</v>
      </c>
      <c r="R397">
        <v>2E-3</v>
      </c>
      <c r="S397">
        <v>1E-3</v>
      </c>
      <c r="T397">
        <v>1.3939999999999999</v>
      </c>
      <c r="U397">
        <v>102.56399999999999</v>
      </c>
      <c r="V397">
        <v>21.654</v>
      </c>
      <c r="W397">
        <v>2.3769999999999998</v>
      </c>
      <c r="X397">
        <v>96.165999999999997</v>
      </c>
      <c r="Y397">
        <v>1.052</v>
      </c>
      <c r="Z397">
        <v>0.50600000000000001</v>
      </c>
      <c r="AA397">
        <v>0</v>
      </c>
      <c r="AB397">
        <v>0</v>
      </c>
      <c r="AC397">
        <v>1</v>
      </c>
      <c r="AD397">
        <v>39.938000000000002</v>
      </c>
      <c r="AE397">
        <v>1</v>
      </c>
      <c r="AF397">
        <v>53</v>
      </c>
      <c r="AG397">
        <v>4</v>
      </c>
      <c r="AH397" t="s">
        <v>361</v>
      </c>
      <c r="AI397">
        <v>0</v>
      </c>
    </row>
    <row r="398" spans="1:35" x14ac:dyDescent="0.2">
      <c r="A398">
        <v>397</v>
      </c>
      <c r="B398" t="s">
        <v>897</v>
      </c>
      <c r="C398" t="s">
        <v>901</v>
      </c>
      <c r="D398" t="s">
        <v>413</v>
      </c>
      <c r="E398">
        <v>4</v>
      </c>
      <c r="F398">
        <v>-4.5510000000000002</v>
      </c>
      <c r="G398">
        <v>-21.798999999999999</v>
      </c>
      <c r="H398">
        <v>17356</v>
      </c>
      <c r="I398">
        <v>0</v>
      </c>
      <c r="J398">
        <v>1</v>
      </c>
      <c r="K398" t="s">
        <v>359</v>
      </c>
      <c r="L398" t="s">
        <v>359</v>
      </c>
      <c r="M398" t="s">
        <v>360</v>
      </c>
      <c r="N398">
        <v>1649317087.05</v>
      </c>
      <c r="O398">
        <v>0.23699999999999999</v>
      </c>
      <c r="P398">
        <v>0.46500000000000002</v>
      </c>
      <c r="Q398">
        <v>70.533000000000001</v>
      </c>
      <c r="R398">
        <v>2E-3</v>
      </c>
      <c r="S398">
        <v>6.0000000000000001E-3</v>
      </c>
      <c r="T398">
        <v>1.694</v>
      </c>
      <c r="U398">
        <v>102.645</v>
      </c>
      <c r="V398">
        <v>21.222000000000001</v>
      </c>
      <c r="W398">
        <v>2.3769999999999998</v>
      </c>
      <c r="X398">
        <v>95.63</v>
      </c>
      <c r="Y398">
        <v>1.046</v>
      </c>
      <c r="Z398">
        <v>0.36099999999999999</v>
      </c>
      <c r="AA398">
        <v>0</v>
      </c>
      <c r="AB398">
        <v>0</v>
      </c>
      <c r="AC398">
        <v>1</v>
      </c>
      <c r="AD398">
        <v>39.938000000000002</v>
      </c>
      <c r="AE398">
        <v>1</v>
      </c>
      <c r="AF398">
        <v>53</v>
      </c>
      <c r="AG398">
        <v>4</v>
      </c>
      <c r="AH398" t="s">
        <v>361</v>
      </c>
      <c r="AI398">
        <v>0</v>
      </c>
    </row>
    <row r="399" spans="1:35" x14ac:dyDescent="0.2">
      <c r="A399">
        <v>398</v>
      </c>
      <c r="B399" t="s">
        <v>897</v>
      </c>
      <c r="C399" t="s">
        <v>902</v>
      </c>
      <c r="D399" t="s">
        <v>413</v>
      </c>
      <c r="E399">
        <v>5</v>
      </c>
      <c r="F399">
        <v>-4.4349999999999996</v>
      </c>
      <c r="G399">
        <v>-21.32</v>
      </c>
      <c r="H399">
        <v>17404</v>
      </c>
      <c r="I399">
        <v>0</v>
      </c>
      <c r="J399">
        <v>1</v>
      </c>
      <c r="K399" t="s">
        <v>359</v>
      </c>
      <c r="L399" t="s">
        <v>359</v>
      </c>
      <c r="M399" t="s">
        <v>360</v>
      </c>
      <c r="N399">
        <v>1649317624.79</v>
      </c>
      <c r="O399">
        <v>0.21</v>
      </c>
      <c r="P399">
        <v>0.376</v>
      </c>
      <c r="Q399">
        <v>58.517000000000003</v>
      </c>
      <c r="R399">
        <v>1E-3</v>
      </c>
      <c r="S399">
        <v>1E-3</v>
      </c>
      <c r="T399">
        <v>1.407</v>
      </c>
      <c r="U399">
        <v>102.97199999999999</v>
      </c>
      <c r="V399">
        <v>21.946000000000002</v>
      </c>
      <c r="W399">
        <v>2.3069999999999999</v>
      </c>
      <c r="X399">
        <v>93.554000000000002</v>
      </c>
      <c r="Y399">
        <v>1.054</v>
      </c>
      <c r="Z399">
        <v>-4.9000000000000002E-2</v>
      </c>
      <c r="AA399">
        <v>0</v>
      </c>
      <c r="AB399">
        <v>0</v>
      </c>
      <c r="AC399">
        <v>1</v>
      </c>
      <c r="AD399">
        <v>39.938000000000002</v>
      </c>
      <c r="AE399">
        <v>1</v>
      </c>
      <c r="AF399">
        <v>53</v>
      </c>
      <c r="AG399">
        <v>4</v>
      </c>
      <c r="AH399" t="s">
        <v>361</v>
      </c>
      <c r="AI399">
        <v>0</v>
      </c>
    </row>
    <row r="400" spans="1:35" x14ac:dyDescent="0.2">
      <c r="A400">
        <v>399</v>
      </c>
      <c r="B400" t="s">
        <v>897</v>
      </c>
      <c r="C400" t="s">
        <v>903</v>
      </c>
      <c r="D400" t="s">
        <v>413</v>
      </c>
      <c r="E400">
        <v>6</v>
      </c>
      <c r="F400">
        <v>-4.492</v>
      </c>
      <c r="G400">
        <v>-21.407</v>
      </c>
      <c r="H400">
        <v>17396</v>
      </c>
      <c r="I400">
        <v>0</v>
      </c>
      <c r="J400">
        <v>1</v>
      </c>
      <c r="K400" t="s">
        <v>359</v>
      </c>
      <c r="L400" t="s">
        <v>359</v>
      </c>
      <c r="M400" t="s">
        <v>360</v>
      </c>
      <c r="N400">
        <v>1649318162.48</v>
      </c>
      <c r="O400">
        <v>0.223</v>
      </c>
      <c r="P400">
        <v>0.40100000000000002</v>
      </c>
      <c r="Q400">
        <v>60.036999999999999</v>
      </c>
      <c r="R400">
        <v>0</v>
      </c>
      <c r="S400">
        <v>0</v>
      </c>
      <c r="T400">
        <v>1.4370000000000001</v>
      </c>
      <c r="U400">
        <v>102.66200000000001</v>
      </c>
      <c r="V400">
        <v>21.617000000000001</v>
      </c>
      <c r="W400">
        <v>2.387</v>
      </c>
      <c r="X400">
        <v>95.825000000000003</v>
      </c>
      <c r="Y400">
        <v>1.0549999999999999</v>
      </c>
      <c r="Z400">
        <v>0.40300000000000002</v>
      </c>
      <c r="AA400">
        <v>0</v>
      </c>
      <c r="AB400">
        <v>0</v>
      </c>
      <c r="AC400">
        <v>1</v>
      </c>
      <c r="AD400">
        <v>40</v>
      </c>
      <c r="AE400">
        <v>1</v>
      </c>
      <c r="AF400">
        <v>53</v>
      </c>
      <c r="AG400">
        <v>4</v>
      </c>
      <c r="AH400" t="s">
        <v>361</v>
      </c>
      <c r="AI400">
        <v>0</v>
      </c>
    </row>
    <row r="401" spans="1:35" x14ac:dyDescent="0.2">
      <c r="A401">
        <v>400</v>
      </c>
      <c r="B401" t="s">
        <v>904</v>
      </c>
      <c r="C401" t="s">
        <v>905</v>
      </c>
      <c r="D401" t="s">
        <v>414</v>
      </c>
      <c r="E401">
        <v>1</v>
      </c>
      <c r="F401">
        <v>-3.4729999999999999</v>
      </c>
      <c r="G401">
        <v>-12.452</v>
      </c>
      <c r="H401">
        <v>17408</v>
      </c>
      <c r="I401">
        <v>-1</v>
      </c>
      <c r="J401">
        <v>1</v>
      </c>
      <c r="K401" t="s">
        <v>359</v>
      </c>
      <c r="L401" t="s">
        <v>359</v>
      </c>
      <c r="M401" t="s">
        <v>360</v>
      </c>
      <c r="N401">
        <v>1649318698.9100001</v>
      </c>
      <c r="O401">
        <v>0.23300000000000001</v>
      </c>
      <c r="P401">
        <v>0.39800000000000002</v>
      </c>
      <c r="Q401">
        <v>59.042999999999999</v>
      </c>
      <c r="R401">
        <v>1E-3</v>
      </c>
      <c r="S401">
        <v>0</v>
      </c>
      <c r="T401">
        <v>1.4079999999999999</v>
      </c>
      <c r="U401">
        <v>102.88200000000001</v>
      </c>
      <c r="V401">
        <v>21.559000000000001</v>
      </c>
      <c r="W401">
        <v>2.3540000000000001</v>
      </c>
      <c r="X401">
        <v>95.649000000000001</v>
      </c>
      <c r="Y401">
        <v>1.0580000000000001</v>
      </c>
      <c r="Z401">
        <v>0.25900000000000001</v>
      </c>
      <c r="AA401">
        <v>0</v>
      </c>
      <c r="AB401">
        <v>0</v>
      </c>
      <c r="AC401">
        <v>1</v>
      </c>
      <c r="AD401">
        <v>39.938000000000002</v>
      </c>
      <c r="AE401">
        <v>1</v>
      </c>
      <c r="AF401">
        <v>54</v>
      </c>
      <c r="AG401">
        <v>4</v>
      </c>
      <c r="AH401" t="s">
        <v>361</v>
      </c>
      <c r="AI401">
        <v>0</v>
      </c>
    </row>
    <row r="402" spans="1:35" x14ac:dyDescent="0.2">
      <c r="A402">
        <v>401</v>
      </c>
      <c r="B402" t="s">
        <v>904</v>
      </c>
      <c r="C402" t="s">
        <v>906</v>
      </c>
      <c r="D402" t="s">
        <v>414</v>
      </c>
      <c r="E402">
        <v>2</v>
      </c>
      <c r="F402">
        <v>-3.3879999999999999</v>
      </c>
      <c r="G402">
        <v>-11.627000000000001</v>
      </c>
      <c r="H402">
        <v>17471</v>
      </c>
      <c r="I402">
        <v>-1</v>
      </c>
      <c r="J402">
        <v>1</v>
      </c>
      <c r="K402" t="s">
        <v>359</v>
      </c>
      <c r="L402" t="s">
        <v>359</v>
      </c>
      <c r="M402" t="s">
        <v>360</v>
      </c>
      <c r="N402">
        <v>1649319235.8</v>
      </c>
      <c r="O402">
        <v>0.222</v>
      </c>
      <c r="P402">
        <v>0.40400000000000003</v>
      </c>
      <c r="Q402">
        <v>58.45</v>
      </c>
      <c r="R402">
        <v>1E-3</v>
      </c>
      <c r="S402">
        <v>-1E-3</v>
      </c>
      <c r="T402">
        <v>1.4019999999999999</v>
      </c>
      <c r="U402">
        <v>103.21899999999999</v>
      </c>
      <c r="V402">
        <v>21.484000000000002</v>
      </c>
      <c r="W402">
        <v>2.4079999999999999</v>
      </c>
      <c r="X402">
        <v>96.66</v>
      </c>
      <c r="Y402">
        <v>1.0589999999999999</v>
      </c>
      <c r="Z402">
        <v>0.34399999999999997</v>
      </c>
      <c r="AA402">
        <v>0</v>
      </c>
      <c r="AB402">
        <v>0</v>
      </c>
      <c r="AC402">
        <v>1</v>
      </c>
      <c r="AD402">
        <v>39.938000000000002</v>
      </c>
      <c r="AE402">
        <v>1</v>
      </c>
      <c r="AF402">
        <v>54</v>
      </c>
      <c r="AG402">
        <v>4</v>
      </c>
      <c r="AH402" t="s">
        <v>361</v>
      </c>
      <c r="AI402">
        <v>0</v>
      </c>
    </row>
    <row r="403" spans="1:35" x14ac:dyDescent="0.2">
      <c r="A403">
        <v>402</v>
      </c>
      <c r="B403" t="s">
        <v>904</v>
      </c>
      <c r="C403" t="s">
        <v>907</v>
      </c>
      <c r="D403" t="s">
        <v>414</v>
      </c>
      <c r="E403">
        <v>3</v>
      </c>
      <c r="F403">
        <v>-3.323</v>
      </c>
      <c r="G403">
        <v>-11.14</v>
      </c>
      <c r="H403">
        <v>17409</v>
      </c>
      <c r="I403">
        <v>-1</v>
      </c>
      <c r="J403">
        <v>1</v>
      </c>
      <c r="K403" t="s">
        <v>359</v>
      </c>
      <c r="L403" t="s">
        <v>359</v>
      </c>
      <c r="M403" t="s">
        <v>360</v>
      </c>
      <c r="N403">
        <v>1649319773.6099999</v>
      </c>
      <c r="O403">
        <v>0.24399999999999999</v>
      </c>
      <c r="P403">
        <v>0.438</v>
      </c>
      <c r="Q403">
        <v>57.707000000000001</v>
      </c>
      <c r="R403">
        <v>1E-3</v>
      </c>
      <c r="S403">
        <v>-1E-3</v>
      </c>
      <c r="T403">
        <v>1.3859999999999999</v>
      </c>
      <c r="U403">
        <v>103.465</v>
      </c>
      <c r="V403">
        <v>20.565000000000001</v>
      </c>
      <c r="W403">
        <v>2.3820000000000001</v>
      </c>
      <c r="X403">
        <v>95.471999999999994</v>
      </c>
      <c r="Y403">
        <v>1.0680000000000001</v>
      </c>
      <c r="Z403">
        <v>-9.1999999999999998E-2</v>
      </c>
      <c r="AA403">
        <v>0</v>
      </c>
      <c r="AB403">
        <v>0</v>
      </c>
      <c r="AC403">
        <v>1</v>
      </c>
      <c r="AD403">
        <v>39.875</v>
      </c>
      <c r="AE403">
        <v>1</v>
      </c>
      <c r="AF403">
        <v>54</v>
      </c>
      <c r="AG403">
        <v>4</v>
      </c>
      <c r="AH403" t="s">
        <v>361</v>
      </c>
      <c r="AI403">
        <v>0</v>
      </c>
    </row>
    <row r="404" spans="1:35" x14ac:dyDescent="0.2">
      <c r="A404">
        <v>403</v>
      </c>
      <c r="B404" t="s">
        <v>904</v>
      </c>
      <c r="C404" t="s">
        <v>908</v>
      </c>
      <c r="D404" t="s">
        <v>414</v>
      </c>
      <c r="E404">
        <v>4</v>
      </c>
      <c r="F404">
        <v>-3.274</v>
      </c>
      <c r="G404">
        <v>-11.009</v>
      </c>
      <c r="H404">
        <v>17557</v>
      </c>
      <c r="I404">
        <v>0</v>
      </c>
      <c r="J404">
        <v>1</v>
      </c>
      <c r="K404" t="s">
        <v>359</v>
      </c>
      <c r="L404" t="s">
        <v>359</v>
      </c>
      <c r="M404" t="s">
        <v>360</v>
      </c>
      <c r="N404">
        <v>1649320311.8099999</v>
      </c>
      <c r="O404">
        <v>0.22500000000000001</v>
      </c>
      <c r="P404">
        <v>0.41199999999999998</v>
      </c>
      <c r="Q404">
        <v>58.636000000000003</v>
      </c>
      <c r="R404">
        <v>1E-3</v>
      </c>
      <c r="S404">
        <v>-1E-3</v>
      </c>
      <c r="T404">
        <v>1.401</v>
      </c>
      <c r="U404">
        <v>104.033</v>
      </c>
      <c r="V404">
        <v>20.254000000000001</v>
      </c>
      <c r="W404">
        <v>2.5179999999999998</v>
      </c>
      <c r="X404">
        <v>99.902000000000001</v>
      </c>
      <c r="Y404">
        <v>1.0649999999999999</v>
      </c>
      <c r="Z404">
        <v>0.53500000000000003</v>
      </c>
      <c r="AA404">
        <v>0</v>
      </c>
      <c r="AB404">
        <v>0</v>
      </c>
      <c r="AC404">
        <v>1</v>
      </c>
      <c r="AD404">
        <v>39.875</v>
      </c>
      <c r="AE404">
        <v>1</v>
      </c>
      <c r="AF404">
        <v>54</v>
      </c>
      <c r="AG404">
        <v>4</v>
      </c>
      <c r="AH404" t="s">
        <v>361</v>
      </c>
      <c r="AI404">
        <v>0</v>
      </c>
    </row>
    <row r="405" spans="1:35" x14ac:dyDescent="0.2">
      <c r="A405">
        <v>404</v>
      </c>
      <c r="B405" t="s">
        <v>904</v>
      </c>
      <c r="C405" t="s">
        <v>909</v>
      </c>
      <c r="D405" t="s">
        <v>414</v>
      </c>
      <c r="E405">
        <v>5</v>
      </c>
      <c r="F405">
        <v>-3.2839999999999998</v>
      </c>
      <c r="G405">
        <v>-11.103</v>
      </c>
      <c r="H405">
        <v>17576</v>
      </c>
      <c r="I405">
        <v>0</v>
      </c>
      <c r="J405">
        <v>1</v>
      </c>
      <c r="K405" t="s">
        <v>359</v>
      </c>
      <c r="L405" t="s">
        <v>359</v>
      </c>
      <c r="M405" t="s">
        <v>360</v>
      </c>
      <c r="N405">
        <v>1649320848.96</v>
      </c>
      <c r="O405">
        <v>0.22</v>
      </c>
      <c r="P405">
        <v>0.42499999999999999</v>
      </c>
      <c r="Q405">
        <v>59.457999999999998</v>
      </c>
      <c r="R405">
        <v>0</v>
      </c>
      <c r="S405">
        <v>-2E-3</v>
      </c>
      <c r="T405">
        <v>1.43</v>
      </c>
      <c r="U405">
        <v>104.25700000000001</v>
      </c>
      <c r="V405">
        <v>19.809999999999999</v>
      </c>
      <c r="W405">
        <v>2.6219999999999999</v>
      </c>
      <c r="X405">
        <v>100.77200000000001</v>
      </c>
      <c r="Y405">
        <v>1.0529999999999999</v>
      </c>
      <c r="Z405">
        <v>0.751</v>
      </c>
      <c r="AA405">
        <v>0</v>
      </c>
      <c r="AB405">
        <v>0</v>
      </c>
      <c r="AC405">
        <v>1</v>
      </c>
      <c r="AD405">
        <v>39.938000000000002</v>
      </c>
      <c r="AE405">
        <v>1</v>
      </c>
      <c r="AF405">
        <v>54</v>
      </c>
      <c r="AG405">
        <v>4</v>
      </c>
      <c r="AH405" t="s">
        <v>361</v>
      </c>
      <c r="AI405">
        <v>0</v>
      </c>
    </row>
    <row r="406" spans="1:35" x14ac:dyDescent="0.2">
      <c r="A406">
        <v>405</v>
      </c>
      <c r="B406" t="s">
        <v>904</v>
      </c>
      <c r="C406" t="s">
        <v>910</v>
      </c>
      <c r="D406" t="s">
        <v>414</v>
      </c>
      <c r="E406">
        <v>6</v>
      </c>
      <c r="F406">
        <v>-3.246</v>
      </c>
      <c r="G406">
        <v>-11.099</v>
      </c>
      <c r="H406">
        <v>17468</v>
      </c>
      <c r="I406">
        <v>0</v>
      </c>
      <c r="J406">
        <v>1</v>
      </c>
      <c r="K406" t="s">
        <v>359</v>
      </c>
      <c r="L406" t="s">
        <v>359</v>
      </c>
      <c r="M406" t="s">
        <v>360</v>
      </c>
      <c r="N406">
        <v>1649321385.73</v>
      </c>
      <c r="O406">
        <v>0.222</v>
      </c>
      <c r="P406">
        <v>0.41</v>
      </c>
      <c r="Q406">
        <v>59.295000000000002</v>
      </c>
      <c r="R406">
        <v>1E-3</v>
      </c>
      <c r="S406">
        <v>0</v>
      </c>
      <c r="T406">
        <v>1.4179999999999999</v>
      </c>
      <c r="U406">
        <v>103.532</v>
      </c>
      <c r="V406">
        <v>18.791</v>
      </c>
      <c r="W406">
        <v>2.77</v>
      </c>
      <c r="X406">
        <v>103.524</v>
      </c>
      <c r="Y406">
        <v>1.0629999999999999</v>
      </c>
      <c r="Z406">
        <v>1.0529999999999999</v>
      </c>
      <c r="AA406">
        <v>0</v>
      </c>
      <c r="AB406">
        <v>0</v>
      </c>
      <c r="AC406">
        <v>1</v>
      </c>
      <c r="AD406">
        <v>40</v>
      </c>
      <c r="AE406">
        <v>1</v>
      </c>
      <c r="AF406">
        <v>54</v>
      </c>
      <c r="AG406">
        <v>4</v>
      </c>
      <c r="AH406" t="s">
        <v>361</v>
      </c>
      <c r="AI406">
        <v>0</v>
      </c>
    </row>
    <row r="407" spans="1:35" x14ac:dyDescent="0.2">
      <c r="A407">
        <v>406</v>
      </c>
      <c r="B407" t="s">
        <v>911</v>
      </c>
      <c r="C407" t="s">
        <v>912</v>
      </c>
      <c r="D407" t="s">
        <v>415</v>
      </c>
      <c r="E407">
        <v>1</v>
      </c>
      <c r="F407">
        <v>-3.88</v>
      </c>
      <c r="G407">
        <v>-18.945</v>
      </c>
      <c r="H407">
        <v>17421</v>
      </c>
      <c r="I407">
        <v>-1</v>
      </c>
      <c r="J407">
        <v>1</v>
      </c>
      <c r="K407" t="s">
        <v>359</v>
      </c>
      <c r="L407" t="s">
        <v>359</v>
      </c>
      <c r="M407" t="s">
        <v>360</v>
      </c>
      <c r="N407">
        <v>1649321924.52</v>
      </c>
      <c r="O407">
        <v>0.221</v>
      </c>
      <c r="P407">
        <v>0.38400000000000001</v>
      </c>
      <c r="Q407">
        <v>58.081000000000003</v>
      </c>
      <c r="R407">
        <v>0</v>
      </c>
      <c r="S407">
        <v>1E-3</v>
      </c>
      <c r="T407">
        <v>1.395</v>
      </c>
      <c r="U407">
        <v>103.434</v>
      </c>
      <c r="V407">
        <v>17.911000000000001</v>
      </c>
      <c r="W407">
        <v>2.871</v>
      </c>
      <c r="X407">
        <v>104.605</v>
      </c>
      <c r="Y407">
        <v>1.069</v>
      </c>
      <c r="Z407">
        <v>1.2090000000000001</v>
      </c>
      <c r="AA407">
        <v>0</v>
      </c>
      <c r="AB407">
        <v>0</v>
      </c>
      <c r="AC407">
        <v>1</v>
      </c>
      <c r="AD407">
        <v>39.938000000000002</v>
      </c>
      <c r="AE407">
        <v>1</v>
      </c>
      <c r="AF407">
        <v>55</v>
      </c>
      <c r="AG407">
        <v>4</v>
      </c>
      <c r="AH407" t="s">
        <v>361</v>
      </c>
      <c r="AI407">
        <v>0</v>
      </c>
    </row>
    <row r="408" spans="1:35" x14ac:dyDescent="0.2">
      <c r="A408">
        <v>407</v>
      </c>
      <c r="B408" t="s">
        <v>911</v>
      </c>
      <c r="C408" t="s">
        <v>913</v>
      </c>
      <c r="D408" t="s">
        <v>415</v>
      </c>
      <c r="E408">
        <v>2</v>
      </c>
      <c r="F408">
        <v>-3.9449999999999998</v>
      </c>
      <c r="G408">
        <v>-19.692</v>
      </c>
      <c r="H408">
        <v>17413</v>
      </c>
      <c r="I408">
        <v>-1</v>
      </c>
      <c r="J408">
        <v>1</v>
      </c>
      <c r="K408" t="s">
        <v>359</v>
      </c>
      <c r="L408" t="s">
        <v>359</v>
      </c>
      <c r="M408" t="s">
        <v>360</v>
      </c>
      <c r="N408">
        <v>1649322460.8699999</v>
      </c>
      <c r="O408">
        <v>0.19</v>
      </c>
      <c r="P408">
        <v>0.43099999999999999</v>
      </c>
      <c r="Q408">
        <v>64.262</v>
      </c>
      <c r="R408">
        <v>2E-3</v>
      </c>
      <c r="S408">
        <v>3.0000000000000001E-3</v>
      </c>
      <c r="T408">
        <v>1.5409999999999999</v>
      </c>
      <c r="U408">
        <v>103.283</v>
      </c>
      <c r="V408">
        <v>18.582000000000001</v>
      </c>
      <c r="W408">
        <v>2.7719999999999998</v>
      </c>
      <c r="X408">
        <v>102.943</v>
      </c>
      <c r="Y408">
        <v>1.0549999999999999</v>
      </c>
      <c r="Z408">
        <v>1.139</v>
      </c>
      <c r="AA408">
        <v>0</v>
      </c>
      <c r="AB408">
        <v>0</v>
      </c>
      <c r="AC408">
        <v>1</v>
      </c>
      <c r="AD408">
        <v>39.875</v>
      </c>
      <c r="AE408">
        <v>1</v>
      </c>
      <c r="AF408">
        <v>55</v>
      </c>
      <c r="AG408">
        <v>4</v>
      </c>
      <c r="AH408" t="s">
        <v>361</v>
      </c>
      <c r="AI408">
        <v>0</v>
      </c>
    </row>
    <row r="409" spans="1:35" x14ac:dyDescent="0.2">
      <c r="A409">
        <v>408</v>
      </c>
      <c r="B409" t="s">
        <v>911</v>
      </c>
      <c r="C409" t="s">
        <v>914</v>
      </c>
      <c r="D409" t="s">
        <v>415</v>
      </c>
      <c r="E409">
        <v>3</v>
      </c>
      <c r="F409">
        <v>-3.8519999999999999</v>
      </c>
      <c r="G409">
        <v>-19.486999999999998</v>
      </c>
      <c r="H409">
        <v>17420</v>
      </c>
      <c r="I409">
        <v>-1</v>
      </c>
      <c r="J409">
        <v>1</v>
      </c>
      <c r="K409" t="s">
        <v>359</v>
      </c>
      <c r="L409" t="s">
        <v>359</v>
      </c>
      <c r="M409" t="s">
        <v>360</v>
      </c>
      <c r="N409">
        <v>1649322999.2</v>
      </c>
      <c r="O409">
        <v>0.22800000000000001</v>
      </c>
      <c r="P409">
        <v>0.38800000000000001</v>
      </c>
      <c r="Q409">
        <v>59.58</v>
      </c>
      <c r="R409">
        <v>1E-3</v>
      </c>
      <c r="S409">
        <v>0</v>
      </c>
      <c r="T409">
        <v>1.43</v>
      </c>
      <c r="U409">
        <v>103.68300000000001</v>
      </c>
      <c r="V409">
        <v>17.318999999999999</v>
      </c>
      <c r="W409">
        <v>2.8740000000000001</v>
      </c>
      <c r="X409">
        <v>104.913</v>
      </c>
      <c r="Y409">
        <v>1.0549999999999999</v>
      </c>
      <c r="Z409">
        <v>1.1399999999999999</v>
      </c>
      <c r="AA409">
        <v>0</v>
      </c>
      <c r="AB409">
        <v>0</v>
      </c>
      <c r="AC409">
        <v>1</v>
      </c>
      <c r="AD409">
        <v>39.811999999999998</v>
      </c>
      <c r="AE409">
        <v>1</v>
      </c>
      <c r="AF409">
        <v>55</v>
      </c>
      <c r="AG409">
        <v>4</v>
      </c>
      <c r="AH409" t="s">
        <v>361</v>
      </c>
      <c r="AI409">
        <v>0</v>
      </c>
    </row>
    <row r="410" spans="1:35" x14ac:dyDescent="0.2">
      <c r="A410">
        <v>409</v>
      </c>
      <c r="B410" t="s">
        <v>911</v>
      </c>
      <c r="C410" t="s">
        <v>915</v>
      </c>
      <c r="D410" t="s">
        <v>415</v>
      </c>
      <c r="E410">
        <v>4</v>
      </c>
      <c r="F410">
        <v>-3.883</v>
      </c>
      <c r="G410">
        <v>-19.385999999999999</v>
      </c>
      <c r="H410">
        <v>17405</v>
      </c>
      <c r="I410">
        <v>0</v>
      </c>
      <c r="J410">
        <v>1</v>
      </c>
      <c r="K410" t="s">
        <v>359</v>
      </c>
      <c r="L410" t="s">
        <v>359</v>
      </c>
      <c r="M410" t="s">
        <v>360</v>
      </c>
      <c r="N410">
        <v>1649323535.3499999</v>
      </c>
      <c r="O410">
        <v>0.215</v>
      </c>
      <c r="P410">
        <v>0.41499999999999998</v>
      </c>
      <c r="Q410">
        <v>59.372999999999998</v>
      </c>
      <c r="R410">
        <v>0</v>
      </c>
      <c r="S410">
        <v>1E-3</v>
      </c>
      <c r="T410">
        <v>1.4339999999999999</v>
      </c>
      <c r="U410">
        <v>103.39400000000001</v>
      </c>
      <c r="V410">
        <v>18.14</v>
      </c>
      <c r="W410">
        <v>2.8279999999999998</v>
      </c>
      <c r="X410">
        <v>103.41</v>
      </c>
      <c r="Y410">
        <v>1.05</v>
      </c>
      <c r="Z410">
        <v>1.0409999999999999</v>
      </c>
      <c r="AA410">
        <v>0</v>
      </c>
      <c r="AB410">
        <v>0</v>
      </c>
      <c r="AC410">
        <v>1</v>
      </c>
      <c r="AD410">
        <v>39.811999999999998</v>
      </c>
      <c r="AE410">
        <v>1</v>
      </c>
      <c r="AF410">
        <v>55</v>
      </c>
      <c r="AG410">
        <v>4</v>
      </c>
      <c r="AH410" t="s">
        <v>361</v>
      </c>
      <c r="AI410">
        <v>0</v>
      </c>
    </row>
    <row r="411" spans="1:35" x14ac:dyDescent="0.2">
      <c r="A411">
        <v>410</v>
      </c>
      <c r="B411" t="s">
        <v>911</v>
      </c>
      <c r="C411" t="s">
        <v>916</v>
      </c>
      <c r="D411" t="s">
        <v>415</v>
      </c>
      <c r="E411">
        <v>5</v>
      </c>
      <c r="F411">
        <v>-3.8759999999999999</v>
      </c>
      <c r="G411">
        <v>-19.588000000000001</v>
      </c>
      <c r="H411">
        <v>17429</v>
      </c>
      <c r="I411">
        <v>0</v>
      </c>
      <c r="J411">
        <v>1</v>
      </c>
      <c r="K411" t="s">
        <v>359</v>
      </c>
      <c r="L411" t="s">
        <v>359</v>
      </c>
      <c r="M411" t="s">
        <v>360</v>
      </c>
      <c r="N411">
        <v>1649324072.73</v>
      </c>
      <c r="O411">
        <v>0.20300000000000001</v>
      </c>
      <c r="P411">
        <v>0.375</v>
      </c>
      <c r="Q411">
        <v>58.692999999999998</v>
      </c>
      <c r="R411">
        <v>1E-3</v>
      </c>
      <c r="S411">
        <v>0</v>
      </c>
      <c r="T411">
        <v>1.405</v>
      </c>
      <c r="U411">
        <v>103.438</v>
      </c>
      <c r="V411">
        <v>19.385000000000002</v>
      </c>
      <c r="W411">
        <v>2.6779999999999999</v>
      </c>
      <c r="X411">
        <v>100.378</v>
      </c>
      <c r="Y411">
        <v>1.0549999999999999</v>
      </c>
      <c r="Z411">
        <v>0.78100000000000003</v>
      </c>
      <c r="AA411">
        <v>0</v>
      </c>
      <c r="AB411">
        <v>0</v>
      </c>
      <c r="AC411">
        <v>1</v>
      </c>
      <c r="AD411">
        <v>39.875</v>
      </c>
      <c r="AE411">
        <v>1</v>
      </c>
      <c r="AF411">
        <v>55</v>
      </c>
      <c r="AG411">
        <v>4</v>
      </c>
      <c r="AH411" t="s">
        <v>361</v>
      </c>
      <c r="AI411">
        <v>0</v>
      </c>
    </row>
    <row r="412" spans="1:35" x14ac:dyDescent="0.2">
      <c r="A412">
        <v>411</v>
      </c>
      <c r="B412" t="s">
        <v>911</v>
      </c>
      <c r="C412" t="s">
        <v>917</v>
      </c>
      <c r="D412" t="s">
        <v>415</v>
      </c>
      <c r="E412">
        <v>6</v>
      </c>
      <c r="F412">
        <v>-3.907</v>
      </c>
      <c r="G412">
        <v>-19.628</v>
      </c>
      <c r="H412">
        <v>17390</v>
      </c>
      <c r="I412">
        <v>0</v>
      </c>
      <c r="J412">
        <v>1</v>
      </c>
      <c r="K412" t="s">
        <v>359</v>
      </c>
      <c r="L412" t="s">
        <v>359</v>
      </c>
      <c r="M412" t="s">
        <v>360</v>
      </c>
      <c r="N412">
        <v>1649324610.8299999</v>
      </c>
      <c r="O412">
        <v>0.21299999999999999</v>
      </c>
      <c r="P412">
        <v>0.374</v>
      </c>
      <c r="Q412">
        <v>58.713000000000001</v>
      </c>
      <c r="R412">
        <v>1E-3</v>
      </c>
      <c r="S412">
        <v>2E-3</v>
      </c>
      <c r="T412">
        <v>1.4079999999999999</v>
      </c>
      <c r="U412">
        <v>103.261</v>
      </c>
      <c r="V412">
        <v>19.568999999999999</v>
      </c>
      <c r="W412">
        <v>2.6080000000000001</v>
      </c>
      <c r="X412">
        <v>98.936000000000007</v>
      </c>
      <c r="Y412">
        <v>1.0589999999999999</v>
      </c>
      <c r="Z412">
        <v>0.60499999999999998</v>
      </c>
      <c r="AA412">
        <v>0</v>
      </c>
      <c r="AB412">
        <v>0</v>
      </c>
      <c r="AC412">
        <v>1</v>
      </c>
      <c r="AD412">
        <v>40</v>
      </c>
      <c r="AE412">
        <v>1</v>
      </c>
      <c r="AF412">
        <v>55</v>
      </c>
      <c r="AG412">
        <v>4</v>
      </c>
      <c r="AH412" t="s">
        <v>361</v>
      </c>
      <c r="AI412">
        <v>0</v>
      </c>
    </row>
    <row r="413" spans="1:35" x14ac:dyDescent="0.2">
      <c r="A413">
        <v>412</v>
      </c>
      <c r="B413" t="s">
        <v>918</v>
      </c>
      <c r="C413" t="s">
        <v>919</v>
      </c>
      <c r="D413" t="s">
        <v>416</v>
      </c>
      <c r="E413">
        <v>1</v>
      </c>
      <c r="F413">
        <v>-5.2240000000000002</v>
      </c>
      <c r="G413">
        <v>-27.687999999999999</v>
      </c>
      <c r="H413">
        <v>17346</v>
      </c>
      <c r="I413">
        <v>-1</v>
      </c>
      <c r="J413">
        <v>1</v>
      </c>
      <c r="K413" t="s">
        <v>359</v>
      </c>
      <c r="L413" t="s">
        <v>359</v>
      </c>
      <c r="M413" t="s">
        <v>360</v>
      </c>
      <c r="N413">
        <v>1649325147.6199999</v>
      </c>
      <c r="O413">
        <v>0.193</v>
      </c>
      <c r="P413">
        <v>0.33400000000000002</v>
      </c>
      <c r="Q413">
        <v>57.786999999999999</v>
      </c>
      <c r="R413">
        <v>1E-3</v>
      </c>
      <c r="S413">
        <v>1E-3</v>
      </c>
      <c r="T413">
        <v>1.3919999999999999</v>
      </c>
      <c r="U413">
        <v>102.843</v>
      </c>
      <c r="V413">
        <v>19.952999999999999</v>
      </c>
      <c r="W413">
        <v>2.5790000000000002</v>
      </c>
      <c r="X413">
        <v>98.427000000000007</v>
      </c>
      <c r="Y413">
        <v>1.044</v>
      </c>
      <c r="Z413">
        <v>0.61599999999999999</v>
      </c>
      <c r="AA413">
        <v>0</v>
      </c>
      <c r="AB413">
        <v>0</v>
      </c>
      <c r="AC413">
        <v>1</v>
      </c>
      <c r="AD413">
        <v>39.938000000000002</v>
      </c>
      <c r="AE413">
        <v>1</v>
      </c>
      <c r="AF413">
        <v>56</v>
      </c>
      <c r="AG413">
        <v>4</v>
      </c>
      <c r="AH413" t="s">
        <v>361</v>
      </c>
      <c r="AI413">
        <v>0</v>
      </c>
    </row>
    <row r="414" spans="1:35" x14ac:dyDescent="0.2">
      <c r="A414">
        <v>413</v>
      </c>
      <c r="B414" t="s">
        <v>918</v>
      </c>
      <c r="C414" t="s">
        <v>920</v>
      </c>
      <c r="D414" t="s">
        <v>416</v>
      </c>
      <c r="E414">
        <v>2</v>
      </c>
      <c r="F414">
        <v>-5.2729999999999997</v>
      </c>
      <c r="G414">
        <v>-28.138999999999999</v>
      </c>
      <c r="H414">
        <v>17350</v>
      </c>
      <c r="I414">
        <v>-1</v>
      </c>
      <c r="J414">
        <v>1</v>
      </c>
      <c r="K414" t="s">
        <v>359</v>
      </c>
      <c r="L414" t="s">
        <v>359</v>
      </c>
      <c r="M414" t="s">
        <v>360</v>
      </c>
      <c r="N414">
        <v>1649325685.22</v>
      </c>
      <c r="O414">
        <v>0.20399999999999999</v>
      </c>
      <c r="P414">
        <v>0.42499999999999999</v>
      </c>
      <c r="Q414">
        <v>60.122999999999998</v>
      </c>
      <c r="R414">
        <v>1E-3</v>
      </c>
      <c r="S414">
        <v>2E-3</v>
      </c>
      <c r="T414">
        <v>1.4350000000000001</v>
      </c>
      <c r="U414">
        <v>102.59699999999999</v>
      </c>
      <c r="V414">
        <v>20.800999999999998</v>
      </c>
      <c r="W414">
        <v>2.5670000000000002</v>
      </c>
      <c r="X414">
        <v>97.26</v>
      </c>
      <c r="Y414">
        <v>1.056</v>
      </c>
      <c r="Z414">
        <v>0.53500000000000003</v>
      </c>
      <c r="AA414">
        <v>0</v>
      </c>
      <c r="AB414">
        <v>0</v>
      </c>
      <c r="AC414">
        <v>1</v>
      </c>
      <c r="AD414">
        <v>39.938000000000002</v>
      </c>
      <c r="AE414">
        <v>1</v>
      </c>
      <c r="AF414">
        <v>56</v>
      </c>
      <c r="AG414">
        <v>4</v>
      </c>
      <c r="AH414" t="s">
        <v>361</v>
      </c>
      <c r="AI414">
        <v>0</v>
      </c>
    </row>
    <row r="415" spans="1:35" x14ac:dyDescent="0.2">
      <c r="A415">
        <v>414</v>
      </c>
      <c r="B415" t="s">
        <v>918</v>
      </c>
      <c r="C415" t="s">
        <v>921</v>
      </c>
      <c r="D415" t="s">
        <v>416</v>
      </c>
      <c r="E415">
        <v>3</v>
      </c>
      <c r="F415">
        <v>-5.37</v>
      </c>
      <c r="G415">
        <v>-28.931000000000001</v>
      </c>
      <c r="H415">
        <v>17336</v>
      </c>
      <c r="I415">
        <v>-1</v>
      </c>
      <c r="J415">
        <v>1</v>
      </c>
      <c r="K415" t="s">
        <v>359</v>
      </c>
      <c r="L415" t="s">
        <v>359</v>
      </c>
      <c r="M415" t="s">
        <v>360</v>
      </c>
      <c r="N415">
        <v>1649326222.7</v>
      </c>
      <c r="O415">
        <v>0.21299999999999999</v>
      </c>
      <c r="P415">
        <v>0.39</v>
      </c>
      <c r="Q415">
        <v>68.009</v>
      </c>
      <c r="R415">
        <v>2E-3</v>
      </c>
      <c r="S415">
        <v>5.0000000000000001E-3</v>
      </c>
      <c r="T415">
        <v>1.6379999999999999</v>
      </c>
      <c r="U415">
        <v>102.955</v>
      </c>
      <c r="V415">
        <v>20.396000000000001</v>
      </c>
      <c r="W415">
        <v>2.4689999999999999</v>
      </c>
      <c r="X415">
        <v>95.933000000000007</v>
      </c>
      <c r="Y415">
        <v>1.0449999999999999</v>
      </c>
      <c r="Z415">
        <v>0.182</v>
      </c>
      <c r="AA415">
        <v>0</v>
      </c>
      <c r="AB415">
        <v>0</v>
      </c>
      <c r="AC415">
        <v>1</v>
      </c>
      <c r="AD415">
        <v>39.938000000000002</v>
      </c>
      <c r="AE415">
        <v>1</v>
      </c>
      <c r="AF415">
        <v>56</v>
      </c>
      <c r="AG415">
        <v>4</v>
      </c>
      <c r="AH415" t="s">
        <v>361</v>
      </c>
      <c r="AI415">
        <v>0</v>
      </c>
    </row>
    <row r="416" spans="1:35" x14ac:dyDescent="0.2">
      <c r="A416">
        <v>415</v>
      </c>
      <c r="B416" t="s">
        <v>918</v>
      </c>
      <c r="C416" t="s">
        <v>922</v>
      </c>
      <c r="D416" t="s">
        <v>416</v>
      </c>
      <c r="E416">
        <v>4</v>
      </c>
      <c r="F416">
        <v>-5.234</v>
      </c>
      <c r="G416">
        <v>-28.555</v>
      </c>
      <c r="H416">
        <v>17393</v>
      </c>
      <c r="I416">
        <v>0</v>
      </c>
      <c r="J416">
        <v>1</v>
      </c>
      <c r="K416" t="s">
        <v>359</v>
      </c>
      <c r="L416" t="s">
        <v>359</v>
      </c>
      <c r="M416" t="s">
        <v>360</v>
      </c>
      <c r="N416">
        <v>1649326760.9200001</v>
      </c>
      <c r="O416">
        <v>0.188</v>
      </c>
      <c r="P416">
        <v>0.434</v>
      </c>
      <c r="Q416">
        <v>61.668999999999997</v>
      </c>
      <c r="R416">
        <v>1E-3</v>
      </c>
      <c r="S416">
        <v>1E-3</v>
      </c>
      <c r="T416">
        <v>1.466</v>
      </c>
      <c r="U416">
        <v>102.994</v>
      </c>
      <c r="V416">
        <v>21.081</v>
      </c>
      <c r="W416">
        <v>2.5190000000000001</v>
      </c>
      <c r="X416">
        <v>96.245000000000005</v>
      </c>
      <c r="Y416">
        <v>1.0529999999999999</v>
      </c>
      <c r="Z416">
        <v>0.42899999999999999</v>
      </c>
      <c r="AA416">
        <v>0</v>
      </c>
      <c r="AB416">
        <v>0</v>
      </c>
      <c r="AC416">
        <v>1</v>
      </c>
      <c r="AD416">
        <v>39.875</v>
      </c>
      <c r="AE416">
        <v>1</v>
      </c>
      <c r="AF416">
        <v>56</v>
      </c>
      <c r="AG416">
        <v>4</v>
      </c>
      <c r="AH416" t="s">
        <v>361</v>
      </c>
      <c r="AI416">
        <v>0</v>
      </c>
    </row>
    <row r="417" spans="1:35" x14ac:dyDescent="0.2">
      <c r="A417">
        <v>416</v>
      </c>
      <c r="B417" t="s">
        <v>918</v>
      </c>
      <c r="C417" t="s">
        <v>923</v>
      </c>
      <c r="D417" t="s">
        <v>416</v>
      </c>
      <c r="E417">
        <v>5</v>
      </c>
      <c r="F417">
        <v>-5.3129999999999997</v>
      </c>
      <c r="G417">
        <v>-28.713000000000001</v>
      </c>
      <c r="H417">
        <v>17360</v>
      </c>
      <c r="I417">
        <v>0</v>
      </c>
      <c r="J417">
        <v>1</v>
      </c>
      <c r="K417" t="s">
        <v>359</v>
      </c>
      <c r="L417" t="s">
        <v>359</v>
      </c>
      <c r="M417" t="s">
        <v>360</v>
      </c>
      <c r="N417">
        <v>1649327296.99</v>
      </c>
      <c r="O417">
        <v>0.21</v>
      </c>
      <c r="P417">
        <v>0.377</v>
      </c>
      <c r="Q417">
        <v>59.146000000000001</v>
      </c>
      <c r="R417">
        <v>1E-3</v>
      </c>
      <c r="S417">
        <v>1E-3</v>
      </c>
      <c r="T417">
        <v>1.4279999999999999</v>
      </c>
      <c r="U417">
        <v>102.527</v>
      </c>
      <c r="V417">
        <v>21.393000000000001</v>
      </c>
      <c r="W417">
        <v>2.496</v>
      </c>
      <c r="X417">
        <v>96.194000000000003</v>
      </c>
      <c r="Y417">
        <v>1.0409999999999999</v>
      </c>
      <c r="Z417">
        <v>0.42599999999999999</v>
      </c>
      <c r="AA417">
        <v>0</v>
      </c>
      <c r="AB417">
        <v>0</v>
      </c>
      <c r="AC417">
        <v>1</v>
      </c>
      <c r="AD417">
        <v>39.938000000000002</v>
      </c>
      <c r="AE417">
        <v>1</v>
      </c>
      <c r="AF417">
        <v>56</v>
      </c>
      <c r="AG417">
        <v>4</v>
      </c>
      <c r="AH417" t="s">
        <v>361</v>
      </c>
      <c r="AI417">
        <v>0</v>
      </c>
    </row>
    <row r="418" spans="1:35" x14ac:dyDescent="0.2">
      <c r="A418">
        <v>417</v>
      </c>
      <c r="B418" t="s">
        <v>918</v>
      </c>
      <c r="C418" t="s">
        <v>924</v>
      </c>
      <c r="D418" t="s">
        <v>416</v>
      </c>
      <c r="E418">
        <v>6</v>
      </c>
      <c r="F418">
        <v>-5.2969999999999997</v>
      </c>
      <c r="G418">
        <v>-28.85</v>
      </c>
      <c r="H418">
        <v>17419</v>
      </c>
      <c r="I418">
        <v>0</v>
      </c>
      <c r="J418">
        <v>1</v>
      </c>
      <c r="K418" t="s">
        <v>359</v>
      </c>
      <c r="L418" t="s">
        <v>359</v>
      </c>
      <c r="M418" t="s">
        <v>360</v>
      </c>
      <c r="N418">
        <v>1649327834.95</v>
      </c>
      <c r="O418">
        <v>0.20599999999999999</v>
      </c>
      <c r="P418">
        <v>0.42099999999999999</v>
      </c>
      <c r="Q418">
        <v>57.978000000000002</v>
      </c>
      <c r="R418">
        <v>1E-3</v>
      </c>
      <c r="S418">
        <v>1E-3</v>
      </c>
      <c r="T418">
        <v>1.39</v>
      </c>
      <c r="U418">
        <v>103.047</v>
      </c>
      <c r="V418">
        <v>21.747</v>
      </c>
      <c r="W418">
        <v>2.4580000000000002</v>
      </c>
      <c r="X418">
        <v>94.819000000000003</v>
      </c>
      <c r="Y418">
        <v>1.0580000000000001</v>
      </c>
      <c r="Z418">
        <v>0.20300000000000001</v>
      </c>
      <c r="AA418">
        <v>0</v>
      </c>
      <c r="AB418">
        <v>0</v>
      </c>
      <c r="AC418">
        <v>1</v>
      </c>
      <c r="AD418">
        <v>39.938000000000002</v>
      </c>
      <c r="AE418">
        <v>1</v>
      </c>
      <c r="AF418">
        <v>56</v>
      </c>
      <c r="AG418">
        <v>4</v>
      </c>
      <c r="AH418" t="s">
        <v>361</v>
      </c>
      <c r="AI418">
        <v>0</v>
      </c>
    </row>
    <row r="419" spans="1:35" x14ac:dyDescent="0.2">
      <c r="A419">
        <v>418</v>
      </c>
      <c r="B419" t="s">
        <v>925</v>
      </c>
      <c r="C419" t="s">
        <v>926</v>
      </c>
      <c r="D419" t="s">
        <v>417</v>
      </c>
      <c r="E419">
        <v>1</v>
      </c>
      <c r="F419">
        <v>-3.9369999999999998</v>
      </c>
      <c r="G419">
        <v>-20.731999999999999</v>
      </c>
      <c r="H419">
        <v>17411</v>
      </c>
      <c r="I419">
        <v>-1</v>
      </c>
      <c r="J419">
        <v>1</v>
      </c>
      <c r="K419" t="s">
        <v>359</v>
      </c>
      <c r="L419" t="s">
        <v>359</v>
      </c>
      <c r="M419" t="s">
        <v>360</v>
      </c>
      <c r="N419">
        <v>1649328371.5799999</v>
      </c>
      <c r="O419">
        <v>0.192</v>
      </c>
      <c r="P419">
        <v>0.40300000000000002</v>
      </c>
      <c r="Q419">
        <v>58.595999999999997</v>
      </c>
      <c r="R419">
        <v>0</v>
      </c>
      <c r="S419">
        <v>-1E-3</v>
      </c>
      <c r="T419">
        <v>1.4039999999999999</v>
      </c>
      <c r="U419">
        <v>103.035</v>
      </c>
      <c r="V419">
        <v>21.577000000000002</v>
      </c>
      <c r="W419">
        <v>2.42</v>
      </c>
      <c r="X419">
        <v>95.055000000000007</v>
      </c>
      <c r="Y419">
        <v>1.046</v>
      </c>
      <c r="Z419">
        <v>0.16300000000000001</v>
      </c>
      <c r="AA419">
        <v>0</v>
      </c>
      <c r="AB419">
        <v>0</v>
      </c>
      <c r="AC419">
        <v>1</v>
      </c>
      <c r="AD419">
        <v>39.938000000000002</v>
      </c>
      <c r="AE419">
        <v>1</v>
      </c>
      <c r="AF419">
        <v>57</v>
      </c>
      <c r="AG419">
        <v>4</v>
      </c>
      <c r="AH419" t="s">
        <v>361</v>
      </c>
      <c r="AI419">
        <v>0</v>
      </c>
    </row>
    <row r="420" spans="1:35" x14ac:dyDescent="0.2">
      <c r="A420">
        <v>419</v>
      </c>
      <c r="B420" t="s">
        <v>925</v>
      </c>
      <c r="C420" t="s">
        <v>927</v>
      </c>
      <c r="D420" t="s">
        <v>417</v>
      </c>
      <c r="E420">
        <v>2</v>
      </c>
      <c r="F420">
        <v>-3.8759999999999999</v>
      </c>
      <c r="G420">
        <v>-19.867000000000001</v>
      </c>
      <c r="H420">
        <v>17487</v>
      </c>
      <c r="I420">
        <v>-1</v>
      </c>
      <c r="J420">
        <v>1</v>
      </c>
      <c r="K420" t="s">
        <v>359</v>
      </c>
      <c r="L420" t="s">
        <v>359</v>
      </c>
      <c r="M420" t="s">
        <v>360</v>
      </c>
      <c r="N420">
        <v>1649328909.22</v>
      </c>
      <c r="O420">
        <v>0.21299999999999999</v>
      </c>
      <c r="P420">
        <v>0.46500000000000002</v>
      </c>
      <c r="Q420">
        <v>61.475999999999999</v>
      </c>
      <c r="R420">
        <v>1E-3</v>
      </c>
      <c r="S420">
        <v>-1E-3</v>
      </c>
      <c r="T420">
        <v>1.4530000000000001</v>
      </c>
      <c r="U420">
        <v>103.182</v>
      </c>
      <c r="V420">
        <v>22.09</v>
      </c>
      <c r="W420">
        <v>2.5019999999999998</v>
      </c>
      <c r="X420">
        <v>96.025999999999996</v>
      </c>
      <c r="Y420">
        <v>1.0640000000000001</v>
      </c>
      <c r="Z420">
        <v>0.38700000000000001</v>
      </c>
      <c r="AA420">
        <v>0</v>
      </c>
      <c r="AB420">
        <v>0</v>
      </c>
      <c r="AC420">
        <v>1</v>
      </c>
      <c r="AD420">
        <v>39.875</v>
      </c>
      <c r="AE420">
        <v>1</v>
      </c>
      <c r="AF420">
        <v>57</v>
      </c>
      <c r="AG420">
        <v>4</v>
      </c>
      <c r="AH420" t="s">
        <v>361</v>
      </c>
      <c r="AI420">
        <v>0</v>
      </c>
    </row>
    <row r="421" spans="1:35" x14ac:dyDescent="0.2">
      <c r="A421">
        <v>420</v>
      </c>
      <c r="B421" t="s">
        <v>925</v>
      </c>
      <c r="C421" t="s">
        <v>928</v>
      </c>
      <c r="D421" t="s">
        <v>417</v>
      </c>
      <c r="E421">
        <v>3</v>
      </c>
      <c r="F421">
        <v>-3.8959999999999999</v>
      </c>
      <c r="G421">
        <v>-20.170999999999999</v>
      </c>
      <c r="H421">
        <v>17372</v>
      </c>
      <c r="I421">
        <v>-1</v>
      </c>
      <c r="J421">
        <v>1</v>
      </c>
      <c r="K421" t="s">
        <v>359</v>
      </c>
      <c r="L421" t="s">
        <v>359</v>
      </c>
      <c r="M421" t="s">
        <v>360</v>
      </c>
      <c r="N421">
        <v>1649329446.3099999</v>
      </c>
      <c r="O421">
        <v>0.21199999999999999</v>
      </c>
      <c r="P421">
        <v>0.4</v>
      </c>
      <c r="Q421">
        <v>58.473999999999997</v>
      </c>
      <c r="R421">
        <v>1E-3</v>
      </c>
      <c r="S421">
        <v>-1E-3</v>
      </c>
      <c r="T421">
        <v>1.3939999999999999</v>
      </c>
      <c r="U421">
        <v>102.256</v>
      </c>
      <c r="V421">
        <v>22.844999999999999</v>
      </c>
      <c r="W421">
        <v>2.4159999999999999</v>
      </c>
      <c r="X421">
        <v>93.872</v>
      </c>
      <c r="Y421">
        <v>1.0629999999999999</v>
      </c>
      <c r="Z421">
        <v>0.23899999999999999</v>
      </c>
      <c r="AA421">
        <v>0</v>
      </c>
      <c r="AB421">
        <v>0</v>
      </c>
      <c r="AC421">
        <v>1</v>
      </c>
      <c r="AD421">
        <v>39.875</v>
      </c>
      <c r="AE421">
        <v>1</v>
      </c>
      <c r="AF421">
        <v>57</v>
      </c>
      <c r="AG421">
        <v>4</v>
      </c>
      <c r="AH421" t="s">
        <v>361</v>
      </c>
      <c r="AI421">
        <v>0</v>
      </c>
    </row>
    <row r="422" spans="1:35" x14ac:dyDescent="0.2">
      <c r="A422">
        <v>421</v>
      </c>
      <c r="B422" t="s">
        <v>925</v>
      </c>
      <c r="C422" t="s">
        <v>929</v>
      </c>
      <c r="D422" t="s">
        <v>417</v>
      </c>
      <c r="E422">
        <v>4</v>
      </c>
      <c r="F422">
        <v>-3.851</v>
      </c>
      <c r="G422">
        <v>-19.994</v>
      </c>
      <c r="H422">
        <v>17403</v>
      </c>
      <c r="I422">
        <v>0</v>
      </c>
      <c r="J422">
        <v>1</v>
      </c>
      <c r="K422" t="s">
        <v>359</v>
      </c>
      <c r="L422" t="s">
        <v>359</v>
      </c>
      <c r="M422" t="s">
        <v>360</v>
      </c>
      <c r="N422">
        <v>1649329983.9100001</v>
      </c>
      <c r="O422">
        <v>0.219</v>
      </c>
      <c r="P422">
        <v>0.40200000000000002</v>
      </c>
      <c r="Q422">
        <v>58.472000000000001</v>
      </c>
      <c r="R422">
        <v>1E-3</v>
      </c>
      <c r="S422">
        <v>1E-3</v>
      </c>
      <c r="T422">
        <v>1.4079999999999999</v>
      </c>
      <c r="U422">
        <v>102.804</v>
      </c>
      <c r="V422">
        <v>22.571999999999999</v>
      </c>
      <c r="W422">
        <v>2.3719999999999999</v>
      </c>
      <c r="X422">
        <v>92.984999999999999</v>
      </c>
      <c r="Y422">
        <v>1.0580000000000001</v>
      </c>
      <c r="Z422">
        <v>1.4999999999999999E-2</v>
      </c>
      <c r="AA422">
        <v>0</v>
      </c>
      <c r="AB422">
        <v>0</v>
      </c>
      <c r="AC422">
        <v>1</v>
      </c>
      <c r="AD422">
        <v>39.875</v>
      </c>
      <c r="AE422">
        <v>1</v>
      </c>
      <c r="AF422">
        <v>57</v>
      </c>
      <c r="AG422">
        <v>4</v>
      </c>
      <c r="AH422" t="s">
        <v>361</v>
      </c>
      <c r="AI422">
        <v>0</v>
      </c>
    </row>
    <row r="423" spans="1:35" x14ac:dyDescent="0.2">
      <c r="A423">
        <v>422</v>
      </c>
      <c r="B423" t="s">
        <v>925</v>
      </c>
      <c r="C423" t="s">
        <v>930</v>
      </c>
      <c r="D423" t="s">
        <v>417</v>
      </c>
      <c r="E423">
        <v>5</v>
      </c>
      <c r="F423">
        <v>-3.9140000000000001</v>
      </c>
      <c r="G423">
        <v>-19.923999999999999</v>
      </c>
      <c r="H423">
        <v>17333</v>
      </c>
      <c r="I423">
        <v>0</v>
      </c>
      <c r="J423">
        <v>1</v>
      </c>
      <c r="K423" t="s">
        <v>359</v>
      </c>
      <c r="L423" t="s">
        <v>359</v>
      </c>
      <c r="M423" t="s">
        <v>360</v>
      </c>
      <c r="N423">
        <v>1649330521.9100001</v>
      </c>
      <c r="O423">
        <v>0.21</v>
      </c>
      <c r="P423">
        <v>0.38600000000000001</v>
      </c>
      <c r="Q423">
        <v>57.052999999999997</v>
      </c>
      <c r="R423">
        <v>2E-3</v>
      </c>
      <c r="S423">
        <v>-1E-3</v>
      </c>
      <c r="T423">
        <v>1.377</v>
      </c>
      <c r="U423">
        <v>101.95</v>
      </c>
      <c r="V423">
        <v>23.326000000000001</v>
      </c>
      <c r="W423">
        <v>2.3490000000000002</v>
      </c>
      <c r="X423">
        <v>92.338999999999999</v>
      </c>
      <c r="Y423">
        <v>1.0649999999999999</v>
      </c>
      <c r="Z423">
        <v>5.8000000000000003E-2</v>
      </c>
      <c r="AA423">
        <v>0</v>
      </c>
      <c r="AB423">
        <v>0</v>
      </c>
      <c r="AC423">
        <v>1</v>
      </c>
      <c r="AD423">
        <v>39.75</v>
      </c>
      <c r="AE423">
        <v>1</v>
      </c>
      <c r="AF423">
        <v>57</v>
      </c>
      <c r="AG423">
        <v>4</v>
      </c>
      <c r="AH423" t="s">
        <v>361</v>
      </c>
      <c r="AI423">
        <v>0</v>
      </c>
    </row>
    <row r="424" spans="1:35" x14ac:dyDescent="0.2">
      <c r="A424">
        <v>423</v>
      </c>
      <c r="B424" t="s">
        <v>925</v>
      </c>
      <c r="C424" t="s">
        <v>931</v>
      </c>
      <c r="D424" t="s">
        <v>417</v>
      </c>
      <c r="E424">
        <v>6</v>
      </c>
      <c r="F424">
        <v>-3.8860000000000001</v>
      </c>
      <c r="G424">
        <v>-19.861000000000001</v>
      </c>
      <c r="H424">
        <v>17364</v>
      </c>
      <c r="I424">
        <v>0</v>
      </c>
      <c r="J424">
        <v>1</v>
      </c>
      <c r="K424" t="s">
        <v>359</v>
      </c>
      <c r="L424" t="s">
        <v>359</v>
      </c>
      <c r="M424" t="s">
        <v>360</v>
      </c>
      <c r="N424">
        <v>1649331058.1800001</v>
      </c>
      <c r="O424">
        <v>0.20899999999999999</v>
      </c>
      <c r="P424">
        <v>0.36499999999999999</v>
      </c>
      <c r="Q424">
        <v>59.186</v>
      </c>
      <c r="R424">
        <v>1E-3</v>
      </c>
      <c r="S424">
        <v>1E-3</v>
      </c>
      <c r="T424">
        <v>1.419</v>
      </c>
      <c r="U424">
        <v>102.54600000000001</v>
      </c>
      <c r="V424">
        <v>22.58</v>
      </c>
      <c r="W424">
        <v>2.3839999999999999</v>
      </c>
      <c r="X424">
        <v>92.781000000000006</v>
      </c>
      <c r="Y424">
        <v>1.0529999999999999</v>
      </c>
      <c r="Z424">
        <v>-4.1000000000000002E-2</v>
      </c>
      <c r="AA424">
        <v>0</v>
      </c>
      <c r="AB424">
        <v>0</v>
      </c>
      <c r="AC424">
        <v>1</v>
      </c>
      <c r="AD424">
        <v>39.811999999999998</v>
      </c>
      <c r="AE424">
        <v>1</v>
      </c>
      <c r="AF424">
        <v>57</v>
      </c>
      <c r="AG424">
        <v>4</v>
      </c>
      <c r="AH424" t="s">
        <v>361</v>
      </c>
      <c r="AI424">
        <v>0</v>
      </c>
    </row>
    <row r="425" spans="1:35" x14ac:dyDescent="0.2">
      <c r="A425">
        <v>424</v>
      </c>
      <c r="B425" t="s">
        <v>932</v>
      </c>
      <c r="C425" t="s">
        <v>933</v>
      </c>
      <c r="D425" t="s">
        <v>418</v>
      </c>
      <c r="E425">
        <v>1</v>
      </c>
      <c r="F425">
        <v>-3.843</v>
      </c>
      <c r="G425">
        <v>-19.347000000000001</v>
      </c>
      <c r="H425">
        <v>17529</v>
      </c>
      <c r="I425">
        <v>-1</v>
      </c>
      <c r="J425">
        <v>1</v>
      </c>
      <c r="K425" t="s">
        <v>359</v>
      </c>
      <c r="L425" t="s">
        <v>359</v>
      </c>
      <c r="M425" t="s">
        <v>360</v>
      </c>
      <c r="N425">
        <v>1649331594.99</v>
      </c>
      <c r="O425">
        <v>0.215</v>
      </c>
      <c r="P425">
        <v>0.39800000000000002</v>
      </c>
      <c r="Q425">
        <v>58.457999999999998</v>
      </c>
      <c r="R425">
        <v>0</v>
      </c>
      <c r="S425">
        <v>1E-3</v>
      </c>
      <c r="T425">
        <v>1.3939999999999999</v>
      </c>
      <c r="U425">
        <v>103.553</v>
      </c>
      <c r="V425">
        <v>23.411000000000001</v>
      </c>
      <c r="W425">
        <v>2.2879999999999998</v>
      </c>
      <c r="X425">
        <v>91.616</v>
      </c>
      <c r="Y425">
        <v>1.0640000000000001</v>
      </c>
      <c r="Z425">
        <v>-0.34200000000000003</v>
      </c>
      <c r="AA425">
        <v>0</v>
      </c>
      <c r="AB425">
        <v>0</v>
      </c>
      <c r="AC425">
        <v>1</v>
      </c>
      <c r="AD425">
        <v>39.811999999999998</v>
      </c>
      <c r="AE425">
        <v>1</v>
      </c>
      <c r="AF425">
        <v>58</v>
      </c>
      <c r="AG425">
        <v>4</v>
      </c>
      <c r="AH425" t="s">
        <v>361</v>
      </c>
      <c r="AI425">
        <v>0</v>
      </c>
    </row>
    <row r="426" spans="1:35" x14ac:dyDescent="0.2">
      <c r="A426">
        <v>425</v>
      </c>
      <c r="B426" t="s">
        <v>932</v>
      </c>
      <c r="C426" t="s">
        <v>934</v>
      </c>
      <c r="D426" t="s">
        <v>418</v>
      </c>
      <c r="E426">
        <v>2</v>
      </c>
      <c r="F426">
        <v>-3.8980000000000001</v>
      </c>
      <c r="G426">
        <v>-19.463999999999999</v>
      </c>
      <c r="H426">
        <v>17479</v>
      </c>
      <c r="I426">
        <v>-1</v>
      </c>
      <c r="J426">
        <v>1</v>
      </c>
      <c r="K426" t="s">
        <v>359</v>
      </c>
      <c r="L426" t="s">
        <v>359</v>
      </c>
      <c r="M426" t="s">
        <v>360</v>
      </c>
      <c r="N426">
        <v>1649332132.4100001</v>
      </c>
      <c r="O426">
        <v>0.218</v>
      </c>
      <c r="P426">
        <v>0.45400000000000001</v>
      </c>
      <c r="Q426">
        <v>65.048000000000002</v>
      </c>
      <c r="R426">
        <v>2E-3</v>
      </c>
      <c r="S426">
        <v>4.0000000000000001E-3</v>
      </c>
      <c r="T426">
        <v>1.5620000000000001</v>
      </c>
      <c r="U426">
        <v>103.211</v>
      </c>
      <c r="V426">
        <v>24.042000000000002</v>
      </c>
      <c r="W426">
        <v>2.2189999999999999</v>
      </c>
      <c r="X426">
        <v>89.524000000000001</v>
      </c>
      <c r="Y426">
        <v>1.0720000000000001</v>
      </c>
      <c r="Z426">
        <v>-0.46500000000000002</v>
      </c>
      <c r="AA426">
        <v>0</v>
      </c>
      <c r="AB426">
        <v>0</v>
      </c>
      <c r="AC426">
        <v>1</v>
      </c>
      <c r="AD426">
        <v>39.875</v>
      </c>
      <c r="AE426">
        <v>1</v>
      </c>
      <c r="AF426">
        <v>58</v>
      </c>
      <c r="AG426">
        <v>4</v>
      </c>
      <c r="AH426" t="s">
        <v>361</v>
      </c>
      <c r="AI426">
        <v>0</v>
      </c>
    </row>
    <row r="427" spans="1:35" x14ac:dyDescent="0.2">
      <c r="A427">
        <v>426</v>
      </c>
      <c r="B427" t="s">
        <v>932</v>
      </c>
      <c r="C427" t="s">
        <v>935</v>
      </c>
      <c r="D427" t="s">
        <v>418</v>
      </c>
      <c r="E427">
        <v>3</v>
      </c>
      <c r="F427">
        <v>-3.7570000000000001</v>
      </c>
      <c r="G427">
        <v>-18.952999999999999</v>
      </c>
      <c r="H427">
        <v>17512</v>
      </c>
      <c r="I427">
        <v>-1</v>
      </c>
      <c r="J427">
        <v>1</v>
      </c>
      <c r="K427" t="s">
        <v>359</v>
      </c>
      <c r="L427" t="s">
        <v>359</v>
      </c>
      <c r="M427" t="s">
        <v>360</v>
      </c>
      <c r="N427">
        <v>1649332677.3099999</v>
      </c>
      <c r="O427">
        <v>0.2</v>
      </c>
      <c r="P427">
        <v>0.39900000000000002</v>
      </c>
      <c r="Q427">
        <v>54.481000000000002</v>
      </c>
      <c r="R427">
        <v>1E-3</v>
      </c>
      <c r="S427">
        <v>0</v>
      </c>
      <c r="T427">
        <v>1.4350000000000001</v>
      </c>
      <c r="U427">
        <v>103.178</v>
      </c>
      <c r="V427">
        <v>23.744</v>
      </c>
      <c r="W427">
        <v>2.3410000000000002</v>
      </c>
      <c r="X427">
        <v>91.864000000000004</v>
      </c>
      <c r="Y427">
        <v>1.0640000000000001</v>
      </c>
      <c r="Z427">
        <v>-0.10299999999999999</v>
      </c>
      <c r="AA427">
        <v>0</v>
      </c>
      <c r="AB427">
        <v>0</v>
      </c>
      <c r="AC427">
        <v>1</v>
      </c>
      <c r="AD427">
        <v>39.75</v>
      </c>
      <c r="AE427">
        <v>1</v>
      </c>
      <c r="AF427">
        <v>58</v>
      </c>
      <c r="AG427">
        <v>4</v>
      </c>
      <c r="AH427" t="s">
        <v>361</v>
      </c>
      <c r="AI427">
        <v>0</v>
      </c>
    </row>
    <row r="428" spans="1:35" x14ac:dyDescent="0.2">
      <c r="A428">
        <v>427</v>
      </c>
      <c r="B428" t="s">
        <v>932</v>
      </c>
      <c r="C428" t="s">
        <v>936</v>
      </c>
      <c r="D428" t="s">
        <v>418</v>
      </c>
      <c r="E428">
        <v>4</v>
      </c>
      <c r="F428">
        <v>-3.8079999999999998</v>
      </c>
      <c r="G428">
        <v>-19.105</v>
      </c>
      <c r="H428">
        <v>17500</v>
      </c>
      <c r="I428">
        <v>0</v>
      </c>
      <c r="J428">
        <v>1</v>
      </c>
      <c r="K428" t="s">
        <v>359</v>
      </c>
      <c r="L428" t="s">
        <v>359</v>
      </c>
      <c r="M428" t="s">
        <v>360</v>
      </c>
      <c r="N428">
        <v>1649333206.8900001</v>
      </c>
      <c r="O428">
        <v>0.20699999999999999</v>
      </c>
      <c r="P428">
        <v>0.40400000000000003</v>
      </c>
      <c r="Q428">
        <v>58.478000000000002</v>
      </c>
      <c r="R428">
        <v>1E-3</v>
      </c>
      <c r="S428">
        <v>3.0000000000000001E-3</v>
      </c>
      <c r="T428">
        <v>1.399</v>
      </c>
      <c r="U428">
        <v>103.446</v>
      </c>
      <c r="V428">
        <v>24.370999999999999</v>
      </c>
      <c r="W428">
        <v>2.1779999999999999</v>
      </c>
      <c r="X428">
        <v>88.21</v>
      </c>
      <c r="Y428">
        <v>1.0649999999999999</v>
      </c>
      <c r="Z428">
        <v>-0.748</v>
      </c>
      <c r="AA428">
        <v>0</v>
      </c>
      <c r="AB428">
        <v>0</v>
      </c>
      <c r="AC428">
        <v>1</v>
      </c>
      <c r="AD428">
        <v>39.75</v>
      </c>
      <c r="AE428">
        <v>1</v>
      </c>
      <c r="AF428">
        <v>58</v>
      </c>
      <c r="AG428">
        <v>4</v>
      </c>
      <c r="AH428" t="s">
        <v>361</v>
      </c>
      <c r="AI428">
        <v>0</v>
      </c>
    </row>
    <row r="429" spans="1:35" x14ac:dyDescent="0.2">
      <c r="A429">
        <v>428</v>
      </c>
      <c r="B429" t="s">
        <v>932</v>
      </c>
      <c r="C429" t="s">
        <v>937</v>
      </c>
      <c r="D429" t="s">
        <v>418</v>
      </c>
      <c r="E429">
        <v>5</v>
      </c>
      <c r="F429">
        <v>-3.7679999999999998</v>
      </c>
      <c r="G429">
        <v>-18.995999999999999</v>
      </c>
      <c r="H429">
        <v>17507</v>
      </c>
      <c r="I429">
        <v>0</v>
      </c>
      <c r="J429">
        <v>1</v>
      </c>
      <c r="K429" t="s">
        <v>359</v>
      </c>
      <c r="L429" t="s">
        <v>359</v>
      </c>
      <c r="M429" t="s">
        <v>360</v>
      </c>
      <c r="N429">
        <v>1649333759.3599999</v>
      </c>
      <c r="O429">
        <v>0.22500000000000001</v>
      </c>
      <c r="P429">
        <v>0.42199999999999999</v>
      </c>
      <c r="Q429">
        <v>46.104999999999997</v>
      </c>
      <c r="R429">
        <v>0</v>
      </c>
      <c r="S429">
        <v>2E-3</v>
      </c>
      <c r="T429">
        <v>1.389</v>
      </c>
      <c r="U429">
        <v>103.405</v>
      </c>
      <c r="V429">
        <v>24.117999999999999</v>
      </c>
      <c r="W429">
        <v>2.157</v>
      </c>
      <c r="X429">
        <v>89.361000000000004</v>
      </c>
      <c r="Y429">
        <v>1.0820000000000001</v>
      </c>
      <c r="Z429">
        <v>-0.68500000000000005</v>
      </c>
      <c r="AA429">
        <v>0</v>
      </c>
      <c r="AB429">
        <v>0</v>
      </c>
      <c r="AC429">
        <v>1</v>
      </c>
      <c r="AD429">
        <v>39.75</v>
      </c>
      <c r="AE429">
        <v>1</v>
      </c>
      <c r="AF429">
        <v>58</v>
      </c>
      <c r="AG429">
        <v>4</v>
      </c>
      <c r="AH429" t="s">
        <v>361</v>
      </c>
      <c r="AI429">
        <v>0</v>
      </c>
    </row>
    <row r="430" spans="1:35" x14ac:dyDescent="0.2">
      <c r="A430">
        <v>429</v>
      </c>
      <c r="B430" t="s">
        <v>932</v>
      </c>
      <c r="C430" t="s">
        <v>938</v>
      </c>
      <c r="D430" t="s">
        <v>418</v>
      </c>
      <c r="E430">
        <v>6</v>
      </c>
      <c r="F430">
        <v>-3.7559999999999998</v>
      </c>
      <c r="G430">
        <v>-18.800999999999998</v>
      </c>
      <c r="H430">
        <v>17433</v>
      </c>
      <c r="I430">
        <v>0</v>
      </c>
      <c r="J430">
        <v>1</v>
      </c>
      <c r="K430" t="s">
        <v>359</v>
      </c>
      <c r="L430" t="s">
        <v>359</v>
      </c>
      <c r="M430" t="s">
        <v>360</v>
      </c>
      <c r="N430">
        <v>1649334281.6900001</v>
      </c>
      <c r="O430">
        <v>0.193</v>
      </c>
      <c r="P430">
        <v>0.41099999999999998</v>
      </c>
      <c r="Q430">
        <v>57.29</v>
      </c>
      <c r="R430">
        <v>0</v>
      </c>
      <c r="S430">
        <v>-1E-3</v>
      </c>
      <c r="T430">
        <v>1.375</v>
      </c>
      <c r="U430">
        <v>103.15900000000001</v>
      </c>
      <c r="V430">
        <v>23.963999999999999</v>
      </c>
      <c r="W430">
        <v>2.149</v>
      </c>
      <c r="X430">
        <v>88.072000000000003</v>
      </c>
      <c r="Y430">
        <v>1.075</v>
      </c>
      <c r="Z430">
        <v>-0.86799999999999999</v>
      </c>
      <c r="AA430">
        <v>0</v>
      </c>
      <c r="AB430">
        <v>0</v>
      </c>
      <c r="AC430">
        <v>1</v>
      </c>
      <c r="AD430">
        <v>39.75</v>
      </c>
      <c r="AE430">
        <v>1</v>
      </c>
      <c r="AF430">
        <v>58</v>
      </c>
      <c r="AG430">
        <v>4</v>
      </c>
      <c r="AH430" t="s">
        <v>361</v>
      </c>
      <c r="AI430">
        <v>0</v>
      </c>
    </row>
    <row r="431" spans="1:35" x14ac:dyDescent="0.2">
      <c r="A431">
        <v>430</v>
      </c>
      <c r="B431" t="s">
        <v>939</v>
      </c>
      <c r="C431" t="s">
        <v>940</v>
      </c>
      <c r="D431" t="s">
        <v>419</v>
      </c>
      <c r="E431">
        <v>1</v>
      </c>
      <c r="F431">
        <v>-3.843</v>
      </c>
      <c r="G431">
        <v>-18.913</v>
      </c>
      <c r="H431">
        <v>17319</v>
      </c>
      <c r="I431">
        <v>-1</v>
      </c>
      <c r="J431">
        <v>1</v>
      </c>
      <c r="K431" t="s">
        <v>359</v>
      </c>
      <c r="L431" t="s">
        <v>359</v>
      </c>
      <c r="M431" t="s">
        <v>360</v>
      </c>
      <c r="N431">
        <v>1649334818.75</v>
      </c>
      <c r="O431">
        <v>0.20799999999999999</v>
      </c>
      <c r="P431">
        <v>0.39900000000000002</v>
      </c>
      <c r="Q431">
        <v>58.476999999999997</v>
      </c>
      <c r="R431">
        <v>1E-3</v>
      </c>
      <c r="S431">
        <v>0</v>
      </c>
      <c r="T431">
        <v>1.403</v>
      </c>
      <c r="U431">
        <v>102.456</v>
      </c>
      <c r="V431">
        <v>24.116</v>
      </c>
      <c r="W431">
        <v>2.0649999999999999</v>
      </c>
      <c r="X431">
        <v>86.564999999999998</v>
      </c>
      <c r="Y431">
        <v>1.0660000000000001</v>
      </c>
      <c r="Z431">
        <v>-0.98199999999999998</v>
      </c>
      <c r="AA431">
        <v>0</v>
      </c>
      <c r="AB431">
        <v>0</v>
      </c>
      <c r="AC431">
        <v>1</v>
      </c>
      <c r="AD431">
        <v>39.875</v>
      </c>
      <c r="AE431">
        <v>1</v>
      </c>
      <c r="AF431">
        <v>59</v>
      </c>
      <c r="AG431">
        <v>4</v>
      </c>
      <c r="AH431" t="s">
        <v>361</v>
      </c>
      <c r="AI431">
        <v>0</v>
      </c>
    </row>
    <row r="432" spans="1:35" x14ac:dyDescent="0.2">
      <c r="A432">
        <v>431</v>
      </c>
      <c r="B432" t="s">
        <v>939</v>
      </c>
      <c r="C432" t="s">
        <v>941</v>
      </c>
      <c r="D432" t="s">
        <v>419</v>
      </c>
      <c r="E432">
        <v>2</v>
      </c>
      <c r="F432">
        <v>-3.8359999999999999</v>
      </c>
      <c r="G432">
        <v>-19.125</v>
      </c>
      <c r="H432">
        <v>17403</v>
      </c>
      <c r="I432">
        <v>-1</v>
      </c>
      <c r="J432">
        <v>1</v>
      </c>
      <c r="K432" t="s">
        <v>359</v>
      </c>
      <c r="L432" t="s">
        <v>359</v>
      </c>
      <c r="M432" t="s">
        <v>360</v>
      </c>
      <c r="N432">
        <v>1649335356.8399999</v>
      </c>
      <c r="O432">
        <v>0.22800000000000001</v>
      </c>
      <c r="P432">
        <v>0.376</v>
      </c>
      <c r="Q432">
        <v>58.17</v>
      </c>
      <c r="R432">
        <v>1E-3</v>
      </c>
      <c r="S432">
        <v>1E-3</v>
      </c>
      <c r="T432">
        <v>1.4039999999999999</v>
      </c>
      <c r="U432">
        <v>102.85899999999999</v>
      </c>
      <c r="V432">
        <v>24.867999999999999</v>
      </c>
      <c r="W432">
        <v>1.968</v>
      </c>
      <c r="X432">
        <v>85.582999999999998</v>
      </c>
      <c r="Y432">
        <v>1.0580000000000001</v>
      </c>
      <c r="Z432">
        <v>-1.1950000000000001</v>
      </c>
      <c r="AA432">
        <v>0</v>
      </c>
      <c r="AB432">
        <v>0</v>
      </c>
      <c r="AC432">
        <v>1</v>
      </c>
      <c r="AD432">
        <v>39.938000000000002</v>
      </c>
      <c r="AE432">
        <v>1</v>
      </c>
      <c r="AF432">
        <v>59</v>
      </c>
      <c r="AG432">
        <v>4</v>
      </c>
      <c r="AH432" t="s">
        <v>361</v>
      </c>
      <c r="AI432">
        <v>0</v>
      </c>
    </row>
    <row r="433" spans="1:35" x14ac:dyDescent="0.2">
      <c r="A433">
        <v>432</v>
      </c>
      <c r="B433" t="s">
        <v>939</v>
      </c>
      <c r="C433" t="s">
        <v>942</v>
      </c>
      <c r="D433" t="s">
        <v>419</v>
      </c>
      <c r="E433">
        <v>3</v>
      </c>
      <c r="F433">
        <v>-3.8279999999999998</v>
      </c>
      <c r="G433">
        <v>-19.114999999999998</v>
      </c>
      <c r="H433">
        <v>17314</v>
      </c>
      <c r="I433">
        <v>-1</v>
      </c>
      <c r="J433">
        <v>1</v>
      </c>
      <c r="K433" t="s">
        <v>359</v>
      </c>
      <c r="L433" t="s">
        <v>359</v>
      </c>
      <c r="M433" t="s">
        <v>360</v>
      </c>
      <c r="N433">
        <v>1649335900.3299999</v>
      </c>
      <c r="O433">
        <v>0.191</v>
      </c>
      <c r="P433">
        <v>0.39300000000000002</v>
      </c>
      <c r="Q433">
        <v>52.168999999999997</v>
      </c>
      <c r="R433">
        <v>1E-3</v>
      </c>
      <c r="S433">
        <v>0</v>
      </c>
      <c r="T433">
        <v>1.365</v>
      </c>
      <c r="U433">
        <v>102.337</v>
      </c>
      <c r="V433">
        <v>24.536000000000001</v>
      </c>
      <c r="W433">
        <v>1.9990000000000001</v>
      </c>
      <c r="X433">
        <v>85.61</v>
      </c>
      <c r="Y433">
        <v>1.073</v>
      </c>
      <c r="Z433">
        <v>-1.022</v>
      </c>
      <c r="AA433">
        <v>0</v>
      </c>
      <c r="AB433">
        <v>0</v>
      </c>
      <c r="AC433">
        <v>1</v>
      </c>
      <c r="AD433">
        <v>40.061999999999998</v>
      </c>
      <c r="AE433">
        <v>1</v>
      </c>
      <c r="AF433">
        <v>59</v>
      </c>
      <c r="AG433">
        <v>4</v>
      </c>
      <c r="AH433" t="s">
        <v>361</v>
      </c>
      <c r="AI433">
        <v>0</v>
      </c>
    </row>
    <row r="434" spans="1:35" x14ac:dyDescent="0.2">
      <c r="A434">
        <v>433</v>
      </c>
      <c r="B434" t="s">
        <v>939</v>
      </c>
      <c r="C434" t="s">
        <v>943</v>
      </c>
      <c r="D434" t="s">
        <v>419</v>
      </c>
      <c r="E434">
        <v>4</v>
      </c>
      <c r="F434">
        <v>-3.8460000000000001</v>
      </c>
      <c r="G434">
        <v>-19.058</v>
      </c>
      <c r="H434">
        <v>17389</v>
      </c>
      <c r="I434">
        <v>0</v>
      </c>
      <c r="J434">
        <v>1</v>
      </c>
      <c r="K434" t="s">
        <v>359</v>
      </c>
      <c r="L434" t="s">
        <v>359</v>
      </c>
      <c r="M434" t="s">
        <v>360</v>
      </c>
      <c r="N434">
        <v>1649336431.0699999</v>
      </c>
      <c r="O434">
        <v>0.216</v>
      </c>
      <c r="P434">
        <v>0.39400000000000002</v>
      </c>
      <c r="Q434">
        <v>57.055999999999997</v>
      </c>
      <c r="R434">
        <v>1E-3</v>
      </c>
      <c r="S434">
        <v>1E-3</v>
      </c>
      <c r="T434">
        <v>1.377</v>
      </c>
      <c r="U434">
        <v>102.895</v>
      </c>
      <c r="V434">
        <v>23.77</v>
      </c>
      <c r="W434">
        <v>2.0819999999999999</v>
      </c>
      <c r="X434">
        <v>87.96</v>
      </c>
      <c r="Y434">
        <v>1.042</v>
      </c>
      <c r="Z434">
        <v>-0.80400000000000005</v>
      </c>
      <c r="AA434">
        <v>0</v>
      </c>
      <c r="AB434">
        <v>0</v>
      </c>
      <c r="AC434">
        <v>1</v>
      </c>
      <c r="AD434">
        <v>40.061999999999998</v>
      </c>
      <c r="AE434">
        <v>1</v>
      </c>
      <c r="AF434">
        <v>59</v>
      </c>
      <c r="AG434">
        <v>4</v>
      </c>
      <c r="AH434" t="s">
        <v>361</v>
      </c>
      <c r="AI434">
        <v>0</v>
      </c>
    </row>
    <row r="435" spans="1:35" x14ac:dyDescent="0.2">
      <c r="A435">
        <v>434</v>
      </c>
      <c r="B435" t="s">
        <v>939</v>
      </c>
      <c r="C435" t="s">
        <v>944</v>
      </c>
      <c r="D435" t="s">
        <v>419</v>
      </c>
      <c r="E435">
        <v>5</v>
      </c>
      <c r="F435">
        <v>-3.8919999999999999</v>
      </c>
      <c r="G435">
        <v>-18.95</v>
      </c>
      <c r="H435">
        <v>17312</v>
      </c>
      <c r="I435">
        <v>0</v>
      </c>
      <c r="J435">
        <v>1</v>
      </c>
      <c r="K435" t="s">
        <v>359</v>
      </c>
      <c r="L435" t="s">
        <v>359</v>
      </c>
      <c r="M435" t="s">
        <v>360</v>
      </c>
      <c r="N435">
        <v>1649336968.47</v>
      </c>
      <c r="O435">
        <v>0.24199999999999999</v>
      </c>
      <c r="P435">
        <v>0.35299999999999998</v>
      </c>
      <c r="Q435">
        <v>59.959000000000003</v>
      </c>
      <c r="R435">
        <v>1E-3</v>
      </c>
      <c r="S435">
        <v>1E-3</v>
      </c>
      <c r="T435">
        <v>1.42</v>
      </c>
      <c r="U435">
        <v>102.553</v>
      </c>
      <c r="V435">
        <v>23.268999999999998</v>
      </c>
      <c r="W435">
        <v>2.09</v>
      </c>
      <c r="X435">
        <v>88.323999999999998</v>
      </c>
      <c r="Y435">
        <v>1.0840000000000001</v>
      </c>
      <c r="Z435">
        <v>-0.73299999999999998</v>
      </c>
      <c r="AA435">
        <v>0</v>
      </c>
      <c r="AB435">
        <v>0</v>
      </c>
      <c r="AC435">
        <v>1</v>
      </c>
      <c r="AD435">
        <v>40.188000000000002</v>
      </c>
      <c r="AE435">
        <v>1</v>
      </c>
      <c r="AF435">
        <v>59</v>
      </c>
      <c r="AG435">
        <v>4</v>
      </c>
      <c r="AH435" t="s">
        <v>361</v>
      </c>
      <c r="AI435">
        <v>0</v>
      </c>
    </row>
    <row r="436" spans="1:35" x14ac:dyDescent="0.2">
      <c r="A436">
        <v>435</v>
      </c>
      <c r="B436" t="s">
        <v>939</v>
      </c>
      <c r="C436" t="s">
        <v>945</v>
      </c>
      <c r="D436" t="s">
        <v>419</v>
      </c>
      <c r="E436">
        <v>6</v>
      </c>
      <c r="F436">
        <v>-3.8410000000000002</v>
      </c>
      <c r="G436">
        <v>-19.001999999999999</v>
      </c>
      <c r="H436">
        <v>17354</v>
      </c>
      <c r="I436">
        <v>0</v>
      </c>
      <c r="J436">
        <v>1</v>
      </c>
      <c r="K436" t="s">
        <v>359</v>
      </c>
      <c r="L436" t="s">
        <v>359</v>
      </c>
      <c r="M436" t="s">
        <v>360</v>
      </c>
      <c r="N436">
        <v>1649337505.1800001</v>
      </c>
      <c r="O436">
        <v>0.19</v>
      </c>
      <c r="P436">
        <v>0.39200000000000002</v>
      </c>
      <c r="Q436">
        <v>56.722000000000001</v>
      </c>
      <c r="R436">
        <v>0</v>
      </c>
      <c r="S436">
        <v>0</v>
      </c>
      <c r="T436">
        <v>1.369</v>
      </c>
      <c r="U436">
        <v>102.66800000000001</v>
      </c>
      <c r="V436">
        <v>22.885999999999999</v>
      </c>
      <c r="W436">
        <v>2.149</v>
      </c>
      <c r="X436">
        <v>90.781000000000006</v>
      </c>
      <c r="Y436">
        <v>1.042</v>
      </c>
      <c r="Z436">
        <v>-0.434</v>
      </c>
      <c r="AA436">
        <v>0</v>
      </c>
      <c r="AB436">
        <v>0</v>
      </c>
      <c r="AC436">
        <v>1</v>
      </c>
      <c r="AD436">
        <v>40.188000000000002</v>
      </c>
      <c r="AE436">
        <v>1</v>
      </c>
      <c r="AF436">
        <v>59</v>
      </c>
      <c r="AG436">
        <v>4</v>
      </c>
      <c r="AH436" t="s">
        <v>361</v>
      </c>
      <c r="AI436">
        <v>0</v>
      </c>
    </row>
    <row r="437" spans="1:35" x14ac:dyDescent="0.2">
      <c r="A437">
        <v>436</v>
      </c>
      <c r="B437" t="s">
        <v>946</v>
      </c>
      <c r="C437" t="s">
        <v>947</v>
      </c>
      <c r="D437" t="s">
        <v>420</v>
      </c>
      <c r="E437">
        <v>1</v>
      </c>
      <c r="F437">
        <v>-3.867</v>
      </c>
      <c r="G437">
        <v>-18.638000000000002</v>
      </c>
      <c r="H437">
        <v>17346</v>
      </c>
      <c r="I437">
        <v>-1</v>
      </c>
      <c r="J437">
        <v>1</v>
      </c>
      <c r="K437" t="s">
        <v>359</v>
      </c>
      <c r="L437" t="s">
        <v>359</v>
      </c>
      <c r="M437" t="s">
        <v>360</v>
      </c>
      <c r="N437">
        <v>1649338041.5599999</v>
      </c>
      <c r="O437">
        <v>0.20300000000000001</v>
      </c>
      <c r="P437">
        <v>0.372</v>
      </c>
      <c r="Q437">
        <v>57.402999999999999</v>
      </c>
      <c r="R437">
        <v>0</v>
      </c>
      <c r="S437">
        <v>0</v>
      </c>
      <c r="T437">
        <v>1.377</v>
      </c>
      <c r="U437">
        <v>102.501</v>
      </c>
      <c r="V437">
        <v>23.05</v>
      </c>
      <c r="W437">
        <v>2.1659999999999999</v>
      </c>
      <c r="X437">
        <v>90.631</v>
      </c>
      <c r="Y437">
        <v>1.034</v>
      </c>
      <c r="Z437">
        <v>-0.38400000000000001</v>
      </c>
      <c r="AA437">
        <v>0</v>
      </c>
      <c r="AB437">
        <v>0</v>
      </c>
      <c r="AC437">
        <v>1</v>
      </c>
      <c r="AD437">
        <v>40.25</v>
      </c>
      <c r="AE437">
        <v>1</v>
      </c>
      <c r="AF437">
        <v>60</v>
      </c>
      <c r="AG437">
        <v>4</v>
      </c>
      <c r="AH437" t="s">
        <v>361</v>
      </c>
      <c r="AI437">
        <v>0</v>
      </c>
    </row>
    <row r="438" spans="1:35" x14ac:dyDescent="0.2">
      <c r="A438">
        <v>437</v>
      </c>
      <c r="B438" t="s">
        <v>946</v>
      </c>
      <c r="C438" t="s">
        <v>948</v>
      </c>
      <c r="D438" t="s">
        <v>420</v>
      </c>
      <c r="E438">
        <v>2</v>
      </c>
      <c r="F438">
        <v>-3.8889999999999998</v>
      </c>
      <c r="G438">
        <v>-18.443000000000001</v>
      </c>
      <c r="H438">
        <v>17395</v>
      </c>
      <c r="I438">
        <v>-1</v>
      </c>
      <c r="J438">
        <v>1</v>
      </c>
      <c r="K438" t="s">
        <v>359</v>
      </c>
      <c r="L438" t="s">
        <v>359</v>
      </c>
      <c r="M438" t="s">
        <v>360</v>
      </c>
      <c r="N438">
        <v>1649338580.1500001</v>
      </c>
      <c r="O438">
        <v>0.188</v>
      </c>
      <c r="P438">
        <v>0.40300000000000002</v>
      </c>
      <c r="Q438">
        <v>58.207000000000001</v>
      </c>
      <c r="R438">
        <v>1E-3</v>
      </c>
      <c r="S438">
        <v>1E-3</v>
      </c>
      <c r="T438">
        <v>1.3979999999999999</v>
      </c>
      <c r="U438">
        <v>103.036</v>
      </c>
      <c r="V438">
        <v>22.241</v>
      </c>
      <c r="W438">
        <v>2.2509999999999999</v>
      </c>
      <c r="X438">
        <v>92.313999999999993</v>
      </c>
      <c r="Y438">
        <v>1.054</v>
      </c>
      <c r="Z438">
        <v>-0.216</v>
      </c>
      <c r="AA438">
        <v>0</v>
      </c>
      <c r="AB438">
        <v>0</v>
      </c>
      <c r="AC438">
        <v>1</v>
      </c>
      <c r="AD438">
        <v>40.25</v>
      </c>
      <c r="AE438">
        <v>1</v>
      </c>
      <c r="AF438">
        <v>60</v>
      </c>
      <c r="AG438">
        <v>4</v>
      </c>
      <c r="AH438" t="s">
        <v>361</v>
      </c>
      <c r="AI438">
        <v>0</v>
      </c>
    </row>
    <row r="439" spans="1:35" x14ac:dyDescent="0.2">
      <c r="A439">
        <v>438</v>
      </c>
      <c r="B439" t="s">
        <v>946</v>
      </c>
      <c r="C439" t="s">
        <v>949</v>
      </c>
      <c r="D439" t="s">
        <v>420</v>
      </c>
      <c r="E439">
        <v>3</v>
      </c>
      <c r="F439">
        <v>-3.86</v>
      </c>
      <c r="G439">
        <v>-18.62</v>
      </c>
      <c r="H439">
        <v>17414</v>
      </c>
      <c r="I439">
        <v>-1</v>
      </c>
      <c r="J439">
        <v>1</v>
      </c>
      <c r="K439" t="s">
        <v>359</v>
      </c>
      <c r="L439" t="s">
        <v>359</v>
      </c>
      <c r="M439" t="s">
        <v>360</v>
      </c>
      <c r="N439">
        <v>1649339116.1300001</v>
      </c>
      <c r="O439">
        <v>0.24099999999999999</v>
      </c>
      <c r="P439">
        <v>0.374</v>
      </c>
      <c r="Q439">
        <v>57.868000000000002</v>
      </c>
      <c r="R439">
        <v>0</v>
      </c>
      <c r="S439">
        <v>1E-3</v>
      </c>
      <c r="T439">
        <v>1.38</v>
      </c>
      <c r="U439">
        <v>103.15600000000001</v>
      </c>
      <c r="V439">
        <v>21.515999999999998</v>
      </c>
      <c r="W439">
        <v>2.3149999999999999</v>
      </c>
      <c r="X439">
        <v>94.82</v>
      </c>
      <c r="Y439">
        <v>1.042</v>
      </c>
      <c r="Z439">
        <v>5.6000000000000001E-2</v>
      </c>
      <c r="AA439">
        <v>0</v>
      </c>
      <c r="AB439">
        <v>0</v>
      </c>
      <c r="AC439">
        <v>1</v>
      </c>
      <c r="AD439">
        <v>40.25</v>
      </c>
      <c r="AE439">
        <v>1</v>
      </c>
      <c r="AF439">
        <v>60</v>
      </c>
      <c r="AG439">
        <v>4</v>
      </c>
      <c r="AH439" t="s">
        <v>361</v>
      </c>
      <c r="AI439">
        <v>0</v>
      </c>
    </row>
    <row r="440" spans="1:35" x14ac:dyDescent="0.2">
      <c r="A440">
        <v>439</v>
      </c>
      <c r="B440" t="s">
        <v>946</v>
      </c>
      <c r="C440" t="s">
        <v>950</v>
      </c>
      <c r="D440" t="s">
        <v>420</v>
      </c>
      <c r="E440">
        <v>4</v>
      </c>
      <c r="F440">
        <v>-3.8740000000000001</v>
      </c>
      <c r="G440">
        <v>-18.652000000000001</v>
      </c>
      <c r="H440">
        <v>17299</v>
      </c>
      <c r="I440">
        <v>0</v>
      </c>
      <c r="J440">
        <v>1</v>
      </c>
      <c r="K440" t="s">
        <v>359</v>
      </c>
      <c r="L440" t="s">
        <v>359</v>
      </c>
      <c r="M440" t="s">
        <v>360</v>
      </c>
      <c r="N440">
        <v>1649339655.1600001</v>
      </c>
      <c r="O440">
        <v>0.18099999999999999</v>
      </c>
      <c r="P440">
        <v>0.38500000000000001</v>
      </c>
      <c r="Q440">
        <v>58.78</v>
      </c>
      <c r="R440">
        <v>1E-3</v>
      </c>
      <c r="S440">
        <v>1E-3</v>
      </c>
      <c r="T440">
        <v>1.401</v>
      </c>
      <c r="U440">
        <v>102.376</v>
      </c>
      <c r="V440">
        <v>22.207000000000001</v>
      </c>
      <c r="W440">
        <v>2.2450000000000001</v>
      </c>
      <c r="X440">
        <v>92.164000000000001</v>
      </c>
      <c r="Y440">
        <v>1.04</v>
      </c>
      <c r="Z440">
        <v>-0.11</v>
      </c>
      <c r="AA440">
        <v>0</v>
      </c>
      <c r="AB440">
        <v>0</v>
      </c>
      <c r="AC440">
        <v>1</v>
      </c>
      <c r="AD440">
        <v>40.25</v>
      </c>
      <c r="AE440">
        <v>1</v>
      </c>
      <c r="AF440">
        <v>60</v>
      </c>
      <c r="AG440">
        <v>4</v>
      </c>
      <c r="AH440" t="s">
        <v>361</v>
      </c>
      <c r="AI440">
        <v>0</v>
      </c>
    </row>
    <row r="441" spans="1:35" x14ac:dyDescent="0.2">
      <c r="A441">
        <v>440</v>
      </c>
      <c r="B441" t="s">
        <v>946</v>
      </c>
      <c r="C441" t="s">
        <v>951</v>
      </c>
      <c r="D441" t="s">
        <v>420</v>
      </c>
      <c r="E441">
        <v>5</v>
      </c>
      <c r="F441">
        <v>-3.8540000000000001</v>
      </c>
      <c r="G441">
        <v>-18.437999999999999</v>
      </c>
      <c r="H441">
        <v>17387</v>
      </c>
      <c r="I441">
        <v>0</v>
      </c>
      <c r="J441">
        <v>1</v>
      </c>
      <c r="K441" t="s">
        <v>359</v>
      </c>
      <c r="L441" t="s">
        <v>359</v>
      </c>
      <c r="M441" t="s">
        <v>360</v>
      </c>
      <c r="N441">
        <v>1649340192.05</v>
      </c>
      <c r="O441">
        <v>0.215</v>
      </c>
      <c r="P441">
        <v>0.38900000000000001</v>
      </c>
      <c r="Q441">
        <v>59.408000000000001</v>
      </c>
      <c r="R441">
        <v>0</v>
      </c>
      <c r="S441">
        <v>0</v>
      </c>
      <c r="T441">
        <v>1.4059999999999999</v>
      </c>
      <c r="U441">
        <v>102.991</v>
      </c>
      <c r="V441">
        <v>20.844000000000001</v>
      </c>
      <c r="W441">
        <v>2.4239999999999999</v>
      </c>
      <c r="X441">
        <v>96.554000000000002</v>
      </c>
      <c r="Y441">
        <v>1.0489999999999999</v>
      </c>
      <c r="Z441">
        <v>0.38800000000000001</v>
      </c>
      <c r="AA441">
        <v>0</v>
      </c>
      <c r="AB441">
        <v>0</v>
      </c>
      <c r="AC441">
        <v>1</v>
      </c>
      <c r="AD441">
        <v>40.311999999999998</v>
      </c>
      <c r="AE441">
        <v>1</v>
      </c>
      <c r="AF441">
        <v>60</v>
      </c>
      <c r="AG441">
        <v>4</v>
      </c>
      <c r="AH441" t="s">
        <v>361</v>
      </c>
      <c r="AI441">
        <v>0</v>
      </c>
    </row>
    <row r="442" spans="1:35" x14ac:dyDescent="0.2">
      <c r="A442">
        <v>441</v>
      </c>
      <c r="B442" t="s">
        <v>946</v>
      </c>
      <c r="C442" t="s">
        <v>952</v>
      </c>
      <c r="D442" t="s">
        <v>420</v>
      </c>
      <c r="E442">
        <v>6</v>
      </c>
      <c r="F442">
        <v>-3.8780000000000001</v>
      </c>
      <c r="G442">
        <v>-18.539000000000001</v>
      </c>
      <c r="H442">
        <v>17328</v>
      </c>
      <c r="I442">
        <v>0</v>
      </c>
      <c r="J442">
        <v>1</v>
      </c>
      <c r="K442" t="s">
        <v>359</v>
      </c>
      <c r="L442" t="s">
        <v>359</v>
      </c>
      <c r="M442" t="s">
        <v>360</v>
      </c>
      <c r="N442">
        <v>1649340728.75</v>
      </c>
      <c r="O442">
        <v>0.19600000000000001</v>
      </c>
      <c r="P442">
        <v>0.372</v>
      </c>
      <c r="Q442">
        <v>56.750999999999998</v>
      </c>
      <c r="R442">
        <v>0</v>
      </c>
      <c r="S442">
        <v>0</v>
      </c>
      <c r="T442">
        <v>1.363</v>
      </c>
      <c r="U442">
        <v>102.765</v>
      </c>
      <c r="V442">
        <v>20.707000000000001</v>
      </c>
      <c r="W442">
        <v>2.415</v>
      </c>
      <c r="X442">
        <v>95.682000000000002</v>
      </c>
      <c r="Y442">
        <v>1.052</v>
      </c>
      <c r="Z442">
        <v>0.26700000000000002</v>
      </c>
      <c r="AA442">
        <v>0</v>
      </c>
      <c r="AB442">
        <v>0</v>
      </c>
      <c r="AC442">
        <v>1</v>
      </c>
      <c r="AD442">
        <v>40.311999999999998</v>
      </c>
      <c r="AE442">
        <v>1</v>
      </c>
      <c r="AF442">
        <v>60</v>
      </c>
      <c r="AG442">
        <v>4</v>
      </c>
      <c r="AH442" t="s">
        <v>361</v>
      </c>
      <c r="AI442">
        <v>0</v>
      </c>
    </row>
    <row r="443" spans="1:35" x14ac:dyDescent="0.2">
      <c r="A443">
        <v>442</v>
      </c>
      <c r="B443" t="s">
        <v>953</v>
      </c>
      <c r="C443" t="s">
        <v>954</v>
      </c>
      <c r="D443" t="s">
        <v>421</v>
      </c>
      <c r="E443">
        <v>1</v>
      </c>
      <c r="F443">
        <v>-3.8210000000000002</v>
      </c>
      <c r="G443">
        <v>-17.440999999999999</v>
      </c>
      <c r="H443">
        <v>17287</v>
      </c>
      <c r="I443">
        <v>-1</v>
      </c>
      <c r="J443">
        <v>1</v>
      </c>
      <c r="K443" t="s">
        <v>359</v>
      </c>
      <c r="L443" t="s">
        <v>359</v>
      </c>
      <c r="M443" t="s">
        <v>360</v>
      </c>
      <c r="N443">
        <v>1649341267.0699999</v>
      </c>
      <c r="O443">
        <v>0.219</v>
      </c>
      <c r="P443">
        <v>0.374</v>
      </c>
      <c r="Q443">
        <v>59.722000000000001</v>
      </c>
      <c r="R443">
        <v>1E-3</v>
      </c>
      <c r="S443">
        <v>2E-3</v>
      </c>
      <c r="T443">
        <v>1.4359999999999999</v>
      </c>
      <c r="U443">
        <v>102.739</v>
      </c>
      <c r="V443">
        <v>19.949000000000002</v>
      </c>
      <c r="W443">
        <v>2.4119999999999999</v>
      </c>
      <c r="X443">
        <v>96.644999999999996</v>
      </c>
      <c r="Y443">
        <v>1.018</v>
      </c>
      <c r="Z443">
        <v>0.25600000000000001</v>
      </c>
      <c r="AA443">
        <v>0</v>
      </c>
      <c r="AB443">
        <v>0</v>
      </c>
      <c r="AC443">
        <v>1</v>
      </c>
      <c r="AD443">
        <v>40.311999999999998</v>
      </c>
      <c r="AE443">
        <v>1</v>
      </c>
      <c r="AF443">
        <v>61</v>
      </c>
      <c r="AG443">
        <v>4</v>
      </c>
      <c r="AH443" t="s">
        <v>361</v>
      </c>
      <c r="AI443">
        <v>0</v>
      </c>
    </row>
    <row r="444" spans="1:35" x14ac:dyDescent="0.2">
      <c r="A444">
        <v>443</v>
      </c>
      <c r="B444" t="s">
        <v>953</v>
      </c>
      <c r="C444" t="s">
        <v>955</v>
      </c>
      <c r="D444" t="s">
        <v>421</v>
      </c>
      <c r="E444">
        <v>2</v>
      </c>
      <c r="F444">
        <v>-3.8540000000000001</v>
      </c>
      <c r="G444">
        <v>-17.527000000000001</v>
      </c>
      <c r="H444">
        <v>17437</v>
      </c>
      <c r="I444">
        <v>-1</v>
      </c>
      <c r="J444">
        <v>1</v>
      </c>
      <c r="K444" t="s">
        <v>359</v>
      </c>
      <c r="L444" t="s">
        <v>359</v>
      </c>
      <c r="M444" t="s">
        <v>360</v>
      </c>
      <c r="N444">
        <v>1649341804</v>
      </c>
      <c r="O444">
        <v>0.20399999999999999</v>
      </c>
      <c r="P444">
        <v>0.38600000000000001</v>
      </c>
      <c r="Q444">
        <v>59.661999999999999</v>
      </c>
      <c r="R444">
        <v>1E-3</v>
      </c>
      <c r="S444">
        <v>0</v>
      </c>
      <c r="T444">
        <v>1.421</v>
      </c>
      <c r="U444">
        <v>103.361</v>
      </c>
      <c r="V444">
        <v>19.675999999999998</v>
      </c>
      <c r="W444">
        <v>2.5750000000000002</v>
      </c>
      <c r="X444">
        <v>100.205</v>
      </c>
      <c r="Y444">
        <v>1.05</v>
      </c>
      <c r="Z444">
        <v>0.76600000000000001</v>
      </c>
      <c r="AA444">
        <v>0</v>
      </c>
      <c r="AB444">
        <v>0</v>
      </c>
      <c r="AC444">
        <v>1</v>
      </c>
      <c r="AD444">
        <v>40.311999999999998</v>
      </c>
      <c r="AE444">
        <v>1</v>
      </c>
      <c r="AF444">
        <v>61</v>
      </c>
      <c r="AG444">
        <v>4</v>
      </c>
      <c r="AH444" t="s">
        <v>361</v>
      </c>
      <c r="AI444">
        <v>0</v>
      </c>
    </row>
    <row r="445" spans="1:35" x14ac:dyDescent="0.2">
      <c r="A445">
        <v>444</v>
      </c>
      <c r="B445" t="s">
        <v>953</v>
      </c>
      <c r="C445" t="s">
        <v>956</v>
      </c>
      <c r="D445" t="s">
        <v>421</v>
      </c>
      <c r="E445">
        <v>3</v>
      </c>
      <c r="F445">
        <v>-3.806</v>
      </c>
      <c r="G445">
        <v>-17.472999999999999</v>
      </c>
      <c r="H445">
        <v>17341</v>
      </c>
      <c r="I445">
        <v>-1</v>
      </c>
      <c r="J445">
        <v>1</v>
      </c>
      <c r="K445" t="s">
        <v>359</v>
      </c>
      <c r="L445" t="s">
        <v>359</v>
      </c>
      <c r="M445" t="s">
        <v>360</v>
      </c>
      <c r="N445">
        <v>1649342340.5</v>
      </c>
      <c r="O445">
        <v>0.21099999999999999</v>
      </c>
      <c r="P445">
        <v>0.40300000000000002</v>
      </c>
      <c r="Q445">
        <v>58.527999999999999</v>
      </c>
      <c r="R445">
        <v>1E-3</v>
      </c>
      <c r="S445">
        <v>-1E-3</v>
      </c>
      <c r="T445">
        <v>1.41</v>
      </c>
      <c r="U445">
        <v>102.786</v>
      </c>
      <c r="V445">
        <v>20.07</v>
      </c>
      <c r="W445">
        <v>2.4620000000000002</v>
      </c>
      <c r="X445">
        <v>98.206000000000003</v>
      </c>
      <c r="Y445">
        <v>1.0109999999999999</v>
      </c>
      <c r="Z445">
        <v>0.57099999999999995</v>
      </c>
      <c r="AA445">
        <v>0</v>
      </c>
      <c r="AB445">
        <v>0</v>
      </c>
      <c r="AC445">
        <v>1</v>
      </c>
      <c r="AD445">
        <v>40.25</v>
      </c>
      <c r="AE445">
        <v>1</v>
      </c>
      <c r="AF445">
        <v>61</v>
      </c>
      <c r="AG445">
        <v>4</v>
      </c>
      <c r="AH445" t="s">
        <v>361</v>
      </c>
      <c r="AI445">
        <v>0</v>
      </c>
    </row>
    <row r="446" spans="1:35" x14ac:dyDescent="0.2">
      <c r="A446">
        <v>445</v>
      </c>
      <c r="B446" t="s">
        <v>953</v>
      </c>
      <c r="C446" t="s">
        <v>957</v>
      </c>
      <c r="D446" t="s">
        <v>421</v>
      </c>
      <c r="E446">
        <v>4</v>
      </c>
      <c r="F446">
        <v>-3.7949999999999999</v>
      </c>
      <c r="G446">
        <v>-17.518000000000001</v>
      </c>
      <c r="H446">
        <v>17446</v>
      </c>
      <c r="I446">
        <v>0</v>
      </c>
      <c r="J446">
        <v>1</v>
      </c>
      <c r="K446" t="s">
        <v>359</v>
      </c>
      <c r="L446" t="s">
        <v>359</v>
      </c>
      <c r="M446" t="s">
        <v>360</v>
      </c>
      <c r="N446">
        <v>1649342879.27</v>
      </c>
      <c r="O446">
        <v>0.20699999999999999</v>
      </c>
      <c r="P446">
        <v>0.38500000000000001</v>
      </c>
      <c r="Q446">
        <v>59.19</v>
      </c>
      <c r="R446">
        <v>0</v>
      </c>
      <c r="S446">
        <v>1E-3</v>
      </c>
      <c r="T446">
        <v>1.405</v>
      </c>
      <c r="U446">
        <v>103.06399999999999</v>
      </c>
      <c r="V446">
        <v>20.248000000000001</v>
      </c>
      <c r="W446">
        <v>2.5619999999999998</v>
      </c>
      <c r="X446">
        <v>100.639</v>
      </c>
      <c r="Y446">
        <v>0.99</v>
      </c>
      <c r="Z446">
        <v>0.98099999999999998</v>
      </c>
      <c r="AA446">
        <v>0</v>
      </c>
      <c r="AB446">
        <v>0</v>
      </c>
      <c r="AC446">
        <v>1</v>
      </c>
      <c r="AD446">
        <v>40.25</v>
      </c>
      <c r="AE446">
        <v>1</v>
      </c>
      <c r="AF446">
        <v>61</v>
      </c>
      <c r="AG446">
        <v>4</v>
      </c>
      <c r="AH446" t="s">
        <v>361</v>
      </c>
      <c r="AI446">
        <v>0</v>
      </c>
    </row>
    <row r="447" spans="1:35" x14ac:dyDescent="0.2">
      <c r="A447">
        <v>446</v>
      </c>
      <c r="B447" t="s">
        <v>953</v>
      </c>
      <c r="C447" t="s">
        <v>958</v>
      </c>
      <c r="D447" t="s">
        <v>421</v>
      </c>
      <c r="E447">
        <v>5</v>
      </c>
      <c r="F447">
        <v>-3.8319999999999999</v>
      </c>
      <c r="G447">
        <v>-17.492000000000001</v>
      </c>
      <c r="H447">
        <v>17392</v>
      </c>
      <c r="I447">
        <v>0</v>
      </c>
      <c r="J447">
        <v>1</v>
      </c>
      <c r="K447" t="s">
        <v>359</v>
      </c>
      <c r="L447" t="s">
        <v>359</v>
      </c>
      <c r="M447" t="s">
        <v>360</v>
      </c>
      <c r="N447">
        <v>1649343415.0999999</v>
      </c>
      <c r="O447">
        <v>0.22</v>
      </c>
      <c r="P447">
        <v>0.371</v>
      </c>
      <c r="Q447">
        <v>57.811</v>
      </c>
      <c r="R447">
        <v>1E-3</v>
      </c>
      <c r="S447">
        <v>0</v>
      </c>
      <c r="T447">
        <v>1.39</v>
      </c>
      <c r="U447">
        <v>102.756</v>
      </c>
      <c r="V447">
        <v>20.818000000000001</v>
      </c>
      <c r="W447">
        <v>2.5129999999999999</v>
      </c>
      <c r="X447">
        <v>98.265000000000001</v>
      </c>
      <c r="Y447">
        <v>0.97399999999999998</v>
      </c>
      <c r="Z447">
        <v>0.66800000000000004</v>
      </c>
      <c r="AA447">
        <v>0</v>
      </c>
      <c r="AB447">
        <v>0</v>
      </c>
      <c r="AC447">
        <v>1</v>
      </c>
      <c r="AD447">
        <v>40.25</v>
      </c>
      <c r="AE447">
        <v>1</v>
      </c>
      <c r="AF447">
        <v>61</v>
      </c>
      <c r="AG447">
        <v>4</v>
      </c>
      <c r="AH447" t="s">
        <v>361</v>
      </c>
      <c r="AI447">
        <v>0</v>
      </c>
    </row>
    <row r="448" spans="1:35" x14ac:dyDescent="0.2">
      <c r="A448">
        <v>447</v>
      </c>
      <c r="B448" t="s">
        <v>953</v>
      </c>
      <c r="C448" t="s">
        <v>959</v>
      </c>
      <c r="D448" t="s">
        <v>421</v>
      </c>
      <c r="E448">
        <v>6</v>
      </c>
      <c r="F448">
        <v>-3.8450000000000002</v>
      </c>
      <c r="G448">
        <v>-17.695</v>
      </c>
      <c r="H448">
        <v>17402</v>
      </c>
      <c r="I448">
        <v>0</v>
      </c>
      <c r="J448">
        <v>1</v>
      </c>
      <c r="K448" t="s">
        <v>359</v>
      </c>
      <c r="L448" t="s">
        <v>359</v>
      </c>
      <c r="M448" t="s">
        <v>360</v>
      </c>
      <c r="N448">
        <v>1649343954.4000001</v>
      </c>
      <c r="O448">
        <v>0.23400000000000001</v>
      </c>
      <c r="P448">
        <v>0.48699999999999999</v>
      </c>
      <c r="Q448">
        <v>67.781999999999996</v>
      </c>
      <c r="R448">
        <v>3.0000000000000001E-3</v>
      </c>
      <c r="S448">
        <v>6.0000000000000001E-3</v>
      </c>
      <c r="T448">
        <v>1.6319999999999999</v>
      </c>
      <c r="U448">
        <v>103.08499999999999</v>
      </c>
      <c r="V448">
        <v>19.606000000000002</v>
      </c>
      <c r="W448">
        <v>2.5419999999999998</v>
      </c>
      <c r="X448">
        <v>100.566</v>
      </c>
      <c r="Y448">
        <v>0.96199999999999997</v>
      </c>
      <c r="Z448">
        <v>0.92200000000000004</v>
      </c>
      <c r="AA448">
        <v>0</v>
      </c>
      <c r="AB448">
        <v>0</v>
      </c>
      <c r="AC448">
        <v>1</v>
      </c>
      <c r="AD448">
        <v>40.25</v>
      </c>
      <c r="AE448">
        <v>1</v>
      </c>
      <c r="AF448">
        <v>61</v>
      </c>
      <c r="AG448">
        <v>4</v>
      </c>
      <c r="AH448" t="s">
        <v>361</v>
      </c>
      <c r="AI448">
        <v>0</v>
      </c>
    </row>
    <row r="449" spans="1:35" x14ac:dyDescent="0.2">
      <c r="A449">
        <v>448</v>
      </c>
      <c r="B449" t="s">
        <v>960</v>
      </c>
      <c r="C449" t="s">
        <v>961</v>
      </c>
      <c r="D449" t="s">
        <v>422</v>
      </c>
      <c r="E449">
        <v>1</v>
      </c>
      <c r="F449">
        <v>-3.7349999999999999</v>
      </c>
      <c r="G449">
        <v>-17.245999999999999</v>
      </c>
      <c r="H449">
        <v>17531</v>
      </c>
      <c r="I449">
        <v>-1</v>
      </c>
      <c r="J449">
        <v>1</v>
      </c>
      <c r="K449" t="s">
        <v>359</v>
      </c>
      <c r="L449" t="s">
        <v>359</v>
      </c>
      <c r="M449" t="s">
        <v>360</v>
      </c>
      <c r="N449">
        <v>1649344490.1900001</v>
      </c>
      <c r="O449">
        <v>0.20100000000000001</v>
      </c>
      <c r="P449">
        <v>0.39300000000000002</v>
      </c>
      <c r="Q449">
        <v>57.093000000000004</v>
      </c>
      <c r="R449">
        <v>1E-3</v>
      </c>
      <c r="S449">
        <v>0</v>
      </c>
      <c r="T449">
        <v>1.3720000000000001</v>
      </c>
      <c r="U449">
        <v>103.88</v>
      </c>
      <c r="V449">
        <v>20.361000000000001</v>
      </c>
      <c r="W449">
        <v>2.528</v>
      </c>
      <c r="X449">
        <v>99.426000000000002</v>
      </c>
      <c r="Y449">
        <v>0.96899999999999997</v>
      </c>
      <c r="Z449">
        <v>0.64300000000000002</v>
      </c>
      <c r="AA449">
        <v>0</v>
      </c>
      <c r="AB449">
        <v>0</v>
      </c>
      <c r="AC449">
        <v>1</v>
      </c>
      <c r="AD449">
        <v>40.311999999999998</v>
      </c>
      <c r="AE449">
        <v>1</v>
      </c>
      <c r="AF449">
        <v>62</v>
      </c>
      <c r="AG449">
        <v>4</v>
      </c>
      <c r="AH449" t="s">
        <v>361</v>
      </c>
      <c r="AI449">
        <v>0</v>
      </c>
    </row>
    <row r="450" spans="1:35" x14ac:dyDescent="0.2">
      <c r="A450">
        <v>449</v>
      </c>
      <c r="B450" t="s">
        <v>960</v>
      </c>
      <c r="C450" t="s">
        <v>962</v>
      </c>
      <c r="D450" t="s">
        <v>422</v>
      </c>
      <c r="E450">
        <v>2</v>
      </c>
      <c r="F450">
        <v>-3.802</v>
      </c>
      <c r="G450">
        <v>-17.295000000000002</v>
      </c>
      <c r="H450">
        <v>17530</v>
      </c>
      <c r="I450">
        <v>-1</v>
      </c>
      <c r="J450">
        <v>1</v>
      </c>
      <c r="K450" t="s">
        <v>359</v>
      </c>
      <c r="L450" t="s">
        <v>359</v>
      </c>
      <c r="M450" t="s">
        <v>360</v>
      </c>
      <c r="N450">
        <v>1649345029.5</v>
      </c>
      <c r="O450">
        <v>0.218</v>
      </c>
      <c r="P450">
        <v>0.41599999999999998</v>
      </c>
      <c r="Q450">
        <v>58.677999999999997</v>
      </c>
      <c r="R450">
        <v>1E-3</v>
      </c>
      <c r="S450">
        <v>1E-3</v>
      </c>
      <c r="T450">
        <v>1.4039999999999999</v>
      </c>
      <c r="U450">
        <v>103.81699999999999</v>
      </c>
      <c r="V450">
        <v>20.7</v>
      </c>
      <c r="W450">
        <v>2.496</v>
      </c>
      <c r="X450">
        <v>98.281000000000006</v>
      </c>
      <c r="Y450">
        <v>0.98299999999999998</v>
      </c>
      <c r="Z450">
        <v>0.627</v>
      </c>
      <c r="AA450">
        <v>0</v>
      </c>
      <c r="AB450">
        <v>0</v>
      </c>
      <c r="AC450">
        <v>1</v>
      </c>
      <c r="AD450">
        <v>40.311999999999998</v>
      </c>
      <c r="AE450">
        <v>1</v>
      </c>
      <c r="AF450">
        <v>62</v>
      </c>
      <c r="AG450">
        <v>4</v>
      </c>
      <c r="AH450" t="s">
        <v>361</v>
      </c>
      <c r="AI450">
        <v>0</v>
      </c>
    </row>
    <row r="451" spans="1:35" x14ac:dyDescent="0.2">
      <c r="A451">
        <v>450</v>
      </c>
      <c r="B451" t="s">
        <v>960</v>
      </c>
      <c r="C451" t="s">
        <v>963</v>
      </c>
      <c r="D451" t="s">
        <v>422</v>
      </c>
      <c r="E451">
        <v>3</v>
      </c>
      <c r="F451">
        <v>-3.8439999999999999</v>
      </c>
      <c r="G451">
        <v>-17.552</v>
      </c>
      <c r="H451">
        <v>17460</v>
      </c>
      <c r="I451">
        <v>-1</v>
      </c>
      <c r="J451">
        <v>1</v>
      </c>
      <c r="K451" t="s">
        <v>359</v>
      </c>
      <c r="L451" t="s">
        <v>359</v>
      </c>
      <c r="M451" t="s">
        <v>360</v>
      </c>
      <c r="N451">
        <v>1649345564.5799999</v>
      </c>
      <c r="O451">
        <v>0.192</v>
      </c>
      <c r="P451">
        <v>0.39300000000000002</v>
      </c>
      <c r="Q451">
        <v>57.253999999999998</v>
      </c>
      <c r="R451">
        <v>1E-3</v>
      </c>
      <c r="S451">
        <v>2E-3</v>
      </c>
      <c r="T451">
        <v>1.367</v>
      </c>
      <c r="U451">
        <v>103.26900000000001</v>
      </c>
      <c r="V451">
        <v>20.719000000000001</v>
      </c>
      <c r="W451">
        <v>2.532</v>
      </c>
      <c r="X451">
        <v>98.162999999999997</v>
      </c>
      <c r="Y451">
        <v>0.97499999999999998</v>
      </c>
      <c r="Z451">
        <v>0.72099999999999997</v>
      </c>
      <c r="AA451">
        <v>0</v>
      </c>
      <c r="AB451">
        <v>0</v>
      </c>
      <c r="AC451">
        <v>1</v>
      </c>
      <c r="AD451">
        <v>40.311999999999998</v>
      </c>
      <c r="AE451">
        <v>1</v>
      </c>
      <c r="AF451">
        <v>62</v>
      </c>
      <c r="AG451">
        <v>4</v>
      </c>
      <c r="AH451" t="s">
        <v>361</v>
      </c>
      <c r="AI451">
        <v>0</v>
      </c>
    </row>
    <row r="452" spans="1:35" x14ac:dyDescent="0.2">
      <c r="A452">
        <v>451</v>
      </c>
      <c r="B452" t="s">
        <v>960</v>
      </c>
      <c r="C452" t="s">
        <v>964</v>
      </c>
      <c r="D452" t="s">
        <v>422</v>
      </c>
      <c r="E452">
        <v>4</v>
      </c>
      <c r="F452">
        <v>-3.8519999999999999</v>
      </c>
      <c r="G452">
        <v>-17.433</v>
      </c>
      <c r="H452">
        <v>17364</v>
      </c>
      <c r="I452">
        <v>0</v>
      </c>
      <c r="J452">
        <v>1</v>
      </c>
      <c r="K452" t="s">
        <v>359</v>
      </c>
      <c r="L452" t="s">
        <v>359</v>
      </c>
      <c r="M452" t="s">
        <v>360</v>
      </c>
      <c r="N452">
        <v>1649346103.22</v>
      </c>
      <c r="O452">
        <v>0.20899999999999999</v>
      </c>
      <c r="P452">
        <v>0.375</v>
      </c>
      <c r="Q452">
        <v>60.192</v>
      </c>
      <c r="R452">
        <v>2E-3</v>
      </c>
      <c r="S452">
        <v>1E-3</v>
      </c>
      <c r="T452">
        <v>1.431</v>
      </c>
      <c r="U452">
        <v>102.631</v>
      </c>
      <c r="V452">
        <v>20.295000000000002</v>
      </c>
      <c r="W452">
        <v>2.6120000000000001</v>
      </c>
      <c r="X452">
        <v>98.483000000000004</v>
      </c>
      <c r="Y452">
        <v>0.97599999999999998</v>
      </c>
      <c r="Z452">
        <v>0.82599999999999996</v>
      </c>
      <c r="AA452">
        <v>0</v>
      </c>
      <c r="AB452">
        <v>0</v>
      </c>
      <c r="AC452">
        <v>1</v>
      </c>
      <c r="AD452">
        <v>40.311999999999998</v>
      </c>
      <c r="AE452">
        <v>1</v>
      </c>
      <c r="AF452">
        <v>62</v>
      </c>
      <c r="AG452">
        <v>4</v>
      </c>
      <c r="AH452" t="s">
        <v>361</v>
      </c>
      <c r="AI452">
        <v>0</v>
      </c>
    </row>
    <row r="453" spans="1:35" x14ac:dyDescent="0.2">
      <c r="A453">
        <v>452</v>
      </c>
      <c r="B453" t="s">
        <v>960</v>
      </c>
      <c r="C453" t="s">
        <v>965</v>
      </c>
      <c r="D453" t="s">
        <v>422</v>
      </c>
      <c r="E453">
        <v>5</v>
      </c>
      <c r="F453">
        <v>-3.8570000000000002</v>
      </c>
      <c r="G453">
        <v>-17.667000000000002</v>
      </c>
      <c r="H453">
        <v>17412</v>
      </c>
      <c r="I453">
        <v>0</v>
      </c>
      <c r="J453">
        <v>1</v>
      </c>
      <c r="K453" t="s">
        <v>359</v>
      </c>
      <c r="L453" t="s">
        <v>359</v>
      </c>
      <c r="M453" t="s">
        <v>360</v>
      </c>
      <c r="N453">
        <v>1649346639.99</v>
      </c>
      <c r="O453">
        <v>0.20100000000000001</v>
      </c>
      <c r="P453">
        <v>0.38</v>
      </c>
      <c r="Q453">
        <v>58.363999999999997</v>
      </c>
      <c r="R453">
        <v>1E-3</v>
      </c>
      <c r="S453">
        <v>0</v>
      </c>
      <c r="T453">
        <v>1.3939999999999999</v>
      </c>
      <c r="U453">
        <v>103.1</v>
      </c>
      <c r="V453">
        <v>21.013000000000002</v>
      </c>
      <c r="W453">
        <v>2.504</v>
      </c>
      <c r="X453">
        <v>95.978999999999999</v>
      </c>
      <c r="Y453">
        <v>0.97099999999999997</v>
      </c>
      <c r="Z453">
        <v>0.47099999999999997</v>
      </c>
      <c r="AA453">
        <v>0</v>
      </c>
      <c r="AB453">
        <v>0</v>
      </c>
      <c r="AC453">
        <v>1</v>
      </c>
      <c r="AD453">
        <v>40.25</v>
      </c>
      <c r="AE453">
        <v>1</v>
      </c>
      <c r="AF453">
        <v>62</v>
      </c>
      <c r="AG453">
        <v>4</v>
      </c>
      <c r="AH453" t="s">
        <v>361</v>
      </c>
      <c r="AI453">
        <v>0</v>
      </c>
    </row>
    <row r="454" spans="1:35" x14ac:dyDescent="0.2">
      <c r="A454">
        <v>453</v>
      </c>
      <c r="B454" t="s">
        <v>960</v>
      </c>
      <c r="C454" t="s">
        <v>966</v>
      </c>
      <c r="D454" t="s">
        <v>422</v>
      </c>
      <c r="E454">
        <v>6</v>
      </c>
      <c r="F454">
        <v>-3.9369999999999998</v>
      </c>
      <c r="G454">
        <v>-17.734999999999999</v>
      </c>
      <c r="H454">
        <v>17355</v>
      </c>
      <c r="I454">
        <v>0</v>
      </c>
      <c r="J454">
        <v>1</v>
      </c>
      <c r="K454" t="s">
        <v>359</v>
      </c>
      <c r="L454" t="s">
        <v>359</v>
      </c>
      <c r="M454" t="s">
        <v>360</v>
      </c>
      <c r="N454">
        <v>1649347176.6600001</v>
      </c>
      <c r="O454">
        <v>0.214</v>
      </c>
      <c r="P454">
        <v>0.40500000000000003</v>
      </c>
      <c r="Q454">
        <v>63.874000000000002</v>
      </c>
      <c r="R454">
        <v>2E-3</v>
      </c>
      <c r="S454">
        <v>4.0000000000000001E-3</v>
      </c>
      <c r="T454">
        <v>1.544</v>
      </c>
      <c r="U454">
        <v>102.7</v>
      </c>
      <c r="V454">
        <v>21.681000000000001</v>
      </c>
      <c r="W454">
        <v>2.3980000000000001</v>
      </c>
      <c r="X454">
        <v>93.754999999999995</v>
      </c>
      <c r="Y454">
        <v>0.94</v>
      </c>
      <c r="Z454">
        <v>0.20599999999999999</v>
      </c>
      <c r="AA454">
        <v>0</v>
      </c>
      <c r="AB454">
        <v>0</v>
      </c>
      <c r="AC454">
        <v>1</v>
      </c>
      <c r="AD454">
        <v>40.311999999999998</v>
      </c>
      <c r="AE454">
        <v>1</v>
      </c>
      <c r="AF454">
        <v>62</v>
      </c>
      <c r="AG454">
        <v>4</v>
      </c>
      <c r="AH454" t="s">
        <v>361</v>
      </c>
      <c r="AI454">
        <v>0</v>
      </c>
    </row>
    <row r="455" spans="1:35" x14ac:dyDescent="0.2">
      <c r="A455">
        <v>454</v>
      </c>
      <c r="B455" t="s">
        <v>967</v>
      </c>
      <c r="C455" t="s">
        <v>968</v>
      </c>
      <c r="D455" t="s">
        <v>423</v>
      </c>
      <c r="E455">
        <v>1</v>
      </c>
      <c r="F455">
        <v>-5.3129999999999997</v>
      </c>
      <c r="G455">
        <v>-27.704000000000001</v>
      </c>
      <c r="H455">
        <v>17493</v>
      </c>
      <c r="I455">
        <v>-1</v>
      </c>
      <c r="J455">
        <v>1</v>
      </c>
      <c r="K455" t="s">
        <v>359</v>
      </c>
      <c r="L455" t="s">
        <v>359</v>
      </c>
      <c r="M455" t="s">
        <v>360</v>
      </c>
      <c r="N455">
        <v>1649347714.3900001</v>
      </c>
      <c r="O455">
        <v>0.218</v>
      </c>
      <c r="P455">
        <v>0.42699999999999999</v>
      </c>
      <c r="Q455">
        <v>59.573999999999998</v>
      </c>
      <c r="R455">
        <v>0</v>
      </c>
      <c r="S455">
        <v>2E-3</v>
      </c>
      <c r="T455">
        <v>1.4239999999999999</v>
      </c>
      <c r="U455">
        <v>103.601</v>
      </c>
      <c r="V455">
        <v>22.367999999999999</v>
      </c>
      <c r="W455">
        <v>2.3170000000000002</v>
      </c>
      <c r="X455">
        <v>92.679000000000002</v>
      </c>
      <c r="Y455">
        <v>0.96799999999999997</v>
      </c>
      <c r="Z455">
        <v>-6.9000000000000006E-2</v>
      </c>
      <c r="AA455">
        <v>0</v>
      </c>
      <c r="AB455">
        <v>0</v>
      </c>
      <c r="AC455">
        <v>1</v>
      </c>
      <c r="AD455">
        <v>40.25</v>
      </c>
      <c r="AE455">
        <v>1</v>
      </c>
      <c r="AF455">
        <v>63</v>
      </c>
      <c r="AG455">
        <v>4</v>
      </c>
      <c r="AH455" t="s">
        <v>361</v>
      </c>
      <c r="AI455">
        <v>0</v>
      </c>
    </row>
    <row r="456" spans="1:35" x14ac:dyDescent="0.2">
      <c r="A456">
        <v>455</v>
      </c>
      <c r="B456" t="s">
        <v>967</v>
      </c>
      <c r="C456" t="s">
        <v>969</v>
      </c>
      <c r="D456" t="s">
        <v>423</v>
      </c>
      <c r="E456">
        <v>2</v>
      </c>
      <c r="F456">
        <v>-5.4340000000000002</v>
      </c>
      <c r="G456">
        <v>-28.297000000000001</v>
      </c>
      <c r="H456">
        <v>17382</v>
      </c>
      <c r="I456">
        <v>-1</v>
      </c>
      <c r="J456">
        <v>1</v>
      </c>
      <c r="K456" t="s">
        <v>359</v>
      </c>
      <c r="L456" t="s">
        <v>359</v>
      </c>
      <c r="M456" t="s">
        <v>360</v>
      </c>
      <c r="N456">
        <v>1649348250.6600001</v>
      </c>
      <c r="O456">
        <v>0.218</v>
      </c>
      <c r="P456">
        <v>0.38</v>
      </c>
      <c r="Q456">
        <v>59.101999999999997</v>
      </c>
      <c r="R456">
        <v>1E-3</v>
      </c>
      <c r="S456">
        <v>2E-3</v>
      </c>
      <c r="T456">
        <v>1.4059999999999999</v>
      </c>
      <c r="U456">
        <v>102.883</v>
      </c>
      <c r="V456">
        <v>22.277999999999999</v>
      </c>
      <c r="W456">
        <v>2.3090000000000002</v>
      </c>
      <c r="X456">
        <v>92.007999999999996</v>
      </c>
      <c r="Y456">
        <v>0.96899999999999997</v>
      </c>
      <c r="Z456">
        <v>-2.9000000000000001E-2</v>
      </c>
      <c r="AA456">
        <v>0</v>
      </c>
      <c r="AB456">
        <v>0</v>
      </c>
      <c r="AC456">
        <v>1</v>
      </c>
      <c r="AD456">
        <v>40.25</v>
      </c>
      <c r="AE456">
        <v>1</v>
      </c>
      <c r="AF456">
        <v>63</v>
      </c>
      <c r="AG456">
        <v>4</v>
      </c>
      <c r="AH456" t="s">
        <v>361</v>
      </c>
      <c r="AI456">
        <v>0</v>
      </c>
    </row>
    <row r="457" spans="1:35" x14ac:dyDescent="0.2">
      <c r="A457">
        <v>456</v>
      </c>
      <c r="B457" t="s">
        <v>967</v>
      </c>
      <c r="C457" t="s">
        <v>970</v>
      </c>
      <c r="D457" t="s">
        <v>423</v>
      </c>
      <c r="E457">
        <v>3</v>
      </c>
      <c r="F457">
        <v>-5.399</v>
      </c>
      <c r="G457">
        <v>-28.510999999999999</v>
      </c>
      <c r="H457">
        <v>17360</v>
      </c>
      <c r="I457">
        <v>-1</v>
      </c>
      <c r="J457">
        <v>1</v>
      </c>
      <c r="K457" t="s">
        <v>359</v>
      </c>
      <c r="L457" t="s">
        <v>359</v>
      </c>
      <c r="M457" t="s">
        <v>360</v>
      </c>
      <c r="N457">
        <v>1649348787.8299999</v>
      </c>
      <c r="O457">
        <v>0.21</v>
      </c>
      <c r="P457">
        <v>0.39400000000000002</v>
      </c>
      <c r="Q457">
        <v>58.101999999999997</v>
      </c>
      <c r="R457">
        <v>1E-3</v>
      </c>
      <c r="S457">
        <v>2E-3</v>
      </c>
      <c r="T457">
        <v>1.387</v>
      </c>
      <c r="U457">
        <v>102.917</v>
      </c>
      <c r="V457">
        <v>21.864000000000001</v>
      </c>
      <c r="W457">
        <v>2.33</v>
      </c>
      <c r="X457">
        <v>92.177000000000007</v>
      </c>
      <c r="Y457">
        <v>0.94099999999999995</v>
      </c>
      <c r="Z457">
        <v>-0.13200000000000001</v>
      </c>
      <c r="AA457">
        <v>0</v>
      </c>
      <c r="AB457">
        <v>0</v>
      </c>
      <c r="AC457">
        <v>1</v>
      </c>
      <c r="AD457">
        <v>40.25</v>
      </c>
      <c r="AE457">
        <v>1</v>
      </c>
      <c r="AF457">
        <v>63</v>
      </c>
      <c r="AG457">
        <v>4</v>
      </c>
      <c r="AH457" t="s">
        <v>361</v>
      </c>
      <c r="AI457">
        <v>0</v>
      </c>
    </row>
    <row r="458" spans="1:35" x14ac:dyDescent="0.2">
      <c r="A458">
        <v>457</v>
      </c>
      <c r="B458" t="s">
        <v>967</v>
      </c>
      <c r="C458" t="s">
        <v>971</v>
      </c>
      <c r="D458" t="s">
        <v>423</v>
      </c>
      <c r="E458">
        <v>4</v>
      </c>
      <c r="F458">
        <v>-5.4409999999999998</v>
      </c>
      <c r="G458">
        <v>-28.847000000000001</v>
      </c>
      <c r="H458">
        <v>17353</v>
      </c>
      <c r="I458">
        <v>0</v>
      </c>
      <c r="J458">
        <v>1</v>
      </c>
      <c r="K458" t="s">
        <v>359</v>
      </c>
      <c r="L458" t="s">
        <v>359</v>
      </c>
      <c r="M458" t="s">
        <v>360</v>
      </c>
      <c r="N458">
        <v>1649349325.55</v>
      </c>
      <c r="O458">
        <v>0.18099999999999999</v>
      </c>
      <c r="P458">
        <v>0.43099999999999999</v>
      </c>
      <c r="Q458">
        <v>58.061</v>
      </c>
      <c r="R458">
        <v>0</v>
      </c>
      <c r="S458">
        <v>1E-3</v>
      </c>
      <c r="T458">
        <v>1.385</v>
      </c>
      <c r="U458">
        <v>102.646</v>
      </c>
      <c r="V458">
        <v>21.172000000000001</v>
      </c>
      <c r="W458">
        <v>2.4620000000000002</v>
      </c>
      <c r="X458">
        <v>95.881</v>
      </c>
      <c r="Y458">
        <v>0.94599999999999995</v>
      </c>
      <c r="Z458">
        <v>0.55800000000000005</v>
      </c>
      <c r="AA458">
        <v>0</v>
      </c>
      <c r="AB458">
        <v>0</v>
      </c>
      <c r="AC458">
        <v>1</v>
      </c>
      <c r="AD458">
        <v>40.25</v>
      </c>
      <c r="AE458">
        <v>1</v>
      </c>
      <c r="AF458">
        <v>63</v>
      </c>
      <c r="AG458">
        <v>4</v>
      </c>
      <c r="AH458" t="s">
        <v>361</v>
      </c>
      <c r="AI458">
        <v>0</v>
      </c>
    </row>
    <row r="459" spans="1:35" x14ac:dyDescent="0.2">
      <c r="A459">
        <v>458</v>
      </c>
      <c r="B459" t="s">
        <v>967</v>
      </c>
      <c r="C459" t="s">
        <v>972</v>
      </c>
      <c r="D459" t="s">
        <v>423</v>
      </c>
      <c r="E459">
        <v>5</v>
      </c>
      <c r="F459">
        <v>-5.3879999999999999</v>
      </c>
      <c r="G459">
        <v>-28.763999999999999</v>
      </c>
      <c r="H459">
        <v>17332</v>
      </c>
      <c r="I459">
        <v>0</v>
      </c>
      <c r="J459">
        <v>1</v>
      </c>
      <c r="K459" t="s">
        <v>359</v>
      </c>
      <c r="L459" t="s">
        <v>359</v>
      </c>
      <c r="M459" t="s">
        <v>360</v>
      </c>
      <c r="N459">
        <v>1649349863.22</v>
      </c>
      <c r="O459">
        <v>0.19900000000000001</v>
      </c>
      <c r="P459">
        <v>0.41399999999999998</v>
      </c>
      <c r="Q459">
        <v>57.731999999999999</v>
      </c>
      <c r="R459">
        <v>1E-3</v>
      </c>
      <c r="S459">
        <v>1E-3</v>
      </c>
      <c r="T459">
        <v>1.383</v>
      </c>
      <c r="U459">
        <v>102.893</v>
      </c>
      <c r="V459">
        <v>21.125</v>
      </c>
      <c r="W459">
        <v>2.4039999999999999</v>
      </c>
      <c r="X459">
        <v>93.988</v>
      </c>
      <c r="Y459">
        <v>0.92700000000000005</v>
      </c>
      <c r="Z459">
        <v>9.1999999999999998E-2</v>
      </c>
      <c r="AA459">
        <v>0</v>
      </c>
      <c r="AB459">
        <v>0</v>
      </c>
      <c r="AC459">
        <v>1</v>
      </c>
      <c r="AD459">
        <v>40.311999999999998</v>
      </c>
      <c r="AE459">
        <v>1</v>
      </c>
      <c r="AF459">
        <v>63</v>
      </c>
      <c r="AG459">
        <v>4</v>
      </c>
      <c r="AH459" t="s">
        <v>361</v>
      </c>
      <c r="AI459">
        <v>0</v>
      </c>
    </row>
    <row r="460" spans="1:35" x14ac:dyDescent="0.2">
      <c r="A460">
        <v>459</v>
      </c>
      <c r="B460" t="s">
        <v>967</v>
      </c>
      <c r="C460" t="s">
        <v>973</v>
      </c>
      <c r="D460" t="s">
        <v>423</v>
      </c>
      <c r="E460">
        <v>6</v>
      </c>
      <c r="F460">
        <v>-5.4630000000000001</v>
      </c>
      <c r="G460">
        <v>-29.206</v>
      </c>
      <c r="H460">
        <v>17314</v>
      </c>
      <c r="I460">
        <v>0</v>
      </c>
      <c r="J460">
        <v>1</v>
      </c>
      <c r="K460" t="s">
        <v>359</v>
      </c>
      <c r="L460" t="s">
        <v>359</v>
      </c>
      <c r="M460" t="s">
        <v>360</v>
      </c>
      <c r="N460">
        <v>1649350400.1199999</v>
      </c>
      <c r="O460">
        <v>0.24199999999999999</v>
      </c>
      <c r="P460">
        <v>0.44900000000000001</v>
      </c>
      <c r="Q460">
        <v>65.257000000000005</v>
      </c>
      <c r="R460">
        <v>3.0000000000000001E-3</v>
      </c>
      <c r="S460">
        <v>5.0000000000000001E-3</v>
      </c>
      <c r="T460">
        <v>1.5720000000000001</v>
      </c>
      <c r="U460">
        <v>102.431</v>
      </c>
      <c r="V460">
        <v>21.504999999999999</v>
      </c>
      <c r="W460">
        <v>2.468</v>
      </c>
      <c r="X460">
        <v>94.671000000000006</v>
      </c>
      <c r="Y460">
        <v>0.92100000000000004</v>
      </c>
      <c r="Z460">
        <v>0.224</v>
      </c>
      <c r="AA460">
        <v>0</v>
      </c>
      <c r="AB460">
        <v>0</v>
      </c>
      <c r="AC460">
        <v>1</v>
      </c>
      <c r="AD460">
        <v>40.25</v>
      </c>
      <c r="AE460">
        <v>1</v>
      </c>
      <c r="AF460">
        <v>63</v>
      </c>
      <c r="AG460">
        <v>4</v>
      </c>
      <c r="AH460" t="s">
        <v>361</v>
      </c>
      <c r="AI460">
        <v>0</v>
      </c>
    </row>
    <row r="461" spans="1:35" x14ac:dyDescent="0.2">
      <c r="A461">
        <v>460</v>
      </c>
      <c r="B461" t="s">
        <v>974</v>
      </c>
      <c r="C461" t="s">
        <v>975</v>
      </c>
      <c r="D461" t="s">
        <v>424</v>
      </c>
      <c r="E461">
        <v>1</v>
      </c>
      <c r="F461">
        <v>-3.8</v>
      </c>
      <c r="G461">
        <v>-18.012</v>
      </c>
      <c r="H461">
        <v>17425</v>
      </c>
      <c r="I461">
        <v>-1</v>
      </c>
      <c r="J461">
        <v>1</v>
      </c>
      <c r="K461" t="s">
        <v>359</v>
      </c>
      <c r="L461" t="s">
        <v>359</v>
      </c>
      <c r="M461" t="s">
        <v>360</v>
      </c>
      <c r="N461">
        <v>1649350937.3</v>
      </c>
      <c r="O461">
        <v>0.20399999999999999</v>
      </c>
      <c r="P461">
        <v>0.40899999999999997</v>
      </c>
      <c r="Q461">
        <v>58.466999999999999</v>
      </c>
      <c r="R461">
        <v>1E-3</v>
      </c>
      <c r="S461">
        <v>1E-3</v>
      </c>
      <c r="T461">
        <v>1.39</v>
      </c>
      <c r="U461">
        <v>103.2</v>
      </c>
      <c r="V461">
        <v>21.331</v>
      </c>
      <c r="W461">
        <v>2.403</v>
      </c>
      <c r="X461">
        <v>95.486999999999995</v>
      </c>
      <c r="Y461">
        <v>0.94899999999999995</v>
      </c>
      <c r="Z461">
        <v>0.26100000000000001</v>
      </c>
      <c r="AA461">
        <v>0</v>
      </c>
      <c r="AB461">
        <v>0</v>
      </c>
      <c r="AC461">
        <v>1</v>
      </c>
      <c r="AD461">
        <v>40.311999999999998</v>
      </c>
      <c r="AE461">
        <v>1</v>
      </c>
      <c r="AF461">
        <v>64</v>
      </c>
      <c r="AG461">
        <v>4</v>
      </c>
      <c r="AH461" t="s">
        <v>361</v>
      </c>
      <c r="AI461">
        <v>0</v>
      </c>
    </row>
    <row r="462" spans="1:35" x14ac:dyDescent="0.2">
      <c r="A462">
        <v>461</v>
      </c>
      <c r="B462" t="s">
        <v>974</v>
      </c>
      <c r="C462" t="s">
        <v>976</v>
      </c>
      <c r="D462" t="s">
        <v>424</v>
      </c>
      <c r="E462">
        <v>2</v>
      </c>
      <c r="F462">
        <v>-3.7410000000000001</v>
      </c>
      <c r="G462">
        <v>-17.187999999999999</v>
      </c>
      <c r="H462">
        <v>17471</v>
      </c>
      <c r="I462">
        <v>-1</v>
      </c>
      <c r="J462">
        <v>1</v>
      </c>
      <c r="K462" t="s">
        <v>359</v>
      </c>
      <c r="L462" t="s">
        <v>359</v>
      </c>
      <c r="M462" t="s">
        <v>360</v>
      </c>
      <c r="N462">
        <v>1649351474.99</v>
      </c>
      <c r="O462">
        <v>0.23100000000000001</v>
      </c>
      <c r="P462">
        <v>0.36799999999999999</v>
      </c>
      <c r="Q462">
        <v>57.622999999999998</v>
      </c>
      <c r="R462">
        <v>1E-3</v>
      </c>
      <c r="S462">
        <v>0</v>
      </c>
      <c r="T462">
        <v>1.38</v>
      </c>
      <c r="U462">
        <v>103.364</v>
      </c>
      <c r="V462">
        <v>21.757000000000001</v>
      </c>
      <c r="W462">
        <v>2.4790000000000001</v>
      </c>
      <c r="X462">
        <v>95.638000000000005</v>
      </c>
      <c r="Y462">
        <v>0.92800000000000005</v>
      </c>
      <c r="Z462">
        <v>0.29299999999999998</v>
      </c>
      <c r="AA462">
        <v>0</v>
      </c>
      <c r="AB462">
        <v>0</v>
      </c>
      <c r="AC462">
        <v>1</v>
      </c>
      <c r="AD462">
        <v>40.311999999999998</v>
      </c>
      <c r="AE462">
        <v>1</v>
      </c>
      <c r="AF462">
        <v>64</v>
      </c>
      <c r="AG462">
        <v>4</v>
      </c>
      <c r="AH462" t="s">
        <v>361</v>
      </c>
      <c r="AI462">
        <v>0</v>
      </c>
    </row>
    <row r="463" spans="1:35" x14ac:dyDescent="0.2">
      <c r="A463">
        <v>462</v>
      </c>
      <c r="B463" t="s">
        <v>974</v>
      </c>
      <c r="C463" t="s">
        <v>977</v>
      </c>
      <c r="D463" t="s">
        <v>424</v>
      </c>
      <c r="E463">
        <v>3</v>
      </c>
      <c r="F463">
        <v>-3.4630000000000001</v>
      </c>
      <c r="G463">
        <v>-16.158999999999999</v>
      </c>
      <c r="H463">
        <v>18106</v>
      </c>
      <c r="I463">
        <v>-1</v>
      </c>
      <c r="J463">
        <v>1</v>
      </c>
      <c r="K463" t="s">
        <v>359</v>
      </c>
      <c r="L463" t="s">
        <v>359</v>
      </c>
      <c r="M463" t="s">
        <v>360</v>
      </c>
      <c r="N463">
        <v>1649352012.5799999</v>
      </c>
      <c r="O463">
        <v>0.217</v>
      </c>
      <c r="P463">
        <v>0.38300000000000001</v>
      </c>
      <c r="Q463">
        <v>59.709000000000003</v>
      </c>
      <c r="R463">
        <v>1E-3</v>
      </c>
      <c r="S463">
        <v>1E-3</v>
      </c>
      <c r="T463">
        <v>1.421</v>
      </c>
      <c r="U463">
        <v>107.554</v>
      </c>
      <c r="V463">
        <v>22.285</v>
      </c>
      <c r="W463">
        <v>2.488</v>
      </c>
      <c r="X463">
        <v>97.951999999999998</v>
      </c>
      <c r="Y463">
        <v>0.94499999999999995</v>
      </c>
      <c r="Z463">
        <v>0.159</v>
      </c>
      <c r="AA463">
        <v>0</v>
      </c>
      <c r="AB463">
        <v>0</v>
      </c>
      <c r="AC463">
        <v>1</v>
      </c>
      <c r="AD463">
        <v>40.25</v>
      </c>
      <c r="AE463">
        <v>1</v>
      </c>
      <c r="AF463">
        <v>64</v>
      </c>
      <c r="AG463">
        <v>4</v>
      </c>
      <c r="AH463" t="s">
        <v>361</v>
      </c>
      <c r="AI463">
        <v>0</v>
      </c>
    </row>
    <row r="464" spans="1:35" x14ac:dyDescent="0.2">
      <c r="A464">
        <v>463</v>
      </c>
      <c r="B464" t="s">
        <v>974</v>
      </c>
      <c r="C464" t="s">
        <v>978</v>
      </c>
      <c r="D464" t="s">
        <v>424</v>
      </c>
      <c r="E464">
        <v>4</v>
      </c>
      <c r="F464">
        <v>-3.718</v>
      </c>
      <c r="G464">
        <v>-16.635999999999999</v>
      </c>
      <c r="H464">
        <v>17305</v>
      </c>
      <c r="I464">
        <v>0</v>
      </c>
      <c r="J464">
        <v>1</v>
      </c>
      <c r="K464" t="s">
        <v>359</v>
      </c>
      <c r="L464" t="s">
        <v>359</v>
      </c>
      <c r="M464" t="s">
        <v>360</v>
      </c>
      <c r="N464">
        <v>1649352548.77</v>
      </c>
      <c r="O464">
        <v>0.21299999999999999</v>
      </c>
      <c r="P464">
        <v>0.372</v>
      </c>
      <c r="Q464">
        <v>58.305</v>
      </c>
      <c r="R464">
        <v>1E-3</v>
      </c>
      <c r="S464">
        <v>2E-3</v>
      </c>
      <c r="T464">
        <v>1.399</v>
      </c>
      <c r="U464">
        <v>102.15600000000001</v>
      </c>
      <c r="V464">
        <v>21.456</v>
      </c>
      <c r="W464">
        <v>2.488</v>
      </c>
      <c r="X464">
        <v>95.929000000000002</v>
      </c>
      <c r="Y464">
        <v>0.91900000000000004</v>
      </c>
      <c r="Z464">
        <v>0.59799999999999998</v>
      </c>
      <c r="AA464">
        <v>0</v>
      </c>
      <c r="AB464">
        <v>0</v>
      </c>
      <c r="AC464">
        <v>1</v>
      </c>
      <c r="AD464">
        <v>40.25</v>
      </c>
      <c r="AE464">
        <v>1</v>
      </c>
      <c r="AF464">
        <v>64</v>
      </c>
      <c r="AG464">
        <v>4</v>
      </c>
      <c r="AH464" t="s">
        <v>361</v>
      </c>
      <c r="AI464">
        <v>0</v>
      </c>
    </row>
    <row r="465" spans="1:35" x14ac:dyDescent="0.2">
      <c r="A465">
        <v>464</v>
      </c>
      <c r="B465" t="s">
        <v>974</v>
      </c>
      <c r="C465" t="s">
        <v>979</v>
      </c>
      <c r="D465" t="s">
        <v>424</v>
      </c>
      <c r="E465">
        <v>5</v>
      </c>
      <c r="F465">
        <v>-3.819</v>
      </c>
      <c r="G465">
        <v>-17.119</v>
      </c>
      <c r="H465">
        <v>17225</v>
      </c>
      <c r="I465">
        <v>0</v>
      </c>
      <c r="J465">
        <v>1</v>
      </c>
      <c r="K465" t="s">
        <v>359</v>
      </c>
      <c r="L465" t="s">
        <v>359</v>
      </c>
      <c r="M465" t="s">
        <v>360</v>
      </c>
      <c r="N465">
        <v>1649353085.9000001</v>
      </c>
      <c r="O465">
        <v>0.20300000000000001</v>
      </c>
      <c r="P465">
        <v>0.41799999999999998</v>
      </c>
      <c r="Q465">
        <v>62.633000000000003</v>
      </c>
      <c r="R465">
        <v>1E-3</v>
      </c>
      <c r="S465">
        <v>2E-3</v>
      </c>
      <c r="T465">
        <v>1.502</v>
      </c>
      <c r="U465">
        <v>101.82</v>
      </c>
      <c r="V465">
        <v>21.565999999999999</v>
      </c>
      <c r="W465">
        <v>2.395</v>
      </c>
      <c r="X465">
        <v>93.856999999999999</v>
      </c>
      <c r="Y465">
        <v>0.92900000000000005</v>
      </c>
      <c r="Z465">
        <v>0.308</v>
      </c>
      <c r="AA465">
        <v>0</v>
      </c>
      <c r="AB465">
        <v>0</v>
      </c>
      <c r="AC465">
        <v>1</v>
      </c>
      <c r="AD465">
        <v>40.25</v>
      </c>
      <c r="AE465">
        <v>1</v>
      </c>
      <c r="AF465">
        <v>64</v>
      </c>
      <c r="AG465">
        <v>4</v>
      </c>
      <c r="AH465" t="s">
        <v>361</v>
      </c>
      <c r="AI465">
        <v>0</v>
      </c>
    </row>
    <row r="466" spans="1:35" x14ac:dyDescent="0.2">
      <c r="A466">
        <v>465</v>
      </c>
      <c r="B466" t="s">
        <v>974</v>
      </c>
      <c r="C466" t="s">
        <v>980</v>
      </c>
      <c r="D466" t="s">
        <v>424</v>
      </c>
      <c r="E466">
        <v>6</v>
      </c>
      <c r="F466">
        <v>-3.7370000000000001</v>
      </c>
      <c r="G466">
        <v>-16.789000000000001</v>
      </c>
      <c r="H466">
        <v>17265</v>
      </c>
      <c r="I466">
        <v>0</v>
      </c>
      <c r="J466">
        <v>1</v>
      </c>
      <c r="K466" t="s">
        <v>359</v>
      </c>
      <c r="L466" t="s">
        <v>359</v>
      </c>
      <c r="M466" t="s">
        <v>360</v>
      </c>
      <c r="N466">
        <v>1649353623.6900001</v>
      </c>
      <c r="O466">
        <v>0.218</v>
      </c>
      <c r="P466">
        <v>0.39</v>
      </c>
      <c r="Q466">
        <v>59.786000000000001</v>
      </c>
      <c r="R466">
        <v>1E-3</v>
      </c>
      <c r="S466">
        <v>1E-3</v>
      </c>
      <c r="T466">
        <v>1.431</v>
      </c>
      <c r="U466">
        <v>102.098</v>
      </c>
      <c r="V466">
        <v>21.061</v>
      </c>
      <c r="W466">
        <v>2.4569999999999999</v>
      </c>
      <c r="X466">
        <v>95.718999999999994</v>
      </c>
      <c r="Y466">
        <v>0.92400000000000004</v>
      </c>
      <c r="Z466">
        <v>0.45800000000000002</v>
      </c>
      <c r="AA466">
        <v>0</v>
      </c>
      <c r="AB466">
        <v>0</v>
      </c>
      <c r="AC466">
        <v>1</v>
      </c>
      <c r="AD466">
        <v>40.311999999999998</v>
      </c>
      <c r="AE466">
        <v>1</v>
      </c>
      <c r="AF466">
        <v>64</v>
      </c>
      <c r="AG466">
        <v>4</v>
      </c>
      <c r="AH466" t="s">
        <v>361</v>
      </c>
      <c r="AI466">
        <v>0</v>
      </c>
    </row>
    <row r="467" spans="1:35" x14ac:dyDescent="0.2">
      <c r="A467">
        <v>466</v>
      </c>
      <c r="B467" t="s">
        <v>981</v>
      </c>
      <c r="C467" t="s">
        <v>982</v>
      </c>
      <c r="D467" t="s">
        <v>425</v>
      </c>
      <c r="E467">
        <v>1</v>
      </c>
      <c r="F467">
        <v>-3.7749999999999999</v>
      </c>
      <c r="G467">
        <v>-17.654</v>
      </c>
      <c r="H467">
        <v>17492</v>
      </c>
      <c r="I467">
        <v>-1</v>
      </c>
      <c r="J467">
        <v>1</v>
      </c>
      <c r="K467" t="s">
        <v>359</v>
      </c>
      <c r="L467" t="s">
        <v>359</v>
      </c>
      <c r="M467" t="s">
        <v>360</v>
      </c>
      <c r="N467">
        <v>1649354160.78</v>
      </c>
      <c r="O467">
        <v>0.21</v>
      </c>
      <c r="P467">
        <v>0.40600000000000003</v>
      </c>
      <c r="Q467">
        <v>58.368000000000002</v>
      </c>
      <c r="R467">
        <v>0</v>
      </c>
      <c r="S467">
        <v>1E-3</v>
      </c>
      <c r="T467">
        <v>1.3919999999999999</v>
      </c>
      <c r="U467">
        <v>103.46599999999999</v>
      </c>
      <c r="V467">
        <v>21.79</v>
      </c>
      <c r="W467">
        <v>2.4750000000000001</v>
      </c>
      <c r="X467">
        <v>95.753</v>
      </c>
      <c r="Y467">
        <v>0.93200000000000005</v>
      </c>
      <c r="Z467">
        <v>0.38700000000000001</v>
      </c>
      <c r="AA467">
        <v>0</v>
      </c>
      <c r="AB467">
        <v>0</v>
      </c>
      <c r="AC467">
        <v>1</v>
      </c>
      <c r="AD467">
        <v>40.311999999999998</v>
      </c>
      <c r="AE467">
        <v>1</v>
      </c>
      <c r="AF467">
        <v>65</v>
      </c>
      <c r="AG467">
        <v>4</v>
      </c>
      <c r="AH467" t="s">
        <v>361</v>
      </c>
      <c r="AI467">
        <v>0</v>
      </c>
    </row>
    <row r="468" spans="1:35" x14ac:dyDescent="0.2">
      <c r="A468">
        <v>467</v>
      </c>
      <c r="B468" t="s">
        <v>981</v>
      </c>
      <c r="C468" t="s">
        <v>983</v>
      </c>
      <c r="D468" t="s">
        <v>425</v>
      </c>
      <c r="E468">
        <v>2</v>
      </c>
      <c r="F468">
        <v>-3.9140000000000001</v>
      </c>
      <c r="G468">
        <v>-17.872</v>
      </c>
      <c r="H468">
        <v>17504</v>
      </c>
      <c r="I468">
        <v>-1</v>
      </c>
      <c r="J468">
        <v>1</v>
      </c>
      <c r="K468" t="s">
        <v>359</v>
      </c>
      <c r="L468" t="s">
        <v>359</v>
      </c>
      <c r="M468" t="s">
        <v>360</v>
      </c>
      <c r="N468">
        <v>1649354697.3599999</v>
      </c>
      <c r="O468">
        <v>0.20499999999999999</v>
      </c>
      <c r="P468">
        <v>0.47099999999999997</v>
      </c>
      <c r="Q468">
        <v>69.527000000000001</v>
      </c>
      <c r="R468">
        <v>2E-3</v>
      </c>
      <c r="S468">
        <v>5.0000000000000001E-3</v>
      </c>
      <c r="T468">
        <v>1.6679999999999999</v>
      </c>
      <c r="U468">
        <v>103.554</v>
      </c>
      <c r="V468">
        <v>21.346</v>
      </c>
      <c r="W468">
        <v>2.5219999999999998</v>
      </c>
      <c r="X468">
        <v>97.052000000000007</v>
      </c>
      <c r="Y468">
        <v>0.92</v>
      </c>
      <c r="Z468">
        <v>0.505</v>
      </c>
      <c r="AA468">
        <v>0</v>
      </c>
      <c r="AB468">
        <v>0</v>
      </c>
      <c r="AC468">
        <v>1</v>
      </c>
      <c r="AD468">
        <v>40.375</v>
      </c>
      <c r="AE468">
        <v>1</v>
      </c>
      <c r="AF468">
        <v>65</v>
      </c>
      <c r="AG468">
        <v>4</v>
      </c>
      <c r="AH468" t="s">
        <v>361</v>
      </c>
      <c r="AI468">
        <v>0</v>
      </c>
    </row>
    <row r="469" spans="1:35" x14ac:dyDescent="0.2">
      <c r="A469">
        <v>468</v>
      </c>
      <c r="B469" t="s">
        <v>981</v>
      </c>
      <c r="C469" t="s">
        <v>984</v>
      </c>
      <c r="D469" t="s">
        <v>425</v>
      </c>
      <c r="E469">
        <v>3</v>
      </c>
      <c r="F469">
        <v>-3.738</v>
      </c>
      <c r="G469">
        <v>-17.353999999999999</v>
      </c>
      <c r="H469">
        <v>17371</v>
      </c>
      <c r="I469">
        <v>-1</v>
      </c>
      <c r="J469">
        <v>1</v>
      </c>
      <c r="K469" t="s">
        <v>359</v>
      </c>
      <c r="L469" t="s">
        <v>359</v>
      </c>
      <c r="M469" t="s">
        <v>360</v>
      </c>
      <c r="N469">
        <v>1649355234.6199999</v>
      </c>
      <c r="O469">
        <v>0.20300000000000001</v>
      </c>
      <c r="P469">
        <v>0.45500000000000002</v>
      </c>
      <c r="Q469">
        <v>58.719000000000001</v>
      </c>
      <c r="R469">
        <v>1E-3</v>
      </c>
      <c r="S469">
        <v>1E-3</v>
      </c>
      <c r="T469">
        <v>1.409</v>
      </c>
      <c r="U469">
        <v>102.658</v>
      </c>
      <c r="V469">
        <v>21.681999999999999</v>
      </c>
      <c r="W469">
        <v>2.4809999999999999</v>
      </c>
      <c r="X469">
        <v>95.367000000000004</v>
      </c>
      <c r="Y469">
        <v>0.91700000000000004</v>
      </c>
      <c r="Z469">
        <v>0.44500000000000001</v>
      </c>
      <c r="AA469">
        <v>0</v>
      </c>
      <c r="AB469">
        <v>0</v>
      </c>
      <c r="AC469">
        <v>1</v>
      </c>
      <c r="AD469">
        <v>40.311999999999998</v>
      </c>
      <c r="AE469">
        <v>1</v>
      </c>
      <c r="AF469">
        <v>65</v>
      </c>
      <c r="AG469">
        <v>4</v>
      </c>
      <c r="AH469" t="s">
        <v>361</v>
      </c>
      <c r="AI469">
        <v>0</v>
      </c>
    </row>
    <row r="470" spans="1:35" x14ac:dyDescent="0.2">
      <c r="A470">
        <v>469</v>
      </c>
      <c r="B470" t="s">
        <v>981</v>
      </c>
      <c r="C470" t="s">
        <v>985</v>
      </c>
      <c r="D470" t="s">
        <v>425</v>
      </c>
      <c r="E470">
        <v>4</v>
      </c>
      <c r="F470">
        <v>-3.8570000000000002</v>
      </c>
      <c r="G470">
        <v>-17.53</v>
      </c>
      <c r="H470">
        <v>17446</v>
      </c>
      <c r="I470">
        <v>0</v>
      </c>
      <c r="J470">
        <v>1</v>
      </c>
      <c r="K470" t="s">
        <v>359</v>
      </c>
      <c r="L470" t="s">
        <v>359</v>
      </c>
      <c r="M470" t="s">
        <v>360</v>
      </c>
      <c r="N470">
        <v>1649355771.45</v>
      </c>
      <c r="O470">
        <v>0.20499999999999999</v>
      </c>
      <c r="P470">
        <v>0.41899999999999998</v>
      </c>
      <c r="Q470">
        <v>60.036999999999999</v>
      </c>
      <c r="R470">
        <v>1E-3</v>
      </c>
      <c r="S470">
        <v>-1E-3</v>
      </c>
      <c r="T470">
        <v>1.4370000000000001</v>
      </c>
      <c r="U470">
        <v>103.145</v>
      </c>
      <c r="V470">
        <v>21.207000000000001</v>
      </c>
      <c r="W470">
        <v>2.5179999999999998</v>
      </c>
      <c r="X470">
        <v>97.283000000000001</v>
      </c>
      <c r="Y470">
        <v>0.91600000000000004</v>
      </c>
      <c r="Z470">
        <v>0.497</v>
      </c>
      <c r="AA470">
        <v>0</v>
      </c>
      <c r="AB470">
        <v>0</v>
      </c>
      <c r="AC470">
        <v>1</v>
      </c>
      <c r="AD470">
        <v>40.311999999999998</v>
      </c>
      <c r="AE470">
        <v>1</v>
      </c>
      <c r="AF470">
        <v>65</v>
      </c>
      <c r="AG470">
        <v>4</v>
      </c>
      <c r="AH470" t="s">
        <v>361</v>
      </c>
      <c r="AI470">
        <v>0</v>
      </c>
    </row>
    <row r="471" spans="1:35" x14ac:dyDescent="0.2">
      <c r="A471">
        <v>470</v>
      </c>
      <c r="B471" t="s">
        <v>981</v>
      </c>
      <c r="C471" t="s">
        <v>986</v>
      </c>
      <c r="D471" t="s">
        <v>425</v>
      </c>
      <c r="E471">
        <v>5</v>
      </c>
      <c r="F471">
        <v>-3.7869999999999999</v>
      </c>
      <c r="G471">
        <v>-17.475000000000001</v>
      </c>
      <c r="H471">
        <v>17376</v>
      </c>
      <c r="I471">
        <v>0</v>
      </c>
      <c r="J471">
        <v>1</v>
      </c>
      <c r="K471" t="s">
        <v>359</v>
      </c>
      <c r="L471" t="s">
        <v>359</v>
      </c>
      <c r="M471" t="s">
        <v>360</v>
      </c>
      <c r="N471">
        <v>1649356309.3</v>
      </c>
      <c r="O471">
        <v>0.23899999999999999</v>
      </c>
      <c r="P471">
        <v>0.40300000000000002</v>
      </c>
      <c r="Q471">
        <v>59.69</v>
      </c>
      <c r="R471">
        <v>1E-3</v>
      </c>
      <c r="S471">
        <v>1E-3</v>
      </c>
      <c r="T471">
        <v>1.4279999999999999</v>
      </c>
      <c r="U471">
        <v>102.70699999999999</v>
      </c>
      <c r="V471">
        <v>21.187999999999999</v>
      </c>
      <c r="W471">
        <v>2.5470000000000002</v>
      </c>
      <c r="X471">
        <v>96.841999999999999</v>
      </c>
      <c r="Y471">
        <v>0.91100000000000003</v>
      </c>
      <c r="Z471">
        <v>0.57899999999999996</v>
      </c>
      <c r="AA471">
        <v>0</v>
      </c>
      <c r="AB471">
        <v>0</v>
      </c>
      <c r="AC471">
        <v>1</v>
      </c>
      <c r="AD471">
        <v>40.311999999999998</v>
      </c>
      <c r="AE471">
        <v>1</v>
      </c>
      <c r="AF471">
        <v>65</v>
      </c>
      <c r="AG471">
        <v>4</v>
      </c>
      <c r="AH471" t="s">
        <v>361</v>
      </c>
      <c r="AI471">
        <v>0</v>
      </c>
    </row>
    <row r="472" spans="1:35" x14ac:dyDescent="0.2">
      <c r="A472">
        <v>471</v>
      </c>
      <c r="B472" t="s">
        <v>981</v>
      </c>
      <c r="C472" t="s">
        <v>987</v>
      </c>
      <c r="D472" t="s">
        <v>425</v>
      </c>
      <c r="E472">
        <v>6</v>
      </c>
      <c r="F472">
        <v>-3.8250000000000002</v>
      </c>
      <c r="G472">
        <v>-17.651</v>
      </c>
      <c r="H472">
        <v>17316</v>
      </c>
      <c r="I472">
        <v>0</v>
      </c>
      <c r="J472">
        <v>1</v>
      </c>
      <c r="K472" t="s">
        <v>359</v>
      </c>
      <c r="L472" t="s">
        <v>359</v>
      </c>
      <c r="M472" t="s">
        <v>360</v>
      </c>
      <c r="N472">
        <v>1649356845.2</v>
      </c>
      <c r="O472">
        <v>0.22500000000000001</v>
      </c>
      <c r="P472">
        <v>0.42099999999999999</v>
      </c>
      <c r="Q472">
        <v>55.997</v>
      </c>
      <c r="R472">
        <v>0</v>
      </c>
      <c r="S472">
        <v>-1E-3</v>
      </c>
      <c r="T472">
        <v>1.34</v>
      </c>
      <c r="U472">
        <v>102.15900000000001</v>
      </c>
      <c r="V472">
        <v>21.120999999999999</v>
      </c>
      <c r="W472">
        <v>2.5470000000000002</v>
      </c>
      <c r="X472">
        <v>97.566000000000003</v>
      </c>
      <c r="Y472">
        <v>0.92</v>
      </c>
      <c r="Z472">
        <v>0.73899999999999999</v>
      </c>
      <c r="AA472">
        <v>0</v>
      </c>
      <c r="AB472">
        <v>0</v>
      </c>
      <c r="AC472">
        <v>1</v>
      </c>
      <c r="AD472">
        <v>40.311999999999998</v>
      </c>
      <c r="AE472">
        <v>1</v>
      </c>
      <c r="AF472">
        <v>65</v>
      </c>
      <c r="AG472">
        <v>4</v>
      </c>
      <c r="AH472" t="s">
        <v>361</v>
      </c>
      <c r="AI472">
        <v>0</v>
      </c>
    </row>
    <row r="473" spans="1:35" x14ac:dyDescent="0.2">
      <c r="A473">
        <v>472</v>
      </c>
      <c r="B473" t="s">
        <v>988</v>
      </c>
      <c r="C473" t="s">
        <v>989</v>
      </c>
      <c r="D473" t="s">
        <v>426</v>
      </c>
      <c r="E473">
        <v>1</v>
      </c>
      <c r="F473">
        <v>-3.8660000000000001</v>
      </c>
      <c r="G473">
        <v>-17.759</v>
      </c>
      <c r="H473">
        <v>17348</v>
      </c>
      <c r="I473">
        <v>-1</v>
      </c>
      <c r="J473">
        <v>1</v>
      </c>
      <c r="K473" t="s">
        <v>359</v>
      </c>
      <c r="L473" t="s">
        <v>359</v>
      </c>
      <c r="M473" t="s">
        <v>360</v>
      </c>
      <c r="N473">
        <v>1649357384.7</v>
      </c>
      <c r="O473">
        <v>0.183</v>
      </c>
      <c r="P473">
        <v>0.40400000000000003</v>
      </c>
      <c r="Q473">
        <v>58.634</v>
      </c>
      <c r="R473">
        <v>1E-3</v>
      </c>
      <c r="S473">
        <v>0</v>
      </c>
      <c r="T473">
        <v>1.399</v>
      </c>
      <c r="U473">
        <v>102.708</v>
      </c>
      <c r="V473">
        <v>20.747</v>
      </c>
      <c r="W473">
        <v>2.5339999999999998</v>
      </c>
      <c r="X473">
        <v>96.811999999999998</v>
      </c>
      <c r="Y473">
        <v>0.93400000000000005</v>
      </c>
      <c r="Z473">
        <v>0.371</v>
      </c>
      <c r="AA473">
        <v>0</v>
      </c>
      <c r="AB473">
        <v>0</v>
      </c>
      <c r="AC473">
        <v>1</v>
      </c>
      <c r="AD473">
        <v>40.311999999999998</v>
      </c>
      <c r="AE473">
        <v>1</v>
      </c>
      <c r="AF473">
        <v>66</v>
      </c>
      <c r="AG473">
        <v>4</v>
      </c>
      <c r="AH473" t="s">
        <v>361</v>
      </c>
      <c r="AI473">
        <v>0</v>
      </c>
    </row>
    <row r="474" spans="1:35" x14ac:dyDescent="0.2">
      <c r="A474">
        <v>473</v>
      </c>
      <c r="B474" t="s">
        <v>988</v>
      </c>
      <c r="C474" t="s">
        <v>990</v>
      </c>
      <c r="D474" t="s">
        <v>426</v>
      </c>
      <c r="E474">
        <v>2</v>
      </c>
      <c r="F474">
        <v>-3.823</v>
      </c>
      <c r="G474">
        <v>-17.433</v>
      </c>
      <c r="H474">
        <v>17386</v>
      </c>
      <c r="I474">
        <v>-1</v>
      </c>
      <c r="J474">
        <v>1</v>
      </c>
      <c r="K474" t="s">
        <v>359</v>
      </c>
      <c r="L474" t="s">
        <v>359</v>
      </c>
      <c r="M474" t="s">
        <v>360</v>
      </c>
      <c r="N474">
        <v>1649357920.23</v>
      </c>
      <c r="O474">
        <v>0.19400000000000001</v>
      </c>
      <c r="P474">
        <v>0.40899999999999997</v>
      </c>
      <c r="Q474">
        <v>56.218000000000004</v>
      </c>
      <c r="R474">
        <v>0</v>
      </c>
      <c r="S474">
        <v>-1E-3</v>
      </c>
      <c r="T474">
        <v>1.349</v>
      </c>
      <c r="U474">
        <v>102.66</v>
      </c>
      <c r="V474">
        <v>21.715</v>
      </c>
      <c r="W474">
        <v>2.4700000000000002</v>
      </c>
      <c r="X474">
        <v>95.563000000000002</v>
      </c>
      <c r="Y474">
        <v>0.92400000000000004</v>
      </c>
      <c r="Z474">
        <v>0.38</v>
      </c>
      <c r="AA474">
        <v>0</v>
      </c>
      <c r="AB474">
        <v>0</v>
      </c>
      <c r="AC474">
        <v>1</v>
      </c>
      <c r="AD474">
        <v>40.311999999999998</v>
      </c>
      <c r="AE474">
        <v>1</v>
      </c>
      <c r="AF474">
        <v>66</v>
      </c>
      <c r="AG474">
        <v>4</v>
      </c>
      <c r="AH474" t="s">
        <v>361</v>
      </c>
      <c r="AI474">
        <v>0</v>
      </c>
    </row>
    <row r="475" spans="1:35" x14ac:dyDescent="0.2">
      <c r="A475">
        <v>474</v>
      </c>
      <c r="B475" t="s">
        <v>988</v>
      </c>
      <c r="C475" t="s">
        <v>991</v>
      </c>
      <c r="D475" t="s">
        <v>426</v>
      </c>
      <c r="E475">
        <v>3</v>
      </c>
      <c r="F475">
        <v>-3.8580000000000001</v>
      </c>
      <c r="G475">
        <v>-17.530999999999999</v>
      </c>
      <c r="H475">
        <v>17307</v>
      </c>
      <c r="I475">
        <v>-1</v>
      </c>
      <c r="J475">
        <v>1</v>
      </c>
      <c r="K475" t="s">
        <v>359</v>
      </c>
      <c r="L475" t="s">
        <v>359</v>
      </c>
      <c r="M475" t="s">
        <v>360</v>
      </c>
      <c r="N475">
        <v>1649358458.74</v>
      </c>
      <c r="O475">
        <v>0.19900000000000001</v>
      </c>
      <c r="P475">
        <v>0.39900000000000002</v>
      </c>
      <c r="Q475">
        <v>58.015999999999998</v>
      </c>
      <c r="R475">
        <v>1E-3</v>
      </c>
      <c r="S475">
        <v>-1E-3</v>
      </c>
      <c r="T475">
        <v>1.3839999999999999</v>
      </c>
      <c r="U475">
        <v>102.501</v>
      </c>
      <c r="V475">
        <v>20.638000000000002</v>
      </c>
      <c r="W475">
        <v>2.5129999999999999</v>
      </c>
      <c r="X475">
        <v>96.855999999999995</v>
      </c>
      <c r="Y475">
        <v>0.90100000000000002</v>
      </c>
      <c r="Z475">
        <v>0.42</v>
      </c>
      <c r="AA475">
        <v>0</v>
      </c>
      <c r="AB475">
        <v>0</v>
      </c>
      <c r="AC475">
        <v>1</v>
      </c>
      <c r="AD475">
        <v>40.311999999999998</v>
      </c>
      <c r="AE475">
        <v>1</v>
      </c>
      <c r="AF475">
        <v>66</v>
      </c>
      <c r="AG475">
        <v>4</v>
      </c>
      <c r="AH475" t="s">
        <v>361</v>
      </c>
      <c r="AI475">
        <v>0</v>
      </c>
    </row>
    <row r="476" spans="1:35" x14ac:dyDescent="0.2">
      <c r="A476">
        <v>475</v>
      </c>
      <c r="B476" t="s">
        <v>988</v>
      </c>
      <c r="C476" t="s">
        <v>992</v>
      </c>
      <c r="D476" t="s">
        <v>426</v>
      </c>
      <c r="E476">
        <v>4</v>
      </c>
      <c r="F476">
        <v>-3.9180000000000001</v>
      </c>
      <c r="G476">
        <v>-17.888999999999999</v>
      </c>
      <c r="H476">
        <v>17298</v>
      </c>
      <c r="I476">
        <v>0</v>
      </c>
      <c r="J476">
        <v>1</v>
      </c>
      <c r="K476" t="s">
        <v>359</v>
      </c>
      <c r="L476" t="s">
        <v>359</v>
      </c>
      <c r="M476" t="s">
        <v>360</v>
      </c>
      <c r="N476">
        <v>1649358994.29</v>
      </c>
      <c r="O476">
        <v>0.19700000000000001</v>
      </c>
      <c r="P476">
        <v>0.36799999999999999</v>
      </c>
      <c r="Q476">
        <v>58.125</v>
      </c>
      <c r="R476">
        <v>1E-3</v>
      </c>
      <c r="S476">
        <v>1E-3</v>
      </c>
      <c r="T476">
        <v>1.3919999999999999</v>
      </c>
      <c r="U476">
        <v>102.395</v>
      </c>
      <c r="V476">
        <v>20.869</v>
      </c>
      <c r="W476">
        <v>2.4870000000000001</v>
      </c>
      <c r="X476">
        <v>96.233000000000004</v>
      </c>
      <c r="Y476">
        <v>0.91</v>
      </c>
      <c r="Z476">
        <v>0.46899999999999997</v>
      </c>
      <c r="AA476">
        <v>0</v>
      </c>
      <c r="AB476">
        <v>0</v>
      </c>
      <c r="AC476">
        <v>1</v>
      </c>
      <c r="AD476">
        <v>40.311999999999998</v>
      </c>
      <c r="AE476">
        <v>1</v>
      </c>
      <c r="AF476">
        <v>66</v>
      </c>
      <c r="AG476">
        <v>4</v>
      </c>
      <c r="AH476" t="s">
        <v>361</v>
      </c>
      <c r="AI476">
        <v>0</v>
      </c>
    </row>
    <row r="477" spans="1:35" x14ac:dyDescent="0.2">
      <c r="A477">
        <v>476</v>
      </c>
      <c r="B477" t="s">
        <v>988</v>
      </c>
      <c r="C477" t="s">
        <v>993</v>
      </c>
      <c r="D477" t="s">
        <v>426</v>
      </c>
      <c r="E477">
        <v>5</v>
      </c>
      <c r="F477">
        <v>-3.8170000000000002</v>
      </c>
      <c r="G477">
        <v>-17.71</v>
      </c>
      <c r="H477">
        <v>17284</v>
      </c>
      <c r="I477">
        <v>0</v>
      </c>
      <c r="J477">
        <v>1</v>
      </c>
      <c r="K477" t="s">
        <v>359</v>
      </c>
      <c r="L477" t="s">
        <v>359</v>
      </c>
      <c r="M477" t="s">
        <v>360</v>
      </c>
      <c r="N477">
        <v>1649359531.8699999</v>
      </c>
      <c r="O477">
        <v>0.21099999999999999</v>
      </c>
      <c r="P477">
        <v>0.42399999999999999</v>
      </c>
      <c r="Q477">
        <v>57.081000000000003</v>
      </c>
      <c r="R477">
        <v>1E-3</v>
      </c>
      <c r="S477">
        <v>1E-3</v>
      </c>
      <c r="T477">
        <v>1.3620000000000001</v>
      </c>
      <c r="U477">
        <v>102.206</v>
      </c>
      <c r="V477">
        <v>21.05</v>
      </c>
      <c r="W477">
        <v>2.4860000000000002</v>
      </c>
      <c r="X477">
        <v>96.072000000000003</v>
      </c>
      <c r="Y477">
        <v>0.91200000000000003</v>
      </c>
      <c r="Z477">
        <v>0.53</v>
      </c>
      <c r="AA477">
        <v>0</v>
      </c>
      <c r="AB477">
        <v>0</v>
      </c>
      <c r="AC477">
        <v>1</v>
      </c>
      <c r="AD477">
        <v>40.311999999999998</v>
      </c>
      <c r="AE477">
        <v>1</v>
      </c>
      <c r="AF477">
        <v>66</v>
      </c>
      <c r="AG477">
        <v>4</v>
      </c>
      <c r="AH477" t="s">
        <v>361</v>
      </c>
      <c r="AI477">
        <v>0</v>
      </c>
    </row>
    <row r="478" spans="1:35" x14ac:dyDescent="0.2">
      <c r="A478">
        <v>477</v>
      </c>
      <c r="B478" t="s">
        <v>988</v>
      </c>
      <c r="C478" t="s">
        <v>994</v>
      </c>
      <c r="D478" t="s">
        <v>426</v>
      </c>
      <c r="E478">
        <v>6</v>
      </c>
      <c r="F478">
        <v>-3.8620000000000001</v>
      </c>
      <c r="G478">
        <v>-17.649000000000001</v>
      </c>
      <c r="H478">
        <v>17293</v>
      </c>
      <c r="I478">
        <v>0</v>
      </c>
      <c r="J478">
        <v>1</v>
      </c>
      <c r="K478" t="s">
        <v>359</v>
      </c>
      <c r="L478" t="s">
        <v>359</v>
      </c>
      <c r="M478" t="s">
        <v>360</v>
      </c>
      <c r="N478">
        <v>1649360069.3900001</v>
      </c>
      <c r="O478">
        <v>0.22800000000000001</v>
      </c>
      <c r="P478">
        <v>0.38200000000000001</v>
      </c>
      <c r="Q478">
        <v>56.637</v>
      </c>
      <c r="R478">
        <v>2E-3</v>
      </c>
      <c r="S478">
        <v>0</v>
      </c>
      <c r="T478">
        <v>1.353</v>
      </c>
      <c r="U478">
        <v>102.113</v>
      </c>
      <c r="V478">
        <v>21.26</v>
      </c>
      <c r="W478">
        <v>2.492</v>
      </c>
      <c r="X478">
        <v>96.156000000000006</v>
      </c>
      <c r="Y478">
        <v>0.90800000000000003</v>
      </c>
      <c r="Z478">
        <v>0.47199999999999998</v>
      </c>
      <c r="AA478">
        <v>0</v>
      </c>
      <c r="AB478">
        <v>0</v>
      </c>
      <c r="AC478">
        <v>1</v>
      </c>
      <c r="AD478">
        <v>40.375</v>
      </c>
      <c r="AE478">
        <v>1</v>
      </c>
      <c r="AF478">
        <v>66</v>
      </c>
      <c r="AG478">
        <v>4</v>
      </c>
      <c r="AH478" t="s">
        <v>361</v>
      </c>
      <c r="AI478">
        <v>0</v>
      </c>
    </row>
    <row r="479" spans="1:35" x14ac:dyDescent="0.2">
      <c r="A479">
        <v>478</v>
      </c>
      <c r="B479" t="s">
        <v>995</v>
      </c>
      <c r="C479" t="s">
        <v>996</v>
      </c>
      <c r="D479" t="s">
        <v>427</v>
      </c>
      <c r="E479">
        <v>1</v>
      </c>
      <c r="F479">
        <v>-5.3159999999999998</v>
      </c>
      <c r="G479">
        <v>-27.673999999999999</v>
      </c>
      <c r="H479">
        <v>17491</v>
      </c>
      <c r="I479">
        <v>-1</v>
      </c>
      <c r="J479">
        <v>1</v>
      </c>
      <c r="K479" t="s">
        <v>359</v>
      </c>
      <c r="L479" t="s">
        <v>359</v>
      </c>
      <c r="M479" t="s">
        <v>360</v>
      </c>
      <c r="N479">
        <v>1649360606.5999999</v>
      </c>
      <c r="O479">
        <v>0.19900000000000001</v>
      </c>
      <c r="P479">
        <v>0.434</v>
      </c>
      <c r="Q479">
        <v>57.320999999999998</v>
      </c>
      <c r="R479">
        <v>1E-3</v>
      </c>
      <c r="S479">
        <v>2E-3</v>
      </c>
      <c r="T479">
        <v>1.38</v>
      </c>
      <c r="U479">
        <v>103.61499999999999</v>
      </c>
      <c r="V479">
        <v>21.404</v>
      </c>
      <c r="W479">
        <v>2.488</v>
      </c>
      <c r="X479">
        <v>96.32</v>
      </c>
      <c r="Y479">
        <v>0.9</v>
      </c>
      <c r="Z479">
        <v>0.36399999999999999</v>
      </c>
      <c r="AA479">
        <v>0</v>
      </c>
      <c r="AB479">
        <v>0</v>
      </c>
      <c r="AC479">
        <v>1</v>
      </c>
      <c r="AD479">
        <v>40.375</v>
      </c>
      <c r="AE479">
        <v>1</v>
      </c>
      <c r="AF479">
        <v>67</v>
      </c>
      <c r="AG479">
        <v>5</v>
      </c>
      <c r="AH479" t="s">
        <v>361</v>
      </c>
      <c r="AI479">
        <v>0</v>
      </c>
    </row>
    <row r="480" spans="1:35" x14ac:dyDescent="0.2">
      <c r="A480">
        <v>479</v>
      </c>
      <c r="B480" t="s">
        <v>995</v>
      </c>
      <c r="C480" t="s">
        <v>997</v>
      </c>
      <c r="D480" t="s">
        <v>427</v>
      </c>
      <c r="E480">
        <v>2</v>
      </c>
      <c r="F480">
        <v>-5.36</v>
      </c>
      <c r="G480">
        <v>-28.481999999999999</v>
      </c>
      <c r="H480">
        <v>17427</v>
      </c>
      <c r="I480">
        <v>-1</v>
      </c>
      <c r="J480">
        <v>1</v>
      </c>
      <c r="K480" t="s">
        <v>359</v>
      </c>
      <c r="L480" t="s">
        <v>359</v>
      </c>
      <c r="M480" t="s">
        <v>360</v>
      </c>
      <c r="N480">
        <v>1649361143.9200001</v>
      </c>
      <c r="O480">
        <v>0.21299999999999999</v>
      </c>
      <c r="P480">
        <v>0.39100000000000001</v>
      </c>
      <c r="Q480">
        <v>57.673000000000002</v>
      </c>
      <c r="R480">
        <v>1E-3</v>
      </c>
      <c r="S480">
        <v>1E-3</v>
      </c>
      <c r="T480">
        <v>1.3680000000000001</v>
      </c>
      <c r="U480">
        <v>103.331</v>
      </c>
      <c r="V480">
        <v>21.443999999999999</v>
      </c>
      <c r="W480">
        <v>2.4279999999999999</v>
      </c>
      <c r="X480">
        <v>94.844999999999999</v>
      </c>
      <c r="Y480">
        <v>0.90900000000000003</v>
      </c>
      <c r="Z480">
        <v>2.5999999999999999E-2</v>
      </c>
      <c r="AA480">
        <v>0</v>
      </c>
      <c r="AB480">
        <v>0</v>
      </c>
      <c r="AC480">
        <v>1</v>
      </c>
      <c r="AD480">
        <v>40.375</v>
      </c>
      <c r="AE480">
        <v>1</v>
      </c>
      <c r="AF480">
        <v>67</v>
      </c>
      <c r="AG480">
        <v>5</v>
      </c>
      <c r="AH480" t="s">
        <v>361</v>
      </c>
      <c r="AI480">
        <v>0</v>
      </c>
    </row>
    <row r="481" spans="1:35" x14ac:dyDescent="0.2">
      <c r="A481">
        <v>480</v>
      </c>
      <c r="B481" t="s">
        <v>995</v>
      </c>
      <c r="C481" t="s">
        <v>998</v>
      </c>
      <c r="D481" t="s">
        <v>427</v>
      </c>
      <c r="E481">
        <v>3</v>
      </c>
      <c r="F481">
        <v>-5.3869999999999996</v>
      </c>
      <c r="G481">
        <v>-28.465</v>
      </c>
      <c r="H481">
        <v>17367</v>
      </c>
      <c r="I481">
        <v>-1</v>
      </c>
      <c r="J481">
        <v>1</v>
      </c>
      <c r="K481" t="s">
        <v>359</v>
      </c>
      <c r="L481" t="s">
        <v>359</v>
      </c>
      <c r="M481" t="s">
        <v>360</v>
      </c>
      <c r="N481">
        <v>1649361681.29</v>
      </c>
      <c r="O481">
        <v>0.214</v>
      </c>
      <c r="P481">
        <v>0.41</v>
      </c>
      <c r="Q481">
        <v>58.518999999999998</v>
      </c>
      <c r="R481">
        <v>1E-3</v>
      </c>
      <c r="S481">
        <v>1E-3</v>
      </c>
      <c r="T481">
        <v>1.409</v>
      </c>
      <c r="U481">
        <v>102.54</v>
      </c>
      <c r="V481">
        <v>21.902999999999999</v>
      </c>
      <c r="W481">
        <v>2.4660000000000002</v>
      </c>
      <c r="X481">
        <v>95.343999999999994</v>
      </c>
      <c r="Y481">
        <v>0.89900000000000002</v>
      </c>
      <c r="Z481">
        <v>0.28499999999999998</v>
      </c>
      <c r="AA481">
        <v>0</v>
      </c>
      <c r="AB481">
        <v>0</v>
      </c>
      <c r="AC481">
        <v>1</v>
      </c>
      <c r="AD481">
        <v>40.375</v>
      </c>
      <c r="AE481">
        <v>1</v>
      </c>
      <c r="AF481">
        <v>67</v>
      </c>
      <c r="AG481">
        <v>5</v>
      </c>
      <c r="AH481" t="s">
        <v>361</v>
      </c>
      <c r="AI481">
        <v>0</v>
      </c>
    </row>
    <row r="482" spans="1:35" x14ac:dyDescent="0.2">
      <c r="A482">
        <v>481</v>
      </c>
      <c r="B482" t="s">
        <v>995</v>
      </c>
      <c r="C482" t="s">
        <v>999</v>
      </c>
      <c r="D482" t="s">
        <v>427</v>
      </c>
      <c r="E482">
        <v>4</v>
      </c>
      <c r="F482">
        <v>-5.42</v>
      </c>
      <c r="G482">
        <v>-28.763000000000002</v>
      </c>
      <c r="H482">
        <v>17336</v>
      </c>
      <c r="I482">
        <v>0</v>
      </c>
      <c r="J482">
        <v>1</v>
      </c>
      <c r="K482" t="s">
        <v>359</v>
      </c>
      <c r="L482" t="s">
        <v>359</v>
      </c>
      <c r="M482" t="s">
        <v>360</v>
      </c>
      <c r="N482">
        <v>1649362217.8099999</v>
      </c>
      <c r="O482">
        <v>0.19700000000000001</v>
      </c>
      <c r="P482">
        <v>0.4</v>
      </c>
      <c r="Q482">
        <v>58.875</v>
      </c>
      <c r="R482">
        <v>1E-3</v>
      </c>
      <c r="S482">
        <v>0</v>
      </c>
      <c r="T482">
        <v>1.401</v>
      </c>
      <c r="U482">
        <v>102.279</v>
      </c>
      <c r="V482">
        <v>22.263999999999999</v>
      </c>
      <c r="W482">
        <v>2.4319999999999999</v>
      </c>
      <c r="X482">
        <v>94.257999999999996</v>
      </c>
      <c r="Y482">
        <v>0.90800000000000003</v>
      </c>
      <c r="Z482">
        <v>0.224</v>
      </c>
      <c r="AA482">
        <v>0</v>
      </c>
      <c r="AB482">
        <v>0</v>
      </c>
      <c r="AC482">
        <v>1</v>
      </c>
      <c r="AD482">
        <v>40.375</v>
      </c>
      <c r="AE482">
        <v>1</v>
      </c>
      <c r="AF482">
        <v>67</v>
      </c>
      <c r="AG482">
        <v>5</v>
      </c>
      <c r="AH482" t="s">
        <v>361</v>
      </c>
      <c r="AI482">
        <v>0</v>
      </c>
    </row>
    <row r="483" spans="1:35" x14ac:dyDescent="0.2">
      <c r="A483">
        <v>482</v>
      </c>
      <c r="B483" t="s">
        <v>995</v>
      </c>
      <c r="C483" t="s">
        <v>1000</v>
      </c>
      <c r="D483" t="s">
        <v>427</v>
      </c>
      <c r="E483">
        <v>5</v>
      </c>
      <c r="F483">
        <v>-5.3410000000000002</v>
      </c>
      <c r="G483">
        <v>-28.638000000000002</v>
      </c>
      <c r="H483">
        <v>17319</v>
      </c>
      <c r="I483">
        <v>0</v>
      </c>
      <c r="J483">
        <v>1</v>
      </c>
      <c r="K483" t="s">
        <v>359</v>
      </c>
      <c r="L483" t="s">
        <v>359</v>
      </c>
      <c r="M483" t="s">
        <v>360</v>
      </c>
      <c r="N483">
        <v>1649362756.3</v>
      </c>
      <c r="O483">
        <v>0.20399999999999999</v>
      </c>
      <c r="P483">
        <v>0.36</v>
      </c>
      <c r="Q483">
        <v>57.174999999999997</v>
      </c>
      <c r="R483">
        <v>1E-3</v>
      </c>
      <c r="S483">
        <v>0</v>
      </c>
      <c r="T483">
        <v>1.375</v>
      </c>
      <c r="U483">
        <v>102.46</v>
      </c>
      <c r="V483">
        <v>21.312999999999999</v>
      </c>
      <c r="W483">
        <v>2.4980000000000002</v>
      </c>
      <c r="X483">
        <v>95.33</v>
      </c>
      <c r="Y483">
        <v>0.90400000000000003</v>
      </c>
      <c r="Z483">
        <v>0.35</v>
      </c>
      <c r="AA483">
        <v>0</v>
      </c>
      <c r="AB483">
        <v>0</v>
      </c>
      <c r="AC483">
        <v>1</v>
      </c>
      <c r="AD483">
        <v>40.375</v>
      </c>
      <c r="AE483">
        <v>1</v>
      </c>
      <c r="AF483">
        <v>67</v>
      </c>
      <c r="AG483">
        <v>5</v>
      </c>
      <c r="AH483" t="s">
        <v>361</v>
      </c>
      <c r="AI483">
        <v>0</v>
      </c>
    </row>
    <row r="484" spans="1:35" x14ac:dyDescent="0.2">
      <c r="A484">
        <v>483</v>
      </c>
      <c r="B484" t="s">
        <v>995</v>
      </c>
      <c r="C484" t="s">
        <v>1001</v>
      </c>
      <c r="D484" t="s">
        <v>427</v>
      </c>
      <c r="E484">
        <v>6</v>
      </c>
      <c r="F484">
        <v>-5.3929999999999998</v>
      </c>
      <c r="G484">
        <v>-28.873999999999999</v>
      </c>
      <c r="H484">
        <v>17285</v>
      </c>
      <c r="I484">
        <v>0</v>
      </c>
      <c r="J484">
        <v>1</v>
      </c>
      <c r="K484" t="s">
        <v>359</v>
      </c>
      <c r="L484" t="s">
        <v>359</v>
      </c>
      <c r="M484" t="s">
        <v>360</v>
      </c>
      <c r="N484">
        <v>1649363293.3699999</v>
      </c>
      <c r="O484">
        <v>0.189</v>
      </c>
      <c r="P484">
        <v>0.38</v>
      </c>
      <c r="Q484">
        <v>58.271999999999998</v>
      </c>
      <c r="R484">
        <v>1E-3</v>
      </c>
      <c r="S484">
        <v>0</v>
      </c>
      <c r="T484">
        <v>1.39</v>
      </c>
      <c r="U484">
        <v>102.279</v>
      </c>
      <c r="V484">
        <v>21.789000000000001</v>
      </c>
      <c r="W484">
        <v>2.4159999999999999</v>
      </c>
      <c r="X484">
        <v>93.64</v>
      </c>
      <c r="Y484">
        <v>0.91</v>
      </c>
      <c r="Z484">
        <v>0.13400000000000001</v>
      </c>
      <c r="AA484">
        <v>0</v>
      </c>
      <c r="AB484">
        <v>0</v>
      </c>
      <c r="AC484">
        <v>1</v>
      </c>
      <c r="AD484">
        <v>40.375</v>
      </c>
      <c r="AE484">
        <v>1</v>
      </c>
      <c r="AF484">
        <v>67</v>
      </c>
      <c r="AG484">
        <v>5</v>
      </c>
      <c r="AH484" t="s">
        <v>361</v>
      </c>
      <c r="AI484">
        <v>0</v>
      </c>
    </row>
    <row r="485" spans="1:35" x14ac:dyDescent="0.2">
      <c r="A485">
        <v>484</v>
      </c>
      <c r="B485" t="s">
        <v>995</v>
      </c>
      <c r="C485" t="s">
        <v>1002</v>
      </c>
      <c r="D485" t="s">
        <v>427</v>
      </c>
      <c r="E485">
        <v>7</v>
      </c>
      <c r="F485">
        <v>-5.391</v>
      </c>
      <c r="G485">
        <v>-28.978000000000002</v>
      </c>
      <c r="H485">
        <v>17288</v>
      </c>
      <c r="I485">
        <v>0</v>
      </c>
      <c r="J485">
        <v>1</v>
      </c>
      <c r="K485" t="s">
        <v>359</v>
      </c>
      <c r="L485" t="s">
        <v>359</v>
      </c>
      <c r="M485" t="s">
        <v>360</v>
      </c>
      <c r="N485">
        <v>1649363829.49</v>
      </c>
      <c r="O485">
        <v>0.20499999999999999</v>
      </c>
      <c r="P485">
        <v>0.39500000000000002</v>
      </c>
      <c r="Q485">
        <v>56.116999999999997</v>
      </c>
      <c r="R485">
        <v>1E-3</v>
      </c>
      <c r="S485">
        <v>2E-3</v>
      </c>
      <c r="T485">
        <v>1.35</v>
      </c>
      <c r="U485">
        <v>102.294</v>
      </c>
      <c r="V485">
        <v>21.007000000000001</v>
      </c>
      <c r="W485">
        <v>2.4529999999999998</v>
      </c>
      <c r="X485">
        <v>95.948999999999998</v>
      </c>
      <c r="Y485">
        <v>0.90100000000000002</v>
      </c>
      <c r="Z485">
        <v>0.504</v>
      </c>
      <c r="AA485">
        <v>0</v>
      </c>
      <c r="AB485">
        <v>0</v>
      </c>
      <c r="AC485">
        <v>1</v>
      </c>
      <c r="AD485">
        <v>40.375</v>
      </c>
      <c r="AE485">
        <v>1</v>
      </c>
      <c r="AF485">
        <v>67</v>
      </c>
      <c r="AG485">
        <v>5</v>
      </c>
      <c r="AH485" t="s">
        <v>361</v>
      </c>
      <c r="AI485">
        <v>0</v>
      </c>
    </row>
    <row r="486" spans="1:35" x14ac:dyDescent="0.2">
      <c r="A486">
        <v>485</v>
      </c>
      <c r="B486" t="s">
        <v>995</v>
      </c>
      <c r="C486" t="s">
        <v>1003</v>
      </c>
      <c r="D486" t="s">
        <v>427</v>
      </c>
      <c r="E486">
        <v>8</v>
      </c>
      <c r="F486">
        <v>-5.5</v>
      </c>
      <c r="G486">
        <v>-29.163</v>
      </c>
      <c r="H486">
        <v>17227</v>
      </c>
      <c r="I486">
        <v>0</v>
      </c>
      <c r="J486">
        <v>1</v>
      </c>
      <c r="K486" t="s">
        <v>359</v>
      </c>
      <c r="L486" t="s">
        <v>359</v>
      </c>
      <c r="M486" t="s">
        <v>360</v>
      </c>
      <c r="N486">
        <v>1649364367.5</v>
      </c>
      <c r="O486">
        <v>0.24099999999999999</v>
      </c>
      <c r="P486">
        <v>0.45</v>
      </c>
      <c r="Q486">
        <v>63.825000000000003</v>
      </c>
      <c r="R486">
        <v>2E-3</v>
      </c>
      <c r="S486">
        <v>5.0000000000000001E-3</v>
      </c>
      <c r="T486">
        <v>1.526</v>
      </c>
      <c r="U486">
        <v>101.764</v>
      </c>
      <c r="V486">
        <v>21.445</v>
      </c>
      <c r="W486">
        <v>2.4369999999999998</v>
      </c>
      <c r="X486">
        <v>94.858000000000004</v>
      </c>
      <c r="Y486">
        <v>0.89900000000000002</v>
      </c>
      <c r="Z486">
        <v>0.42899999999999999</v>
      </c>
      <c r="AA486">
        <v>0</v>
      </c>
      <c r="AB486">
        <v>0</v>
      </c>
      <c r="AC486">
        <v>1</v>
      </c>
      <c r="AD486">
        <v>40.375</v>
      </c>
      <c r="AE486">
        <v>1</v>
      </c>
      <c r="AF486">
        <v>67</v>
      </c>
      <c r="AG486">
        <v>5</v>
      </c>
      <c r="AH486" t="s">
        <v>361</v>
      </c>
      <c r="AI486">
        <v>0</v>
      </c>
    </row>
    <row r="487" spans="1:35" x14ac:dyDescent="0.2">
      <c r="A487">
        <v>486</v>
      </c>
      <c r="B487" t="s">
        <v>995</v>
      </c>
      <c r="C487" t="s">
        <v>1004</v>
      </c>
      <c r="D487" t="s">
        <v>427</v>
      </c>
      <c r="E487">
        <v>9</v>
      </c>
      <c r="F487">
        <v>-5.3630000000000004</v>
      </c>
      <c r="G487">
        <v>-28.779</v>
      </c>
      <c r="H487">
        <v>17254</v>
      </c>
      <c r="I487">
        <v>0</v>
      </c>
      <c r="J487">
        <v>1</v>
      </c>
      <c r="K487" t="s">
        <v>359</v>
      </c>
      <c r="L487" t="s">
        <v>359</v>
      </c>
      <c r="M487" t="s">
        <v>360</v>
      </c>
      <c r="N487">
        <v>1649364904.26</v>
      </c>
      <c r="O487">
        <v>0.20599999999999999</v>
      </c>
      <c r="P487">
        <v>0.42399999999999999</v>
      </c>
      <c r="Q487">
        <v>58.371000000000002</v>
      </c>
      <c r="R487">
        <v>0</v>
      </c>
      <c r="S487">
        <v>1E-3</v>
      </c>
      <c r="T487">
        <v>1.3879999999999999</v>
      </c>
      <c r="U487">
        <v>101.905</v>
      </c>
      <c r="V487">
        <v>21.242999999999999</v>
      </c>
      <c r="W487">
        <v>2.4489999999999998</v>
      </c>
      <c r="X487">
        <v>95.808999999999997</v>
      </c>
      <c r="Y487">
        <v>0.90800000000000003</v>
      </c>
      <c r="Z487">
        <v>0.7</v>
      </c>
      <c r="AA487">
        <v>0</v>
      </c>
      <c r="AB487">
        <v>0</v>
      </c>
      <c r="AC487">
        <v>1</v>
      </c>
      <c r="AD487">
        <v>40.375</v>
      </c>
      <c r="AE487">
        <v>1</v>
      </c>
      <c r="AF487">
        <v>67</v>
      </c>
      <c r="AG487">
        <v>5</v>
      </c>
      <c r="AH487" t="s">
        <v>361</v>
      </c>
      <c r="AI487">
        <v>0</v>
      </c>
    </row>
    <row r="488" spans="1:35" x14ac:dyDescent="0.2">
      <c r="A488">
        <v>487</v>
      </c>
      <c r="B488" t="s">
        <v>995</v>
      </c>
      <c r="C488" t="s">
        <v>1005</v>
      </c>
      <c r="D488" t="s">
        <v>427</v>
      </c>
      <c r="E488">
        <v>10</v>
      </c>
      <c r="F488">
        <v>-5.4189999999999996</v>
      </c>
      <c r="G488">
        <v>-28.817</v>
      </c>
      <c r="H488">
        <v>17278</v>
      </c>
      <c r="I488">
        <v>0</v>
      </c>
      <c r="J488">
        <v>1</v>
      </c>
      <c r="K488" t="s">
        <v>359</v>
      </c>
      <c r="L488" t="s">
        <v>359</v>
      </c>
      <c r="M488" t="s">
        <v>360</v>
      </c>
      <c r="N488">
        <v>1649365441.71</v>
      </c>
      <c r="O488">
        <v>0.219</v>
      </c>
      <c r="P488">
        <v>0.41099999999999998</v>
      </c>
      <c r="Q488">
        <v>57.142000000000003</v>
      </c>
      <c r="R488">
        <v>2E-3</v>
      </c>
      <c r="S488">
        <v>1E-3</v>
      </c>
      <c r="T488">
        <v>1.3720000000000001</v>
      </c>
      <c r="U488">
        <v>102.065</v>
      </c>
      <c r="V488">
        <v>21.123000000000001</v>
      </c>
      <c r="W488">
        <v>2.5289999999999999</v>
      </c>
      <c r="X488">
        <v>96.480999999999995</v>
      </c>
      <c r="Y488">
        <v>0.90800000000000003</v>
      </c>
      <c r="Z488">
        <v>0.61599999999999999</v>
      </c>
      <c r="AA488">
        <v>0</v>
      </c>
      <c r="AB488">
        <v>0</v>
      </c>
      <c r="AC488">
        <v>1</v>
      </c>
      <c r="AD488">
        <v>40.375</v>
      </c>
      <c r="AE488">
        <v>1</v>
      </c>
      <c r="AF488">
        <v>67</v>
      </c>
      <c r="AG488">
        <v>5</v>
      </c>
      <c r="AH488" t="s">
        <v>361</v>
      </c>
      <c r="AI488">
        <v>0</v>
      </c>
    </row>
    <row r="489" spans="1:35" x14ac:dyDescent="0.2">
      <c r="A489">
        <v>488</v>
      </c>
      <c r="B489" t="s">
        <v>995</v>
      </c>
      <c r="C489" t="s">
        <v>1006</v>
      </c>
      <c r="D489" t="s">
        <v>427</v>
      </c>
      <c r="E489">
        <v>11</v>
      </c>
      <c r="F489">
        <v>-5.41</v>
      </c>
      <c r="G489">
        <v>-28.914999999999999</v>
      </c>
      <c r="H489">
        <v>17259</v>
      </c>
      <c r="I489">
        <v>0</v>
      </c>
      <c r="J489">
        <v>1</v>
      </c>
      <c r="K489" t="s">
        <v>359</v>
      </c>
      <c r="L489" t="s">
        <v>359</v>
      </c>
      <c r="M489" t="s">
        <v>360</v>
      </c>
      <c r="N489">
        <v>1649365978.8399999</v>
      </c>
      <c r="O489">
        <v>0.20399999999999999</v>
      </c>
      <c r="P489">
        <v>0.38500000000000001</v>
      </c>
      <c r="Q489">
        <v>58.276000000000003</v>
      </c>
      <c r="R489">
        <v>0</v>
      </c>
      <c r="S489">
        <v>0</v>
      </c>
      <c r="T489">
        <v>1.4</v>
      </c>
      <c r="U489">
        <v>102.001</v>
      </c>
      <c r="V489">
        <v>21.616</v>
      </c>
      <c r="W489">
        <v>2.423</v>
      </c>
      <c r="X489">
        <v>94.561000000000007</v>
      </c>
      <c r="Y489">
        <v>0.90300000000000002</v>
      </c>
      <c r="Z489">
        <v>0.38900000000000001</v>
      </c>
      <c r="AA489">
        <v>0</v>
      </c>
      <c r="AB489">
        <v>0</v>
      </c>
      <c r="AC489">
        <v>1</v>
      </c>
      <c r="AD489">
        <v>40.438000000000002</v>
      </c>
      <c r="AE489">
        <v>1</v>
      </c>
      <c r="AF489">
        <v>67</v>
      </c>
      <c r="AG489">
        <v>5</v>
      </c>
      <c r="AH489" t="s">
        <v>361</v>
      </c>
      <c r="AI489">
        <v>0</v>
      </c>
    </row>
    <row r="490" spans="1:35" x14ac:dyDescent="0.2">
      <c r="A490">
        <v>489</v>
      </c>
      <c r="B490" t="s">
        <v>995</v>
      </c>
      <c r="C490" t="s">
        <v>1007</v>
      </c>
      <c r="D490" t="s">
        <v>427</v>
      </c>
      <c r="E490">
        <v>12</v>
      </c>
      <c r="F490">
        <v>-5.3609999999999998</v>
      </c>
      <c r="G490">
        <v>-28.745000000000001</v>
      </c>
      <c r="H490">
        <v>17280</v>
      </c>
      <c r="I490">
        <v>0</v>
      </c>
      <c r="J490">
        <v>1</v>
      </c>
      <c r="K490" t="s">
        <v>359</v>
      </c>
      <c r="L490" t="s">
        <v>359</v>
      </c>
      <c r="M490" t="s">
        <v>360</v>
      </c>
      <c r="N490">
        <v>1649366515.4200001</v>
      </c>
      <c r="O490">
        <v>0.20300000000000001</v>
      </c>
      <c r="P490">
        <v>0.40300000000000002</v>
      </c>
      <c r="Q490">
        <v>55.24</v>
      </c>
      <c r="R490">
        <v>1E-3</v>
      </c>
      <c r="S490">
        <v>0</v>
      </c>
      <c r="T490">
        <v>1.3260000000000001</v>
      </c>
      <c r="U490">
        <v>102.134</v>
      </c>
      <c r="V490">
        <v>21.428000000000001</v>
      </c>
      <c r="W490">
        <v>2.4329999999999998</v>
      </c>
      <c r="X490">
        <v>95.168999999999997</v>
      </c>
      <c r="Y490">
        <v>0.89200000000000002</v>
      </c>
      <c r="Z490">
        <v>0.40899999999999997</v>
      </c>
      <c r="AA490">
        <v>0</v>
      </c>
      <c r="AB490">
        <v>0</v>
      </c>
      <c r="AC490">
        <v>1</v>
      </c>
      <c r="AD490">
        <v>40.375</v>
      </c>
      <c r="AE490">
        <v>1</v>
      </c>
      <c r="AF490">
        <v>67</v>
      </c>
      <c r="AG490">
        <v>5</v>
      </c>
      <c r="AH490" t="s">
        <v>361</v>
      </c>
      <c r="AI490">
        <v>0</v>
      </c>
    </row>
    <row r="491" spans="1:35" x14ac:dyDescent="0.2">
      <c r="A491">
        <v>490</v>
      </c>
      <c r="B491" t="s">
        <v>995</v>
      </c>
      <c r="C491" t="s">
        <v>1008</v>
      </c>
      <c r="D491" t="s">
        <v>427</v>
      </c>
      <c r="E491">
        <v>13</v>
      </c>
      <c r="F491">
        <v>-5.4020000000000001</v>
      </c>
      <c r="G491">
        <v>-28.994</v>
      </c>
      <c r="H491">
        <v>17240</v>
      </c>
      <c r="I491">
        <v>0</v>
      </c>
      <c r="J491">
        <v>1</v>
      </c>
      <c r="K491" t="s">
        <v>359</v>
      </c>
      <c r="L491" t="s">
        <v>359</v>
      </c>
      <c r="M491" t="s">
        <v>360</v>
      </c>
      <c r="N491">
        <v>1649367053.3699999</v>
      </c>
      <c r="O491">
        <v>0.188</v>
      </c>
      <c r="P491">
        <v>0.39100000000000001</v>
      </c>
      <c r="Q491">
        <v>56.728000000000002</v>
      </c>
      <c r="R491">
        <v>0</v>
      </c>
      <c r="S491">
        <v>1E-3</v>
      </c>
      <c r="T491">
        <v>1.347</v>
      </c>
      <c r="U491">
        <v>102.15600000000001</v>
      </c>
      <c r="V491">
        <v>21.361000000000001</v>
      </c>
      <c r="W491">
        <v>2.359</v>
      </c>
      <c r="X491">
        <v>93.501999999999995</v>
      </c>
      <c r="Y491">
        <v>0.90700000000000003</v>
      </c>
      <c r="Z491">
        <v>0.221</v>
      </c>
      <c r="AA491">
        <v>0</v>
      </c>
      <c r="AB491">
        <v>0</v>
      </c>
      <c r="AC491">
        <v>1</v>
      </c>
      <c r="AD491">
        <v>40.438000000000002</v>
      </c>
      <c r="AE491">
        <v>1</v>
      </c>
      <c r="AF491">
        <v>67</v>
      </c>
      <c r="AG491">
        <v>5</v>
      </c>
      <c r="AH491" t="s">
        <v>361</v>
      </c>
      <c r="AI491">
        <v>0</v>
      </c>
    </row>
    <row r="492" spans="1:35" x14ac:dyDescent="0.2">
      <c r="A492">
        <v>491</v>
      </c>
      <c r="B492" t="s">
        <v>995</v>
      </c>
      <c r="C492" t="s">
        <v>1009</v>
      </c>
      <c r="D492" t="s">
        <v>427</v>
      </c>
      <c r="E492">
        <v>14</v>
      </c>
      <c r="F492">
        <v>-5.4210000000000003</v>
      </c>
      <c r="G492">
        <v>-28.876999999999999</v>
      </c>
      <c r="H492">
        <v>17293</v>
      </c>
      <c r="I492">
        <v>0</v>
      </c>
      <c r="J492">
        <v>1</v>
      </c>
      <c r="K492" t="s">
        <v>359</v>
      </c>
      <c r="L492" t="s">
        <v>359</v>
      </c>
      <c r="M492" t="s">
        <v>360</v>
      </c>
      <c r="N492">
        <v>1649367590.8199999</v>
      </c>
      <c r="O492">
        <v>0.22600000000000001</v>
      </c>
      <c r="P492">
        <v>0.376</v>
      </c>
      <c r="Q492">
        <v>57.689</v>
      </c>
      <c r="R492">
        <v>1E-3</v>
      </c>
      <c r="S492">
        <v>1E-3</v>
      </c>
      <c r="T492">
        <v>1.385</v>
      </c>
      <c r="U492">
        <v>102.21599999999999</v>
      </c>
      <c r="V492">
        <v>21.225000000000001</v>
      </c>
      <c r="W492">
        <v>2.484</v>
      </c>
      <c r="X492">
        <v>95.974000000000004</v>
      </c>
      <c r="Y492">
        <v>0.89</v>
      </c>
      <c r="Z492">
        <v>0.58099999999999996</v>
      </c>
      <c r="AA492">
        <v>0</v>
      </c>
      <c r="AB492">
        <v>0</v>
      </c>
      <c r="AC492">
        <v>1</v>
      </c>
      <c r="AD492">
        <v>40.438000000000002</v>
      </c>
      <c r="AE492">
        <v>1</v>
      </c>
      <c r="AF492">
        <v>67</v>
      </c>
      <c r="AG492">
        <v>5</v>
      </c>
      <c r="AH492" t="s">
        <v>361</v>
      </c>
      <c r="AI492">
        <v>0</v>
      </c>
    </row>
    <row r="493" spans="1:35" x14ac:dyDescent="0.2">
      <c r="A493">
        <v>492</v>
      </c>
      <c r="B493" t="s">
        <v>995</v>
      </c>
      <c r="C493" t="s">
        <v>1010</v>
      </c>
      <c r="D493" t="s">
        <v>427</v>
      </c>
      <c r="E493">
        <v>15</v>
      </c>
      <c r="F493">
        <v>-5.3810000000000002</v>
      </c>
      <c r="G493">
        <v>-28.815999999999999</v>
      </c>
      <c r="H493">
        <v>17239</v>
      </c>
      <c r="I493">
        <v>0</v>
      </c>
      <c r="J493">
        <v>1</v>
      </c>
      <c r="K493" t="s">
        <v>359</v>
      </c>
      <c r="L493" t="s">
        <v>359</v>
      </c>
      <c r="M493" t="s">
        <v>360</v>
      </c>
      <c r="N493">
        <v>1649368126.96</v>
      </c>
      <c r="O493">
        <v>0.19800000000000001</v>
      </c>
      <c r="P493">
        <v>0.41099999999999998</v>
      </c>
      <c r="Q493">
        <v>55.808</v>
      </c>
      <c r="R493">
        <v>1E-3</v>
      </c>
      <c r="S493">
        <v>1E-3</v>
      </c>
      <c r="T493">
        <v>1.331</v>
      </c>
      <c r="U493">
        <v>102.376</v>
      </c>
      <c r="V493">
        <v>21.469000000000001</v>
      </c>
      <c r="W493">
        <v>2.3140000000000001</v>
      </c>
      <c r="X493">
        <v>91.923000000000002</v>
      </c>
      <c r="Y493">
        <v>0.89400000000000002</v>
      </c>
      <c r="Z493">
        <v>-0.09</v>
      </c>
      <c r="AA493">
        <v>0</v>
      </c>
      <c r="AB493">
        <v>0</v>
      </c>
      <c r="AC493">
        <v>1</v>
      </c>
      <c r="AD493">
        <v>40.438000000000002</v>
      </c>
      <c r="AE493">
        <v>1</v>
      </c>
      <c r="AF493">
        <v>67</v>
      </c>
      <c r="AG493">
        <v>5</v>
      </c>
      <c r="AH493" t="s">
        <v>361</v>
      </c>
      <c r="AI493">
        <v>0</v>
      </c>
    </row>
    <row r="494" spans="1:35" x14ac:dyDescent="0.2">
      <c r="A494">
        <v>493</v>
      </c>
      <c r="B494" t="s">
        <v>1011</v>
      </c>
      <c r="C494" t="s">
        <v>1012</v>
      </c>
      <c r="D494" t="s">
        <v>428</v>
      </c>
      <c r="E494">
        <v>1</v>
      </c>
      <c r="F494">
        <v>-4.4349999999999996</v>
      </c>
      <c r="G494">
        <v>-22.827999999999999</v>
      </c>
      <c r="H494">
        <v>17799</v>
      </c>
      <c r="I494">
        <v>-1</v>
      </c>
      <c r="J494">
        <v>1</v>
      </c>
      <c r="K494" t="s">
        <v>359</v>
      </c>
      <c r="L494" t="s">
        <v>359</v>
      </c>
      <c r="M494" t="s">
        <v>360</v>
      </c>
      <c r="N494">
        <v>1649368664.46</v>
      </c>
      <c r="O494">
        <v>0.246</v>
      </c>
      <c r="P494">
        <v>0.51700000000000002</v>
      </c>
      <c r="Q494">
        <v>72.262</v>
      </c>
      <c r="R494">
        <v>3.0000000000000001E-3</v>
      </c>
      <c r="S494">
        <v>7.0000000000000001E-3</v>
      </c>
      <c r="T494">
        <v>1.724</v>
      </c>
      <c r="U494">
        <v>105.611</v>
      </c>
      <c r="V494">
        <v>21.440999999999999</v>
      </c>
      <c r="W494">
        <v>2.5019999999999998</v>
      </c>
      <c r="X494">
        <v>98.231999999999999</v>
      </c>
      <c r="Y494">
        <v>0.89400000000000002</v>
      </c>
      <c r="Z494">
        <v>0.44800000000000001</v>
      </c>
      <c r="AA494">
        <v>0</v>
      </c>
      <c r="AB494">
        <v>0</v>
      </c>
      <c r="AC494">
        <v>1</v>
      </c>
      <c r="AD494">
        <v>40.438000000000002</v>
      </c>
      <c r="AE494">
        <v>1</v>
      </c>
      <c r="AF494">
        <v>68</v>
      </c>
      <c r="AG494">
        <v>5</v>
      </c>
      <c r="AH494" t="s">
        <v>361</v>
      </c>
      <c r="AI494">
        <v>0</v>
      </c>
    </row>
    <row r="495" spans="1:35" x14ac:dyDescent="0.2">
      <c r="A495">
        <v>494</v>
      </c>
      <c r="B495" t="s">
        <v>1011</v>
      </c>
      <c r="C495" t="s">
        <v>1013</v>
      </c>
      <c r="D495" t="s">
        <v>428</v>
      </c>
      <c r="E495">
        <v>2</v>
      </c>
      <c r="F495">
        <v>-4.4509999999999996</v>
      </c>
      <c r="G495">
        <v>-22.152000000000001</v>
      </c>
      <c r="H495">
        <v>17227</v>
      </c>
      <c r="I495">
        <v>-1</v>
      </c>
      <c r="J495">
        <v>1</v>
      </c>
      <c r="K495" t="s">
        <v>359</v>
      </c>
      <c r="L495" t="s">
        <v>359</v>
      </c>
      <c r="M495" t="s">
        <v>360</v>
      </c>
      <c r="N495">
        <v>1649369202.53</v>
      </c>
      <c r="O495">
        <v>0.19400000000000001</v>
      </c>
      <c r="P495">
        <v>0.39</v>
      </c>
      <c r="Q495">
        <v>59.036999999999999</v>
      </c>
      <c r="R495">
        <v>1E-3</v>
      </c>
      <c r="S495">
        <v>0</v>
      </c>
      <c r="T495">
        <v>1.4079999999999999</v>
      </c>
      <c r="U495">
        <v>102.20699999999999</v>
      </c>
      <c r="V495">
        <v>21.184000000000001</v>
      </c>
      <c r="W495">
        <v>2.359</v>
      </c>
      <c r="X495">
        <v>93.111000000000004</v>
      </c>
      <c r="Y495">
        <v>0.89400000000000002</v>
      </c>
      <c r="Z495">
        <v>8.4000000000000005E-2</v>
      </c>
      <c r="AA495">
        <v>0</v>
      </c>
      <c r="AB495">
        <v>0</v>
      </c>
      <c r="AC495">
        <v>1</v>
      </c>
      <c r="AD495">
        <v>40.438000000000002</v>
      </c>
      <c r="AE495">
        <v>1</v>
      </c>
      <c r="AF495">
        <v>68</v>
      </c>
      <c r="AG495">
        <v>5</v>
      </c>
      <c r="AH495" t="s">
        <v>361</v>
      </c>
      <c r="AI495">
        <v>0</v>
      </c>
    </row>
    <row r="496" spans="1:35" x14ac:dyDescent="0.2">
      <c r="A496">
        <v>495</v>
      </c>
      <c r="B496" t="s">
        <v>1011</v>
      </c>
      <c r="C496" t="s">
        <v>1014</v>
      </c>
      <c r="D496" t="s">
        <v>428</v>
      </c>
      <c r="E496">
        <v>3</v>
      </c>
      <c r="F496">
        <v>-4.548</v>
      </c>
      <c r="G496">
        <v>-22.231999999999999</v>
      </c>
      <c r="H496">
        <v>17252</v>
      </c>
      <c r="I496">
        <v>-1</v>
      </c>
      <c r="J496">
        <v>1</v>
      </c>
      <c r="K496" t="s">
        <v>359</v>
      </c>
      <c r="L496" t="s">
        <v>359</v>
      </c>
      <c r="M496" t="s">
        <v>360</v>
      </c>
      <c r="N496">
        <v>1649369740.02</v>
      </c>
      <c r="O496">
        <v>0.19500000000000001</v>
      </c>
      <c r="P496">
        <v>0.372</v>
      </c>
      <c r="Q496">
        <v>58.316000000000003</v>
      </c>
      <c r="R496">
        <v>1E-3</v>
      </c>
      <c r="S496">
        <v>1E-3</v>
      </c>
      <c r="T496">
        <v>1.389</v>
      </c>
      <c r="U496">
        <v>102.063</v>
      </c>
      <c r="V496">
        <v>21.248000000000001</v>
      </c>
      <c r="W496">
        <v>2.431</v>
      </c>
      <c r="X496">
        <v>94.817999999999998</v>
      </c>
      <c r="Y496">
        <v>0.89</v>
      </c>
      <c r="Z496">
        <v>0.40200000000000002</v>
      </c>
      <c r="AA496">
        <v>0</v>
      </c>
      <c r="AB496">
        <v>0</v>
      </c>
      <c r="AC496">
        <v>1</v>
      </c>
      <c r="AD496">
        <v>40.375</v>
      </c>
      <c r="AE496">
        <v>1</v>
      </c>
      <c r="AF496">
        <v>68</v>
      </c>
      <c r="AG496">
        <v>5</v>
      </c>
      <c r="AH496" t="s">
        <v>361</v>
      </c>
      <c r="AI496">
        <v>0</v>
      </c>
    </row>
    <row r="497" spans="1:35" x14ac:dyDescent="0.2">
      <c r="A497">
        <v>496</v>
      </c>
      <c r="B497" t="s">
        <v>1011</v>
      </c>
      <c r="C497" t="s">
        <v>1015</v>
      </c>
      <c r="D497" t="s">
        <v>428</v>
      </c>
      <c r="E497">
        <v>4</v>
      </c>
      <c r="F497">
        <v>-4.5339999999999998</v>
      </c>
      <c r="G497">
        <v>-22.234999999999999</v>
      </c>
      <c r="H497">
        <v>17207</v>
      </c>
      <c r="I497">
        <v>0</v>
      </c>
      <c r="J497">
        <v>1</v>
      </c>
      <c r="K497" t="s">
        <v>359</v>
      </c>
      <c r="L497" t="s">
        <v>359</v>
      </c>
      <c r="M497" t="s">
        <v>360</v>
      </c>
      <c r="N497">
        <v>1649370276.8900001</v>
      </c>
      <c r="O497">
        <v>0.19900000000000001</v>
      </c>
      <c r="P497">
        <v>0.36599999999999999</v>
      </c>
      <c r="Q497">
        <v>57.972000000000001</v>
      </c>
      <c r="R497">
        <v>1E-3</v>
      </c>
      <c r="S497">
        <v>1E-3</v>
      </c>
      <c r="T497">
        <v>1.3919999999999999</v>
      </c>
      <c r="U497">
        <v>101.625</v>
      </c>
      <c r="V497">
        <v>21.423999999999999</v>
      </c>
      <c r="W497">
        <v>2.4380000000000002</v>
      </c>
      <c r="X497">
        <v>94.774000000000001</v>
      </c>
      <c r="Y497">
        <v>0.89</v>
      </c>
      <c r="Z497">
        <v>0.42299999999999999</v>
      </c>
      <c r="AA497">
        <v>0</v>
      </c>
      <c r="AB497">
        <v>0</v>
      </c>
      <c r="AC497">
        <v>1</v>
      </c>
      <c r="AD497">
        <v>40.438000000000002</v>
      </c>
      <c r="AE497">
        <v>1</v>
      </c>
      <c r="AF497">
        <v>68</v>
      </c>
      <c r="AG497">
        <v>5</v>
      </c>
      <c r="AH497" t="s">
        <v>361</v>
      </c>
      <c r="AI497">
        <v>0</v>
      </c>
    </row>
    <row r="498" spans="1:35" x14ac:dyDescent="0.2">
      <c r="A498">
        <v>497</v>
      </c>
      <c r="B498" t="s">
        <v>1011</v>
      </c>
      <c r="C498" t="s">
        <v>1016</v>
      </c>
      <c r="D498" t="s">
        <v>428</v>
      </c>
      <c r="E498">
        <v>5</v>
      </c>
      <c r="F498">
        <v>-4.4969999999999999</v>
      </c>
      <c r="G498">
        <v>-22.106000000000002</v>
      </c>
      <c r="H498">
        <v>17411</v>
      </c>
      <c r="I498">
        <v>0</v>
      </c>
      <c r="J498">
        <v>1</v>
      </c>
      <c r="K498" t="s">
        <v>359</v>
      </c>
      <c r="L498" t="s">
        <v>359</v>
      </c>
      <c r="M498" t="s">
        <v>360</v>
      </c>
      <c r="N498">
        <v>1649370814.4100001</v>
      </c>
      <c r="O498">
        <v>0.19900000000000001</v>
      </c>
      <c r="P498">
        <v>0.39700000000000002</v>
      </c>
      <c r="Q498">
        <v>58.319000000000003</v>
      </c>
      <c r="R498">
        <v>1E-3</v>
      </c>
      <c r="S498">
        <v>1E-3</v>
      </c>
      <c r="T498">
        <v>1.391</v>
      </c>
      <c r="U498">
        <v>103.05800000000001</v>
      </c>
      <c r="V498">
        <v>21.704000000000001</v>
      </c>
      <c r="W498">
        <v>2.411</v>
      </c>
      <c r="X498">
        <v>94.835999999999999</v>
      </c>
      <c r="Y498">
        <v>0.89800000000000002</v>
      </c>
      <c r="Z498">
        <v>0.35099999999999998</v>
      </c>
      <c r="AA498">
        <v>0</v>
      </c>
      <c r="AB498">
        <v>0</v>
      </c>
      <c r="AC498">
        <v>1</v>
      </c>
      <c r="AD498">
        <v>40.438000000000002</v>
      </c>
      <c r="AE498">
        <v>1</v>
      </c>
      <c r="AF498">
        <v>68</v>
      </c>
      <c r="AG498">
        <v>5</v>
      </c>
      <c r="AH498" t="s">
        <v>361</v>
      </c>
      <c r="AI498">
        <v>0</v>
      </c>
    </row>
    <row r="499" spans="1:35" x14ac:dyDescent="0.2">
      <c r="A499">
        <v>498</v>
      </c>
      <c r="B499" t="s">
        <v>1011</v>
      </c>
      <c r="C499" t="s">
        <v>1017</v>
      </c>
      <c r="D499" t="s">
        <v>428</v>
      </c>
      <c r="E499">
        <v>6</v>
      </c>
      <c r="F499">
        <v>-4.5259999999999998</v>
      </c>
      <c r="G499">
        <v>-22.123000000000001</v>
      </c>
      <c r="H499">
        <v>17219</v>
      </c>
      <c r="I499">
        <v>0</v>
      </c>
      <c r="J499">
        <v>1</v>
      </c>
      <c r="K499" t="s">
        <v>359</v>
      </c>
      <c r="L499" t="s">
        <v>359</v>
      </c>
      <c r="M499" t="s">
        <v>360</v>
      </c>
      <c r="N499">
        <v>1649371352.05</v>
      </c>
      <c r="O499">
        <v>0.20599999999999999</v>
      </c>
      <c r="P499">
        <v>0.35599999999999998</v>
      </c>
      <c r="Q499">
        <v>57.677</v>
      </c>
      <c r="R499">
        <v>1E-3</v>
      </c>
      <c r="S499">
        <v>0</v>
      </c>
      <c r="T499">
        <v>1.38</v>
      </c>
      <c r="U499">
        <v>101.812</v>
      </c>
      <c r="V499">
        <v>21.571999999999999</v>
      </c>
      <c r="W499">
        <v>2.4009999999999998</v>
      </c>
      <c r="X499">
        <v>93.739000000000004</v>
      </c>
      <c r="Y499">
        <v>0.88900000000000001</v>
      </c>
      <c r="Z499">
        <v>0.28999999999999998</v>
      </c>
      <c r="AA499">
        <v>0</v>
      </c>
      <c r="AB499">
        <v>0</v>
      </c>
      <c r="AC499">
        <v>1</v>
      </c>
      <c r="AD499">
        <v>40.438000000000002</v>
      </c>
      <c r="AE499">
        <v>1</v>
      </c>
      <c r="AF499">
        <v>68</v>
      </c>
      <c r="AG499">
        <v>5</v>
      </c>
      <c r="AH499" t="s">
        <v>361</v>
      </c>
      <c r="AI499">
        <v>0</v>
      </c>
    </row>
    <row r="500" spans="1:35" x14ac:dyDescent="0.2">
      <c r="A500">
        <v>499</v>
      </c>
      <c r="B500" t="s">
        <v>1011</v>
      </c>
      <c r="C500" t="s">
        <v>1018</v>
      </c>
      <c r="D500" t="s">
        <v>428</v>
      </c>
      <c r="E500">
        <v>7</v>
      </c>
      <c r="F500">
        <v>-4.4880000000000004</v>
      </c>
      <c r="G500">
        <v>-22.026</v>
      </c>
      <c r="H500">
        <v>17226</v>
      </c>
      <c r="I500">
        <v>0</v>
      </c>
      <c r="J500">
        <v>1</v>
      </c>
      <c r="K500" t="s">
        <v>359</v>
      </c>
      <c r="L500" t="s">
        <v>359</v>
      </c>
      <c r="M500" t="s">
        <v>360</v>
      </c>
      <c r="N500">
        <v>1649371890.29</v>
      </c>
      <c r="O500">
        <v>0.23</v>
      </c>
      <c r="P500">
        <v>0.38500000000000001</v>
      </c>
      <c r="Q500">
        <v>54.847000000000001</v>
      </c>
      <c r="R500">
        <v>1E-3</v>
      </c>
      <c r="S500">
        <v>0</v>
      </c>
      <c r="T500">
        <v>1.3380000000000001</v>
      </c>
      <c r="U500">
        <v>101.517</v>
      </c>
      <c r="V500">
        <v>22.004999999999999</v>
      </c>
      <c r="W500">
        <v>2.444</v>
      </c>
      <c r="X500">
        <v>94.372</v>
      </c>
      <c r="Y500">
        <v>0.89100000000000001</v>
      </c>
      <c r="Z500">
        <v>0.41599999999999998</v>
      </c>
      <c r="AA500">
        <v>0</v>
      </c>
      <c r="AB500">
        <v>0</v>
      </c>
      <c r="AC500">
        <v>1</v>
      </c>
      <c r="AD500">
        <v>40.438000000000002</v>
      </c>
      <c r="AE500">
        <v>1</v>
      </c>
      <c r="AF500">
        <v>68</v>
      </c>
      <c r="AG500">
        <v>5</v>
      </c>
      <c r="AH500" t="s">
        <v>361</v>
      </c>
      <c r="AI500">
        <v>0</v>
      </c>
    </row>
    <row r="501" spans="1:35" x14ac:dyDescent="0.2">
      <c r="A501">
        <v>500</v>
      </c>
      <c r="B501" t="s">
        <v>1011</v>
      </c>
      <c r="C501" t="s">
        <v>1019</v>
      </c>
      <c r="D501" t="s">
        <v>428</v>
      </c>
      <c r="E501">
        <v>8</v>
      </c>
      <c r="F501">
        <v>-4.492</v>
      </c>
      <c r="G501">
        <v>-22.088999999999999</v>
      </c>
      <c r="H501">
        <v>17227</v>
      </c>
      <c r="I501">
        <v>0</v>
      </c>
      <c r="J501">
        <v>1</v>
      </c>
      <c r="K501" t="s">
        <v>359</v>
      </c>
      <c r="L501" t="s">
        <v>359</v>
      </c>
      <c r="M501" t="s">
        <v>360</v>
      </c>
      <c r="N501">
        <v>1649372425.3699999</v>
      </c>
      <c r="O501">
        <v>0.221</v>
      </c>
      <c r="P501">
        <v>0.41199999999999998</v>
      </c>
      <c r="Q501">
        <v>55.271999999999998</v>
      </c>
      <c r="R501">
        <v>0</v>
      </c>
      <c r="S501">
        <v>-1E-3</v>
      </c>
      <c r="T501">
        <v>1.3260000000000001</v>
      </c>
      <c r="U501">
        <v>101.655</v>
      </c>
      <c r="V501">
        <v>21.641999999999999</v>
      </c>
      <c r="W501">
        <v>2.46</v>
      </c>
      <c r="X501">
        <v>94.888000000000005</v>
      </c>
      <c r="Y501">
        <v>0.88500000000000001</v>
      </c>
      <c r="Z501">
        <v>0.38400000000000001</v>
      </c>
      <c r="AA501">
        <v>0</v>
      </c>
      <c r="AB501">
        <v>0</v>
      </c>
      <c r="AC501">
        <v>1</v>
      </c>
      <c r="AD501">
        <v>40.438000000000002</v>
      </c>
      <c r="AE501">
        <v>1</v>
      </c>
      <c r="AF501">
        <v>68</v>
      </c>
      <c r="AG501">
        <v>5</v>
      </c>
      <c r="AH501" t="s">
        <v>361</v>
      </c>
      <c r="AI501">
        <v>0</v>
      </c>
    </row>
    <row r="502" spans="1:35" x14ac:dyDescent="0.2">
      <c r="A502">
        <v>501</v>
      </c>
      <c r="B502" t="s">
        <v>1011</v>
      </c>
      <c r="C502" t="s">
        <v>1020</v>
      </c>
      <c r="D502" t="s">
        <v>428</v>
      </c>
      <c r="E502">
        <v>9</v>
      </c>
      <c r="F502">
        <v>-4.4779999999999998</v>
      </c>
      <c r="G502">
        <v>-21.960999999999999</v>
      </c>
      <c r="H502">
        <v>17215</v>
      </c>
      <c r="I502">
        <v>0</v>
      </c>
      <c r="J502">
        <v>1</v>
      </c>
      <c r="K502" t="s">
        <v>359</v>
      </c>
      <c r="L502" t="s">
        <v>359</v>
      </c>
      <c r="M502" t="s">
        <v>360</v>
      </c>
      <c r="N502">
        <v>1649372963.05</v>
      </c>
      <c r="O502">
        <v>0.19400000000000001</v>
      </c>
      <c r="P502">
        <v>0.41799999999999998</v>
      </c>
      <c r="Q502">
        <v>55.914999999999999</v>
      </c>
      <c r="R502">
        <v>1E-3</v>
      </c>
      <c r="S502">
        <v>-2E-3</v>
      </c>
      <c r="T502">
        <v>1.343</v>
      </c>
      <c r="U502">
        <v>101.398</v>
      </c>
      <c r="V502">
        <v>21.122</v>
      </c>
      <c r="W502">
        <v>2.581</v>
      </c>
      <c r="X502">
        <v>97.231999999999999</v>
      </c>
      <c r="Y502">
        <v>0.88800000000000001</v>
      </c>
      <c r="Z502">
        <v>0.81799999999999995</v>
      </c>
      <c r="AA502">
        <v>0</v>
      </c>
      <c r="AB502">
        <v>0</v>
      </c>
      <c r="AC502">
        <v>1</v>
      </c>
      <c r="AD502">
        <v>40.438000000000002</v>
      </c>
      <c r="AE502">
        <v>1</v>
      </c>
      <c r="AF502">
        <v>68</v>
      </c>
      <c r="AG502">
        <v>5</v>
      </c>
      <c r="AH502" t="s">
        <v>361</v>
      </c>
      <c r="AI502">
        <v>0</v>
      </c>
    </row>
    <row r="503" spans="1:35" x14ac:dyDescent="0.2">
      <c r="A503">
        <v>502</v>
      </c>
      <c r="B503" t="s">
        <v>1011</v>
      </c>
      <c r="C503" t="s">
        <v>1021</v>
      </c>
      <c r="D503" t="s">
        <v>428</v>
      </c>
      <c r="E503">
        <v>10</v>
      </c>
      <c r="F503">
        <v>-4.4989999999999997</v>
      </c>
      <c r="G503">
        <v>-22.068000000000001</v>
      </c>
      <c r="H503">
        <v>17214</v>
      </c>
      <c r="I503">
        <v>0</v>
      </c>
      <c r="J503">
        <v>1</v>
      </c>
      <c r="K503" t="s">
        <v>359</v>
      </c>
      <c r="L503" t="s">
        <v>359</v>
      </c>
      <c r="M503" t="s">
        <v>360</v>
      </c>
      <c r="N503">
        <v>1649373499.6500001</v>
      </c>
      <c r="O503">
        <v>0.19900000000000001</v>
      </c>
      <c r="P503">
        <v>0.40500000000000003</v>
      </c>
      <c r="Q503">
        <v>55.834000000000003</v>
      </c>
      <c r="R503">
        <v>0</v>
      </c>
      <c r="S503">
        <v>1E-3</v>
      </c>
      <c r="T503">
        <v>1.3360000000000001</v>
      </c>
      <c r="U503">
        <v>102.053</v>
      </c>
      <c r="V503">
        <v>20.623999999999999</v>
      </c>
      <c r="W503">
        <v>2.4820000000000002</v>
      </c>
      <c r="X503">
        <v>94.849000000000004</v>
      </c>
      <c r="Y503">
        <v>0.89200000000000002</v>
      </c>
      <c r="Z503">
        <v>0.22800000000000001</v>
      </c>
      <c r="AA503">
        <v>0</v>
      </c>
      <c r="AB503">
        <v>0</v>
      </c>
      <c r="AC503">
        <v>1</v>
      </c>
      <c r="AD503">
        <v>40.375</v>
      </c>
      <c r="AE503">
        <v>1</v>
      </c>
      <c r="AF503">
        <v>68</v>
      </c>
      <c r="AG503">
        <v>5</v>
      </c>
      <c r="AH503" t="s">
        <v>361</v>
      </c>
      <c r="AI503">
        <v>0</v>
      </c>
    </row>
    <row r="504" spans="1:35" x14ac:dyDescent="0.2">
      <c r="A504">
        <v>503</v>
      </c>
      <c r="B504" t="s">
        <v>1011</v>
      </c>
      <c r="C504" t="s">
        <v>1022</v>
      </c>
      <c r="D504" t="s">
        <v>428</v>
      </c>
      <c r="E504">
        <v>11</v>
      </c>
      <c r="F504">
        <v>-4.5129999999999999</v>
      </c>
      <c r="G504">
        <v>-22.065999999999999</v>
      </c>
      <c r="H504">
        <v>17440</v>
      </c>
      <c r="I504">
        <v>0</v>
      </c>
      <c r="J504">
        <v>1</v>
      </c>
      <c r="K504" t="s">
        <v>359</v>
      </c>
      <c r="L504" t="s">
        <v>359</v>
      </c>
      <c r="M504" t="s">
        <v>360</v>
      </c>
      <c r="N504">
        <v>1649374041.01</v>
      </c>
      <c r="O504">
        <v>0.20200000000000001</v>
      </c>
      <c r="P504">
        <v>0.42399999999999999</v>
      </c>
      <c r="Q504">
        <v>55.021000000000001</v>
      </c>
      <c r="R504">
        <v>0</v>
      </c>
      <c r="S504">
        <v>1E-3</v>
      </c>
      <c r="T504">
        <v>1.3779999999999999</v>
      </c>
      <c r="U504">
        <v>103.054</v>
      </c>
      <c r="V504">
        <v>21.134</v>
      </c>
      <c r="W504">
        <v>2.5750000000000002</v>
      </c>
      <c r="X504">
        <v>97.274000000000001</v>
      </c>
      <c r="Y504">
        <v>0.92900000000000005</v>
      </c>
      <c r="Z504">
        <v>0.67100000000000004</v>
      </c>
      <c r="AA504">
        <v>0</v>
      </c>
      <c r="AB504">
        <v>0</v>
      </c>
      <c r="AC504">
        <v>1</v>
      </c>
      <c r="AD504">
        <v>40.25</v>
      </c>
      <c r="AE504">
        <v>1</v>
      </c>
      <c r="AF504">
        <v>68</v>
      </c>
      <c r="AG504">
        <v>5</v>
      </c>
      <c r="AH504" t="s">
        <v>361</v>
      </c>
      <c r="AI504">
        <v>0</v>
      </c>
    </row>
    <row r="505" spans="1:35" x14ac:dyDescent="0.2">
      <c r="A505">
        <v>504</v>
      </c>
      <c r="B505" t="s">
        <v>1011</v>
      </c>
      <c r="C505" t="s">
        <v>1023</v>
      </c>
      <c r="D505" t="s">
        <v>428</v>
      </c>
      <c r="E505">
        <v>12</v>
      </c>
      <c r="F505">
        <v>-4.4649999999999999</v>
      </c>
      <c r="G505">
        <v>-21.841999999999999</v>
      </c>
      <c r="H505">
        <v>17835</v>
      </c>
      <c r="I505">
        <v>0</v>
      </c>
      <c r="J505">
        <v>1</v>
      </c>
      <c r="K505" t="s">
        <v>359</v>
      </c>
      <c r="L505" t="s">
        <v>359</v>
      </c>
      <c r="M505" t="s">
        <v>360</v>
      </c>
      <c r="N505">
        <v>1649374574.23</v>
      </c>
      <c r="O505">
        <v>0.219</v>
      </c>
      <c r="P505">
        <v>0.39100000000000001</v>
      </c>
      <c r="Q505">
        <v>55.841999999999999</v>
      </c>
      <c r="R505">
        <v>0</v>
      </c>
      <c r="S505">
        <v>0</v>
      </c>
      <c r="T505">
        <v>1.331</v>
      </c>
      <c r="U505">
        <v>105.866</v>
      </c>
      <c r="V505">
        <v>20.966000000000001</v>
      </c>
      <c r="W505">
        <v>2.629</v>
      </c>
      <c r="X505">
        <v>99.075999999999993</v>
      </c>
      <c r="Y505">
        <v>0.90500000000000003</v>
      </c>
      <c r="Z505">
        <v>0.47</v>
      </c>
      <c r="AA505">
        <v>0</v>
      </c>
      <c r="AB505">
        <v>0</v>
      </c>
      <c r="AC505">
        <v>1</v>
      </c>
      <c r="AD505">
        <v>40.125</v>
      </c>
      <c r="AE505">
        <v>1</v>
      </c>
      <c r="AF505">
        <v>68</v>
      </c>
      <c r="AG505">
        <v>5</v>
      </c>
      <c r="AH505" t="s">
        <v>361</v>
      </c>
      <c r="AI505">
        <v>0</v>
      </c>
    </row>
    <row r="506" spans="1:35" x14ac:dyDescent="0.2">
      <c r="A506">
        <v>505</v>
      </c>
      <c r="B506" t="s">
        <v>1011</v>
      </c>
      <c r="C506" t="s">
        <v>1024</v>
      </c>
      <c r="D506" t="s">
        <v>428</v>
      </c>
      <c r="E506">
        <v>13</v>
      </c>
      <c r="F506">
        <v>-4.4640000000000004</v>
      </c>
      <c r="G506">
        <v>-22.145</v>
      </c>
      <c r="H506">
        <v>17052</v>
      </c>
      <c r="I506">
        <v>0</v>
      </c>
      <c r="J506">
        <v>1</v>
      </c>
      <c r="K506" t="s">
        <v>359</v>
      </c>
      <c r="L506" t="s">
        <v>359</v>
      </c>
      <c r="M506" t="s">
        <v>360</v>
      </c>
      <c r="N506">
        <v>1649375112.4000001</v>
      </c>
      <c r="O506">
        <v>0.245</v>
      </c>
      <c r="P506">
        <v>0.47099999999999997</v>
      </c>
      <c r="Q506">
        <v>69.792000000000002</v>
      </c>
      <c r="R506">
        <v>3.0000000000000001E-3</v>
      </c>
      <c r="S506">
        <v>6.0000000000000001E-3</v>
      </c>
      <c r="T506">
        <v>1.675</v>
      </c>
      <c r="U506">
        <v>101.06399999999999</v>
      </c>
      <c r="V506">
        <v>20.667999999999999</v>
      </c>
      <c r="W506">
        <v>2.395</v>
      </c>
      <c r="X506">
        <v>93.24</v>
      </c>
      <c r="Y506">
        <v>0.88900000000000001</v>
      </c>
      <c r="Z506">
        <v>0.109</v>
      </c>
      <c r="AA506">
        <v>0</v>
      </c>
      <c r="AB506">
        <v>0</v>
      </c>
      <c r="AC506">
        <v>1</v>
      </c>
      <c r="AD506">
        <v>40</v>
      </c>
      <c r="AE506">
        <v>1</v>
      </c>
      <c r="AF506">
        <v>68</v>
      </c>
      <c r="AG506">
        <v>5</v>
      </c>
      <c r="AH506" t="s">
        <v>361</v>
      </c>
      <c r="AI506">
        <v>0</v>
      </c>
    </row>
    <row r="507" spans="1:35" x14ac:dyDescent="0.2">
      <c r="A507">
        <v>506</v>
      </c>
      <c r="B507" t="s">
        <v>1011</v>
      </c>
      <c r="C507" t="s">
        <v>1025</v>
      </c>
      <c r="D507" t="s">
        <v>428</v>
      </c>
      <c r="E507">
        <v>14</v>
      </c>
      <c r="F507">
        <v>-4.444</v>
      </c>
      <c r="G507">
        <v>-21.977</v>
      </c>
      <c r="H507">
        <v>17112</v>
      </c>
      <c r="I507">
        <v>0</v>
      </c>
      <c r="J507">
        <v>1</v>
      </c>
      <c r="K507" t="s">
        <v>359</v>
      </c>
      <c r="L507" t="s">
        <v>359</v>
      </c>
      <c r="M507" t="s">
        <v>360</v>
      </c>
      <c r="N507">
        <v>1649375649.52</v>
      </c>
      <c r="O507">
        <v>0.20699999999999999</v>
      </c>
      <c r="P507">
        <v>0.41799999999999998</v>
      </c>
      <c r="Q507">
        <v>57.335000000000001</v>
      </c>
      <c r="R507">
        <v>1E-3</v>
      </c>
      <c r="S507">
        <v>3.0000000000000001E-3</v>
      </c>
      <c r="T507">
        <v>1.3759999999999999</v>
      </c>
      <c r="U507">
        <v>101.575</v>
      </c>
      <c r="V507">
        <v>20.52</v>
      </c>
      <c r="W507">
        <v>2.431</v>
      </c>
      <c r="X507">
        <v>93.494</v>
      </c>
      <c r="Y507">
        <v>0.89100000000000001</v>
      </c>
      <c r="Z507">
        <v>0.16800000000000001</v>
      </c>
      <c r="AA507">
        <v>0</v>
      </c>
      <c r="AB507">
        <v>0</v>
      </c>
      <c r="AC507">
        <v>1</v>
      </c>
      <c r="AD507">
        <v>40</v>
      </c>
      <c r="AE507">
        <v>1</v>
      </c>
      <c r="AF507">
        <v>68</v>
      </c>
      <c r="AG507">
        <v>5</v>
      </c>
      <c r="AH507" t="s">
        <v>361</v>
      </c>
      <c r="AI507">
        <v>0</v>
      </c>
    </row>
    <row r="508" spans="1:35" x14ac:dyDescent="0.2">
      <c r="A508">
        <v>507</v>
      </c>
      <c r="B508" t="s">
        <v>1011</v>
      </c>
      <c r="C508" t="s">
        <v>1026</v>
      </c>
      <c r="D508" t="s">
        <v>428</v>
      </c>
      <c r="E508">
        <v>15</v>
      </c>
      <c r="F508">
        <v>-4.5190000000000001</v>
      </c>
      <c r="G508">
        <v>-22.068999999999999</v>
      </c>
      <c r="H508">
        <v>17111</v>
      </c>
      <c r="I508">
        <v>0</v>
      </c>
      <c r="J508">
        <v>1</v>
      </c>
      <c r="K508" t="s">
        <v>359</v>
      </c>
      <c r="L508" t="s">
        <v>359</v>
      </c>
      <c r="M508" t="s">
        <v>360</v>
      </c>
      <c r="N508">
        <v>1649376186.8599999</v>
      </c>
      <c r="O508">
        <v>0.217</v>
      </c>
      <c r="P508">
        <v>0.42</v>
      </c>
      <c r="Q508">
        <v>60.811999999999998</v>
      </c>
      <c r="R508">
        <v>2E-3</v>
      </c>
      <c r="S508">
        <v>3.0000000000000001E-3</v>
      </c>
      <c r="T508">
        <v>1.4570000000000001</v>
      </c>
      <c r="U508">
        <v>101.389</v>
      </c>
      <c r="V508">
        <v>20.518999999999998</v>
      </c>
      <c r="W508">
        <v>2.488</v>
      </c>
      <c r="X508">
        <v>94.337999999999994</v>
      </c>
      <c r="Y508">
        <v>0.89500000000000002</v>
      </c>
      <c r="Z508">
        <v>0.35699999999999998</v>
      </c>
      <c r="AA508">
        <v>0</v>
      </c>
      <c r="AB508">
        <v>0</v>
      </c>
      <c r="AC508">
        <v>1</v>
      </c>
      <c r="AD508">
        <v>40</v>
      </c>
      <c r="AE508">
        <v>1</v>
      </c>
      <c r="AF508">
        <v>68</v>
      </c>
      <c r="AG508">
        <v>5</v>
      </c>
      <c r="AH508" t="s">
        <v>361</v>
      </c>
      <c r="AI508">
        <v>0</v>
      </c>
    </row>
    <row r="509" spans="1:35" x14ac:dyDescent="0.2">
      <c r="A509">
        <v>508</v>
      </c>
      <c r="B509" t="s">
        <v>1027</v>
      </c>
      <c r="C509" t="s">
        <v>1028</v>
      </c>
      <c r="D509" t="s">
        <v>429</v>
      </c>
      <c r="E509">
        <v>1</v>
      </c>
      <c r="F509">
        <v>-7.6630000000000003</v>
      </c>
      <c r="G509">
        <v>-48.514000000000003</v>
      </c>
      <c r="H509">
        <v>17186</v>
      </c>
      <c r="I509">
        <v>-1</v>
      </c>
      <c r="J509">
        <v>1</v>
      </c>
      <c r="K509" t="s">
        <v>359</v>
      </c>
      <c r="L509" t="s">
        <v>359</v>
      </c>
      <c r="M509" t="s">
        <v>360</v>
      </c>
      <c r="N509">
        <v>1649376723.8499999</v>
      </c>
      <c r="O509">
        <v>0.20899999999999999</v>
      </c>
      <c r="P509">
        <v>0.42199999999999999</v>
      </c>
      <c r="Q509">
        <v>56.128</v>
      </c>
      <c r="R509">
        <v>2E-3</v>
      </c>
      <c r="S509">
        <v>4.0000000000000001E-3</v>
      </c>
      <c r="T509">
        <v>1.3420000000000001</v>
      </c>
      <c r="U509">
        <v>101.625</v>
      </c>
      <c r="V509">
        <v>20.701000000000001</v>
      </c>
      <c r="W509">
        <v>2.5470000000000002</v>
      </c>
      <c r="X509">
        <v>96.034000000000006</v>
      </c>
      <c r="Y509">
        <v>0.89300000000000002</v>
      </c>
      <c r="Z509">
        <v>0.71399999999999997</v>
      </c>
      <c r="AA509">
        <v>0</v>
      </c>
      <c r="AB509">
        <v>0</v>
      </c>
      <c r="AC509">
        <v>1</v>
      </c>
      <c r="AD509">
        <v>40</v>
      </c>
      <c r="AE509">
        <v>1</v>
      </c>
      <c r="AF509">
        <v>69</v>
      </c>
      <c r="AG509">
        <v>5</v>
      </c>
      <c r="AH509" t="s">
        <v>361</v>
      </c>
      <c r="AI509">
        <v>0</v>
      </c>
    </row>
    <row r="510" spans="1:35" x14ac:dyDescent="0.2">
      <c r="A510">
        <v>509</v>
      </c>
      <c r="B510" t="s">
        <v>1027</v>
      </c>
      <c r="C510" t="s">
        <v>1029</v>
      </c>
      <c r="D510" t="s">
        <v>429</v>
      </c>
      <c r="E510">
        <v>2</v>
      </c>
      <c r="F510">
        <v>-7.8220000000000001</v>
      </c>
      <c r="G510">
        <v>-50.814</v>
      </c>
      <c r="H510">
        <v>17235</v>
      </c>
      <c r="I510">
        <v>-1</v>
      </c>
      <c r="J510">
        <v>1</v>
      </c>
      <c r="K510" t="s">
        <v>359</v>
      </c>
      <c r="L510" t="s">
        <v>359</v>
      </c>
      <c r="M510" t="s">
        <v>360</v>
      </c>
      <c r="N510">
        <v>1649377261.2</v>
      </c>
      <c r="O510">
        <v>0.219</v>
      </c>
      <c r="P510">
        <v>0.40500000000000003</v>
      </c>
      <c r="Q510">
        <v>56.536999999999999</v>
      </c>
      <c r="R510">
        <v>0</v>
      </c>
      <c r="S510">
        <v>2E-3</v>
      </c>
      <c r="T510">
        <v>1.35</v>
      </c>
      <c r="U510">
        <v>102.00700000000001</v>
      </c>
      <c r="V510">
        <v>20.523</v>
      </c>
      <c r="W510">
        <v>2.5019999999999998</v>
      </c>
      <c r="X510">
        <v>96.421000000000006</v>
      </c>
      <c r="Y510">
        <v>0.89900000000000002</v>
      </c>
      <c r="Z510">
        <v>0.58899999999999997</v>
      </c>
      <c r="AA510">
        <v>0</v>
      </c>
      <c r="AB510">
        <v>0</v>
      </c>
      <c r="AC510">
        <v>1</v>
      </c>
      <c r="AD510">
        <v>39.938000000000002</v>
      </c>
      <c r="AE510">
        <v>1</v>
      </c>
      <c r="AF510">
        <v>69</v>
      </c>
      <c r="AG510">
        <v>5</v>
      </c>
      <c r="AH510" t="s">
        <v>361</v>
      </c>
      <c r="AI510">
        <v>0</v>
      </c>
    </row>
    <row r="511" spans="1:35" x14ac:dyDescent="0.2">
      <c r="A511">
        <v>510</v>
      </c>
      <c r="B511" t="s">
        <v>1027</v>
      </c>
      <c r="C511" t="s">
        <v>1030</v>
      </c>
      <c r="D511" t="s">
        <v>429</v>
      </c>
      <c r="E511">
        <v>3</v>
      </c>
      <c r="F511">
        <v>-7.8789999999999996</v>
      </c>
      <c r="G511">
        <v>-51.62</v>
      </c>
      <c r="H511">
        <v>17203</v>
      </c>
      <c r="I511">
        <v>-1</v>
      </c>
      <c r="J511">
        <v>1</v>
      </c>
      <c r="K511" t="s">
        <v>359</v>
      </c>
      <c r="L511" t="s">
        <v>359</v>
      </c>
      <c r="M511" t="s">
        <v>360</v>
      </c>
      <c r="N511">
        <v>1649377797.6800001</v>
      </c>
      <c r="O511">
        <v>0.20799999999999999</v>
      </c>
      <c r="P511">
        <v>0.35499999999999998</v>
      </c>
      <c r="Q511">
        <v>55.875999999999998</v>
      </c>
      <c r="R511">
        <v>1E-3</v>
      </c>
      <c r="S511">
        <v>1E-3</v>
      </c>
      <c r="T511">
        <v>1.339</v>
      </c>
      <c r="U511">
        <v>101.899</v>
      </c>
      <c r="V511">
        <v>20.564</v>
      </c>
      <c r="W511">
        <v>2.4689999999999999</v>
      </c>
      <c r="X511">
        <v>95.558999999999997</v>
      </c>
      <c r="Y511">
        <v>0.90200000000000002</v>
      </c>
      <c r="Z511">
        <v>0.498</v>
      </c>
      <c r="AA511">
        <v>0</v>
      </c>
      <c r="AB511">
        <v>0</v>
      </c>
      <c r="AC511">
        <v>1</v>
      </c>
      <c r="AD511">
        <v>39.938000000000002</v>
      </c>
      <c r="AE511">
        <v>1</v>
      </c>
      <c r="AF511">
        <v>69</v>
      </c>
      <c r="AG511">
        <v>5</v>
      </c>
      <c r="AH511" t="s">
        <v>361</v>
      </c>
      <c r="AI511">
        <v>0</v>
      </c>
    </row>
    <row r="512" spans="1:35" x14ac:dyDescent="0.2">
      <c r="A512">
        <v>511</v>
      </c>
      <c r="B512" t="s">
        <v>1027</v>
      </c>
      <c r="C512" t="s">
        <v>1031</v>
      </c>
      <c r="D512" t="s">
        <v>429</v>
      </c>
      <c r="E512">
        <v>4</v>
      </c>
      <c r="F512">
        <v>-7.8810000000000002</v>
      </c>
      <c r="G512">
        <v>-51.658000000000001</v>
      </c>
      <c r="H512">
        <v>17195</v>
      </c>
      <c r="I512">
        <v>0</v>
      </c>
      <c r="J512">
        <v>1</v>
      </c>
      <c r="K512" t="s">
        <v>359</v>
      </c>
      <c r="L512" t="s">
        <v>359</v>
      </c>
      <c r="M512" t="s">
        <v>360</v>
      </c>
      <c r="N512">
        <v>1649378336.1199999</v>
      </c>
      <c r="O512">
        <v>0.20399999999999999</v>
      </c>
      <c r="P512">
        <v>0.371</v>
      </c>
      <c r="Q512">
        <v>57.045999999999999</v>
      </c>
      <c r="R512">
        <v>1E-3</v>
      </c>
      <c r="S512">
        <v>1E-3</v>
      </c>
      <c r="T512">
        <v>1.359</v>
      </c>
      <c r="U512">
        <v>101.77200000000001</v>
      </c>
      <c r="V512">
        <v>20.891999999999999</v>
      </c>
      <c r="W512">
        <v>2.4590000000000001</v>
      </c>
      <c r="X512">
        <v>95.078999999999994</v>
      </c>
      <c r="Y512">
        <v>0.89700000000000002</v>
      </c>
      <c r="Z512">
        <v>0.496</v>
      </c>
      <c r="AA512">
        <v>0</v>
      </c>
      <c r="AB512">
        <v>0</v>
      </c>
      <c r="AC512">
        <v>1</v>
      </c>
      <c r="AD512">
        <v>39.938000000000002</v>
      </c>
      <c r="AE512">
        <v>1</v>
      </c>
      <c r="AF512">
        <v>69</v>
      </c>
      <c r="AG512">
        <v>5</v>
      </c>
      <c r="AH512" t="s">
        <v>361</v>
      </c>
      <c r="AI512">
        <v>0</v>
      </c>
    </row>
    <row r="513" spans="1:35" x14ac:dyDescent="0.2">
      <c r="A513">
        <v>512</v>
      </c>
      <c r="B513" t="s">
        <v>1027</v>
      </c>
      <c r="C513" t="s">
        <v>1032</v>
      </c>
      <c r="D513" t="s">
        <v>429</v>
      </c>
      <c r="E513">
        <v>5</v>
      </c>
      <c r="F513">
        <v>-7.9530000000000003</v>
      </c>
      <c r="G513">
        <v>-51.871000000000002</v>
      </c>
      <c r="H513">
        <v>17172</v>
      </c>
      <c r="I513">
        <v>0</v>
      </c>
      <c r="J513">
        <v>1</v>
      </c>
      <c r="K513" t="s">
        <v>359</v>
      </c>
      <c r="L513" t="s">
        <v>359</v>
      </c>
      <c r="M513" t="s">
        <v>360</v>
      </c>
      <c r="N513">
        <v>1649378873.03</v>
      </c>
      <c r="O513">
        <v>0.20699999999999999</v>
      </c>
      <c r="P513">
        <v>0.39400000000000002</v>
      </c>
      <c r="Q513">
        <v>57.124000000000002</v>
      </c>
      <c r="R513">
        <v>1E-3</v>
      </c>
      <c r="S513">
        <v>2E-3</v>
      </c>
      <c r="T513">
        <v>1.3759999999999999</v>
      </c>
      <c r="U513">
        <v>101.80800000000001</v>
      </c>
      <c r="V513">
        <v>20.343</v>
      </c>
      <c r="W513">
        <v>2.4889999999999999</v>
      </c>
      <c r="X513">
        <v>95.427999999999997</v>
      </c>
      <c r="Y513">
        <v>0.89100000000000001</v>
      </c>
      <c r="Z513">
        <v>0.41499999999999998</v>
      </c>
      <c r="AA513">
        <v>0</v>
      </c>
      <c r="AB513">
        <v>0</v>
      </c>
      <c r="AC513">
        <v>1</v>
      </c>
      <c r="AD513">
        <v>39.875</v>
      </c>
      <c r="AE513">
        <v>1</v>
      </c>
      <c r="AF513">
        <v>69</v>
      </c>
      <c r="AG513">
        <v>5</v>
      </c>
      <c r="AH513" t="s">
        <v>361</v>
      </c>
      <c r="AI513">
        <v>0</v>
      </c>
    </row>
    <row r="514" spans="1:35" x14ac:dyDescent="0.2">
      <c r="A514">
        <v>513</v>
      </c>
      <c r="B514" t="s">
        <v>1027</v>
      </c>
      <c r="C514" t="s">
        <v>1033</v>
      </c>
      <c r="D514" t="s">
        <v>429</v>
      </c>
      <c r="E514">
        <v>6</v>
      </c>
      <c r="F514">
        <v>-7.8490000000000002</v>
      </c>
      <c r="G514">
        <v>-51.844999999999999</v>
      </c>
      <c r="H514">
        <v>17154</v>
      </c>
      <c r="I514">
        <v>0</v>
      </c>
      <c r="J514">
        <v>1</v>
      </c>
      <c r="K514" t="s">
        <v>359</v>
      </c>
      <c r="L514" t="s">
        <v>359</v>
      </c>
      <c r="M514" t="s">
        <v>360</v>
      </c>
      <c r="N514">
        <v>1649379410.4000001</v>
      </c>
      <c r="O514">
        <v>0.21</v>
      </c>
      <c r="P514">
        <v>0.39900000000000002</v>
      </c>
      <c r="Q514">
        <v>55.192999999999998</v>
      </c>
      <c r="R514">
        <v>0</v>
      </c>
      <c r="S514">
        <v>0</v>
      </c>
      <c r="T514">
        <v>1.327</v>
      </c>
      <c r="U514">
        <v>101.35299999999999</v>
      </c>
      <c r="V514">
        <v>21.393000000000001</v>
      </c>
      <c r="W514">
        <v>2.4660000000000002</v>
      </c>
      <c r="X514">
        <v>94.066000000000003</v>
      </c>
      <c r="Y514">
        <v>0.89800000000000002</v>
      </c>
      <c r="Z514">
        <v>0.45200000000000001</v>
      </c>
      <c r="AA514">
        <v>0</v>
      </c>
      <c r="AB514">
        <v>0</v>
      </c>
      <c r="AC514">
        <v>1</v>
      </c>
      <c r="AD514">
        <v>39.875</v>
      </c>
      <c r="AE514">
        <v>1</v>
      </c>
      <c r="AF514">
        <v>69</v>
      </c>
      <c r="AG514">
        <v>5</v>
      </c>
      <c r="AH514" t="s">
        <v>361</v>
      </c>
      <c r="AI514">
        <v>0</v>
      </c>
    </row>
    <row r="515" spans="1:35" x14ac:dyDescent="0.2">
      <c r="A515">
        <v>514</v>
      </c>
      <c r="B515" t="s">
        <v>1027</v>
      </c>
      <c r="C515" t="s">
        <v>1034</v>
      </c>
      <c r="D515" t="s">
        <v>429</v>
      </c>
      <c r="E515">
        <v>7</v>
      </c>
      <c r="F515">
        <v>-7.9180000000000001</v>
      </c>
      <c r="G515">
        <v>-52.113</v>
      </c>
      <c r="H515">
        <v>17164</v>
      </c>
      <c r="I515">
        <v>0</v>
      </c>
      <c r="J515">
        <v>1</v>
      </c>
      <c r="K515" t="s">
        <v>359</v>
      </c>
      <c r="L515" t="s">
        <v>359</v>
      </c>
      <c r="M515" t="s">
        <v>360</v>
      </c>
      <c r="N515">
        <v>1649379947.47</v>
      </c>
      <c r="O515">
        <v>0.19</v>
      </c>
      <c r="P515">
        <v>0.38700000000000001</v>
      </c>
      <c r="Q515">
        <v>56.777000000000001</v>
      </c>
      <c r="R515">
        <v>1E-3</v>
      </c>
      <c r="S515">
        <v>4.0000000000000001E-3</v>
      </c>
      <c r="T515">
        <v>1.3680000000000001</v>
      </c>
      <c r="U515">
        <v>101.937</v>
      </c>
      <c r="V515">
        <v>20.329000000000001</v>
      </c>
      <c r="W515">
        <v>2.4089999999999998</v>
      </c>
      <c r="X515">
        <v>94.626999999999995</v>
      </c>
      <c r="Y515">
        <v>0.89300000000000002</v>
      </c>
      <c r="Z515">
        <v>0.32900000000000001</v>
      </c>
      <c r="AA515">
        <v>0</v>
      </c>
      <c r="AB515">
        <v>0</v>
      </c>
      <c r="AC515">
        <v>1</v>
      </c>
      <c r="AD515">
        <v>39.875</v>
      </c>
      <c r="AE515">
        <v>1</v>
      </c>
      <c r="AF515">
        <v>69</v>
      </c>
      <c r="AG515">
        <v>5</v>
      </c>
      <c r="AH515" t="s">
        <v>361</v>
      </c>
      <c r="AI515">
        <v>0</v>
      </c>
    </row>
    <row r="516" spans="1:35" x14ac:dyDescent="0.2">
      <c r="A516">
        <v>515</v>
      </c>
      <c r="B516" t="s">
        <v>1027</v>
      </c>
      <c r="C516" t="s">
        <v>1035</v>
      </c>
      <c r="D516" t="s">
        <v>429</v>
      </c>
      <c r="E516">
        <v>8</v>
      </c>
      <c r="F516">
        <v>-7.8890000000000002</v>
      </c>
      <c r="G516">
        <v>-52.052999999999997</v>
      </c>
      <c r="H516">
        <v>17289</v>
      </c>
      <c r="I516">
        <v>0</v>
      </c>
      <c r="J516">
        <v>1</v>
      </c>
      <c r="K516" t="s">
        <v>359</v>
      </c>
      <c r="L516" t="s">
        <v>359</v>
      </c>
      <c r="M516" t="s">
        <v>360</v>
      </c>
      <c r="N516">
        <v>1649380485.1600001</v>
      </c>
      <c r="O516">
        <v>0.20399999999999999</v>
      </c>
      <c r="P516">
        <v>0.379</v>
      </c>
      <c r="Q516">
        <v>57.238</v>
      </c>
      <c r="R516">
        <v>0</v>
      </c>
      <c r="S516">
        <v>2E-3</v>
      </c>
      <c r="T516">
        <v>1.3740000000000001</v>
      </c>
      <c r="U516">
        <v>102.619</v>
      </c>
      <c r="V516">
        <v>20.756</v>
      </c>
      <c r="W516">
        <v>2.4430000000000001</v>
      </c>
      <c r="X516">
        <v>95.061000000000007</v>
      </c>
      <c r="Y516">
        <v>0.90100000000000002</v>
      </c>
      <c r="Z516">
        <v>0.28100000000000003</v>
      </c>
      <c r="AA516">
        <v>0</v>
      </c>
      <c r="AB516">
        <v>0</v>
      </c>
      <c r="AC516">
        <v>1</v>
      </c>
      <c r="AD516">
        <v>40.061999999999998</v>
      </c>
      <c r="AE516">
        <v>1</v>
      </c>
      <c r="AF516">
        <v>69</v>
      </c>
      <c r="AG516">
        <v>5</v>
      </c>
      <c r="AH516" t="s">
        <v>361</v>
      </c>
      <c r="AI516">
        <v>0</v>
      </c>
    </row>
    <row r="517" spans="1:35" x14ac:dyDescent="0.2">
      <c r="A517">
        <v>516</v>
      </c>
      <c r="B517" t="s">
        <v>1027</v>
      </c>
      <c r="C517" t="s">
        <v>1036</v>
      </c>
      <c r="D517" t="s">
        <v>429</v>
      </c>
      <c r="E517">
        <v>9</v>
      </c>
      <c r="F517">
        <v>-7.9050000000000002</v>
      </c>
      <c r="G517">
        <v>-52.036000000000001</v>
      </c>
      <c r="H517">
        <v>17117</v>
      </c>
      <c r="I517">
        <v>0</v>
      </c>
      <c r="J517">
        <v>1</v>
      </c>
      <c r="K517" t="s">
        <v>359</v>
      </c>
      <c r="L517" t="s">
        <v>359</v>
      </c>
      <c r="M517" t="s">
        <v>360</v>
      </c>
      <c r="N517">
        <v>1649381022.54</v>
      </c>
      <c r="O517">
        <v>0.193</v>
      </c>
      <c r="P517">
        <v>0.36899999999999999</v>
      </c>
      <c r="Q517">
        <v>55.726999999999997</v>
      </c>
      <c r="R517">
        <v>1E-3</v>
      </c>
      <c r="S517">
        <v>1E-3</v>
      </c>
      <c r="T517">
        <v>1.33</v>
      </c>
      <c r="U517">
        <v>101.38500000000001</v>
      </c>
      <c r="V517">
        <v>21.08</v>
      </c>
      <c r="W517">
        <v>2.3959999999999999</v>
      </c>
      <c r="X517">
        <v>93.611000000000004</v>
      </c>
      <c r="Y517">
        <v>0.89</v>
      </c>
      <c r="Z517">
        <v>0.23499999999999999</v>
      </c>
      <c r="AA517">
        <v>0</v>
      </c>
      <c r="AB517">
        <v>0</v>
      </c>
      <c r="AC517">
        <v>1</v>
      </c>
      <c r="AD517">
        <v>40.061999999999998</v>
      </c>
      <c r="AE517">
        <v>1</v>
      </c>
      <c r="AF517">
        <v>69</v>
      </c>
      <c r="AG517">
        <v>5</v>
      </c>
      <c r="AH517" t="s">
        <v>361</v>
      </c>
      <c r="AI517">
        <v>0</v>
      </c>
    </row>
    <row r="518" spans="1:35" x14ac:dyDescent="0.2">
      <c r="A518">
        <v>517</v>
      </c>
      <c r="B518" t="s">
        <v>1027</v>
      </c>
      <c r="C518" t="s">
        <v>1037</v>
      </c>
      <c r="D518" t="s">
        <v>429</v>
      </c>
      <c r="E518">
        <v>10</v>
      </c>
      <c r="F518">
        <v>-7.9429999999999996</v>
      </c>
      <c r="G518">
        <v>-52.326000000000001</v>
      </c>
      <c r="H518">
        <v>17146</v>
      </c>
      <c r="I518">
        <v>0</v>
      </c>
      <c r="J518">
        <v>1</v>
      </c>
      <c r="K518" t="s">
        <v>359</v>
      </c>
      <c r="L518" t="s">
        <v>359</v>
      </c>
      <c r="M518" t="s">
        <v>360</v>
      </c>
      <c r="N518">
        <v>1649381559.3199999</v>
      </c>
      <c r="O518">
        <v>0.183</v>
      </c>
      <c r="P518">
        <v>0.40699999999999997</v>
      </c>
      <c r="Q518">
        <v>55.692999999999998</v>
      </c>
      <c r="R518">
        <v>1E-3</v>
      </c>
      <c r="S518">
        <v>0</v>
      </c>
      <c r="T518">
        <v>1.33</v>
      </c>
      <c r="U518">
        <v>101.667</v>
      </c>
      <c r="V518">
        <v>21.100999999999999</v>
      </c>
      <c r="W518">
        <v>2.4039999999999999</v>
      </c>
      <c r="X518">
        <v>92.912999999999997</v>
      </c>
      <c r="Y518">
        <v>0.89800000000000002</v>
      </c>
      <c r="Z518">
        <v>0.14399999999999999</v>
      </c>
      <c r="AA518">
        <v>0</v>
      </c>
      <c r="AB518">
        <v>0</v>
      </c>
      <c r="AC518">
        <v>1</v>
      </c>
      <c r="AD518">
        <v>40</v>
      </c>
      <c r="AE518">
        <v>1</v>
      </c>
      <c r="AF518">
        <v>69</v>
      </c>
      <c r="AG518">
        <v>5</v>
      </c>
      <c r="AH518" t="s">
        <v>361</v>
      </c>
      <c r="AI518">
        <v>0</v>
      </c>
    </row>
    <row r="519" spans="1:35" x14ac:dyDescent="0.2">
      <c r="A519">
        <v>518</v>
      </c>
      <c r="B519" t="s">
        <v>1027</v>
      </c>
      <c r="C519" t="s">
        <v>1038</v>
      </c>
      <c r="D519" t="s">
        <v>429</v>
      </c>
      <c r="E519">
        <v>11</v>
      </c>
      <c r="F519">
        <v>-7.91</v>
      </c>
      <c r="G519">
        <v>-52.238999999999997</v>
      </c>
      <c r="H519">
        <v>17124</v>
      </c>
      <c r="I519">
        <v>0</v>
      </c>
      <c r="J519">
        <v>1</v>
      </c>
      <c r="K519" t="s">
        <v>359</v>
      </c>
      <c r="L519" t="s">
        <v>359</v>
      </c>
      <c r="M519" t="s">
        <v>360</v>
      </c>
      <c r="N519">
        <v>1649382096.77</v>
      </c>
      <c r="O519">
        <v>0.20399999999999999</v>
      </c>
      <c r="P519">
        <v>0.45200000000000001</v>
      </c>
      <c r="Q519">
        <v>56.460999999999999</v>
      </c>
      <c r="R519">
        <v>1E-3</v>
      </c>
      <c r="S519">
        <v>3.0000000000000001E-3</v>
      </c>
      <c r="T519">
        <v>1.3480000000000001</v>
      </c>
      <c r="U519">
        <v>101.157</v>
      </c>
      <c r="V519">
        <v>21.54</v>
      </c>
      <c r="W519">
        <v>2.4239999999999999</v>
      </c>
      <c r="X519">
        <v>93.596000000000004</v>
      </c>
      <c r="Y519">
        <v>0.89500000000000002</v>
      </c>
      <c r="Z519">
        <v>0.40200000000000002</v>
      </c>
      <c r="AA519">
        <v>0</v>
      </c>
      <c r="AB519">
        <v>0</v>
      </c>
      <c r="AC519">
        <v>1</v>
      </c>
      <c r="AD519">
        <v>39.938000000000002</v>
      </c>
      <c r="AE519">
        <v>1</v>
      </c>
      <c r="AF519">
        <v>69</v>
      </c>
      <c r="AG519">
        <v>5</v>
      </c>
      <c r="AH519" t="s">
        <v>361</v>
      </c>
      <c r="AI519">
        <v>0</v>
      </c>
    </row>
    <row r="520" spans="1:35" x14ac:dyDescent="0.2">
      <c r="A520">
        <v>519</v>
      </c>
      <c r="B520" t="s">
        <v>1027</v>
      </c>
      <c r="C520" t="s">
        <v>1039</v>
      </c>
      <c r="D520" t="s">
        <v>429</v>
      </c>
      <c r="E520">
        <v>12</v>
      </c>
      <c r="F520">
        <v>-7.9279999999999999</v>
      </c>
      <c r="G520">
        <v>-52.283000000000001</v>
      </c>
      <c r="H520">
        <v>17290</v>
      </c>
      <c r="I520">
        <v>0</v>
      </c>
      <c r="J520">
        <v>1</v>
      </c>
      <c r="K520" t="s">
        <v>359</v>
      </c>
      <c r="L520" t="s">
        <v>359</v>
      </c>
      <c r="M520" t="s">
        <v>360</v>
      </c>
      <c r="N520">
        <v>1649382632.9200001</v>
      </c>
      <c r="O520">
        <v>0.20399999999999999</v>
      </c>
      <c r="P520">
        <v>0.40200000000000002</v>
      </c>
      <c r="Q520">
        <v>55.384</v>
      </c>
      <c r="R520">
        <v>1E-3</v>
      </c>
      <c r="S520">
        <v>1E-3</v>
      </c>
      <c r="T520">
        <v>1.325</v>
      </c>
      <c r="U520">
        <v>102.29900000000001</v>
      </c>
      <c r="V520">
        <v>21.273</v>
      </c>
      <c r="W520">
        <v>2.4910000000000001</v>
      </c>
      <c r="X520">
        <v>95.39</v>
      </c>
      <c r="Y520">
        <v>0.91300000000000003</v>
      </c>
      <c r="Z520">
        <v>0.498</v>
      </c>
      <c r="AA520">
        <v>0</v>
      </c>
      <c r="AB520">
        <v>0</v>
      </c>
      <c r="AC520">
        <v>1</v>
      </c>
      <c r="AD520">
        <v>39.938000000000002</v>
      </c>
      <c r="AE520">
        <v>1</v>
      </c>
      <c r="AF520">
        <v>69</v>
      </c>
      <c r="AG520">
        <v>5</v>
      </c>
      <c r="AH520" t="s">
        <v>361</v>
      </c>
      <c r="AI520">
        <v>0</v>
      </c>
    </row>
    <row r="521" spans="1:35" x14ac:dyDescent="0.2">
      <c r="A521">
        <v>520</v>
      </c>
      <c r="B521" t="s">
        <v>1027</v>
      </c>
      <c r="C521" t="s">
        <v>1040</v>
      </c>
      <c r="D521" t="s">
        <v>429</v>
      </c>
      <c r="E521">
        <v>13</v>
      </c>
      <c r="F521">
        <v>-7.92</v>
      </c>
      <c r="G521">
        <v>-52.122</v>
      </c>
      <c r="H521">
        <v>17138</v>
      </c>
      <c r="I521">
        <v>0</v>
      </c>
      <c r="J521">
        <v>1</v>
      </c>
      <c r="K521" t="s">
        <v>359</v>
      </c>
      <c r="L521" t="s">
        <v>359</v>
      </c>
      <c r="M521" t="s">
        <v>360</v>
      </c>
      <c r="N521">
        <v>1649383171.5799999</v>
      </c>
      <c r="O521">
        <v>0.221</v>
      </c>
      <c r="P521">
        <v>0.42</v>
      </c>
      <c r="Q521">
        <v>57.37</v>
      </c>
      <c r="R521">
        <v>1E-3</v>
      </c>
      <c r="S521">
        <v>2E-3</v>
      </c>
      <c r="T521">
        <v>1.3740000000000001</v>
      </c>
      <c r="U521">
        <v>101.613</v>
      </c>
      <c r="V521">
        <v>20.526</v>
      </c>
      <c r="W521">
        <v>2.4369999999999998</v>
      </c>
      <c r="X521">
        <v>94.823999999999998</v>
      </c>
      <c r="Y521">
        <v>0.89900000000000002</v>
      </c>
      <c r="Z521">
        <v>0.28399999999999997</v>
      </c>
      <c r="AA521">
        <v>0</v>
      </c>
      <c r="AB521">
        <v>0</v>
      </c>
      <c r="AC521">
        <v>1</v>
      </c>
      <c r="AD521">
        <v>39.938000000000002</v>
      </c>
      <c r="AE521">
        <v>1</v>
      </c>
      <c r="AF521">
        <v>69</v>
      </c>
      <c r="AG521">
        <v>5</v>
      </c>
      <c r="AH521" t="s">
        <v>361</v>
      </c>
      <c r="AI521">
        <v>0</v>
      </c>
    </row>
    <row r="522" spans="1:35" x14ac:dyDescent="0.2">
      <c r="A522">
        <v>521</v>
      </c>
      <c r="B522" t="s">
        <v>1027</v>
      </c>
      <c r="C522" t="s">
        <v>1041</v>
      </c>
      <c r="D522" t="s">
        <v>429</v>
      </c>
      <c r="E522">
        <v>14</v>
      </c>
      <c r="F522">
        <v>-7.9089999999999998</v>
      </c>
      <c r="G522">
        <v>-52.209000000000003</v>
      </c>
      <c r="H522">
        <v>17127</v>
      </c>
      <c r="I522">
        <v>0</v>
      </c>
      <c r="J522">
        <v>1</v>
      </c>
      <c r="K522" t="s">
        <v>359</v>
      </c>
      <c r="L522" t="s">
        <v>359</v>
      </c>
      <c r="M522" t="s">
        <v>360</v>
      </c>
      <c r="N522">
        <v>1649383708.3599999</v>
      </c>
      <c r="O522">
        <v>0.189</v>
      </c>
      <c r="P522">
        <v>0.39800000000000002</v>
      </c>
      <c r="Q522">
        <v>56.158000000000001</v>
      </c>
      <c r="R522">
        <v>1E-3</v>
      </c>
      <c r="S522">
        <v>1E-3</v>
      </c>
      <c r="T522">
        <v>1.34</v>
      </c>
      <c r="U522">
        <v>101.379</v>
      </c>
      <c r="V522">
        <v>20.553000000000001</v>
      </c>
      <c r="W522">
        <v>2.4460000000000002</v>
      </c>
      <c r="X522">
        <v>95.567999999999998</v>
      </c>
      <c r="Y522">
        <v>0.90300000000000002</v>
      </c>
      <c r="Z522">
        <v>0.53800000000000003</v>
      </c>
      <c r="AA522">
        <v>0</v>
      </c>
      <c r="AB522">
        <v>0</v>
      </c>
      <c r="AC522">
        <v>1</v>
      </c>
      <c r="AD522">
        <v>39.938000000000002</v>
      </c>
      <c r="AE522">
        <v>1</v>
      </c>
      <c r="AF522">
        <v>69</v>
      </c>
      <c r="AG522">
        <v>5</v>
      </c>
      <c r="AH522" t="s">
        <v>361</v>
      </c>
      <c r="AI522">
        <v>0</v>
      </c>
    </row>
    <row r="523" spans="1:35" x14ac:dyDescent="0.2">
      <c r="A523">
        <v>522</v>
      </c>
      <c r="B523" t="s">
        <v>1027</v>
      </c>
      <c r="C523" t="s">
        <v>1042</v>
      </c>
      <c r="D523" t="s">
        <v>429</v>
      </c>
      <c r="E523">
        <v>15</v>
      </c>
      <c r="F523">
        <v>-7.9050000000000002</v>
      </c>
      <c r="G523">
        <v>-52.220999999999997</v>
      </c>
      <c r="H523">
        <v>17194</v>
      </c>
      <c r="I523">
        <v>0</v>
      </c>
      <c r="J523">
        <v>1</v>
      </c>
      <c r="K523" t="s">
        <v>359</v>
      </c>
      <c r="L523" t="s">
        <v>359</v>
      </c>
      <c r="M523" t="s">
        <v>360</v>
      </c>
      <c r="N523">
        <v>1649384246.3399999</v>
      </c>
      <c r="O523">
        <v>0.20300000000000001</v>
      </c>
      <c r="P523">
        <v>0.40100000000000002</v>
      </c>
      <c r="Q523">
        <v>56.533000000000001</v>
      </c>
      <c r="R523">
        <v>0</v>
      </c>
      <c r="S523">
        <v>2E-3</v>
      </c>
      <c r="T523">
        <v>1.3620000000000001</v>
      </c>
      <c r="U523">
        <v>101.834</v>
      </c>
      <c r="V523">
        <v>20.872</v>
      </c>
      <c r="W523">
        <v>2.4239999999999999</v>
      </c>
      <c r="X523">
        <v>95.001000000000005</v>
      </c>
      <c r="Y523">
        <v>0.9</v>
      </c>
      <c r="Z523">
        <v>0.4</v>
      </c>
      <c r="AA523">
        <v>0</v>
      </c>
      <c r="AB523">
        <v>0</v>
      </c>
      <c r="AC523">
        <v>1</v>
      </c>
      <c r="AD523">
        <v>39.938000000000002</v>
      </c>
      <c r="AE523">
        <v>1</v>
      </c>
      <c r="AF523">
        <v>69</v>
      </c>
      <c r="AG523">
        <v>5</v>
      </c>
      <c r="AH523" t="s">
        <v>361</v>
      </c>
      <c r="AI523">
        <v>0</v>
      </c>
    </row>
    <row r="524" spans="1:35" x14ac:dyDescent="0.2">
      <c r="A524">
        <v>523</v>
      </c>
      <c r="B524" t="s">
        <v>1043</v>
      </c>
      <c r="C524" t="s">
        <v>1044</v>
      </c>
      <c r="D524" t="s">
        <v>430</v>
      </c>
      <c r="E524">
        <v>1</v>
      </c>
      <c r="F524">
        <v>-5.577</v>
      </c>
      <c r="G524">
        <v>-31.62</v>
      </c>
      <c r="H524">
        <v>17244</v>
      </c>
      <c r="I524">
        <v>-1</v>
      </c>
      <c r="J524">
        <v>1</v>
      </c>
      <c r="K524" t="s">
        <v>359</v>
      </c>
      <c r="L524" t="s">
        <v>359</v>
      </c>
      <c r="M524" t="s">
        <v>360</v>
      </c>
      <c r="N524">
        <v>1649384783.8</v>
      </c>
      <c r="O524">
        <v>0.20899999999999999</v>
      </c>
      <c r="P524">
        <v>0.443</v>
      </c>
      <c r="Q524">
        <v>56.235999999999997</v>
      </c>
      <c r="R524">
        <v>0</v>
      </c>
      <c r="S524">
        <v>-1E-3</v>
      </c>
      <c r="T524">
        <v>1.339</v>
      </c>
      <c r="U524">
        <v>101.902</v>
      </c>
      <c r="V524">
        <v>21.338000000000001</v>
      </c>
      <c r="W524">
        <v>2.4750000000000001</v>
      </c>
      <c r="X524">
        <v>95.486999999999995</v>
      </c>
      <c r="Y524">
        <v>0.91200000000000003</v>
      </c>
      <c r="Z524">
        <v>0.57299999999999995</v>
      </c>
      <c r="AA524">
        <v>0</v>
      </c>
      <c r="AB524">
        <v>0</v>
      </c>
      <c r="AC524">
        <v>1</v>
      </c>
      <c r="AD524">
        <v>39.875</v>
      </c>
      <c r="AE524">
        <v>1</v>
      </c>
      <c r="AF524">
        <v>70</v>
      </c>
      <c r="AG524">
        <v>5</v>
      </c>
      <c r="AH524" t="s">
        <v>361</v>
      </c>
      <c r="AI524">
        <v>0</v>
      </c>
    </row>
    <row r="525" spans="1:35" x14ac:dyDescent="0.2">
      <c r="A525">
        <v>524</v>
      </c>
      <c r="B525" t="s">
        <v>1043</v>
      </c>
      <c r="C525" t="s">
        <v>1045</v>
      </c>
      <c r="D525" t="s">
        <v>430</v>
      </c>
      <c r="E525">
        <v>2</v>
      </c>
      <c r="F525">
        <v>-5.383</v>
      </c>
      <c r="G525">
        <v>-30.105</v>
      </c>
      <c r="H525">
        <v>17297</v>
      </c>
      <c r="I525">
        <v>-1</v>
      </c>
      <c r="J525">
        <v>1</v>
      </c>
      <c r="K525" t="s">
        <v>359</v>
      </c>
      <c r="L525" t="s">
        <v>359</v>
      </c>
      <c r="M525" t="s">
        <v>360</v>
      </c>
      <c r="N525">
        <v>1649385320.8299999</v>
      </c>
      <c r="O525">
        <v>0.25</v>
      </c>
      <c r="P525">
        <v>0.505</v>
      </c>
      <c r="Q525">
        <v>69.813000000000002</v>
      </c>
      <c r="R525">
        <v>2E-3</v>
      </c>
      <c r="S525">
        <v>6.0000000000000001E-3</v>
      </c>
      <c r="T525">
        <v>1.6779999999999999</v>
      </c>
      <c r="U525">
        <v>102.467</v>
      </c>
      <c r="V525">
        <v>20.966000000000001</v>
      </c>
      <c r="W525">
        <v>2.44</v>
      </c>
      <c r="X525">
        <v>95.759</v>
      </c>
      <c r="Y525">
        <v>0.90900000000000003</v>
      </c>
      <c r="Z525">
        <v>0.39200000000000002</v>
      </c>
      <c r="AA525">
        <v>0</v>
      </c>
      <c r="AB525">
        <v>0</v>
      </c>
      <c r="AC525">
        <v>1</v>
      </c>
      <c r="AD525">
        <v>39.875</v>
      </c>
      <c r="AE525">
        <v>1</v>
      </c>
      <c r="AF525">
        <v>70</v>
      </c>
      <c r="AG525">
        <v>5</v>
      </c>
      <c r="AH525" t="s">
        <v>361</v>
      </c>
      <c r="AI525">
        <v>0</v>
      </c>
    </row>
    <row r="526" spans="1:35" x14ac:dyDescent="0.2">
      <c r="A526">
        <v>525</v>
      </c>
      <c r="B526" t="s">
        <v>1043</v>
      </c>
      <c r="C526" t="s">
        <v>1046</v>
      </c>
      <c r="D526" t="s">
        <v>430</v>
      </c>
      <c r="E526">
        <v>3</v>
      </c>
      <c r="F526">
        <v>-5.3609999999999998</v>
      </c>
      <c r="G526">
        <v>-29.285</v>
      </c>
      <c r="H526">
        <v>17241</v>
      </c>
      <c r="I526">
        <v>-1</v>
      </c>
      <c r="J526">
        <v>1</v>
      </c>
      <c r="K526" t="s">
        <v>359</v>
      </c>
      <c r="L526" t="s">
        <v>359</v>
      </c>
      <c r="M526" t="s">
        <v>360</v>
      </c>
      <c r="N526">
        <v>1649385858.5899999</v>
      </c>
      <c r="O526">
        <v>0.22</v>
      </c>
      <c r="P526">
        <v>0.4</v>
      </c>
      <c r="Q526">
        <v>58.054000000000002</v>
      </c>
      <c r="R526">
        <v>1E-3</v>
      </c>
      <c r="S526">
        <v>0</v>
      </c>
      <c r="T526">
        <v>1.401</v>
      </c>
      <c r="U526">
        <v>102.05200000000001</v>
      </c>
      <c r="V526">
        <v>21.242999999999999</v>
      </c>
      <c r="W526">
        <v>2.452</v>
      </c>
      <c r="X526">
        <v>94.676000000000002</v>
      </c>
      <c r="Y526">
        <v>0.90400000000000003</v>
      </c>
      <c r="Z526">
        <v>0.27600000000000002</v>
      </c>
      <c r="AA526">
        <v>0</v>
      </c>
      <c r="AB526">
        <v>0</v>
      </c>
      <c r="AC526">
        <v>1</v>
      </c>
      <c r="AD526">
        <v>39.875</v>
      </c>
      <c r="AE526">
        <v>1</v>
      </c>
      <c r="AF526">
        <v>70</v>
      </c>
      <c r="AG526">
        <v>5</v>
      </c>
      <c r="AH526" t="s">
        <v>361</v>
      </c>
      <c r="AI526">
        <v>0</v>
      </c>
    </row>
    <row r="527" spans="1:35" x14ac:dyDescent="0.2">
      <c r="A527">
        <v>526</v>
      </c>
      <c r="B527" t="s">
        <v>1043</v>
      </c>
      <c r="C527" t="s">
        <v>1047</v>
      </c>
      <c r="D527" t="s">
        <v>430</v>
      </c>
      <c r="E527">
        <v>4</v>
      </c>
      <c r="F527">
        <v>-5.4820000000000002</v>
      </c>
      <c r="G527">
        <v>-29.585000000000001</v>
      </c>
      <c r="H527">
        <v>17244</v>
      </c>
      <c r="I527">
        <v>0</v>
      </c>
      <c r="J527">
        <v>1</v>
      </c>
      <c r="K527" t="s">
        <v>359</v>
      </c>
      <c r="L527" t="s">
        <v>359</v>
      </c>
      <c r="M527" t="s">
        <v>360</v>
      </c>
      <c r="N527">
        <v>1649386395.7</v>
      </c>
      <c r="O527">
        <v>0.20599999999999999</v>
      </c>
      <c r="P527">
        <v>0.39100000000000001</v>
      </c>
      <c r="Q527">
        <v>59.81</v>
      </c>
      <c r="R527">
        <v>1E-3</v>
      </c>
      <c r="S527">
        <v>2E-3</v>
      </c>
      <c r="T527">
        <v>1.429</v>
      </c>
      <c r="U527">
        <v>102.145</v>
      </c>
      <c r="V527">
        <v>21.305</v>
      </c>
      <c r="W527">
        <v>2.4249999999999998</v>
      </c>
      <c r="X527">
        <v>93.992000000000004</v>
      </c>
      <c r="Y527">
        <v>0.91900000000000004</v>
      </c>
      <c r="Z527">
        <v>0.26200000000000001</v>
      </c>
      <c r="AA527">
        <v>0</v>
      </c>
      <c r="AB527">
        <v>0</v>
      </c>
      <c r="AC527">
        <v>1</v>
      </c>
      <c r="AD527">
        <v>39.875</v>
      </c>
      <c r="AE527">
        <v>1</v>
      </c>
      <c r="AF527">
        <v>70</v>
      </c>
      <c r="AG527">
        <v>5</v>
      </c>
      <c r="AH527" t="s">
        <v>361</v>
      </c>
      <c r="AI527">
        <v>0</v>
      </c>
    </row>
    <row r="528" spans="1:35" x14ac:dyDescent="0.2">
      <c r="A528">
        <v>527</v>
      </c>
      <c r="B528" t="s">
        <v>1043</v>
      </c>
      <c r="C528" t="s">
        <v>1048</v>
      </c>
      <c r="D528" t="s">
        <v>430</v>
      </c>
      <c r="E528">
        <v>5</v>
      </c>
      <c r="F528">
        <v>-5.4009999999999998</v>
      </c>
      <c r="G528">
        <v>-29.184000000000001</v>
      </c>
      <c r="H528">
        <v>17145</v>
      </c>
      <c r="I528">
        <v>0</v>
      </c>
      <c r="J528">
        <v>1</v>
      </c>
      <c r="K528" t="s">
        <v>359</v>
      </c>
      <c r="L528" t="s">
        <v>359</v>
      </c>
      <c r="M528" t="s">
        <v>360</v>
      </c>
      <c r="N528">
        <v>1649386932.8299999</v>
      </c>
      <c r="O528">
        <v>0.219</v>
      </c>
      <c r="P528">
        <v>0.41699999999999998</v>
      </c>
      <c r="Q528">
        <v>57.081000000000003</v>
      </c>
      <c r="R528">
        <v>1E-3</v>
      </c>
      <c r="S528">
        <v>2E-3</v>
      </c>
      <c r="T528">
        <v>1.377</v>
      </c>
      <c r="U528">
        <v>101.527</v>
      </c>
      <c r="V528">
        <v>21.035</v>
      </c>
      <c r="W528">
        <v>2.3980000000000001</v>
      </c>
      <c r="X528">
        <v>94.004999999999995</v>
      </c>
      <c r="Y528">
        <v>0.90900000000000003</v>
      </c>
      <c r="Z528">
        <v>0.184</v>
      </c>
      <c r="AA528">
        <v>0</v>
      </c>
      <c r="AB528">
        <v>0</v>
      </c>
      <c r="AC528">
        <v>1</v>
      </c>
      <c r="AD528">
        <v>39.875</v>
      </c>
      <c r="AE528">
        <v>1</v>
      </c>
      <c r="AF528">
        <v>70</v>
      </c>
      <c r="AG528">
        <v>5</v>
      </c>
      <c r="AH528" t="s">
        <v>361</v>
      </c>
      <c r="AI528">
        <v>0</v>
      </c>
    </row>
    <row r="529" spans="1:35" x14ac:dyDescent="0.2">
      <c r="A529">
        <v>528</v>
      </c>
      <c r="B529" t="s">
        <v>1043</v>
      </c>
      <c r="C529" t="s">
        <v>1049</v>
      </c>
      <c r="D529" t="s">
        <v>430</v>
      </c>
      <c r="E529">
        <v>6</v>
      </c>
      <c r="F529">
        <v>-5.4379999999999997</v>
      </c>
      <c r="G529">
        <v>-29.260999999999999</v>
      </c>
      <c r="H529">
        <v>17215</v>
      </c>
      <c r="I529">
        <v>0</v>
      </c>
      <c r="J529">
        <v>1</v>
      </c>
      <c r="K529" t="s">
        <v>359</v>
      </c>
      <c r="L529" t="s">
        <v>359</v>
      </c>
      <c r="M529" t="s">
        <v>360</v>
      </c>
      <c r="N529">
        <v>1649387469.6900001</v>
      </c>
      <c r="O529">
        <v>0.23100000000000001</v>
      </c>
      <c r="P529">
        <v>0.42899999999999999</v>
      </c>
      <c r="Q529">
        <v>57.534999999999997</v>
      </c>
      <c r="R529">
        <v>0</v>
      </c>
      <c r="S529">
        <v>1E-3</v>
      </c>
      <c r="T529">
        <v>1.369</v>
      </c>
      <c r="U529">
        <v>101.98</v>
      </c>
      <c r="V529">
        <v>21.207999999999998</v>
      </c>
      <c r="W529">
        <v>2.4300000000000002</v>
      </c>
      <c r="X529">
        <v>93.757999999999996</v>
      </c>
      <c r="Y529">
        <v>0.91600000000000004</v>
      </c>
      <c r="Z529">
        <v>0.17799999999999999</v>
      </c>
      <c r="AA529">
        <v>0</v>
      </c>
      <c r="AB529">
        <v>0</v>
      </c>
      <c r="AC529">
        <v>1</v>
      </c>
      <c r="AD529">
        <v>39.875</v>
      </c>
      <c r="AE529">
        <v>1</v>
      </c>
      <c r="AF529">
        <v>70</v>
      </c>
      <c r="AG529">
        <v>5</v>
      </c>
      <c r="AH529" t="s">
        <v>361</v>
      </c>
      <c r="AI529">
        <v>0</v>
      </c>
    </row>
    <row r="530" spans="1:35" x14ac:dyDescent="0.2">
      <c r="A530">
        <v>529</v>
      </c>
      <c r="B530" t="s">
        <v>1043</v>
      </c>
      <c r="C530" t="s">
        <v>1050</v>
      </c>
      <c r="D530" t="s">
        <v>430</v>
      </c>
      <c r="E530">
        <v>7</v>
      </c>
      <c r="F530">
        <v>-5.423</v>
      </c>
      <c r="G530">
        <v>-29.004999999999999</v>
      </c>
      <c r="H530">
        <v>17105</v>
      </c>
      <c r="I530">
        <v>0</v>
      </c>
      <c r="J530">
        <v>1</v>
      </c>
      <c r="K530" t="s">
        <v>359</v>
      </c>
      <c r="L530" t="s">
        <v>359</v>
      </c>
      <c r="M530" t="s">
        <v>360</v>
      </c>
      <c r="N530">
        <v>1649388007.8199999</v>
      </c>
      <c r="O530">
        <v>0.20599999999999999</v>
      </c>
      <c r="P530">
        <v>0.41699999999999998</v>
      </c>
      <c r="Q530">
        <v>58.191000000000003</v>
      </c>
      <c r="R530">
        <v>0</v>
      </c>
      <c r="S530">
        <v>1E-3</v>
      </c>
      <c r="T530">
        <v>1.397</v>
      </c>
      <c r="U530">
        <v>101.133</v>
      </c>
      <c r="V530">
        <v>21.315000000000001</v>
      </c>
      <c r="W530">
        <v>2.4209999999999998</v>
      </c>
      <c r="X530">
        <v>93.671999999999997</v>
      </c>
      <c r="Y530">
        <v>0.91400000000000003</v>
      </c>
      <c r="Z530">
        <v>0.25600000000000001</v>
      </c>
      <c r="AA530">
        <v>0</v>
      </c>
      <c r="AB530">
        <v>0</v>
      </c>
      <c r="AC530">
        <v>1</v>
      </c>
      <c r="AD530">
        <v>39.938000000000002</v>
      </c>
      <c r="AE530">
        <v>1</v>
      </c>
      <c r="AF530">
        <v>70</v>
      </c>
      <c r="AG530">
        <v>5</v>
      </c>
      <c r="AH530" t="s">
        <v>361</v>
      </c>
      <c r="AI530">
        <v>0</v>
      </c>
    </row>
    <row r="531" spans="1:35" x14ac:dyDescent="0.2">
      <c r="A531">
        <v>530</v>
      </c>
      <c r="B531" t="s">
        <v>1043</v>
      </c>
      <c r="C531" t="s">
        <v>1051</v>
      </c>
      <c r="D531" t="s">
        <v>430</v>
      </c>
      <c r="E531">
        <v>8</v>
      </c>
      <c r="F531">
        <v>-5.46</v>
      </c>
      <c r="G531">
        <v>-29.323</v>
      </c>
      <c r="H531">
        <v>17193</v>
      </c>
      <c r="I531">
        <v>0</v>
      </c>
      <c r="J531">
        <v>1</v>
      </c>
      <c r="K531" t="s">
        <v>359</v>
      </c>
      <c r="L531" t="s">
        <v>359</v>
      </c>
      <c r="M531" t="s">
        <v>360</v>
      </c>
      <c r="N531">
        <v>1649388544.45</v>
      </c>
      <c r="O531">
        <v>0.2</v>
      </c>
      <c r="P531">
        <v>0.432</v>
      </c>
      <c r="Q531">
        <v>59.366</v>
      </c>
      <c r="R531">
        <v>1E-3</v>
      </c>
      <c r="S531">
        <v>2E-3</v>
      </c>
      <c r="T531">
        <v>1.427</v>
      </c>
      <c r="U531">
        <v>101.93600000000001</v>
      </c>
      <c r="V531">
        <v>20.74</v>
      </c>
      <c r="W531">
        <v>2.4180000000000001</v>
      </c>
      <c r="X531">
        <v>94.796000000000006</v>
      </c>
      <c r="Y531">
        <v>0.92</v>
      </c>
      <c r="Z531">
        <v>0.34399999999999997</v>
      </c>
      <c r="AA531">
        <v>0</v>
      </c>
      <c r="AB531">
        <v>0</v>
      </c>
      <c r="AC531">
        <v>1</v>
      </c>
      <c r="AD531">
        <v>39.938000000000002</v>
      </c>
      <c r="AE531">
        <v>1</v>
      </c>
      <c r="AF531">
        <v>70</v>
      </c>
      <c r="AG531">
        <v>5</v>
      </c>
      <c r="AH531" t="s">
        <v>361</v>
      </c>
      <c r="AI531">
        <v>0</v>
      </c>
    </row>
    <row r="532" spans="1:35" x14ac:dyDescent="0.2">
      <c r="A532">
        <v>531</v>
      </c>
      <c r="B532" t="s">
        <v>1043</v>
      </c>
      <c r="C532" t="s">
        <v>1052</v>
      </c>
      <c r="D532" t="s">
        <v>430</v>
      </c>
      <c r="E532">
        <v>9</v>
      </c>
      <c r="F532">
        <v>-5.3940000000000001</v>
      </c>
      <c r="G532">
        <v>-29.218</v>
      </c>
      <c r="H532">
        <v>17186</v>
      </c>
      <c r="I532">
        <v>0</v>
      </c>
      <c r="J532">
        <v>1</v>
      </c>
      <c r="K532" t="s">
        <v>359</v>
      </c>
      <c r="L532" t="s">
        <v>359</v>
      </c>
      <c r="M532" t="s">
        <v>360</v>
      </c>
      <c r="N532">
        <v>1649389082.26</v>
      </c>
      <c r="O532">
        <v>0.19600000000000001</v>
      </c>
      <c r="P532">
        <v>0.39900000000000002</v>
      </c>
      <c r="Q532">
        <v>55.738</v>
      </c>
      <c r="R532">
        <v>1E-3</v>
      </c>
      <c r="S532">
        <v>2E-3</v>
      </c>
      <c r="T532">
        <v>1.3340000000000001</v>
      </c>
      <c r="U532">
        <v>101.708</v>
      </c>
      <c r="V532">
        <v>21.138000000000002</v>
      </c>
      <c r="W532">
        <v>2.411</v>
      </c>
      <c r="X532">
        <v>94.492999999999995</v>
      </c>
      <c r="Y532">
        <v>0.91600000000000004</v>
      </c>
      <c r="Z532">
        <v>0.307</v>
      </c>
      <c r="AA532">
        <v>0</v>
      </c>
      <c r="AB532">
        <v>0</v>
      </c>
      <c r="AC532">
        <v>1</v>
      </c>
      <c r="AD532">
        <v>39.938000000000002</v>
      </c>
      <c r="AE532">
        <v>1</v>
      </c>
      <c r="AF532">
        <v>70</v>
      </c>
      <c r="AG532">
        <v>5</v>
      </c>
      <c r="AH532" t="s">
        <v>361</v>
      </c>
      <c r="AI532">
        <v>0</v>
      </c>
    </row>
    <row r="533" spans="1:35" x14ac:dyDescent="0.2">
      <c r="A533">
        <v>532</v>
      </c>
      <c r="B533" t="s">
        <v>1043</v>
      </c>
      <c r="C533" t="s">
        <v>1053</v>
      </c>
      <c r="D533" t="s">
        <v>430</v>
      </c>
      <c r="E533">
        <v>10</v>
      </c>
      <c r="F533">
        <v>-5.4029999999999996</v>
      </c>
      <c r="G533">
        <v>-29.062000000000001</v>
      </c>
      <c r="H533">
        <v>17203</v>
      </c>
      <c r="I533">
        <v>0</v>
      </c>
      <c r="J533">
        <v>1</v>
      </c>
      <c r="K533" t="s">
        <v>359</v>
      </c>
      <c r="L533" t="s">
        <v>359</v>
      </c>
      <c r="M533" t="s">
        <v>360</v>
      </c>
      <c r="N533">
        <v>1649389620.3599999</v>
      </c>
      <c r="O533">
        <v>0.2</v>
      </c>
      <c r="P533">
        <v>0.376</v>
      </c>
      <c r="Q533">
        <v>56.713999999999999</v>
      </c>
      <c r="R533">
        <v>0</v>
      </c>
      <c r="S533">
        <v>2E-3</v>
      </c>
      <c r="T533">
        <v>1.363</v>
      </c>
      <c r="U533">
        <v>101.584</v>
      </c>
      <c r="V533">
        <v>21.524999999999999</v>
      </c>
      <c r="W533">
        <v>2.4860000000000002</v>
      </c>
      <c r="X533">
        <v>94.754999999999995</v>
      </c>
      <c r="Y533">
        <v>0.90100000000000002</v>
      </c>
      <c r="Z533">
        <v>0.45600000000000002</v>
      </c>
      <c r="AA533">
        <v>0</v>
      </c>
      <c r="AB533">
        <v>0</v>
      </c>
      <c r="AC533">
        <v>1</v>
      </c>
      <c r="AD533">
        <v>39.875</v>
      </c>
      <c r="AE533">
        <v>1</v>
      </c>
      <c r="AF533">
        <v>70</v>
      </c>
      <c r="AG533">
        <v>5</v>
      </c>
      <c r="AH533" t="s">
        <v>361</v>
      </c>
      <c r="AI533">
        <v>0</v>
      </c>
    </row>
    <row r="534" spans="1:35" x14ac:dyDescent="0.2">
      <c r="A534">
        <v>533</v>
      </c>
      <c r="B534" t="s">
        <v>1043</v>
      </c>
      <c r="C534" t="s">
        <v>1054</v>
      </c>
      <c r="D534" t="s">
        <v>430</v>
      </c>
      <c r="E534">
        <v>11</v>
      </c>
      <c r="F534">
        <v>-5.3979999999999997</v>
      </c>
      <c r="G534">
        <v>-28.981000000000002</v>
      </c>
      <c r="H534">
        <v>17166</v>
      </c>
      <c r="I534">
        <v>0</v>
      </c>
      <c r="J534">
        <v>1</v>
      </c>
      <c r="K534" t="s">
        <v>359</v>
      </c>
      <c r="L534" t="s">
        <v>359</v>
      </c>
      <c r="M534" t="s">
        <v>360</v>
      </c>
      <c r="N534">
        <v>1649390156.45</v>
      </c>
      <c r="O534">
        <v>0.186</v>
      </c>
      <c r="P534">
        <v>0.41599999999999998</v>
      </c>
      <c r="Q534">
        <v>56.106000000000002</v>
      </c>
      <c r="R534">
        <v>1E-3</v>
      </c>
      <c r="S534">
        <v>1E-3</v>
      </c>
      <c r="T534">
        <v>1.3460000000000001</v>
      </c>
      <c r="U534">
        <v>101.39700000000001</v>
      </c>
      <c r="V534">
        <v>20.939</v>
      </c>
      <c r="W534">
        <v>2.4860000000000002</v>
      </c>
      <c r="X534">
        <v>96.018000000000001</v>
      </c>
      <c r="Y534">
        <v>0.91600000000000004</v>
      </c>
      <c r="Z534">
        <v>0.58899999999999997</v>
      </c>
      <c r="AA534">
        <v>0</v>
      </c>
      <c r="AB534">
        <v>0</v>
      </c>
      <c r="AC534">
        <v>1</v>
      </c>
      <c r="AD534">
        <v>39.875</v>
      </c>
      <c r="AE534">
        <v>1</v>
      </c>
      <c r="AF534">
        <v>70</v>
      </c>
      <c r="AG534">
        <v>5</v>
      </c>
      <c r="AH534" t="s">
        <v>361</v>
      </c>
      <c r="AI534">
        <v>0</v>
      </c>
    </row>
    <row r="535" spans="1:35" x14ac:dyDescent="0.2">
      <c r="A535">
        <v>534</v>
      </c>
      <c r="B535" t="s">
        <v>1043</v>
      </c>
      <c r="C535" t="s">
        <v>1055</v>
      </c>
      <c r="D535" t="s">
        <v>430</v>
      </c>
      <c r="E535">
        <v>12</v>
      </c>
      <c r="F535">
        <v>-5.4260000000000002</v>
      </c>
      <c r="G535">
        <v>-28.887</v>
      </c>
      <c r="H535">
        <v>17099</v>
      </c>
      <c r="I535">
        <v>0</v>
      </c>
      <c r="J535">
        <v>1</v>
      </c>
      <c r="K535" t="s">
        <v>359</v>
      </c>
      <c r="L535" t="s">
        <v>359</v>
      </c>
      <c r="M535" t="s">
        <v>360</v>
      </c>
      <c r="N535">
        <v>1649390693.8900001</v>
      </c>
      <c r="O535">
        <v>0.20300000000000001</v>
      </c>
      <c r="P535">
        <v>0.42399999999999999</v>
      </c>
      <c r="Q535">
        <v>57.795999999999999</v>
      </c>
      <c r="R535">
        <v>0</v>
      </c>
      <c r="S535">
        <v>-1E-3</v>
      </c>
      <c r="T535">
        <v>1.387</v>
      </c>
      <c r="U535">
        <v>101.158</v>
      </c>
      <c r="V535">
        <v>21.119</v>
      </c>
      <c r="W535">
        <v>2.41</v>
      </c>
      <c r="X535">
        <v>93.673000000000002</v>
      </c>
      <c r="Y535">
        <v>0.90900000000000003</v>
      </c>
      <c r="Z535">
        <v>0.32100000000000001</v>
      </c>
      <c r="AA535">
        <v>0</v>
      </c>
      <c r="AB535">
        <v>0</v>
      </c>
      <c r="AC535">
        <v>1</v>
      </c>
      <c r="AD535">
        <v>39.875</v>
      </c>
      <c r="AE535">
        <v>1</v>
      </c>
      <c r="AF535">
        <v>70</v>
      </c>
      <c r="AG535">
        <v>5</v>
      </c>
      <c r="AH535" t="s">
        <v>361</v>
      </c>
      <c r="AI535">
        <v>0</v>
      </c>
    </row>
    <row r="536" spans="1:35" x14ac:dyDescent="0.2">
      <c r="A536">
        <v>535</v>
      </c>
      <c r="B536" t="s">
        <v>1043</v>
      </c>
      <c r="C536" t="s">
        <v>1056</v>
      </c>
      <c r="D536" t="s">
        <v>430</v>
      </c>
      <c r="E536">
        <v>13</v>
      </c>
      <c r="F536">
        <v>-5.3719999999999999</v>
      </c>
      <c r="G536">
        <v>-28.905000000000001</v>
      </c>
      <c r="H536">
        <v>17200</v>
      </c>
      <c r="I536">
        <v>0</v>
      </c>
      <c r="J536">
        <v>1</v>
      </c>
      <c r="K536" t="s">
        <v>359</v>
      </c>
      <c r="L536" t="s">
        <v>359</v>
      </c>
      <c r="M536" t="s">
        <v>360</v>
      </c>
      <c r="N536">
        <v>1649391230.3900001</v>
      </c>
      <c r="O536">
        <v>0.186</v>
      </c>
      <c r="P536">
        <v>0.40400000000000003</v>
      </c>
      <c r="Q536">
        <v>55.207000000000001</v>
      </c>
      <c r="R536">
        <v>1E-3</v>
      </c>
      <c r="S536">
        <v>-1E-3</v>
      </c>
      <c r="T536">
        <v>1.3220000000000001</v>
      </c>
      <c r="U536">
        <v>101.827</v>
      </c>
      <c r="V536">
        <v>21.055</v>
      </c>
      <c r="W536">
        <v>2.4609999999999999</v>
      </c>
      <c r="X536">
        <v>94.522999999999996</v>
      </c>
      <c r="Y536">
        <v>0.91</v>
      </c>
      <c r="Z536">
        <v>0.33200000000000002</v>
      </c>
      <c r="AA536">
        <v>0</v>
      </c>
      <c r="AB536">
        <v>0</v>
      </c>
      <c r="AC536">
        <v>1</v>
      </c>
      <c r="AD536">
        <v>39.875</v>
      </c>
      <c r="AE536">
        <v>1</v>
      </c>
      <c r="AF536">
        <v>70</v>
      </c>
      <c r="AG536">
        <v>5</v>
      </c>
      <c r="AH536" t="s">
        <v>361</v>
      </c>
      <c r="AI536">
        <v>0</v>
      </c>
    </row>
    <row r="537" spans="1:35" x14ac:dyDescent="0.2">
      <c r="A537">
        <v>536</v>
      </c>
      <c r="B537" t="s">
        <v>1043</v>
      </c>
      <c r="C537" t="s">
        <v>1057</v>
      </c>
      <c r="D537" t="s">
        <v>430</v>
      </c>
      <c r="E537">
        <v>14</v>
      </c>
      <c r="F537">
        <v>-5.4139999999999997</v>
      </c>
      <c r="G537">
        <v>-29.189</v>
      </c>
      <c r="H537">
        <v>17178</v>
      </c>
      <c r="I537">
        <v>0</v>
      </c>
      <c r="J537">
        <v>1</v>
      </c>
      <c r="K537" t="s">
        <v>359</v>
      </c>
      <c r="L537" t="s">
        <v>359</v>
      </c>
      <c r="M537" t="s">
        <v>360</v>
      </c>
      <c r="N537">
        <v>1649391768.29</v>
      </c>
      <c r="O537">
        <v>0.20499999999999999</v>
      </c>
      <c r="P537">
        <v>0.41099999999999998</v>
      </c>
      <c r="Q537">
        <v>56.359000000000002</v>
      </c>
      <c r="R537">
        <v>1E-3</v>
      </c>
      <c r="S537">
        <v>0</v>
      </c>
      <c r="T537">
        <v>1.3460000000000001</v>
      </c>
      <c r="U537">
        <v>101.53400000000001</v>
      </c>
      <c r="V537">
        <v>21.146000000000001</v>
      </c>
      <c r="W537">
        <v>2.4569999999999999</v>
      </c>
      <c r="X537">
        <v>94.963999999999999</v>
      </c>
      <c r="Y537">
        <v>0.90600000000000003</v>
      </c>
      <c r="Z537">
        <v>0.45200000000000001</v>
      </c>
      <c r="AA537">
        <v>0</v>
      </c>
      <c r="AB537">
        <v>0</v>
      </c>
      <c r="AC537">
        <v>1</v>
      </c>
      <c r="AD537">
        <v>39.938000000000002</v>
      </c>
      <c r="AE537">
        <v>1</v>
      </c>
      <c r="AF537">
        <v>70</v>
      </c>
      <c r="AG537">
        <v>5</v>
      </c>
      <c r="AH537" t="s">
        <v>361</v>
      </c>
      <c r="AI537">
        <v>0</v>
      </c>
    </row>
    <row r="538" spans="1:35" x14ac:dyDescent="0.2">
      <c r="A538">
        <v>537</v>
      </c>
      <c r="B538" t="s">
        <v>1043</v>
      </c>
      <c r="C538" t="s">
        <v>1058</v>
      </c>
      <c r="D538" t="s">
        <v>430</v>
      </c>
      <c r="E538">
        <v>15</v>
      </c>
      <c r="F538">
        <v>-5.4619999999999997</v>
      </c>
      <c r="G538">
        <v>-29.056999999999999</v>
      </c>
      <c r="H538">
        <v>17166</v>
      </c>
      <c r="I538">
        <v>0</v>
      </c>
      <c r="J538">
        <v>1</v>
      </c>
      <c r="K538" t="s">
        <v>359</v>
      </c>
      <c r="L538" t="s">
        <v>359</v>
      </c>
      <c r="M538" t="s">
        <v>360</v>
      </c>
      <c r="N538">
        <v>1649392304.6099999</v>
      </c>
      <c r="O538">
        <v>0.215</v>
      </c>
      <c r="P538">
        <v>0.41699999999999998</v>
      </c>
      <c r="Q538">
        <v>56.381</v>
      </c>
      <c r="R538">
        <v>1E-3</v>
      </c>
      <c r="S538">
        <v>-1E-3</v>
      </c>
      <c r="T538">
        <v>1.349</v>
      </c>
      <c r="U538">
        <v>101.70099999999999</v>
      </c>
      <c r="V538">
        <v>21.001000000000001</v>
      </c>
      <c r="W538">
        <v>2.4089999999999998</v>
      </c>
      <c r="X538">
        <v>94.203000000000003</v>
      </c>
      <c r="Y538">
        <v>0.91900000000000004</v>
      </c>
      <c r="Z538">
        <v>0.24299999999999999</v>
      </c>
      <c r="AA538">
        <v>0</v>
      </c>
      <c r="AB538">
        <v>0</v>
      </c>
      <c r="AC538">
        <v>1</v>
      </c>
      <c r="AD538">
        <v>39.875</v>
      </c>
      <c r="AE538">
        <v>1</v>
      </c>
      <c r="AF538">
        <v>70</v>
      </c>
      <c r="AG538">
        <v>5</v>
      </c>
      <c r="AH538" t="s">
        <v>361</v>
      </c>
      <c r="AI538">
        <v>0</v>
      </c>
    </row>
    <row r="539" spans="1:35" x14ac:dyDescent="0.2">
      <c r="A539">
        <v>538</v>
      </c>
      <c r="B539" t="s">
        <v>1059</v>
      </c>
      <c r="C539" t="s">
        <v>1060</v>
      </c>
      <c r="D539" t="s">
        <v>431</v>
      </c>
      <c r="E539">
        <v>1</v>
      </c>
      <c r="F539">
        <v>-3.8719999999999999</v>
      </c>
      <c r="G539">
        <v>-18.495999999999999</v>
      </c>
      <c r="H539">
        <v>17255</v>
      </c>
      <c r="I539">
        <v>-1</v>
      </c>
      <c r="J539">
        <v>1</v>
      </c>
      <c r="K539" t="s">
        <v>359</v>
      </c>
      <c r="L539" t="s">
        <v>359</v>
      </c>
      <c r="M539" t="s">
        <v>360</v>
      </c>
      <c r="N539">
        <v>1649392842.29</v>
      </c>
      <c r="O539">
        <v>0.21199999999999999</v>
      </c>
      <c r="P539">
        <v>0.39800000000000002</v>
      </c>
      <c r="Q539">
        <v>55.500999999999998</v>
      </c>
      <c r="R539">
        <v>1E-3</v>
      </c>
      <c r="S539">
        <v>0</v>
      </c>
      <c r="T539">
        <v>1.34</v>
      </c>
      <c r="U539">
        <v>102</v>
      </c>
      <c r="V539">
        <v>20.759</v>
      </c>
      <c r="W539">
        <v>2.5430000000000001</v>
      </c>
      <c r="X539">
        <v>96.903000000000006</v>
      </c>
      <c r="Y539">
        <v>0.92</v>
      </c>
      <c r="Z539">
        <v>0.72099999999999997</v>
      </c>
      <c r="AA539">
        <v>0</v>
      </c>
      <c r="AB539">
        <v>0</v>
      </c>
      <c r="AC539">
        <v>1</v>
      </c>
      <c r="AD539">
        <v>40</v>
      </c>
      <c r="AE539">
        <v>1</v>
      </c>
      <c r="AF539">
        <v>71</v>
      </c>
      <c r="AG539">
        <v>6</v>
      </c>
      <c r="AH539" t="s">
        <v>361</v>
      </c>
      <c r="AI539">
        <v>0</v>
      </c>
    </row>
    <row r="540" spans="1:35" x14ac:dyDescent="0.2">
      <c r="A540">
        <v>539</v>
      </c>
      <c r="B540" t="s">
        <v>1059</v>
      </c>
      <c r="C540" t="s">
        <v>1061</v>
      </c>
      <c r="D540" t="s">
        <v>431</v>
      </c>
      <c r="E540">
        <v>2</v>
      </c>
      <c r="F540">
        <v>-3.8380000000000001</v>
      </c>
      <c r="G540">
        <v>-18.228000000000002</v>
      </c>
      <c r="H540">
        <v>17180</v>
      </c>
      <c r="I540">
        <v>-1</v>
      </c>
      <c r="J540">
        <v>1</v>
      </c>
      <c r="K540" t="s">
        <v>359</v>
      </c>
      <c r="L540" t="s">
        <v>359</v>
      </c>
      <c r="M540" t="s">
        <v>360</v>
      </c>
      <c r="N540">
        <v>1649393379.1800001</v>
      </c>
      <c r="O540">
        <v>0.20499999999999999</v>
      </c>
      <c r="P540">
        <v>0.39400000000000002</v>
      </c>
      <c r="Q540">
        <v>65.688999999999993</v>
      </c>
      <c r="R540">
        <v>2E-3</v>
      </c>
      <c r="S540">
        <v>4.0000000000000001E-3</v>
      </c>
      <c r="T540">
        <v>1.585</v>
      </c>
      <c r="U540">
        <v>101.824</v>
      </c>
      <c r="V540">
        <v>20.774999999999999</v>
      </c>
      <c r="W540">
        <v>2.3980000000000001</v>
      </c>
      <c r="X540">
        <v>94.650999999999996</v>
      </c>
      <c r="Y540">
        <v>0.92200000000000004</v>
      </c>
      <c r="Z540">
        <v>0.27800000000000002</v>
      </c>
      <c r="AA540">
        <v>0</v>
      </c>
      <c r="AB540">
        <v>0</v>
      </c>
      <c r="AC540">
        <v>1</v>
      </c>
      <c r="AD540">
        <v>39.938000000000002</v>
      </c>
      <c r="AE540">
        <v>1</v>
      </c>
      <c r="AF540">
        <v>71</v>
      </c>
      <c r="AG540">
        <v>6</v>
      </c>
      <c r="AH540" t="s">
        <v>361</v>
      </c>
      <c r="AI540">
        <v>0</v>
      </c>
    </row>
    <row r="541" spans="1:35" x14ac:dyDescent="0.2">
      <c r="A541">
        <v>540</v>
      </c>
      <c r="B541" t="s">
        <v>1059</v>
      </c>
      <c r="C541" t="s">
        <v>1062</v>
      </c>
      <c r="D541" t="s">
        <v>431</v>
      </c>
      <c r="E541">
        <v>3</v>
      </c>
      <c r="F541">
        <v>-3.7349999999999999</v>
      </c>
      <c r="G541">
        <v>-17.599</v>
      </c>
      <c r="H541">
        <v>17199</v>
      </c>
      <c r="I541">
        <v>-1</v>
      </c>
      <c r="J541">
        <v>1</v>
      </c>
      <c r="K541" t="s">
        <v>359</v>
      </c>
      <c r="L541" t="s">
        <v>359</v>
      </c>
      <c r="M541" t="s">
        <v>360</v>
      </c>
      <c r="N541">
        <v>1649393937.3900001</v>
      </c>
      <c r="O541">
        <v>0.21199999999999999</v>
      </c>
      <c r="P541">
        <v>1.161</v>
      </c>
      <c r="Q541">
        <v>40.508000000000003</v>
      </c>
      <c r="R541">
        <v>0</v>
      </c>
      <c r="S541">
        <v>5.0000000000000001E-3</v>
      </c>
      <c r="T541">
        <v>1.3420000000000001</v>
      </c>
      <c r="U541">
        <v>101.72799999999999</v>
      </c>
      <c r="V541">
        <v>20.728999999999999</v>
      </c>
      <c r="W541">
        <v>2.5139999999999998</v>
      </c>
      <c r="X541">
        <v>96.242000000000004</v>
      </c>
      <c r="Y541">
        <v>1.3069999999999999</v>
      </c>
      <c r="Z541">
        <v>0.5</v>
      </c>
      <c r="AA541">
        <v>0</v>
      </c>
      <c r="AB541">
        <v>0</v>
      </c>
      <c r="AC541">
        <v>1</v>
      </c>
      <c r="AD541">
        <v>40</v>
      </c>
      <c r="AE541">
        <v>1</v>
      </c>
      <c r="AF541">
        <v>71</v>
      </c>
      <c r="AG541">
        <v>6</v>
      </c>
      <c r="AH541" t="s">
        <v>361</v>
      </c>
      <c r="AI541">
        <v>0</v>
      </c>
    </row>
    <row r="542" spans="1:35" x14ac:dyDescent="0.2">
      <c r="A542">
        <v>541</v>
      </c>
      <c r="B542" t="s">
        <v>1059</v>
      </c>
      <c r="C542" t="s">
        <v>1063</v>
      </c>
      <c r="D542" t="s">
        <v>431</v>
      </c>
      <c r="E542">
        <v>4</v>
      </c>
      <c r="F542">
        <v>-3.7810000000000001</v>
      </c>
      <c r="G542">
        <v>-17.321999999999999</v>
      </c>
      <c r="H542">
        <v>17160</v>
      </c>
      <c r="I542">
        <v>0</v>
      </c>
      <c r="J542">
        <v>1</v>
      </c>
      <c r="K542" t="s">
        <v>359</v>
      </c>
      <c r="L542" t="s">
        <v>359</v>
      </c>
      <c r="M542" t="s">
        <v>360</v>
      </c>
      <c r="N542">
        <v>1649394453.52</v>
      </c>
      <c r="O542">
        <v>0.219</v>
      </c>
      <c r="P542">
        <v>0.375</v>
      </c>
      <c r="Q542">
        <v>58.005000000000003</v>
      </c>
      <c r="R542">
        <v>0</v>
      </c>
      <c r="S542">
        <v>1E-3</v>
      </c>
      <c r="T542">
        <v>1.385</v>
      </c>
      <c r="U542">
        <v>101.71</v>
      </c>
      <c r="V542">
        <v>20.733000000000001</v>
      </c>
      <c r="W542">
        <v>2.4319999999999999</v>
      </c>
      <c r="X542">
        <v>94.450999999999993</v>
      </c>
      <c r="Y542">
        <v>0.92100000000000004</v>
      </c>
      <c r="Z542">
        <v>0.221</v>
      </c>
      <c r="AA542">
        <v>0</v>
      </c>
      <c r="AB542">
        <v>0</v>
      </c>
      <c r="AC542">
        <v>1</v>
      </c>
      <c r="AD542">
        <v>39.875</v>
      </c>
      <c r="AE542">
        <v>1</v>
      </c>
      <c r="AF542">
        <v>71</v>
      </c>
      <c r="AG542">
        <v>6</v>
      </c>
      <c r="AH542" t="s">
        <v>361</v>
      </c>
      <c r="AI542">
        <v>0</v>
      </c>
    </row>
    <row r="543" spans="1:35" x14ac:dyDescent="0.2">
      <c r="A543">
        <v>542</v>
      </c>
      <c r="B543" t="s">
        <v>1059</v>
      </c>
      <c r="C543" t="s">
        <v>1064</v>
      </c>
      <c r="D543" t="s">
        <v>431</v>
      </c>
      <c r="E543">
        <v>5</v>
      </c>
      <c r="F543">
        <v>-3.774</v>
      </c>
      <c r="G543">
        <v>-17.332999999999998</v>
      </c>
      <c r="H543">
        <v>17119</v>
      </c>
      <c r="I543">
        <v>0</v>
      </c>
      <c r="J543">
        <v>1</v>
      </c>
      <c r="K543" t="s">
        <v>359</v>
      </c>
      <c r="L543" t="s">
        <v>359</v>
      </c>
      <c r="M543" t="s">
        <v>360</v>
      </c>
      <c r="N543">
        <v>1649394991.4300001</v>
      </c>
      <c r="O543">
        <v>0.214</v>
      </c>
      <c r="P543">
        <v>0.432</v>
      </c>
      <c r="Q543">
        <v>57.457000000000001</v>
      </c>
      <c r="R543">
        <v>1E-3</v>
      </c>
      <c r="S543">
        <v>-1E-3</v>
      </c>
      <c r="T543">
        <v>1.3759999999999999</v>
      </c>
      <c r="U543">
        <v>101.32599999999999</v>
      </c>
      <c r="V543">
        <v>20.965</v>
      </c>
      <c r="W543">
        <v>2.4369999999999998</v>
      </c>
      <c r="X543">
        <v>94.251999999999995</v>
      </c>
      <c r="Y543">
        <v>0.91100000000000003</v>
      </c>
      <c r="Z543">
        <v>0.29299999999999998</v>
      </c>
      <c r="AA543">
        <v>0</v>
      </c>
      <c r="AB543">
        <v>0</v>
      </c>
      <c r="AC543">
        <v>1</v>
      </c>
      <c r="AD543">
        <v>40</v>
      </c>
      <c r="AE543">
        <v>1</v>
      </c>
      <c r="AF543">
        <v>71</v>
      </c>
      <c r="AG543">
        <v>6</v>
      </c>
      <c r="AH543" t="s">
        <v>361</v>
      </c>
      <c r="AI543">
        <v>0</v>
      </c>
    </row>
    <row r="544" spans="1:35" x14ac:dyDescent="0.2">
      <c r="A544">
        <v>543</v>
      </c>
      <c r="B544" t="s">
        <v>1059</v>
      </c>
      <c r="C544" t="s">
        <v>1065</v>
      </c>
      <c r="D544" t="s">
        <v>431</v>
      </c>
      <c r="E544">
        <v>6</v>
      </c>
      <c r="F544">
        <v>-3.7879999999999998</v>
      </c>
      <c r="G544">
        <v>-17.545999999999999</v>
      </c>
      <c r="H544">
        <v>17146</v>
      </c>
      <c r="I544">
        <v>0</v>
      </c>
      <c r="J544">
        <v>1</v>
      </c>
      <c r="K544" t="s">
        <v>359</v>
      </c>
      <c r="L544" t="s">
        <v>359</v>
      </c>
      <c r="M544" t="s">
        <v>360</v>
      </c>
      <c r="N544">
        <v>1649395528.6500001</v>
      </c>
      <c r="O544">
        <v>0.19600000000000001</v>
      </c>
      <c r="P544">
        <v>0.41899999999999998</v>
      </c>
      <c r="Q544">
        <v>56.564999999999998</v>
      </c>
      <c r="R544">
        <v>1E-3</v>
      </c>
      <c r="S544">
        <v>1E-3</v>
      </c>
      <c r="T544">
        <v>1.3480000000000001</v>
      </c>
      <c r="U544">
        <v>101.53400000000001</v>
      </c>
      <c r="V544">
        <v>21.317</v>
      </c>
      <c r="W544">
        <v>2.4079999999999999</v>
      </c>
      <c r="X544">
        <v>93.152000000000001</v>
      </c>
      <c r="Y544">
        <v>0.91600000000000004</v>
      </c>
      <c r="Z544">
        <v>0.128</v>
      </c>
      <c r="AA544">
        <v>0</v>
      </c>
      <c r="AB544">
        <v>0</v>
      </c>
      <c r="AC544">
        <v>1</v>
      </c>
      <c r="AD544">
        <v>39.938000000000002</v>
      </c>
      <c r="AE544">
        <v>1</v>
      </c>
      <c r="AF544">
        <v>71</v>
      </c>
      <c r="AG544">
        <v>6</v>
      </c>
      <c r="AH544" t="s">
        <v>361</v>
      </c>
      <c r="AI544">
        <v>0</v>
      </c>
    </row>
    <row r="545" spans="1:35" x14ac:dyDescent="0.2">
      <c r="A545">
        <v>544</v>
      </c>
      <c r="B545" t="s">
        <v>1066</v>
      </c>
      <c r="C545" t="s">
        <v>1067</v>
      </c>
      <c r="D545" t="s">
        <v>432</v>
      </c>
      <c r="E545">
        <v>1</v>
      </c>
      <c r="F545">
        <v>-3.8109999999999999</v>
      </c>
      <c r="G545">
        <v>-17.43</v>
      </c>
      <c r="H545">
        <v>17151</v>
      </c>
      <c r="I545">
        <v>-1</v>
      </c>
      <c r="J545">
        <v>1</v>
      </c>
      <c r="K545" t="s">
        <v>359</v>
      </c>
      <c r="L545" t="s">
        <v>359</v>
      </c>
      <c r="M545" t="s">
        <v>360</v>
      </c>
      <c r="N545">
        <v>1649396065.1199999</v>
      </c>
      <c r="O545">
        <v>0.19900000000000001</v>
      </c>
      <c r="P545">
        <v>0.39800000000000002</v>
      </c>
      <c r="Q545">
        <v>57.137999999999998</v>
      </c>
      <c r="R545">
        <v>1E-3</v>
      </c>
      <c r="S545">
        <v>1E-3</v>
      </c>
      <c r="T545">
        <v>1.3720000000000001</v>
      </c>
      <c r="U545">
        <v>101.699</v>
      </c>
      <c r="V545">
        <v>20.704999999999998</v>
      </c>
      <c r="W545">
        <v>2.4319999999999999</v>
      </c>
      <c r="X545">
        <v>94.292000000000002</v>
      </c>
      <c r="Y545">
        <v>0.90200000000000002</v>
      </c>
      <c r="Z545">
        <v>0.184</v>
      </c>
      <c r="AA545">
        <v>0</v>
      </c>
      <c r="AB545">
        <v>0</v>
      </c>
      <c r="AC545">
        <v>1</v>
      </c>
      <c r="AD545">
        <v>39.938000000000002</v>
      </c>
      <c r="AE545">
        <v>1</v>
      </c>
      <c r="AF545">
        <v>72</v>
      </c>
      <c r="AG545">
        <v>6</v>
      </c>
      <c r="AH545" t="s">
        <v>361</v>
      </c>
      <c r="AI545">
        <v>0</v>
      </c>
    </row>
    <row r="546" spans="1:35" x14ac:dyDescent="0.2">
      <c r="A546">
        <v>545</v>
      </c>
      <c r="B546" t="s">
        <v>1066</v>
      </c>
      <c r="C546" t="s">
        <v>1068</v>
      </c>
      <c r="D546" t="s">
        <v>432</v>
      </c>
      <c r="E546">
        <v>2</v>
      </c>
      <c r="F546">
        <v>-3.823</v>
      </c>
      <c r="G546">
        <v>-17.463000000000001</v>
      </c>
      <c r="H546">
        <v>17378</v>
      </c>
      <c r="I546">
        <v>-1</v>
      </c>
      <c r="J546">
        <v>1</v>
      </c>
      <c r="K546" t="s">
        <v>359</v>
      </c>
      <c r="L546" t="s">
        <v>359</v>
      </c>
      <c r="M546" t="s">
        <v>360</v>
      </c>
      <c r="N546">
        <v>1649396603.45</v>
      </c>
      <c r="O546">
        <v>0.21299999999999999</v>
      </c>
      <c r="P546">
        <v>0.4</v>
      </c>
      <c r="Q546">
        <v>56.921999999999997</v>
      </c>
      <c r="R546">
        <v>0</v>
      </c>
      <c r="S546">
        <v>1E-3</v>
      </c>
      <c r="T546">
        <v>1.3680000000000001</v>
      </c>
      <c r="U546">
        <v>102.857</v>
      </c>
      <c r="V546">
        <v>21.25</v>
      </c>
      <c r="W546">
        <v>2.4710000000000001</v>
      </c>
      <c r="X546">
        <v>96.061999999999998</v>
      </c>
      <c r="Y546">
        <v>0.91500000000000004</v>
      </c>
      <c r="Z546">
        <v>0.44400000000000001</v>
      </c>
      <c r="AA546">
        <v>0</v>
      </c>
      <c r="AB546">
        <v>0</v>
      </c>
      <c r="AC546">
        <v>1</v>
      </c>
      <c r="AD546">
        <v>39.938000000000002</v>
      </c>
      <c r="AE546">
        <v>1</v>
      </c>
      <c r="AF546">
        <v>72</v>
      </c>
      <c r="AG546">
        <v>6</v>
      </c>
      <c r="AH546" t="s">
        <v>361</v>
      </c>
      <c r="AI546">
        <v>0</v>
      </c>
    </row>
    <row r="547" spans="1:35" x14ac:dyDescent="0.2">
      <c r="A547">
        <v>546</v>
      </c>
      <c r="B547" t="s">
        <v>1066</v>
      </c>
      <c r="C547" t="s">
        <v>1069</v>
      </c>
      <c r="D547" t="s">
        <v>432</v>
      </c>
      <c r="E547">
        <v>3</v>
      </c>
      <c r="F547">
        <v>-3.8079999999999998</v>
      </c>
      <c r="G547">
        <v>-17.506</v>
      </c>
      <c r="H547">
        <v>17255</v>
      </c>
      <c r="I547">
        <v>-1</v>
      </c>
      <c r="J547">
        <v>1</v>
      </c>
      <c r="K547" t="s">
        <v>359</v>
      </c>
      <c r="L547" t="s">
        <v>359</v>
      </c>
      <c r="M547" t="s">
        <v>360</v>
      </c>
      <c r="N547">
        <v>1649397140.4300001</v>
      </c>
      <c r="O547">
        <v>0.20200000000000001</v>
      </c>
      <c r="P547">
        <v>0.40300000000000002</v>
      </c>
      <c r="Q547">
        <v>55.247999999999998</v>
      </c>
      <c r="R547">
        <v>1E-3</v>
      </c>
      <c r="S547">
        <v>0</v>
      </c>
      <c r="T547">
        <v>1.323</v>
      </c>
      <c r="U547">
        <v>102.217</v>
      </c>
      <c r="V547">
        <v>21.029</v>
      </c>
      <c r="W547">
        <v>2.4359999999999999</v>
      </c>
      <c r="X547">
        <v>94.977999999999994</v>
      </c>
      <c r="Y547">
        <v>0.92400000000000004</v>
      </c>
      <c r="Z547">
        <v>0.29799999999999999</v>
      </c>
      <c r="AA547">
        <v>0</v>
      </c>
      <c r="AB547">
        <v>0</v>
      </c>
      <c r="AC547">
        <v>1</v>
      </c>
      <c r="AD547">
        <v>39.938000000000002</v>
      </c>
      <c r="AE547">
        <v>1</v>
      </c>
      <c r="AF547">
        <v>72</v>
      </c>
      <c r="AG547">
        <v>6</v>
      </c>
      <c r="AH547" t="s">
        <v>361</v>
      </c>
      <c r="AI547">
        <v>0</v>
      </c>
    </row>
    <row r="548" spans="1:35" x14ac:dyDescent="0.2">
      <c r="A548">
        <v>547</v>
      </c>
      <c r="B548" t="s">
        <v>1066</v>
      </c>
      <c r="C548" t="s">
        <v>1070</v>
      </c>
      <c r="D548" t="s">
        <v>432</v>
      </c>
      <c r="E548">
        <v>4</v>
      </c>
      <c r="F548">
        <v>-3.8420000000000001</v>
      </c>
      <c r="G548">
        <v>-17.672999999999998</v>
      </c>
      <c r="H548">
        <v>17159</v>
      </c>
      <c r="I548">
        <v>0</v>
      </c>
      <c r="J548">
        <v>1</v>
      </c>
      <c r="K548" t="s">
        <v>359</v>
      </c>
      <c r="L548" t="s">
        <v>359</v>
      </c>
      <c r="M548" t="s">
        <v>360</v>
      </c>
      <c r="N548">
        <v>1649397677.95</v>
      </c>
      <c r="O548">
        <v>0.21199999999999999</v>
      </c>
      <c r="P548">
        <v>0.40799999999999997</v>
      </c>
      <c r="Q548">
        <v>57.13</v>
      </c>
      <c r="R548">
        <v>-1E-3</v>
      </c>
      <c r="S548">
        <v>0</v>
      </c>
      <c r="T548">
        <v>1.3740000000000001</v>
      </c>
      <c r="U548">
        <v>101.72499999999999</v>
      </c>
      <c r="V548">
        <v>20.923999999999999</v>
      </c>
      <c r="W548">
        <v>2.423</v>
      </c>
      <c r="X548">
        <v>93.793999999999997</v>
      </c>
      <c r="Y548">
        <v>0.92100000000000004</v>
      </c>
      <c r="Z548">
        <v>0.127</v>
      </c>
      <c r="AA548">
        <v>0</v>
      </c>
      <c r="AB548">
        <v>0</v>
      </c>
      <c r="AC548">
        <v>1</v>
      </c>
      <c r="AD548">
        <v>39.875</v>
      </c>
      <c r="AE548">
        <v>1</v>
      </c>
      <c r="AF548">
        <v>72</v>
      </c>
      <c r="AG548">
        <v>6</v>
      </c>
      <c r="AH548" t="s">
        <v>361</v>
      </c>
      <c r="AI548">
        <v>0</v>
      </c>
    </row>
    <row r="549" spans="1:35" x14ac:dyDescent="0.2">
      <c r="A549">
        <v>548</v>
      </c>
      <c r="B549" t="s">
        <v>1066</v>
      </c>
      <c r="C549" t="s">
        <v>1071</v>
      </c>
      <c r="D549" t="s">
        <v>432</v>
      </c>
      <c r="E549">
        <v>5</v>
      </c>
      <c r="F549">
        <v>-3.8370000000000002</v>
      </c>
      <c r="G549">
        <v>-17.28</v>
      </c>
      <c r="H549">
        <v>17121</v>
      </c>
      <c r="I549">
        <v>0</v>
      </c>
      <c r="J549">
        <v>1</v>
      </c>
      <c r="K549" t="s">
        <v>359</v>
      </c>
      <c r="L549" t="s">
        <v>359</v>
      </c>
      <c r="M549" t="s">
        <v>360</v>
      </c>
      <c r="N549">
        <v>1649398214.0999999</v>
      </c>
      <c r="O549">
        <v>0.215</v>
      </c>
      <c r="P549">
        <v>0.38700000000000001</v>
      </c>
      <c r="Q549">
        <v>55.722000000000001</v>
      </c>
      <c r="R549">
        <v>0</v>
      </c>
      <c r="S549">
        <v>-2E-3</v>
      </c>
      <c r="T549">
        <v>1.331</v>
      </c>
      <c r="U549">
        <v>101.15900000000001</v>
      </c>
      <c r="V549">
        <v>20.882999999999999</v>
      </c>
      <c r="W549">
        <v>2.5270000000000001</v>
      </c>
      <c r="X549">
        <v>95.257999999999996</v>
      </c>
      <c r="Y549">
        <v>0.91800000000000004</v>
      </c>
      <c r="Z549">
        <v>0.56599999999999995</v>
      </c>
      <c r="AA549">
        <v>0</v>
      </c>
      <c r="AB549">
        <v>0</v>
      </c>
      <c r="AC549">
        <v>1</v>
      </c>
      <c r="AD549">
        <v>39.875</v>
      </c>
      <c r="AE549">
        <v>1</v>
      </c>
      <c r="AF549">
        <v>72</v>
      </c>
      <c r="AG549">
        <v>6</v>
      </c>
      <c r="AH549" t="s">
        <v>361</v>
      </c>
      <c r="AI549">
        <v>0</v>
      </c>
    </row>
    <row r="550" spans="1:35" x14ac:dyDescent="0.2">
      <c r="A550">
        <v>549</v>
      </c>
      <c r="B550" t="s">
        <v>1066</v>
      </c>
      <c r="C550" t="s">
        <v>1072</v>
      </c>
      <c r="D550" t="s">
        <v>432</v>
      </c>
      <c r="E550">
        <v>6</v>
      </c>
      <c r="F550">
        <v>-3.8740000000000001</v>
      </c>
      <c r="G550">
        <v>-17.457999999999998</v>
      </c>
      <c r="H550">
        <v>17137</v>
      </c>
      <c r="I550">
        <v>0</v>
      </c>
      <c r="J550">
        <v>1</v>
      </c>
      <c r="K550" t="s">
        <v>359</v>
      </c>
      <c r="L550" t="s">
        <v>359</v>
      </c>
      <c r="M550" t="s">
        <v>360</v>
      </c>
      <c r="N550">
        <v>1649398751.97</v>
      </c>
      <c r="O550">
        <v>0.186</v>
      </c>
      <c r="P550">
        <v>0.38900000000000001</v>
      </c>
      <c r="Q550">
        <v>57.290999999999997</v>
      </c>
      <c r="R550">
        <v>2E-3</v>
      </c>
      <c r="S550">
        <v>1E-3</v>
      </c>
      <c r="T550">
        <v>1.3740000000000001</v>
      </c>
      <c r="U550">
        <v>101.404</v>
      </c>
      <c r="V550">
        <v>20.702999999999999</v>
      </c>
      <c r="W550">
        <v>2.4609999999999999</v>
      </c>
      <c r="X550">
        <v>95.316999999999993</v>
      </c>
      <c r="Y550">
        <v>0.91500000000000004</v>
      </c>
      <c r="Z550">
        <v>0.41299999999999998</v>
      </c>
      <c r="AA550">
        <v>0</v>
      </c>
      <c r="AB550">
        <v>0</v>
      </c>
      <c r="AC550">
        <v>1</v>
      </c>
      <c r="AD550">
        <v>39.938000000000002</v>
      </c>
      <c r="AE550">
        <v>1</v>
      </c>
      <c r="AF550">
        <v>72</v>
      </c>
      <c r="AG550">
        <v>6</v>
      </c>
      <c r="AH550" t="s">
        <v>361</v>
      </c>
      <c r="AI550">
        <v>0</v>
      </c>
    </row>
    <row r="551" spans="1:35" x14ac:dyDescent="0.2">
      <c r="A551">
        <v>550</v>
      </c>
      <c r="B551" t="s">
        <v>1073</v>
      </c>
      <c r="C551" t="s">
        <v>1074</v>
      </c>
      <c r="D551" t="s">
        <v>433</v>
      </c>
      <c r="E551">
        <v>1</v>
      </c>
      <c r="F551">
        <v>-5.5339999999999998</v>
      </c>
      <c r="G551">
        <v>-29</v>
      </c>
      <c r="H551">
        <v>17226</v>
      </c>
      <c r="I551">
        <v>-1</v>
      </c>
      <c r="J551">
        <v>1</v>
      </c>
      <c r="K551" t="s">
        <v>359</v>
      </c>
      <c r="L551" t="s">
        <v>359</v>
      </c>
      <c r="M551" t="s">
        <v>360</v>
      </c>
      <c r="N551">
        <v>1649399288.3099999</v>
      </c>
      <c r="O551">
        <v>0.20699999999999999</v>
      </c>
      <c r="P551">
        <v>0.39</v>
      </c>
      <c r="Q551">
        <v>56.34</v>
      </c>
      <c r="R551">
        <v>0</v>
      </c>
      <c r="S551">
        <v>0</v>
      </c>
      <c r="T551">
        <v>1.345</v>
      </c>
      <c r="U551">
        <v>102.062</v>
      </c>
      <c r="V551">
        <v>20.513999999999999</v>
      </c>
      <c r="W551">
        <v>2.4969999999999999</v>
      </c>
      <c r="X551">
        <v>96.120999999999995</v>
      </c>
      <c r="Y551">
        <v>0.92400000000000004</v>
      </c>
      <c r="Z551">
        <v>0.47399999999999998</v>
      </c>
      <c r="AA551">
        <v>0</v>
      </c>
      <c r="AB551">
        <v>0</v>
      </c>
      <c r="AC551">
        <v>1</v>
      </c>
      <c r="AD551">
        <v>39.938000000000002</v>
      </c>
      <c r="AE551">
        <v>1</v>
      </c>
      <c r="AF551">
        <v>73</v>
      </c>
      <c r="AG551">
        <v>6</v>
      </c>
      <c r="AH551" t="s">
        <v>361</v>
      </c>
      <c r="AI551">
        <v>0</v>
      </c>
    </row>
    <row r="552" spans="1:35" x14ac:dyDescent="0.2">
      <c r="A552">
        <v>551</v>
      </c>
      <c r="B552" t="s">
        <v>1073</v>
      </c>
      <c r="C552" t="s">
        <v>1075</v>
      </c>
      <c r="D552" t="s">
        <v>433</v>
      </c>
      <c r="E552">
        <v>2</v>
      </c>
      <c r="F552">
        <v>-5.63</v>
      </c>
      <c r="G552">
        <v>-30.152999999999999</v>
      </c>
      <c r="H552">
        <v>17194</v>
      </c>
      <c r="I552">
        <v>-1</v>
      </c>
      <c r="J552">
        <v>1</v>
      </c>
      <c r="K552" t="s">
        <v>359</v>
      </c>
      <c r="L552" t="s">
        <v>359</v>
      </c>
      <c r="M552" t="s">
        <v>360</v>
      </c>
      <c r="N552">
        <v>1649399826.02</v>
      </c>
      <c r="O552">
        <v>0.19500000000000001</v>
      </c>
      <c r="P552">
        <v>0.40899999999999997</v>
      </c>
      <c r="Q552">
        <v>56.466000000000001</v>
      </c>
      <c r="R552">
        <v>0</v>
      </c>
      <c r="S552">
        <v>0</v>
      </c>
      <c r="T552">
        <v>1.35</v>
      </c>
      <c r="U552">
        <v>101.932</v>
      </c>
      <c r="V552">
        <v>21.003</v>
      </c>
      <c r="W552">
        <v>2.4390000000000001</v>
      </c>
      <c r="X552">
        <v>93.933000000000007</v>
      </c>
      <c r="Y552">
        <v>0.92600000000000005</v>
      </c>
      <c r="Z552">
        <v>0.307</v>
      </c>
      <c r="AA552">
        <v>0</v>
      </c>
      <c r="AB552">
        <v>0</v>
      </c>
      <c r="AC552">
        <v>1</v>
      </c>
      <c r="AD552">
        <v>39.938000000000002</v>
      </c>
      <c r="AE552">
        <v>1</v>
      </c>
      <c r="AF552">
        <v>73</v>
      </c>
      <c r="AG552">
        <v>6</v>
      </c>
      <c r="AH552" t="s">
        <v>361</v>
      </c>
      <c r="AI552">
        <v>0</v>
      </c>
    </row>
    <row r="553" spans="1:35" x14ac:dyDescent="0.2">
      <c r="A553">
        <v>552</v>
      </c>
      <c r="B553" t="s">
        <v>1073</v>
      </c>
      <c r="C553" t="s">
        <v>1076</v>
      </c>
      <c r="D553" t="s">
        <v>433</v>
      </c>
      <c r="E553">
        <v>3</v>
      </c>
      <c r="F553">
        <v>-5.6529999999999996</v>
      </c>
      <c r="G553">
        <v>-30.079000000000001</v>
      </c>
      <c r="H553">
        <v>17225</v>
      </c>
      <c r="I553">
        <v>-1</v>
      </c>
      <c r="J553">
        <v>1</v>
      </c>
      <c r="K553" t="s">
        <v>359</v>
      </c>
      <c r="L553" t="s">
        <v>359</v>
      </c>
      <c r="M553" t="s">
        <v>360</v>
      </c>
      <c r="N553">
        <v>1649400362.9400001</v>
      </c>
      <c r="O553">
        <v>0.193</v>
      </c>
      <c r="P553">
        <v>0.35799999999999998</v>
      </c>
      <c r="Q553">
        <v>58.478000000000002</v>
      </c>
      <c r="R553">
        <v>1E-3</v>
      </c>
      <c r="S553">
        <v>2E-3</v>
      </c>
      <c r="T553">
        <v>1.4039999999999999</v>
      </c>
      <c r="U553">
        <v>101.96299999999999</v>
      </c>
      <c r="V553">
        <v>21.088000000000001</v>
      </c>
      <c r="W553">
        <v>2.448</v>
      </c>
      <c r="X553">
        <v>95.01</v>
      </c>
      <c r="Y553">
        <v>0.92500000000000004</v>
      </c>
      <c r="Z553">
        <v>0.32800000000000001</v>
      </c>
      <c r="AA553">
        <v>0</v>
      </c>
      <c r="AB553">
        <v>0</v>
      </c>
      <c r="AC553">
        <v>1</v>
      </c>
      <c r="AD553">
        <v>40</v>
      </c>
      <c r="AE553">
        <v>1</v>
      </c>
      <c r="AF553">
        <v>73</v>
      </c>
      <c r="AG553">
        <v>6</v>
      </c>
      <c r="AH553" t="s">
        <v>361</v>
      </c>
      <c r="AI553">
        <v>0</v>
      </c>
    </row>
    <row r="554" spans="1:35" x14ac:dyDescent="0.2">
      <c r="A554">
        <v>553</v>
      </c>
      <c r="B554" t="s">
        <v>1073</v>
      </c>
      <c r="C554" t="s">
        <v>1077</v>
      </c>
      <c r="D554" t="s">
        <v>433</v>
      </c>
      <c r="E554">
        <v>4</v>
      </c>
      <c r="F554">
        <v>-5.62</v>
      </c>
      <c r="G554">
        <v>-30.4</v>
      </c>
      <c r="H554">
        <v>17295</v>
      </c>
      <c r="I554">
        <v>0</v>
      </c>
      <c r="J554">
        <v>1</v>
      </c>
      <c r="K554" t="s">
        <v>359</v>
      </c>
      <c r="L554" t="s">
        <v>359</v>
      </c>
      <c r="M554" t="s">
        <v>360</v>
      </c>
      <c r="N554">
        <v>1649400899.9100001</v>
      </c>
      <c r="O554">
        <v>0.22600000000000001</v>
      </c>
      <c r="P554">
        <v>0.40899999999999997</v>
      </c>
      <c r="Q554">
        <v>56.761000000000003</v>
      </c>
      <c r="R554">
        <v>1E-3</v>
      </c>
      <c r="S554">
        <v>2E-3</v>
      </c>
      <c r="T554">
        <v>1.3520000000000001</v>
      </c>
      <c r="U554">
        <v>102.514</v>
      </c>
      <c r="V554">
        <v>21.472999999999999</v>
      </c>
      <c r="W554">
        <v>2.431</v>
      </c>
      <c r="X554">
        <v>93.665000000000006</v>
      </c>
      <c r="Y554">
        <v>0.93</v>
      </c>
      <c r="Z554">
        <v>8.3000000000000004E-2</v>
      </c>
      <c r="AA554">
        <v>0</v>
      </c>
      <c r="AB554">
        <v>0</v>
      </c>
      <c r="AC554">
        <v>1</v>
      </c>
      <c r="AD554">
        <v>39.875</v>
      </c>
      <c r="AE554">
        <v>1</v>
      </c>
      <c r="AF554">
        <v>73</v>
      </c>
      <c r="AG554">
        <v>6</v>
      </c>
      <c r="AH554" t="s">
        <v>361</v>
      </c>
      <c r="AI554">
        <v>0</v>
      </c>
    </row>
    <row r="555" spans="1:35" x14ac:dyDescent="0.2">
      <c r="A555">
        <v>554</v>
      </c>
      <c r="B555" t="s">
        <v>1073</v>
      </c>
      <c r="C555" t="s">
        <v>1078</v>
      </c>
      <c r="D555" t="s">
        <v>433</v>
      </c>
      <c r="E555">
        <v>5</v>
      </c>
      <c r="F555">
        <v>-5.6109999999999998</v>
      </c>
      <c r="G555">
        <v>-30.25</v>
      </c>
      <c r="H555">
        <v>17294</v>
      </c>
      <c r="I555">
        <v>0</v>
      </c>
      <c r="J555">
        <v>1</v>
      </c>
      <c r="K555" t="s">
        <v>359</v>
      </c>
      <c r="L555" t="s">
        <v>359</v>
      </c>
      <c r="M555" t="s">
        <v>360</v>
      </c>
      <c r="N555">
        <v>1649401437.25</v>
      </c>
      <c r="O555">
        <v>0.193</v>
      </c>
      <c r="P555">
        <v>0.40600000000000003</v>
      </c>
      <c r="Q555">
        <v>57.984999999999999</v>
      </c>
      <c r="R555">
        <v>0</v>
      </c>
      <c r="S555">
        <v>1E-3</v>
      </c>
      <c r="T555">
        <v>1.385</v>
      </c>
      <c r="U555">
        <v>102.738</v>
      </c>
      <c r="V555">
        <v>20.405000000000001</v>
      </c>
      <c r="W555">
        <v>2.4660000000000002</v>
      </c>
      <c r="X555">
        <v>95.72</v>
      </c>
      <c r="Y555">
        <v>0.92300000000000004</v>
      </c>
      <c r="Z555">
        <v>0.28799999999999998</v>
      </c>
      <c r="AA555">
        <v>0</v>
      </c>
      <c r="AB555">
        <v>0</v>
      </c>
      <c r="AC555">
        <v>1</v>
      </c>
      <c r="AD555">
        <v>40</v>
      </c>
      <c r="AE555">
        <v>1</v>
      </c>
      <c r="AF555">
        <v>73</v>
      </c>
      <c r="AG555">
        <v>6</v>
      </c>
      <c r="AH555" t="s">
        <v>361</v>
      </c>
      <c r="AI555">
        <v>0</v>
      </c>
    </row>
    <row r="556" spans="1:35" x14ac:dyDescent="0.2">
      <c r="A556">
        <v>555</v>
      </c>
      <c r="B556" t="s">
        <v>1073</v>
      </c>
      <c r="C556" t="s">
        <v>1079</v>
      </c>
      <c r="D556" t="s">
        <v>433</v>
      </c>
      <c r="E556">
        <v>6</v>
      </c>
      <c r="F556">
        <v>-5.6619999999999999</v>
      </c>
      <c r="G556">
        <v>-30.155999999999999</v>
      </c>
      <c r="H556">
        <v>17223</v>
      </c>
      <c r="I556">
        <v>0</v>
      </c>
      <c r="J556">
        <v>1</v>
      </c>
      <c r="K556" t="s">
        <v>359</v>
      </c>
      <c r="L556" t="s">
        <v>359</v>
      </c>
      <c r="M556" t="s">
        <v>360</v>
      </c>
      <c r="N556">
        <v>1649401974</v>
      </c>
      <c r="O556">
        <v>0.222</v>
      </c>
      <c r="P556">
        <v>0.40300000000000002</v>
      </c>
      <c r="Q556">
        <v>58.45</v>
      </c>
      <c r="R556">
        <v>1E-3</v>
      </c>
      <c r="S556">
        <v>1E-3</v>
      </c>
      <c r="T556">
        <v>1.3959999999999999</v>
      </c>
      <c r="U556">
        <v>101.85899999999999</v>
      </c>
      <c r="V556">
        <v>20.954000000000001</v>
      </c>
      <c r="W556">
        <v>2.4620000000000002</v>
      </c>
      <c r="X556">
        <v>95.736000000000004</v>
      </c>
      <c r="Y556">
        <v>0.92600000000000005</v>
      </c>
      <c r="Z556">
        <v>0.438</v>
      </c>
      <c r="AA556">
        <v>0</v>
      </c>
      <c r="AB556">
        <v>0</v>
      </c>
      <c r="AC556">
        <v>1</v>
      </c>
      <c r="AD556">
        <v>39.938000000000002</v>
      </c>
      <c r="AE556">
        <v>1</v>
      </c>
      <c r="AF556">
        <v>73</v>
      </c>
      <c r="AG556">
        <v>6</v>
      </c>
      <c r="AH556" t="s">
        <v>361</v>
      </c>
      <c r="AI556">
        <v>0</v>
      </c>
    </row>
    <row r="557" spans="1:35" x14ac:dyDescent="0.2">
      <c r="A557">
        <v>556</v>
      </c>
      <c r="B557" t="s">
        <v>1080</v>
      </c>
      <c r="C557" t="s">
        <v>1081</v>
      </c>
      <c r="D557" t="s">
        <v>434</v>
      </c>
      <c r="E557">
        <v>1</v>
      </c>
      <c r="F557">
        <v>-5.468</v>
      </c>
      <c r="G557">
        <v>-29.47</v>
      </c>
      <c r="H557">
        <v>17203</v>
      </c>
      <c r="I557">
        <v>-1</v>
      </c>
      <c r="J557">
        <v>1</v>
      </c>
      <c r="K557" t="s">
        <v>359</v>
      </c>
      <c r="L557" t="s">
        <v>359</v>
      </c>
      <c r="M557" t="s">
        <v>360</v>
      </c>
      <c r="N557">
        <v>1649402511.49</v>
      </c>
      <c r="O557">
        <v>0.223</v>
      </c>
      <c r="P557">
        <v>0.443</v>
      </c>
      <c r="Q557">
        <v>55.752000000000002</v>
      </c>
      <c r="R557">
        <v>2E-3</v>
      </c>
      <c r="S557">
        <v>0</v>
      </c>
      <c r="T557">
        <v>1.3360000000000001</v>
      </c>
      <c r="U557">
        <v>102.004</v>
      </c>
      <c r="V557">
        <v>20.986999999999998</v>
      </c>
      <c r="W557">
        <v>2.411</v>
      </c>
      <c r="X557">
        <v>94.075999999999993</v>
      </c>
      <c r="Y557">
        <v>0.92200000000000004</v>
      </c>
      <c r="Z557">
        <v>0.19900000000000001</v>
      </c>
      <c r="AA557">
        <v>0</v>
      </c>
      <c r="AB557">
        <v>0</v>
      </c>
      <c r="AC557">
        <v>1</v>
      </c>
      <c r="AD557">
        <v>39.938000000000002</v>
      </c>
      <c r="AE557">
        <v>1</v>
      </c>
      <c r="AF557">
        <v>74</v>
      </c>
      <c r="AG557">
        <v>6</v>
      </c>
      <c r="AH557" t="s">
        <v>361</v>
      </c>
      <c r="AI557">
        <v>0</v>
      </c>
    </row>
    <row r="558" spans="1:35" x14ac:dyDescent="0.2">
      <c r="A558">
        <v>557</v>
      </c>
      <c r="B558" t="s">
        <v>1080</v>
      </c>
      <c r="C558" t="s">
        <v>1082</v>
      </c>
      <c r="D558" t="s">
        <v>434</v>
      </c>
      <c r="E558">
        <v>2</v>
      </c>
      <c r="F558">
        <v>-5.4720000000000004</v>
      </c>
      <c r="G558">
        <v>-29.719000000000001</v>
      </c>
      <c r="H558">
        <v>17495</v>
      </c>
      <c r="I558">
        <v>-1</v>
      </c>
      <c r="J558">
        <v>1</v>
      </c>
      <c r="K558" t="s">
        <v>359</v>
      </c>
      <c r="L558" t="s">
        <v>359</v>
      </c>
      <c r="M558" t="s">
        <v>360</v>
      </c>
      <c r="N558">
        <v>1649403048.5899999</v>
      </c>
      <c r="O558">
        <v>0.19600000000000001</v>
      </c>
      <c r="P558">
        <v>0.39100000000000001</v>
      </c>
      <c r="Q558">
        <v>56.716000000000001</v>
      </c>
      <c r="R558">
        <v>1E-3</v>
      </c>
      <c r="S558">
        <v>1E-3</v>
      </c>
      <c r="T558">
        <v>1.351</v>
      </c>
      <c r="U558">
        <v>103.666</v>
      </c>
      <c r="V558">
        <v>20.917999999999999</v>
      </c>
      <c r="W558">
        <v>2.5129999999999999</v>
      </c>
      <c r="X558">
        <v>97.816999999999993</v>
      </c>
      <c r="Y558">
        <v>0.95</v>
      </c>
      <c r="Z558">
        <v>0.57599999999999996</v>
      </c>
      <c r="AA558">
        <v>0</v>
      </c>
      <c r="AB558">
        <v>0</v>
      </c>
      <c r="AC558">
        <v>1</v>
      </c>
      <c r="AD558">
        <v>39.875</v>
      </c>
      <c r="AE558">
        <v>1</v>
      </c>
      <c r="AF558">
        <v>74</v>
      </c>
      <c r="AG558">
        <v>6</v>
      </c>
      <c r="AH558" t="s">
        <v>361</v>
      </c>
      <c r="AI558">
        <v>0</v>
      </c>
    </row>
    <row r="559" spans="1:35" x14ac:dyDescent="0.2">
      <c r="A559">
        <v>558</v>
      </c>
      <c r="B559" t="s">
        <v>1080</v>
      </c>
      <c r="C559" t="s">
        <v>1083</v>
      </c>
      <c r="D559" t="s">
        <v>434</v>
      </c>
      <c r="E559">
        <v>3</v>
      </c>
      <c r="F559">
        <v>-5.444</v>
      </c>
      <c r="G559">
        <v>-29.367999999999999</v>
      </c>
      <c r="H559">
        <v>17273</v>
      </c>
      <c r="I559">
        <v>-1</v>
      </c>
      <c r="J559">
        <v>1</v>
      </c>
      <c r="K559" t="s">
        <v>359</v>
      </c>
      <c r="L559" t="s">
        <v>359</v>
      </c>
      <c r="M559" t="s">
        <v>360</v>
      </c>
      <c r="N559">
        <v>1649403586.27</v>
      </c>
      <c r="O559">
        <v>0.20799999999999999</v>
      </c>
      <c r="P559">
        <v>0.432</v>
      </c>
      <c r="Q559">
        <v>55.201999999999998</v>
      </c>
      <c r="R559">
        <v>1E-3</v>
      </c>
      <c r="S559">
        <v>0</v>
      </c>
      <c r="T559">
        <v>1.3320000000000001</v>
      </c>
      <c r="U559">
        <v>102.19199999999999</v>
      </c>
      <c r="V559">
        <v>21.042999999999999</v>
      </c>
      <c r="W559">
        <v>2.456</v>
      </c>
      <c r="X559">
        <v>95.956000000000003</v>
      </c>
      <c r="Y559">
        <v>0.94099999999999995</v>
      </c>
      <c r="Z559">
        <v>0.48599999999999999</v>
      </c>
      <c r="AA559">
        <v>0</v>
      </c>
      <c r="AB559">
        <v>0</v>
      </c>
      <c r="AC559">
        <v>1</v>
      </c>
      <c r="AD559">
        <v>39.875</v>
      </c>
      <c r="AE559">
        <v>1</v>
      </c>
      <c r="AF559">
        <v>74</v>
      </c>
      <c r="AG559">
        <v>6</v>
      </c>
      <c r="AH559" t="s">
        <v>361</v>
      </c>
      <c r="AI559">
        <v>0</v>
      </c>
    </row>
    <row r="560" spans="1:35" x14ac:dyDescent="0.2">
      <c r="A560">
        <v>559</v>
      </c>
      <c r="B560" t="s">
        <v>1080</v>
      </c>
      <c r="C560" t="s">
        <v>1084</v>
      </c>
      <c r="D560" t="s">
        <v>434</v>
      </c>
      <c r="E560">
        <v>4</v>
      </c>
      <c r="F560">
        <v>-5.4690000000000003</v>
      </c>
      <c r="G560">
        <v>-29.459</v>
      </c>
      <c r="H560">
        <v>17254</v>
      </c>
      <c r="I560">
        <v>0</v>
      </c>
      <c r="J560">
        <v>1</v>
      </c>
      <c r="K560" t="s">
        <v>359</v>
      </c>
      <c r="L560" t="s">
        <v>359</v>
      </c>
      <c r="M560" t="s">
        <v>360</v>
      </c>
      <c r="N560">
        <v>1649404122.9200001</v>
      </c>
      <c r="O560">
        <v>0.20899999999999999</v>
      </c>
      <c r="P560">
        <v>0.379</v>
      </c>
      <c r="Q560">
        <v>55.148000000000003</v>
      </c>
      <c r="R560">
        <v>1E-3</v>
      </c>
      <c r="S560">
        <v>0</v>
      </c>
      <c r="T560">
        <v>1.319</v>
      </c>
      <c r="U560">
        <v>102.12</v>
      </c>
      <c r="V560">
        <v>21.071999999999999</v>
      </c>
      <c r="W560">
        <v>2.4649999999999999</v>
      </c>
      <c r="X560">
        <v>95.144999999999996</v>
      </c>
      <c r="Y560">
        <v>0.94599999999999995</v>
      </c>
      <c r="Z560">
        <v>0.41199999999999998</v>
      </c>
      <c r="AA560">
        <v>0</v>
      </c>
      <c r="AB560">
        <v>0</v>
      </c>
      <c r="AC560">
        <v>1</v>
      </c>
      <c r="AD560">
        <v>39.875</v>
      </c>
      <c r="AE560">
        <v>1</v>
      </c>
      <c r="AF560">
        <v>74</v>
      </c>
      <c r="AG560">
        <v>6</v>
      </c>
      <c r="AH560" t="s">
        <v>361</v>
      </c>
      <c r="AI560">
        <v>0</v>
      </c>
    </row>
    <row r="561" spans="1:35" x14ac:dyDescent="0.2">
      <c r="A561">
        <v>560</v>
      </c>
      <c r="B561" t="s">
        <v>1080</v>
      </c>
      <c r="C561" t="s">
        <v>1085</v>
      </c>
      <c r="D561" t="s">
        <v>434</v>
      </c>
      <c r="E561">
        <v>5</v>
      </c>
      <c r="F561">
        <v>-5.4630000000000001</v>
      </c>
      <c r="G561">
        <v>-29.45</v>
      </c>
      <c r="H561">
        <v>17228</v>
      </c>
      <c r="I561">
        <v>0</v>
      </c>
      <c r="J561">
        <v>1</v>
      </c>
      <c r="K561" t="s">
        <v>359</v>
      </c>
      <c r="L561" t="s">
        <v>359</v>
      </c>
      <c r="M561" t="s">
        <v>360</v>
      </c>
      <c r="N561">
        <v>1649404661.1500001</v>
      </c>
      <c r="O561">
        <v>0.216</v>
      </c>
      <c r="P561">
        <v>0.38400000000000001</v>
      </c>
      <c r="Q561">
        <v>55.856000000000002</v>
      </c>
      <c r="R561">
        <v>2E-3</v>
      </c>
      <c r="S561">
        <v>-1E-3</v>
      </c>
      <c r="T561">
        <v>1.3420000000000001</v>
      </c>
      <c r="U561">
        <v>102.42400000000001</v>
      </c>
      <c r="V561">
        <v>20.904</v>
      </c>
      <c r="W561">
        <v>2.3820000000000001</v>
      </c>
      <c r="X561">
        <v>92.835999999999999</v>
      </c>
      <c r="Y561">
        <v>0.93100000000000005</v>
      </c>
      <c r="Z561">
        <v>-0.111</v>
      </c>
      <c r="AA561">
        <v>0</v>
      </c>
      <c r="AB561">
        <v>0</v>
      </c>
      <c r="AC561">
        <v>1</v>
      </c>
      <c r="AD561">
        <v>39.875</v>
      </c>
      <c r="AE561">
        <v>1</v>
      </c>
      <c r="AF561">
        <v>74</v>
      </c>
      <c r="AG561">
        <v>6</v>
      </c>
      <c r="AH561" t="s">
        <v>361</v>
      </c>
      <c r="AI561">
        <v>0</v>
      </c>
    </row>
    <row r="562" spans="1:35" x14ac:dyDescent="0.2">
      <c r="A562">
        <v>561</v>
      </c>
      <c r="B562" t="s">
        <v>1080</v>
      </c>
      <c r="C562" t="s">
        <v>1086</v>
      </c>
      <c r="D562" t="s">
        <v>434</v>
      </c>
      <c r="E562">
        <v>6</v>
      </c>
      <c r="F562">
        <v>-5.4969999999999999</v>
      </c>
      <c r="G562">
        <v>-29.754000000000001</v>
      </c>
      <c r="H562">
        <v>17222</v>
      </c>
      <c r="I562">
        <v>0</v>
      </c>
      <c r="J562">
        <v>1</v>
      </c>
      <c r="K562" t="s">
        <v>359</v>
      </c>
      <c r="L562" t="s">
        <v>359</v>
      </c>
      <c r="M562" t="s">
        <v>360</v>
      </c>
      <c r="N562">
        <v>1649405197.3800001</v>
      </c>
      <c r="O562">
        <v>0.20200000000000001</v>
      </c>
      <c r="P562">
        <v>0.35299999999999998</v>
      </c>
      <c r="Q562">
        <v>56.186999999999998</v>
      </c>
      <c r="R562">
        <v>0</v>
      </c>
      <c r="S562">
        <v>0</v>
      </c>
      <c r="T562">
        <v>1.3420000000000001</v>
      </c>
      <c r="U562">
        <v>102.113</v>
      </c>
      <c r="V562">
        <v>20.72</v>
      </c>
      <c r="W562">
        <v>2.423</v>
      </c>
      <c r="X562">
        <v>95.224999999999994</v>
      </c>
      <c r="Y562">
        <v>0.93400000000000005</v>
      </c>
      <c r="Z562">
        <v>0.35899999999999999</v>
      </c>
      <c r="AA562">
        <v>0</v>
      </c>
      <c r="AB562">
        <v>0</v>
      </c>
      <c r="AC562">
        <v>1</v>
      </c>
      <c r="AD562">
        <v>39.938000000000002</v>
      </c>
      <c r="AE562">
        <v>1</v>
      </c>
      <c r="AF562">
        <v>74</v>
      </c>
      <c r="AG562">
        <v>6</v>
      </c>
      <c r="AH562" t="s">
        <v>361</v>
      </c>
      <c r="AI562">
        <v>0</v>
      </c>
    </row>
    <row r="563" spans="1:35" x14ac:dyDescent="0.2">
      <c r="A563">
        <v>562</v>
      </c>
      <c r="B563" t="s">
        <v>1087</v>
      </c>
      <c r="C563" t="s">
        <v>1088</v>
      </c>
      <c r="D563" t="s">
        <v>435</v>
      </c>
      <c r="E563">
        <v>1</v>
      </c>
      <c r="F563">
        <v>-5.25</v>
      </c>
      <c r="G563">
        <v>-26.856000000000002</v>
      </c>
      <c r="H563">
        <v>17463</v>
      </c>
      <c r="I563">
        <v>-1</v>
      </c>
      <c r="J563">
        <v>1</v>
      </c>
      <c r="K563" t="s">
        <v>359</v>
      </c>
      <c r="L563" t="s">
        <v>359</v>
      </c>
      <c r="M563" t="s">
        <v>360</v>
      </c>
      <c r="N563">
        <v>1649405735.6500001</v>
      </c>
      <c r="O563">
        <v>0.2</v>
      </c>
      <c r="P563">
        <v>0.44400000000000001</v>
      </c>
      <c r="Q563">
        <v>56.585999999999999</v>
      </c>
      <c r="R563">
        <v>1E-3</v>
      </c>
      <c r="S563">
        <v>-1E-3</v>
      </c>
      <c r="T563">
        <v>1.361</v>
      </c>
      <c r="U563">
        <v>103.434</v>
      </c>
      <c r="V563">
        <v>21.07</v>
      </c>
      <c r="W563">
        <v>2.528</v>
      </c>
      <c r="X563">
        <v>96.974000000000004</v>
      </c>
      <c r="Y563">
        <v>0.93100000000000005</v>
      </c>
      <c r="Z563">
        <v>0.496</v>
      </c>
      <c r="AA563">
        <v>0</v>
      </c>
      <c r="AB563">
        <v>0</v>
      </c>
      <c r="AC563">
        <v>1</v>
      </c>
      <c r="AD563">
        <v>39.938000000000002</v>
      </c>
      <c r="AE563">
        <v>1</v>
      </c>
      <c r="AF563">
        <v>75</v>
      </c>
      <c r="AG563">
        <v>6</v>
      </c>
      <c r="AH563" t="s">
        <v>361</v>
      </c>
      <c r="AI563">
        <v>0</v>
      </c>
    </row>
    <row r="564" spans="1:35" x14ac:dyDescent="0.2">
      <c r="A564">
        <v>563</v>
      </c>
      <c r="B564" t="s">
        <v>1087</v>
      </c>
      <c r="C564" t="s">
        <v>1089</v>
      </c>
      <c r="D564" t="s">
        <v>435</v>
      </c>
      <c r="E564">
        <v>2</v>
      </c>
      <c r="F564">
        <v>-5.2539999999999996</v>
      </c>
      <c r="G564">
        <v>-26.954999999999998</v>
      </c>
      <c r="H564">
        <v>17448</v>
      </c>
      <c r="I564">
        <v>-1</v>
      </c>
      <c r="J564">
        <v>1</v>
      </c>
      <c r="K564" t="s">
        <v>359</v>
      </c>
      <c r="L564" t="s">
        <v>359</v>
      </c>
      <c r="M564" t="s">
        <v>360</v>
      </c>
      <c r="N564">
        <v>1649406271.8399999</v>
      </c>
      <c r="O564">
        <v>0.22600000000000001</v>
      </c>
      <c r="P564">
        <v>0.38</v>
      </c>
      <c r="Q564">
        <v>55.427</v>
      </c>
      <c r="R564">
        <v>1E-3</v>
      </c>
      <c r="S564">
        <v>1E-3</v>
      </c>
      <c r="T564">
        <v>1.3240000000000001</v>
      </c>
      <c r="U564">
        <v>103.80200000000001</v>
      </c>
      <c r="V564">
        <v>20.609000000000002</v>
      </c>
      <c r="W564">
        <v>2.4550000000000001</v>
      </c>
      <c r="X564">
        <v>95.733999999999995</v>
      </c>
      <c r="Y564">
        <v>0.94399999999999995</v>
      </c>
      <c r="Z564">
        <v>0.115</v>
      </c>
      <c r="AA564">
        <v>0</v>
      </c>
      <c r="AB564">
        <v>0</v>
      </c>
      <c r="AC564">
        <v>1</v>
      </c>
      <c r="AD564">
        <v>39.875</v>
      </c>
      <c r="AE564">
        <v>1</v>
      </c>
      <c r="AF564">
        <v>75</v>
      </c>
      <c r="AG564">
        <v>6</v>
      </c>
      <c r="AH564" t="s">
        <v>361</v>
      </c>
      <c r="AI564">
        <v>0</v>
      </c>
    </row>
    <row r="565" spans="1:35" x14ac:dyDescent="0.2">
      <c r="A565">
        <v>564</v>
      </c>
      <c r="B565" t="s">
        <v>1087</v>
      </c>
      <c r="C565" t="s">
        <v>1090</v>
      </c>
      <c r="D565" t="s">
        <v>435</v>
      </c>
      <c r="E565">
        <v>3</v>
      </c>
      <c r="F565">
        <v>-5.2329999999999997</v>
      </c>
      <c r="G565">
        <v>-26.53</v>
      </c>
      <c r="H565">
        <v>17339</v>
      </c>
      <c r="I565">
        <v>-1</v>
      </c>
      <c r="J565">
        <v>1</v>
      </c>
      <c r="K565" t="s">
        <v>359</v>
      </c>
      <c r="L565" t="s">
        <v>359</v>
      </c>
      <c r="M565" t="s">
        <v>360</v>
      </c>
      <c r="N565">
        <v>1649406810.6800001</v>
      </c>
      <c r="O565">
        <v>0.19600000000000001</v>
      </c>
      <c r="P565">
        <v>0.41599999999999998</v>
      </c>
      <c r="Q565">
        <v>58.936</v>
      </c>
      <c r="R565">
        <v>1E-3</v>
      </c>
      <c r="S565">
        <v>1E-3</v>
      </c>
      <c r="T565">
        <v>1.415</v>
      </c>
      <c r="U565">
        <v>102.533</v>
      </c>
      <c r="V565">
        <v>21.43</v>
      </c>
      <c r="W565">
        <v>2.4929999999999999</v>
      </c>
      <c r="X565">
        <v>95.396000000000001</v>
      </c>
      <c r="Y565">
        <v>0.95199999999999996</v>
      </c>
      <c r="Z565">
        <v>0.41199999999999998</v>
      </c>
      <c r="AA565">
        <v>0</v>
      </c>
      <c r="AB565">
        <v>0</v>
      </c>
      <c r="AC565">
        <v>1</v>
      </c>
      <c r="AD565">
        <v>39.875</v>
      </c>
      <c r="AE565">
        <v>1</v>
      </c>
      <c r="AF565">
        <v>75</v>
      </c>
      <c r="AG565">
        <v>6</v>
      </c>
      <c r="AH565" t="s">
        <v>361</v>
      </c>
      <c r="AI565">
        <v>0</v>
      </c>
    </row>
    <row r="566" spans="1:35" x14ac:dyDescent="0.2">
      <c r="A566">
        <v>565</v>
      </c>
      <c r="B566" t="s">
        <v>1087</v>
      </c>
      <c r="C566" t="s">
        <v>1091</v>
      </c>
      <c r="D566" t="s">
        <v>435</v>
      </c>
      <c r="E566">
        <v>4</v>
      </c>
      <c r="F566">
        <v>-5.3659999999999997</v>
      </c>
      <c r="G566">
        <v>-27.155000000000001</v>
      </c>
      <c r="H566">
        <v>17206</v>
      </c>
      <c r="I566">
        <v>0</v>
      </c>
      <c r="J566">
        <v>1</v>
      </c>
      <c r="K566" t="s">
        <v>359</v>
      </c>
      <c r="L566" t="s">
        <v>359</v>
      </c>
      <c r="M566" t="s">
        <v>360</v>
      </c>
      <c r="N566">
        <v>1649407346.3800001</v>
      </c>
      <c r="O566">
        <v>0.20300000000000001</v>
      </c>
      <c r="P566">
        <v>0.47399999999999998</v>
      </c>
      <c r="Q566">
        <v>62.378999999999998</v>
      </c>
      <c r="R566">
        <v>2E-3</v>
      </c>
      <c r="S566">
        <v>4.0000000000000001E-3</v>
      </c>
      <c r="T566">
        <v>1.4910000000000001</v>
      </c>
      <c r="U566">
        <v>101.934</v>
      </c>
      <c r="V566">
        <v>20.882000000000001</v>
      </c>
      <c r="W566">
        <v>2.4260000000000002</v>
      </c>
      <c r="X566">
        <v>94.802999999999997</v>
      </c>
      <c r="Y566">
        <v>0.94199999999999995</v>
      </c>
      <c r="Z566">
        <v>0.373</v>
      </c>
      <c r="AA566">
        <v>0</v>
      </c>
      <c r="AB566">
        <v>0</v>
      </c>
      <c r="AC566">
        <v>1</v>
      </c>
      <c r="AD566">
        <v>39.875</v>
      </c>
      <c r="AE566">
        <v>1</v>
      </c>
      <c r="AF566">
        <v>75</v>
      </c>
      <c r="AG566">
        <v>6</v>
      </c>
      <c r="AH566" t="s">
        <v>361</v>
      </c>
      <c r="AI566">
        <v>0</v>
      </c>
    </row>
    <row r="567" spans="1:35" x14ac:dyDescent="0.2">
      <c r="A567">
        <v>566</v>
      </c>
      <c r="B567" t="s">
        <v>1087</v>
      </c>
      <c r="C567" t="s">
        <v>1092</v>
      </c>
      <c r="D567" t="s">
        <v>435</v>
      </c>
      <c r="E567">
        <v>5</v>
      </c>
      <c r="F567">
        <v>-5.2160000000000002</v>
      </c>
      <c r="G567">
        <v>-26.552</v>
      </c>
      <c r="H567">
        <v>17200</v>
      </c>
      <c r="I567">
        <v>0</v>
      </c>
      <c r="J567">
        <v>1</v>
      </c>
      <c r="K567" t="s">
        <v>359</v>
      </c>
      <c r="L567" t="s">
        <v>359</v>
      </c>
      <c r="M567" t="s">
        <v>360</v>
      </c>
      <c r="N567">
        <v>1649407884.6700001</v>
      </c>
      <c r="O567">
        <v>0.2</v>
      </c>
      <c r="P567">
        <v>0.39200000000000002</v>
      </c>
      <c r="Q567">
        <v>57.011000000000003</v>
      </c>
      <c r="R567">
        <v>1E-3</v>
      </c>
      <c r="S567">
        <v>0</v>
      </c>
      <c r="T567">
        <v>1.3680000000000001</v>
      </c>
      <c r="U567">
        <v>101.919</v>
      </c>
      <c r="V567">
        <v>21.175999999999998</v>
      </c>
      <c r="W567">
        <v>2.4089999999999998</v>
      </c>
      <c r="X567">
        <v>93.867000000000004</v>
      </c>
      <c r="Y567">
        <v>0.93899999999999995</v>
      </c>
      <c r="Z567">
        <v>0.19600000000000001</v>
      </c>
      <c r="AA567">
        <v>0</v>
      </c>
      <c r="AB567">
        <v>0</v>
      </c>
      <c r="AC567">
        <v>1</v>
      </c>
      <c r="AD567">
        <v>39.811999999999998</v>
      </c>
      <c r="AE567">
        <v>1</v>
      </c>
      <c r="AF567">
        <v>75</v>
      </c>
      <c r="AG567">
        <v>6</v>
      </c>
      <c r="AH567" t="s">
        <v>361</v>
      </c>
      <c r="AI567">
        <v>0</v>
      </c>
    </row>
    <row r="568" spans="1:35" x14ac:dyDescent="0.2">
      <c r="A568">
        <v>567</v>
      </c>
      <c r="B568" t="s">
        <v>1087</v>
      </c>
      <c r="C568" t="s">
        <v>1093</v>
      </c>
      <c r="D568" t="s">
        <v>435</v>
      </c>
      <c r="E568">
        <v>6</v>
      </c>
      <c r="F568">
        <v>-5.2709999999999999</v>
      </c>
      <c r="G568">
        <v>-26.634</v>
      </c>
      <c r="H568">
        <v>17193</v>
      </c>
      <c r="I568">
        <v>0</v>
      </c>
      <c r="J568">
        <v>1</v>
      </c>
      <c r="K568" t="s">
        <v>359</v>
      </c>
      <c r="L568" t="s">
        <v>359</v>
      </c>
      <c r="M568" t="s">
        <v>360</v>
      </c>
      <c r="N568">
        <v>1649408421.3499999</v>
      </c>
      <c r="O568">
        <v>0.20100000000000001</v>
      </c>
      <c r="P568">
        <v>0.38200000000000001</v>
      </c>
      <c r="Q568">
        <v>56.732999999999997</v>
      </c>
      <c r="R568">
        <v>1E-3</v>
      </c>
      <c r="S568">
        <v>-1E-3</v>
      </c>
      <c r="T568">
        <v>1.35</v>
      </c>
      <c r="U568">
        <v>101.833</v>
      </c>
      <c r="V568">
        <v>20.856999999999999</v>
      </c>
      <c r="W568">
        <v>2.4470000000000001</v>
      </c>
      <c r="X568">
        <v>94.775999999999996</v>
      </c>
      <c r="Y568">
        <v>0.95599999999999996</v>
      </c>
      <c r="Z568">
        <v>0.36599999999999999</v>
      </c>
      <c r="AA568">
        <v>0</v>
      </c>
      <c r="AB568">
        <v>0</v>
      </c>
      <c r="AC568">
        <v>1</v>
      </c>
      <c r="AD568">
        <v>39.875</v>
      </c>
      <c r="AE568">
        <v>1</v>
      </c>
      <c r="AF568">
        <v>75</v>
      </c>
      <c r="AG568">
        <v>6</v>
      </c>
      <c r="AH568" t="s">
        <v>361</v>
      </c>
      <c r="AI568">
        <v>0</v>
      </c>
    </row>
    <row r="569" spans="1:35" x14ac:dyDescent="0.2">
      <c r="A569">
        <v>568</v>
      </c>
      <c r="B569" t="s">
        <v>1094</v>
      </c>
      <c r="C569" t="s">
        <v>1095</v>
      </c>
      <c r="D569" t="s">
        <v>436</v>
      </c>
      <c r="E569">
        <v>1</v>
      </c>
      <c r="F569">
        <v>-5.4610000000000003</v>
      </c>
      <c r="G569">
        <v>-28.847000000000001</v>
      </c>
      <c r="H569">
        <v>17419</v>
      </c>
      <c r="I569">
        <v>-1</v>
      </c>
      <c r="J569">
        <v>1</v>
      </c>
      <c r="K569" t="s">
        <v>359</v>
      </c>
      <c r="L569" t="s">
        <v>359</v>
      </c>
      <c r="M569" t="s">
        <v>360</v>
      </c>
      <c r="N569">
        <v>1649408958.9300001</v>
      </c>
      <c r="O569">
        <v>0.20499999999999999</v>
      </c>
      <c r="P569">
        <v>0.42</v>
      </c>
      <c r="Q569">
        <v>58.722000000000001</v>
      </c>
      <c r="R569">
        <v>1E-3</v>
      </c>
      <c r="S569">
        <v>1E-3</v>
      </c>
      <c r="T569">
        <v>1.405</v>
      </c>
      <c r="U569">
        <v>103.369</v>
      </c>
      <c r="V569">
        <v>21.539000000000001</v>
      </c>
      <c r="W569">
        <v>2.41</v>
      </c>
      <c r="X569">
        <v>94.192999999999998</v>
      </c>
      <c r="Y569">
        <v>0.94899999999999995</v>
      </c>
      <c r="Z569">
        <v>8.3000000000000004E-2</v>
      </c>
      <c r="AA569">
        <v>0</v>
      </c>
      <c r="AB569">
        <v>0</v>
      </c>
      <c r="AC569">
        <v>1</v>
      </c>
      <c r="AD569">
        <v>39.811999999999998</v>
      </c>
      <c r="AE569">
        <v>1</v>
      </c>
      <c r="AF569">
        <v>76</v>
      </c>
      <c r="AG569">
        <v>6</v>
      </c>
      <c r="AH569" t="s">
        <v>361</v>
      </c>
      <c r="AI569">
        <v>0</v>
      </c>
    </row>
    <row r="570" spans="1:35" x14ac:dyDescent="0.2">
      <c r="A570">
        <v>569</v>
      </c>
      <c r="B570" t="s">
        <v>1094</v>
      </c>
      <c r="C570" t="s">
        <v>1096</v>
      </c>
      <c r="D570" t="s">
        <v>436</v>
      </c>
      <c r="E570">
        <v>2</v>
      </c>
      <c r="F570">
        <v>-5.4429999999999996</v>
      </c>
      <c r="G570">
        <v>-29.027999999999999</v>
      </c>
      <c r="H570">
        <v>17232</v>
      </c>
      <c r="I570">
        <v>-1</v>
      </c>
      <c r="J570">
        <v>1</v>
      </c>
      <c r="K570" t="s">
        <v>359</v>
      </c>
      <c r="L570" t="s">
        <v>359</v>
      </c>
      <c r="M570" t="s">
        <v>360</v>
      </c>
      <c r="N570">
        <v>1649409495.5799999</v>
      </c>
      <c r="O570">
        <v>0.22800000000000001</v>
      </c>
      <c r="P570">
        <v>0.45600000000000002</v>
      </c>
      <c r="Q570">
        <v>55.23</v>
      </c>
      <c r="R570">
        <v>0</v>
      </c>
      <c r="S570">
        <v>0</v>
      </c>
      <c r="T570">
        <v>1.3069999999999999</v>
      </c>
      <c r="U570">
        <v>102.214</v>
      </c>
      <c r="V570">
        <v>20.744</v>
      </c>
      <c r="W570">
        <v>2.464</v>
      </c>
      <c r="X570">
        <v>94.718000000000004</v>
      </c>
      <c r="Y570">
        <v>0.96099999999999997</v>
      </c>
      <c r="Z570">
        <v>0.27500000000000002</v>
      </c>
      <c r="AA570">
        <v>0</v>
      </c>
      <c r="AB570">
        <v>0</v>
      </c>
      <c r="AC570">
        <v>1</v>
      </c>
      <c r="AD570">
        <v>39.811999999999998</v>
      </c>
      <c r="AE570">
        <v>1</v>
      </c>
      <c r="AF570">
        <v>76</v>
      </c>
      <c r="AG570">
        <v>6</v>
      </c>
      <c r="AH570" t="s">
        <v>361</v>
      </c>
      <c r="AI570">
        <v>0</v>
      </c>
    </row>
    <row r="571" spans="1:35" x14ac:dyDescent="0.2">
      <c r="A571">
        <v>570</v>
      </c>
      <c r="B571" t="s">
        <v>1094</v>
      </c>
      <c r="C571" t="s">
        <v>1097</v>
      </c>
      <c r="D571" t="s">
        <v>436</v>
      </c>
      <c r="E571">
        <v>3</v>
      </c>
      <c r="F571">
        <v>-5.4829999999999997</v>
      </c>
      <c r="G571">
        <v>-29.091000000000001</v>
      </c>
      <c r="H571">
        <v>17213</v>
      </c>
      <c r="I571">
        <v>-1</v>
      </c>
      <c r="J571">
        <v>1</v>
      </c>
      <c r="K571" t="s">
        <v>359</v>
      </c>
      <c r="L571" t="s">
        <v>359</v>
      </c>
      <c r="M571" t="s">
        <v>360</v>
      </c>
      <c r="N571">
        <v>1649410034.23</v>
      </c>
      <c r="O571">
        <v>0.214</v>
      </c>
      <c r="P571">
        <v>0.38</v>
      </c>
      <c r="Q571">
        <v>56.081000000000003</v>
      </c>
      <c r="R571">
        <v>1E-3</v>
      </c>
      <c r="S571">
        <v>0</v>
      </c>
      <c r="T571">
        <v>1.35</v>
      </c>
      <c r="U571">
        <v>101.89400000000001</v>
      </c>
      <c r="V571">
        <v>21.286000000000001</v>
      </c>
      <c r="W571">
        <v>2.4489999999999998</v>
      </c>
      <c r="X571">
        <v>94.153999999999996</v>
      </c>
      <c r="Y571">
        <v>0.94899999999999995</v>
      </c>
      <c r="Z571">
        <v>0.193</v>
      </c>
      <c r="AA571">
        <v>0</v>
      </c>
      <c r="AB571">
        <v>0</v>
      </c>
      <c r="AC571">
        <v>1</v>
      </c>
      <c r="AD571">
        <v>39.875</v>
      </c>
      <c r="AE571">
        <v>1</v>
      </c>
      <c r="AF571">
        <v>76</v>
      </c>
      <c r="AG571">
        <v>6</v>
      </c>
      <c r="AH571" t="s">
        <v>361</v>
      </c>
      <c r="AI571">
        <v>0</v>
      </c>
    </row>
    <row r="572" spans="1:35" x14ac:dyDescent="0.2">
      <c r="A572">
        <v>571</v>
      </c>
      <c r="B572" t="s">
        <v>1094</v>
      </c>
      <c r="C572" t="s">
        <v>1098</v>
      </c>
      <c r="D572" t="s">
        <v>436</v>
      </c>
      <c r="E572">
        <v>4</v>
      </c>
      <c r="F572">
        <v>-5.4560000000000004</v>
      </c>
      <c r="G572">
        <v>-29.372</v>
      </c>
      <c r="H572">
        <v>17291</v>
      </c>
      <c r="I572">
        <v>0</v>
      </c>
      <c r="J572">
        <v>1</v>
      </c>
      <c r="K572" t="s">
        <v>359</v>
      </c>
      <c r="L572" t="s">
        <v>359</v>
      </c>
      <c r="M572" t="s">
        <v>360</v>
      </c>
      <c r="N572">
        <v>1649410570.3499999</v>
      </c>
      <c r="O572">
        <v>0.2</v>
      </c>
      <c r="P572">
        <v>0.38900000000000001</v>
      </c>
      <c r="Q572">
        <v>56.186</v>
      </c>
      <c r="R572">
        <v>1E-3</v>
      </c>
      <c r="S572">
        <v>-1E-3</v>
      </c>
      <c r="T572">
        <v>1.335</v>
      </c>
      <c r="U572">
        <v>102.426</v>
      </c>
      <c r="V572">
        <v>21.047999999999998</v>
      </c>
      <c r="W572">
        <v>2.472</v>
      </c>
      <c r="X572">
        <v>95.378</v>
      </c>
      <c r="Y572">
        <v>0.94399999999999995</v>
      </c>
      <c r="Z572">
        <v>0.38800000000000001</v>
      </c>
      <c r="AA572">
        <v>0</v>
      </c>
      <c r="AB572">
        <v>0</v>
      </c>
      <c r="AC572">
        <v>1</v>
      </c>
      <c r="AD572">
        <v>39.811999999999998</v>
      </c>
      <c r="AE572">
        <v>1</v>
      </c>
      <c r="AF572">
        <v>76</v>
      </c>
      <c r="AG572">
        <v>6</v>
      </c>
      <c r="AH572" t="s">
        <v>361</v>
      </c>
      <c r="AI572">
        <v>0</v>
      </c>
    </row>
    <row r="573" spans="1:35" x14ac:dyDescent="0.2">
      <c r="A573">
        <v>572</v>
      </c>
      <c r="B573" t="s">
        <v>1094</v>
      </c>
      <c r="C573" t="s">
        <v>1099</v>
      </c>
      <c r="D573" t="s">
        <v>436</v>
      </c>
      <c r="E573">
        <v>5</v>
      </c>
      <c r="F573">
        <v>-5.4720000000000004</v>
      </c>
      <c r="G573">
        <v>-29.018000000000001</v>
      </c>
      <c r="H573">
        <v>17170</v>
      </c>
      <c r="I573">
        <v>0</v>
      </c>
      <c r="J573">
        <v>1</v>
      </c>
      <c r="K573" t="s">
        <v>359</v>
      </c>
      <c r="L573" t="s">
        <v>359</v>
      </c>
      <c r="M573" t="s">
        <v>360</v>
      </c>
      <c r="N573">
        <v>1649411108.3699999</v>
      </c>
      <c r="O573">
        <v>0.20499999999999999</v>
      </c>
      <c r="P573">
        <v>0.39400000000000002</v>
      </c>
      <c r="Q573">
        <v>58.012</v>
      </c>
      <c r="R573">
        <v>1E-3</v>
      </c>
      <c r="S573">
        <v>0</v>
      </c>
      <c r="T573">
        <v>1.3939999999999999</v>
      </c>
      <c r="U573">
        <v>101.694</v>
      </c>
      <c r="V573">
        <v>21.053999999999998</v>
      </c>
      <c r="W573">
        <v>2.4159999999999999</v>
      </c>
      <c r="X573">
        <v>93.971999999999994</v>
      </c>
      <c r="Y573">
        <v>0.92600000000000005</v>
      </c>
      <c r="Z573">
        <v>0.22700000000000001</v>
      </c>
      <c r="AA573">
        <v>0</v>
      </c>
      <c r="AB573">
        <v>0</v>
      </c>
      <c r="AC573">
        <v>1</v>
      </c>
      <c r="AD573">
        <v>39.875</v>
      </c>
      <c r="AE573">
        <v>1</v>
      </c>
      <c r="AF573">
        <v>76</v>
      </c>
      <c r="AG573">
        <v>6</v>
      </c>
      <c r="AH573" t="s">
        <v>361</v>
      </c>
      <c r="AI573">
        <v>0</v>
      </c>
    </row>
    <row r="574" spans="1:35" x14ac:dyDescent="0.2">
      <c r="A574">
        <v>573</v>
      </c>
      <c r="B574" t="s">
        <v>1094</v>
      </c>
      <c r="C574" t="s">
        <v>1100</v>
      </c>
      <c r="D574" t="s">
        <v>436</v>
      </c>
      <c r="E574">
        <v>6</v>
      </c>
      <c r="F574">
        <v>-5.5659999999999998</v>
      </c>
      <c r="G574">
        <v>-29.564</v>
      </c>
      <c r="H574">
        <v>17159</v>
      </c>
      <c r="I574">
        <v>0</v>
      </c>
      <c r="J574">
        <v>1</v>
      </c>
      <c r="K574" t="s">
        <v>359</v>
      </c>
      <c r="L574" t="s">
        <v>359</v>
      </c>
      <c r="M574" t="s">
        <v>360</v>
      </c>
      <c r="N574">
        <v>1649411644.9200001</v>
      </c>
      <c r="O574">
        <v>0.25</v>
      </c>
      <c r="P574">
        <v>0.47399999999999998</v>
      </c>
      <c r="Q574">
        <v>67.430000000000007</v>
      </c>
      <c r="R574">
        <v>3.0000000000000001E-3</v>
      </c>
      <c r="S574">
        <v>5.0000000000000001E-3</v>
      </c>
      <c r="T574">
        <v>1.6120000000000001</v>
      </c>
      <c r="U574">
        <v>101.789</v>
      </c>
      <c r="V574">
        <v>21.007000000000001</v>
      </c>
      <c r="W574">
        <v>2.3650000000000002</v>
      </c>
      <c r="X574">
        <v>93.025000000000006</v>
      </c>
      <c r="Y574">
        <v>0.94099999999999995</v>
      </c>
      <c r="Z574">
        <v>0.06</v>
      </c>
      <c r="AA574">
        <v>0</v>
      </c>
      <c r="AB574">
        <v>0</v>
      </c>
      <c r="AC574">
        <v>1</v>
      </c>
      <c r="AD574">
        <v>39.811999999999998</v>
      </c>
      <c r="AE574">
        <v>1</v>
      </c>
      <c r="AF574">
        <v>76</v>
      </c>
      <c r="AG574">
        <v>6</v>
      </c>
      <c r="AH574" t="s">
        <v>361</v>
      </c>
      <c r="AI574">
        <v>0</v>
      </c>
    </row>
    <row r="575" spans="1:35" x14ac:dyDescent="0.2">
      <c r="A575">
        <v>574</v>
      </c>
      <c r="B575" t="s">
        <v>1101</v>
      </c>
      <c r="C575" t="s">
        <v>1102</v>
      </c>
      <c r="D575" t="s">
        <v>437</v>
      </c>
      <c r="E575">
        <v>1</v>
      </c>
      <c r="F575">
        <v>-5.3570000000000002</v>
      </c>
      <c r="G575">
        <v>-28.824999999999999</v>
      </c>
      <c r="H575">
        <v>17443</v>
      </c>
      <c r="I575">
        <v>-1</v>
      </c>
      <c r="J575">
        <v>1</v>
      </c>
      <c r="K575" t="s">
        <v>359</v>
      </c>
      <c r="L575" t="s">
        <v>359</v>
      </c>
      <c r="M575" t="s">
        <v>360</v>
      </c>
      <c r="N575">
        <v>1649412182.98</v>
      </c>
      <c r="O575">
        <v>0.23300000000000001</v>
      </c>
      <c r="P575">
        <v>0.374</v>
      </c>
      <c r="Q575">
        <v>56.531999999999996</v>
      </c>
      <c r="R575">
        <v>1E-3</v>
      </c>
      <c r="S575">
        <v>1E-3</v>
      </c>
      <c r="T575">
        <v>1.3480000000000001</v>
      </c>
      <c r="U575">
        <v>103.514</v>
      </c>
      <c r="V575">
        <v>21.385999999999999</v>
      </c>
      <c r="W575">
        <v>2.4550000000000001</v>
      </c>
      <c r="X575">
        <v>94.822000000000003</v>
      </c>
      <c r="Y575">
        <v>0.93200000000000005</v>
      </c>
      <c r="Z575">
        <v>0.19500000000000001</v>
      </c>
      <c r="AA575">
        <v>0</v>
      </c>
      <c r="AB575">
        <v>0</v>
      </c>
      <c r="AC575">
        <v>1</v>
      </c>
      <c r="AD575">
        <v>39.75</v>
      </c>
      <c r="AE575">
        <v>1</v>
      </c>
      <c r="AF575">
        <v>77</v>
      </c>
      <c r="AG575">
        <v>6</v>
      </c>
      <c r="AH575" t="s">
        <v>361</v>
      </c>
      <c r="AI575">
        <v>0</v>
      </c>
    </row>
    <row r="576" spans="1:35" x14ac:dyDescent="0.2">
      <c r="A576">
        <v>575</v>
      </c>
      <c r="B576" t="s">
        <v>1101</v>
      </c>
      <c r="C576" t="s">
        <v>1103</v>
      </c>
      <c r="D576" t="s">
        <v>437</v>
      </c>
      <c r="E576">
        <v>2</v>
      </c>
      <c r="F576">
        <v>-5.3689999999999998</v>
      </c>
      <c r="G576">
        <v>-28.888999999999999</v>
      </c>
      <c r="H576">
        <v>17447</v>
      </c>
      <c r="I576">
        <v>-1</v>
      </c>
      <c r="J576">
        <v>1</v>
      </c>
      <c r="K576" t="s">
        <v>359</v>
      </c>
      <c r="L576" t="s">
        <v>359</v>
      </c>
      <c r="M576" t="s">
        <v>360</v>
      </c>
      <c r="N576">
        <v>1649412720.8800001</v>
      </c>
      <c r="O576">
        <v>0.191</v>
      </c>
      <c r="P576">
        <v>0.42099999999999999</v>
      </c>
      <c r="Q576">
        <v>57.351999999999997</v>
      </c>
      <c r="R576">
        <v>0</v>
      </c>
      <c r="S576">
        <v>0</v>
      </c>
      <c r="T576">
        <v>1.3759999999999999</v>
      </c>
      <c r="U576">
        <v>103.431</v>
      </c>
      <c r="V576">
        <v>21.109000000000002</v>
      </c>
      <c r="W576">
        <v>2.4409999999999998</v>
      </c>
      <c r="X576">
        <v>96.504999999999995</v>
      </c>
      <c r="Y576">
        <v>0.92200000000000004</v>
      </c>
      <c r="Z576">
        <v>0.35599999999999998</v>
      </c>
      <c r="AA576">
        <v>0</v>
      </c>
      <c r="AB576">
        <v>0</v>
      </c>
      <c r="AC576">
        <v>1</v>
      </c>
      <c r="AD576">
        <v>39.875</v>
      </c>
      <c r="AE576">
        <v>1</v>
      </c>
      <c r="AF576">
        <v>77</v>
      </c>
      <c r="AG576">
        <v>6</v>
      </c>
      <c r="AH576" t="s">
        <v>361</v>
      </c>
      <c r="AI576">
        <v>0</v>
      </c>
    </row>
    <row r="577" spans="1:35" x14ac:dyDescent="0.2">
      <c r="A577">
        <v>576</v>
      </c>
      <c r="B577" t="s">
        <v>1101</v>
      </c>
      <c r="C577" t="s">
        <v>1104</v>
      </c>
      <c r="D577" t="s">
        <v>437</v>
      </c>
      <c r="E577">
        <v>3</v>
      </c>
      <c r="F577">
        <v>-5.4550000000000001</v>
      </c>
      <c r="G577">
        <v>-29.321999999999999</v>
      </c>
      <c r="H577">
        <v>17200</v>
      </c>
      <c r="I577">
        <v>-1</v>
      </c>
      <c r="J577">
        <v>1</v>
      </c>
      <c r="K577" t="s">
        <v>359</v>
      </c>
      <c r="L577" t="s">
        <v>359</v>
      </c>
      <c r="M577" t="s">
        <v>360</v>
      </c>
      <c r="N577">
        <v>1649413257.5599999</v>
      </c>
      <c r="O577">
        <v>0.222</v>
      </c>
      <c r="P577">
        <v>0.45400000000000001</v>
      </c>
      <c r="Q577">
        <v>69.183999999999997</v>
      </c>
      <c r="R577">
        <v>1E-3</v>
      </c>
      <c r="S577">
        <v>4.0000000000000001E-3</v>
      </c>
      <c r="T577">
        <v>1.651</v>
      </c>
      <c r="U577">
        <v>102.02</v>
      </c>
      <c r="V577">
        <v>21.239000000000001</v>
      </c>
      <c r="W577">
        <v>2.38</v>
      </c>
      <c r="X577">
        <v>93.173000000000002</v>
      </c>
      <c r="Y577">
        <v>0.94199999999999995</v>
      </c>
      <c r="Z577">
        <v>5.5E-2</v>
      </c>
      <c r="AA577">
        <v>0</v>
      </c>
      <c r="AB577">
        <v>0</v>
      </c>
      <c r="AC577">
        <v>1</v>
      </c>
      <c r="AD577">
        <v>39.811999999999998</v>
      </c>
      <c r="AE577">
        <v>1</v>
      </c>
      <c r="AF577">
        <v>77</v>
      </c>
      <c r="AG577">
        <v>6</v>
      </c>
      <c r="AH577" t="s">
        <v>361</v>
      </c>
      <c r="AI577">
        <v>0</v>
      </c>
    </row>
    <row r="578" spans="1:35" x14ac:dyDescent="0.2">
      <c r="A578">
        <v>577</v>
      </c>
      <c r="B578" t="s">
        <v>1101</v>
      </c>
      <c r="C578" t="s">
        <v>1105</v>
      </c>
      <c r="D578" t="s">
        <v>437</v>
      </c>
      <c r="E578">
        <v>4</v>
      </c>
      <c r="F578">
        <v>-5.3680000000000003</v>
      </c>
      <c r="G578">
        <v>-28.963000000000001</v>
      </c>
      <c r="H578">
        <v>17212</v>
      </c>
      <c r="I578">
        <v>0</v>
      </c>
      <c r="J578">
        <v>1</v>
      </c>
      <c r="K578" t="s">
        <v>359</v>
      </c>
      <c r="L578" t="s">
        <v>359</v>
      </c>
      <c r="M578" t="s">
        <v>360</v>
      </c>
      <c r="N578">
        <v>1649413795.73</v>
      </c>
      <c r="O578">
        <v>0.20200000000000001</v>
      </c>
      <c r="P578">
        <v>0.40899999999999997</v>
      </c>
      <c r="Q578">
        <v>56.79</v>
      </c>
      <c r="R578">
        <v>1E-3</v>
      </c>
      <c r="S578">
        <v>2E-3</v>
      </c>
      <c r="T578">
        <v>1.3720000000000001</v>
      </c>
      <c r="U578">
        <v>101.684</v>
      </c>
      <c r="V578">
        <v>21.254000000000001</v>
      </c>
      <c r="W578">
        <v>2.4780000000000002</v>
      </c>
      <c r="X578">
        <v>95.373000000000005</v>
      </c>
      <c r="Y578">
        <v>0.93500000000000005</v>
      </c>
      <c r="Z578">
        <v>0.63300000000000001</v>
      </c>
      <c r="AA578">
        <v>0</v>
      </c>
      <c r="AB578">
        <v>0</v>
      </c>
      <c r="AC578">
        <v>1</v>
      </c>
      <c r="AD578">
        <v>39.875</v>
      </c>
      <c r="AE578">
        <v>1</v>
      </c>
      <c r="AF578">
        <v>77</v>
      </c>
      <c r="AG578">
        <v>6</v>
      </c>
      <c r="AH578" t="s">
        <v>361</v>
      </c>
      <c r="AI578">
        <v>0</v>
      </c>
    </row>
    <row r="579" spans="1:35" x14ac:dyDescent="0.2">
      <c r="A579">
        <v>578</v>
      </c>
      <c r="B579" t="s">
        <v>1101</v>
      </c>
      <c r="C579" t="s">
        <v>1106</v>
      </c>
      <c r="D579" t="s">
        <v>437</v>
      </c>
      <c r="E579">
        <v>5</v>
      </c>
      <c r="F579">
        <v>-5.3979999999999997</v>
      </c>
      <c r="G579">
        <v>-29.071999999999999</v>
      </c>
      <c r="H579">
        <v>17180</v>
      </c>
      <c r="I579">
        <v>0</v>
      </c>
      <c r="J579">
        <v>1</v>
      </c>
      <c r="K579" t="s">
        <v>359</v>
      </c>
      <c r="L579" t="s">
        <v>359</v>
      </c>
      <c r="M579" t="s">
        <v>360</v>
      </c>
      <c r="N579">
        <v>1649414334.52</v>
      </c>
      <c r="O579">
        <v>0.19500000000000001</v>
      </c>
      <c r="P579">
        <v>0.39800000000000002</v>
      </c>
      <c r="Q579">
        <v>56.058999999999997</v>
      </c>
      <c r="R579">
        <v>1E-3</v>
      </c>
      <c r="S579">
        <v>2E-3</v>
      </c>
      <c r="T579">
        <v>1.363</v>
      </c>
      <c r="U579">
        <v>101.943</v>
      </c>
      <c r="V579">
        <v>20.928999999999998</v>
      </c>
      <c r="W579">
        <v>2.3929999999999998</v>
      </c>
      <c r="X579">
        <v>93.58</v>
      </c>
      <c r="Y579">
        <v>0.93400000000000005</v>
      </c>
      <c r="Z579">
        <v>6.8000000000000005E-2</v>
      </c>
      <c r="AA579">
        <v>0</v>
      </c>
      <c r="AB579">
        <v>0</v>
      </c>
      <c r="AC579">
        <v>1</v>
      </c>
      <c r="AD579">
        <v>39.875</v>
      </c>
      <c r="AE579">
        <v>1</v>
      </c>
      <c r="AF579">
        <v>77</v>
      </c>
      <c r="AG579">
        <v>6</v>
      </c>
      <c r="AH579" t="s">
        <v>361</v>
      </c>
      <c r="AI579">
        <v>0</v>
      </c>
    </row>
    <row r="580" spans="1:35" x14ac:dyDescent="0.2">
      <c r="A580">
        <v>579</v>
      </c>
      <c r="B580" t="s">
        <v>1101</v>
      </c>
      <c r="C580" t="s">
        <v>1107</v>
      </c>
      <c r="D580" t="s">
        <v>437</v>
      </c>
      <c r="E580">
        <v>6</v>
      </c>
      <c r="F580">
        <v>-5.3869999999999996</v>
      </c>
      <c r="G580">
        <v>-28.751999999999999</v>
      </c>
      <c r="H580">
        <v>17200</v>
      </c>
      <c r="I580">
        <v>0</v>
      </c>
      <c r="J580">
        <v>1</v>
      </c>
      <c r="K580" t="s">
        <v>359</v>
      </c>
      <c r="L580" t="s">
        <v>359</v>
      </c>
      <c r="M580" t="s">
        <v>360</v>
      </c>
      <c r="N580">
        <v>1649414869.3900001</v>
      </c>
      <c r="O580">
        <v>0.21</v>
      </c>
      <c r="P580">
        <v>0.41399999999999998</v>
      </c>
      <c r="Q580">
        <v>55.756999999999998</v>
      </c>
      <c r="R580">
        <v>0</v>
      </c>
      <c r="S580">
        <v>-1E-3</v>
      </c>
      <c r="T580">
        <v>1.34</v>
      </c>
      <c r="U580">
        <v>101.922</v>
      </c>
      <c r="V580">
        <v>20.693000000000001</v>
      </c>
      <c r="W580">
        <v>2.4340000000000002</v>
      </c>
      <c r="X580">
        <v>95.257999999999996</v>
      </c>
      <c r="Y580">
        <v>0.92500000000000004</v>
      </c>
      <c r="Z580">
        <v>0.44700000000000001</v>
      </c>
      <c r="AA580">
        <v>0</v>
      </c>
      <c r="AB580">
        <v>0</v>
      </c>
      <c r="AC580">
        <v>1</v>
      </c>
      <c r="AD580">
        <v>39.811999999999998</v>
      </c>
      <c r="AE580">
        <v>1</v>
      </c>
      <c r="AF580">
        <v>77</v>
      </c>
      <c r="AG580">
        <v>6</v>
      </c>
      <c r="AH580" t="s">
        <v>361</v>
      </c>
      <c r="AI580">
        <v>0</v>
      </c>
    </row>
    <row r="581" spans="1:35" x14ac:dyDescent="0.2">
      <c r="A581">
        <v>580</v>
      </c>
      <c r="B581" t="s">
        <v>1108</v>
      </c>
      <c r="C581" t="s">
        <v>1109</v>
      </c>
      <c r="D581" t="s">
        <v>438</v>
      </c>
      <c r="E581">
        <v>1</v>
      </c>
      <c r="F581">
        <v>-5.3479999999999999</v>
      </c>
      <c r="G581">
        <v>-27.734999999999999</v>
      </c>
      <c r="H581">
        <v>17190</v>
      </c>
      <c r="I581">
        <v>-1</v>
      </c>
      <c r="J581">
        <v>1</v>
      </c>
      <c r="K581" t="s">
        <v>359</v>
      </c>
      <c r="L581" t="s">
        <v>359</v>
      </c>
      <c r="M581" t="s">
        <v>360</v>
      </c>
      <c r="N581">
        <v>1649415407.45</v>
      </c>
      <c r="O581">
        <v>0.21199999999999999</v>
      </c>
      <c r="P581">
        <v>0.38300000000000001</v>
      </c>
      <c r="Q581">
        <v>56.95</v>
      </c>
      <c r="R581">
        <v>1E-3</v>
      </c>
      <c r="S581">
        <v>0</v>
      </c>
      <c r="T581">
        <v>1.369</v>
      </c>
      <c r="U581">
        <v>101.928</v>
      </c>
      <c r="V581">
        <v>20.806000000000001</v>
      </c>
      <c r="W581">
        <v>2.4279999999999999</v>
      </c>
      <c r="X581">
        <v>94.376999999999995</v>
      </c>
      <c r="Y581">
        <v>0.93100000000000005</v>
      </c>
      <c r="Z581">
        <v>0.27100000000000002</v>
      </c>
      <c r="AA581">
        <v>0</v>
      </c>
      <c r="AB581">
        <v>0</v>
      </c>
      <c r="AC581">
        <v>1</v>
      </c>
      <c r="AD581">
        <v>39.875</v>
      </c>
      <c r="AE581">
        <v>1</v>
      </c>
      <c r="AF581">
        <v>78</v>
      </c>
      <c r="AG581">
        <v>6</v>
      </c>
      <c r="AH581" t="s">
        <v>361</v>
      </c>
      <c r="AI581">
        <v>0</v>
      </c>
    </row>
    <row r="582" spans="1:35" x14ac:dyDescent="0.2">
      <c r="A582">
        <v>581</v>
      </c>
      <c r="B582" t="s">
        <v>1108</v>
      </c>
      <c r="C582" t="s">
        <v>1110</v>
      </c>
      <c r="D582" t="s">
        <v>438</v>
      </c>
      <c r="E582">
        <v>2</v>
      </c>
      <c r="F582">
        <v>-5.3129999999999997</v>
      </c>
      <c r="G582">
        <v>-27.742999999999999</v>
      </c>
      <c r="H582">
        <v>17219</v>
      </c>
      <c r="I582">
        <v>-1</v>
      </c>
      <c r="J582">
        <v>1</v>
      </c>
      <c r="K582" t="s">
        <v>359</v>
      </c>
      <c r="L582" t="s">
        <v>359</v>
      </c>
      <c r="M582" t="s">
        <v>360</v>
      </c>
      <c r="N582">
        <v>1649415945.27</v>
      </c>
      <c r="O582">
        <v>0.19700000000000001</v>
      </c>
      <c r="P582">
        <v>0.36</v>
      </c>
      <c r="Q582">
        <v>57.667999999999999</v>
      </c>
      <c r="R582">
        <v>1E-3</v>
      </c>
      <c r="S582">
        <v>2E-3</v>
      </c>
      <c r="T582">
        <v>1.373</v>
      </c>
      <c r="U582">
        <v>102.042</v>
      </c>
      <c r="V582">
        <v>20.747</v>
      </c>
      <c r="W582">
        <v>2.4470000000000001</v>
      </c>
      <c r="X582">
        <v>95.126999999999995</v>
      </c>
      <c r="Y582">
        <v>0.93700000000000006</v>
      </c>
      <c r="Z582">
        <v>0.34399999999999997</v>
      </c>
      <c r="AA582">
        <v>0</v>
      </c>
      <c r="AB582">
        <v>0</v>
      </c>
      <c r="AC582">
        <v>1</v>
      </c>
      <c r="AD582">
        <v>39.811999999999998</v>
      </c>
      <c r="AE582">
        <v>1</v>
      </c>
      <c r="AF582">
        <v>78</v>
      </c>
      <c r="AG582">
        <v>6</v>
      </c>
      <c r="AH582" t="s">
        <v>361</v>
      </c>
      <c r="AI582">
        <v>0</v>
      </c>
    </row>
    <row r="583" spans="1:35" x14ac:dyDescent="0.2">
      <c r="A583">
        <v>582</v>
      </c>
      <c r="B583" t="s">
        <v>1108</v>
      </c>
      <c r="C583" t="s">
        <v>1111</v>
      </c>
      <c r="D583" t="s">
        <v>438</v>
      </c>
      <c r="E583">
        <v>3</v>
      </c>
      <c r="F583">
        <v>-5.2939999999999996</v>
      </c>
      <c r="G583">
        <v>-27.47</v>
      </c>
      <c r="H583">
        <v>17132</v>
      </c>
      <c r="I583">
        <v>-1</v>
      </c>
      <c r="J583">
        <v>1</v>
      </c>
      <c r="K583" t="s">
        <v>359</v>
      </c>
      <c r="L583" t="s">
        <v>359</v>
      </c>
      <c r="M583" t="s">
        <v>360</v>
      </c>
      <c r="N583">
        <v>1649416480.71</v>
      </c>
      <c r="O583">
        <v>0.216</v>
      </c>
      <c r="P583">
        <v>0.40799999999999997</v>
      </c>
      <c r="Q583">
        <v>55.536999999999999</v>
      </c>
      <c r="R583">
        <v>0</v>
      </c>
      <c r="S583">
        <v>0</v>
      </c>
      <c r="T583">
        <v>1.3320000000000001</v>
      </c>
      <c r="U583">
        <v>101.458</v>
      </c>
      <c r="V583">
        <v>21.106999999999999</v>
      </c>
      <c r="W583">
        <v>2.4180000000000001</v>
      </c>
      <c r="X583">
        <v>93.671999999999997</v>
      </c>
      <c r="Y583">
        <v>0.93</v>
      </c>
      <c r="Z583">
        <v>0.28999999999999998</v>
      </c>
      <c r="AA583">
        <v>0</v>
      </c>
      <c r="AB583">
        <v>0</v>
      </c>
      <c r="AC583">
        <v>1</v>
      </c>
      <c r="AD583">
        <v>39.75</v>
      </c>
      <c r="AE583">
        <v>1</v>
      </c>
      <c r="AF583">
        <v>78</v>
      </c>
      <c r="AG583">
        <v>6</v>
      </c>
      <c r="AH583" t="s">
        <v>361</v>
      </c>
      <c r="AI583">
        <v>0</v>
      </c>
    </row>
    <row r="584" spans="1:35" x14ac:dyDescent="0.2">
      <c r="A584">
        <v>583</v>
      </c>
      <c r="B584" t="s">
        <v>1108</v>
      </c>
      <c r="C584" t="s">
        <v>1112</v>
      </c>
      <c r="D584" t="s">
        <v>438</v>
      </c>
      <c r="E584">
        <v>4</v>
      </c>
      <c r="F584">
        <v>-5.3310000000000004</v>
      </c>
      <c r="G584">
        <v>-27.524999999999999</v>
      </c>
      <c r="H584">
        <v>17155</v>
      </c>
      <c r="I584">
        <v>0</v>
      </c>
      <c r="J584">
        <v>1</v>
      </c>
      <c r="K584" t="s">
        <v>359</v>
      </c>
      <c r="L584" t="s">
        <v>359</v>
      </c>
      <c r="M584" t="s">
        <v>360</v>
      </c>
      <c r="N584">
        <v>1649417018.8199999</v>
      </c>
      <c r="O584">
        <v>0.19500000000000001</v>
      </c>
      <c r="P584">
        <v>0.40200000000000002</v>
      </c>
      <c r="Q584">
        <v>57.68</v>
      </c>
      <c r="R584">
        <v>1E-3</v>
      </c>
      <c r="S584">
        <v>-1E-3</v>
      </c>
      <c r="T584">
        <v>1.3939999999999999</v>
      </c>
      <c r="U584">
        <v>101.473</v>
      </c>
      <c r="V584">
        <v>21.442</v>
      </c>
      <c r="W584">
        <v>2.4220000000000002</v>
      </c>
      <c r="X584">
        <v>93.504999999999995</v>
      </c>
      <c r="Y584">
        <v>0.92600000000000005</v>
      </c>
      <c r="Z584">
        <v>0.28000000000000003</v>
      </c>
      <c r="AA584">
        <v>0</v>
      </c>
      <c r="AB584">
        <v>0</v>
      </c>
      <c r="AC584">
        <v>1</v>
      </c>
      <c r="AD584">
        <v>39.875</v>
      </c>
      <c r="AE584">
        <v>1</v>
      </c>
      <c r="AF584">
        <v>78</v>
      </c>
      <c r="AG584">
        <v>6</v>
      </c>
      <c r="AH584" t="s">
        <v>361</v>
      </c>
      <c r="AI584">
        <v>0</v>
      </c>
    </row>
    <row r="585" spans="1:35" x14ac:dyDescent="0.2">
      <c r="A585">
        <v>584</v>
      </c>
      <c r="B585" t="s">
        <v>1108</v>
      </c>
      <c r="C585" t="s">
        <v>1113</v>
      </c>
      <c r="D585" t="s">
        <v>438</v>
      </c>
      <c r="E585">
        <v>5</v>
      </c>
      <c r="F585">
        <v>-5.2919999999999998</v>
      </c>
      <c r="G585">
        <v>-27.559000000000001</v>
      </c>
      <c r="H585">
        <v>17123</v>
      </c>
      <c r="I585">
        <v>0</v>
      </c>
      <c r="J585">
        <v>1</v>
      </c>
      <c r="K585" t="s">
        <v>359</v>
      </c>
      <c r="L585" t="s">
        <v>359</v>
      </c>
      <c r="M585" t="s">
        <v>360</v>
      </c>
      <c r="N585">
        <v>1649417554.79</v>
      </c>
      <c r="O585">
        <v>0.21199999999999999</v>
      </c>
      <c r="P585">
        <v>0.377</v>
      </c>
      <c r="Q585">
        <v>55.084000000000003</v>
      </c>
      <c r="R585">
        <v>1E-3</v>
      </c>
      <c r="S585">
        <v>-1E-3</v>
      </c>
      <c r="T585">
        <v>1.3160000000000001</v>
      </c>
      <c r="U585">
        <v>101.425</v>
      </c>
      <c r="V585">
        <v>20.981999999999999</v>
      </c>
      <c r="W585">
        <v>2.4129999999999998</v>
      </c>
      <c r="X585">
        <v>93.75</v>
      </c>
      <c r="Y585">
        <v>0.93700000000000006</v>
      </c>
      <c r="Z585">
        <v>0.22900000000000001</v>
      </c>
      <c r="AA585">
        <v>0</v>
      </c>
      <c r="AB585">
        <v>0</v>
      </c>
      <c r="AC585">
        <v>1</v>
      </c>
      <c r="AD585">
        <v>39.875</v>
      </c>
      <c r="AE585">
        <v>1</v>
      </c>
      <c r="AF585">
        <v>78</v>
      </c>
      <c r="AG585">
        <v>6</v>
      </c>
      <c r="AH585" t="s">
        <v>361</v>
      </c>
      <c r="AI585">
        <v>0</v>
      </c>
    </row>
    <row r="586" spans="1:35" x14ac:dyDescent="0.2">
      <c r="A586">
        <v>585</v>
      </c>
      <c r="B586" t="s">
        <v>1108</v>
      </c>
      <c r="C586" t="s">
        <v>1114</v>
      </c>
      <c r="D586" t="s">
        <v>438</v>
      </c>
      <c r="E586">
        <v>6</v>
      </c>
      <c r="F586">
        <v>-5.3460000000000001</v>
      </c>
      <c r="G586">
        <v>-27.57</v>
      </c>
      <c r="H586">
        <v>17102</v>
      </c>
      <c r="I586">
        <v>0</v>
      </c>
      <c r="J586">
        <v>1</v>
      </c>
      <c r="K586" t="s">
        <v>359</v>
      </c>
      <c r="L586" t="s">
        <v>359</v>
      </c>
      <c r="M586" t="s">
        <v>360</v>
      </c>
      <c r="N586">
        <v>1649418092.8900001</v>
      </c>
      <c r="O586">
        <v>0.19900000000000001</v>
      </c>
      <c r="P586">
        <v>0.41299999999999998</v>
      </c>
      <c r="Q586">
        <v>57.295999999999999</v>
      </c>
      <c r="R586">
        <v>1E-3</v>
      </c>
      <c r="S586">
        <v>0</v>
      </c>
      <c r="T586">
        <v>1.383</v>
      </c>
      <c r="U586">
        <v>101.244</v>
      </c>
      <c r="V586">
        <v>20.672999999999998</v>
      </c>
      <c r="W586">
        <v>2.4340000000000002</v>
      </c>
      <c r="X586">
        <v>94.906000000000006</v>
      </c>
      <c r="Y586">
        <v>0.92200000000000004</v>
      </c>
      <c r="Z586">
        <v>0.40100000000000002</v>
      </c>
      <c r="AA586">
        <v>0</v>
      </c>
      <c r="AB586">
        <v>0</v>
      </c>
      <c r="AC586">
        <v>1</v>
      </c>
      <c r="AD586">
        <v>39.875</v>
      </c>
      <c r="AE586">
        <v>1</v>
      </c>
      <c r="AF586">
        <v>78</v>
      </c>
      <c r="AG586">
        <v>6</v>
      </c>
      <c r="AH586" t="s">
        <v>361</v>
      </c>
      <c r="AI586">
        <v>0</v>
      </c>
    </row>
    <row r="587" spans="1:35" x14ac:dyDescent="0.2">
      <c r="A587">
        <v>586</v>
      </c>
      <c r="B587" t="s">
        <v>1115</v>
      </c>
      <c r="C587" t="s">
        <v>1116</v>
      </c>
      <c r="D587" t="s">
        <v>439</v>
      </c>
      <c r="E587">
        <v>1</v>
      </c>
      <c r="F587">
        <v>-5.2510000000000003</v>
      </c>
      <c r="G587">
        <v>-27.396000000000001</v>
      </c>
      <c r="H587">
        <v>17165</v>
      </c>
      <c r="I587">
        <v>-1</v>
      </c>
      <c r="J587">
        <v>1</v>
      </c>
      <c r="K587" t="s">
        <v>359</v>
      </c>
      <c r="L587" t="s">
        <v>359</v>
      </c>
      <c r="M587" t="s">
        <v>360</v>
      </c>
      <c r="N587">
        <v>1649418629.6800001</v>
      </c>
      <c r="O587">
        <v>0.22</v>
      </c>
      <c r="P587">
        <v>0.40300000000000002</v>
      </c>
      <c r="Q587">
        <v>57.158999999999999</v>
      </c>
      <c r="R587">
        <v>1E-3</v>
      </c>
      <c r="S587">
        <v>0</v>
      </c>
      <c r="T587">
        <v>1.357</v>
      </c>
      <c r="U587">
        <v>101.58799999999999</v>
      </c>
      <c r="V587">
        <v>21.468</v>
      </c>
      <c r="W587">
        <v>2.431</v>
      </c>
      <c r="X587">
        <v>93.451999999999998</v>
      </c>
      <c r="Y587">
        <v>0.93</v>
      </c>
      <c r="Z587">
        <v>0.20399999999999999</v>
      </c>
      <c r="AA587">
        <v>0</v>
      </c>
      <c r="AB587">
        <v>0</v>
      </c>
      <c r="AC587">
        <v>1</v>
      </c>
      <c r="AD587">
        <v>39.875</v>
      </c>
      <c r="AE587">
        <v>1</v>
      </c>
      <c r="AF587">
        <v>79</v>
      </c>
      <c r="AG587">
        <v>6</v>
      </c>
      <c r="AH587" t="s">
        <v>361</v>
      </c>
      <c r="AI587">
        <v>0</v>
      </c>
    </row>
    <row r="588" spans="1:35" x14ac:dyDescent="0.2">
      <c r="A588">
        <v>587</v>
      </c>
      <c r="B588" t="s">
        <v>1115</v>
      </c>
      <c r="C588" t="s">
        <v>1117</v>
      </c>
      <c r="D588" t="s">
        <v>439</v>
      </c>
      <c r="E588">
        <v>2</v>
      </c>
      <c r="F588">
        <v>-5.2279999999999998</v>
      </c>
      <c r="G588">
        <v>-27.183</v>
      </c>
      <c r="H588">
        <v>17389</v>
      </c>
      <c r="I588">
        <v>-1</v>
      </c>
      <c r="J588">
        <v>1</v>
      </c>
      <c r="K588" t="s">
        <v>359</v>
      </c>
      <c r="L588" t="s">
        <v>359</v>
      </c>
      <c r="M588" t="s">
        <v>360</v>
      </c>
      <c r="N588">
        <v>1649419167.79</v>
      </c>
      <c r="O588">
        <v>0.22</v>
      </c>
      <c r="P588">
        <v>0.40600000000000003</v>
      </c>
      <c r="Q588">
        <v>55.667999999999999</v>
      </c>
      <c r="R588">
        <v>1E-3</v>
      </c>
      <c r="S588">
        <v>-1E-3</v>
      </c>
      <c r="T588">
        <v>1.34</v>
      </c>
      <c r="U588">
        <v>103.006</v>
      </c>
      <c r="V588">
        <v>21.398</v>
      </c>
      <c r="W588">
        <v>2.48</v>
      </c>
      <c r="X588">
        <v>95.463999999999999</v>
      </c>
      <c r="Y588">
        <v>0.91400000000000003</v>
      </c>
      <c r="Z588">
        <v>0.33</v>
      </c>
      <c r="AA588">
        <v>0</v>
      </c>
      <c r="AB588">
        <v>0</v>
      </c>
      <c r="AC588">
        <v>1</v>
      </c>
      <c r="AD588">
        <v>39.875</v>
      </c>
      <c r="AE588">
        <v>1</v>
      </c>
      <c r="AF588">
        <v>79</v>
      </c>
      <c r="AG588">
        <v>6</v>
      </c>
      <c r="AH588" t="s">
        <v>361</v>
      </c>
      <c r="AI588">
        <v>0</v>
      </c>
    </row>
    <row r="589" spans="1:35" x14ac:dyDescent="0.2">
      <c r="A589">
        <v>588</v>
      </c>
      <c r="B589" t="s">
        <v>1115</v>
      </c>
      <c r="C589" t="s">
        <v>1118</v>
      </c>
      <c r="D589" t="s">
        <v>439</v>
      </c>
      <c r="E589">
        <v>3</v>
      </c>
      <c r="F589">
        <v>-5.26</v>
      </c>
      <c r="G589">
        <v>-27.222999999999999</v>
      </c>
      <c r="H589">
        <v>17161</v>
      </c>
      <c r="I589">
        <v>-1</v>
      </c>
      <c r="J589">
        <v>1</v>
      </c>
      <c r="K589" t="s">
        <v>359</v>
      </c>
      <c r="L589" t="s">
        <v>359</v>
      </c>
      <c r="M589" t="s">
        <v>360</v>
      </c>
      <c r="N589">
        <v>1649419704.8399999</v>
      </c>
      <c r="O589">
        <v>0.20799999999999999</v>
      </c>
      <c r="P589">
        <v>0.39200000000000002</v>
      </c>
      <c r="Q589">
        <v>56.68</v>
      </c>
      <c r="R589">
        <v>0</v>
      </c>
      <c r="S589">
        <v>0</v>
      </c>
      <c r="T589">
        <v>1.35</v>
      </c>
      <c r="U589">
        <v>101.599</v>
      </c>
      <c r="V589">
        <v>21.074000000000002</v>
      </c>
      <c r="W589">
        <v>2.41</v>
      </c>
      <c r="X589">
        <v>94.227000000000004</v>
      </c>
      <c r="Y589">
        <v>0.94299999999999995</v>
      </c>
      <c r="Z589">
        <v>0.29399999999999998</v>
      </c>
      <c r="AA589">
        <v>0</v>
      </c>
      <c r="AB589">
        <v>0</v>
      </c>
      <c r="AC589">
        <v>1</v>
      </c>
      <c r="AD589">
        <v>39.811999999999998</v>
      </c>
      <c r="AE589">
        <v>1</v>
      </c>
      <c r="AF589">
        <v>79</v>
      </c>
      <c r="AG589">
        <v>6</v>
      </c>
      <c r="AH589" t="s">
        <v>361</v>
      </c>
      <c r="AI589">
        <v>0</v>
      </c>
    </row>
    <row r="590" spans="1:35" x14ac:dyDescent="0.2">
      <c r="A590">
        <v>589</v>
      </c>
      <c r="B590" t="s">
        <v>1115</v>
      </c>
      <c r="C590" t="s">
        <v>1119</v>
      </c>
      <c r="D590" t="s">
        <v>439</v>
      </c>
      <c r="E590">
        <v>4</v>
      </c>
      <c r="F590">
        <v>-5.2350000000000003</v>
      </c>
      <c r="G590">
        <v>-27.331</v>
      </c>
      <c r="H590">
        <v>17157</v>
      </c>
      <c r="I590">
        <v>0</v>
      </c>
      <c r="J590">
        <v>1</v>
      </c>
      <c r="K590" t="s">
        <v>359</v>
      </c>
      <c r="L590" t="s">
        <v>359</v>
      </c>
      <c r="M590" t="s">
        <v>360</v>
      </c>
      <c r="N590">
        <v>1649420240.98</v>
      </c>
      <c r="O590">
        <v>0.185</v>
      </c>
      <c r="P590">
        <v>0.39300000000000002</v>
      </c>
      <c r="Q590">
        <v>55.015999999999998</v>
      </c>
      <c r="R590">
        <v>1E-3</v>
      </c>
      <c r="S590">
        <v>0</v>
      </c>
      <c r="T590">
        <v>1.3240000000000001</v>
      </c>
      <c r="U590">
        <v>101.64400000000001</v>
      </c>
      <c r="V590">
        <v>20.765000000000001</v>
      </c>
      <c r="W590">
        <v>2.468</v>
      </c>
      <c r="X590">
        <v>94.432000000000002</v>
      </c>
      <c r="Y590">
        <v>0.94299999999999995</v>
      </c>
      <c r="Z590">
        <v>0.40699999999999997</v>
      </c>
      <c r="AA590">
        <v>0</v>
      </c>
      <c r="AB590">
        <v>0</v>
      </c>
      <c r="AC590">
        <v>1</v>
      </c>
      <c r="AD590">
        <v>39.811999999999998</v>
      </c>
      <c r="AE590">
        <v>1</v>
      </c>
      <c r="AF590">
        <v>79</v>
      </c>
      <c r="AG590">
        <v>6</v>
      </c>
      <c r="AH590" t="s">
        <v>361</v>
      </c>
      <c r="AI590">
        <v>0</v>
      </c>
    </row>
    <row r="591" spans="1:35" x14ac:dyDescent="0.2">
      <c r="A591">
        <v>590</v>
      </c>
      <c r="B591" t="s">
        <v>1115</v>
      </c>
      <c r="C591" t="s">
        <v>1120</v>
      </c>
      <c r="D591" t="s">
        <v>439</v>
      </c>
      <c r="E591">
        <v>5</v>
      </c>
      <c r="F591">
        <v>-5.2469999999999999</v>
      </c>
      <c r="G591">
        <v>-27.349</v>
      </c>
      <c r="H591">
        <v>17176</v>
      </c>
      <c r="I591">
        <v>0</v>
      </c>
      <c r="J591">
        <v>1</v>
      </c>
      <c r="K591" t="s">
        <v>359</v>
      </c>
      <c r="L591" t="s">
        <v>359</v>
      </c>
      <c r="M591" t="s">
        <v>360</v>
      </c>
      <c r="N591">
        <v>1649420780.1099999</v>
      </c>
      <c r="O591">
        <v>0.21</v>
      </c>
      <c r="P591">
        <v>0.42199999999999999</v>
      </c>
      <c r="Q591">
        <v>57.122</v>
      </c>
      <c r="R591">
        <v>0</v>
      </c>
      <c r="S591">
        <v>1E-3</v>
      </c>
      <c r="T591">
        <v>1.3740000000000001</v>
      </c>
      <c r="U591">
        <v>101.66500000000001</v>
      </c>
      <c r="V591">
        <v>21.085000000000001</v>
      </c>
      <c r="W591">
        <v>2.423</v>
      </c>
      <c r="X591">
        <v>94.516000000000005</v>
      </c>
      <c r="Y591">
        <v>0.95199999999999996</v>
      </c>
      <c r="Z591">
        <v>0.40300000000000002</v>
      </c>
      <c r="AA591">
        <v>0</v>
      </c>
      <c r="AB591">
        <v>0</v>
      </c>
      <c r="AC591">
        <v>1</v>
      </c>
      <c r="AD591">
        <v>39.875</v>
      </c>
      <c r="AE591">
        <v>1</v>
      </c>
      <c r="AF591">
        <v>79</v>
      </c>
      <c r="AG591">
        <v>6</v>
      </c>
      <c r="AH591" t="s">
        <v>361</v>
      </c>
      <c r="AI591">
        <v>0</v>
      </c>
    </row>
    <row r="592" spans="1:35" x14ac:dyDescent="0.2">
      <c r="A592">
        <v>591</v>
      </c>
      <c r="B592" t="s">
        <v>1115</v>
      </c>
      <c r="C592" t="s">
        <v>1121</v>
      </c>
      <c r="D592" t="s">
        <v>439</v>
      </c>
      <c r="E592">
        <v>6</v>
      </c>
      <c r="F592">
        <v>-5.226</v>
      </c>
      <c r="G592">
        <v>-27.102</v>
      </c>
      <c r="H592">
        <v>17143</v>
      </c>
      <c r="I592">
        <v>0</v>
      </c>
      <c r="J592">
        <v>1</v>
      </c>
      <c r="K592" t="s">
        <v>359</v>
      </c>
      <c r="L592" t="s">
        <v>359</v>
      </c>
      <c r="M592" t="s">
        <v>360</v>
      </c>
      <c r="N592">
        <v>1649421315.3599999</v>
      </c>
      <c r="O592">
        <v>0.20699999999999999</v>
      </c>
      <c r="P592">
        <v>0.42799999999999999</v>
      </c>
      <c r="Q592">
        <v>56.860999999999997</v>
      </c>
      <c r="R592">
        <v>0</v>
      </c>
      <c r="S592">
        <v>0</v>
      </c>
      <c r="T592">
        <v>1.3759999999999999</v>
      </c>
      <c r="U592">
        <v>101.523</v>
      </c>
      <c r="V592">
        <v>20.498999999999999</v>
      </c>
      <c r="W592">
        <v>2.4929999999999999</v>
      </c>
      <c r="X592">
        <v>95.688000000000002</v>
      </c>
      <c r="Y592">
        <v>0.93100000000000005</v>
      </c>
      <c r="Z592">
        <v>0.54200000000000004</v>
      </c>
      <c r="AA592">
        <v>0</v>
      </c>
      <c r="AB592">
        <v>0</v>
      </c>
      <c r="AC592">
        <v>1</v>
      </c>
      <c r="AD592">
        <v>39.811999999999998</v>
      </c>
      <c r="AE592">
        <v>1</v>
      </c>
      <c r="AF592">
        <v>79</v>
      </c>
      <c r="AG592">
        <v>6</v>
      </c>
      <c r="AH592" t="s">
        <v>361</v>
      </c>
      <c r="AI592">
        <v>0</v>
      </c>
    </row>
    <row r="593" spans="1:35" x14ac:dyDescent="0.2">
      <c r="A593">
        <v>592</v>
      </c>
      <c r="B593" t="s">
        <v>1122</v>
      </c>
      <c r="C593" t="s">
        <v>1123</v>
      </c>
      <c r="D593" t="s">
        <v>440</v>
      </c>
      <c r="E593">
        <v>1</v>
      </c>
      <c r="F593">
        <v>-5.2830000000000004</v>
      </c>
      <c r="G593">
        <v>-27.585999999999999</v>
      </c>
      <c r="H593">
        <v>17417</v>
      </c>
      <c r="I593">
        <v>-1</v>
      </c>
      <c r="J593">
        <v>1</v>
      </c>
      <c r="K593" t="s">
        <v>359</v>
      </c>
      <c r="L593" t="s">
        <v>359</v>
      </c>
      <c r="M593" t="s">
        <v>360</v>
      </c>
      <c r="N593">
        <v>1649421853.6800001</v>
      </c>
      <c r="O593">
        <v>0.21299999999999999</v>
      </c>
      <c r="P593">
        <v>0.371</v>
      </c>
      <c r="Q593">
        <v>58.024999999999999</v>
      </c>
      <c r="R593">
        <v>0</v>
      </c>
      <c r="S593">
        <v>1E-3</v>
      </c>
      <c r="T593">
        <v>1.3759999999999999</v>
      </c>
      <c r="U593">
        <v>103.35899999999999</v>
      </c>
      <c r="V593">
        <v>21.077999999999999</v>
      </c>
      <c r="W593">
        <v>2.4830000000000001</v>
      </c>
      <c r="X593">
        <v>95.608000000000004</v>
      </c>
      <c r="Y593">
        <v>0.96</v>
      </c>
      <c r="Z593">
        <v>0.29799999999999999</v>
      </c>
      <c r="AA593">
        <v>0</v>
      </c>
      <c r="AB593">
        <v>0</v>
      </c>
      <c r="AC593">
        <v>1</v>
      </c>
      <c r="AD593">
        <v>39.811999999999998</v>
      </c>
      <c r="AE593">
        <v>1</v>
      </c>
      <c r="AF593">
        <v>80</v>
      </c>
      <c r="AG593">
        <v>6</v>
      </c>
      <c r="AH593" t="s">
        <v>361</v>
      </c>
      <c r="AI593">
        <v>0</v>
      </c>
    </row>
    <row r="594" spans="1:35" x14ac:dyDescent="0.2">
      <c r="A594">
        <v>593</v>
      </c>
      <c r="B594" t="s">
        <v>1122</v>
      </c>
      <c r="C594" t="s">
        <v>1124</v>
      </c>
      <c r="D594" t="s">
        <v>440</v>
      </c>
      <c r="E594">
        <v>2</v>
      </c>
      <c r="F594">
        <v>-5.2220000000000004</v>
      </c>
      <c r="G594">
        <v>-27.219000000000001</v>
      </c>
      <c r="H594">
        <v>17438</v>
      </c>
      <c r="I594">
        <v>-1</v>
      </c>
      <c r="J594">
        <v>1</v>
      </c>
      <c r="K594" t="s">
        <v>359</v>
      </c>
      <c r="L594" t="s">
        <v>359</v>
      </c>
      <c r="M594" t="s">
        <v>360</v>
      </c>
      <c r="N594">
        <v>1649422389.71</v>
      </c>
      <c r="O594">
        <v>0.20499999999999999</v>
      </c>
      <c r="P594">
        <v>0.37</v>
      </c>
      <c r="Q594">
        <v>55.14</v>
      </c>
      <c r="R594">
        <v>1E-3</v>
      </c>
      <c r="S594">
        <v>-2E-3</v>
      </c>
      <c r="T594">
        <v>1.3240000000000001</v>
      </c>
      <c r="U594">
        <v>103.53100000000001</v>
      </c>
      <c r="V594">
        <v>20.754000000000001</v>
      </c>
      <c r="W594">
        <v>2.4809999999999999</v>
      </c>
      <c r="X594">
        <v>96.608000000000004</v>
      </c>
      <c r="Y594">
        <v>0.94799999999999995</v>
      </c>
      <c r="Z594">
        <v>0.32100000000000001</v>
      </c>
      <c r="AA594">
        <v>0</v>
      </c>
      <c r="AB594">
        <v>0</v>
      </c>
      <c r="AC594">
        <v>1</v>
      </c>
      <c r="AD594">
        <v>39.811999999999998</v>
      </c>
      <c r="AE594">
        <v>1</v>
      </c>
      <c r="AF594">
        <v>80</v>
      </c>
      <c r="AG594">
        <v>6</v>
      </c>
      <c r="AH594" t="s">
        <v>361</v>
      </c>
      <c r="AI594">
        <v>0</v>
      </c>
    </row>
    <row r="595" spans="1:35" x14ac:dyDescent="0.2">
      <c r="A595">
        <v>594</v>
      </c>
      <c r="B595" t="s">
        <v>1122</v>
      </c>
      <c r="C595" t="s">
        <v>1125</v>
      </c>
      <c r="D595" t="s">
        <v>440</v>
      </c>
      <c r="E595">
        <v>3</v>
      </c>
      <c r="F595">
        <v>-5.3639999999999999</v>
      </c>
      <c r="G595">
        <v>-27.853999999999999</v>
      </c>
      <c r="H595">
        <v>17298</v>
      </c>
      <c r="I595">
        <v>-1</v>
      </c>
      <c r="J595">
        <v>1</v>
      </c>
      <c r="K595" t="s">
        <v>359</v>
      </c>
      <c r="L595" t="s">
        <v>359</v>
      </c>
      <c r="M595" t="s">
        <v>360</v>
      </c>
      <c r="N595">
        <v>1649422927.8599999</v>
      </c>
      <c r="O595">
        <v>0.23599999999999999</v>
      </c>
      <c r="P595">
        <v>0.438</v>
      </c>
      <c r="Q595">
        <v>64.698999999999998</v>
      </c>
      <c r="R595">
        <v>2E-3</v>
      </c>
      <c r="S595">
        <v>5.0000000000000001E-3</v>
      </c>
      <c r="T595">
        <v>1.556</v>
      </c>
      <c r="U595">
        <v>102.506</v>
      </c>
      <c r="V595">
        <v>21.164000000000001</v>
      </c>
      <c r="W595">
        <v>2.4409999999999998</v>
      </c>
      <c r="X595">
        <v>94.93</v>
      </c>
      <c r="Y595">
        <v>0.94</v>
      </c>
      <c r="Z595">
        <v>0.315</v>
      </c>
      <c r="AA595">
        <v>0</v>
      </c>
      <c r="AB595">
        <v>0</v>
      </c>
      <c r="AC595">
        <v>1</v>
      </c>
      <c r="AD595">
        <v>39.811999999999998</v>
      </c>
      <c r="AE595">
        <v>1</v>
      </c>
      <c r="AF595">
        <v>80</v>
      </c>
      <c r="AG595">
        <v>6</v>
      </c>
      <c r="AH595" t="s">
        <v>361</v>
      </c>
      <c r="AI595">
        <v>0</v>
      </c>
    </row>
    <row r="596" spans="1:35" x14ac:dyDescent="0.2">
      <c r="A596">
        <v>595</v>
      </c>
      <c r="B596" t="s">
        <v>1122</v>
      </c>
      <c r="C596" t="s">
        <v>1126</v>
      </c>
      <c r="D596" t="s">
        <v>440</v>
      </c>
      <c r="E596">
        <v>4</v>
      </c>
      <c r="F596">
        <v>-5.2160000000000002</v>
      </c>
      <c r="G596">
        <v>-27.439</v>
      </c>
      <c r="H596">
        <v>17213</v>
      </c>
      <c r="I596">
        <v>0</v>
      </c>
      <c r="J596">
        <v>1</v>
      </c>
      <c r="K596" t="s">
        <v>359</v>
      </c>
      <c r="L596" t="s">
        <v>359</v>
      </c>
      <c r="M596" t="s">
        <v>360</v>
      </c>
      <c r="N596">
        <v>1649423464.1199999</v>
      </c>
      <c r="O596">
        <v>0.214</v>
      </c>
      <c r="P596">
        <v>0.40500000000000003</v>
      </c>
      <c r="Q596">
        <v>56.905999999999999</v>
      </c>
      <c r="R596">
        <v>1E-3</v>
      </c>
      <c r="S596">
        <v>1E-3</v>
      </c>
      <c r="T596">
        <v>1.361</v>
      </c>
      <c r="U596">
        <v>101.81699999999999</v>
      </c>
      <c r="V596">
        <v>21.433</v>
      </c>
      <c r="W596">
        <v>2.4329999999999998</v>
      </c>
      <c r="X596">
        <v>94.08</v>
      </c>
      <c r="Y596">
        <v>0.93700000000000006</v>
      </c>
      <c r="Z596">
        <v>0.31900000000000001</v>
      </c>
      <c r="AA596">
        <v>0</v>
      </c>
      <c r="AB596">
        <v>0</v>
      </c>
      <c r="AC596">
        <v>1</v>
      </c>
      <c r="AD596">
        <v>39.75</v>
      </c>
      <c r="AE596">
        <v>1</v>
      </c>
      <c r="AF596">
        <v>80</v>
      </c>
      <c r="AG596">
        <v>6</v>
      </c>
      <c r="AH596" t="s">
        <v>361</v>
      </c>
      <c r="AI596">
        <v>0</v>
      </c>
    </row>
    <row r="597" spans="1:35" x14ac:dyDescent="0.2">
      <c r="A597">
        <v>596</v>
      </c>
      <c r="B597" t="s">
        <v>1122</v>
      </c>
      <c r="C597" t="s">
        <v>1127</v>
      </c>
      <c r="D597" t="s">
        <v>440</v>
      </c>
      <c r="E597">
        <v>5</v>
      </c>
      <c r="F597">
        <v>-5.2380000000000004</v>
      </c>
      <c r="G597">
        <v>-27.408999999999999</v>
      </c>
      <c r="H597">
        <v>17152</v>
      </c>
      <c r="I597">
        <v>0</v>
      </c>
      <c r="J597">
        <v>1</v>
      </c>
      <c r="K597" t="s">
        <v>359</v>
      </c>
      <c r="L597" t="s">
        <v>359</v>
      </c>
      <c r="M597" t="s">
        <v>360</v>
      </c>
      <c r="N597">
        <v>1649424001.4100001</v>
      </c>
      <c r="O597">
        <v>0.19</v>
      </c>
      <c r="P597">
        <v>0.39500000000000002</v>
      </c>
      <c r="Q597">
        <v>56.786000000000001</v>
      </c>
      <c r="R597">
        <v>0</v>
      </c>
      <c r="S597">
        <v>1E-3</v>
      </c>
      <c r="T597">
        <v>1.3540000000000001</v>
      </c>
      <c r="U597">
        <v>101.834</v>
      </c>
      <c r="V597">
        <v>20.417000000000002</v>
      </c>
      <c r="W597">
        <v>2.4460000000000002</v>
      </c>
      <c r="X597">
        <v>94.638999999999996</v>
      </c>
      <c r="Y597">
        <v>0.94799999999999995</v>
      </c>
      <c r="Z597">
        <v>0.19800000000000001</v>
      </c>
      <c r="AA597">
        <v>0</v>
      </c>
      <c r="AB597">
        <v>0</v>
      </c>
      <c r="AC597">
        <v>1</v>
      </c>
      <c r="AD597">
        <v>39.75</v>
      </c>
      <c r="AE597">
        <v>1</v>
      </c>
      <c r="AF597">
        <v>80</v>
      </c>
      <c r="AG597">
        <v>6</v>
      </c>
      <c r="AH597" t="s">
        <v>361</v>
      </c>
      <c r="AI597">
        <v>0</v>
      </c>
    </row>
    <row r="598" spans="1:35" x14ac:dyDescent="0.2">
      <c r="A598">
        <v>597</v>
      </c>
      <c r="B598" t="s">
        <v>1122</v>
      </c>
      <c r="C598" t="s">
        <v>1128</v>
      </c>
      <c r="D598" t="s">
        <v>440</v>
      </c>
      <c r="E598">
        <v>6</v>
      </c>
      <c r="F598">
        <v>-5.3010000000000002</v>
      </c>
      <c r="G598">
        <v>-27.632999999999999</v>
      </c>
      <c r="H598">
        <v>17150</v>
      </c>
      <c r="I598">
        <v>0</v>
      </c>
      <c r="J598">
        <v>1</v>
      </c>
      <c r="K598" t="s">
        <v>359</v>
      </c>
      <c r="L598" t="s">
        <v>359</v>
      </c>
      <c r="M598" t="s">
        <v>360</v>
      </c>
      <c r="N598">
        <v>1649424538.5899999</v>
      </c>
      <c r="O598">
        <v>0.223</v>
      </c>
      <c r="P598">
        <v>0.495</v>
      </c>
      <c r="Q598">
        <v>66.405000000000001</v>
      </c>
      <c r="R598">
        <v>2E-3</v>
      </c>
      <c r="S598">
        <v>6.0000000000000001E-3</v>
      </c>
      <c r="T598">
        <v>1.6</v>
      </c>
      <c r="U598">
        <v>101.626</v>
      </c>
      <c r="V598">
        <v>20.827999999999999</v>
      </c>
      <c r="W598">
        <v>2.4180000000000001</v>
      </c>
      <c r="X598">
        <v>94.43</v>
      </c>
      <c r="Y598">
        <v>0.94299999999999995</v>
      </c>
      <c r="Z598">
        <v>0.23</v>
      </c>
      <c r="AA598">
        <v>0</v>
      </c>
      <c r="AB598">
        <v>0</v>
      </c>
      <c r="AC598">
        <v>1</v>
      </c>
      <c r="AD598">
        <v>39.75</v>
      </c>
      <c r="AE598">
        <v>1</v>
      </c>
      <c r="AF598">
        <v>80</v>
      </c>
      <c r="AG598">
        <v>6</v>
      </c>
      <c r="AH598" t="s">
        <v>361</v>
      </c>
      <c r="AI598">
        <v>0</v>
      </c>
    </row>
    <row r="599" spans="1:35" x14ac:dyDescent="0.2">
      <c r="A599">
        <v>598</v>
      </c>
      <c r="B599" t="s">
        <v>1129</v>
      </c>
      <c r="C599" t="s">
        <v>1130</v>
      </c>
      <c r="D599" t="s">
        <v>441</v>
      </c>
      <c r="E599">
        <v>1</v>
      </c>
      <c r="F599">
        <v>-5.04</v>
      </c>
      <c r="G599">
        <v>-26.385000000000002</v>
      </c>
      <c r="H599">
        <v>17179</v>
      </c>
      <c r="I599">
        <v>-1</v>
      </c>
      <c r="J599">
        <v>1</v>
      </c>
      <c r="K599" t="s">
        <v>359</v>
      </c>
      <c r="L599" t="s">
        <v>359</v>
      </c>
      <c r="M599" t="s">
        <v>360</v>
      </c>
      <c r="N599">
        <v>1649425074.7</v>
      </c>
      <c r="O599">
        <v>0.20399999999999999</v>
      </c>
      <c r="P599">
        <v>0.40799999999999997</v>
      </c>
      <c r="Q599">
        <v>56.238</v>
      </c>
      <c r="R599">
        <v>1E-3</v>
      </c>
      <c r="S599">
        <v>0</v>
      </c>
      <c r="T599">
        <v>1.345</v>
      </c>
      <c r="U599">
        <v>101.944</v>
      </c>
      <c r="V599">
        <v>20.67</v>
      </c>
      <c r="W599">
        <v>2.4460000000000002</v>
      </c>
      <c r="X599">
        <v>94.507999999999996</v>
      </c>
      <c r="Y599">
        <v>0.93899999999999995</v>
      </c>
      <c r="Z599">
        <v>0.216</v>
      </c>
      <c r="AA599">
        <v>0</v>
      </c>
      <c r="AB599">
        <v>0</v>
      </c>
      <c r="AC599">
        <v>1</v>
      </c>
      <c r="AD599">
        <v>39.75</v>
      </c>
      <c r="AE599">
        <v>1</v>
      </c>
      <c r="AF599">
        <v>81</v>
      </c>
      <c r="AG599">
        <v>6</v>
      </c>
      <c r="AH599" t="s">
        <v>361</v>
      </c>
      <c r="AI599">
        <v>0</v>
      </c>
    </row>
    <row r="600" spans="1:35" x14ac:dyDescent="0.2">
      <c r="A600">
        <v>599</v>
      </c>
      <c r="B600" t="s">
        <v>1129</v>
      </c>
      <c r="C600" t="s">
        <v>1131</v>
      </c>
      <c r="D600" t="s">
        <v>441</v>
      </c>
      <c r="E600">
        <v>2</v>
      </c>
      <c r="F600">
        <v>-5.0789999999999997</v>
      </c>
      <c r="G600">
        <v>-26.71</v>
      </c>
      <c r="H600">
        <v>17451</v>
      </c>
      <c r="I600">
        <v>-1</v>
      </c>
      <c r="J600">
        <v>1</v>
      </c>
      <c r="K600" t="s">
        <v>359</v>
      </c>
      <c r="L600" t="s">
        <v>359</v>
      </c>
      <c r="M600" t="s">
        <v>360</v>
      </c>
      <c r="N600">
        <v>1649425626.3900001</v>
      </c>
      <c r="O600">
        <v>0.20899999999999999</v>
      </c>
      <c r="P600">
        <v>0.34899999999999998</v>
      </c>
      <c r="Q600">
        <v>46.183999999999997</v>
      </c>
      <c r="R600">
        <v>1E-3</v>
      </c>
      <c r="S600">
        <v>0</v>
      </c>
      <c r="T600">
        <v>1.335</v>
      </c>
      <c r="U600">
        <v>103.21599999999999</v>
      </c>
      <c r="V600">
        <v>21.742000000000001</v>
      </c>
      <c r="W600">
        <v>2.4750000000000001</v>
      </c>
      <c r="X600">
        <v>96.046999999999997</v>
      </c>
      <c r="Y600">
        <v>0.93700000000000006</v>
      </c>
      <c r="Z600">
        <v>0.45300000000000001</v>
      </c>
      <c r="AA600">
        <v>0</v>
      </c>
      <c r="AB600">
        <v>0</v>
      </c>
      <c r="AC600">
        <v>1</v>
      </c>
      <c r="AD600">
        <v>39.75</v>
      </c>
      <c r="AE600">
        <v>1</v>
      </c>
      <c r="AF600">
        <v>81</v>
      </c>
      <c r="AG600">
        <v>6</v>
      </c>
      <c r="AH600" t="s">
        <v>361</v>
      </c>
      <c r="AI600">
        <v>0</v>
      </c>
    </row>
    <row r="601" spans="1:35" x14ac:dyDescent="0.2">
      <c r="A601">
        <v>600</v>
      </c>
      <c r="B601" t="s">
        <v>1129</v>
      </c>
      <c r="C601" t="s">
        <v>1132</v>
      </c>
      <c r="D601" t="s">
        <v>441</v>
      </c>
      <c r="E601">
        <v>3</v>
      </c>
      <c r="F601">
        <v>-4.9909999999999997</v>
      </c>
      <c r="G601">
        <v>-26.419</v>
      </c>
      <c r="H601">
        <v>17349</v>
      </c>
      <c r="I601">
        <v>-1</v>
      </c>
      <c r="J601">
        <v>1</v>
      </c>
      <c r="K601" t="s">
        <v>359</v>
      </c>
      <c r="L601" t="s">
        <v>359</v>
      </c>
      <c r="M601" t="s">
        <v>360</v>
      </c>
      <c r="N601">
        <v>1649426149.1400001</v>
      </c>
      <c r="O601">
        <v>0.22</v>
      </c>
      <c r="P601">
        <v>0.48799999999999999</v>
      </c>
      <c r="Q601">
        <v>72.593999999999994</v>
      </c>
      <c r="R601">
        <v>3.0000000000000001E-3</v>
      </c>
      <c r="S601">
        <v>6.0000000000000001E-3</v>
      </c>
      <c r="T601">
        <v>1.746</v>
      </c>
      <c r="U601">
        <v>102.819</v>
      </c>
      <c r="V601">
        <v>21.370999999999999</v>
      </c>
      <c r="W601">
        <v>2.4750000000000001</v>
      </c>
      <c r="X601">
        <v>94.852000000000004</v>
      </c>
      <c r="Y601">
        <v>0.93600000000000005</v>
      </c>
      <c r="Z601">
        <v>0.16300000000000001</v>
      </c>
      <c r="AA601">
        <v>0</v>
      </c>
      <c r="AB601">
        <v>0</v>
      </c>
      <c r="AC601">
        <v>1</v>
      </c>
      <c r="AD601">
        <v>39.75</v>
      </c>
      <c r="AE601">
        <v>1</v>
      </c>
      <c r="AF601">
        <v>81</v>
      </c>
      <c r="AG601">
        <v>6</v>
      </c>
      <c r="AH601" t="s">
        <v>361</v>
      </c>
      <c r="AI601">
        <v>0</v>
      </c>
    </row>
    <row r="602" spans="1:35" x14ac:dyDescent="0.2">
      <c r="A602">
        <v>601</v>
      </c>
      <c r="B602" t="s">
        <v>1129</v>
      </c>
      <c r="C602" t="s">
        <v>1133</v>
      </c>
      <c r="D602" t="s">
        <v>441</v>
      </c>
      <c r="E602">
        <v>4</v>
      </c>
      <c r="F602">
        <v>-5.0599999999999996</v>
      </c>
      <c r="G602">
        <v>-26.550999999999998</v>
      </c>
      <c r="H602">
        <v>17389</v>
      </c>
      <c r="I602">
        <v>0</v>
      </c>
      <c r="J602">
        <v>1</v>
      </c>
      <c r="K602" t="s">
        <v>359</v>
      </c>
      <c r="L602" t="s">
        <v>359</v>
      </c>
      <c r="M602" t="s">
        <v>360</v>
      </c>
      <c r="N602">
        <v>1649426686.5599999</v>
      </c>
      <c r="O602">
        <v>0.20699999999999999</v>
      </c>
      <c r="P602">
        <v>0.44</v>
      </c>
      <c r="Q602">
        <v>58.155999999999999</v>
      </c>
      <c r="R602">
        <v>1E-3</v>
      </c>
      <c r="S602">
        <v>3.0000000000000001E-3</v>
      </c>
      <c r="T602">
        <v>1.389</v>
      </c>
      <c r="U602">
        <v>103.137</v>
      </c>
      <c r="V602">
        <v>20.9</v>
      </c>
      <c r="W602">
        <v>2.5099999999999998</v>
      </c>
      <c r="X602">
        <v>96.103999999999999</v>
      </c>
      <c r="Y602">
        <v>0.95099999999999996</v>
      </c>
      <c r="Z602">
        <v>0.33500000000000002</v>
      </c>
      <c r="AA602">
        <v>0</v>
      </c>
      <c r="AB602">
        <v>0</v>
      </c>
      <c r="AC602">
        <v>1</v>
      </c>
      <c r="AD602">
        <v>39.75</v>
      </c>
      <c r="AE602">
        <v>1</v>
      </c>
      <c r="AF602">
        <v>81</v>
      </c>
      <c r="AG602">
        <v>6</v>
      </c>
      <c r="AH602" t="s">
        <v>361</v>
      </c>
      <c r="AI602">
        <v>0</v>
      </c>
    </row>
    <row r="603" spans="1:35" x14ac:dyDescent="0.2">
      <c r="A603">
        <v>602</v>
      </c>
      <c r="B603" t="s">
        <v>1129</v>
      </c>
      <c r="C603" t="s">
        <v>1134</v>
      </c>
      <c r="D603" t="s">
        <v>441</v>
      </c>
      <c r="E603">
        <v>5</v>
      </c>
      <c r="F603">
        <v>-5.1749999999999998</v>
      </c>
      <c r="G603">
        <v>-26.640999999999998</v>
      </c>
      <c r="H603">
        <v>17143</v>
      </c>
      <c r="I603">
        <v>0</v>
      </c>
      <c r="J603">
        <v>1</v>
      </c>
      <c r="K603" t="s">
        <v>359</v>
      </c>
      <c r="L603" t="s">
        <v>359</v>
      </c>
      <c r="M603" t="s">
        <v>360</v>
      </c>
      <c r="N603">
        <v>1649427224.1099999</v>
      </c>
      <c r="O603">
        <v>0.22</v>
      </c>
      <c r="P603">
        <v>0.39900000000000002</v>
      </c>
      <c r="Q603">
        <v>59.808999999999997</v>
      </c>
      <c r="R603">
        <v>2E-3</v>
      </c>
      <c r="S603">
        <v>2E-3</v>
      </c>
      <c r="T603">
        <v>1.4370000000000001</v>
      </c>
      <c r="U603">
        <v>101.81399999999999</v>
      </c>
      <c r="V603">
        <v>20.712</v>
      </c>
      <c r="W603">
        <v>2.407</v>
      </c>
      <c r="X603">
        <v>93.497</v>
      </c>
      <c r="Y603">
        <v>0.93100000000000005</v>
      </c>
      <c r="Z603">
        <v>8.5999999999999993E-2</v>
      </c>
      <c r="AA603">
        <v>0</v>
      </c>
      <c r="AB603">
        <v>0</v>
      </c>
      <c r="AC603">
        <v>1</v>
      </c>
      <c r="AD603">
        <v>39.75</v>
      </c>
      <c r="AE603">
        <v>1</v>
      </c>
      <c r="AF603">
        <v>81</v>
      </c>
      <c r="AG603">
        <v>6</v>
      </c>
      <c r="AH603" t="s">
        <v>361</v>
      </c>
      <c r="AI603">
        <v>0</v>
      </c>
    </row>
    <row r="604" spans="1:35" x14ac:dyDescent="0.2">
      <c r="A604">
        <v>603</v>
      </c>
      <c r="B604" t="s">
        <v>1129</v>
      </c>
      <c r="C604" t="s">
        <v>1135</v>
      </c>
      <c r="D604" t="s">
        <v>441</v>
      </c>
      <c r="E604">
        <v>6</v>
      </c>
      <c r="F604">
        <v>-5.0830000000000002</v>
      </c>
      <c r="G604">
        <v>-26.684999999999999</v>
      </c>
      <c r="H604">
        <v>17251</v>
      </c>
      <c r="I604">
        <v>0</v>
      </c>
      <c r="J604">
        <v>1</v>
      </c>
      <c r="K604" t="s">
        <v>359</v>
      </c>
      <c r="L604" t="s">
        <v>359</v>
      </c>
      <c r="M604" t="s">
        <v>360</v>
      </c>
      <c r="N604">
        <v>1649427761.3299999</v>
      </c>
      <c r="O604">
        <v>0.20799999999999999</v>
      </c>
      <c r="P604">
        <v>0.40300000000000002</v>
      </c>
      <c r="Q604">
        <v>56.226999999999997</v>
      </c>
      <c r="R604">
        <v>1E-3</v>
      </c>
      <c r="S604">
        <v>1E-3</v>
      </c>
      <c r="T604">
        <v>1.349</v>
      </c>
      <c r="U604">
        <v>102.017</v>
      </c>
      <c r="V604">
        <v>21.103999999999999</v>
      </c>
      <c r="W604">
        <v>2.4910000000000001</v>
      </c>
      <c r="X604">
        <v>95.808999999999997</v>
      </c>
      <c r="Y604">
        <v>0.93500000000000005</v>
      </c>
      <c r="Z604">
        <v>0.45800000000000002</v>
      </c>
      <c r="AA604">
        <v>0</v>
      </c>
      <c r="AB604">
        <v>0</v>
      </c>
      <c r="AC604">
        <v>1</v>
      </c>
      <c r="AD604">
        <v>39.811999999999998</v>
      </c>
      <c r="AE604">
        <v>1</v>
      </c>
      <c r="AF604">
        <v>81</v>
      </c>
      <c r="AG604">
        <v>6</v>
      </c>
      <c r="AH604" t="s">
        <v>361</v>
      </c>
      <c r="AI604">
        <v>0</v>
      </c>
    </row>
    <row r="605" spans="1:35" x14ac:dyDescent="0.2">
      <c r="A605">
        <v>604</v>
      </c>
      <c r="B605" t="s">
        <v>1136</v>
      </c>
      <c r="C605" t="s">
        <v>1137</v>
      </c>
      <c r="D605" t="s">
        <v>442</v>
      </c>
      <c r="E605">
        <v>1</v>
      </c>
      <c r="F605">
        <v>-5.3419999999999996</v>
      </c>
      <c r="G605">
        <v>-27.673999999999999</v>
      </c>
      <c r="H605">
        <v>17210</v>
      </c>
      <c r="I605">
        <v>-1</v>
      </c>
      <c r="J605">
        <v>1</v>
      </c>
      <c r="K605" t="s">
        <v>359</v>
      </c>
      <c r="L605" t="s">
        <v>359</v>
      </c>
      <c r="M605" t="s">
        <v>360</v>
      </c>
      <c r="N605">
        <v>1649428299.3</v>
      </c>
      <c r="O605">
        <v>0.218</v>
      </c>
      <c r="P605">
        <v>0.41899999999999998</v>
      </c>
      <c r="Q605">
        <v>57.377000000000002</v>
      </c>
      <c r="R605">
        <v>1E-3</v>
      </c>
      <c r="S605">
        <v>1E-3</v>
      </c>
      <c r="T605">
        <v>1.369</v>
      </c>
      <c r="U605">
        <v>102.176</v>
      </c>
      <c r="V605">
        <v>20.712</v>
      </c>
      <c r="W605">
        <v>2.4129999999999998</v>
      </c>
      <c r="X605">
        <v>94.409000000000006</v>
      </c>
      <c r="Y605">
        <v>0.92600000000000005</v>
      </c>
      <c r="Z605">
        <v>0.216</v>
      </c>
      <c r="AA605">
        <v>0</v>
      </c>
      <c r="AB605">
        <v>0</v>
      </c>
      <c r="AC605">
        <v>1</v>
      </c>
      <c r="AD605">
        <v>39.811999999999998</v>
      </c>
      <c r="AE605">
        <v>1</v>
      </c>
      <c r="AF605">
        <v>82</v>
      </c>
      <c r="AG605">
        <v>6</v>
      </c>
      <c r="AH605" t="s">
        <v>361</v>
      </c>
      <c r="AI605">
        <v>0</v>
      </c>
    </row>
    <row r="606" spans="1:35" x14ac:dyDescent="0.2">
      <c r="A606">
        <v>605</v>
      </c>
      <c r="B606" t="s">
        <v>1136</v>
      </c>
      <c r="C606" t="s">
        <v>1138</v>
      </c>
      <c r="D606" t="s">
        <v>442</v>
      </c>
      <c r="E606">
        <v>2</v>
      </c>
      <c r="F606">
        <v>-5.3520000000000003</v>
      </c>
      <c r="G606">
        <v>-27.841000000000001</v>
      </c>
      <c r="H606">
        <v>17185</v>
      </c>
      <c r="I606">
        <v>-1</v>
      </c>
      <c r="J606">
        <v>1</v>
      </c>
      <c r="K606" t="s">
        <v>359</v>
      </c>
      <c r="L606" t="s">
        <v>359</v>
      </c>
      <c r="M606" t="s">
        <v>360</v>
      </c>
      <c r="N606">
        <v>1649428835.8800001</v>
      </c>
      <c r="O606">
        <v>0.20300000000000001</v>
      </c>
      <c r="P606">
        <v>0.443</v>
      </c>
      <c r="Q606">
        <v>57.500999999999998</v>
      </c>
      <c r="R606">
        <v>1E-3</v>
      </c>
      <c r="S606">
        <v>0</v>
      </c>
      <c r="T606">
        <v>1.371</v>
      </c>
      <c r="U606">
        <v>101.751</v>
      </c>
      <c r="V606">
        <v>20.876999999999999</v>
      </c>
      <c r="W606">
        <v>2.427</v>
      </c>
      <c r="X606">
        <v>95.125</v>
      </c>
      <c r="Y606">
        <v>0.93799999999999994</v>
      </c>
      <c r="Z606">
        <v>0.39800000000000002</v>
      </c>
      <c r="AA606">
        <v>0</v>
      </c>
      <c r="AB606">
        <v>0</v>
      </c>
      <c r="AC606">
        <v>1</v>
      </c>
      <c r="AD606">
        <v>39.938000000000002</v>
      </c>
      <c r="AE606">
        <v>1</v>
      </c>
      <c r="AF606">
        <v>82</v>
      </c>
      <c r="AG606">
        <v>6</v>
      </c>
      <c r="AH606" t="s">
        <v>361</v>
      </c>
      <c r="AI606">
        <v>0</v>
      </c>
    </row>
    <row r="607" spans="1:35" x14ac:dyDescent="0.2">
      <c r="A607">
        <v>606</v>
      </c>
      <c r="B607" t="s">
        <v>1136</v>
      </c>
      <c r="C607" t="s">
        <v>1139</v>
      </c>
      <c r="D607" t="s">
        <v>442</v>
      </c>
      <c r="E607">
        <v>3</v>
      </c>
      <c r="F607">
        <v>-5.3520000000000003</v>
      </c>
      <c r="G607">
        <v>-27.622</v>
      </c>
      <c r="H607">
        <v>17178</v>
      </c>
      <c r="I607">
        <v>-1</v>
      </c>
      <c r="J607">
        <v>1</v>
      </c>
      <c r="K607" t="s">
        <v>359</v>
      </c>
      <c r="L607" t="s">
        <v>359</v>
      </c>
      <c r="M607" t="s">
        <v>360</v>
      </c>
      <c r="N607">
        <v>1649429373.1300001</v>
      </c>
      <c r="O607">
        <v>0.19400000000000001</v>
      </c>
      <c r="P607">
        <v>0.379</v>
      </c>
      <c r="Q607">
        <v>57.387</v>
      </c>
      <c r="R607">
        <v>1E-3</v>
      </c>
      <c r="S607">
        <v>1E-3</v>
      </c>
      <c r="T607">
        <v>1.3779999999999999</v>
      </c>
      <c r="U607">
        <v>101.782</v>
      </c>
      <c r="V607">
        <v>20.786999999999999</v>
      </c>
      <c r="W607">
        <v>2.4569999999999999</v>
      </c>
      <c r="X607">
        <v>95.004999999999995</v>
      </c>
      <c r="Y607">
        <v>0.92100000000000004</v>
      </c>
      <c r="Z607">
        <v>0.37</v>
      </c>
      <c r="AA607">
        <v>0</v>
      </c>
      <c r="AB607">
        <v>0</v>
      </c>
      <c r="AC607">
        <v>1</v>
      </c>
      <c r="AD607">
        <v>40</v>
      </c>
      <c r="AE607">
        <v>1</v>
      </c>
      <c r="AF607">
        <v>82</v>
      </c>
      <c r="AG607">
        <v>6</v>
      </c>
      <c r="AH607" t="s">
        <v>361</v>
      </c>
      <c r="AI607">
        <v>0</v>
      </c>
    </row>
    <row r="608" spans="1:35" x14ac:dyDescent="0.2">
      <c r="A608">
        <v>607</v>
      </c>
      <c r="B608" t="s">
        <v>1136</v>
      </c>
      <c r="C608" t="s">
        <v>1140</v>
      </c>
      <c r="D608" t="s">
        <v>442</v>
      </c>
      <c r="E608">
        <v>4</v>
      </c>
      <c r="F608">
        <v>-5.3949999999999996</v>
      </c>
      <c r="G608">
        <v>-27.963999999999999</v>
      </c>
      <c r="H608">
        <v>17171</v>
      </c>
      <c r="I608">
        <v>0</v>
      </c>
      <c r="J608">
        <v>1</v>
      </c>
      <c r="K608" t="s">
        <v>359</v>
      </c>
      <c r="L608" t="s">
        <v>359</v>
      </c>
      <c r="M608" t="s">
        <v>360</v>
      </c>
      <c r="N608">
        <v>1649429910.9300001</v>
      </c>
      <c r="O608">
        <v>0.20100000000000001</v>
      </c>
      <c r="P608">
        <v>0.42399999999999999</v>
      </c>
      <c r="Q608">
        <v>57.255000000000003</v>
      </c>
      <c r="R608">
        <v>1E-3</v>
      </c>
      <c r="S608">
        <v>2E-3</v>
      </c>
      <c r="T608">
        <v>1.3660000000000001</v>
      </c>
      <c r="U608">
        <v>101.69</v>
      </c>
      <c r="V608">
        <v>21.056999999999999</v>
      </c>
      <c r="W608">
        <v>2.4260000000000002</v>
      </c>
      <c r="X608">
        <v>94.296999999999997</v>
      </c>
      <c r="Y608">
        <v>0.94599999999999995</v>
      </c>
      <c r="Z608">
        <v>0.34499999999999997</v>
      </c>
      <c r="AA608">
        <v>0</v>
      </c>
      <c r="AB608">
        <v>0</v>
      </c>
      <c r="AC608">
        <v>1</v>
      </c>
      <c r="AD608">
        <v>40.125</v>
      </c>
      <c r="AE608">
        <v>1</v>
      </c>
      <c r="AF608">
        <v>82</v>
      </c>
      <c r="AG608">
        <v>6</v>
      </c>
      <c r="AH608" t="s">
        <v>361</v>
      </c>
      <c r="AI608">
        <v>0</v>
      </c>
    </row>
    <row r="609" spans="1:35" x14ac:dyDescent="0.2">
      <c r="A609">
        <v>608</v>
      </c>
      <c r="B609" t="s">
        <v>1136</v>
      </c>
      <c r="C609" t="s">
        <v>1141</v>
      </c>
      <c r="D609" t="s">
        <v>442</v>
      </c>
      <c r="E609">
        <v>5</v>
      </c>
      <c r="F609">
        <v>-5.3490000000000002</v>
      </c>
      <c r="G609">
        <v>-27.882000000000001</v>
      </c>
      <c r="H609">
        <v>17129</v>
      </c>
      <c r="I609">
        <v>0</v>
      </c>
      <c r="J609">
        <v>1</v>
      </c>
      <c r="K609" t="s">
        <v>359</v>
      </c>
      <c r="L609" t="s">
        <v>359</v>
      </c>
      <c r="M609" t="s">
        <v>360</v>
      </c>
      <c r="N609">
        <v>1649430446.3199999</v>
      </c>
      <c r="O609">
        <v>0.23100000000000001</v>
      </c>
      <c r="P609">
        <v>0.40500000000000003</v>
      </c>
      <c r="Q609">
        <v>54.747999999999998</v>
      </c>
      <c r="R609">
        <v>1E-3</v>
      </c>
      <c r="S609">
        <v>1E-3</v>
      </c>
      <c r="T609">
        <v>1.325</v>
      </c>
      <c r="U609">
        <v>101.258</v>
      </c>
      <c r="V609">
        <v>20.791</v>
      </c>
      <c r="W609">
        <v>2.4990000000000001</v>
      </c>
      <c r="X609">
        <v>95.564999999999998</v>
      </c>
      <c r="Y609">
        <v>0.92600000000000005</v>
      </c>
      <c r="Z609">
        <v>0.52300000000000002</v>
      </c>
      <c r="AA609">
        <v>0</v>
      </c>
      <c r="AB609">
        <v>0</v>
      </c>
      <c r="AC609">
        <v>1</v>
      </c>
      <c r="AD609">
        <v>40.061999999999998</v>
      </c>
      <c r="AE609">
        <v>1</v>
      </c>
      <c r="AF609">
        <v>82</v>
      </c>
      <c r="AG609">
        <v>6</v>
      </c>
      <c r="AH609" t="s">
        <v>361</v>
      </c>
      <c r="AI609">
        <v>0</v>
      </c>
    </row>
    <row r="610" spans="1:35" x14ac:dyDescent="0.2">
      <c r="A610">
        <v>609</v>
      </c>
      <c r="B610" t="s">
        <v>1136</v>
      </c>
      <c r="C610" t="s">
        <v>1142</v>
      </c>
      <c r="D610" t="s">
        <v>442</v>
      </c>
      <c r="E610">
        <v>6</v>
      </c>
      <c r="F610">
        <v>-5.3380000000000001</v>
      </c>
      <c r="G610">
        <v>-27.898</v>
      </c>
      <c r="H610">
        <v>17145</v>
      </c>
      <c r="I610">
        <v>0</v>
      </c>
      <c r="J610">
        <v>1</v>
      </c>
      <c r="K610" t="s">
        <v>359</v>
      </c>
      <c r="L610" t="s">
        <v>359</v>
      </c>
      <c r="M610" t="s">
        <v>360</v>
      </c>
      <c r="N610">
        <v>1649430984.53</v>
      </c>
      <c r="O610">
        <v>0.18099999999999999</v>
      </c>
      <c r="P610">
        <v>0.40799999999999997</v>
      </c>
      <c r="Q610">
        <v>57.697000000000003</v>
      </c>
      <c r="R610">
        <v>0</v>
      </c>
      <c r="S610">
        <v>2E-3</v>
      </c>
      <c r="T610">
        <v>1.375</v>
      </c>
      <c r="U610">
        <v>101.41</v>
      </c>
      <c r="V610">
        <v>21.533000000000001</v>
      </c>
      <c r="W610">
        <v>2.4</v>
      </c>
      <c r="X610">
        <v>93.058999999999997</v>
      </c>
      <c r="Y610">
        <v>0.94499999999999995</v>
      </c>
      <c r="Z610">
        <v>0.23300000000000001</v>
      </c>
      <c r="AA610">
        <v>0</v>
      </c>
      <c r="AB610">
        <v>0</v>
      </c>
      <c r="AC610">
        <v>1</v>
      </c>
      <c r="AD610">
        <v>40.188000000000002</v>
      </c>
      <c r="AE610">
        <v>1</v>
      </c>
      <c r="AF610">
        <v>82</v>
      </c>
      <c r="AG610">
        <v>6</v>
      </c>
      <c r="AH610" t="s">
        <v>361</v>
      </c>
      <c r="AI610">
        <v>0</v>
      </c>
    </row>
    <row r="611" spans="1:35" x14ac:dyDescent="0.2">
      <c r="A611">
        <v>610</v>
      </c>
      <c r="B611" t="s">
        <v>1143</v>
      </c>
      <c r="C611" t="s">
        <v>1144</v>
      </c>
      <c r="D611" t="s">
        <v>443</v>
      </c>
      <c r="E611">
        <v>1</v>
      </c>
      <c r="F611">
        <v>-5.43</v>
      </c>
      <c r="G611">
        <v>-28.013999999999999</v>
      </c>
      <c r="H611">
        <v>17399</v>
      </c>
      <c r="I611">
        <v>-1</v>
      </c>
      <c r="J611">
        <v>1</v>
      </c>
      <c r="K611" t="s">
        <v>359</v>
      </c>
      <c r="L611" t="s">
        <v>359</v>
      </c>
      <c r="M611" t="s">
        <v>360</v>
      </c>
      <c r="N611">
        <v>1649431521.28</v>
      </c>
      <c r="O611">
        <v>0.20100000000000001</v>
      </c>
      <c r="P611">
        <v>0.38900000000000001</v>
      </c>
      <c r="Q611">
        <v>57.97</v>
      </c>
      <c r="R611">
        <v>1E-3</v>
      </c>
      <c r="S611">
        <v>0</v>
      </c>
      <c r="T611">
        <v>1.387</v>
      </c>
      <c r="U611">
        <v>103.006</v>
      </c>
      <c r="V611">
        <v>21.384</v>
      </c>
      <c r="W611">
        <v>2.48</v>
      </c>
      <c r="X611">
        <v>95.763999999999996</v>
      </c>
      <c r="Y611">
        <v>0.92</v>
      </c>
      <c r="Z611">
        <v>0.39500000000000002</v>
      </c>
      <c r="AA611">
        <v>0</v>
      </c>
      <c r="AB611">
        <v>0</v>
      </c>
      <c r="AC611">
        <v>1</v>
      </c>
      <c r="AD611">
        <v>40.188000000000002</v>
      </c>
      <c r="AE611">
        <v>1</v>
      </c>
      <c r="AF611">
        <v>83</v>
      </c>
      <c r="AG611">
        <v>6</v>
      </c>
      <c r="AH611" t="s">
        <v>361</v>
      </c>
      <c r="AI611">
        <v>0</v>
      </c>
    </row>
    <row r="612" spans="1:35" x14ac:dyDescent="0.2">
      <c r="A612">
        <v>611</v>
      </c>
      <c r="B612" t="s">
        <v>1143</v>
      </c>
      <c r="C612" t="s">
        <v>1145</v>
      </c>
      <c r="D612" t="s">
        <v>443</v>
      </c>
      <c r="E612">
        <v>2</v>
      </c>
      <c r="F612">
        <v>-5.399</v>
      </c>
      <c r="G612">
        <v>-28.158999999999999</v>
      </c>
      <c r="H612">
        <v>17433</v>
      </c>
      <c r="I612">
        <v>-1</v>
      </c>
      <c r="J612">
        <v>1</v>
      </c>
      <c r="K612" t="s">
        <v>359</v>
      </c>
      <c r="L612" t="s">
        <v>359</v>
      </c>
      <c r="M612" t="s">
        <v>360</v>
      </c>
      <c r="N612">
        <v>1649432057.98</v>
      </c>
      <c r="O612">
        <v>0.20300000000000001</v>
      </c>
      <c r="P612">
        <v>0.39700000000000002</v>
      </c>
      <c r="Q612">
        <v>57.104999999999997</v>
      </c>
      <c r="R612">
        <v>1E-3</v>
      </c>
      <c r="S612">
        <v>1E-3</v>
      </c>
      <c r="T612">
        <v>1.36</v>
      </c>
      <c r="U612">
        <v>103.28</v>
      </c>
      <c r="V612">
        <v>20.972000000000001</v>
      </c>
      <c r="W612">
        <v>2.5470000000000002</v>
      </c>
      <c r="X612">
        <v>97.061000000000007</v>
      </c>
      <c r="Y612">
        <v>0.92200000000000004</v>
      </c>
      <c r="Z612">
        <v>0.55200000000000005</v>
      </c>
      <c r="AA612">
        <v>0</v>
      </c>
      <c r="AB612">
        <v>0</v>
      </c>
      <c r="AC612">
        <v>1</v>
      </c>
      <c r="AD612">
        <v>40.188000000000002</v>
      </c>
      <c r="AE612">
        <v>1</v>
      </c>
      <c r="AF612">
        <v>83</v>
      </c>
      <c r="AG612">
        <v>6</v>
      </c>
      <c r="AH612" t="s">
        <v>361</v>
      </c>
      <c r="AI612">
        <v>0</v>
      </c>
    </row>
    <row r="613" spans="1:35" x14ac:dyDescent="0.2">
      <c r="A613">
        <v>612</v>
      </c>
      <c r="B613" t="s">
        <v>1143</v>
      </c>
      <c r="C613" t="s">
        <v>1146</v>
      </c>
      <c r="D613" t="s">
        <v>443</v>
      </c>
      <c r="E613">
        <v>3</v>
      </c>
      <c r="F613">
        <v>-5.4189999999999996</v>
      </c>
      <c r="G613">
        <v>-28.417999999999999</v>
      </c>
      <c r="H613">
        <v>17155</v>
      </c>
      <c r="I613">
        <v>-1</v>
      </c>
      <c r="J613">
        <v>1</v>
      </c>
      <c r="K613" t="s">
        <v>359</v>
      </c>
      <c r="L613" t="s">
        <v>359</v>
      </c>
      <c r="M613" t="s">
        <v>360</v>
      </c>
      <c r="N613">
        <v>1649432595.6500001</v>
      </c>
      <c r="O613">
        <v>0.19900000000000001</v>
      </c>
      <c r="P613">
        <v>0.374</v>
      </c>
      <c r="Q613">
        <v>56.454999999999998</v>
      </c>
      <c r="R613">
        <v>1E-3</v>
      </c>
      <c r="S613">
        <v>1E-3</v>
      </c>
      <c r="T613">
        <v>1.343</v>
      </c>
      <c r="U613">
        <v>101.444</v>
      </c>
      <c r="V613">
        <v>21.445</v>
      </c>
      <c r="W613">
        <v>2.3780000000000001</v>
      </c>
      <c r="X613">
        <v>93.811000000000007</v>
      </c>
      <c r="Y613">
        <v>0.91700000000000004</v>
      </c>
      <c r="Z613">
        <v>0.33200000000000002</v>
      </c>
      <c r="AA613">
        <v>0</v>
      </c>
      <c r="AB613">
        <v>0</v>
      </c>
      <c r="AC613">
        <v>1</v>
      </c>
      <c r="AD613">
        <v>40.188000000000002</v>
      </c>
      <c r="AE613">
        <v>1</v>
      </c>
      <c r="AF613">
        <v>83</v>
      </c>
      <c r="AG613">
        <v>6</v>
      </c>
      <c r="AH613" t="s">
        <v>361</v>
      </c>
      <c r="AI613">
        <v>0</v>
      </c>
    </row>
    <row r="614" spans="1:35" x14ac:dyDescent="0.2">
      <c r="A614">
        <v>613</v>
      </c>
      <c r="B614" t="s">
        <v>1143</v>
      </c>
      <c r="C614" t="s">
        <v>1147</v>
      </c>
      <c r="D614" t="s">
        <v>443</v>
      </c>
      <c r="E614">
        <v>4</v>
      </c>
      <c r="F614">
        <v>-5.4139999999999997</v>
      </c>
      <c r="G614">
        <v>-28.352</v>
      </c>
      <c r="H614">
        <v>17131</v>
      </c>
      <c r="I614">
        <v>0</v>
      </c>
      <c r="J614">
        <v>1</v>
      </c>
      <c r="K614" t="s">
        <v>359</v>
      </c>
      <c r="L614" t="s">
        <v>359</v>
      </c>
      <c r="M614" t="s">
        <v>360</v>
      </c>
      <c r="N614">
        <v>1649433133.1900001</v>
      </c>
      <c r="O614">
        <v>0.20699999999999999</v>
      </c>
      <c r="P614">
        <v>0.40899999999999997</v>
      </c>
      <c r="Q614">
        <v>56.603999999999999</v>
      </c>
      <c r="R614">
        <v>1E-3</v>
      </c>
      <c r="S614">
        <v>1E-3</v>
      </c>
      <c r="T614">
        <v>1.3440000000000001</v>
      </c>
      <c r="U614">
        <v>101.443</v>
      </c>
      <c r="V614">
        <v>21.161999999999999</v>
      </c>
      <c r="W614">
        <v>2.3969999999999998</v>
      </c>
      <c r="X614">
        <v>93.448999999999998</v>
      </c>
      <c r="Y614">
        <v>0.91500000000000004</v>
      </c>
      <c r="Z614">
        <v>0.309</v>
      </c>
      <c r="AA614">
        <v>0</v>
      </c>
      <c r="AB614">
        <v>0</v>
      </c>
      <c r="AC614">
        <v>1</v>
      </c>
      <c r="AD614">
        <v>40.125</v>
      </c>
      <c r="AE614">
        <v>1</v>
      </c>
      <c r="AF614">
        <v>83</v>
      </c>
      <c r="AG614">
        <v>6</v>
      </c>
      <c r="AH614" t="s">
        <v>361</v>
      </c>
      <c r="AI614">
        <v>0</v>
      </c>
    </row>
    <row r="615" spans="1:35" x14ac:dyDescent="0.2">
      <c r="A615">
        <v>614</v>
      </c>
      <c r="B615" t="s">
        <v>1143</v>
      </c>
      <c r="C615" t="s">
        <v>1148</v>
      </c>
      <c r="D615" t="s">
        <v>443</v>
      </c>
      <c r="E615">
        <v>5</v>
      </c>
      <c r="F615">
        <v>-5.4029999999999996</v>
      </c>
      <c r="G615">
        <v>-28.02</v>
      </c>
      <c r="H615">
        <v>17134</v>
      </c>
      <c r="I615">
        <v>0</v>
      </c>
      <c r="J615">
        <v>1</v>
      </c>
      <c r="K615" t="s">
        <v>359</v>
      </c>
      <c r="L615" t="s">
        <v>359</v>
      </c>
      <c r="M615" t="s">
        <v>360</v>
      </c>
      <c r="N615">
        <v>1649433669.8399999</v>
      </c>
      <c r="O615">
        <v>0.189</v>
      </c>
      <c r="P615">
        <v>0.42399999999999999</v>
      </c>
      <c r="Q615">
        <v>55.494999999999997</v>
      </c>
      <c r="R615">
        <v>1E-3</v>
      </c>
      <c r="S615">
        <v>0</v>
      </c>
      <c r="T615">
        <v>1.335</v>
      </c>
      <c r="U615">
        <v>101.538</v>
      </c>
      <c r="V615">
        <v>21.029</v>
      </c>
      <c r="W615">
        <v>2.3839999999999999</v>
      </c>
      <c r="X615">
        <v>93.777000000000001</v>
      </c>
      <c r="Y615">
        <v>0.90500000000000003</v>
      </c>
      <c r="Z615">
        <v>0.20300000000000001</v>
      </c>
      <c r="AA615">
        <v>0</v>
      </c>
      <c r="AB615">
        <v>0</v>
      </c>
      <c r="AC615">
        <v>1</v>
      </c>
      <c r="AD615">
        <v>40.125</v>
      </c>
      <c r="AE615">
        <v>1</v>
      </c>
      <c r="AF615">
        <v>83</v>
      </c>
      <c r="AG615">
        <v>6</v>
      </c>
      <c r="AH615" t="s">
        <v>361</v>
      </c>
      <c r="AI615">
        <v>0</v>
      </c>
    </row>
    <row r="616" spans="1:35" x14ac:dyDescent="0.2">
      <c r="A616">
        <v>615</v>
      </c>
      <c r="B616" t="s">
        <v>1143</v>
      </c>
      <c r="C616" t="s">
        <v>1149</v>
      </c>
      <c r="D616" t="s">
        <v>443</v>
      </c>
      <c r="E616">
        <v>6</v>
      </c>
      <c r="F616">
        <v>-5.444</v>
      </c>
      <c r="G616">
        <v>-28.352</v>
      </c>
      <c r="H616">
        <v>17141</v>
      </c>
      <c r="I616">
        <v>0</v>
      </c>
      <c r="J616">
        <v>1</v>
      </c>
      <c r="K616" t="s">
        <v>359</v>
      </c>
      <c r="L616" t="s">
        <v>359</v>
      </c>
      <c r="M616" t="s">
        <v>360</v>
      </c>
      <c r="N616">
        <v>1649434207.1800001</v>
      </c>
      <c r="O616">
        <v>0.20200000000000001</v>
      </c>
      <c r="P616">
        <v>0.42099999999999999</v>
      </c>
      <c r="Q616">
        <v>56.155000000000001</v>
      </c>
      <c r="R616">
        <v>1E-3</v>
      </c>
      <c r="S616">
        <v>2E-3</v>
      </c>
      <c r="T616">
        <v>1.3460000000000001</v>
      </c>
      <c r="U616">
        <v>101.363</v>
      </c>
      <c r="V616">
        <v>21.091000000000001</v>
      </c>
      <c r="W616">
        <v>2.4460000000000002</v>
      </c>
      <c r="X616">
        <v>94.528000000000006</v>
      </c>
      <c r="Y616">
        <v>0.90200000000000002</v>
      </c>
      <c r="Z616">
        <v>0.38</v>
      </c>
      <c r="AA616">
        <v>0</v>
      </c>
      <c r="AB616">
        <v>0</v>
      </c>
      <c r="AC616">
        <v>1</v>
      </c>
      <c r="AD616">
        <v>40.188000000000002</v>
      </c>
      <c r="AE616">
        <v>1</v>
      </c>
      <c r="AF616">
        <v>83</v>
      </c>
      <c r="AG616">
        <v>6</v>
      </c>
      <c r="AH616" t="s">
        <v>361</v>
      </c>
      <c r="AI616">
        <v>0</v>
      </c>
    </row>
    <row r="617" spans="1:35" x14ac:dyDescent="0.2">
      <c r="A617">
        <v>616</v>
      </c>
      <c r="B617" t="s">
        <v>1150</v>
      </c>
      <c r="C617" t="s">
        <v>1151</v>
      </c>
      <c r="D617" t="s">
        <v>444</v>
      </c>
      <c r="E617">
        <v>1</v>
      </c>
      <c r="F617">
        <v>-5.4630000000000001</v>
      </c>
      <c r="G617">
        <v>-28.911000000000001</v>
      </c>
      <c r="H617">
        <v>17163</v>
      </c>
      <c r="I617">
        <v>-1</v>
      </c>
      <c r="J617">
        <v>1</v>
      </c>
      <c r="K617" t="s">
        <v>359</v>
      </c>
      <c r="L617" t="s">
        <v>359</v>
      </c>
      <c r="M617" t="s">
        <v>360</v>
      </c>
      <c r="N617">
        <v>1649434743.1199999</v>
      </c>
      <c r="O617">
        <v>0.192</v>
      </c>
      <c r="P617">
        <v>0.38100000000000001</v>
      </c>
      <c r="Q617">
        <v>56.067</v>
      </c>
      <c r="R617">
        <v>1E-3</v>
      </c>
      <c r="S617">
        <v>1E-3</v>
      </c>
      <c r="T617">
        <v>1.351</v>
      </c>
      <c r="U617">
        <v>101.669</v>
      </c>
      <c r="V617">
        <v>20.963000000000001</v>
      </c>
      <c r="W617">
        <v>2.4510000000000001</v>
      </c>
      <c r="X617">
        <v>94.406000000000006</v>
      </c>
      <c r="Y617">
        <v>0.91400000000000003</v>
      </c>
      <c r="Z617">
        <v>0.308</v>
      </c>
      <c r="AA617">
        <v>0</v>
      </c>
      <c r="AB617">
        <v>0</v>
      </c>
      <c r="AC617">
        <v>1</v>
      </c>
      <c r="AD617">
        <v>40.188000000000002</v>
      </c>
      <c r="AE617">
        <v>1</v>
      </c>
      <c r="AF617">
        <v>84</v>
      </c>
      <c r="AG617">
        <v>6</v>
      </c>
      <c r="AH617" t="s">
        <v>361</v>
      </c>
      <c r="AI617">
        <v>0</v>
      </c>
    </row>
    <row r="618" spans="1:35" x14ac:dyDescent="0.2">
      <c r="A618">
        <v>617</v>
      </c>
      <c r="B618" t="s">
        <v>1150</v>
      </c>
      <c r="C618" t="s">
        <v>1152</v>
      </c>
      <c r="D618" t="s">
        <v>444</v>
      </c>
      <c r="E618">
        <v>2</v>
      </c>
      <c r="F618">
        <v>-5.4130000000000003</v>
      </c>
      <c r="G618">
        <v>-28.888999999999999</v>
      </c>
      <c r="H618">
        <v>17216</v>
      </c>
      <c r="I618">
        <v>-1</v>
      </c>
      <c r="J618">
        <v>1</v>
      </c>
      <c r="K618" t="s">
        <v>359</v>
      </c>
      <c r="L618" t="s">
        <v>359</v>
      </c>
      <c r="M618" t="s">
        <v>360</v>
      </c>
      <c r="N618">
        <v>1649435281.6400001</v>
      </c>
      <c r="O618">
        <v>0.19</v>
      </c>
      <c r="P618">
        <v>0.40600000000000003</v>
      </c>
      <c r="Q618">
        <v>56.238999999999997</v>
      </c>
      <c r="R618">
        <v>1E-3</v>
      </c>
      <c r="S618">
        <v>0</v>
      </c>
      <c r="T618">
        <v>1.3480000000000001</v>
      </c>
      <c r="U618">
        <v>101.804</v>
      </c>
      <c r="V618">
        <v>21.183</v>
      </c>
      <c r="W618">
        <v>2.4049999999999998</v>
      </c>
      <c r="X618">
        <v>95.132999999999996</v>
      </c>
      <c r="Y618">
        <v>0.91500000000000004</v>
      </c>
      <c r="Z618">
        <v>0.48699999999999999</v>
      </c>
      <c r="AA618">
        <v>0</v>
      </c>
      <c r="AB618">
        <v>0</v>
      </c>
      <c r="AC618">
        <v>1</v>
      </c>
      <c r="AD618">
        <v>40.125</v>
      </c>
      <c r="AE618">
        <v>1</v>
      </c>
      <c r="AF618">
        <v>84</v>
      </c>
      <c r="AG618">
        <v>6</v>
      </c>
      <c r="AH618" t="s">
        <v>361</v>
      </c>
      <c r="AI618">
        <v>0</v>
      </c>
    </row>
    <row r="619" spans="1:35" x14ac:dyDescent="0.2">
      <c r="A619">
        <v>618</v>
      </c>
      <c r="B619" t="s">
        <v>1150</v>
      </c>
      <c r="C619" t="s">
        <v>1153</v>
      </c>
      <c r="D619" t="s">
        <v>444</v>
      </c>
      <c r="E619">
        <v>3</v>
      </c>
      <c r="F619">
        <v>-5.4269999999999996</v>
      </c>
      <c r="G619">
        <v>-28.922999999999998</v>
      </c>
      <c r="H619">
        <v>17193</v>
      </c>
      <c r="I619">
        <v>-1</v>
      </c>
      <c r="J619">
        <v>1</v>
      </c>
      <c r="K619" t="s">
        <v>359</v>
      </c>
      <c r="L619" t="s">
        <v>359</v>
      </c>
      <c r="M619" t="s">
        <v>360</v>
      </c>
      <c r="N619">
        <v>1649435818.3699999</v>
      </c>
      <c r="O619">
        <v>0.191</v>
      </c>
      <c r="P619">
        <v>0.35399999999999998</v>
      </c>
      <c r="Q619">
        <v>56.014000000000003</v>
      </c>
      <c r="R619">
        <v>0</v>
      </c>
      <c r="S619">
        <v>0</v>
      </c>
      <c r="T619">
        <v>1.341</v>
      </c>
      <c r="U619">
        <v>101.857</v>
      </c>
      <c r="V619">
        <v>20.425999999999998</v>
      </c>
      <c r="W619">
        <v>2.4590000000000001</v>
      </c>
      <c r="X619">
        <v>96.132000000000005</v>
      </c>
      <c r="Y619">
        <v>0.90800000000000003</v>
      </c>
      <c r="Z619">
        <v>0.51400000000000001</v>
      </c>
      <c r="AA619">
        <v>0</v>
      </c>
      <c r="AB619">
        <v>0</v>
      </c>
      <c r="AC619">
        <v>1</v>
      </c>
      <c r="AD619">
        <v>40.188000000000002</v>
      </c>
      <c r="AE619">
        <v>1</v>
      </c>
      <c r="AF619">
        <v>84</v>
      </c>
      <c r="AG619">
        <v>6</v>
      </c>
      <c r="AH619" t="s">
        <v>361</v>
      </c>
      <c r="AI619">
        <v>0</v>
      </c>
    </row>
    <row r="620" spans="1:35" x14ac:dyDescent="0.2">
      <c r="A620">
        <v>619</v>
      </c>
      <c r="B620" t="s">
        <v>1150</v>
      </c>
      <c r="C620" t="s">
        <v>1154</v>
      </c>
      <c r="D620" t="s">
        <v>444</v>
      </c>
      <c r="E620">
        <v>4</v>
      </c>
      <c r="F620">
        <v>-5.4459999999999997</v>
      </c>
      <c r="G620">
        <v>-29.228999999999999</v>
      </c>
      <c r="H620">
        <v>17168</v>
      </c>
      <c r="I620">
        <v>0</v>
      </c>
      <c r="J620">
        <v>1</v>
      </c>
      <c r="K620" t="s">
        <v>359</v>
      </c>
      <c r="L620" t="s">
        <v>359</v>
      </c>
      <c r="M620" t="s">
        <v>360</v>
      </c>
      <c r="N620">
        <v>1649436354.95</v>
      </c>
      <c r="O620">
        <v>0.22500000000000001</v>
      </c>
      <c r="P620">
        <v>0.38100000000000001</v>
      </c>
      <c r="Q620">
        <v>55.174999999999997</v>
      </c>
      <c r="R620">
        <v>1E-3</v>
      </c>
      <c r="S620">
        <v>1E-3</v>
      </c>
      <c r="T620">
        <v>1.325</v>
      </c>
      <c r="U620">
        <v>101.631</v>
      </c>
      <c r="V620">
        <v>20.937000000000001</v>
      </c>
      <c r="W620">
        <v>2.468</v>
      </c>
      <c r="X620">
        <v>95.162999999999997</v>
      </c>
      <c r="Y620">
        <v>0.90100000000000002</v>
      </c>
      <c r="Z620">
        <v>0.432</v>
      </c>
      <c r="AA620">
        <v>0</v>
      </c>
      <c r="AB620">
        <v>0</v>
      </c>
      <c r="AC620">
        <v>1</v>
      </c>
      <c r="AD620">
        <v>40.188000000000002</v>
      </c>
      <c r="AE620">
        <v>1</v>
      </c>
      <c r="AF620">
        <v>84</v>
      </c>
      <c r="AG620">
        <v>6</v>
      </c>
      <c r="AH620" t="s">
        <v>361</v>
      </c>
      <c r="AI620">
        <v>0</v>
      </c>
    </row>
    <row r="621" spans="1:35" x14ac:dyDescent="0.2">
      <c r="A621">
        <v>620</v>
      </c>
      <c r="B621" t="s">
        <v>1150</v>
      </c>
      <c r="C621" t="s">
        <v>1155</v>
      </c>
      <c r="D621" t="s">
        <v>444</v>
      </c>
      <c r="E621">
        <v>5</v>
      </c>
      <c r="F621">
        <v>-5.4569999999999999</v>
      </c>
      <c r="G621">
        <v>-29.17</v>
      </c>
      <c r="H621">
        <v>17166</v>
      </c>
      <c r="I621">
        <v>0</v>
      </c>
      <c r="J621">
        <v>1</v>
      </c>
      <c r="K621" t="s">
        <v>359</v>
      </c>
      <c r="L621" t="s">
        <v>359</v>
      </c>
      <c r="M621" t="s">
        <v>360</v>
      </c>
      <c r="N621">
        <v>1649436892.5799999</v>
      </c>
      <c r="O621">
        <v>0.20599999999999999</v>
      </c>
      <c r="P621">
        <v>0.40799999999999997</v>
      </c>
      <c r="Q621">
        <v>56.825000000000003</v>
      </c>
      <c r="R621">
        <v>1E-3</v>
      </c>
      <c r="S621">
        <v>1E-3</v>
      </c>
      <c r="T621">
        <v>1.35</v>
      </c>
      <c r="U621">
        <v>101.355</v>
      </c>
      <c r="V621">
        <v>21.765000000000001</v>
      </c>
      <c r="W621">
        <v>2.423</v>
      </c>
      <c r="X621">
        <v>93.778000000000006</v>
      </c>
      <c r="Y621">
        <v>0.89700000000000002</v>
      </c>
      <c r="Z621">
        <v>0.41099999999999998</v>
      </c>
      <c r="AA621">
        <v>0</v>
      </c>
      <c r="AB621">
        <v>0</v>
      </c>
      <c r="AC621">
        <v>1</v>
      </c>
      <c r="AD621">
        <v>40.25</v>
      </c>
      <c r="AE621">
        <v>1</v>
      </c>
      <c r="AF621">
        <v>84</v>
      </c>
      <c r="AG621">
        <v>6</v>
      </c>
      <c r="AH621" t="s">
        <v>361</v>
      </c>
      <c r="AI621">
        <v>0</v>
      </c>
    </row>
    <row r="622" spans="1:35" x14ac:dyDescent="0.2">
      <c r="A622">
        <v>621</v>
      </c>
      <c r="B622" t="s">
        <v>1150</v>
      </c>
      <c r="C622" t="s">
        <v>1156</v>
      </c>
      <c r="D622" t="s">
        <v>444</v>
      </c>
      <c r="E622">
        <v>6</v>
      </c>
      <c r="F622">
        <v>-5.4180000000000001</v>
      </c>
      <c r="G622">
        <v>-29.064</v>
      </c>
      <c r="H622">
        <v>17153</v>
      </c>
      <c r="I622">
        <v>0</v>
      </c>
      <c r="J622">
        <v>1</v>
      </c>
      <c r="K622" t="s">
        <v>359</v>
      </c>
      <c r="L622" t="s">
        <v>359</v>
      </c>
      <c r="M622" t="s">
        <v>360</v>
      </c>
      <c r="N622">
        <v>1649437429.49</v>
      </c>
      <c r="O622">
        <v>0.19400000000000001</v>
      </c>
      <c r="P622">
        <v>0.38500000000000001</v>
      </c>
      <c r="Q622">
        <v>55.566000000000003</v>
      </c>
      <c r="R622">
        <v>0</v>
      </c>
      <c r="S622">
        <v>0</v>
      </c>
      <c r="T622">
        <v>1.3280000000000001</v>
      </c>
      <c r="U622">
        <v>101.449</v>
      </c>
      <c r="V622">
        <v>20.914000000000001</v>
      </c>
      <c r="W622">
        <v>2.4769999999999999</v>
      </c>
      <c r="X622">
        <v>95.332999999999998</v>
      </c>
      <c r="Y622">
        <v>0.90500000000000003</v>
      </c>
      <c r="Z622">
        <v>0.45700000000000002</v>
      </c>
      <c r="AA622">
        <v>0</v>
      </c>
      <c r="AB622">
        <v>0</v>
      </c>
      <c r="AC622">
        <v>1</v>
      </c>
      <c r="AD622">
        <v>40.25</v>
      </c>
      <c r="AE622">
        <v>1</v>
      </c>
      <c r="AF622">
        <v>84</v>
      </c>
      <c r="AG622">
        <v>6</v>
      </c>
      <c r="AH622" t="s">
        <v>361</v>
      </c>
      <c r="AI622">
        <v>0</v>
      </c>
    </row>
    <row r="623" spans="1:35" x14ac:dyDescent="0.2">
      <c r="A623">
        <v>622</v>
      </c>
      <c r="B623" t="s">
        <v>1157</v>
      </c>
      <c r="C623" t="s">
        <v>1158</v>
      </c>
      <c r="D623" t="s">
        <v>445</v>
      </c>
      <c r="E623">
        <v>1</v>
      </c>
      <c r="F623">
        <v>-5.38</v>
      </c>
      <c r="G623">
        <v>-28.097999999999999</v>
      </c>
      <c r="H623">
        <v>17164</v>
      </c>
      <c r="I623">
        <v>-1</v>
      </c>
      <c r="J623">
        <v>1</v>
      </c>
      <c r="K623" t="s">
        <v>359</v>
      </c>
      <c r="L623" t="s">
        <v>359</v>
      </c>
      <c r="M623" t="s">
        <v>360</v>
      </c>
      <c r="N623">
        <v>1649437967.1800001</v>
      </c>
      <c r="O623">
        <v>0.21199999999999999</v>
      </c>
      <c r="P623">
        <v>0.44500000000000001</v>
      </c>
      <c r="Q623">
        <v>64.507000000000005</v>
      </c>
      <c r="R623">
        <v>2E-3</v>
      </c>
      <c r="S623">
        <v>4.0000000000000001E-3</v>
      </c>
      <c r="T623">
        <v>1.536</v>
      </c>
      <c r="U623">
        <v>101.557</v>
      </c>
      <c r="V623">
        <v>21.193000000000001</v>
      </c>
      <c r="W623">
        <v>2.4449999999999998</v>
      </c>
      <c r="X623">
        <v>94.427000000000007</v>
      </c>
      <c r="Y623">
        <v>0.90300000000000002</v>
      </c>
      <c r="Z623">
        <v>0.30499999999999999</v>
      </c>
      <c r="AA623">
        <v>0</v>
      </c>
      <c r="AB623">
        <v>0</v>
      </c>
      <c r="AC623">
        <v>1</v>
      </c>
      <c r="AD623">
        <v>40.25</v>
      </c>
      <c r="AE623">
        <v>1</v>
      </c>
      <c r="AF623">
        <v>85</v>
      </c>
      <c r="AG623">
        <v>6</v>
      </c>
      <c r="AH623" t="s">
        <v>361</v>
      </c>
      <c r="AI623">
        <v>0</v>
      </c>
    </row>
    <row r="624" spans="1:35" x14ac:dyDescent="0.2">
      <c r="A624">
        <v>623</v>
      </c>
      <c r="B624" t="s">
        <v>1157</v>
      </c>
      <c r="C624" t="s">
        <v>1159</v>
      </c>
      <c r="D624" t="s">
        <v>445</v>
      </c>
      <c r="E624">
        <v>2</v>
      </c>
      <c r="F624">
        <v>-5.3120000000000003</v>
      </c>
      <c r="G624">
        <v>-27.759</v>
      </c>
      <c r="H624">
        <v>17199</v>
      </c>
      <c r="I624">
        <v>-1</v>
      </c>
      <c r="J624">
        <v>1</v>
      </c>
      <c r="K624" t="s">
        <v>359</v>
      </c>
      <c r="L624" t="s">
        <v>359</v>
      </c>
      <c r="M624" t="s">
        <v>360</v>
      </c>
      <c r="N624">
        <v>1649438503.3299999</v>
      </c>
      <c r="O624">
        <v>0.20699999999999999</v>
      </c>
      <c r="P624">
        <v>0.42099999999999999</v>
      </c>
      <c r="Q624">
        <v>57.54</v>
      </c>
      <c r="R624">
        <v>1E-3</v>
      </c>
      <c r="S624">
        <v>2E-3</v>
      </c>
      <c r="T624">
        <v>1.387</v>
      </c>
      <c r="U624">
        <v>101.68600000000001</v>
      </c>
      <c r="V624">
        <v>21.158999999999999</v>
      </c>
      <c r="W624">
        <v>2.4500000000000002</v>
      </c>
      <c r="X624">
        <v>95.191000000000003</v>
      </c>
      <c r="Y624">
        <v>0.90300000000000002</v>
      </c>
      <c r="Z624">
        <v>0.45500000000000002</v>
      </c>
      <c r="AA624">
        <v>0</v>
      </c>
      <c r="AB624">
        <v>0</v>
      </c>
      <c r="AC624">
        <v>1</v>
      </c>
      <c r="AD624">
        <v>40.25</v>
      </c>
      <c r="AE624">
        <v>1</v>
      </c>
      <c r="AF624">
        <v>85</v>
      </c>
      <c r="AG624">
        <v>6</v>
      </c>
      <c r="AH624" t="s">
        <v>361</v>
      </c>
      <c r="AI624">
        <v>0</v>
      </c>
    </row>
    <row r="625" spans="1:35" x14ac:dyDescent="0.2">
      <c r="A625">
        <v>624</v>
      </c>
      <c r="B625" t="s">
        <v>1157</v>
      </c>
      <c r="C625" t="s">
        <v>1160</v>
      </c>
      <c r="D625" t="s">
        <v>445</v>
      </c>
      <c r="E625">
        <v>3</v>
      </c>
      <c r="F625">
        <v>-5.3109999999999999</v>
      </c>
      <c r="G625">
        <v>-27.791</v>
      </c>
      <c r="H625">
        <v>17180</v>
      </c>
      <c r="I625">
        <v>-1</v>
      </c>
      <c r="J625">
        <v>1</v>
      </c>
      <c r="K625" t="s">
        <v>359</v>
      </c>
      <c r="L625" t="s">
        <v>359</v>
      </c>
      <c r="M625" t="s">
        <v>360</v>
      </c>
      <c r="N625">
        <v>1649439040.9400001</v>
      </c>
      <c r="O625">
        <v>0.20699999999999999</v>
      </c>
      <c r="P625">
        <v>0.38100000000000001</v>
      </c>
      <c r="Q625">
        <v>57.018000000000001</v>
      </c>
      <c r="R625">
        <v>1E-3</v>
      </c>
      <c r="S625">
        <v>0</v>
      </c>
      <c r="T625">
        <v>1.363</v>
      </c>
      <c r="U625">
        <v>101.732</v>
      </c>
      <c r="V625">
        <v>21.146999999999998</v>
      </c>
      <c r="W625">
        <v>2.407</v>
      </c>
      <c r="X625">
        <v>94.269000000000005</v>
      </c>
      <c r="Y625">
        <v>0.90600000000000003</v>
      </c>
      <c r="Z625">
        <v>0.25</v>
      </c>
      <c r="AA625">
        <v>0</v>
      </c>
      <c r="AB625">
        <v>0</v>
      </c>
      <c r="AC625">
        <v>1</v>
      </c>
      <c r="AD625">
        <v>40.188000000000002</v>
      </c>
      <c r="AE625">
        <v>1</v>
      </c>
      <c r="AF625">
        <v>85</v>
      </c>
      <c r="AG625">
        <v>6</v>
      </c>
      <c r="AH625" t="s">
        <v>361</v>
      </c>
      <c r="AI625">
        <v>0</v>
      </c>
    </row>
    <row r="626" spans="1:35" x14ac:dyDescent="0.2">
      <c r="A626">
        <v>625</v>
      </c>
      <c r="B626" t="s">
        <v>1157</v>
      </c>
      <c r="C626" t="s">
        <v>1161</v>
      </c>
      <c r="D626" t="s">
        <v>445</v>
      </c>
      <c r="E626">
        <v>4</v>
      </c>
      <c r="F626">
        <v>-5.3220000000000001</v>
      </c>
      <c r="G626">
        <v>-27.661999999999999</v>
      </c>
      <c r="H626">
        <v>17131</v>
      </c>
      <c r="I626">
        <v>0</v>
      </c>
      <c r="J626">
        <v>1</v>
      </c>
      <c r="K626" t="s">
        <v>359</v>
      </c>
      <c r="L626" t="s">
        <v>359</v>
      </c>
      <c r="M626" t="s">
        <v>360</v>
      </c>
      <c r="N626">
        <v>1649439577.1300001</v>
      </c>
      <c r="O626">
        <v>0.23200000000000001</v>
      </c>
      <c r="P626">
        <v>0.4</v>
      </c>
      <c r="Q626">
        <v>56.209000000000003</v>
      </c>
      <c r="R626">
        <v>1E-3</v>
      </c>
      <c r="S626">
        <v>2E-3</v>
      </c>
      <c r="T626">
        <v>1.3540000000000001</v>
      </c>
      <c r="U626">
        <v>101.43300000000001</v>
      </c>
      <c r="V626">
        <v>20.872</v>
      </c>
      <c r="W626">
        <v>2.4809999999999999</v>
      </c>
      <c r="X626">
        <v>94.462000000000003</v>
      </c>
      <c r="Y626">
        <v>0.89700000000000002</v>
      </c>
      <c r="Z626">
        <v>0.42299999999999999</v>
      </c>
      <c r="AA626">
        <v>0</v>
      </c>
      <c r="AB626">
        <v>0</v>
      </c>
      <c r="AC626">
        <v>1</v>
      </c>
      <c r="AD626">
        <v>40.188000000000002</v>
      </c>
      <c r="AE626">
        <v>1</v>
      </c>
      <c r="AF626">
        <v>85</v>
      </c>
      <c r="AG626">
        <v>6</v>
      </c>
      <c r="AH626" t="s">
        <v>361</v>
      </c>
      <c r="AI626">
        <v>0</v>
      </c>
    </row>
    <row r="627" spans="1:35" x14ac:dyDescent="0.2">
      <c r="A627">
        <v>626</v>
      </c>
      <c r="B627" t="s">
        <v>1157</v>
      </c>
      <c r="C627" t="s">
        <v>1162</v>
      </c>
      <c r="D627" t="s">
        <v>445</v>
      </c>
      <c r="E627">
        <v>5</v>
      </c>
      <c r="F627">
        <v>-5.3159999999999998</v>
      </c>
      <c r="G627">
        <v>-27.64</v>
      </c>
      <c r="H627">
        <v>17145</v>
      </c>
      <c r="I627">
        <v>0</v>
      </c>
      <c r="J627">
        <v>1</v>
      </c>
      <c r="K627" t="s">
        <v>359</v>
      </c>
      <c r="L627" t="s">
        <v>359</v>
      </c>
      <c r="M627" t="s">
        <v>360</v>
      </c>
      <c r="N627">
        <v>1649440114.6700001</v>
      </c>
      <c r="O627">
        <v>0.20499999999999999</v>
      </c>
      <c r="P627">
        <v>0.42399999999999999</v>
      </c>
      <c r="Q627">
        <v>58.216000000000001</v>
      </c>
      <c r="R627">
        <v>1E-3</v>
      </c>
      <c r="S627">
        <v>2E-3</v>
      </c>
      <c r="T627">
        <v>1.389</v>
      </c>
      <c r="U627">
        <v>101.377</v>
      </c>
      <c r="V627">
        <v>21.212</v>
      </c>
      <c r="W627">
        <v>2.4889999999999999</v>
      </c>
      <c r="X627">
        <v>94.569000000000003</v>
      </c>
      <c r="Y627">
        <v>0.89</v>
      </c>
      <c r="Z627">
        <v>0.35299999999999998</v>
      </c>
      <c r="AA627">
        <v>0</v>
      </c>
      <c r="AB627">
        <v>0</v>
      </c>
      <c r="AC627">
        <v>1</v>
      </c>
      <c r="AD627">
        <v>40.188000000000002</v>
      </c>
      <c r="AE627">
        <v>1</v>
      </c>
      <c r="AF627">
        <v>85</v>
      </c>
      <c r="AG627">
        <v>6</v>
      </c>
      <c r="AH627" t="s">
        <v>361</v>
      </c>
      <c r="AI627">
        <v>0</v>
      </c>
    </row>
    <row r="628" spans="1:35" x14ac:dyDescent="0.2">
      <c r="A628">
        <v>627</v>
      </c>
      <c r="B628" t="s">
        <v>1157</v>
      </c>
      <c r="C628" t="s">
        <v>1163</v>
      </c>
      <c r="D628" t="s">
        <v>445</v>
      </c>
      <c r="E628">
        <v>6</v>
      </c>
      <c r="F628">
        <v>-5.327</v>
      </c>
      <c r="G628">
        <v>-27.908000000000001</v>
      </c>
      <c r="H628">
        <v>17111</v>
      </c>
      <c r="I628">
        <v>0</v>
      </c>
      <c r="J628">
        <v>1</v>
      </c>
      <c r="K628" t="s">
        <v>359</v>
      </c>
      <c r="L628" t="s">
        <v>359</v>
      </c>
      <c r="M628" t="s">
        <v>360</v>
      </c>
      <c r="N628">
        <v>1649440651.46</v>
      </c>
      <c r="O628">
        <v>0.21099999999999999</v>
      </c>
      <c r="P628">
        <v>0.377</v>
      </c>
      <c r="Q628">
        <v>55.414999999999999</v>
      </c>
      <c r="R628">
        <v>1E-3</v>
      </c>
      <c r="S628">
        <v>1E-3</v>
      </c>
      <c r="T628">
        <v>1.3240000000000001</v>
      </c>
      <c r="U628">
        <v>101.25700000000001</v>
      </c>
      <c r="V628">
        <v>21.196000000000002</v>
      </c>
      <c r="W628">
        <v>2.4020000000000001</v>
      </c>
      <c r="X628">
        <v>93.819000000000003</v>
      </c>
      <c r="Y628">
        <v>0.89900000000000002</v>
      </c>
      <c r="Z628">
        <v>0.29599999999999999</v>
      </c>
      <c r="AA628">
        <v>0</v>
      </c>
      <c r="AB628">
        <v>0</v>
      </c>
      <c r="AC628">
        <v>1</v>
      </c>
      <c r="AD628">
        <v>40.188000000000002</v>
      </c>
      <c r="AE628">
        <v>1</v>
      </c>
      <c r="AF628">
        <v>85</v>
      </c>
      <c r="AG628">
        <v>6</v>
      </c>
      <c r="AH628" t="s">
        <v>361</v>
      </c>
      <c r="AI628">
        <v>0</v>
      </c>
    </row>
    <row r="629" spans="1:35" x14ac:dyDescent="0.2">
      <c r="A629">
        <v>628</v>
      </c>
      <c r="B629" t="s">
        <v>1164</v>
      </c>
      <c r="C629" t="s">
        <v>1165</v>
      </c>
      <c r="D629" t="s">
        <v>446</v>
      </c>
      <c r="E629">
        <v>1</v>
      </c>
      <c r="F629">
        <v>-5.4530000000000003</v>
      </c>
      <c r="G629">
        <v>-28.622</v>
      </c>
      <c r="H629">
        <v>17158</v>
      </c>
      <c r="I629">
        <v>-1</v>
      </c>
      <c r="J629">
        <v>1</v>
      </c>
      <c r="K629" t="s">
        <v>359</v>
      </c>
      <c r="L629" t="s">
        <v>359</v>
      </c>
      <c r="M629" t="s">
        <v>360</v>
      </c>
      <c r="N629">
        <v>1649441188.8900001</v>
      </c>
      <c r="O629">
        <v>0.21</v>
      </c>
      <c r="P629">
        <v>0.38200000000000001</v>
      </c>
      <c r="Q629">
        <v>54.7</v>
      </c>
      <c r="R629">
        <v>2E-3</v>
      </c>
      <c r="S629">
        <v>1E-3</v>
      </c>
      <c r="T629">
        <v>1.3149999999999999</v>
      </c>
      <c r="U629">
        <v>101.633</v>
      </c>
      <c r="V629">
        <v>21.109000000000002</v>
      </c>
      <c r="W629">
        <v>2.399</v>
      </c>
      <c r="X629">
        <v>94.094999999999999</v>
      </c>
      <c r="Y629">
        <v>0.89100000000000001</v>
      </c>
      <c r="Z629">
        <v>0.23899999999999999</v>
      </c>
      <c r="AA629">
        <v>0</v>
      </c>
      <c r="AB629">
        <v>0</v>
      </c>
      <c r="AC629">
        <v>1</v>
      </c>
      <c r="AD629">
        <v>40.125</v>
      </c>
      <c r="AE629">
        <v>1</v>
      </c>
      <c r="AF629">
        <v>86</v>
      </c>
      <c r="AG629">
        <v>6</v>
      </c>
      <c r="AH629" t="s">
        <v>361</v>
      </c>
      <c r="AI629">
        <v>0</v>
      </c>
    </row>
    <row r="630" spans="1:35" x14ac:dyDescent="0.2">
      <c r="A630">
        <v>629</v>
      </c>
      <c r="B630" t="s">
        <v>1164</v>
      </c>
      <c r="C630" t="s">
        <v>1166</v>
      </c>
      <c r="D630" t="s">
        <v>446</v>
      </c>
      <c r="E630">
        <v>2</v>
      </c>
      <c r="F630">
        <v>-5.5279999999999996</v>
      </c>
      <c r="G630">
        <v>-28.495000000000001</v>
      </c>
      <c r="H630">
        <v>17179</v>
      </c>
      <c r="I630">
        <v>-1</v>
      </c>
      <c r="J630">
        <v>1</v>
      </c>
      <c r="K630" t="s">
        <v>359</v>
      </c>
      <c r="L630" t="s">
        <v>359</v>
      </c>
      <c r="M630" t="s">
        <v>360</v>
      </c>
      <c r="N630">
        <v>1649441725.8699999</v>
      </c>
      <c r="O630">
        <v>0.20399999999999999</v>
      </c>
      <c r="P630">
        <v>0.42699999999999999</v>
      </c>
      <c r="Q630">
        <v>58.527000000000001</v>
      </c>
      <c r="R630">
        <v>1E-3</v>
      </c>
      <c r="S630">
        <v>2E-3</v>
      </c>
      <c r="T630">
        <v>1.3959999999999999</v>
      </c>
      <c r="U630">
        <v>101.547</v>
      </c>
      <c r="V630">
        <v>20.873999999999999</v>
      </c>
      <c r="W630">
        <v>2.5019999999999998</v>
      </c>
      <c r="X630">
        <v>95.998000000000005</v>
      </c>
      <c r="Y630">
        <v>0.91400000000000003</v>
      </c>
      <c r="Z630">
        <v>0.55100000000000005</v>
      </c>
      <c r="AA630">
        <v>0</v>
      </c>
      <c r="AB630">
        <v>0</v>
      </c>
      <c r="AC630">
        <v>1</v>
      </c>
      <c r="AD630">
        <v>40.188000000000002</v>
      </c>
      <c r="AE630">
        <v>1</v>
      </c>
      <c r="AF630">
        <v>86</v>
      </c>
      <c r="AG630">
        <v>6</v>
      </c>
      <c r="AH630" t="s">
        <v>361</v>
      </c>
      <c r="AI630">
        <v>0</v>
      </c>
    </row>
    <row r="631" spans="1:35" x14ac:dyDescent="0.2">
      <c r="A631">
        <v>630</v>
      </c>
      <c r="B631" t="s">
        <v>1164</v>
      </c>
      <c r="C631" t="s">
        <v>1167</v>
      </c>
      <c r="D631" t="s">
        <v>446</v>
      </c>
      <c r="E631">
        <v>3</v>
      </c>
      <c r="F631">
        <v>-5.4880000000000004</v>
      </c>
      <c r="G631">
        <v>-28.837</v>
      </c>
      <c r="H631">
        <v>17121</v>
      </c>
      <c r="I631">
        <v>-1</v>
      </c>
      <c r="J631">
        <v>1</v>
      </c>
      <c r="K631" t="s">
        <v>359</v>
      </c>
      <c r="L631" t="s">
        <v>359</v>
      </c>
      <c r="M631" t="s">
        <v>360</v>
      </c>
      <c r="N631">
        <v>1649442262.5899999</v>
      </c>
      <c r="O631">
        <v>0.186</v>
      </c>
      <c r="P631">
        <v>0.40500000000000003</v>
      </c>
      <c r="Q631">
        <v>55.308999999999997</v>
      </c>
      <c r="R631">
        <v>0</v>
      </c>
      <c r="S631">
        <v>0</v>
      </c>
      <c r="T631">
        <v>1.3380000000000001</v>
      </c>
      <c r="U631">
        <v>101.36799999999999</v>
      </c>
      <c r="V631">
        <v>20.823</v>
      </c>
      <c r="W631">
        <v>2.4209999999999998</v>
      </c>
      <c r="X631">
        <v>94.956999999999994</v>
      </c>
      <c r="Y631">
        <v>0.90100000000000002</v>
      </c>
      <c r="Z631">
        <v>0.38100000000000001</v>
      </c>
      <c r="AA631">
        <v>0</v>
      </c>
      <c r="AB631">
        <v>0</v>
      </c>
      <c r="AC631">
        <v>1</v>
      </c>
      <c r="AD631">
        <v>40.125</v>
      </c>
      <c r="AE631">
        <v>1</v>
      </c>
      <c r="AF631">
        <v>86</v>
      </c>
      <c r="AG631">
        <v>6</v>
      </c>
      <c r="AH631" t="s">
        <v>361</v>
      </c>
      <c r="AI631">
        <v>0</v>
      </c>
    </row>
    <row r="632" spans="1:35" x14ac:dyDescent="0.2">
      <c r="A632">
        <v>631</v>
      </c>
      <c r="B632" t="s">
        <v>1164</v>
      </c>
      <c r="C632" t="s">
        <v>1168</v>
      </c>
      <c r="D632" t="s">
        <v>446</v>
      </c>
      <c r="E632">
        <v>4</v>
      </c>
      <c r="F632">
        <v>-5.4779999999999998</v>
      </c>
      <c r="G632">
        <v>-28.475000000000001</v>
      </c>
      <c r="H632">
        <v>17101</v>
      </c>
      <c r="I632">
        <v>0</v>
      </c>
      <c r="J632">
        <v>1</v>
      </c>
      <c r="K632" t="s">
        <v>359</v>
      </c>
      <c r="L632" t="s">
        <v>359</v>
      </c>
      <c r="M632" t="s">
        <v>360</v>
      </c>
      <c r="N632">
        <v>1649442800.23</v>
      </c>
      <c r="O632">
        <v>0.19900000000000001</v>
      </c>
      <c r="P632">
        <v>0.371</v>
      </c>
      <c r="Q632">
        <v>56.627000000000002</v>
      </c>
      <c r="R632">
        <v>0</v>
      </c>
      <c r="S632">
        <v>1E-3</v>
      </c>
      <c r="T632">
        <v>1.353</v>
      </c>
      <c r="U632">
        <v>101.11</v>
      </c>
      <c r="V632">
        <v>21.085000000000001</v>
      </c>
      <c r="W632">
        <v>2.4359999999999999</v>
      </c>
      <c r="X632">
        <v>94.447999999999993</v>
      </c>
      <c r="Y632">
        <v>0.90300000000000002</v>
      </c>
      <c r="Z632">
        <v>0.42799999999999999</v>
      </c>
      <c r="AA632">
        <v>0</v>
      </c>
      <c r="AB632">
        <v>0</v>
      </c>
      <c r="AC632">
        <v>1</v>
      </c>
      <c r="AD632">
        <v>40.188000000000002</v>
      </c>
      <c r="AE632">
        <v>1</v>
      </c>
      <c r="AF632">
        <v>86</v>
      </c>
      <c r="AG632">
        <v>6</v>
      </c>
      <c r="AH632" t="s">
        <v>361</v>
      </c>
      <c r="AI632">
        <v>0</v>
      </c>
    </row>
    <row r="633" spans="1:35" x14ac:dyDescent="0.2">
      <c r="A633">
        <v>632</v>
      </c>
      <c r="B633" t="s">
        <v>1164</v>
      </c>
      <c r="C633" t="s">
        <v>1169</v>
      </c>
      <c r="D633" t="s">
        <v>446</v>
      </c>
      <c r="E633">
        <v>5</v>
      </c>
      <c r="F633">
        <v>-5.5090000000000003</v>
      </c>
      <c r="G633">
        <v>-28.835999999999999</v>
      </c>
      <c r="H633">
        <v>17087</v>
      </c>
      <c r="I633">
        <v>0</v>
      </c>
      <c r="J633">
        <v>1</v>
      </c>
      <c r="K633" t="s">
        <v>359</v>
      </c>
      <c r="L633" t="s">
        <v>359</v>
      </c>
      <c r="M633" t="s">
        <v>360</v>
      </c>
      <c r="N633">
        <v>1649443337.46</v>
      </c>
      <c r="O633">
        <v>0.221</v>
      </c>
      <c r="P633">
        <v>0.38700000000000001</v>
      </c>
      <c r="Q633">
        <v>55.814</v>
      </c>
      <c r="R633">
        <v>0</v>
      </c>
      <c r="S633">
        <v>0</v>
      </c>
      <c r="T633">
        <v>1.3360000000000001</v>
      </c>
      <c r="U633">
        <v>101.164</v>
      </c>
      <c r="V633">
        <v>20.98</v>
      </c>
      <c r="W633">
        <v>2.415</v>
      </c>
      <c r="X633">
        <v>94.108999999999995</v>
      </c>
      <c r="Y633">
        <v>0.89900000000000002</v>
      </c>
      <c r="Z633">
        <v>0.28499999999999998</v>
      </c>
      <c r="AA633">
        <v>0</v>
      </c>
      <c r="AB633">
        <v>0</v>
      </c>
      <c r="AC633">
        <v>1</v>
      </c>
      <c r="AD633">
        <v>40.125</v>
      </c>
      <c r="AE633">
        <v>1</v>
      </c>
      <c r="AF633">
        <v>86</v>
      </c>
      <c r="AG633">
        <v>6</v>
      </c>
      <c r="AH633" t="s">
        <v>361</v>
      </c>
      <c r="AI633">
        <v>0</v>
      </c>
    </row>
    <row r="634" spans="1:35" x14ac:dyDescent="0.2">
      <c r="A634">
        <v>633</v>
      </c>
      <c r="B634" t="s">
        <v>1164</v>
      </c>
      <c r="C634" t="s">
        <v>1170</v>
      </c>
      <c r="D634" t="s">
        <v>446</v>
      </c>
      <c r="E634">
        <v>6</v>
      </c>
      <c r="F634">
        <v>-5.5179999999999998</v>
      </c>
      <c r="G634">
        <v>-28.594999999999999</v>
      </c>
      <c r="H634">
        <v>17089</v>
      </c>
      <c r="I634">
        <v>0</v>
      </c>
      <c r="J634">
        <v>1</v>
      </c>
      <c r="K634" t="s">
        <v>359</v>
      </c>
      <c r="L634" t="s">
        <v>359</v>
      </c>
      <c r="M634" t="s">
        <v>360</v>
      </c>
      <c r="N634">
        <v>1649443874.49</v>
      </c>
      <c r="O634">
        <v>0.215</v>
      </c>
      <c r="P634">
        <v>0.33900000000000002</v>
      </c>
      <c r="Q634">
        <v>58.005000000000003</v>
      </c>
      <c r="R634">
        <v>1E-3</v>
      </c>
      <c r="S634">
        <v>1E-3</v>
      </c>
      <c r="T634">
        <v>1.3859999999999999</v>
      </c>
      <c r="U634">
        <v>101.06</v>
      </c>
      <c r="V634">
        <v>21.285</v>
      </c>
      <c r="W634">
        <v>2.3959999999999999</v>
      </c>
      <c r="X634">
        <v>93.494</v>
      </c>
      <c r="Y634">
        <v>0.90200000000000002</v>
      </c>
      <c r="Z634">
        <v>0.307</v>
      </c>
      <c r="AA634">
        <v>0</v>
      </c>
      <c r="AB634">
        <v>0</v>
      </c>
      <c r="AC634">
        <v>1</v>
      </c>
      <c r="AD634">
        <v>40.188000000000002</v>
      </c>
      <c r="AE634">
        <v>1</v>
      </c>
      <c r="AF634">
        <v>86</v>
      </c>
      <c r="AG634">
        <v>6</v>
      </c>
      <c r="AH634" t="s">
        <v>361</v>
      </c>
      <c r="AI634">
        <v>0</v>
      </c>
    </row>
    <row r="635" spans="1:35" x14ac:dyDescent="0.2">
      <c r="A635">
        <v>634</v>
      </c>
      <c r="B635" t="s">
        <v>1171</v>
      </c>
      <c r="C635" t="s">
        <v>1172</v>
      </c>
      <c r="D635" t="s">
        <v>1173</v>
      </c>
      <c r="E635">
        <v>1</v>
      </c>
      <c r="F635">
        <v>-5.7750000000000004</v>
      </c>
      <c r="G635">
        <v>-35.409999999999997</v>
      </c>
      <c r="H635">
        <v>17363</v>
      </c>
      <c r="I635">
        <v>-1</v>
      </c>
      <c r="J635">
        <v>1</v>
      </c>
      <c r="K635" t="s">
        <v>359</v>
      </c>
      <c r="L635" t="s">
        <v>359</v>
      </c>
      <c r="M635" t="s">
        <v>360</v>
      </c>
      <c r="N635">
        <v>1649444411.28</v>
      </c>
      <c r="O635">
        <v>0.221</v>
      </c>
      <c r="P635">
        <v>0.39800000000000002</v>
      </c>
      <c r="Q635">
        <v>55.616</v>
      </c>
      <c r="R635">
        <v>1E-3</v>
      </c>
      <c r="S635">
        <v>0</v>
      </c>
      <c r="T635">
        <v>1.3320000000000001</v>
      </c>
      <c r="U635">
        <v>102.878</v>
      </c>
      <c r="V635">
        <v>21.109000000000002</v>
      </c>
      <c r="W635">
        <v>2.468</v>
      </c>
      <c r="X635">
        <v>95.844999999999999</v>
      </c>
      <c r="Y635">
        <v>0.89700000000000002</v>
      </c>
      <c r="Z635">
        <v>0.375</v>
      </c>
      <c r="AA635">
        <v>0</v>
      </c>
      <c r="AB635">
        <v>0</v>
      </c>
      <c r="AC635">
        <v>1</v>
      </c>
      <c r="AD635">
        <v>40.188000000000002</v>
      </c>
      <c r="AE635">
        <v>1</v>
      </c>
      <c r="AF635">
        <v>87</v>
      </c>
      <c r="AG635">
        <v>6</v>
      </c>
      <c r="AH635" t="s">
        <v>361</v>
      </c>
      <c r="AI635">
        <v>0</v>
      </c>
    </row>
    <row r="636" spans="1:35" x14ac:dyDescent="0.2">
      <c r="A636">
        <v>635</v>
      </c>
      <c r="B636" t="s">
        <v>1171</v>
      </c>
      <c r="C636" t="s">
        <v>1174</v>
      </c>
      <c r="D636" t="s">
        <v>1173</v>
      </c>
      <c r="E636">
        <v>2</v>
      </c>
      <c r="F636">
        <v>-5.8150000000000004</v>
      </c>
      <c r="G636">
        <v>-36.293999999999997</v>
      </c>
      <c r="H636">
        <v>17226</v>
      </c>
      <c r="I636">
        <v>-1</v>
      </c>
      <c r="J636">
        <v>1</v>
      </c>
      <c r="K636" t="s">
        <v>359</v>
      </c>
      <c r="L636" t="s">
        <v>359</v>
      </c>
      <c r="M636" t="s">
        <v>360</v>
      </c>
      <c r="N636">
        <v>1649444949</v>
      </c>
      <c r="O636">
        <v>0.222</v>
      </c>
      <c r="P636">
        <v>0.39200000000000002</v>
      </c>
      <c r="Q636">
        <v>56.317</v>
      </c>
      <c r="R636">
        <v>1E-3</v>
      </c>
      <c r="S636">
        <v>3.0000000000000001E-3</v>
      </c>
      <c r="T636">
        <v>1.3480000000000001</v>
      </c>
      <c r="U636">
        <v>102.003</v>
      </c>
      <c r="V636">
        <v>21.079000000000001</v>
      </c>
      <c r="W636">
        <v>2.415</v>
      </c>
      <c r="X636">
        <v>94.977000000000004</v>
      </c>
      <c r="Y636">
        <v>0.89800000000000002</v>
      </c>
      <c r="Z636">
        <v>0.35699999999999998</v>
      </c>
      <c r="AA636">
        <v>0</v>
      </c>
      <c r="AB636">
        <v>0</v>
      </c>
      <c r="AC636">
        <v>1</v>
      </c>
      <c r="AD636">
        <v>40.188000000000002</v>
      </c>
      <c r="AE636">
        <v>1</v>
      </c>
      <c r="AF636">
        <v>87</v>
      </c>
      <c r="AG636">
        <v>6</v>
      </c>
      <c r="AH636" t="s">
        <v>361</v>
      </c>
      <c r="AI636">
        <v>0</v>
      </c>
    </row>
    <row r="637" spans="1:35" x14ac:dyDescent="0.2">
      <c r="A637">
        <v>636</v>
      </c>
      <c r="B637" t="s">
        <v>1171</v>
      </c>
      <c r="C637" t="s">
        <v>1175</v>
      </c>
      <c r="D637" t="s">
        <v>1173</v>
      </c>
      <c r="E637">
        <v>3</v>
      </c>
      <c r="F637">
        <v>-5.82</v>
      </c>
      <c r="G637">
        <v>-36.106999999999999</v>
      </c>
      <c r="H637">
        <v>17165</v>
      </c>
      <c r="I637">
        <v>-1</v>
      </c>
      <c r="J637">
        <v>1</v>
      </c>
      <c r="K637" t="s">
        <v>359</v>
      </c>
      <c r="L637" t="s">
        <v>359</v>
      </c>
      <c r="M637" t="s">
        <v>360</v>
      </c>
      <c r="N637">
        <v>1649445485.3900001</v>
      </c>
      <c r="O637">
        <v>0.214</v>
      </c>
      <c r="P637">
        <v>0.42699999999999999</v>
      </c>
      <c r="Q637">
        <v>55.899000000000001</v>
      </c>
      <c r="R637">
        <v>1E-3</v>
      </c>
      <c r="S637">
        <v>0</v>
      </c>
      <c r="T637">
        <v>1.34</v>
      </c>
      <c r="U637">
        <v>101.556</v>
      </c>
      <c r="V637">
        <v>20.864999999999998</v>
      </c>
      <c r="W637">
        <v>2.4769999999999999</v>
      </c>
      <c r="X637">
        <v>95.745000000000005</v>
      </c>
      <c r="Y637">
        <v>0.89100000000000001</v>
      </c>
      <c r="Z637">
        <v>0.51300000000000001</v>
      </c>
      <c r="AA637">
        <v>0</v>
      </c>
      <c r="AB637">
        <v>0</v>
      </c>
      <c r="AC637">
        <v>1</v>
      </c>
      <c r="AD637">
        <v>40.188000000000002</v>
      </c>
      <c r="AE637">
        <v>1</v>
      </c>
      <c r="AF637">
        <v>87</v>
      </c>
      <c r="AG637">
        <v>6</v>
      </c>
      <c r="AH637" t="s">
        <v>361</v>
      </c>
      <c r="AI637">
        <v>0</v>
      </c>
    </row>
    <row r="638" spans="1:35" x14ac:dyDescent="0.2">
      <c r="A638">
        <v>637</v>
      </c>
      <c r="B638" t="s">
        <v>1171</v>
      </c>
      <c r="C638" t="s">
        <v>1176</v>
      </c>
      <c r="D638" t="s">
        <v>1173</v>
      </c>
      <c r="E638">
        <v>4</v>
      </c>
      <c r="F638">
        <v>-5.8540000000000001</v>
      </c>
      <c r="G638">
        <v>-36.468000000000004</v>
      </c>
      <c r="H638">
        <v>17112</v>
      </c>
      <c r="I638">
        <v>0</v>
      </c>
      <c r="J638">
        <v>1</v>
      </c>
      <c r="K638" t="s">
        <v>359</v>
      </c>
      <c r="L638" t="s">
        <v>359</v>
      </c>
      <c r="M638" t="s">
        <v>360</v>
      </c>
      <c r="N638">
        <v>1649446022.4300001</v>
      </c>
      <c r="O638">
        <v>0.20200000000000001</v>
      </c>
      <c r="P638">
        <v>0.38200000000000001</v>
      </c>
      <c r="Q638">
        <v>56.307000000000002</v>
      </c>
      <c r="R638">
        <v>0</v>
      </c>
      <c r="S638">
        <v>1E-3</v>
      </c>
      <c r="T638">
        <v>1.3460000000000001</v>
      </c>
      <c r="U638">
        <v>101.03400000000001</v>
      </c>
      <c r="V638">
        <v>20.933</v>
      </c>
      <c r="W638">
        <v>2.4609999999999999</v>
      </c>
      <c r="X638">
        <v>95.924000000000007</v>
      </c>
      <c r="Y638">
        <v>0.90600000000000003</v>
      </c>
      <c r="Z638">
        <v>0.56100000000000005</v>
      </c>
      <c r="AA638">
        <v>0</v>
      </c>
      <c r="AB638">
        <v>0</v>
      </c>
      <c r="AC638">
        <v>1</v>
      </c>
      <c r="AD638">
        <v>40.25</v>
      </c>
      <c r="AE638">
        <v>1</v>
      </c>
      <c r="AF638">
        <v>87</v>
      </c>
      <c r="AG638">
        <v>6</v>
      </c>
      <c r="AH638" t="s">
        <v>361</v>
      </c>
      <c r="AI638">
        <v>0</v>
      </c>
    </row>
    <row r="639" spans="1:35" x14ac:dyDescent="0.2">
      <c r="A639">
        <v>638</v>
      </c>
      <c r="B639" t="s">
        <v>1171</v>
      </c>
      <c r="C639" t="s">
        <v>1177</v>
      </c>
      <c r="D639" t="s">
        <v>1173</v>
      </c>
      <c r="E639">
        <v>5</v>
      </c>
      <c r="F639">
        <v>-5.86</v>
      </c>
      <c r="G639">
        <v>-36.49</v>
      </c>
      <c r="H639">
        <v>17087</v>
      </c>
      <c r="I639">
        <v>0</v>
      </c>
      <c r="J639">
        <v>1</v>
      </c>
      <c r="K639" t="s">
        <v>359</v>
      </c>
      <c r="L639" t="s">
        <v>359</v>
      </c>
      <c r="M639" t="s">
        <v>360</v>
      </c>
      <c r="N639">
        <v>1649446559.6500001</v>
      </c>
      <c r="O639">
        <v>0.214</v>
      </c>
      <c r="P639">
        <v>0.40699999999999997</v>
      </c>
      <c r="Q639">
        <v>54.956000000000003</v>
      </c>
      <c r="R639">
        <v>1E-3</v>
      </c>
      <c r="S639">
        <v>1E-3</v>
      </c>
      <c r="T639">
        <v>1.319</v>
      </c>
      <c r="U639">
        <v>101.185</v>
      </c>
      <c r="V639">
        <v>20.515000000000001</v>
      </c>
      <c r="W639">
        <v>2.4710000000000001</v>
      </c>
      <c r="X639">
        <v>95.408000000000001</v>
      </c>
      <c r="Y639">
        <v>0.89700000000000002</v>
      </c>
      <c r="Z639">
        <v>0.47299999999999998</v>
      </c>
      <c r="AA639">
        <v>0</v>
      </c>
      <c r="AB639">
        <v>0</v>
      </c>
      <c r="AC639">
        <v>1</v>
      </c>
      <c r="AD639">
        <v>40.188000000000002</v>
      </c>
      <c r="AE639">
        <v>1</v>
      </c>
      <c r="AF639">
        <v>87</v>
      </c>
      <c r="AG639">
        <v>6</v>
      </c>
      <c r="AH639" t="s">
        <v>361</v>
      </c>
      <c r="AI639">
        <v>0</v>
      </c>
    </row>
    <row r="640" spans="1:35" x14ac:dyDescent="0.2">
      <c r="A640">
        <v>639</v>
      </c>
      <c r="B640" t="s">
        <v>1171</v>
      </c>
      <c r="C640" t="s">
        <v>1178</v>
      </c>
      <c r="D640" t="s">
        <v>1173</v>
      </c>
      <c r="E640">
        <v>6</v>
      </c>
      <c r="F640">
        <v>-5.8380000000000001</v>
      </c>
      <c r="G640">
        <v>-36.381</v>
      </c>
      <c r="H640">
        <v>17098</v>
      </c>
      <c r="I640">
        <v>0</v>
      </c>
      <c r="J640">
        <v>1</v>
      </c>
      <c r="K640" t="s">
        <v>359</v>
      </c>
      <c r="L640" t="s">
        <v>359</v>
      </c>
      <c r="M640" t="s">
        <v>360</v>
      </c>
      <c r="N640">
        <v>1649447096.52</v>
      </c>
      <c r="O640">
        <v>0.20599999999999999</v>
      </c>
      <c r="P640">
        <v>0.35599999999999998</v>
      </c>
      <c r="Q640">
        <v>55.055999999999997</v>
      </c>
      <c r="R640">
        <v>1E-3</v>
      </c>
      <c r="S640">
        <v>1E-3</v>
      </c>
      <c r="T640">
        <v>1.3109999999999999</v>
      </c>
      <c r="U640">
        <v>101.071</v>
      </c>
      <c r="V640">
        <v>21.638000000000002</v>
      </c>
      <c r="W640">
        <v>2.3940000000000001</v>
      </c>
      <c r="X640">
        <v>92.766999999999996</v>
      </c>
      <c r="Y640">
        <v>0.90100000000000002</v>
      </c>
      <c r="Z640">
        <v>0.26500000000000001</v>
      </c>
      <c r="AA640">
        <v>0</v>
      </c>
      <c r="AB640">
        <v>0</v>
      </c>
      <c r="AC640">
        <v>1</v>
      </c>
      <c r="AD640">
        <v>40.188000000000002</v>
      </c>
      <c r="AE640">
        <v>1</v>
      </c>
      <c r="AF640">
        <v>87</v>
      </c>
      <c r="AG640">
        <v>6</v>
      </c>
      <c r="AH640" t="s">
        <v>361</v>
      </c>
      <c r="AI640">
        <v>0</v>
      </c>
    </row>
  </sheetData>
  <phoneticPr fontId="22"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421"/>
  <sheetViews>
    <sheetView showGridLines="0" zoomScale="130" zoomScaleNormal="130" workbookViewId="0">
      <pane ySplit="1" topLeftCell="A2" activePane="bottomLeft" state="frozen"/>
      <selection pane="bottomLeft" activeCell="D79" sqref="D79"/>
    </sheetView>
  </sheetViews>
  <sheetFormatPr baseColWidth="10" defaultColWidth="8.83203125" defaultRowHeight="15" x14ac:dyDescent="0.2"/>
  <cols>
    <col min="1" max="1" width="12.5" style="1" bestFit="1" customWidth="1"/>
    <col min="2" max="2" width="26.83203125" bestFit="1" customWidth="1"/>
    <col min="3" max="3" width="8.6640625" style="2" customWidth="1"/>
    <col min="4" max="4" width="9.1640625" style="38" bestFit="1" customWidth="1"/>
    <col min="5" max="5" width="10.33203125" style="38" customWidth="1"/>
    <col min="6" max="6" width="8.5" style="53" bestFit="1" customWidth="1"/>
    <col min="7" max="7" width="4.1640625" customWidth="1"/>
  </cols>
  <sheetData>
    <row r="1" spans="1:6" ht="16" thickBot="1" x14ac:dyDescent="0.25">
      <c r="A1" s="22" t="s">
        <v>27</v>
      </c>
      <c r="B1" s="23" t="s">
        <v>28</v>
      </c>
      <c r="C1" s="95" t="s">
        <v>67</v>
      </c>
      <c r="D1" s="98" t="s">
        <v>68</v>
      </c>
      <c r="E1" s="99" t="s">
        <v>69</v>
      </c>
      <c r="F1" s="54" t="s">
        <v>70</v>
      </c>
    </row>
    <row r="2" spans="1:6" ht="15.75" customHeight="1" x14ac:dyDescent="0.2">
      <c r="A2" s="20">
        <v>1</v>
      </c>
      <c r="B2" s="21" t="str">
        <f>'Tray Configuration'!B28</f>
        <v>Ouachita</v>
      </c>
      <c r="C2" s="96" t="str">
        <f>'Picarro Output'!B16</f>
        <v xml:space="preserve">    P-1058</v>
      </c>
      <c r="D2" s="100">
        <f>AVERAGE('Picarro Output'!F12:F16)</f>
        <v>-5.5098000000000003</v>
      </c>
      <c r="E2" s="100">
        <f>AVERAGE('Picarro Output'!G12:G16)</f>
        <v>-29.8414</v>
      </c>
      <c r="F2" s="52">
        <v>15</v>
      </c>
    </row>
    <row r="3" spans="1:6" x14ac:dyDescent="0.2">
      <c r="A3" s="17">
        <v>2</v>
      </c>
      <c r="B3" s="16" t="str">
        <f>'Tray Configuration'!C28</f>
        <v>Sipsey</v>
      </c>
      <c r="C3" s="96" t="str">
        <f>'Picarro Output'!B31</f>
        <v xml:space="preserve">    P-1059</v>
      </c>
      <c r="D3" s="100">
        <f>AVERAGE('Picarro Output'!F27:F31)</f>
        <v>-4.5477999999999996</v>
      </c>
      <c r="E3" s="100">
        <f>AVERAGE('Picarro Output'!G27:G31)</f>
        <v>-22.656399999999998</v>
      </c>
      <c r="F3" s="52">
        <v>15</v>
      </c>
    </row>
    <row r="4" spans="1:6" x14ac:dyDescent="0.2">
      <c r="A4" s="17">
        <v>3</v>
      </c>
      <c r="B4" s="16" t="str">
        <f>'Tray Configuration'!D28</f>
        <v>Iceland</v>
      </c>
      <c r="C4" s="96" t="str">
        <f>'Picarro Output'!B46</f>
        <v xml:space="preserve">    P-1060</v>
      </c>
      <c r="D4" s="100">
        <f>AVERAGE('Picarro Output'!F42:F46)</f>
        <v>-7.9613999999999994</v>
      </c>
      <c r="E4" s="100">
        <f>AVERAGE('Picarro Output'!G42:G46)</f>
        <v>-52.719799999999999</v>
      </c>
      <c r="F4" s="52">
        <v>15</v>
      </c>
    </row>
    <row r="5" spans="1:6" x14ac:dyDescent="0.2">
      <c r="A5" s="17">
        <v>4</v>
      </c>
      <c r="B5" s="16" t="str">
        <f>'Tray Configuration'!E28</f>
        <v>Sipsey</v>
      </c>
      <c r="C5" s="96" t="str">
        <f>'Picarro Output'!B61</f>
        <v xml:space="preserve">    P-1061</v>
      </c>
      <c r="D5" s="100">
        <f>AVERAGE('Picarro Output'!F57:F61)</f>
        <v>-4.4944000000000006</v>
      </c>
      <c r="E5" s="100">
        <f>AVERAGE('Picarro Output'!G57:G61)</f>
        <v>-22.493400000000001</v>
      </c>
      <c r="F5" s="52">
        <v>15</v>
      </c>
    </row>
    <row r="6" spans="1:6" x14ac:dyDescent="0.2">
      <c r="A6" s="17">
        <v>5</v>
      </c>
      <c r="B6" s="16" t="str">
        <f>'Tray Configuration'!F28</f>
        <v>Ouachita</v>
      </c>
      <c r="C6" s="96" t="str">
        <f>'Picarro Output'!B76</f>
        <v xml:space="preserve">    P-1062</v>
      </c>
      <c r="D6" s="100">
        <f>AVERAGE('Picarro Output'!F72:F76)</f>
        <v>-5.4786000000000001</v>
      </c>
      <c r="E6" s="100">
        <f>AVERAGE('Picarro Output'!G72:G76)</f>
        <v>-29.412799999999997</v>
      </c>
      <c r="F6" s="52">
        <v>15</v>
      </c>
    </row>
    <row r="7" spans="1:6" x14ac:dyDescent="0.2">
      <c r="A7" s="17">
        <v>6</v>
      </c>
      <c r="B7" s="16" t="str">
        <f>'Tray Configuration'!G28</f>
        <v>WAIS_01M01_2_RAW_20210809</v>
      </c>
      <c r="C7" s="96" t="str">
        <f>'Picarro Output'!B82</f>
        <v xml:space="preserve">    P-1063</v>
      </c>
      <c r="D7" s="101">
        <f>AVERAGE('Picarro Output'!F80:F82)</f>
        <v>9.633333333333334E-2</v>
      </c>
      <c r="E7" s="101">
        <f>AVERAGE('Picarro Output'!G80:G82)</f>
        <v>2.3436666666666661</v>
      </c>
      <c r="F7" s="52">
        <v>6</v>
      </c>
    </row>
    <row r="8" spans="1:6" x14ac:dyDescent="0.2">
      <c r="A8" s="17">
        <v>7</v>
      </c>
      <c r="B8" s="16" t="str">
        <f>'Tray Configuration'!H28</f>
        <v>WAIS_02M06_2_RAW_20210809</v>
      </c>
      <c r="C8" s="96" t="str">
        <f>'Picarro Output'!B88</f>
        <v xml:space="preserve">    P-1064</v>
      </c>
      <c r="D8" s="101">
        <f>AVERAGE('Picarro Output'!F86:F88)</f>
        <v>-1.4983333333333333</v>
      </c>
      <c r="E8" s="101">
        <f>AVERAGE('Picarro Output'!G86:G88)</f>
        <v>-11.952666666666667</v>
      </c>
      <c r="F8" s="52">
        <v>6</v>
      </c>
    </row>
    <row r="9" spans="1:6" x14ac:dyDescent="0.2">
      <c r="A9" s="17">
        <v>8</v>
      </c>
      <c r="B9" s="16" t="str">
        <f>'Tray Configuration'!B27</f>
        <v>WAIS_02M07_2_RAW_20210809</v>
      </c>
      <c r="C9" s="96" t="str">
        <f>'Picarro Output'!B94</f>
        <v xml:space="preserve">    P-1065</v>
      </c>
      <c r="D9" s="101">
        <f>AVERAGE('Picarro Output'!F84:F92)</f>
        <v>-1.9201111111111113</v>
      </c>
      <c r="E9" s="101">
        <f>AVERAGE('Picarro Output'!G92:G94)</f>
        <v>-17.767333333333333</v>
      </c>
      <c r="F9" s="52">
        <v>6</v>
      </c>
    </row>
    <row r="10" spans="1:6" x14ac:dyDescent="0.2">
      <c r="A10" s="17">
        <v>9</v>
      </c>
      <c r="B10" s="16" t="str">
        <f>'Tray Configuration'!C27</f>
        <v>WAIS_SFM01_1_RAW_20211214</v>
      </c>
      <c r="C10" s="96" t="str">
        <f>'Picarro Output'!B100</f>
        <v xml:space="preserve">    P-1066</v>
      </c>
      <c r="D10" s="101">
        <f>AVERAGE('Picarro Output'!F98:F100)</f>
        <v>-5.6589999999999998</v>
      </c>
      <c r="E10" s="101">
        <f>AVERAGE('Picarro Output'!G98:G100)</f>
        <v>-35.330000000000005</v>
      </c>
      <c r="F10" s="52">
        <v>6</v>
      </c>
    </row>
    <row r="11" spans="1:6" x14ac:dyDescent="0.2">
      <c r="A11" s="17">
        <v>10</v>
      </c>
      <c r="B11" s="16" t="str">
        <f>'Tray Configuration'!D27</f>
        <v>WAIS_N01B_1_RAW_20210903</v>
      </c>
      <c r="C11" s="96" t="str">
        <f>'Picarro Output'!B106</f>
        <v xml:space="preserve">    P-1067</v>
      </c>
      <c r="D11" s="101">
        <f>AVERAGE('Picarro Output'!F104:F106)</f>
        <v>-5.3900000000000006</v>
      </c>
      <c r="E11" s="101">
        <f>AVERAGE('Picarro Output'!G104:G106)</f>
        <v>-29.234999999999999</v>
      </c>
      <c r="F11" s="52">
        <v>6</v>
      </c>
    </row>
    <row r="12" spans="1:6" x14ac:dyDescent="0.2">
      <c r="A12" s="17">
        <v>11</v>
      </c>
      <c r="B12" s="16" t="str">
        <f>'Tray Configuration'!E27</f>
        <v>WAIS_N4DWSeep1_RAW_20220211</v>
      </c>
      <c r="C12" s="96" t="str">
        <f>'Picarro Output'!B112</f>
        <v xml:space="preserve">    P-1068</v>
      </c>
      <c r="D12" s="101">
        <f>AVERAGE('Picarro Output'!F110:F112)</f>
        <v>-6.1496666666666657</v>
      </c>
      <c r="E12" s="101">
        <f>AVERAGE('Picarro Output'!G110:G112)</f>
        <v>-38.880000000000003</v>
      </c>
      <c r="F12" s="52">
        <v>6</v>
      </c>
    </row>
    <row r="13" spans="1:6" x14ac:dyDescent="0.2">
      <c r="A13" s="17">
        <v>12</v>
      </c>
      <c r="B13" s="16" t="str">
        <f>'Tray Configuration'!F27</f>
        <v>WAIS_N4DWSeep2_RAW_20220211</v>
      </c>
      <c r="C13" s="96" t="str">
        <f>'Picarro Output'!B118</f>
        <v xml:space="preserve">    P-1069</v>
      </c>
      <c r="D13" s="101">
        <f>AVERAGE('Picarro Output'!F116:F118)</f>
        <v>-6.1990000000000007</v>
      </c>
      <c r="E13" s="101">
        <f>AVERAGE('Picarro Output'!G116:G118)</f>
        <v>-39.243333333333332</v>
      </c>
      <c r="F13" s="52">
        <v>6</v>
      </c>
    </row>
    <row r="14" spans="1:6" ht="15" customHeight="1" x14ac:dyDescent="0.2">
      <c r="A14" s="17">
        <v>13</v>
      </c>
      <c r="B14" s="16" t="str">
        <f>'Tray Configuration'!G27</f>
        <v>WAIS_N4DSeep4_RAW_20220211</v>
      </c>
      <c r="C14" s="96" t="str">
        <f>'Picarro Output'!B124</f>
        <v xml:space="preserve">    P-1070</v>
      </c>
      <c r="D14" s="101">
        <f>AVERAGE('Picarro Output'!F122:F124)</f>
        <v>-6.0450000000000008</v>
      </c>
      <c r="E14" s="101">
        <f>AVERAGE('Picarro Output'!G122:G124)</f>
        <v>-38.401666666666664</v>
      </c>
      <c r="F14" s="52">
        <v>6</v>
      </c>
    </row>
    <row r="15" spans="1:6" x14ac:dyDescent="0.2">
      <c r="A15" s="17">
        <v>14</v>
      </c>
      <c r="B15" s="16" t="str">
        <f>'Tray Configuration'!H27</f>
        <v>Ouachita</v>
      </c>
      <c r="C15" s="96" t="str">
        <f>'Picarro Output'!B130</f>
        <v xml:space="preserve">    P-1071</v>
      </c>
      <c r="D15" s="101">
        <f>AVERAGE('Picarro Output'!F128:F130)</f>
        <v>-5.367</v>
      </c>
      <c r="E15" s="101">
        <f>AVERAGE('Picarro Output'!G128:G130)</f>
        <v>-29.37766666666667</v>
      </c>
      <c r="F15" s="52">
        <v>6</v>
      </c>
    </row>
    <row r="16" spans="1:6" x14ac:dyDescent="0.2">
      <c r="A16" s="17">
        <v>15</v>
      </c>
      <c r="B16" s="16" t="str">
        <f>'Tray Configuration'!B26</f>
        <v>WAIS_N2BSeepB_RAW_20220211</v>
      </c>
      <c r="C16" s="96" t="str">
        <f>'Picarro Output'!B136</f>
        <v xml:space="preserve">    P-1072</v>
      </c>
      <c r="D16" s="101">
        <f>AVERAGE('Picarro Output'!F134:F136)</f>
        <v>-6.069</v>
      </c>
      <c r="E16" s="101">
        <f>AVERAGE('Picarro Output'!G134:G136)</f>
        <v>-38.318333333333335</v>
      </c>
      <c r="F16" s="52">
        <v>6</v>
      </c>
    </row>
    <row r="17" spans="1:6" x14ac:dyDescent="0.2">
      <c r="A17" s="17">
        <v>16</v>
      </c>
      <c r="B17" s="16" t="str">
        <f>'Tray Configuration'!C26</f>
        <v>WAIS_33Eis_1_Filt_20220113</v>
      </c>
      <c r="C17" s="96" t="str">
        <f>'Picarro Output'!B142</f>
        <v xml:space="preserve">    P-1073</v>
      </c>
      <c r="D17" s="101">
        <f>AVERAGE('Picarro Output'!F140:F142)</f>
        <v>-5.7269999999999994</v>
      </c>
      <c r="E17" s="101">
        <f>AVERAGE('Picarro Output'!G140:G142)</f>
        <v>-36.811666666666667</v>
      </c>
      <c r="F17" s="52">
        <v>6</v>
      </c>
    </row>
    <row r="18" spans="1:6" x14ac:dyDescent="0.2">
      <c r="A18" s="17">
        <v>17</v>
      </c>
      <c r="B18" s="16" t="str">
        <f>'Tray Configuration'!D26</f>
        <v>WAIS_ENM01_1_RAW_20211123</v>
      </c>
      <c r="C18" s="96" t="str">
        <f>'Picarro Output'!B148</f>
        <v xml:space="preserve">    P-1074</v>
      </c>
      <c r="D18" s="101">
        <f>AVERAGE('Picarro Output'!F146:F148)</f>
        <v>-4.8969999999999994</v>
      </c>
      <c r="E18" s="101">
        <f>AVERAGE('Picarro Output'!G146:G148)</f>
        <v>-30.022000000000002</v>
      </c>
      <c r="F18" s="52">
        <v>6</v>
      </c>
    </row>
    <row r="19" spans="1:6" x14ac:dyDescent="0.2">
      <c r="A19" s="17">
        <v>18</v>
      </c>
      <c r="B19" s="16" t="str">
        <f>'Tray Configuration'!E26</f>
        <v>WAIS_ENM03_1_RAW_20210827</v>
      </c>
      <c r="C19" s="96" t="str">
        <f>'Picarro Output'!B154</f>
        <v xml:space="preserve">    P-1075</v>
      </c>
      <c r="D19" s="101">
        <f>AVERAGE('Picarro Output'!F152:F154)</f>
        <v>-3.8876666666666666</v>
      </c>
      <c r="E19" s="101">
        <f>AVERAGE('Picarro Output'!G152:G154)</f>
        <v>-23.865333333333336</v>
      </c>
      <c r="F19" s="52">
        <v>6</v>
      </c>
    </row>
    <row r="20" spans="1:6" x14ac:dyDescent="0.2">
      <c r="A20" s="17">
        <v>19</v>
      </c>
      <c r="B20" s="16" t="str">
        <f>'Tray Configuration'!F26</f>
        <v>4_6_MOR_DUP_N4D_20220113</v>
      </c>
      <c r="C20" s="96" t="str">
        <f>'Picarro Output'!B160</f>
        <v xml:space="preserve">    P-1076</v>
      </c>
      <c r="D20" s="101">
        <f>AVERAGE('Picarro Output'!F158:F160)</f>
        <v>-5.8666666666666671</v>
      </c>
      <c r="E20" s="101">
        <f>AVERAGE('Picarro Output'!G158:G160)</f>
        <v>-36.765666666666668</v>
      </c>
      <c r="F20" s="52">
        <v>6</v>
      </c>
    </row>
    <row r="21" spans="1:6" x14ac:dyDescent="0.2">
      <c r="A21" s="17">
        <v>20</v>
      </c>
      <c r="B21" s="16" t="str">
        <f>'Tray Configuration'!G26</f>
        <v>4_6_Eis2_DUP_20220113</v>
      </c>
      <c r="C21" s="16" t="str">
        <f>'Picarro Output'!B166</f>
        <v xml:space="preserve">    P-1077</v>
      </c>
      <c r="D21" s="102">
        <f>AVERAGE('Picarro Output'!F164:F166)</f>
        <v>-5.9243333333333332</v>
      </c>
      <c r="E21" s="103">
        <f>AVERAGE('Picarro Output'!G164:G166)</f>
        <v>-37.528333333333336</v>
      </c>
      <c r="F21" s="52">
        <v>6</v>
      </c>
    </row>
    <row r="22" spans="1:6" x14ac:dyDescent="0.2">
      <c r="A22" s="17">
        <v>21</v>
      </c>
      <c r="B22" s="16" t="str">
        <f>'Tray Configuration'!H26</f>
        <v>Ouachita</v>
      </c>
      <c r="C22" s="16" t="str">
        <f>'Picarro Output'!B172</f>
        <v xml:space="preserve">    P-1078</v>
      </c>
      <c r="D22" s="102">
        <f>AVERAGE('Picarro Output'!F170:F172)</f>
        <v>-5.5066666666666668</v>
      </c>
      <c r="E22" s="103">
        <f>AVERAGE('Picarro Output'!G170:G172)</f>
        <v>-29.450666666666667</v>
      </c>
      <c r="F22" s="52">
        <v>6</v>
      </c>
    </row>
    <row r="23" spans="1:6" x14ac:dyDescent="0.2">
      <c r="A23" s="17">
        <v>22</v>
      </c>
      <c r="B23" s="16" t="str">
        <f>'Tray Configuration'!B25</f>
        <v>3_5_MOR_N4D_DUP_20220113</v>
      </c>
      <c r="C23" s="16" t="str">
        <f>'Picarro Output'!B178</f>
        <v xml:space="preserve">    P-1079</v>
      </c>
      <c r="D23" s="102">
        <f>AVERAGE('Picarro Output'!F176:F178)</f>
        <v>-5.8706666666666676</v>
      </c>
      <c r="E23" s="103">
        <f>AVERAGE('Picarro Output'!G176:G178)</f>
        <v>-36.850666666666662</v>
      </c>
      <c r="F23" s="52">
        <v>6</v>
      </c>
    </row>
    <row r="24" spans="1:6" x14ac:dyDescent="0.2">
      <c r="A24" s="17">
        <v>23</v>
      </c>
      <c r="B24" s="16" t="str">
        <f>'Tray Configuration'!C25</f>
        <v>WAIS_ENM03_1_RAW_20210811</v>
      </c>
      <c r="C24" s="16" t="str">
        <f>'Picarro Output'!B184</f>
        <v xml:space="preserve">    P-1080</v>
      </c>
      <c r="D24" s="102">
        <f>AVERAGE('Picarro Output'!F182:F184)</f>
        <v>-4.0453333333333337</v>
      </c>
      <c r="E24" s="103">
        <f>AVERAGE('Picarro Output'!G182:G184)</f>
        <v>-24.997666666666664</v>
      </c>
      <c r="F24" s="52">
        <v>6</v>
      </c>
    </row>
    <row r="25" spans="1:6" x14ac:dyDescent="0.2">
      <c r="A25" s="17">
        <v>24</v>
      </c>
      <c r="B25" s="16" t="str">
        <f>'Tray Configuration'!D25</f>
        <v>WAIS_ENM01_1_RAW_20210916</v>
      </c>
      <c r="C25" s="16" t="str">
        <f>'Picarro Output'!B190</f>
        <v xml:space="preserve">    P-1081</v>
      </c>
      <c r="D25" s="102">
        <f>AVERAGE('Picarro Output'!F188:F190)</f>
        <v>-4.71</v>
      </c>
      <c r="E25" s="103">
        <f>AVERAGE('Picarro Output'!G188:G190)</f>
        <v>-28.802999999999997</v>
      </c>
      <c r="F25" s="52">
        <v>6</v>
      </c>
    </row>
    <row r="26" spans="1:6" x14ac:dyDescent="0.2">
      <c r="A26" s="17">
        <v>25</v>
      </c>
      <c r="B26" s="16" t="str">
        <f>'Tray Configuration'!F25</f>
        <v>WAIS_ENM03_1_RAW_20211015</v>
      </c>
      <c r="C26" s="16" t="str">
        <f>'Picarro Output'!B196</f>
        <v xml:space="preserve">    P-1082</v>
      </c>
      <c r="D26" s="102">
        <f>AVERAGE('Picarro Output'!F194:F196)</f>
        <v>-5.6720000000000006</v>
      </c>
      <c r="E26" s="103">
        <f>AVERAGE('Picarro Output'!G194:G196)</f>
        <v>-29.429333333333332</v>
      </c>
      <c r="F26" s="52">
        <v>6</v>
      </c>
    </row>
    <row r="27" spans="1:6" x14ac:dyDescent="0.2">
      <c r="A27" s="17">
        <v>26</v>
      </c>
      <c r="B27" s="16" t="str">
        <f>'Tray Configuration'!F25</f>
        <v>WAIS_ENM03_1_RAW_20211015</v>
      </c>
      <c r="C27" s="16" t="str">
        <f>'Picarro Output'!B202</f>
        <v xml:space="preserve">    P-1083</v>
      </c>
      <c r="D27" s="102">
        <f>AVERAGE('Picarro Output'!F200:F202)</f>
        <v>-4.9546666666666672</v>
      </c>
      <c r="E27" s="103">
        <f>AVERAGE('Picarro Output'!G200:G202)</f>
        <v>-29.941666666666663</v>
      </c>
      <c r="F27" s="52">
        <v>6</v>
      </c>
    </row>
    <row r="28" spans="1:6" x14ac:dyDescent="0.2">
      <c r="A28" s="17">
        <v>27</v>
      </c>
      <c r="B28" s="16" t="str">
        <f>'Tray Configuration'!G25</f>
        <v>TLM01 20211007</v>
      </c>
      <c r="C28" s="16" t="str">
        <f>'Picarro Output'!B208</f>
        <v xml:space="preserve">    P-1084</v>
      </c>
      <c r="D28" s="102">
        <f>AVERAGE('Picarro Output'!F206:F208)</f>
        <v>-4.7986666666666666</v>
      </c>
      <c r="E28" s="103">
        <f>AVERAGE('Picarro Output'!G206:G208)</f>
        <v>-24.47066666666667</v>
      </c>
      <c r="F28" s="52">
        <v>6</v>
      </c>
    </row>
    <row r="29" spans="1:6" x14ac:dyDescent="0.2">
      <c r="A29" s="17">
        <v>28</v>
      </c>
      <c r="B29" s="16" t="str">
        <f>'Tray Configuration'!H25</f>
        <v>Ouachita</v>
      </c>
      <c r="C29" s="16" t="str">
        <f>'Picarro Output'!B214</f>
        <v xml:space="preserve">    P-1085</v>
      </c>
      <c r="D29" s="102">
        <f>AVERAGE('Picarro Output'!F212:F214)</f>
        <v>-5.5083333333333329</v>
      </c>
      <c r="E29" s="103">
        <f>AVERAGE('Picarro Output'!G212:G214)</f>
        <v>-29.378666666666664</v>
      </c>
      <c r="F29" s="52">
        <v>6</v>
      </c>
    </row>
    <row r="30" spans="1:6" x14ac:dyDescent="0.2">
      <c r="A30" s="17">
        <v>29</v>
      </c>
      <c r="B30" s="16" t="str">
        <f>'Tray Configuration'!B24</f>
        <v>TLM01 20211026</v>
      </c>
      <c r="C30" s="16" t="str">
        <f>'Picarro Output'!B220</f>
        <v xml:space="preserve">    P-1086</v>
      </c>
      <c r="D30" s="102">
        <f>AVERAGE('Picarro Output'!F218:F220)</f>
        <v>-4.7836666666666661</v>
      </c>
      <c r="E30" s="103">
        <f>AVERAGE('Picarro Output'!G218:G220)</f>
        <v>-24.601666666666663</v>
      </c>
      <c r="F30" s="52">
        <v>6</v>
      </c>
    </row>
    <row r="31" spans="1:6" x14ac:dyDescent="0.2">
      <c r="A31" s="17">
        <v>30</v>
      </c>
      <c r="B31" s="16" t="str">
        <f>'Tray Configuration'!C24</f>
        <v>TLM01 20211110</v>
      </c>
      <c r="C31" s="16" t="str">
        <f>'Picarro Output'!B226</f>
        <v xml:space="preserve">    P-1087</v>
      </c>
      <c r="D31" s="102">
        <f>AVERAGE('Picarro Output'!F224:F226)</f>
        <v>-4.8023333333333333</v>
      </c>
      <c r="E31" s="103">
        <f>AVERAGE('Picarro Output'!G224:G226)</f>
        <v>-24.639999999999997</v>
      </c>
      <c r="F31" s="52">
        <v>6</v>
      </c>
    </row>
    <row r="32" spans="1:6" x14ac:dyDescent="0.2">
      <c r="A32" s="17">
        <v>31</v>
      </c>
      <c r="B32" s="16" t="str">
        <f>'Tray Configuration'!D24</f>
        <v>TLM01 20220105</v>
      </c>
      <c r="C32" s="16" t="str">
        <f>'Picarro Output'!B232</f>
        <v xml:space="preserve">    P-1088</v>
      </c>
      <c r="D32" s="102">
        <f>AVERAGE('Picarro Output'!F230:F232)</f>
        <v>-4.5289999999999999</v>
      </c>
      <c r="E32" s="103">
        <f>AVERAGE('Picarro Output'!G230:G232)</f>
        <v>-22.129333333333332</v>
      </c>
      <c r="F32" s="52">
        <v>6</v>
      </c>
    </row>
    <row r="33" spans="1:6" x14ac:dyDescent="0.2">
      <c r="A33" s="17">
        <v>32</v>
      </c>
      <c r="B33" s="16" t="str">
        <f>'Tray Configuration'!E24</f>
        <v>Ouachita</v>
      </c>
      <c r="C33" s="16" t="str">
        <f>'Picarro Output'!B247</f>
        <v xml:space="preserve">    P-1089</v>
      </c>
      <c r="D33" s="103">
        <f>AVERAGE('Picarro Output'!F243:F247)</f>
        <v>-5.4641999999999999</v>
      </c>
      <c r="E33" s="103">
        <f>AVERAGE('Picarro Output'!G243:G247)</f>
        <v>-29.222799999999999</v>
      </c>
      <c r="F33" s="52">
        <v>15</v>
      </c>
    </row>
    <row r="34" spans="1:6" x14ac:dyDescent="0.2">
      <c r="A34" s="17">
        <v>33</v>
      </c>
      <c r="B34" s="16" t="str">
        <f>'Tray Configuration'!F24</f>
        <v>Sipsey</v>
      </c>
      <c r="C34" s="16" t="str">
        <f>'Picarro Output'!B262</f>
        <v xml:space="preserve">    P-1090</v>
      </c>
      <c r="D34" s="103">
        <f>AVERAGE('Picarro Output'!F258:F262)</f>
        <v>-4.5335999999999999</v>
      </c>
      <c r="E34" s="103">
        <f>AVERAGE('Picarro Output'!G258:G262)</f>
        <v>-22.321799999999996</v>
      </c>
      <c r="F34" s="52">
        <v>15</v>
      </c>
    </row>
    <row r="35" spans="1:6" x14ac:dyDescent="0.2">
      <c r="A35" s="17">
        <v>34</v>
      </c>
      <c r="B35" s="16" t="str">
        <f>'Tray Configuration'!G24</f>
        <v>Iceland</v>
      </c>
      <c r="C35" s="16" t="str">
        <f>'Picarro Output'!B277</f>
        <v xml:space="preserve">    P-1091</v>
      </c>
      <c r="D35" s="103">
        <f>AVERAGE('Picarro Output'!F273:F277)</f>
        <v>-7.9722000000000008</v>
      </c>
      <c r="E35" s="103">
        <f>AVERAGE('Picarro Output'!G273:G277)</f>
        <v>-52.412599999999998</v>
      </c>
      <c r="F35" s="52">
        <v>15</v>
      </c>
    </row>
    <row r="36" spans="1:6" x14ac:dyDescent="0.2">
      <c r="A36" s="17">
        <v>35</v>
      </c>
      <c r="B36" s="16" t="str">
        <f>'Tray Configuration'!H24</f>
        <v>Ouachita</v>
      </c>
      <c r="C36" s="16" t="str">
        <f>'Picarro Output'!B292</f>
        <v xml:space="preserve">    P-1092</v>
      </c>
      <c r="D36" s="103">
        <f>AVERAGE('Picarro Output'!F288:F292)</f>
        <v>-5.4994000000000005</v>
      </c>
      <c r="E36" s="103">
        <f>AVERAGE('Picarro Output'!G288:G292)</f>
        <v>-29.331600000000002</v>
      </c>
      <c r="F36" s="52">
        <v>15</v>
      </c>
    </row>
    <row r="37" spans="1:6" x14ac:dyDescent="0.2">
      <c r="A37" s="17">
        <v>36</v>
      </c>
      <c r="B37" s="16" t="str">
        <f>'Tray Configuration'!B23</f>
        <v>TLM01 20220131</v>
      </c>
      <c r="C37" s="4" t="str">
        <f>'Picarro Output'!B298</f>
        <v xml:space="preserve">    P-1093</v>
      </c>
      <c r="D37" s="103">
        <f>AVERAGE('Picarro Output'!F296:F298)</f>
        <v>-4.7673333333333332</v>
      </c>
      <c r="E37" s="103">
        <f>AVERAGE('Picarro Output'!G296:G298)</f>
        <v>-24.172333333333331</v>
      </c>
      <c r="F37" s="52">
        <v>6</v>
      </c>
    </row>
    <row r="38" spans="1:6" x14ac:dyDescent="0.2">
      <c r="A38" s="17">
        <v>37</v>
      </c>
      <c r="B38" s="16" t="str">
        <f>'Tray Configuration'!C23</f>
        <v>TLP01 20220124</v>
      </c>
      <c r="C38" s="4" t="str">
        <f>'Picarro Output'!B304</f>
        <v xml:space="preserve">    P-1094</v>
      </c>
      <c r="D38" s="103">
        <f>AVERAGE('Picarro Output'!F302:F304)</f>
        <v>-4.7650000000000006</v>
      </c>
      <c r="E38" s="103">
        <f>AVERAGE('Picarro Output'!G302:G304)</f>
        <v>-24.102</v>
      </c>
      <c r="F38" s="52">
        <v>6</v>
      </c>
    </row>
    <row r="39" spans="1:6" x14ac:dyDescent="0.2">
      <c r="A39" s="17">
        <v>38</v>
      </c>
      <c r="B39" s="16" t="str">
        <f>'Tray Configuration'!D23</f>
        <v>TLM01 20220124</v>
      </c>
      <c r="C39" s="4" t="str">
        <f>'Picarro Output'!B310</f>
        <v xml:space="preserve">    P-1095</v>
      </c>
      <c r="D39" s="103">
        <f>AVERAGE('Picarro Output'!F308:F310)</f>
        <v>-4.719333333333334</v>
      </c>
      <c r="E39" s="103">
        <f>AVERAGE('Picarro Output'!G308:G310)</f>
        <v>-23.710666666666668</v>
      </c>
      <c r="F39" s="52">
        <v>6</v>
      </c>
    </row>
    <row r="40" spans="1:6" x14ac:dyDescent="0.2">
      <c r="A40" s="17">
        <v>39</v>
      </c>
      <c r="B40" s="16" t="str">
        <f>'Tray Configuration'!E23</f>
        <v>TLC01 20220124</v>
      </c>
      <c r="C40" s="4" t="str">
        <f>'Picarro Output'!B316</f>
        <v xml:space="preserve">    P-1096</v>
      </c>
      <c r="D40" s="103">
        <f>AVERAGE('Picarro Output'!F314:F316)</f>
        <v>-4.7416666666666663</v>
      </c>
      <c r="E40" s="103">
        <f>AVERAGE('Picarro Output'!G314:G316)</f>
        <v>-23.921000000000003</v>
      </c>
      <c r="F40" s="52">
        <v>6</v>
      </c>
    </row>
    <row r="41" spans="1:6" x14ac:dyDescent="0.2">
      <c r="A41" s="17">
        <v>40</v>
      </c>
      <c r="B41" s="16" t="str">
        <f>'Tray Configuration'!F23</f>
        <v>TLM10 20220124</v>
      </c>
      <c r="C41" s="4" t="str">
        <f>'Picarro Output'!B322</f>
        <v xml:space="preserve">    P-1097</v>
      </c>
      <c r="D41" s="103">
        <f>AVERAGE('Picarro Output'!F320:F322)</f>
        <v>-4.7059999999999995</v>
      </c>
      <c r="E41" s="103">
        <f>AVERAGE('Picarro Output'!G320:G322)</f>
        <v>-23.548333333333332</v>
      </c>
      <c r="F41" s="52">
        <v>6</v>
      </c>
    </row>
    <row r="42" spans="1:6" x14ac:dyDescent="0.2">
      <c r="A42" s="17">
        <v>41</v>
      </c>
      <c r="B42" s="16" t="str">
        <f>'Tray Configuration'!G23</f>
        <v>TLM06 20220124</v>
      </c>
      <c r="C42" s="4" t="str">
        <f>'Picarro Output'!B328</f>
        <v xml:space="preserve">    P-1098</v>
      </c>
      <c r="D42" s="103">
        <f>AVERAGE('Picarro Output'!F326:F328)</f>
        <v>-4.6980000000000004</v>
      </c>
      <c r="E42" s="103">
        <f>AVERAGE('Picarro Output'!G326:G328)</f>
        <v>-23.617999999999999</v>
      </c>
      <c r="F42" s="52">
        <v>6</v>
      </c>
    </row>
    <row r="43" spans="1:6" x14ac:dyDescent="0.2">
      <c r="A43" s="17">
        <v>42</v>
      </c>
      <c r="B43" s="16" t="str">
        <f>'Tray Configuration'!H23</f>
        <v>Ouachita</v>
      </c>
      <c r="C43" s="4" t="str">
        <f>'Picarro Output'!B334</f>
        <v xml:space="preserve">    P-1099</v>
      </c>
      <c r="D43" s="103">
        <f>AVERAGE('Picarro Output'!F332:F334)</f>
        <v>-5.4490000000000007</v>
      </c>
      <c r="E43" s="103">
        <f>AVERAGE('Picarro Output'!G332:G334)</f>
        <v>-29.130333333333329</v>
      </c>
      <c r="F43" s="52">
        <v>6</v>
      </c>
    </row>
    <row r="44" spans="1:6" x14ac:dyDescent="0.2">
      <c r="A44" s="17">
        <v>43</v>
      </c>
      <c r="B44" s="16" t="str">
        <f>'Tray Configuration'!B22</f>
        <v>TLA01 20220124</v>
      </c>
      <c r="C44" s="4" t="str">
        <f>'Picarro Output'!B340</f>
        <v xml:space="preserve">    P-1100</v>
      </c>
      <c r="D44" s="103">
        <f>AVERAGE('Picarro Output'!F338:F340)</f>
        <v>-4.8193333333333328</v>
      </c>
      <c r="E44" s="103">
        <f>AVERAGE('Picarro Output'!G338:G340)</f>
        <v>-24.322999999999997</v>
      </c>
      <c r="F44" s="52">
        <v>6</v>
      </c>
    </row>
    <row r="45" spans="1:6" x14ac:dyDescent="0.2">
      <c r="A45" s="17">
        <v>44</v>
      </c>
      <c r="B45" s="16" t="str">
        <f>'Tray Configuration'!C22</f>
        <v>TLM16 20220124</v>
      </c>
      <c r="C45" s="4" t="str">
        <f>'Picarro Output'!B346</f>
        <v xml:space="preserve">    P-1101</v>
      </c>
      <c r="D45" s="103">
        <f>AVERAGE('Picarro Output'!F344:F346)</f>
        <v>-4.7173333333333334</v>
      </c>
      <c r="E45" s="103">
        <f>AVERAGE('Picarro Output'!G344:G346)</f>
        <v>-23.416666666666668</v>
      </c>
      <c r="F45" s="52">
        <v>6</v>
      </c>
    </row>
    <row r="46" spans="1:6" x14ac:dyDescent="0.2">
      <c r="A46" s="17">
        <v>45</v>
      </c>
      <c r="B46" s="16" t="str">
        <f>'Tray Configuration'!D22</f>
        <v>TLM19 20220124</v>
      </c>
      <c r="C46" s="4" t="str">
        <f>'Picarro Output'!B352</f>
        <v xml:space="preserve">    P-1102</v>
      </c>
      <c r="D46" s="103">
        <f>AVERAGE('Picarro Output'!F350:F352)</f>
        <v>-4.6530000000000005</v>
      </c>
      <c r="E46" s="103">
        <f>AVERAGE('Picarro Output'!G350:G352)</f>
        <v>-22.970333333333333</v>
      </c>
      <c r="F46" s="52">
        <v>6</v>
      </c>
    </row>
    <row r="47" spans="1:6" x14ac:dyDescent="0.2">
      <c r="A47" s="17">
        <v>46</v>
      </c>
      <c r="B47" s="16" t="str">
        <f>'Tray Configuration'!E22</f>
        <v>TLM01 20220330</v>
      </c>
      <c r="C47" s="4" t="str">
        <f>'Picarro Output'!B358</f>
        <v xml:space="preserve">    P-1103</v>
      </c>
      <c r="D47" s="103">
        <f>AVERAGE('Picarro Output'!F356:F358)</f>
        <v>-4.6150000000000011</v>
      </c>
      <c r="E47" s="103">
        <f>AVERAGE('Picarro Output'!G356:G358)</f>
        <v>-22.724333333333334</v>
      </c>
      <c r="F47" s="52">
        <v>6</v>
      </c>
    </row>
    <row r="48" spans="1:6" x14ac:dyDescent="0.2">
      <c r="A48" s="17">
        <v>47</v>
      </c>
      <c r="B48" s="16" t="str">
        <f>'Tray Configuration'!F22</f>
        <v>TLC01 20220330</v>
      </c>
      <c r="C48" s="4" t="str">
        <f>'Picarro Output'!B364</f>
        <v xml:space="preserve">    P-1104</v>
      </c>
      <c r="D48" s="103">
        <f>AVERAGE('Picarro Output'!F362:F364)</f>
        <v>-4.6563333333333334</v>
      </c>
      <c r="E48" s="103">
        <f>AVERAGE('Picarro Output'!G362:G364)</f>
        <v>-23.203999999999997</v>
      </c>
      <c r="F48" s="52">
        <v>6</v>
      </c>
    </row>
    <row r="49" spans="1:6" x14ac:dyDescent="0.2">
      <c r="A49" s="17">
        <v>48</v>
      </c>
      <c r="B49" s="16" t="str">
        <f>'Tray Configuration'!G22</f>
        <v>TLM06 20220330</v>
      </c>
      <c r="C49" s="4" t="str">
        <f>'Picarro Output'!B370</f>
        <v xml:space="preserve">    P-1105</v>
      </c>
      <c r="D49" s="103">
        <f>AVERAGE('Picarro Output'!F368:F370)</f>
        <v>-4.6176666666666666</v>
      </c>
      <c r="E49" s="103">
        <f>AVERAGE('Picarro Output'!G368:G370)</f>
        <v>-22.709333333333333</v>
      </c>
      <c r="F49" s="52">
        <v>6</v>
      </c>
    </row>
    <row r="50" spans="1:6" x14ac:dyDescent="0.2">
      <c r="A50" s="17">
        <v>49</v>
      </c>
      <c r="B50" s="16" t="str">
        <f>'Tray Configuration'!H22</f>
        <v>Ouachita</v>
      </c>
      <c r="C50" s="4" t="str">
        <f>'Picarro Output'!B376</f>
        <v xml:space="preserve">    P-1106</v>
      </c>
      <c r="D50" s="103">
        <f>AVERAGE('Picarro Output'!F374:F376)</f>
        <v>-5.4446666666666665</v>
      </c>
      <c r="E50" s="103">
        <f>AVERAGE('Picarro Output'!G374:G376)</f>
        <v>-28.940999999999999</v>
      </c>
      <c r="F50" s="52">
        <v>6</v>
      </c>
    </row>
    <row r="51" spans="1:6" x14ac:dyDescent="0.2">
      <c r="A51" s="17">
        <v>50</v>
      </c>
      <c r="B51" s="16" t="str">
        <f>'Tray Configuration'!B21</f>
        <v>TLM10 20220330</v>
      </c>
      <c r="C51" s="4" t="str">
        <f>'Picarro Output'!B382</f>
        <v xml:space="preserve">    P-1107</v>
      </c>
      <c r="D51" s="103">
        <f>AVERAGE('Picarro Output'!F380:F382)</f>
        <v>-4.5876666666666663</v>
      </c>
      <c r="E51" s="103">
        <f>AVERAGE('Picarro Output'!G380:G382)</f>
        <v>-22.603666666666669</v>
      </c>
      <c r="F51" s="52">
        <v>6</v>
      </c>
    </row>
    <row r="52" spans="1:6" x14ac:dyDescent="0.2">
      <c r="A52" s="17">
        <v>51</v>
      </c>
      <c r="B52" s="16" t="str">
        <f>'Tray Configuration'!C21</f>
        <v>TLA01 20220330</v>
      </c>
      <c r="C52" s="4" t="str">
        <f>'Picarro Output'!B388</f>
        <v xml:space="preserve">    P-1108</v>
      </c>
      <c r="D52" s="103">
        <f>AVERAGE('Picarro Output'!F386:F388)</f>
        <v>-4.7530000000000001</v>
      </c>
      <c r="E52" s="103">
        <f>AVERAGE('Picarro Output'!G386:G388)</f>
        <v>-23.420333333333332</v>
      </c>
      <c r="F52" s="52">
        <v>6</v>
      </c>
    </row>
    <row r="53" spans="1:6" x14ac:dyDescent="0.2">
      <c r="A53" s="17">
        <v>52</v>
      </c>
      <c r="B53" s="16" t="str">
        <f>'Tray Configuration'!D21</f>
        <v>TLM16 20220330</v>
      </c>
      <c r="C53" s="4" t="str">
        <f>'Picarro Output'!B394</f>
        <v xml:space="preserve">    P-1109</v>
      </c>
      <c r="D53" s="103">
        <f>AVERAGE('Picarro Output'!F392:F394)</f>
        <v>-4.6126666666666667</v>
      </c>
      <c r="E53" s="103">
        <f>AVERAGE('Picarro Output'!G392:G394)</f>
        <v>-22.575333333333333</v>
      </c>
      <c r="F53" s="52">
        <v>6</v>
      </c>
    </row>
    <row r="54" spans="1:6" x14ac:dyDescent="0.2">
      <c r="A54" s="17">
        <v>53</v>
      </c>
      <c r="B54" s="16" t="str">
        <f>'Tray Configuration'!E21</f>
        <v>TLM19 20220330</v>
      </c>
      <c r="C54" s="4" t="str">
        <f>'Picarro Output'!B400</f>
        <v xml:space="preserve">    P-1110</v>
      </c>
      <c r="D54" s="103">
        <f>AVERAGE('Picarro Output'!F398:F400)</f>
        <v>-4.4926666666666675</v>
      </c>
      <c r="E54" s="103">
        <f>AVERAGE('Picarro Output'!G398:G400)</f>
        <v>-21.508666666666667</v>
      </c>
      <c r="F54" s="52">
        <v>6</v>
      </c>
    </row>
    <row r="55" spans="1:6" x14ac:dyDescent="0.2">
      <c r="A55" s="17">
        <v>54</v>
      </c>
      <c r="B55" s="16" t="str">
        <f>'Tray Configuration'!F21</f>
        <v>TAL Precip 20220330</v>
      </c>
      <c r="C55" s="4" t="str">
        <f>'Picarro Output'!B406</f>
        <v xml:space="preserve">    P-1111</v>
      </c>
      <c r="D55" s="103">
        <f>AVERAGE('Picarro Output'!F404:F406)</f>
        <v>-3.2680000000000002</v>
      </c>
      <c r="E55" s="103">
        <f>AVERAGE('Picarro Output'!G404:G406)</f>
        <v>-11.070333333333332</v>
      </c>
      <c r="F55" s="52">
        <v>6</v>
      </c>
    </row>
    <row r="56" spans="1:6" x14ac:dyDescent="0.2">
      <c r="A56" s="17">
        <v>55</v>
      </c>
      <c r="B56" s="16" t="str">
        <f>'Tray Configuration'!G21</f>
        <v>WHM01 20211014</v>
      </c>
      <c r="C56" s="4" t="str">
        <f>'Picarro Output'!B412</f>
        <v xml:space="preserve">    P-1112</v>
      </c>
      <c r="D56" s="103">
        <f>AVERAGE('Picarro Output'!F410:F412)</f>
        <v>-3.8886666666666669</v>
      </c>
      <c r="E56" s="103">
        <f>AVERAGE('Picarro Output'!G410:G412)</f>
        <v>-19.534000000000002</v>
      </c>
      <c r="F56" s="52">
        <v>6</v>
      </c>
    </row>
    <row r="57" spans="1:6" x14ac:dyDescent="0.2">
      <c r="A57" s="17">
        <v>56</v>
      </c>
      <c r="B57" s="16" t="str">
        <f>'Tray Configuration'!H21</f>
        <v>Ouachita</v>
      </c>
      <c r="C57" s="4" t="str">
        <f>'Picarro Output'!B418</f>
        <v xml:space="preserve">    P-1113</v>
      </c>
      <c r="D57" s="103">
        <f>AVERAGE('Picarro Output'!F416:F418)</f>
        <v>-5.2813333333333334</v>
      </c>
      <c r="E57" s="103">
        <f>AVERAGE('Picarro Output'!G416:G418)</f>
        <v>-28.706</v>
      </c>
      <c r="F57" s="52">
        <v>6</v>
      </c>
    </row>
    <row r="58" spans="1:6" x14ac:dyDescent="0.2">
      <c r="A58" s="17">
        <v>57</v>
      </c>
      <c r="B58" s="16" t="str">
        <f>'Tray Configuration'!B20</f>
        <v>WHM01 20211104</v>
      </c>
      <c r="C58" s="4" t="str">
        <f>'Picarro Output'!B424</f>
        <v xml:space="preserve">    P-1114</v>
      </c>
      <c r="D58" s="103">
        <f>AVERAGE('Picarro Output'!F422:F424)</f>
        <v>-3.8836666666666666</v>
      </c>
      <c r="E58" s="103">
        <f>AVERAGE('Picarro Output'!G422:G424)</f>
        <v>-19.926333333333332</v>
      </c>
      <c r="F58" s="52">
        <v>6</v>
      </c>
    </row>
    <row r="59" spans="1:6" x14ac:dyDescent="0.2">
      <c r="A59" s="17">
        <v>58</v>
      </c>
      <c r="B59" s="16" t="str">
        <f>'Tray Configuration'!C20</f>
        <v>WHM01 20211129</v>
      </c>
      <c r="C59" s="4" t="str">
        <f>'Picarro Output'!B430</f>
        <v xml:space="preserve">    P-1115</v>
      </c>
      <c r="D59" s="103">
        <f>AVERAGE('Picarro Output'!F428:F430)</f>
        <v>-3.777333333333333</v>
      </c>
      <c r="E59" s="103">
        <f>AVERAGE('Picarro Output'!G428:G430)</f>
        <v>-18.967333333333332</v>
      </c>
      <c r="F59" s="52">
        <v>6</v>
      </c>
    </row>
    <row r="60" spans="1:6" x14ac:dyDescent="0.2">
      <c r="A60" s="17">
        <v>59</v>
      </c>
      <c r="B60" s="16" t="str">
        <f>'Tray Configuration'!D20</f>
        <v>WHM01 20211220</v>
      </c>
      <c r="C60" s="4" t="str">
        <f>'Picarro Output'!B436</f>
        <v xml:space="preserve">    P-1116</v>
      </c>
      <c r="D60" s="103">
        <f>AVERAGE('Picarro Output'!F434:F436)</f>
        <v>-3.859666666666667</v>
      </c>
      <c r="E60" s="103">
        <f>AVERAGE('Picarro Output'!G434:G436)</f>
        <v>-19.00333333333333</v>
      </c>
      <c r="F60" s="52">
        <v>6</v>
      </c>
    </row>
    <row r="61" spans="1:6" x14ac:dyDescent="0.2">
      <c r="A61" s="17">
        <v>60</v>
      </c>
      <c r="B61" s="16" t="str">
        <f>'Tray Configuration'!E20</f>
        <v>WHM01 20220106</v>
      </c>
      <c r="C61" s="4" t="str">
        <f>'Picarro Output'!B442</f>
        <v xml:space="preserve">    P-1117</v>
      </c>
      <c r="D61" s="103">
        <f>AVERAGE('Picarro Output'!F440:F442)</f>
        <v>-3.8686666666666665</v>
      </c>
      <c r="E61" s="103">
        <f>AVERAGE('Picarro Output'!G440:G442)</f>
        <v>-18.543000000000003</v>
      </c>
      <c r="F61" s="52">
        <v>6</v>
      </c>
    </row>
    <row r="62" spans="1:6" x14ac:dyDescent="0.2">
      <c r="A62" s="17">
        <v>61</v>
      </c>
      <c r="B62" s="16" t="str">
        <f>'Tray Configuration'!F20</f>
        <v xml:space="preserve">WHM01 20220322 </v>
      </c>
      <c r="C62" s="4" t="str">
        <f>'Picarro Output'!B448</f>
        <v xml:space="preserve">    P-1118</v>
      </c>
      <c r="D62" s="103">
        <f>AVERAGE('Picarro Output'!F446:F448)</f>
        <v>-3.8239999999999998</v>
      </c>
      <c r="E62" s="103">
        <f>AVERAGE('Picarro Output'!G446:G448)</f>
        <v>-17.568333333333335</v>
      </c>
      <c r="F62" s="52">
        <v>6</v>
      </c>
    </row>
    <row r="63" spans="1:6" x14ac:dyDescent="0.2">
      <c r="A63" s="17">
        <v>62</v>
      </c>
      <c r="B63" s="16" t="str">
        <f>'Tray Configuration'!G20</f>
        <v xml:space="preserve">WHB01 20220322 </v>
      </c>
      <c r="C63" s="4" t="str">
        <f>'Picarro Output'!B454</f>
        <v xml:space="preserve">    P-1119</v>
      </c>
      <c r="D63" s="103">
        <f>AVERAGE('Picarro Output'!F452:F454)</f>
        <v>-3.8819999999999997</v>
      </c>
      <c r="E63" s="103">
        <f>AVERAGE('Picarro Output'!G452:G454)</f>
        <v>-17.611666666666668</v>
      </c>
      <c r="F63" s="52">
        <v>6</v>
      </c>
    </row>
    <row r="64" spans="1:6" x14ac:dyDescent="0.2">
      <c r="A64" s="17">
        <v>63</v>
      </c>
      <c r="B64" s="16" t="str">
        <f>'Tray Configuration'!H20</f>
        <v>Ouachita</v>
      </c>
      <c r="C64" s="4" t="str">
        <f>'Picarro Output'!B460</f>
        <v xml:space="preserve">    P-1120</v>
      </c>
      <c r="D64" s="103">
        <f>AVERAGE('Picarro Output'!F458:F460)</f>
        <v>-5.4306666666666672</v>
      </c>
      <c r="E64" s="103">
        <f>AVERAGE('Picarro Output'!G458:G460)</f>
        <v>-28.939000000000004</v>
      </c>
      <c r="F64" s="52">
        <v>6</v>
      </c>
    </row>
    <row r="65" spans="1:6" x14ac:dyDescent="0.2">
      <c r="A65" s="17">
        <v>64</v>
      </c>
      <c r="B65" s="16" t="str">
        <f>'Tray Configuration'!B19</f>
        <v>WHA02 20220322</v>
      </c>
      <c r="C65" s="4" t="str">
        <f>'Picarro Output'!B466</f>
        <v xml:space="preserve">    P-1121</v>
      </c>
      <c r="D65" s="103">
        <f>AVERAGE('Picarro Output'!F464:F466)</f>
        <v>-3.7580000000000005</v>
      </c>
      <c r="E65" s="103">
        <f>AVERAGE('Picarro Output'!G464:G466)</f>
        <v>-16.847999999999999</v>
      </c>
      <c r="F65" s="52">
        <v>6</v>
      </c>
    </row>
    <row r="66" spans="1:6" x14ac:dyDescent="0.2">
      <c r="A66" s="17">
        <v>65</v>
      </c>
      <c r="B66" s="16" t="str">
        <f>'Tray Configuration'!C19</f>
        <v>WHM03 20220322</v>
      </c>
      <c r="C66" s="4" t="str">
        <f>'Picarro Output'!B472</f>
        <v xml:space="preserve">    P-1122</v>
      </c>
      <c r="D66" s="103">
        <f>AVERAGE('Picarro Output'!F470:F472)</f>
        <v>-3.8230000000000004</v>
      </c>
      <c r="E66" s="103">
        <f>AVERAGE('Picarro Output'!G470:G472)</f>
        <v>-17.552000000000003</v>
      </c>
      <c r="F66" s="52">
        <v>6</v>
      </c>
    </row>
    <row r="67" spans="1:6" x14ac:dyDescent="0.2">
      <c r="A67" s="17">
        <v>66</v>
      </c>
      <c r="B67" s="16" t="str">
        <f>'Tray Configuration'!D19</f>
        <v>WHM07 20220322</v>
      </c>
      <c r="C67" s="4" t="str">
        <f>'Picarro Output'!B478</f>
        <v xml:space="preserve">    P-1123</v>
      </c>
      <c r="D67" s="103">
        <f>AVERAGE('Picarro Output'!F476:F478)</f>
        <v>-3.8656666666666673</v>
      </c>
      <c r="E67" s="103">
        <f>AVERAGE('Picarro Output'!G476:G478)</f>
        <v>-17.749333333333336</v>
      </c>
      <c r="F67" s="52">
        <v>6</v>
      </c>
    </row>
    <row r="68" spans="1:6" x14ac:dyDescent="0.2">
      <c r="A68" s="17">
        <v>67</v>
      </c>
      <c r="B68" s="16" t="str">
        <f>'Tray Configuration'!E19</f>
        <v>Ouachita</v>
      </c>
      <c r="C68" s="4" t="str">
        <f>'Picarro Output'!B493</f>
        <v xml:space="preserve">    P-1124</v>
      </c>
      <c r="D68" s="103">
        <f>AVERAGE('Picarro Output'!F489:F493)</f>
        <v>-5.3950000000000005</v>
      </c>
      <c r="E68" s="103">
        <f>AVERAGE('Picarro Output'!G489:G493)</f>
        <v>-28.869399999999995</v>
      </c>
      <c r="F68" s="52">
        <v>15</v>
      </c>
    </row>
    <row r="69" spans="1:6" x14ac:dyDescent="0.2">
      <c r="A69" s="17">
        <v>68</v>
      </c>
      <c r="B69" s="16" t="str">
        <f>'Tray Configuration'!F19</f>
        <v>Sipsey</v>
      </c>
      <c r="C69" s="4" t="str">
        <f>'Picarro Output'!B508</f>
        <v xml:space="preserve">    P-1125</v>
      </c>
      <c r="D69" s="103">
        <f>AVERAGE('Picarro Output'!F504:F508)</f>
        <v>-4.4809999999999999</v>
      </c>
      <c r="E69" s="103">
        <f>AVERAGE('Picarro Output'!G504:G508)</f>
        <v>-22.0198</v>
      </c>
      <c r="F69" s="52">
        <v>15</v>
      </c>
    </row>
    <row r="70" spans="1:6" x14ac:dyDescent="0.2">
      <c r="A70" s="17">
        <v>69</v>
      </c>
      <c r="B70" s="16" t="str">
        <f>'Tray Configuration'!G19</f>
        <v>Iceland</v>
      </c>
      <c r="C70" s="4" t="str">
        <f>'Picarro Output'!B523</f>
        <v xml:space="preserve">    P-1126</v>
      </c>
      <c r="D70" s="103">
        <f>AVERAGE('Picarro Output'!F519:F523)</f>
        <v>-7.9144000000000005</v>
      </c>
      <c r="E70" s="103">
        <f>AVERAGE('Picarro Output'!G519:G523)</f>
        <v>-52.214800000000004</v>
      </c>
      <c r="F70" s="52">
        <v>15</v>
      </c>
    </row>
    <row r="71" spans="1:6" x14ac:dyDescent="0.2">
      <c r="A71" s="17">
        <v>70</v>
      </c>
      <c r="B71" s="16" t="str">
        <f>'Tray Configuration'!H19</f>
        <v>Ouachita</v>
      </c>
      <c r="C71" s="4" t="str">
        <f>'Picarro Output'!B538</f>
        <v xml:space="preserve">    P-1127</v>
      </c>
      <c r="D71" s="103">
        <f>AVERAGE('Picarro Output'!F534:F538)</f>
        <v>-5.4143999999999997</v>
      </c>
      <c r="E71" s="103">
        <f>AVERAGE('Picarro Output'!G534:G538)</f>
        <v>-29.003799999999995</v>
      </c>
      <c r="F71" s="52">
        <v>15</v>
      </c>
    </row>
    <row r="72" spans="1:6" x14ac:dyDescent="0.2">
      <c r="A72" s="17">
        <v>71</v>
      </c>
      <c r="B72" s="16" t="str">
        <f>'Tray Configuration'!B18</f>
        <v>WHM10 20220322</v>
      </c>
      <c r="C72" s="16" t="str">
        <f>'Picarro Output'!B544</f>
        <v xml:space="preserve">    P-1128</v>
      </c>
      <c r="D72" s="156">
        <f>AVERAGE('Picarro Output'!F542:F544)</f>
        <v>-3.7810000000000001</v>
      </c>
      <c r="E72" s="156">
        <f>AVERAGE('Picarro Output'!G542:G544)</f>
        <v>-17.400333333333332</v>
      </c>
      <c r="F72" s="52">
        <v>6</v>
      </c>
    </row>
    <row r="73" spans="1:6" x14ac:dyDescent="0.2">
      <c r="A73" s="17">
        <v>72</v>
      </c>
      <c r="B73" s="16" t="str">
        <f>'Tray Configuration'!C18</f>
        <v>WHM12 20220322</v>
      </c>
      <c r="C73" s="16" t="str">
        <f>'Picarro Output'!B550</f>
        <v xml:space="preserve">    P-1129</v>
      </c>
      <c r="D73" s="156">
        <f>AVERAGE('Picarro Output'!F548:F550)</f>
        <v>-3.8510000000000004</v>
      </c>
      <c r="E73" s="156">
        <f>AVERAGE('Picarro Output'!G548:G550)</f>
        <v>-17.470333333333333</v>
      </c>
      <c r="F73" s="52">
        <v>6</v>
      </c>
    </row>
    <row r="74" spans="1:6" x14ac:dyDescent="0.2">
      <c r="A74" s="17">
        <v>73</v>
      </c>
      <c r="B74" s="16" t="str">
        <f>'Tray Configuration'!D18</f>
        <v>PRM01 20211013</v>
      </c>
      <c r="C74" s="16" t="str">
        <f>'Picarro Output'!B556</f>
        <v xml:space="preserve">    P-1130</v>
      </c>
      <c r="D74" s="156">
        <f>AVERAGE('Picarro Output'!F554:F556)</f>
        <v>-5.6310000000000002</v>
      </c>
      <c r="E74" s="156">
        <f>AVERAGE('Picarro Output'!G554:G556)</f>
        <v>-30.268666666666665</v>
      </c>
      <c r="F74" s="52">
        <v>6</v>
      </c>
    </row>
    <row r="75" spans="1:6" x14ac:dyDescent="0.2">
      <c r="A75" s="17">
        <v>74</v>
      </c>
      <c r="B75" s="16" t="str">
        <f>'Tray Configuration'!E18</f>
        <v>PRM01 20211103</v>
      </c>
      <c r="C75" s="16" t="str">
        <f>'Picarro Output'!B562</f>
        <v xml:space="preserve">    P-1131</v>
      </c>
      <c r="D75" s="156">
        <f>AVERAGE('Picarro Output'!F560:F562)</f>
        <v>-5.4763333333333337</v>
      </c>
      <c r="E75" s="156">
        <f>AVERAGE('Picarro Output'!G560:G562)</f>
        <v>-29.554333333333332</v>
      </c>
      <c r="F75" s="52">
        <v>6</v>
      </c>
    </row>
    <row r="76" spans="1:6" x14ac:dyDescent="0.2">
      <c r="A76" s="17">
        <v>75</v>
      </c>
      <c r="B76" s="16" t="str">
        <f>'Tray Configuration'!F18</f>
        <v>PRM01 20211122</v>
      </c>
      <c r="C76" s="16" t="str">
        <f>'Picarro Output'!B568</f>
        <v xml:space="preserve">    P-1132</v>
      </c>
      <c r="D76" s="156">
        <f>AVERAGE('Picarro Output'!F566:F568)</f>
        <v>-5.2843333333333335</v>
      </c>
      <c r="E76" s="156">
        <f>AVERAGE('Picarro Output'!G566:G568)</f>
        <v>-26.780333333333335</v>
      </c>
      <c r="F76" s="52">
        <v>6</v>
      </c>
    </row>
    <row r="77" spans="1:6" x14ac:dyDescent="0.2">
      <c r="A77" s="17">
        <v>76</v>
      </c>
      <c r="B77" s="16" t="str">
        <f>'Tray Configuration'!G18</f>
        <v>PRM01 20211215</v>
      </c>
      <c r="C77" s="16" t="str">
        <f>'Picarro Output'!B574</f>
        <v xml:space="preserve">    P-1133</v>
      </c>
      <c r="D77" s="156">
        <f>AVERAGE('Picarro Output'!F572:F574)</f>
        <v>-5.4980000000000002</v>
      </c>
      <c r="E77" s="156">
        <f>AVERAGE('Picarro Output'!G572:G574)</f>
        <v>-29.318000000000001</v>
      </c>
      <c r="F77" s="52">
        <v>6</v>
      </c>
    </row>
    <row r="78" spans="1:6" x14ac:dyDescent="0.2">
      <c r="A78" s="17">
        <v>77</v>
      </c>
      <c r="B78" s="16" t="str">
        <f>'Tray Configuration'!H18</f>
        <v>Ouachita</v>
      </c>
      <c r="C78" s="16" t="str">
        <f>'Picarro Output'!B580</f>
        <v xml:space="preserve">    P-1134</v>
      </c>
      <c r="D78" s="156">
        <f>AVERAGE('Picarro Output'!F578:F580)</f>
        <v>-5.3843333333333332</v>
      </c>
      <c r="E78" s="156">
        <f>AVERAGE('Picarro Output'!G578:G580)</f>
        <v>-28.928999999999998</v>
      </c>
      <c r="F78" s="52">
        <v>6</v>
      </c>
    </row>
    <row r="79" spans="1:6" x14ac:dyDescent="0.2">
      <c r="A79" s="17">
        <v>78</v>
      </c>
      <c r="B79" s="16" t="str">
        <f>'Tray Configuration'!B17</f>
        <v>PRM01 20220112</v>
      </c>
      <c r="C79" s="16" t="str">
        <f>'Picarro Output'!B586</f>
        <v xml:space="preserve">    P-1135</v>
      </c>
      <c r="D79" s="156">
        <f>AVERAGE('Picarro Output'!F584:F586)</f>
        <v>-5.3230000000000004</v>
      </c>
      <c r="E79" s="156">
        <f>AVERAGE('Picarro Output'!G584:G586)</f>
        <v>-27.551333333333332</v>
      </c>
      <c r="F79" s="52">
        <v>6</v>
      </c>
    </row>
    <row r="80" spans="1:6" x14ac:dyDescent="0.2">
      <c r="A80" s="17">
        <v>79</v>
      </c>
      <c r="B80" s="16" t="str">
        <f>'Tray Configuration'!C17</f>
        <v>PRM01 20220314</v>
      </c>
      <c r="C80" s="16" t="str">
        <f>'Picarro Output'!B592</f>
        <v xml:space="preserve">    P-1136</v>
      </c>
      <c r="D80" s="156">
        <f>AVERAGE('Picarro Output'!F590:F592)</f>
        <v>-5.2359999999999998</v>
      </c>
      <c r="E80" s="156">
        <f>AVERAGE('Picarro Output'!G590:G592)</f>
        <v>-27.260666666666665</v>
      </c>
      <c r="F80" s="52">
        <v>6</v>
      </c>
    </row>
    <row r="81" spans="1:6" x14ac:dyDescent="0.2">
      <c r="A81" s="17">
        <v>80</v>
      </c>
      <c r="B81" s="16" t="str">
        <f>'Tray Configuration'!D17</f>
        <v>PRM06 20220314</v>
      </c>
      <c r="C81" s="16" t="str">
        <f>'Picarro Output'!B598</f>
        <v xml:space="preserve">    P-1137</v>
      </c>
      <c r="D81" s="156">
        <f>AVERAGE('Picarro Output'!F596:F598)</f>
        <v>-5.2516666666666669</v>
      </c>
      <c r="E81" s="156">
        <f>AVERAGE('Picarro Output'!G596:G598)</f>
        <v>-27.493666666666666</v>
      </c>
      <c r="F81" s="52">
        <v>6</v>
      </c>
    </row>
    <row r="82" spans="1:6" x14ac:dyDescent="0.2">
      <c r="A82" s="17">
        <v>81</v>
      </c>
      <c r="B82" s="16" t="str">
        <f>'Tray Configuration'!E17</f>
        <v>PRB01 20220314</v>
      </c>
      <c r="C82" s="16" t="str">
        <f>'Picarro Output'!B604</f>
        <v xml:space="preserve">    P-1138</v>
      </c>
      <c r="D82" s="156">
        <f>AVERAGE('Picarro Output'!F602:F604)</f>
        <v>-5.1059999999999999</v>
      </c>
      <c r="E82" s="156">
        <f>AVERAGE('Picarro Output'!G602:G604)</f>
        <v>-26.625666666666664</v>
      </c>
      <c r="F82" s="52">
        <v>6</v>
      </c>
    </row>
    <row r="83" spans="1:6" x14ac:dyDescent="0.2">
      <c r="A83" s="17">
        <v>82</v>
      </c>
      <c r="B83" s="16" t="str">
        <f>'Tray Configuration'!F17</f>
        <v>PRM11 20220314</v>
      </c>
      <c r="C83" s="16" t="str">
        <f>'Picarro Output'!B610</f>
        <v xml:space="preserve">    P-1139</v>
      </c>
      <c r="D83" s="156">
        <f>AVERAGE('Picarro Output'!F608:F610)</f>
        <v>-5.3606666666666669</v>
      </c>
      <c r="E83" s="156">
        <f>AVERAGE('Picarro Output'!G608:G610)</f>
        <v>-27.914666666666665</v>
      </c>
      <c r="F83" s="52">
        <v>6</v>
      </c>
    </row>
    <row r="84" spans="1:6" x14ac:dyDescent="0.2">
      <c r="A84" s="17">
        <v>83</v>
      </c>
      <c r="B84" s="16" t="str">
        <f>'Tray Configuration'!G17</f>
        <v>PRM15 20220314</v>
      </c>
      <c r="C84" s="16" t="str">
        <f>'Picarro Output'!B616</f>
        <v xml:space="preserve">    P-1140</v>
      </c>
      <c r="D84" s="156">
        <f>AVERAGE('Picarro Output'!F614:F616)</f>
        <v>-5.4203333333333328</v>
      </c>
      <c r="E84" s="156">
        <f>AVERAGE('Picarro Output'!G614:G616)</f>
        <v>-28.241333333333333</v>
      </c>
      <c r="F84" s="52">
        <v>6</v>
      </c>
    </row>
    <row r="85" spans="1:6" x14ac:dyDescent="0.2">
      <c r="A85" s="17">
        <v>84</v>
      </c>
      <c r="B85" s="16" t="str">
        <f>'Tray Configuration'!H17</f>
        <v>Ouachita</v>
      </c>
      <c r="C85" s="16" t="str">
        <f>'Picarro Output'!B622</f>
        <v xml:space="preserve">    P-1141</v>
      </c>
      <c r="D85" s="156">
        <f>AVERAGE('Picarro Output'!F620:F622)</f>
        <v>-5.4403333333333324</v>
      </c>
      <c r="E85" s="156">
        <f>AVERAGE('Picarro Output'!G620:G622)</f>
        <v>-29.15433333333333</v>
      </c>
      <c r="F85" s="52">
        <v>6</v>
      </c>
    </row>
    <row r="86" spans="1:6" x14ac:dyDescent="0.2">
      <c r="A86" s="17">
        <v>85</v>
      </c>
      <c r="B86" s="16" t="str">
        <f>'Tray Configuration'!B16</f>
        <v>PRA01 20220314</v>
      </c>
      <c r="C86" s="16" t="str">
        <f>'Picarro Output'!B628</f>
        <v xml:space="preserve">    P-1142</v>
      </c>
      <c r="D86" s="156">
        <f>AVERAGE('Picarro Output'!F626:F628)</f>
        <v>-5.3216666666666663</v>
      </c>
      <c r="E86" s="156">
        <f>AVERAGE('Picarro Output'!G626:G628)</f>
        <v>-27.736666666666668</v>
      </c>
      <c r="F86" s="52">
        <v>6</v>
      </c>
    </row>
    <row r="87" spans="1:6" x14ac:dyDescent="0.2">
      <c r="A87" s="17">
        <v>86</v>
      </c>
      <c r="B87" s="16" t="str">
        <f>'Tray Configuration'!C16</f>
        <v>PRM19 20220314</v>
      </c>
      <c r="C87" s="16" t="str">
        <f>'Picarro Output'!B634</f>
        <v xml:space="preserve">    P-1143</v>
      </c>
      <c r="D87" s="156">
        <f>AVERAGE('Picarro Output'!F632:F634)</f>
        <v>-5.501666666666666</v>
      </c>
      <c r="E87" s="156">
        <f>AVERAGE('Picarro Output'!G632:G634)</f>
        <v>-28.635333333333335</v>
      </c>
      <c r="F87" s="52">
        <v>6</v>
      </c>
    </row>
    <row r="88" spans="1:6" x14ac:dyDescent="0.2">
      <c r="A88" s="17">
        <v>87</v>
      </c>
      <c r="B88" s="16" t="str">
        <f>'Tray Configuration'!D16</f>
        <v>WAIS_02M09_1_RAW_NODATE</v>
      </c>
      <c r="C88" s="16" t="str">
        <f>'Picarro Output'!B640</f>
        <v xml:space="preserve">    P-1144</v>
      </c>
      <c r="D88" s="156">
        <f>AVERAGE('Picarro Output'!F638:F640)</f>
        <v>-5.8506666666666662</v>
      </c>
      <c r="E88" s="156">
        <f>AVERAGE('Picarro Output'!G638:G640)</f>
        <v>-36.446333333333335</v>
      </c>
      <c r="F88" s="52">
        <v>6</v>
      </c>
    </row>
    <row r="89" spans="1:6" x14ac:dyDescent="0.2">
      <c r="A89" s="17">
        <v>88</v>
      </c>
      <c r="B89" s="16">
        <f>'Tray Configuration'!E16</f>
        <v>0</v>
      </c>
      <c r="C89" s="16">
        <f>'Picarro Output'!B646</f>
        <v>0</v>
      </c>
      <c r="D89" s="156" t="e">
        <f>AVERAGE('Picarro Output'!F644:F646)</f>
        <v>#DIV/0!</v>
      </c>
      <c r="E89" s="156" t="e">
        <f>AVERAGE('Picarro Output'!G644:G646)</f>
        <v>#DIV/0!</v>
      </c>
      <c r="F89" s="52">
        <v>6</v>
      </c>
    </row>
    <row r="90" spans="1:6" x14ac:dyDescent="0.2">
      <c r="A90" s="17">
        <v>89</v>
      </c>
      <c r="B90" s="16">
        <f>'Tray Configuration'!F16</f>
        <v>0</v>
      </c>
      <c r="C90" s="16">
        <f>'Picarro Output'!B652</f>
        <v>0</v>
      </c>
      <c r="D90" s="156" t="e">
        <f>AVERAGE('Picarro Output'!F650:F652)</f>
        <v>#DIV/0!</v>
      </c>
      <c r="E90" s="156" t="e">
        <f>AVERAGE('Picarro Output'!G650:G652)</f>
        <v>#DIV/0!</v>
      </c>
      <c r="F90" s="52">
        <v>6</v>
      </c>
    </row>
    <row r="91" spans="1:6" x14ac:dyDescent="0.2">
      <c r="A91" s="17">
        <v>90</v>
      </c>
      <c r="B91" s="16">
        <f>'Tray Configuration'!G16</f>
        <v>0</v>
      </c>
      <c r="C91" s="16">
        <f>'Picarro Output'!B658</f>
        <v>0</v>
      </c>
      <c r="D91" s="156" t="e">
        <f>AVERAGE('Picarro Output'!F656:F658)</f>
        <v>#DIV/0!</v>
      </c>
      <c r="E91" s="156" t="e">
        <f>AVERAGE('Picarro Output'!G656:G658)</f>
        <v>#DIV/0!</v>
      </c>
      <c r="F91" s="52">
        <v>6</v>
      </c>
    </row>
    <row r="92" spans="1:6" x14ac:dyDescent="0.2">
      <c r="A92" s="17">
        <v>91</v>
      </c>
      <c r="B92" s="16">
        <f>'Tray Configuration'!H16</f>
        <v>0</v>
      </c>
      <c r="C92" s="16">
        <f>'Picarro Output'!B664</f>
        <v>0</v>
      </c>
      <c r="D92" s="156" t="e">
        <f>AVERAGE('Picarro Output'!F662:F664)</f>
        <v>#DIV/0!</v>
      </c>
      <c r="E92" s="156" t="e">
        <f>AVERAGE('Picarro Output'!G662:G664)</f>
        <v>#DIV/0!</v>
      </c>
      <c r="F92" s="52">
        <v>6</v>
      </c>
    </row>
    <row r="93" spans="1:6" x14ac:dyDescent="0.2">
      <c r="A93" s="17">
        <v>92</v>
      </c>
      <c r="B93" s="16">
        <f>'Tray Configuration'!B15</f>
        <v>0</v>
      </c>
      <c r="C93" s="16">
        <f>'Picarro Output'!B670</f>
        <v>0</v>
      </c>
      <c r="D93" s="156" t="e">
        <f>AVERAGE('Picarro Output'!F668:F670)</f>
        <v>#DIV/0!</v>
      </c>
      <c r="E93" s="156" t="e">
        <f>AVERAGE('Picarro Output'!G668:G670)</f>
        <v>#DIV/0!</v>
      </c>
      <c r="F93" s="52">
        <v>6</v>
      </c>
    </row>
    <row r="94" spans="1:6" x14ac:dyDescent="0.2">
      <c r="A94" s="17">
        <v>93</v>
      </c>
      <c r="B94" s="16">
        <f>'Tray Configuration'!C15</f>
        <v>0</v>
      </c>
      <c r="C94" s="16">
        <f>'Picarro Output'!B676</f>
        <v>0</v>
      </c>
      <c r="D94" s="156" t="e">
        <f>AVERAGE('Picarro Output'!F674:F676)</f>
        <v>#DIV/0!</v>
      </c>
      <c r="E94" s="156" t="e">
        <f>AVERAGE('Picarro Output'!G674:G676)</f>
        <v>#DIV/0!</v>
      </c>
      <c r="F94" s="52">
        <v>6</v>
      </c>
    </row>
    <row r="95" spans="1:6" x14ac:dyDescent="0.2">
      <c r="A95" s="17">
        <v>94</v>
      </c>
      <c r="B95" s="16">
        <f>'Tray Configuration'!D15</f>
        <v>0</v>
      </c>
      <c r="C95" s="16">
        <f>'Picarro Output'!B682</f>
        <v>0</v>
      </c>
      <c r="D95" s="156" t="e">
        <f>AVERAGE('Picarro Output'!F680:F682)</f>
        <v>#DIV/0!</v>
      </c>
      <c r="E95" s="156" t="e">
        <f>AVERAGE('Picarro Output'!G680:G682)</f>
        <v>#DIV/0!</v>
      </c>
      <c r="F95" s="52">
        <v>6</v>
      </c>
    </row>
    <row r="96" spans="1:6" x14ac:dyDescent="0.2">
      <c r="A96" s="17">
        <v>95</v>
      </c>
      <c r="B96" s="16">
        <f>'Tray Configuration'!E15</f>
        <v>0</v>
      </c>
      <c r="C96" s="16">
        <f>'Picarro Output'!B688</f>
        <v>0</v>
      </c>
      <c r="D96" s="156" t="e">
        <f>AVERAGE('Picarro Output'!F686:F688)</f>
        <v>#DIV/0!</v>
      </c>
      <c r="E96" s="156" t="e">
        <f>AVERAGE('Picarro Output'!G686:G688)</f>
        <v>#DIV/0!</v>
      </c>
      <c r="F96" s="52">
        <v>6</v>
      </c>
    </row>
    <row r="97" spans="1:6" x14ac:dyDescent="0.2">
      <c r="A97" s="17">
        <v>96</v>
      </c>
      <c r="B97" s="16">
        <f>'Tray Configuration'!F15</f>
        <v>0</v>
      </c>
      <c r="C97" s="16">
        <f>'Picarro Output'!B694</f>
        <v>0</v>
      </c>
      <c r="D97" s="156" t="e">
        <f>AVERAGE('Picarro Output'!F692:F694)</f>
        <v>#DIV/0!</v>
      </c>
      <c r="E97" s="156" t="e">
        <f>AVERAGE('Picarro Output'!G692:G694)</f>
        <v>#DIV/0!</v>
      </c>
      <c r="F97" s="52">
        <v>6</v>
      </c>
    </row>
    <row r="98" spans="1:6" x14ac:dyDescent="0.2">
      <c r="A98" s="17">
        <v>97</v>
      </c>
      <c r="B98" s="16">
        <f>'Tray Configuration'!G15</f>
        <v>0</v>
      </c>
      <c r="C98" s="16">
        <f>'Picarro Output'!B700</f>
        <v>0</v>
      </c>
      <c r="D98" s="156" t="e">
        <f>AVERAGE('Picarro Output'!F698:F700)</f>
        <v>#DIV/0!</v>
      </c>
      <c r="E98" s="156" t="e">
        <f>AVERAGE('Picarro Output'!G698:G700)</f>
        <v>#DIV/0!</v>
      </c>
      <c r="F98" s="52">
        <v>6</v>
      </c>
    </row>
    <row r="99" spans="1:6" x14ac:dyDescent="0.2">
      <c r="A99" s="17">
        <v>98</v>
      </c>
      <c r="B99" s="16">
        <f>'Tray Configuration'!H15</f>
        <v>0</v>
      </c>
      <c r="C99" s="16">
        <f>'Picarro Output'!B706</f>
        <v>0</v>
      </c>
      <c r="D99" s="156" t="e">
        <f>AVERAGE('Picarro Output'!F704:F706)</f>
        <v>#DIV/0!</v>
      </c>
      <c r="E99" s="156" t="e">
        <f>AVERAGE('Picarro Output'!G704:G706)</f>
        <v>#DIV/0!</v>
      </c>
      <c r="F99" s="52">
        <v>6</v>
      </c>
    </row>
    <row r="100" spans="1:6" x14ac:dyDescent="0.2">
      <c r="A100" s="17">
        <v>99</v>
      </c>
      <c r="B100" s="16">
        <f>'Tray Configuration'!B14</f>
        <v>0</v>
      </c>
      <c r="C100" s="16">
        <f>'Picarro Output'!B712</f>
        <v>0</v>
      </c>
      <c r="D100" s="156" t="e">
        <f>AVERAGE('Picarro Output'!F710:F712)</f>
        <v>#DIV/0!</v>
      </c>
      <c r="E100" s="156" t="e">
        <f>AVERAGE('Picarro Output'!G710:G712)</f>
        <v>#DIV/0!</v>
      </c>
      <c r="F100" s="52">
        <v>6</v>
      </c>
    </row>
    <row r="101" spans="1:6" x14ac:dyDescent="0.2">
      <c r="A101" s="17">
        <v>100</v>
      </c>
      <c r="B101" s="16">
        <f>'Tray Configuration'!C14</f>
        <v>0</v>
      </c>
      <c r="C101" s="16">
        <f>'Picarro Output'!B718</f>
        <v>0</v>
      </c>
      <c r="D101" s="156" t="e">
        <f>AVERAGE('Picarro Output'!F716:F718)</f>
        <v>#DIV/0!</v>
      </c>
      <c r="E101" s="156" t="e">
        <f>AVERAGE('Picarro Output'!G716:G718)</f>
        <v>#DIV/0!</v>
      </c>
      <c r="F101" s="52">
        <v>6</v>
      </c>
    </row>
    <row r="102" spans="1:6" x14ac:dyDescent="0.2">
      <c r="A102" s="17">
        <v>101</v>
      </c>
      <c r="B102" s="16">
        <f>'Tray Configuration'!D14</f>
        <v>0</v>
      </c>
      <c r="C102" s="16">
        <f>'Picarro Output'!B724</f>
        <v>0</v>
      </c>
      <c r="D102" s="156" t="e">
        <f>AVERAGE('Picarro Output'!F722:F724)</f>
        <v>#DIV/0!</v>
      </c>
      <c r="E102" s="156" t="e">
        <f>AVERAGE('Picarro Output'!G722:G724)</f>
        <v>#DIV/0!</v>
      </c>
      <c r="F102" s="52">
        <v>6</v>
      </c>
    </row>
    <row r="103" spans="1:6" x14ac:dyDescent="0.2">
      <c r="A103" s="17">
        <v>102</v>
      </c>
      <c r="B103" s="16">
        <f>'Tray Configuration'!E14</f>
        <v>0</v>
      </c>
      <c r="C103" s="16">
        <f>'Picarro Output'!B739</f>
        <v>0</v>
      </c>
      <c r="D103" s="156" t="e">
        <f>AVERAGE('Picarro Output'!F735:F739)</f>
        <v>#DIV/0!</v>
      </c>
      <c r="E103" s="156" t="e">
        <f>AVERAGE('Picarro Output'!G735:G739)</f>
        <v>#DIV/0!</v>
      </c>
      <c r="F103" s="52">
        <v>15</v>
      </c>
    </row>
    <row r="104" spans="1:6" x14ac:dyDescent="0.2">
      <c r="A104" s="17">
        <v>103</v>
      </c>
      <c r="B104" s="16">
        <f>'Tray Configuration'!F14</f>
        <v>0</v>
      </c>
      <c r="C104" s="16">
        <f>'Picarro Output'!B754</f>
        <v>0</v>
      </c>
      <c r="D104" s="156" t="e">
        <f>AVERAGE('Picarro Output'!F750:F754)</f>
        <v>#DIV/0!</v>
      </c>
      <c r="E104" s="156" t="e">
        <f>AVERAGE('Picarro Output'!G750:G754)</f>
        <v>#DIV/0!</v>
      </c>
      <c r="F104" s="52">
        <v>15</v>
      </c>
    </row>
    <row r="105" spans="1:6" x14ac:dyDescent="0.2">
      <c r="A105" s="17">
        <v>104</v>
      </c>
      <c r="B105" s="16">
        <f>'Tray Configuration'!G14</f>
        <v>0</v>
      </c>
      <c r="C105" s="16">
        <f>'Picarro Output'!B769</f>
        <v>0</v>
      </c>
      <c r="D105" s="156" t="e">
        <f>AVERAGE('Picarro Output'!F765:F769)</f>
        <v>#DIV/0!</v>
      </c>
      <c r="E105" s="156" t="e">
        <f>AVERAGE('Picarro Output'!G765:G769)</f>
        <v>#DIV/0!</v>
      </c>
      <c r="F105" s="52">
        <v>15</v>
      </c>
    </row>
    <row r="106" spans="1:6" ht="16" thickBot="1" x14ac:dyDescent="0.25">
      <c r="A106" s="18">
        <v>105</v>
      </c>
      <c r="B106" s="19">
        <f>'Tray Configuration'!H14</f>
        <v>0</v>
      </c>
      <c r="C106" s="19">
        <f>'Picarro Output'!B784</f>
        <v>0</v>
      </c>
      <c r="D106" s="157" t="e">
        <f>AVERAGE('Picarro Output'!F780:F784)</f>
        <v>#DIV/0!</v>
      </c>
      <c r="E106" s="157" t="e">
        <f>AVERAGE('Picarro Output'!G780:G784)</f>
        <v>#DIV/0!</v>
      </c>
      <c r="F106" s="97">
        <v>15</v>
      </c>
    </row>
    <row r="107" spans="1:6" x14ac:dyDescent="0.2">
      <c r="B107" s="1"/>
    </row>
    <row r="108" spans="1:6" x14ac:dyDescent="0.2">
      <c r="B108" s="1"/>
    </row>
    <row r="109" spans="1:6" x14ac:dyDescent="0.2">
      <c r="B109" s="1"/>
    </row>
    <row r="110" spans="1:6" x14ac:dyDescent="0.2">
      <c r="B110" s="1"/>
    </row>
    <row r="111" spans="1:6" x14ac:dyDescent="0.2">
      <c r="B111" s="1"/>
    </row>
    <row r="112" spans="1:6" x14ac:dyDescent="0.2">
      <c r="B112" s="1"/>
    </row>
    <row r="113" spans="2:2" x14ac:dyDescent="0.2">
      <c r="B113" s="1"/>
    </row>
    <row r="114" spans="2:2" x14ac:dyDescent="0.2">
      <c r="B114" s="1"/>
    </row>
    <row r="115" spans="2:2" x14ac:dyDescent="0.2">
      <c r="B115" s="1"/>
    </row>
    <row r="116" spans="2:2" x14ac:dyDescent="0.2">
      <c r="B116" s="1"/>
    </row>
    <row r="117" spans="2:2" x14ac:dyDescent="0.2">
      <c r="B117" s="1"/>
    </row>
    <row r="118" spans="2:2" x14ac:dyDescent="0.2">
      <c r="B118" s="1"/>
    </row>
    <row r="119" spans="2:2" x14ac:dyDescent="0.2">
      <c r="B119" s="1"/>
    </row>
    <row r="120" spans="2:2" x14ac:dyDescent="0.2">
      <c r="B120" s="1"/>
    </row>
    <row r="121" spans="2:2" x14ac:dyDescent="0.2">
      <c r="B121" s="1"/>
    </row>
    <row r="122" spans="2:2" x14ac:dyDescent="0.2">
      <c r="B122" s="1"/>
    </row>
    <row r="123" spans="2:2" x14ac:dyDescent="0.2">
      <c r="B123" s="1"/>
    </row>
    <row r="124" spans="2:2" x14ac:dyDescent="0.2">
      <c r="B124" s="1"/>
    </row>
    <row r="125" spans="2:2" x14ac:dyDescent="0.2">
      <c r="B125" s="1"/>
    </row>
    <row r="126" spans="2:2" x14ac:dyDescent="0.2">
      <c r="B126" s="1"/>
    </row>
    <row r="127" spans="2:2" x14ac:dyDescent="0.2">
      <c r="B127" s="1"/>
    </row>
    <row r="128" spans="2:2" x14ac:dyDescent="0.2">
      <c r="B128" s="1"/>
    </row>
    <row r="129" spans="2:5" x14ac:dyDescent="0.2">
      <c r="B129" s="1"/>
    </row>
    <row r="130" spans="2:5" x14ac:dyDescent="0.2">
      <c r="B130" s="1"/>
    </row>
    <row r="131" spans="2:5" x14ac:dyDescent="0.2">
      <c r="B131" s="1"/>
    </row>
    <row r="132" spans="2:5" x14ac:dyDescent="0.2">
      <c r="B132" s="1"/>
    </row>
    <row r="133" spans="2:5" x14ac:dyDescent="0.2">
      <c r="B133" s="1"/>
    </row>
    <row r="134" spans="2:5" x14ac:dyDescent="0.2">
      <c r="B134" s="1"/>
    </row>
    <row r="135" spans="2:5" x14ac:dyDescent="0.2">
      <c r="B135" s="1"/>
    </row>
    <row r="136" spans="2:5" x14ac:dyDescent="0.2">
      <c r="B136" s="1"/>
    </row>
    <row r="137" spans="2:5" x14ac:dyDescent="0.2">
      <c r="B137" s="1"/>
    </row>
    <row r="138" spans="2:5" x14ac:dyDescent="0.2">
      <c r="B138" s="1"/>
    </row>
    <row r="139" spans="2:5" x14ac:dyDescent="0.2">
      <c r="B139" s="1"/>
      <c r="E139" s="38" t="str">
        <f>IFERROR(AVERAGEIFS('Picarro Output'!G:G, 'Picarro Output'!$B:$B, 'Uncalibrated Data'!$C139, 'Picarro Output'!$I:$I, 0, 'Picarro Output'!$J:$J, 1), "")</f>
        <v/>
      </c>
    </row>
    <row r="140" spans="2:5" x14ac:dyDescent="0.2">
      <c r="B140" s="1"/>
      <c r="E140" s="38" t="str">
        <f>IFERROR(AVERAGEIFS('Picarro Output'!G:G, 'Picarro Output'!$B:$B, 'Uncalibrated Data'!$C140, 'Picarro Output'!$I:$I, 0, 'Picarro Output'!$J:$J, 1), "")</f>
        <v/>
      </c>
    </row>
    <row r="141" spans="2:5" x14ac:dyDescent="0.2">
      <c r="B141" s="1"/>
      <c r="E141" s="38" t="str">
        <f>IFERROR(AVERAGEIFS('Picarro Output'!G:G, 'Picarro Output'!$B:$B, 'Uncalibrated Data'!$C141, 'Picarro Output'!$I:$I, 0, 'Picarro Output'!$J:$J, 1), "")</f>
        <v/>
      </c>
    </row>
    <row r="142" spans="2:5" x14ac:dyDescent="0.2">
      <c r="B142" s="1"/>
      <c r="E142" s="38" t="str">
        <f>IFERROR(AVERAGEIFS('Picarro Output'!G:G, 'Picarro Output'!$B:$B, 'Uncalibrated Data'!$C142, 'Picarro Output'!$I:$I, 0, 'Picarro Output'!$J:$J, 1), "")</f>
        <v/>
      </c>
    </row>
    <row r="143" spans="2:5" x14ac:dyDescent="0.2">
      <c r="B143" s="1"/>
      <c r="E143" s="38" t="str">
        <f>IFERROR(AVERAGEIFS('Picarro Output'!G:G, 'Picarro Output'!$B:$B, 'Uncalibrated Data'!$C143, 'Picarro Output'!$I:$I, 0, 'Picarro Output'!$J:$J, 1), "")</f>
        <v/>
      </c>
    </row>
    <row r="144" spans="2:5" x14ac:dyDescent="0.2">
      <c r="B144" s="1"/>
      <c r="E144" s="38" t="str">
        <f>IFERROR(AVERAGEIFS('Picarro Output'!G:G, 'Picarro Output'!$B:$B, 'Uncalibrated Data'!$C144, 'Picarro Output'!$I:$I, 0, 'Picarro Output'!$J:$J, 1), "")</f>
        <v/>
      </c>
    </row>
    <row r="145" spans="2:5" x14ac:dyDescent="0.2">
      <c r="B145" s="1"/>
      <c r="E145" s="38" t="str">
        <f>IFERROR(AVERAGEIFS('Picarro Output'!G:G, 'Picarro Output'!$B:$B, 'Uncalibrated Data'!$C145, 'Picarro Output'!$I:$I, 0, 'Picarro Output'!$J:$J, 1), "")</f>
        <v/>
      </c>
    </row>
    <row r="146" spans="2:5" x14ac:dyDescent="0.2">
      <c r="B146" s="1"/>
      <c r="E146" s="38" t="str">
        <f>IFERROR(AVERAGEIFS('Picarro Output'!G:G, 'Picarro Output'!$B:$B, 'Uncalibrated Data'!$C146, 'Picarro Output'!$I:$I, 0, 'Picarro Output'!$J:$J, 1), "")</f>
        <v/>
      </c>
    </row>
    <row r="147" spans="2:5" x14ac:dyDescent="0.2">
      <c r="B147" s="1"/>
      <c r="E147" s="38" t="str">
        <f>IFERROR(AVERAGEIFS('Picarro Output'!G:G, 'Picarro Output'!$B:$B, 'Uncalibrated Data'!$C147, 'Picarro Output'!$I:$I, 0, 'Picarro Output'!$J:$J, 1), "")</f>
        <v/>
      </c>
    </row>
    <row r="148" spans="2:5" x14ac:dyDescent="0.2">
      <c r="B148" s="1"/>
      <c r="E148" s="38" t="str">
        <f>IFERROR(AVERAGEIFS('Picarro Output'!G:G, 'Picarro Output'!$B:$B, 'Uncalibrated Data'!$C148, 'Picarro Output'!$I:$I, 0, 'Picarro Output'!$J:$J, 1), "")</f>
        <v/>
      </c>
    </row>
    <row r="149" spans="2:5" x14ac:dyDescent="0.2">
      <c r="B149" s="1"/>
      <c r="E149" s="38" t="str">
        <f>IFERROR(AVERAGEIFS('Picarro Output'!G:G, 'Picarro Output'!$B:$B, 'Uncalibrated Data'!$C149, 'Picarro Output'!$I:$I, 0, 'Picarro Output'!$J:$J, 1), "")</f>
        <v/>
      </c>
    </row>
    <row r="150" spans="2:5" x14ac:dyDescent="0.2">
      <c r="B150" s="1"/>
      <c r="E150" s="38" t="str">
        <f>IFERROR(AVERAGEIFS('Picarro Output'!G:G, 'Picarro Output'!$B:$B, 'Uncalibrated Data'!$C150, 'Picarro Output'!$I:$I, 0, 'Picarro Output'!$J:$J, 1), "")</f>
        <v/>
      </c>
    </row>
    <row r="151" spans="2:5" x14ac:dyDescent="0.2">
      <c r="B151" s="1"/>
      <c r="E151" s="38" t="str">
        <f>IFERROR(AVERAGEIFS('Picarro Output'!G:G, 'Picarro Output'!$B:$B, 'Uncalibrated Data'!$C151, 'Picarro Output'!$I:$I, 0, 'Picarro Output'!$J:$J, 1), "")</f>
        <v/>
      </c>
    </row>
    <row r="152" spans="2:5" x14ac:dyDescent="0.2">
      <c r="B152" s="1"/>
      <c r="E152" s="38" t="str">
        <f>IFERROR(AVERAGEIFS('Picarro Output'!G:G, 'Picarro Output'!$B:$B, 'Uncalibrated Data'!$C152, 'Picarro Output'!$I:$I, 0, 'Picarro Output'!$J:$J, 1), "")</f>
        <v/>
      </c>
    </row>
    <row r="153" spans="2:5" x14ac:dyDescent="0.2">
      <c r="B153" s="1"/>
      <c r="E153" s="38" t="str">
        <f>IFERROR(AVERAGEIFS('Picarro Output'!G:G, 'Picarro Output'!$B:$B, 'Uncalibrated Data'!$C153, 'Picarro Output'!$I:$I, 0, 'Picarro Output'!$J:$J, 1), "")</f>
        <v/>
      </c>
    </row>
    <row r="154" spans="2:5" x14ac:dyDescent="0.2">
      <c r="B154" s="1"/>
      <c r="E154" s="38" t="str">
        <f>IFERROR(AVERAGEIFS('Picarro Output'!G:G, 'Picarro Output'!$B:$B, 'Uncalibrated Data'!$C154, 'Picarro Output'!$I:$I, 0, 'Picarro Output'!$J:$J, 1), "")</f>
        <v/>
      </c>
    </row>
    <row r="155" spans="2:5" x14ac:dyDescent="0.2">
      <c r="B155" s="1"/>
      <c r="E155" s="38" t="str">
        <f>IFERROR(AVERAGEIFS('Picarro Output'!G:G, 'Picarro Output'!$B:$B, 'Uncalibrated Data'!$C155, 'Picarro Output'!$I:$I, 0, 'Picarro Output'!$J:$J, 1), "")</f>
        <v/>
      </c>
    </row>
    <row r="156" spans="2:5" x14ac:dyDescent="0.2">
      <c r="B156" s="1"/>
      <c r="E156" s="38" t="str">
        <f>IFERROR(AVERAGEIFS('Picarro Output'!G:G, 'Picarro Output'!$B:$B, 'Uncalibrated Data'!$C156, 'Picarro Output'!$I:$I, 0, 'Picarro Output'!$J:$J, 1), "")</f>
        <v/>
      </c>
    </row>
    <row r="157" spans="2:5" x14ac:dyDescent="0.2">
      <c r="B157" s="1"/>
      <c r="E157" s="38" t="str">
        <f>IFERROR(AVERAGEIFS('Picarro Output'!G:G, 'Picarro Output'!$B:$B, 'Uncalibrated Data'!$C157, 'Picarro Output'!$I:$I, 0, 'Picarro Output'!$J:$J, 1), "")</f>
        <v/>
      </c>
    </row>
    <row r="158" spans="2:5" x14ac:dyDescent="0.2">
      <c r="B158" s="1"/>
      <c r="E158" s="38" t="str">
        <f>IFERROR(AVERAGEIFS('Picarro Output'!G:G, 'Picarro Output'!$B:$B, 'Uncalibrated Data'!$C158, 'Picarro Output'!$I:$I, 0, 'Picarro Output'!$J:$J, 1), "")</f>
        <v/>
      </c>
    </row>
    <row r="159" spans="2:5" x14ac:dyDescent="0.2">
      <c r="B159" s="1"/>
      <c r="E159" s="38" t="str">
        <f>IFERROR(AVERAGEIFS('Picarro Output'!G:G, 'Picarro Output'!$B:$B, 'Uncalibrated Data'!$C159, 'Picarro Output'!$I:$I, 0, 'Picarro Output'!$J:$J, 1), "")</f>
        <v/>
      </c>
    </row>
    <row r="160" spans="2:5" x14ac:dyDescent="0.2">
      <c r="B160" s="1"/>
      <c r="E160" s="38" t="str">
        <f>IFERROR(AVERAGEIFS('Picarro Output'!G:G, 'Picarro Output'!$B:$B, 'Uncalibrated Data'!$C160, 'Picarro Output'!$I:$I, 0, 'Picarro Output'!$J:$J, 1), "")</f>
        <v/>
      </c>
    </row>
    <row r="161" spans="2:5" x14ac:dyDescent="0.2">
      <c r="B161" s="1"/>
      <c r="E161" s="38" t="str">
        <f>IFERROR(AVERAGEIFS('Picarro Output'!G:G, 'Picarro Output'!$B:$B, 'Uncalibrated Data'!$C161, 'Picarro Output'!$I:$I, 0, 'Picarro Output'!$J:$J, 1), "")</f>
        <v/>
      </c>
    </row>
    <row r="162" spans="2:5" x14ac:dyDescent="0.2">
      <c r="B162" s="1"/>
      <c r="E162" s="38" t="str">
        <f>IFERROR(AVERAGEIFS('Picarro Output'!G:G, 'Picarro Output'!$B:$B, 'Uncalibrated Data'!$C162, 'Picarro Output'!$I:$I, 0, 'Picarro Output'!$J:$J, 1), "")</f>
        <v/>
      </c>
    </row>
    <row r="163" spans="2:5" x14ac:dyDescent="0.2">
      <c r="B163" s="1"/>
      <c r="E163" s="38" t="str">
        <f>IFERROR(AVERAGEIFS('Picarro Output'!G:G, 'Picarro Output'!$B:$B, 'Uncalibrated Data'!$C163, 'Picarro Output'!$I:$I, 0, 'Picarro Output'!$J:$J, 1), "")</f>
        <v/>
      </c>
    </row>
    <row r="164" spans="2:5" x14ac:dyDescent="0.2">
      <c r="B164" s="1"/>
      <c r="E164" s="38" t="str">
        <f>IFERROR(AVERAGEIFS('Picarro Output'!G:G, 'Picarro Output'!$B:$B, 'Uncalibrated Data'!$C164, 'Picarro Output'!$I:$I, 0, 'Picarro Output'!$J:$J, 1), "")</f>
        <v/>
      </c>
    </row>
    <row r="165" spans="2:5" x14ac:dyDescent="0.2">
      <c r="B165" s="1"/>
      <c r="E165" s="38" t="str">
        <f>IFERROR(AVERAGEIFS('Picarro Output'!G:G, 'Picarro Output'!$B:$B, 'Uncalibrated Data'!$C165, 'Picarro Output'!$I:$I, 0, 'Picarro Output'!$J:$J, 1), "")</f>
        <v/>
      </c>
    </row>
    <row r="166" spans="2:5" x14ac:dyDescent="0.2">
      <c r="B166" s="1"/>
      <c r="E166" s="38" t="str">
        <f>IFERROR(AVERAGEIFS('Picarro Output'!G:G, 'Picarro Output'!$B:$B, 'Uncalibrated Data'!$C166, 'Picarro Output'!$I:$I, 0, 'Picarro Output'!$J:$J, 1), "")</f>
        <v/>
      </c>
    </row>
    <row r="167" spans="2:5" x14ac:dyDescent="0.2">
      <c r="B167" s="1"/>
      <c r="E167" s="38" t="str">
        <f>IFERROR(AVERAGEIFS('Picarro Output'!G:G, 'Picarro Output'!$B:$B, 'Uncalibrated Data'!$C167, 'Picarro Output'!$I:$I, 0, 'Picarro Output'!$J:$J, 1), "")</f>
        <v/>
      </c>
    </row>
    <row r="168" spans="2:5" x14ac:dyDescent="0.2">
      <c r="B168" s="1"/>
      <c r="E168" s="38" t="str">
        <f>IFERROR(AVERAGEIFS('Picarro Output'!G:G, 'Picarro Output'!$B:$B, 'Uncalibrated Data'!$C168, 'Picarro Output'!$I:$I, 0, 'Picarro Output'!$J:$J, 1), "")</f>
        <v/>
      </c>
    </row>
    <row r="169" spans="2:5" x14ac:dyDescent="0.2">
      <c r="B169" s="1"/>
      <c r="E169" s="38" t="str">
        <f>IFERROR(AVERAGEIFS('Picarro Output'!G:G, 'Picarro Output'!$B:$B, 'Uncalibrated Data'!$C169, 'Picarro Output'!$I:$I, 0, 'Picarro Output'!$J:$J, 1), "")</f>
        <v/>
      </c>
    </row>
    <row r="170" spans="2:5" x14ac:dyDescent="0.2">
      <c r="B170" s="1"/>
      <c r="E170" s="38" t="str">
        <f>IFERROR(AVERAGEIFS('Picarro Output'!G:G, 'Picarro Output'!$B:$B, 'Uncalibrated Data'!$C170, 'Picarro Output'!$I:$I, 0, 'Picarro Output'!$J:$J, 1), "")</f>
        <v/>
      </c>
    </row>
    <row r="171" spans="2:5" x14ac:dyDescent="0.2">
      <c r="B171" s="1"/>
      <c r="E171" s="38" t="str">
        <f>IFERROR(AVERAGEIFS('Picarro Output'!G:G, 'Picarro Output'!$B:$B, 'Uncalibrated Data'!$C171, 'Picarro Output'!$I:$I, 0, 'Picarro Output'!$J:$J, 1), "")</f>
        <v/>
      </c>
    </row>
    <row r="172" spans="2:5" x14ac:dyDescent="0.2">
      <c r="B172" s="1"/>
      <c r="E172" s="38" t="str">
        <f>IFERROR(AVERAGEIFS('Picarro Output'!G:G, 'Picarro Output'!$B:$B, 'Uncalibrated Data'!$C172, 'Picarro Output'!$I:$I, 0, 'Picarro Output'!$J:$J, 1), "")</f>
        <v/>
      </c>
    </row>
    <row r="173" spans="2:5" x14ac:dyDescent="0.2">
      <c r="B173" s="1"/>
      <c r="E173" s="38" t="str">
        <f>IFERROR(AVERAGEIFS('Picarro Output'!G:G, 'Picarro Output'!$B:$B, 'Uncalibrated Data'!$C173, 'Picarro Output'!$I:$I, 0, 'Picarro Output'!$J:$J, 1), "")</f>
        <v/>
      </c>
    </row>
    <row r="174" spans="2:5" x14ac:dyDescent="0.2">
      <c r="B174" s="1"/>
      <c r="E174" s="38" t="str">
        <f>IFERROR(AVERAGEIFS('Picarro Output'!G:G, 'Picarro Output'!$B:$B, 'Uncalibrated Data'!$C174, 'Picarro Output'!$I:$I, 0, 'Picarro Output'!$J:$J, 1), "")</f>
        <v/>
      </c>
    </row>
    <row r="175" spans="2:5" x14ac:dyDescent="0.2">
      <c r="B175" s="1"/>
      <c r="E175" s="38" t="str">
        <f>IFERROR(AVERAGEIFS('Picarro Output'!G:G, 'Picarro Output'!$B:$B, 'Uncalibrated Data'!$C175, 'Picarro Output'!$I:$I, 0, 'Picarro Output'!$J:$J, 1), "")</f>
        <v/>
      </c>
    </row>
    <row r="176" spans="2:5" x14ac:dyDescent="0.2">
      <c r="B176" s="1"/>
      <c r="E176" s="38" t="str">
        <f>IFERROR(AVERAGEIFS('Picarro Output'!G:G, 'Picarro Output'!$B:$B, 'Uncalibrated Data'!$C176, 'Picarro Output'!$I:$I, 0, 'Picarro Output'!$J:$J, 1), "")</f>
        <v/>
      </c>
    </row>
    <row r="177" spans="2:5" x14ac:dyDescent="0.2">
      <c r="B177" s="1"/>
      <c r="E177" s="38" t="str">
        <f>IFERROR(AVERAGEIFS('Picarro Output'!G:G, 'Picarro Output'!$B:$B, 'Uncalibrated Data'!$C177, 'Picarro Output'!$I:$I, 0, 'Picarro Output'!$J:$J, 1), "")</f>
        <v/>
      </c>
    </row>
    <row r="178" spans="2:5" x14ac:dyDescent="0.2">
      <c r="B178" s="1"/>
      <c r="E178" s="38" t="str">
        <f>IFERROR(AVERAGEIFS('Picarro Output'!G:G, 'Picarro Output'!$B:$B, 'Uncalibrated Data'!$C178, 'Picarro Output'!$I:$I, 0, 'Picarro Output'!$J:$J, 1), "")</f>
        <v/>
      </c>
    </row>
    <row r="179" spans="2:5" x14ac:dyDescent="0.2">
      <c r="B179" s="1"/>
      <c r="E179" s="38" t="str">
        <f>IFERROR(AVERAGEIFS('Picarro Output'!G:G, 'Picarro Output'!$B:$B, 'Uncalibrated Data'!$C179, 'Picarro Output'!$I:$I, 0, 'Picarro Output'!$J:$J, 1), "")</f>
        <v/>
      </c>
    </row>
    <row r="180" spans="2:5" x14ac:dyDescent="0.2">
      <c r="B180" s="1"/>
      <c r="E180" s="38" t="str">
        <f>IFERROR(AVERAGEIFS('Picarro Output'!G:G, 'Picarro Output'!$B:$B, 'Uncalibrated Data'!$C180, 'Picarro Output'!$I:$I, 0, 'Picarro Output'!$J:$J, 1), "")</f>
        <v/>
      </c>
    </row>
    <row r="181" spans="2:5" x14ac:dyDescent="0.2">
      <c r="B181" s="1"/>
      <c r="E181" s="38" t="str">
        <f>IFERROR(AVERAGEIFS('Picarro Output'!G:G, 'Picarro Output'!$B:$B, 'Uncalibrated Data'!$C181, 'Picarro Output'!$I:$I, 0, 'Picarro Output'!$J:$J, 1), "")</f>
        <v/>
      </c>
    </row>
    <row r="182" spans="2:5" x14ac:dyDescent="0.2">
      <c r="B182" s="1"/>
      <c r="E182" s="38" t="str">
        <f>IFERROR(AVERAGEIFS('Picarro Output'!G:G, 'Picarro Output'!$B:$B, 'Uncalibrated Data'!$C182, 'Picarro Output'!$I:$I, 0, 'Picarro Output'!$J:$J, 1), "")</f>
        <v/>
      </c>
    </row>
    <row r="183" spans="2:5" x14ac:dyDescent="0.2">
      <c r="B183" s="1"/>
      <c r="E183" s="38" t="str">
        <f>IFERROR(AVERAGEIFS('Picarro Output'!G:G, 'Picarro Output'!$B:$B, 'Uncalibrated Data'!$C183, 'Picarro Output'!$I:$I, 0, 'Picarro Output'!$J:$J, 1), "")</f>
        <v/>
      </c>
    </row>
    <row r="184" spans="2:5" x14ac:dyDescent="0.2">
      <c r="B184" s="1"/>
      <c r="E184" s="38" t="str">
        <f>IFERROR(AVERAGEIFS('Picarro Output'!G:G, 'Picarro Output'!$B:$B, 'Uncalibrated Data'!$C184, 'Picarro Output'!$I:$I, 0, 'Picarro Output'!$J:$J, 1), "")</f>
        <v/>
      </c>
    </row>
    <row r="185" spans="2:5" x14ac:dyDescent="0.2">
      <c r="B185" s="1"/>
      <c r="E185" s="38" t="str">
        <f>IFERROR(AVERAGEIFS('Picarro Output'!G:G, 'Picarro Output'!$B:$B, 'Uncalibrated Data'!$C185, 'Picarro Output'!$I:$I, 0, 'Picarro Output'!$J:$J, 1), "")</f>
        <v/>
      </c>
    </row>
    <row r="186" spans="2:5" x14ac:dyDescent="0.2">
      <c r="B186" s="1"/>
      <c r="E186" s="38" t="str">
        <f>IFERROR(AVERAGEIFS('Picarro Output'!G:G, 'Picarro Output'!$B:$B, 'Uncalibrated Data'!$C186, 'Picarro Output'!$I:$I, 0, 'Picarro Output'!$J:$J, 1), "")</f>
        <v/>
      </c>
    </row>
    <row r="187" spans="2:5" x14ac:dyDescent="0.2">
      <c r="B187" s="1"/>
      <c r="E187" s="38" t="str">
        <f>IFERROR(AVERAGEIFS('Picarro Output'!G:G, 'Picarro Output'!$B:$B, 'Uncalibrated Data'!$C187, 'Picarro Output'!$I:$I, 0, 'Picarro Output'!$J:$J, 1), "")</f>
        <v/>
      </c>
    </row>
    <row r="188" spans="2:5" x14ac:dyDescent="0.2">
      <c r="B188" s="1"/>
      <c r="E188" s="38" t="str">
        <f>IFERROR(AVERAGEIFS('Picarro Output'!G:G, 'Picarro Output'!$B:$B, 'Uncalibrated Data'!$C188, 'Picarro Output'!$I:$I, 0, 'Picarro Output'!$J:$J, 1), "")</f>
        <v/>
      </c>
    </row>
    <row r="189" spans="2:5" x14ac:dyDescent="0.2">
      <c r="B189" s="1"/>
      <c r="E189" s="38" t="str">
        <f>IFERROR(AVERAGEIFS('Picarro Output'!G:G, 'Picarro Output'!$B:$B, 'Uncalibrated Data'!$C189, 'Picarro Output'!$I:$I, 0, 'Picarro Output'!$J:$J, 1), "")</f>
        <v/>
      </c>
    </row>
    <row r="190" spans="2:5" x14ac:dyDescent="0.2">
      <c r="B190" s="1"/>
      <c r="E190" s="38" t="str">
        <f>IFERROR(AVERAGEIFS('Picarro Output'!G:G, 'Picarro Output'!$B:$B, 'Uncalibrated Data'!$C190, 'Picarro Output'!$I:$I, 0, 'Picarro Output'!$J:$J, 1), "")</f>
        <v/>
      </c>
    </row>
    <row r="191" spans="2:5" x14ac:dyDescent="0.2">
      <c r="B191" s="1"/>
      <c r="E191" s="38" t="str">
        <f>IFERROR(AVERAGEIFS('Picarro Output'!G:G, 'Picarro Output'!$B:$B, 'Uncalibrated Data'!$C191, 'Picarro Output'!$I:$I, 0, 'Picarro Output'!$J:$J, 1), "")</f>
        <v/>
      </c>
    </row>
    <row r="192" spans="2:5" x14ac:dyDescent="0.2">
      <c r="B192" s="1"/>
      <c r="E192" s="38" t="str">
        <f>IFERROR(AVERAGEIFS('Picarro Output'!G:G, 'Picarro Output'!$B:$B, 'Uncalibrated Data'!$C192, 'Picarro Output'!$I:$I, 0, 'Picarro Output'!$J:$J, 1), "")</f>
        <v/>
      </c>
    </row>
    <row r="193" spans="2:5" x14ac:dyDescent="0.2">
      <c r="B193" s="1"/>
      <c r="E193" s="38" t="str">
        <f>IFERROR(AVERAGEIFS('Picarro Output'!G:G, 'Picarro Output'!$B:$B, 'Uncalibrated Data'!$C193, 'Picarro Output'!$I:$I, 0, 'Picarro Output'!$J:$J, 1), "")</f>
        <v/>
      </c>
    </row>
    <row r="194" spans="2:5" x14ac:dyDescent="0.2">
      <c r="B194" s="1"/>
      <c r="E194" s="38" t="str">
        <f>IFERROR(AVERAGEIFS('Picarro Output'!G:G, 'Picarro Output'!$B:$B, 'Uncalibrated Data'!$C194, 'Picarro Output'!$I:$I, 0, 'Picarro Output'!$J:$J, 1), "")</f>
        <v/>
      </c>
    </row>
    <row r="195" spans="2:5" x14ac:dyDescent="0.2">
      <c r="B195" s="1"/>
      <c r="E195" s="38" t="str">
        <f>IFERROR(AVERAGEIFS('Picarro Output'!G:G, 'Picarro Output'!$B:$B, 'Uncalibrated Data'!$C195, 'Picarro Output'!$I:$I, 0, 'Picarro Output'!$J:$J, 1), "")</f>
        <v/>
      </c>
    </row>
    <row r="196" spans="2:5" x14ac:dyDescent="0.2">
      <c r="B196" s="1"/>
      <c r="E196" s="38" t="str">
        <f>IFERROR(AVERAGEIFS('Picarro Output'!G:G, 'Picarro Output'!$B:$B, 'Uncalibrated Data'!$C196, 'Picarro Output'!$I:$I, 0, 'Picarro Output'!$J:$J, 1), "")</f>
        <v/>
      </c>
    </row>
    <row r="197" spans="2:5" x14ac:dyDescent="0.2">
      <c r="B197" s="1"/>
      <c r="E197" s="38" t="str">
        <f>IFERROR(AVERAGEIFS('Picarro Output'!G:G, 'Picarro Output'!$B:$B, 'Uncalibrated Data'!$C197, 'Picarro Output'!$I:$I, 0, 'Picarro Output'!$J:$J, 1), "")</f>
        <v/>
      </c>
    </row>
    <row r="198" spans="2:5" x14ac:dyDescent="0.2">
      <c r="B198" s="1"/>
      <c r="E198" s="38" t="str">
        <f>IFERROR(AVERAGEIFS('Picarro Output'!G:G, 'Picarro Output'!$B:$B, 'Uncalibrated Data'!$C198, 'Picarro Output'!$I:$I, 0, 'Picarro Output'!$J:$J, 1), "")</f>
        <v/>
      </c>
    </row>
    <row r="199" spans="2:5" x14ac:dyDescent="0.2">
      <c r="B199" s="1"/>
      <c r="E199" s="38" t="str">
        <f>IFERROR(AVERAGEIFS('Picarro Output'!G:G, 'Picarro Output'!$B:$B, 'Uncalibrated Data'!$C199, 'Picarro Output'!$I:$I, 0, 'Picarro Output'!$J:$J, 1), "")</f>
        <v/>
      </c>
    </row>
    <row r="200" spans="2:5" x14ac:dyDescent="0.2">
      <c r="B200" s="1"/>
      <c r="E200" s="38" t="str">
        <f>IFERROR(AVERAGEIFS('Picarro Output'!G:G, 'Picarro Output'!$B:$B, 'Uncalibrated Data'!$C200, 'Picarro Output'!$I:$I, 0, 'Picarro Output'!$J:$J, 1), "")</f>
        <v/>
      </c>
    </row>
    <row r="201" spans="2:5" x14ac:dyDescent="0.2">
      <c r="B201" s="1"/>
      <c r="E201" s="38" t="str">
        <f>IFERROR(AVERAGEIFS('Picarro Output'!G:G, 'Picarro Output'!$B:$B, 'Uncalibrated Data'!$C201, 'Picarro Output'!$I:$I, 0, 'Picarro Output'!$J:$J, 1), "")</f>
        <v/>
      </c>
    </row>
    <row r="202" spans="2:5" x14ac:dyDescent="0.2">
      <c r="B202" s="1"/>
      <c r="E202" s="38" t="str">
        <f>IFERROR(AVERAGEIFS('Picarro Output'!G:G, 'Picarro Output'!$B:$B, 'Uncalibrated Data'!$C202, 'Picarro Output'!$I:$I, 0, 'Picarro Output'!$J:$J, 1), "")</f>
        <v/>
      </c>
    </row>
    <row r="203" spans="2:5" x14ac:dyDescent="0.2">
      <c r="B203" s="1"/>
      <c r="E203" s="38" t="str">
        <f>IFERROR(AVERAGEIFS('Picarro Output'!G:G, 'Picarro Output'!$B:$B, 'Uncalibrated Data'!$C203, 'Picarro Output'!$I:$I, 0, 'Picarro Output'!$J:$J, 1), "")</f>
        <v/>
      </c>
    </row>
    <row r="204" spans="2:5" x14ac:dyDescent="0.2">
      <c r="B204" s="1"/>
      <c r="E204" s="38" t="str">
        <f>IFERROR(AVERAGEIFS('Picarro Output'!G:G, 'Picarro Output'!$B:$B, 'Uncalibrated Data'!$C204, 'Picarro Output'!$I:$I, 0, 'Picarro Output'!$J:$J, 1), "")</f>
        <v/>
      </c>
    </row>
    <row r="205" spans="2:5" x14ac:dyDescent="0.2">
      <c r="B205" s="1"/>
      <c r="E205" s="38" t="str">
        <f>IFERROR(AVERAGEIFS('Picarro Output'!G:G, 'Picarro Output'!$B:$B, 'Uncalibrated Data'!$C205, 'Picarro Output'!$I:$I, 0, 'Picarro Output'!$J:$J, 1), "")</f>
        <v/>
      </c>
    </row>
    <row r="206" spans="2:5" x14ac:dyDescent="0.2">
      <c r="B206" s="1"/>
      <c r="E206" s="38" t="str">
        <f>IFERROR(AVERAGEIFS('Picarro Output'!G:G, 'Picarro Output'!$B:$B, 'Uncalibrated Data'!$C206, 'Picarro Output'!$I:$I, 0, 'Picarro Output'!$J:$J, 1), "")</f>
        <v/>
      </c>
    </row>
    <row r="207" spans="2:5" x14ac:dyDescent="0.2">
      <c r="B207" s="1"/>
      <c r="E207" s="38" t="str">
        <f>IFERROR(AVERAGEIFS('Picarro Output'!G:G, 'Picarro Output'!$B:$B, 'Uncalibrated Data'!$C207, 'Picarro Output'!$I:$I, 0, 'Picarro Output'!$J:$J, 1), "")</f>
        <v/>
      </c>
    </row>
    <row r="208" spans="2:5" x14ac:dyDescent="0.2">
      <c r="B208" s="1"/>
      <c r="E208" s="38" t="str">
        <f>IFERROR(AVERAGEIFS('Picarro Output'!G:G, 'Picarro Output'!$B:$B, 'Uncalibrated Data'!$C208, 'Picarro Output'!$I:$I, 0, 'Picarro Output'!$J:$J, 1), "")</f>
        <v/>
      </c>
    </row>
    <row r="209" spans="2:5" x14ac:dyDescent="0.2">
      <c r="B209" s="1"/>
      <c r="E209" s="38" t="str">
        <f>IFERROR(AVERAGEIFS('Picarro Output'!G:G, 'Picarro Output'!$B:$B, 'Uncalibrated Data'!$C209, 'Picarro Output'!$I:$I, 0, 'Picarro Output'!$J:$J, 1), "")</f>
        <v/>
      </c>
    </row>
    <row r="210" spans="2:5" x14ac:dyDescent="0.2">
      <c r="B210" s="1"/>
      <c r="E210" s="38" t="str">
        <f>IFERROR(AVERAGEIFS('Picarro Output'!G:G, 'Picarro Output'!$B:$B, 'Uncalibrated Data'!$C210, 'Picarro Output'!$I:$I, 0, 'Picarro Output'!$J:$J, 1), "")</f>
        <v/>
      </c>
    </row>
    <row r="211" spans="2:5" x14ac:dyDescent="0.2">
      <c r="B211" s="1"/>
      <c r="E211" s="38" t="str">
        <f>IFERROR(AVERAGEIFS('Picarro Output'!G:G, 'Picarro Output'!$B:$B, 'Uncalibrated Data'!$C211, 'Picarro Output'!$I:$I, 0, 'Picarro Output'!$J:$J, 1), "")</f>
        <v/>
      </c>
    </row>
    <row r="212" spans="2:5" x14ac:dyDescent="0.2">
      <c r="B212" s="1"/>
      <c r="E212" s="38" t="str">
        <f>IFERROR(AVERAGEIFS('Picarro Output'!G:G, 'Picarro Output'!$B:$B, 'Uncalibrated Data'!$C212, 'Picarro Output'!$I:$I, 0, 'Picarro Output'!$J:$J, 1), "")</f>
        <v/>
      </c>
    </row>
    <row r="213" spans="2:5" x14ac:dyDescent="0.2">
      <c r="B213" s="1"/>
      <c r="E213" s="38" t="str">
        <f>IFERROR(AVERAGEIFS('Picarro Output'!G:G, 'Picarro Output'!$B:$B, 'Uncalibrated Data'!$C213, 'Picarro Output'!$I:$I, 0, 'Picarro Output'!$J:$J, 1), "")</f>
        <v/>
      </c>
    </row>
    <row r="214" spans="2:5" x14ac:dyDescent="0.2">
      <c r="B214" s="1"/>
      <c r="E214" s="38" t="str">
        <f>IFERROR(AVERAGEIFS('Picarro Output'!G:G, 'Picarro Output'!$B:$B, 'Uncalibrated Data'!$C214, 'Picarro Output'!$I:$I, 0, 'Picarro Output'!$J:$J, 1), "")</f>
        <v/>
      </c>
    </row>
    <row r="215" spans="2:5" x14ac:dyDescent="0.2">
      <c r="B215" s="1"/>
      <c r="E215" s="38" t="str">
        <f>IFERROR(AVERAGEIFS('Picarro Output'!G:G, 'Picarro Output'!$B:$B, 'Uncalibrated Data'!$C215, 'Picarro Output'!$I:$I, 0, 'Picarro Output'!$J:$J, 1), "")</f>
        <v/>
      </c>
    </row>
    <row r="216" spans="2:5" x14ac:dyDescent="0.2">
      <c r="B216" s="1"/>
      <c r="E216" s="38" t="str">
        <f>IFERROR(AVERAGEIFS('Picarro Output'!G:G, 'Picarro Output'!$B:$B, 'Uncalibrated Data'!$C216, 'Picarro Output'!$I:$I, 0, 'Picarro Output'!$J:$J, 1), "")</f>
        <v/>
      </c>
    </row>
    <row r="217" spans="2:5" x14ac:dyDescent="0.2">
      <c r="B217" s="1"/>
      <c r="E217" s="38" t="str">
        <f>IFERROR(AVERAGEIFS('Picarro Output'!G:G, 'Picarro Output'!$B:$B, 'Uncalibrated Data'!$C217, 'Picarro Output'!$I:$I, 0, 'Picarro Output'!$J:$J, 1), "")</f>
        <v/>
      </c>
    </row>
    <row r="218" spans="2:5" x14ac:dyDescent="0.2">
      <c r="B218" s="1"/>
      <c r="E218" s="38" t="str">
        <f>IFERROR(AVERAGEIFS('Picarro Output'!G:G, 'Picarro Output'!$B:$B, 'Uncalibrated Data'!$C218, 'Picarro Output'!$I:$I, 0, 'Picarro Output'!$J:$J, 1), "")</f>
        <v/>
      </c>
    </row>
    <row r="219" spans="2:5" x14ac:dyDescent="0.2">
      <c r="B219" s="1"/>
      <c r="E219" s="38" t="str">
        <f>IFERROR(AVERAGEIFS('Picarro Output'!G:G, 'Picarro Output'!$B:$B, 'Uncalibrated Data'!$C219, 'Picarro Output'!$I:$I, 0, 'Picarro Output'!$J:$J, 1), "")</f>
        <v/>
      </c>
    </row>
    <row r="220" spans="2:5" x14ac:dyDescent="0.2">
      <c r="B220" s="1"/>
      <c r="E220" s="38" t="str">
        <f>IFERROR(AVERAGEIFS('Picarro Output'!G:G, 'Picarro Output'!$B:$B, 'Uncalibrated Data'!$C220, 'Picarro Output'!$I:$I, 0, 'Picarro Output'!$J:$J, 1), "")</f>
        <v/>
      </c>
    </row>
    <row r="221" spans="2:5" x14ac:dyDescent="0.2">
      <c r="B221" s="1"/>
      <c r="E221" s="38" t="str">
        <f>IFERROR(AVERAGEIFS('Picarro Output'!G:G, 'Picarro Output'!$B:$B, 'Uncalibrated Data'!$C221, 'Picarro Output'!$I:$I, 0, 'Picarro Output'!$J:$J, 1), "")</f>
        <v/>
      </c>
    </row>
    <row r="222" spans="2:5" x14ac:dyDescent="0.2">
      <c r="B222" s="1"/>
      <c r="E222" s="38" t="str">
        <f>IFERROR(AVERAGEIFS('Picarro Output'!G:G, 'Picarro Output'!$B:$B, 'Uncalibrated Data'!$C222, 'Picarro Output'!$I:$I, 0, 'Picarro Output'!$J:$J, 1), "")</f>
        <v/>
      </c>
    </row>
    <row r="223" spans="2:5" x14ac:dyDescent="0.2">
      <c r="B223" s="1"/>
      <c r="E223" s="38" t="str">
        <f>IFERROR(AVERAGEIFS('Picarro Output'!G:G, 'Picarro Output'!$B:$B, 'Uncalibrated Data'!$C223, 'Picarro Output'!$I:$I, 0, 'Picarro Output'!$J:$J, 1), "")</f>
        <v/>
      </c>
    </row>
    <row r="224" spans="2:5" x14ac:dyDescent="0.2">
      <c r="B224" s="1"/>
      <c r="E224" s="38" t="str">
        <f>IFERROR(AVERAGEIFS('Picarro Output'!G:G, 'Picarro Output'!$B:$B, 'Uncalibrated Data'!$C224, 'Picarro Output'!$I:$I, 0, 'Picarro Output'!$J:$J, 1), "")</f>
        <v/>
      </c>
    </row>
    <row r="225" spans="2:5" x14ac:dyDescent="0.2">
      <c r="B225" s="1"/>
      <c r="E225" s="38" t="str">
        <f>IFERROR(AVERAGEIFS('Picarro Output'!G:G, 'Picarro Output'!$B:$B, 'Uncalibrated Data'!$C225, 'Picarro Output'!$I:$I, 0, 'Picarro Output'!$J:$J, 1), "")</f>
        <v/>
      </c>
    </row>
    <row r="226" spans="2:5" x14ac:dyDescent="0.2">
      <c r="B226" s="1"/>
      <c r="E226" s="38" t="str">
        <f>IFERROR(AVERAGEIFS('Picarro Output'!G:G, 'Picarro Output'!$B:$B, 'Uncalibrated Data'!$C226, 'Picarro Output'!$I:$I, 0, 'Picarro Output'!$J:$J, 1), "")</f>
        <v/>
      </c>
    </row>
    <row r="227" spans="2:5" x14ac:dyDescent="0.2">
      <c r="B227" s="1"/>
      <c r="E227" s="38" t="str">
        <f>IFERROR(AVERAGEIFS('Picarro Output'!G:G, 'Picarro Output'!$B:$B, 'Uncalibrated Data'!$C227, 'Picarro Output'!$I:$I, 0, 'Picarro Output'!$J:$J, 1), "")</f>
        <v/>
      </c>
    </row>
    <row r="228" spans="2:5" x14ac:dyDescent="0.2">
      <c r="B228" s="1"/>
      <c r="E228" s="38" t="str">
        <f>IFERROR(AVERAGEIFS('Picarro Output'!G:G, 'Picarro Output'!$B:$B, 'Uncalibrated Data'!$C228, 'Picarro Output'!$I:$I, 0, 'Picarro Output'!$J:$J, 1), "")</f>
        <v/>
      </c>
    </row>
    <row r="229" spans="2:5" x14ac:dyDescent="0.2">
      <c r="B229" s="1"/>
      <c r="E229" s="38" t="str">
        <f>IFERROR(AVERAGEIFS('Picarro Output'!G:G, 'Picarro Output'!$B:$B, 'Uncalibrated Data'!$C229, 'Picarro Output'!$I:$I, 0, 'Picarro Output'!$J:$J, 1), "")</f>
        <v/>
      </c>
    </row>
    <row r="230" spans="2:5" x14ac:dyDescent="0.2">
      <c r="B230" s="1"/>
      <c r="E230" s="38" t="str">
        <f>IFERROR(AVERAGEIFS('Picarro Output'!G:G, 'Picarro Output'!$B:$B, 'Uncalibrated Data'!$C230, 'Picarro Output'!$I:$I, 0, 'Picarro Output'!$J:$J, 1), "")</f>
        <v/>
      </c>
    </row>
    <row r="231" spans="2:5" x14ac:dyDescent="0.2">
      <c r="B231" s="1"/>
      <c r="E231" s="38" t="str">
        <f>IFERROR(AVERAGEIFS('Picarro Output'!G:G, 'Picarro Output'!$B:$B, 'Uncalibrated Data'!$C231, 'Picarro Output'!$I:$I, 0, 'Picarro Output'!$J:$J, 1), "")</f>
        <v/>
      </c>
    </row>
    <row r="232" spans="2:5" x14ac:dyDescent="0.2">
      <c r="B232" s="1"/>
      <c r="E232" s="38" t="str">
        <f>IFERROR(AVERAGEIFS('Picarro Output'!G:G, 'Picarro Output'!$B:$B, 'Uncalibrated Data'!$C232, 'Picarro Output'!$I:$I, 0, 'Picarro Output'!$J:$J, 1), "")</f>
        <v/>
      </c>
    </row>
    <row r="233" spans="2:5" x14ac:dyDescent="0.2">
      <c r="B233" s="1"/>
      <c r="E233" s="38" t="str">
        <f>IFERROR(AVERAGEIFS('Picarro Output'!G:G, 'Picarro Output'!$B:$B, 'Uncalibrated Data'!$C233, 'Picarro Output'!$I:$I, 0, 'Picarro Output'!$J:$J, 1), "")</f>
        <v/>
      </c>
    </row>
    <row r="234" spans="2:5" x14ac:dyDescent="0.2">
      <c r="B234" s="1"/>
      <c r="E234" s="38" t="str">
        <f>IFERROR(AVERAGEIFS('Picarro Output'!G:G, 'Picarro Output'!$B:$B, 'Uncalibrated Data'!$C234, 'Picarro Output'!$I:$I, 0, 'Picarro Output'!$J:$J, 1), "")</f>
        <v/>
      </c>
    </row>
    <row r="235" spans="2:5" x14ac:dyDescent="0.2">
      <c r="B235" s="1"/>
      <c r="E235" s="38" t="str">
        <f>IFERROR(AVERAGEIFS('Picarro Output'!G:G, 'Picarro Output'!$B:$B, 'Uncalibrated Data'!$C235, 'Picarro Output'!$I:$I, 0, 'Picarro Output'!$J:$J, 1), "")</f>
        <v/>
      </c>
    </row>
    <row r="236" spans="2:5" x14ac:dyDescent="0.2">
      <c r="B236" s="1"/>
      <c r="E236" s="38" t="str">
        <f>IFERROR(AVERAGEIFS('Picarro Output'!G:G, 'Picarro Output'!$B:$B, 'Uncalibrated Data'!$C236, 'Picarro Output'!$I:$I, 0, 'Picarro Output'!$J:$J, 1), "")</f>
        <v/>
      </c>
    </row>
    <row r="237" spans="2:5" x14ac:dyDescent="0.2">
      <c r="B237" s="1"/>
      <c r="E237" s="38" t="str">
        <f>IFERROR(AVERAGEIFS('Picarro Output'!G:G, 'Picarro Output'!$B:$B, 'Uncalibrated Data'!$C237, 'Picarro Output'!$I:$I, 0, 'Picarro Output'!$J:$J, 1), "")</f>
        <v/>
      </c>
    </row>
    <row r="238" spans="2:5" x14ac:dyDescent="0.2">
      <c r="B238" s="1"/>
      <c r="E238" s="38" t="str">
        <f>IFERROR(AVERAGEIFS('Picarro Output'!G:G, 'Picarro Output'!$B:$B, 'Uncalibrated Data'!$C238, 'Picarro Output'!$I:$I, 0, 'Picarro Output'!$J:$J, 1), "")</f>
        <v/>
      </c>
    </row>
    <row r="239" spans="2:5" x14ac:dyDescent="0.2">
      <c r="B239" s="1"/>
      <c r="E239" s="38" t="str">
        <f>IFERROR(AVERAGEIFS('Picarro Output'!G:G, 'Picarro Output'!$B:$B, 'Uncalibrated Data'!$C239, 'Picarro Output'!$I:$I, 0, 'Picarro Output'!$J:$J, 1), "")</f>
        <v/>
      </c>
    </row>
    <row r="240" spans="2:5" x14ac:dyDescent="0.2">
      <c r="B240" s="1"/>
      <c r="E240" s="38" t="str">
        <f>IFERROR(AVERAGEIFS('Picarro Output'!G:G, 'Picarro Output'!$B:$B, 'Uncalibrated Data'!$C240, 'Picarro Output'!$I:$I, 0, 'Picarro Output'!$J:$J, 1), "")</f>
        <v/>
      </c>
    </row>
    <row r="241" spans="2:5" x14ac:dyDescent="0.2">
      <c r="B241" s="1"/>
      <c r="E241" s="38" t="str">
        <f>IFERROR(AVERAGEIFS('Picarro Output'!G:G, 'Picarro Output'!$B:$B, 'Uncalibrated Data'!$C241, 'Picarro Output'!$I:$I, 0, 'Picarro Output'!$J:$J, 1), "")</f>
        <v/>
      </c>
    </row>
    <row r="242" spans="2:5" x14ac:dyDescent="0.2">
      <c r="B242" s="1"/>
      <c r="E242" s="38" t="str">
        <f>IFERROR(AVERAGEIFS('Picarro Output'!G:G, 'Picarro Output'!$B:$B, 'Uncalibrated Data'!$C242, 'Picarro Output'!$I:$I, 0, 'Picarro Output'!$J:$J, 1), "")</f>
        <v/>
      </c>
    </row>
    <row r="243" spans="2:5" x14ac:dyDescent="0.2">
      <c r="B243" s="1"/>
      <c r="E243" s="38" t="str">
        <f>IFERROR(AVERAGEIFS('Picarro Output'!G:G, 'Picarro Output'!$B:$B, 'Uncalibrated Data'!$C243, 'Picarro Output'!$I:$I, 0, 'Picarro Output'!$J:$J, 1), "")</f>
        <v/>
      </c>
    </row>
    <row r="244" spans="2:5" x14ac:dyDescent="0.2">
      <c r="B244" s="1"/>
      <c r="E244" s="38" t="str">
        <f>IFERROR(AVERAGEIFS('Picarro Output'!G:G, 'Picarro Output'!$B:$B, 'Uncalibrated Data'!$C244, 'Picarro Output'!$I:$I, 0, 'Picarro Output'!$J:$J, 1), "")</f>
        <v/>
      </c>
    </row>
    <row r="245" spans="2:5" x14ac:dyDescent="0.2">
      <c r="B245" s="1"/>
      <c r="E245" s="38" t="str">
        <f>IFERROR(AVERAGEIFS('Picarro Output'!G:G, 'Picarro Output'!$B:$B, 'Uncalibrated Data'!$C245, 'Picarro Output'!$I:$I, 0, 'Picarro Output'!$J:$J, 1), "")</f>
        <v/>
      </c>
    </row>
    <row r="246" spans="2:5" x14ac:dyDescent="0.2">
      <c r="B246" s="1"/>
      <c r="E246" s="38" t="str">
        <f>IFERROR(AVERAGEIFS('Picarro Output'!G:G, 'Picarro Output'!$B:$B, 'Uncalibrated Data'!$C246, 'Picarro Output'!$I:$I, 0, 'Picarro Output'!$J:$J, 1), "")</f>
        <v/>
      </c>
    </row>
    <row r="247" spans="2:5" x14ac:dyDescent="0.2">
      <c r="B247" s="1"/>
      <c r="E247" s="38" t="str">
        <f>IFERROR(AVERAGEIFS('Picarro Output'!G:G, 'Picarro Output'!$B:$B, 'Uncalibrated Data'!$C247, 'Picarro Output'!$I:$I, 0, 'Picarro Output'!$J:$J, 1), "")</f>
        <v/>
      </c>
    </row>
    <row r="248" spans="2:5" x14ac:dyDescent="0.2">
      <c r="B248" s="1"/>
      <c r="E248" s="38" t="str">
        <f>IFERROR(AVERAGEIFS('Picarro Output'!G:G, 'Picarro Output'!$B:$B, 'Uncalibrated Data'!$C248, 'Picarro Output'!$I:$I, 0, 'Picarro Output'!$J:$J, 1), "")</f>
        <v/>
      </c>
    </row>
    <row r="249" spans="2:5" x14ac:dyDescent="0.2">
      <c r="B249" s="1"/>
      <c r="E249" s="38" t="str">
        <f>IFERROR(AVERAGEIFS('Picarro Output'!G:G, 'Picarro Output'!$B:$B, 'Uncalibrated Data'!$C249, 'Picarro Output'!$I:$I, 0, 'Picarro Output'!$J:$J, 1), "")</f>
        <v/>
      </c>
    </row>
    <row r="250" spans="2:5" x14ac:dyDescent="0.2">
      <c r="B250" s="1"/>
      <c r="E250" s="38" t="str">
        <f>IFERROR(AVERAGEIFS('Picarro Output'!G:G, 'Picarro Output'!$B:$B, 'Uncalibrated Data'!$C250, 'Picarro Output'!$I:$I, 0, 'Picarro Output'!$J:$J, 1), "")</f>
        <v/>
      </c>
    </row>
    <row r="251" spans="2:5" x14ac:dyDescent="0.2">
      <c r="B251" s="1"/>
      <c r="E251" s="38" t="str">
        <f>IFERROR(AVERAGEIFS('Picarro Output'!G:G, 'Picarro Output'!$B:$B, 'Uncalibrated Data'!$C251, 'Picarro Output'!$I:$I, 0, 'Picarro Output'!$J:$J, 1), "")</f>
        <v/>
      </c>
    </row>
    <row r="252" spans="2:5" x14ac:dyDescent="0.2">
      <c r="B252" s="1"/>
      <c r="E252" s="38" t="str">
        <f>IFERROR(AVERAGEIFS('Picarro Output'!G:G, 'Picarro Output'!$B:$B, 'Uncalibrated Data'!$C252, 'Picarro Output'!$I:$I, 0, 'Picarro Output'!$J:$J, 1), "")</f>
        <v/>
      </c>
    </row>
    <row r="253" spans="2:5" x14ac:dyDescent="0.2">
      <c r="B253" s="1"/>
      <c r="E253" s="38" t="str">
        <f>IFERROR(AVERAGEIFS('Picarro Output'!G:G, 'Picarro Output'!$B:$B, 'Uncalibrated Data'!$C253, 'Picarro Output'!$I:$I, 0, 'Picarro Output'!$J:$J, 1), "")</f>
        <v/>
      </c>
    </row>
    <row r="254" spans="2:5" x14ac:dyDescent="0.2">
      <c r="B254" s="1"/>
      <c r="E254" s="38" t="str">
        <f>IFERROR(AVERAGEIFS('Picarro Output'!G:G, 'Picarro Output'!$B:$B, 'Uncalibrated Data'!$C254, 'Picarro Output'!$I:$I, 0, 'Picarro Output'!$J:$J, 1), "")</f>
        <v/>
      </c>
    </row>
    <row r="255" spans="2:5" x14ac:dyDescent="0.2">
      <c r="B255" s="1"/>
      <c r="E255" s="38" t="str">
        <f>IFERROR(AVERAGEIFS('Picarro Output'!G:G, 'Picarro Output'!$B:$B, 'Uncalibrated Data'!$C255, 'Picarro Output'!$I:$I, 0, 'Picarro Output'!$J:$J, 1), "")</f>
        <v/>
      </c>
    </row>
    <row r="256" spans="2:5" x14ac:dyDescent="0.2">
      <c r="B256" s="1"/>
      <c r="E256" s="38" t="str">
        <f>IFERROR(AVERAGEIFS('Picarro Output'!G:G, 'Picarro Output'!$B:$B, 'Uncalibrated Data'!$C256, 'Picarro Output'!$I:$I, 0, 'Picarro Output'!$J:$J, 1), "")</f>
        <v/>
      </c>
    </row>
    <row r="257" spans="2:5" x14ac:dyDescent="0.2">
      <c r="B257" s="1"/>
      <c r="E257" s="38" t="str">
        <f>IFERROR(AVERAGEIFS('Picarro Output'!G:G, 'Picarro Output'!$B:$B, 'Uncalibrated Data'!$C257, 'Picarro Output'!$I:$I, 0, 'Picarro Output'!$J:$J, 1), "")</f>
        <v/>
      </c>
    </row>
    <row r="258" spans="2:5" x14ac:dyDescent="0.2">
      <c r="B258" s="1"/>
      <c r="E258" s="38" t="str">
        <f>IFERROR(AVERAGEIFS('Picarro Output'!G:G, 'Picarro Output'!$B:$B, 'Uncalibrated Data'!$C258, 'Picarro Output'!$I:$I, 0, 'Picarro Output'!$J:$J, 1), "")</f>
        <v/>
      </c>
    </row>
    <row r="259" spans="2:5" x14ac:dyDescent="0.2">
      <c r="B259" s="1"/>
      <c r="E259" s="38" t="str">
        <f>IFERROR(AVERAGEIFS('Picarro Output'!G:G, 'Picarro Output'!$B:$B, 'Uncalibrated Data'!$C259, 'Picarro Output'!$I:$I, 0, 'Picarro Output'!$J:$J, 1), "")</f>
        <v/>
      </c>
    </row>
    <row r="260" spans="2:5" x14ac:dyDescent="0.2">
      <c r="B260" s="1"/>
      <c r="E260" s="38" t="str">
        <f>IFERROR(AVERAGEIFS('Picarro Output'!G:G, 'Picarro Output'!$B:$B, 'Uncalibrated Data'!$C260, 'Picarro Output'!$I:$I, 0, 'Picarro Output'!$J:$J, 1), "")</f>
        <v/>
      </c>
    </row>
    <row r="261" spans="2:5" x14ac:dyDescent="0.2">
      <c r="B261" s="1"/>
      <c r="E261" s="38" t="str">
        <f>IFERROR(AVERAGEIFS('Picarro Output'!G:G, 'Picarro Output'!$B:$B, 'Uncalibrated Data'!$C261, 'Picarro Output'!$I:$I, 0, 'Picarro Output'!$J:$J, 1), "")</f>
        <v/>
      </c>
    </row>
    <row r="262" spans="2:5" x14ac:dyDescent="0.2">
      <c r="B262" s="1"/>
      <c r="E262" s="38" t="str">
        <f>IFERROR(AVERAGEIFS('Picarro Output'!G:G, 'Picarro Output'!$B:$B, 'Uncalibrated Data'!$C262, 'Picarro Output'!$I:$I, 0, 'Picarro Output'!$J:$J, 1), "")</f>
        <v/>
      </c>
    </row>
    <row r="263" spans="2:5" x14ac:dyDescent="0.2">
      <c r="B263" s="1"/>
      <c r="E263" s="38" t="str">
        <f>IFERROR(AVERAGEIFS('Picarro Output'!G:G, 'Picarro Output'!$B:$B, 'Uncalibrated Data'!$C263, 'Picarro Output'!$I:$I, 0, 'Picarro Output'!$J:$J, 1), "")</f>
        <v/>
      </c>
    </row>
    <row r="264" spans="2:5" x14ac:dyDescent="0.2">
      <c r="B264" s="1"/>
      <c r="E264" s="38" t="str">
        <f>IFERROR(AVERAGEIFS('Picarro Output'!G:G, 'Picarro Output'!$B:$B, 'Uncalibrated Data'!$C264, 'Picarro Output'!$I:$I, 0, 'Picarro Output'!$J:$J, 1), "")</f>
        <v/>
      </c>
    </row>
    <row r="265" spans="2:5" x14ac:dyDescent="0.2">
      <c r="B265" s="1"/>
      <c r="E265" s="38" t="str">
        <f>IFERROR(AVERAGEIFS('Picarro Output'!G:G, 'Picarro Output'!$B:$B, 'Uncalibrated Data'!$C265, 'Picarro Output'!$I:$I, 0, 'Picarro Output'!$J:$J, 1), "")</f>
        <v/>
      </c>
    </row>
    <row r="266" spans="2:5" x14ac:dyDescent="0.2">
      <c r="B266" s="1"/>
      <c r="E266" s="38" t="str">
        <f>IFERROR(AVERAGEIFS('Picarro Output'!G:G, 'Picarro Output'!$B:$B, 'Uncalibrated Data'!$C266, 'Picarro Output'!$I:$I, 0, 'Picarro Output'!$J:$J, 1), "")</f>
        <v/>
      </c>
    </row>
    <row r="267" spans="2:5" x14ac:dyDescent="0.2">
      <c r="B267" s="1"/>
      <c r="E267" s="38" t="str">
        <f>IFERROR(AVERAGEIFS('Picarro Output'!G:G, 'Picarro Output'!$B:$B, 'Uncalibrated Data'!$C267, 'Picarro Output'!$I:$I, 0, 'Picarro Output'!$J:$J, 1), "")</f>
        <v/>
      </c>
    </row>
    <row r="268" spans="2:5" x14ac:dyDescent="0.2">
      <c r="B268" s="1"/>
      <c r="E268" s="38" t="str">
        <f>IFERROR(AVERAGEIFS('Picarro Output'!G:G, 'Picarro Output'!$B:$B, 'Uncalibrated Data'!$C268, 'Picarro Output'!$I:$I, 0, 'Picarro Output'!$J:$J, 1), "")</f>
        <v/>
      </c>
    </row>
    <row r="269" spans="2:5" x14ac:dyDescent="0.2">
      <c r="B269" s="1"/>
      <c r="E269" s="38" t="str">
        <f>IFERROR(AVERAGEIFS('Picarro Output'!G:G, 'Picarro Output'!$B:$B, 'Uncalibrated Data'!$C269, 'Picarro Output'!$I:$I, 0, 'Picarro Output'!$J:$J, 1), "")</f>
        <v/>
      </c>
    </row>
    <row r="270" spans="2:5" x14ac:dyDescent="0.2">
      <c r="B270" s="1"/>
      <c r="E270" s="38" t="str">
        <f>IFERROR(AVERAGEIFS('Picarro Output'!G:G, 'Picarro Output'!$B:$B, 'Uncalibrated Data'!$C270, 'Picarro Output'!$I:$I, 0, 'Picarro Output'!$J:$J, 1), "")</f>
        <v/>
      </c>
    </row>
    <row r="271" spans="2:5" x14ac:dyDescent="0.2">
      <c r="B271" s="1"/>
      <c r="E271" s="38" t="str">
        <f>IFERROR(AVERAGEIFS('Picarro Output'!G:G, 'Picarro Output'!$B:$B, 'Uncalibrated Data'!$C271, 'Picarro Output'!$I:$I, 0, 'Picarro Output'!$J:$J, 1), "")</f>
        <v/>
      </c>
    </row>
    <row r="272" spans="2:5" x14ac:dyDescent="0.2">
      <c r="B272" s="1"/>
      <c r="E272" s="38" t="str">
        <f>IFERROR(AVERAGEIFS('Picarro Output'!G:G, 'Picarro Output'!$B:$B, 'Uncalibrated Data'!$C272, 'Picarro Output'!$I:$I, 0, 'Picarro Output'!$J:$J, 1), "")</f>
        <v/>
      </c>
    </row>
    <row r="273" spans="2:5" x14ac:dyDescent="0.2">
      <c r="B273" s="1"/>
      <c r="E273" s="38" t="str">
        <f>IFERROR(AVERAGEIFS('Picarro Output'!G:G, 'Picarro Output'!$B:$B, 'Uncalibrated Data'!$C273, 'Picarro Output'!$I:$I, 0, 'Picarro Output'!$J:$J, 1), "")</f>
        <v/>
      </c>
    </row>
    <row r="274" spans="2:5" x14ac:dyDescent="0.2">
      <c r="B274" s="1"/>
      <c r="E274" s="38" t="str">
        <f>IFERROR(AVERAGEIFS('Picarro Output'!G:G, 'Picarro Output'!$B:$B, 'Uncalibrated Data'!$C274, 'Picarro Output'!$I:$I, 0, 'Picarro Output'!$J:$J, 1), "")</f>
        <v/>
      </c>
    </row>
    <row r="275" spans="2:5" x14ac:dyDescent="0.2">
      <c r="B275" s="1"/>
      <c r="E275" s="38" t="str">
        <f>IFERROR(AVERAGEIFS('Picarro Output'!G:G, 'Picarro Output'!$B:$B, 'Uncalibrated Data'!$C275, 'Picarro Output'!$I:$I, 0, 'Picarro Output'!$J:$J, 1), "")</f>
        <v/>
      </c>
    </row>
    <row r="276" spans="2:5" x14ac:dyDescent="0.2">
      <c r="B276" s="1"/>
      <c r="E276" s="38" t="str">
        <f>IFERROR(AVERAGEIFS('Picarro Output'!G:G, 'Picarro Output'!$B:$B, 'Uncalibrated Data'!$C276, 'Picarro Output'!$I:$I, 0, 'Picarro Output'!$J:$J, 1), "")</f>
        <v/>
      </c>
    </row>
    <row r="277" spans="2:5" x14ac:dyDescent="0.2">
      <c r="B277" s="1"/>
      <c r="E277" s="38" t="str">
        <f>IFERROR(AVERAGEIFS('Picarro Output'!G:G, 'Picarro Output'!$B:$B, 'Uncalibrated Data'!$C277, 'Picarro Output'!$I:$I, 0, 'Picarro Output'!$J:$J, 1), "")</f>
        <v/>
      </c>
    </row>
    <row r="278" spans="2:5" x14ac:dyDescent="0.2">
      <c r="B278" s="1"/>
      <c r="E278" s="38" t="str">
        <f>IFERROR(AVERAGEIFS('Picarro Output'!G:G, 'Picarro Output'!$B:$B, 'Uncalibrated Data'!$C278, 'Picarro Output'!$I:$I, 0, 'Picarro Output'!$J:$J, 1), "")</f>
        <v/>
      </c>
    </row>
    <row r="279" spans="2:5" x14ac:dyDescent="0.2">
      <c r="B279" s="1"/>
      <c r="E279" s="38" t="str">
        <f>IFERROR(AVERAGEIFS('Picarro Output'!G:G, 'Picarro Output'!$B:$B, 'Uncalibrated Data'!$C279, 'Picarro Output'!$I:$I, 0, 'Picarro Output'!$J:$J, 1), "")</f>
        <v/>
      </c>
    </row>
    <row r="280" spans="2:5" x14ac:dyDescent="0.2">
      <c r="B280" s="1"/>
      <c r="E280" s="38" t="str">
        <f>IFERROR(AVERAGEIFS('Picarro Output'!G:G, 'Picarro Output'!$B:$B, 'Uncalibrated Data'!$C280, 'Picarro Output'!$I:$I, 0, 'Picarro Output'!$J:$J, 1), "")</f>
        <v/>
      </c>
    </row>
    <row r="281" spans="2:5" x14ac:dyDescent="0.2">
      <c r="B281" s="1"/>
      <c r="E281" s="38" t="str">
        <f>IFERROR(AVERAGEIFS('Picarro Output'!G:G, 'Picarro Output'!$B:$B, 'Uncalibrated Data'!$C281, 'Picarro Output'!$I:$I, 0, 'Picarro Output'!$J:$J, 1), "")</f>
        <v/>
      </c>
    </row>
    <row r="282" spans="2:5" x14ac:dyDescent="0.2">
      <c r="B282" s="1"/>
      <c r="E282" s="38" t="str">
        <f>IFERROR(AVERAGEIFS('Picarro Output'!G:G, 'Picarro Output'!$B:$B, 'Uncalibrated Data'!$C282, 'Picarro Output'!$I:$I, 0, 'Picarro Output'!$J:$J, 1), "")</f>
        <v/>
      </c>
    </row>
    <row r="283" spans="2:5" x14ac:dyDescent="0.2">
      <c r="B283" s="1"/>
      <c r="E283" s="38" t="str">
        <f>IFERROR(AVERAGEIFS('Picarro Output'!G:G, 'Picarro Output'!$B:$B, 'Uncalibrated Data'!$C283, 'Picarro Output'!$I:$I, 0, 'Picarro Output'!$J:$J, 1), "")</f>
        <v/>
      </c>
    </row>
    <row r="284" spans="2:5" x14ac:dyDescent="0.2">
      <c r="B284" s="1"/>
      <c r="E284" s="38" t="str">
        <f>IFERROR(AVERAGEIFS('Picarro Output'!G:G, 'Picarro Output'!$B:$B, 'Uncalibrated Data'!$C284, 'Picarro Output'!$I:$I, 0, 'Picarro Output'!$J:$J, 1), "")</f>
        <v/>
      </c>
    </row>
    <row r="285" spans="2:5" x14ac:dyDescent="0.2">
      <c r="B285" s="1"/>
      <c r="E285" s="38" t="str">
        <f>IFERROR(AVERAGEIFS('Picarro Output'!G:G, 'Picarro Output'!$B:$B, 'Uncalibrated Data'!$C285, 'Picarro Output'!$I:$I, 0, 'Picarro Output'!$J:$J, 1), "")</f>
        <v/>
      </c>
    </row>
    <row r="286" spans="2:5" x14ac:dyDescent="0.2">
      <c r="B286" s="1"/>
      <c r="E286" s="38" t="str">
        <f>IFERROR(AVERAGEIFS('Picarro Output'!G:G, 'Picarro Output'!$B:$B, 'Uncalibrated Data'!$C286, 'Picarro Output'!$I:$I, 0, 'Picarro Output'!$J:$J, 1), "")</f>
        <v/>
      </c>
    </row>
    <row r="287" spans="2:5" x14ac:dyDescent="0.2">
      <c r="B287" s="1"/>
      <c r="E287" s="38" t="str">
        <f>IFERROR(AVERAGEIFS('Picarro Output'!G:G, 'Picarro Output'!$B:$B, 'Uncalibrated Data'!$C287, 'Picarro Output'!$I:$I, 0, 'Picarro Output'!$J:$J, 1), "")</f>
        <v/>
      </c>
    </row>
    <row r="288" spans="2:5" x14ac:dyDescent="0.2">
      <c r="B288" s="1"/>
      <c r="E288" s="38" t="str">
        <f>IFERROR(AVERAGEIFS('Picarro Output'!G:G, 'Picarro Output'!$B:$B, 'Uncalibrated Data'!$C288, 'Picarro Output'!$I:$I, 0, 'Picarro Output'!$J:$J, 1), "")</f>
        <v/>
      </c>
    </row>
    <row r="289" spans="2:5" x14ac:dyDescent="0.2">
      <c r="B289" s="1"/>
      <c r="E289" s="38" t="str">
        <f>IFERROR(AVERAGEIFS('Picarro Output'!G:G, 'Picarro Output'!$B:$B, 'Uncalibrated Data'!$C289, 'Picarro Output'!$I:$I, 0, 'Picarro Output'!$J:$J, 1), "")</f>
        <v/>
      </c>
    </row>
    <row r="290" spans="2:5" x14ac:dyDescent="0.2">
      <c r="B290" s="1"/>
      <c r="E290" s="38" t="str">
        <f>IFERROR(AVERAGEIFS('Picarro Output'!G:G, 'Picarro Output'!$B:$B, 'Uncalibrated Data'!$C290, 'Picarro Output'!$I:$I, 0, 'Picarro Output'!$J:$J, 1), "")</f>
        <v/>
      </c>
    </row>
    <row r="291" spans="2:5" x14ac:dyDescent="0.2">
      <c r="B291" s="1"/>
      <c r="E291" s="38" t="str">
        <f>IFERROR(AVERAGEIFS('Picarro Output'!G:G, 'Picarro Output'!$B:$B, 'Uncalibrated Data'!$C291, 'Picarro Output'!$I:$I, 0, 'Picarro Output'!$J:$J, 1), "")</f>
        <v/>
      </c>
    </row>
    <row r="292" spans="2:5" x14ac:dyDescent="0.2">
      <c r="B292" s="1"/>
      <c r="E292" s="38" t="str">
        <f>IFERROR(AVERAGEIFS('Picarro Output'!G:G, 'Picarro Output'!$B:$B, 'Uncalibrated Data'!$C292, 'Picarro Output'!$I:$I, 0, 'Picarro Output'!$J:$J, 1), "")</f>
        <v/>
      </c>
    </row>
    <row r="293" spans="2:5" x14ac:dyDescent="0.2">
      <c r="B293" s="1"/>
      <c r="E293" s="38" t="str">
        <f>IFERROR(AVERAGEIFS('Picarro Output'!G:G, 'Picarro Output'!$B:$B, 'Uncalibrated Data'!$C293, 'Picarro Output'!$I:$I, 0, 'Picarro Output'!$J:$J, 1), "")</f>
        <v/>
      </c>
    </row>
    <row r="294" spans="2:5" x14ac:dyDescent="0.2">
      <c r="B294" s="1"/>
      <c r="E294" s="38" t="str">
        <f>IFERROR(AVERAGEIFS('Picarro Output'!G:G, 'Picarro Output'!$B:$B, 'Uncalibrated Data'!$C294, 'Picarro Output'!$I:$I, 0, 'Picarro Output'!$J:$J, 1), "")</f>
        <v/>
      </c>
    </row>
    <row r="295" spans="2:5" x14ac:dyDescent="0.2">
      <c r="B295" s="1"/>
      <c r="E295" s="38" t="str">
        <f>IFERROR(AVERAGEIFS('Picarro Output'!G:G, 'Picarro Output'!$B:$B, 'Uncalibrated Data'!$C295, 'Picarro Output'!$I:$I, 0, 'Picarro Output'!$J:$J, 1), "")</f>
        <v/>
      </c>
    </row>
    <row r="296" spans="2:5" x14ac:dyDescent="0.2">
      <c r="B296" s="1"/>
      <c r="E296" s="38" t="str">
        <f>IFERROR(AVERAGEIFS('Picarro Output'!G:G, 'Picarro Output'!$B:$B, 'Uncalibrated Data'!$C296, 'Picarro Output'!$I:$I, 0, 'Picarro Output'!$J:$J, 1), "")</f>
        <v/>
      </c>
    </row>
    <row r="297" spans="2:5" x14ac:dyDescent="0.2">
      <c r="B297" s="1"/>
      <c r="E297" s="38" t="str">
        <f>IFERROR(AVERAGEIFS('Picarro Output'!G:G, 'Picarro Output'!$B:$B, 'Uncalibrated Data'!$C297, 'Picarro Output'!$I:$I, 0, 'Picarro Output'!$J:$J, 1), "")</f>
        <v/>
      </c>
    </row>
    <row r="298" spans="2:5" x14ac:dyDescent="0.2">
      <c r="B298" s="1"/>
      <c r="E298" s="38" t="str">
        <f>IFERROR(AVERAGEIFS('Picarro Output'!G:G, 'Picarro Output'!$B:$B, 'Uncalibrated Data'!$C298, 'Picarro Output'!$I:$I, 0, 'Picarro Output'!$J:$J, 1), "")</f>
        <v/>
      </c>
    </row>
    <row r="299" spans="2:5" x14ac:dyDescent="0.2">
      <c r="B299" s="1"/>
      <c r="E299" s="38" t="str">
        <f>IFERROR(AVERAGEIFS('Picarro Output'!G:G, 'Picarro Output'!$B:$B, 'Uncalibrated Data'!$C299, 'Picarro Output'!$I:$I, 0, 'Picarro Output'!$J:$J, 1), "")</f>
        <v/>
      </c>
    </row>
    <row r="300" spans="2:5" x14ac:dyDescent="0.2">
      <c r="B300" s="1"/>
      <c r="E300" s="38" t="str">
        <f>IFERROR(AVERAGEIFS('Picarro Output'!G:G, 'Picarro Output'!$B:$B, 'Uncalibrated Data'!$C300, 'Picarro Output'!$I:$I, 0, 'Picarro Output'!$J:$J, 1), "")</f>
        <v/>
      </c>
    </row>
    <row r="301" spans="2:5" x14ac:dyDescent="0.2">
      <c r="B301" s="1"/>
      <c r="E301" s="38" t="str">
        <f>IFERROR(AVERAGEIFS('Picarro Output'!G:G, 'Picarro Output'!$B:$B, 'Uncalibrated Data'!$C301, 'Picarro Output'!$I:$I, 0, 'Picarro Output'!$J:$J, 1), "")</f>
        <v/>
      </c>
    </row>
    <row r="302" spans="2:5" x14ac:dyDescent="0.2">
      <c r="B302" s="1"/>
      <c r="E302" s="38" t="str">
        <f>IFERROR(AVERAGEIFS('Picarro Output'!G:G, 'Picarro Output'!$B:$B, 'Uncalibrated Data'!$C302, 'Picarro Output'!$I:$I, 0, 'Picarro Output'!$J:$J, 1), "")</f>
        <v/>
      </c>
    </row>
    <row r="303" spans="2:5" x14ac:dyDescent="0.2">
      <c r="B303" s="1"/>
      <c r="E303" s="38" t="str">
        <f>IFERROR(AVERAGEIFS('Picarro Output'!G:G, 'Picarro Output'!$B:$B, 'Uncalibrated Data'!$C303, 'Picarro Output'!$I:$I, 0, 'Picarro Output'!$J:$J, 1), "")</f>
        <v/>
      </c>
    </row>
    <row r="304" spans="2:5" x14ac:dyDescent="0.2">
      <c r="B304" s="1"/>
      <c r="E304" s="38" t="str">
        <f>IFERROR(AVERAGEIFS('Picarro Output'!G:G, 'Picarro Output'!$B:$B, 'Uncalibrated Data'!$C304, 'Picarro Output'!$I:$I, 0, 'Picarro Output'!$J:$J, 1), "")</f>
        <v/>
      </c>
    </row>
    <row r="305" spans="2:5" x14ac:dyDescent="0.2">
      <c r="B305" s="1"/>
      <c r="E305" s="38" t="str">
        <f>IFERROR(AVERAGEIFS('Picarro Output'!G:G, 'Picarro Output'!$B:$B, 'Uncalibrated Data'!$C305, 'Picarro Output'!$I:$I, 0, 'Picarro Output'!$J:$J, 1), "")</f>
        <v/>
      </c>
    </row>
    <row r="306" spans="2:5" x14ac:dyDescent="0.2">
      <c r="B306" s="1"/>
      <c r="E306" s="38" t="str">
        <f>IFERROR(AVERAGEIFS('Picarro Output'!G:G, 'Picarro Output'!$B:$B, 'Uncalibrated Data'!$C306, 'Picarro Output'!$I:$I, 0, 'Picarro Output'!$J:$J, 1), "")</f>
        <v/>
      </c>
    </row>
    <row r="307" spans="2:5" x14ac:dyDescent="0.2">
      <c r="B307" s="1"/>
      <c r="E307" s="38" t="str">
        <f>IFERROR(AVERAGEIFS('Picarro Output'!G:G, 'Picarro Output'!$B:$B, 'Uncalibrated Data'!$C307, 'Picarro Output'!$I:$I, 0, 'Picarro Output'!$J:$J, 1), "")</f>
        <v/>
      </c>
    </row>
    <row r="308" spans="2:5" x14ac:dyDescent="0.2">
      <c r="B308" s="1"/>
      <c r="E308" s="38" t="str">
        <f>IFERROR(AVERAGEIFS('Picarro Output'!G:G, 'Picarro Output'!$B:$B, 'Uncalibrated Data'!$C308, 'Picarro Output'!$I:$I, 0, 'Picarro Output'!$J:$J, 1), "")</f>
        <v/>
      </c>
    </row>
    <row r="309" spans="2:5" x14ac:dyDescent="0.2">
      <c r="B309" s="1"/>
      <c r="E309" s="38" t="str">
        <f>IFERROR(AVERAGEIFS('Picarro Output'!G:G, 'Picarro Output'!$B:$B, 'Uncalibrated Data'!$C309, 'Picarro Output'!$I:$I, 0, 'Picarro Output'!$J:$J, 1), "")</f>
        <v/>
      </c>
    </row>
    <row r="310" spans="2:5" x14ac:dyDescent="0.2">
      <c r="B310" s="1"/>
      <c r="E310" s="38" t="str">
        <f>IFERROR(AVERAGEIFS('Picarro Output'!G:G, 'Picarro Output'!$B:$B, 'Uncalibrated Data'!$C310, 'Picarro Output'!$I:$I, 0, 'Picarro Output'!$J:$J, 1), "")</f>
        <v/>
      </c>
    </row>
    <row r="311" spans="2:5" x14ac:dyDescent="0.2">
      <c r="B311" s="1"/>
      <c r="E311" s="38" t="str">
        <f>IFERROR(AVERAGEIFS('Picarro Output'!G:G, 'Picarro Output'!$B:$B, 'Uncalibrated Data'!$C311, 'Picarro Output'!$I:$I, 0, 'Picarro Output'!$J:$J, 1), "")</f>
        <v/>
      </c>
    </row>
    <row r="312" spans="2:5" x14ac:dyDescent="0.2">
      <c r="B312" s="1"/>
      <c r="E312" s="38" t="str">
        <f>IFERROR(AVERAGEIFS('Picarro Output'!G:G, 'Picarro Output'!$B:$B, 'Uncalibrated Data'!$C312, 'Picarro Output'!$I:$I, 0, 'Picarro Output'!$J:$J, 1), "")</f>
        <v/>
      </c>
    </row>
    <row r="313" spans="2:5" x14ac:dyDescent="0.2">
      <c r="B313" s="1"/>
      <c r="E313" s="38" t="str">
        <f>IFERROR(AVERAGEIFS('Picarro Output'!G:G, 'Picarro Output'!$B:$B, 'Uncalibrated Data'!$C313, 'Picarro Output'!$I:$I, 0, 'Picarro Output'!$J:$J, 1), "")</f>
        <v/>
      </c>
    </row>
    <row r="314" spans="2:5" x14ac:dyDescent="0.2">
      <c r="B314" s="1"/>
      <c r="E314" s="38" t="str">
        <f>IFERROR(AVERAGEIFS('Picarro Output'!G:G, 'Picarro Output'!$B:$B, 'Uncalibrated Data'!$C314, 'Picarro Output'!$I:$I, 0, 'Picarro Output'!$J:$J, 1), "")</f>
        <v/>
      </c>
    </row>
    <row r="315" spans="2:5" x14ac:dyDescent="0.2">
      <c r="B315" s="1"/>
      <c r="E315" s="38" t="str">
        <f>IFERROR(AVERAGEIFS('Picarro Output'!G:G, 'Picarro Output'!$B:$B, 'Uncalibrated Data'!$C315, 'Picarro Output'!$I:$I, 0, 'Picarro Output'!$J:$J, 1), "")</f>
        <v/>
      </c>
    </row>
    <row r="316" spans="2:5" x14ac:dyDescent="0.2">
      <c r="B316" s="1"/>
      <c r="E316" s="38" t="str">
        <f>IFERROR(AVERAGEIFS('Picarro Output'!G:G, 'Picarro Output'!$B:$B, 'Uncalibrated Data'!$C316, 'Picarro Output'!$I:$I, 0, 'Picarro Output'!$J:$J, 1), "")</f>
        <v/>
      </c>
    </row>
    <row r="317" spans="2:5" x14ac:dyDescent="0.2">
      <c r="B317" s="1"/>
      <c r="E317" s="38" t="str">
        <f>IFERROR(AVERAGEIFS('Picarro Output'!G:G, 'Picarro Output'!$B:$B, 'Uncalibrated Data'!$C317, 'Picarro Output'!$I:$I, 0, 'Picarro Output'!$J:$J, 1), "")</f>
        <v/>
      </c>
    </row>
    <row r="318" spans="2:5" x14ac:dyDescent="0.2">
      <c r="B318" s="1"/>
      <c r="E318" s="38" t="str">
        <f>IFERROR(AVERAGEIFS('Picarro Output'!G:G, 'Picarro Output'!$B:$B, 'Uncalibrated Data'!$C318, 'Picarro Output'!$I:$I, 0, 'Picarro Output'!$J:$J, 1), "")</f>
        <v/>
      </c>
    </row>
    <row r="319" spans="2:5" x14ac:dyDescent="0.2">
      <c r="B319" s="1"/>
      <c r="E319" s="38" t="str">
        <f>IFERROR(AVERAGEIFS('Picarro Output'!G:G, 'Picarro Output'!$B:$B, 'Uncalibrated Data'!$C319, 'Picarro Output'!$I:$I, 0, 'Picarro Output'!$J:$J, 1), "")</f>
        <v/>
      </c>
    </row>
    <row r="320" spans="2:5" x14ac:dyDescent="0.2">
      <c r="B320" s="1"/>
      <c r="E320" s="38" t="str">
        <f>IFERROR(AVERAGEIFS('Picarro Output'!G:G, 'Picarro Output'!$B:$B, 'Uncalibrated Data'!$C320, 'Picarro Output'!$I:$I, 0, 'Picarro Output'!$J:$J, 1), "")</f>
        <v/>
      </c>
    </row>
    <row r="321" spans="2:5" x14ac:dyDescent="0.2">
      <c r="B321" s="1"/>
      <c r="E321" s="38" t="str">
        <f>IFERROR(AVERAGEIFS('Picarro Output'!G:G, 'Picarro Output'!$B:$B, 'Uncalibrated Data'!$C321, 'Picarro Output'!$I:$I, 0, 'Picarro Output'!$J:$J, 1), "")</f>
        <v/>
      </c>
    </row>
    <row r="322" spans="2:5" x14ac:dyDescent="0.2">
      <c r="B322" s="1"/>
      <c r="E322" s="38" t="str">
        <f>IFERROR(AVERAGEIFS('Picarro Output'!G:G, 'Picarro Output'!$B:$B, 'Uncalibrated Data'!$C322, 'Picarro Output'!$I:$I, 0, 'Picarro Output'!$J:$J, 1), "")</f>
        <v/>
      </c>
    </row>
    <row r="323" spans="2:5" x14ac:dyDescent="0.2">
      <c r="B323" s="1"/>
      <c r="E323" s="38" t="str">
        <f>IFERROR(AVERAGEIFS('Picarro Output'!G:G, 'Picarro Output'!$B:$B, 'Uncalibrated Data'!$C323, 'Picarro Output'!$I:$I, 0, 'Picarro Output'!$J:$J, 1), "")</f>
        <v/>
      </c>
    </row>
    <row r="324" spans="2:5" x14ac:dyDescent="0.2">
      <c r="B324" s="1"/>
      <c r="E324" s="38" t="str">
        <f>IFERROR(AVERAGEIFS('Picarro Output'!G:G, 'Picarro Output'!$B:$B, 'Uncalibrated Data'!$C324, 'Picarro Output'!$I:$I, 0, 'Picarro Output'!$J:$J, 1), "")</f>
        <v/>
      </c>
    </row>
    <row r="325" spans="2:5" x14ac:dyDescent="0.2">
      <c r="B325" s="1"/>
      <c r="E325" s="38" t="str">
        <f>IFERROR(AVERAGEIFS('Picarro Output'!G:G, 'Picarro Output'!$B:$B, 'Uncalibrated Data'!$C325, 'Picarro Output'!$I:$I, 0, 'Picarro Output'!$J:$J, 1), "")</f>
        <v/>
      </c>
    </row>
    <row r="326" spans="2:5" x14ac:dyDescent="0.2">
      <c r="B326" s="1"/>
      <c r="E326" s="38" t="str">
        <f>IFERROR(AVERAGEIFS('Picarro Output'!G:G, 'Picarro Output'!$B:$B, 'Uncalibrated Data'!$C326, 'Picarro Output'!$I:$I, 0, 'Picarro Output'!$J:$J, 1), "")</f>
        <v/>
      </c>
    </row>
    <row r="327" spans="2:5" x14ac:dyDescent="0.2">
      <c r="B327" s="1"/>
      <c r="E327" s="38" t="str">
        <f>IFERROR(AVERAGEIFS('Picarro Output'!G:G, 'Picarro Output'!$B:$B, 'Uncalibrated Data'!$C327, 'Picarro Output'!$I:$I, 0, 'Picarro Output'!$J:$J, 1), "")</f>
        <v/>
      </c>
    </row>
    <row r="328" spans="2:5" x14ac:dyDescent="0.2">
      <c r="B328" s="1"/>
      <c r="E328" s="38" t="str">
        <f>IFERROR(AVERAGEIFS('Picarro Output'!G:G, 'Picarro Output'!$B:$B, 'Uncalibrated Data'!$C328, 'Picarro Output'!$I:$I, 0, 'Picarro Output'!$J:$J, 1), "")</f>
        <v/>
      </c>
    </row>
    <row r="329" spans="2:5" x14ac:dyDescent="0.2">
      <c r="B329" s="1"/>
      <c r="E329" s="38" t="str">
        <f>IFERROR(AVERAGEIFS('Picarro Output'!G:G, 'Picarro Output'!$B:$B, 'Uncalibrated Data'!$C329, 'Picarro Output'!$I:$I, 0, 'Picarro Output'!$J:$J, 1), "")</f>
        <v/>
      </c>
    </row>
    <row r="330" spans="2:5" x14ac:dyDescent="0.2">
      <c r="B330" s="1"/>
      <c r="E330" s="38" t="str">
        <f>IFERROR(AVERAGEIFS('Picarro Output'!G:G, 'Picarro Output'!$B:$B, 'Uncalibrated Data'!$C330, 'Picarro Output'!$I:$I, 0, 'Picarro Output'!$J:$J, 1), "")</f>
        <v/>
      </c>
    </row>
    <row r="331" spans="2:5" x14ac:dyDescent="0.2">
      <c r="B331" s="1"/>
      <c r="E331" s="38" t="str">
        <f>IFERROR(AVERAGEIFS('Picarro Output'!G:G, 'Picarro Output'!$B:$B, 'Uncalibrated Data'!$C331, 'Picarro Output'!$I:$I, 0, 'Picarro Output'!$J:$J, 1), "")</f>
        <v/>
      </c>
    </row>
    <row r="332" spans="2:5" x14ac:dyDescent="0.2">
      <c r="B332" s="1"/>
      <c r="E332" s="38" t="str">
        <f>IFERROR(AVERAGEIFS('Picarro Output'!G:G, 'Picarro Output'!$B:$B, 'Uncalibrated Data'!$C332, 'Picarro Output'!$I:$I, 0, 'Picarro Output'!$J:$J, 1), "")</f>
        <v/>
      </c>
    </row>
    <row r="333" spans="2:5" x14ac:dyDescent="0.2">
      <c r="B333" s="1"/>
      <c r="E333" s="38" t="str">
        <f>IFERROR(AVERAGEIFS('Picarro Output'!G:G, 'Picarro Output'!$B:$B, 'Uncalibrated Data'!$C333, 'Picarro Output'!$I:$I, 0, 'Picarro Output'!$J:$J, 1), "")</f>
        <v/>
      </c>
    </row>
    <row r="334" spans="2:5" x14ac:dyDescent="0.2">
      <c r="B334" s="1"/>
      <c r="E334" s="38" t="str">
        <f>IFERROR(AVERAGEIFS('Picarro Output'!G:G, 'Picarro Output'!$B:$B, 'Uncalibrated Data'!$C334, 'Picarro Output'!$I:$I, 0, 'Picarro Output'!$J:$J, 1), "")</f>
        <v/>
      </c>
    </row>
    <row r="335" spans="2:5" x14ac:dyDescent="0.2">
      <c r="B335" s="1"/>
      <c r="E335" s="38" t="str">
        <f>IFERROR(AVERAGEIFS('Picarro Output'!G:G, 'Picarro Output'!$B:$B, 'Uncalibrated Data'!$C335, 'Picarro Output'!$I:$I, 0, 'Picarro Output'!$J:$J, 1), "")</f>
        <v/>
      </c>
    </row>
    <row r="336" spans="2:5" x14ac:dyDescent="0.2">
      <c r="B336" s="1"/>
      <c r="E336" s="38" t="str">
        <f>IFERROR(AVERAGEIFS('Picarro Output'!G:G, 'Picarro Output'!$B:$B, 'Uncalibrated Data'!$C336, 'Picarro Output'!$I:$I, 0, 'Picarro Output'!$J:$J, 1), "")</f>
        <v/>
      </c>
    </row>
    <row r="337" spans="2:5" x14ac:dyDescent="0.2">
      <c r="B337" s="1"/>
      <c r="E337" s="38" t="str">
        <f>IFERROR(AVERAGEIFS('Picarro Output'!G:G, 'Picarro Output'!$B:$B, 'Uncalibrated Data'!$C337, 'Picarro Output'!$I:$I, 0, 'Picarro Output'!$J:$J, 1), "")</f>
        <v/>
      </c>
    </row>
    <row r="338" spans="2:5" x14ac:dyDescent="0.2">
      <c r="B338" s="1"/>
      <c r="E338" s="38" t="str">
        <f>IFERROR(AVERAGEIFS('Picarro Output'!G:G, 'Picarro Output'!$B:$B, 'Uncalibrated Data'!$C338, 'Picarro Output'!$I:$I, 0, 'Picarro Output'!$J:$J, 1), "")</f>
        <v/>
      </c>
    </row>
    <row r="339" spans="2:5" x14ac:dyDescent="0.2">
      <c r="B339" s="1"/>
      <c r="E339" s="38" t="str">
        <f>IFERROR(AVERAGEIFS('Picarro Output'!G:G, 'Picarro Output'!$B:$B, 'Uncalibrated Data'!$C339, 'Picarro Output'!$I:$I, 0, 'Picarro Output'!$J:$J, 1), "")</f>
        <v/>
      </c>
    </row>
    <row r="340" spans="2:5" x14ac:dyDescent="0.2">
      <c r="B340" s="1"/>
      <c r="E340" s="38" t="str">
        <f>IFERROR(AVERAGEIFS('Picarro Output'!G:G, 'Picarro Output'!$B:$B, 'Uncalibrated Data'!$C340, 'Picarro Output'!$I:$I, 0, 'Picarro Output'!$J:$J, 1), "")</f>
        <v/>
      </c>
    </row>
    <row r="341" spans="2:5" x14ac:dyDescent="0.2">
      <c r="B341" s="1"/>
      <c r="E341" s="38" t="str">
        <f>IFERROR(AVERAGEIFS('Picarro Output'!G:G, 'Picarro Output'!$B:$B, 'Uncalibrated Data'!$C341, 'Picarro Output'!$I:$I, 0, 'Picarro Output'!$J:$J, 1), "")</f>
        <v/>
      </c>
    </row>
    <row r="342" spans="2:5" x14ac:dyDescent="0.2">
      <c r="B342" s="1"/>
      <c r="E342" s="38" t="str">
        <f>IFERROR(AVERAGEIFS('Picarro Output'!G:G, 'Picarro Output'!$B:$B, 'Uncalibrated Data'!$C342, 'Picarro Output'!$I:$I, 0, 'Picarro Output'!$J:$J, 1), "")</f>
        <v/>
      </c>
    </row>
    <row r="343" spans="2:5" x14ac:dyDescent="0.2">
      <c r="B343" s="1"/>
      <c r="E343" s="38" t="str">
        <f>IFERROR(AVERAGEIFS('Picarro Output'!G:G, 'Picarro Output'!$B:$B, 'Uncalibrated Data'!$C343, 'Picarro Output'!$I:$I, 0, 'Picarro Output'!$J:$J, 1), "")</f>
        <v/>
      </c>
    </row>
    <row r="344" spans="2:5" x14ac:dyDescent="0.2">
      <c r="B344" s="1"/>
      <c r="E344" s="38" t="str">
        <f>IFERROR(AVERAGEIFS('Picarro Output'!G:G, 'Picarro Output'!$B:$B, 'Uncalibrated Data'!$C344, 'Picarro Output'!$I:$I, 0, 'Picarro Output'!$J:$J, 1), "")</f>
        <v/>
      </c>
    </row>
    <row r="345" spans="2:5" x14ac:dyDescent="0.2">
      <c r="B345" s="1"/>
      <c r="E345" s="38" t="str">
        <f>IFERROR(AVERAGEIFS('Picarro Output'!G:G, 'Picarro Output'!$B:$B, 'Uncalibrated Data'!$C345, 'Picarro Output'!$I:$I, 0, 'Picarro Output'!$J:$J, 1), "")</f>
        <v/>
      </c>
    </row>
    <row r="346" spans="2:5" x14ac:dyDescent="0.2">
      <c r="B346" s="1"/>
      <c r="E346" s="38" t="str">
        <f>IFERROR(AVERAGEIFS('Picarro Output'!G:G, 'Picarro Output'!$B:$B, 'Uncalibrated Data'!$C346, 'Picarro Output'!$I:$I, 0, 'Picarro Output'!$J:$J, 1), "")</f>
        <v/>
      </c>
    </row>
    <row r="347" spans="2:5" x14ac:dyDescent="0.2">
      <c r="B347" s="1"/>
      <c r="E347" s="38" t="str">
        <f>IFERROR(AVERAGEIFS('Picarro Output'!G:G, 'Picarro Output'!$B:$B, 'Uncalibrated Data'!$C347, 'Picarro Output'!$I:$I, 0, 'Picarro Output'!$J:$J, 1), "")</f>
        <v/>
      </c>
    </row>
    <row r="348" spans="2:5" x14ac:dyDescent="0.2">
      <c r="B348" s="1"/>
      <c r="E348" s="38" t="str">
        <f>IFERROR(AVERAGEIFS('Picarro Output'!G:G, 'Picarro Output'!$B:$B, 'Uncalibrated Data'!$C348, 'Picarro Output'!$I:$I, 0, 'Picarro Output'!$J:$J, 1), "")</f>
        <v/>
      </c>
    </row>
    <row r="349" spans="2:5" x14ac:dyDescent="0.2">
      <c r="B349" s="1"/>
      <c r="E349" s="38" t="str">
        <f>IFERROR(AVERAGEIFS('Picarro Output'!G:G, 'Picarro Output'!$B:$B, 'Uncalibrated Data'!$C349, 'Picarro Output'!$I:$I, 0, 'Picarro Output'!$J:$J, 1), "")</f>
        <v/>
      </c>
    </row>
    <row r="350" spans="2:5" x14ac:dyDescent="0.2">
      <c r="B350" s="1"/>
      <c r="E350" s="38" t="str">
        <f>IFERROR(AVERAGEIFS('Picarro Output'!G:G, 'Picarro Output'!$B:$B, 'Uncalibrated Data'!$C350, 'Picarro Output'!$I:$I, 0, 'Picarro Output'!$J:$J, 1), "")</f>
        <v/>
      </c>
    </row>
    <row r="351" spans="2:5" x14ac:dyDescent="0.2">
      <c r="B351" s="1"/>
      <c r="E351" s="38" t="str">
        <f>IFERROR(AVERAGEIFS('Picarro Output'!G:G, 'Picarro Output'!$B:$B, 'Uncalibrated Data'!$C351, 'Picarro Output'!$I:$I, 0, 'Picarro Output'!$J:$J, 1), "")</f>
        <v/>
      </c>
    </row>
    <row r="352" spans="2:5" x14ac:dyDescent="0.2">
      <c r="B352" s="1"/>
      <c r="E352" s="38" t="str">
        <f>IFERROR(AVERAGEIFS('Picarro Output'!G:G, 'Picarro Output'!$B:$B, 'Uncalibrated Data'!$C352, 'Picarro Output'!$I:$I, 0, 'Picarro Output'!$J:$J, 1), "")</f>
        <v/>
      </c>
    </row>
    <row r="353" spans="2:5" x14ac:dyDescent="0.2">
      <c r="B353" s="1"/>
      <c r="E353" s="38" t="str">
        <f>IFERROR(AVERAGEIFS('Picarro Output'!G:G, 'Picarro Output'!$B:$B, 'Uncalibrated Data'!$C353, 'Picarro Output'!$I:$I, 0, 'Picarro Output'!$J:$J, 1), "")</f>
        <v/>
      </c>
    </row>
    <row r="354" spans="2:5" x14ac:dyDescent="0.2">
      <c r="B354" s="1"/>
      <c r="E354" s="38" t="str">
        <f>IFERROR(AVERAGEIFS('Picarro Output'!G:G, 'Picarro Output'!$B:$B, 'Uncalibrated Data'!$C354, 'Picarro Output'!$I:$I, 0, 'Picarro Output'!$J:$J, 1), "")</f>
        <v/>
      </c>
    </row>
    <row r="355" spans="2:5" x14ac:dyDescent="0.2">
      <c r="B355" s="1"/>
      <c r="E355" s="38" t="str">
        <f>IFERROR(AVERAGEIFS('Picarro Output'!G:G, 'Picarro Output'!$B:$B, 'Uncalibrated Data'!$C355, 'Picarro Output'!$I:$I, 0, 'Picarro Output'!$J:$J, 1), "")</f>
        <v/>
      </c>
    </row>
    <row r="356" spans="2:5" x14ac:dyDescent="0.2">
      <c r="B356" s="1"/>
      <c r="E356" s="38" t="str">
        <f>IFERROR(AVERAGEIFS('Picarro Output'!G:G, 'Picarro Output'!$B:$B, 'Uncalibrated Data'!$C356, 'Picarro Output'!$I:$I, 0, 'Picarro Output'!$J:$J, 1), "")</f>
        <v/>
      </c>
    </row>
    <row r="357" spans="2:5" x14ac:dyDescent="0.2">
      <c r="B357" s="1"/>
      <c r="E357" s="38" t="str">
        <f>IFERROR(AVERAGEIFS('Picarro Output'!G:G, 'Picarro Output'!$B:$B, 'Uncalibrated Data'!$C357, 'Picarro Output'!$I:$I, 0, 'Picarro Output'!$J:$J, 1), "")</f>
        <v/>
      </c>
    </row>
    <row r="358" spans="2:5" x14ac:dyDescent="0.2">
      <c r="B358" s="1"/>
      <c r="E358" s="38" t="str">
        <f>IFERROR(AVERAGEIFS('Picarro Output'!G:G, 'Picarro Output'!$B:$B, 'Uncalibrated Data'!$C358, 'Picarro Output'!$I:$I, 0, 'Picarro Output'!$J:$J, 1), "")</f>
        <v/>
      </c>
    </row>
    <row r="359" spans="2:5" x14ac:dyDescent="0.2">
      <c r="B359" s="1"/>
      <c r="E359" s="38" t="str">
        <f>IFERROR(AVERAGEIFS('Picarro Output'!G:G, 'Picarro Output'!$B:$B, 'Uncalibrated Data'!$C359, 'Picarro Output'!$I:$I, 0, 'Picarro Output'!$J:$J, 1), "")</f>
        <v/>
      </c>
    </row>
    <row r="360" spans="2:5" x14ac:dyDescent="0.2">
      <c r="B360" s="1"/>
      <c r="E360" s="38" t="str">
        <f>IFERROR(AVERAGEIFS('Picarro Output'!G:G, 'Picarro Output'!$B:$B, 'Uncalibrated Data'!$C360, 'Picarro Output'!$I:$I, 0, 'Picarro Output'!$J:$J, 1), "")</f>
        <v/>
      </c>
    </row>
    <row r="361" spans="2:5" x14ac:dyDescent="0.2">
      <c r="B361" s="1"/>
      <c r="E361" s="38" t="str">
        <f>IFERROR(AVERAGEIFS('Picarro Output'!G:G, 'Picarro Output'!$B:$B, 'Uncalibrated Data'!$C361, 'Picarro Output'!$I:$I, 0, 'Picarro Output'!$J:$J, 1), "")</f>
        <v/>
      </c>
    </row>
    <row r="362" spans="2:5" x14ac:dyDescent="0.2">
      <c r="B362" s="1"/>
      <c r="E362" s="38" t="str">
        <f>IFERROR(AVERAGEIFS('Picarro Output'!G:G, 'Picarro Output'!$B:$B, 'Uncalibrated Data'!$C362, 'Picarro Output'!$I:$I, 0, 'Picarro Output'!$J:$J, 1), "")</f>
        <v/>
      </c>
    </row>
    <row r="363" spans="2:5" x14ac:dyDescent="0.2">
      <c r="B363" s="1"/>
      <c r="E363" s="38" t="str">
        <f>IFERROR(AVERAGEIFS('Picarro Output'!G:G, 'Picarro Output'!$B:$B, 'Uncalibrated Data'!$C363, 'Picarro Output'!$I:$I, 0, 'Picarro Output'!$J:$J, 1), "")</f>
        <v/>
      </c>
    </row>
    <row r="364" spans="2:5" x14ac:dyDescent="0.2">
      <c r="B364" s="1"/>
      <c r="E364" s="38" t="str">
        <f>IFERROR(AVERAGEIFS('Picarro Output'!G:G, 'Picarro Output'!$B:$B, 'Uncalibrated Data'!$C364, 'Picarro Output'!$I:$I, 0, 'Picarro Output'!$J:$J, 1), "")</f>
        <v/>
      </c>
    </row>
    <row r="365" spans="2:5" x14ac:dyDescent="0.2">
      <c r="B365" s="1"/>
      <c r="E365" s="38" t="str">
        <f>IFERROR(AVERAGEIFS('Picarro Output'!G:G, 'Picarro Output'!$B:$B, 'Uncalibrated Data'!$C365, 'Picarro Output'!$I:$I, 0, 'Picarro Output'!$J:$J, 1), "")</f>
        <v/>
      </c>
    </row>
    <row r="366" spans="2:5" x14ac:dyDescent="0.2">
      <c r="B366" s="1"/>
      <c r="E366" s="38" t="str">
        <f>IFERROR(AVERAGEIFS('Picarro Output'!G:G, 'Picarro Output'!$B:$B, 'Uncalibrated Data'!$C366, 'Picarro Output'!$I:$I, 0, 'Picarro Output'!$J:$J, 1), "")</f>
        <v/>
      </c>
    </row>
    <row r="367" spans="2:5" x14ac:dyDescent="0.2">
      <c r="B367" s="1"/>
      <c r="E367" s="38" t="str">
        <f>IFERROR(AVERAGEIFS('Picarro Output'!G:G, 'Picarro Output'!$B:$B, 'Uncalibrated Data'!$C367, 'Picarro Output'!$I:$I, 0, 'Picarro Output'!$J:$J, 1), "")</f>
        <v/>
      </c>
    </row>
    <row r="368" spans="2:5" x14ac:dyDescent="0.2">
      <c r="B368" s="1"/>
      <c r="E368" s="38" t="str">
        <f>IFERROR(AVERAGEIFS('Picarro Output'!G:G, 'Picarro Output'!$B:$B, 'Uncalibrated Data'!$C368, 'Picarro Output'!$I:$I, 0, 'Picarro Output'!$J:$J, 1), "")</f>
        <v/>
      </c>
    </row>
    <row r="369" spans="2:5" x14ac:dyDescent="0.2">
      <c r="B369" s="1"/>
      <c r="E369" s="38" t="str">
        <f>IFERROR(AVERAGEIFS('Picarro Output'!G:G, 'Picarro Output'!$B:$B, 'Uncalibrated Data'!$C369, 'Picarro Output'!$I:$I, 0, 'Picarro Output'!$J:$J, 1), "")</f>
        <v/>
      </c>
    </row>
    <row r="370" spans="2:5" x14ac:dyDescent="0.2">
      <c r="B370" s="1"/>
      <c r="E370" s="38" t="str">
        <f>IFERROR(AVERAGEIFS('Picarro Output'!G:G, 'Picarro Output'!$B:$B, 'Uncalibrated Data'!$C370, 'Picarro Output'!$I:$I, 0, 'Picarro Output'!$J:$J, 1), "")</f>
        <v/>
      </c>
    </row>
    <row r="371" spans="2:5" x14ac:dyDescent="0.2">
      <c r="B371" s="1"/>
      <c r="E371" s="38" t="str">
        <f>IFERROR(AVERAGEIFS('Picarro Output'!G:G, 'Picarro Output'!$B:$B, 'Uncalibrated Data'!$C371, 'Picarro Output'!$I:$I, 0, 'Picarro Output'!$J:$J, 1), "")</f>
        <v/>
      </c>
    </row>
    <row r="372" spans="2:5" x14ac:dyDescent="0.2">
      <c r="B372" s="1"/>
      <c r="E372" s="38" t="str">
        <f>IFERROR(AVERAGEIFS('Picarro Output'!G:G, 'Picarro Output'!$B:$B, 'Uncalibrated Data'!$C372, 'Picarro Output'!$I:$I, 0, 'Picarro Output'!$J:$J, 1), "")</f>
        <v/>
      </c>
    </row>
    <row r="373" spans="2:5" x14ac:dyDescent="0.2">
      <c r="B373" s="1"/>
      <c r="E373" s="38" t="str">
        <f>IFERROR(AVERAGEIFS('Picarro Output'!G:G, 'Picarro Output'!$B:$B, 'Uncalibrated Data'!$C373, 'Picarro Output'!$I:$I, 0, 'Picarro Output'!$J:$J, 1), "")</f>
        <v/>
      </c>
    </row>
    <row r="374" spans="2:5" x14ac:dyDescent="0.2">
      <c r="B374" s="1"/>
      <c r="E374" s="38" t="str">
        <f>IFERROR(AVERAGEIFS('Picarro Output'!G:G, 'Picarro Output'!$B:$B, 'Uncalibrated Data'!$C374, 'Picarro Output'!$I:$I, 0, 'Picarro Output'!$J:$J, 1), "")</f>
        <v/>
      </c>
    </row>
    <row r="375" spans="2:5" x14ac:dyDescent="0.2">
      <c r="B375" s="1"/>
      <c r="E375" s="38" t="str">
        <f>IFERROR(AVERAGEIFS('Picarro Output'!G:G, 'Picarro Output'!$B:$B, 'Uncalibrated Data'!$C375, 'Picarro Output'!$I:$I, 0, 'Picarro Output'!$J:$J, 1), "")</f>
        <v/>
      </c>
    </row>
    <row r="376" spans="2:5" x14ac:dyDescent="0.2">
      <c r="B376" s="1"/>
      <c r="E376" s="38" t="str">
        <f>IFERROR(AVERAGEIFS('Picarro Output'!G:G, 'Picarro Output'!$B:$B, 'Uncalibrated Data'!$C376, 'Picarro Output'!$I:$I, 0, 'Picarro Output'!$J:$J, 1), "")</f>
        <v/>
      </c>
    </row>
    <row r="377" spans="2:5" x14ac:dyDescent="0.2">
      <c r="B377" s="1"/>
      <c r="E377" s="38" t="str">
        <f>IFERROR(AVERAGEIFS('Picarro Output'!G:G, 'Picarro Output'!$B:$B, 'Uncalibrated Data'!$C377, 'Picarro Output'!$I:$I, 0, 'Picarro Output'!$J:$J, 1), "")</f>
        <v/>
      </c>
    </row>
    <row r="378" spans="2:5" x14ac:dyDescent="0.2">
      <c r="B378" s="1"/>
      <c r="E378" s="38" t="str">
        <f>IFERROR(AVERAGEIFS('Picarro Output'!G:G, 'Picarro Output'!$B:$B, 'Uncalibrated Data'!$C378, 'Picarro Output'!$I:$I, 0, 'Picarro Output'!$J:$J, 1), "")</f>
        <v/>
      </c>
    </row>
    <row r="379" spans="2:5" x14ac:dyDescent="0.2">
      <c r="B379" s="1"/>
      <c r="E379" s="38" t="str">
        <f>IFERROR(AVERAGEIFS('Picarro Output'!G:G, 'Picarro Output'!$B:$B, 'Uncalibrated Data'!$C379, 'Picarro Output'!$I:$I, 0, 'Picarro Output'!$J:$J, 1), "")</f>
        <v/>
      </c>
    </row>
    <row r="380" spans="2:5" x14ac:dyDescent="0.2">
      <c r="B380" s="1"/>
      <c r="E380" s="38" t="str">
        <f>IFERROR(AVERAGEIFS('Picarro Output'!G:G, 'Picarro Output'!$B:$B, 'Uncalibrated Data'!$C380, 'Picarro Output'!$I:$I, 0, 'Picarro Output'!$J:$J, 1), "")</f>
        <v/>
      </c>
    </row>
    <row r="381" spans="2:5" x14ac:dyDescent="0.2">
      <c r="B381" s="1"/>
      <c r="E381" s="38" t="str">
        <f>IFERROR(AVERAGEIFS('Picarro Output'!G:G, 'Picarro Output'!$B:$B, 'Uncalibrated Data'!$C381, 'Picarro Output'!$I:$I, 0, 'Picarro Output'!$J:$J, 1), "")</f>
        <v/>
      </c>
    </row>
    <row r="382" spans="2:5" x14ac:dyDescent="0.2">
      <c r="B382" s="1"/>
      <c r="E382" s="38" t="str">
        <f>IFERROR(AVERAGEIFS('Picarro Output'!G:G, 'Picarro Output'!$B:$B, 'Uncalibrated Data'!$C382, 'Picarro Output'!$I:$I, 0, 'Picarro Output'!$J:$J, 1), "")</f>
        <v/>
      </c>
    </row>
    <row r="383" spans="2:5" x14ac:dyDescent="0.2">
      <c r="B383" s="1"/>
      <c r="E383" s="38" t="str">
        <f>IFERROR(AVERAGEIFS('Picarro Output'!G:G, 'Picarro Output'!$B:$B, 'Uncalibrated Data'!$C383, 'Picarro Output'!$I:$I, 0, 'Picarro Output'!$J:$J, 1), "")</f>
        <v/>
      </c>
    </row>
    <row r="384" spans="2:5" x14ac:dyDescent="0.2">
      <c r="B384" s="1"/>
      <c r="E384" s="38" t="str">
        <f>IFERROR(AVERAGEIFS('Picarro Output'!G:G, 'Picarro Output'!$B:$B, 'Uncalibrated Data'!$C384, 'Picarro Output'!$I:$I, 0, 'Picarro Output'!$J:$J, 1), "")</f>
        <v/>
      </c>
    </row>
    <row r="385" spans="2:5" x14ac:dyDescent="0.2">
      <c r="B385" s="1"/>
      <c r="E385" s="38" t="str">
        <f>IFERROR(AVERAGEIFS('Picarro Output'!G:G, 'Picarro Output'!$B:$B, 'Uncalibrated Data'!$C385, 'Picarro Output'!$I:$I, 0, 'Picarro Output'!$J:$J, 1), "")</f>
        <v/>
      </c>
    </row>
    <row r="386" spans="2:5" x14ac:dyDescent="0.2">
      <c r="B386" s="1"/>
      <c r="E386" s="38" t="str">
        <f>IFERROR(AVERAGEIFS('Picarro Output'!G:G, 'Picarro Output'!$B:$B, 'Uncalibrated Data'!$C386, 'Picarro Output'!$I:$I, 0, 'Picarro Output'!$J:$J, 1), "")</f>
        <v/>
      </c>
    </row>
    <row r="387" spans="2:5" x14ac:dyDescent="0.2">
      <c r="B387" s="1"/>
      <c r="E387" s="38" t="str">
        <f>IFERROR(AVERAGEIFS('Picarro Output'!G:G, 'Picarro Output'!$B:$B, 'Uncalibrated Data'!$C387, 'Picarro Output'!$I:$I, 0, 'Picarro Output'!$J:$J, 1), "")</f>
        <v/>
      </c>
    </row>
    <row r="388" spans="2:5" x14ac:dyDescent="0.2">
      <c r="B388" s="1"/>
      <c r="E388" s="38" t="str">
        <f>IFERROR(AVERAGEIFS('Picarro Output'!G:G, 'Picarro Output'!$B:$B, 'Uncalibrated Data'!$C388, 'Picarro Output'!$I:$I, 0, 'Picarro Output'!$J:$J, 1), "")</f>
        <v/>
      </c>
    </row>
    <row r="389" spans="2:5" x14ac:dyDescent="0.2">
      <c r="B389" s="1"/>
      <c r="E389" s="38" t="str">
        <f>IFERROR(AVERAGEIFS('Picarro Output'!G:G, 'Picarro Output'!$B:$B, 'Uncalibrated Data'!$C389, 'Picarro Output'!$I:$I, 0, 'Picarro Output'!$J:$J, 1), "")</f>
        <v/>
      </c>
    </row>
    <row r="390" spans="2:5" x14ac:dyDescent="0.2">
      <c r="B390" s="1"/>
      <c r="E390" s="38" t="str">
        <f>IFERROR(AVERAGEIFS('Picarro Output'!G:G, 'Picarro Output'!$B:$B, 'Uncalibrated Data'!$C390, 'Picarro Output'!$I:$I, 0, 'Picarro Output'!$J:$J, 1), "")</f>
        <v/>
      </c>
    </row>
    <row r="391" spans="2:5" x14ac:dyDescent="0.2">
      <c r="B391" s="1"/>
      <c r="E391" s="38" t="str">
        <f>IFERROR(AVERAGEIFS('Picarro Output'!G:G, 'Picarro Output'!$B:$B, 'Uncalibrated Data'!$C391, 'Picarro Output'!$I:$I, 0, 'Picarro Output'!$J:$J, 1), "")</f>
        <v/>
      </c>
    </row>
    <row r="392" spans="2:5" x14ac:dyDescent="0.2">
      <c r="B392" s="1"/>
      <c r="E392" s="38" t="str">
        <f>IFERROR(AVERAGEIFS('Picarro Output'!G:G, 'Picarro Output'!$B:$B, 'Uncalibrated Data'!$C392, 'Picarro Output'!$I:$I, 0, 'Picarro Output'!$J:$J, 1), "")</f>
        <v/>
      </c>
    </row>
    <row r="393" spans="2:5" x14ac:dyDescent="0.2">
      <c r="B393" s="1"/>
      <c r="E393" s="38" t="str">
        <f>IFERROR(AVERAGEIFS('Picarro Output'!G:G, 'Picarro Output'!$B:$B, 'Uncalibrated Data'!$C393, 'Picarro Output'!$I:$I, 0, 'Picarro Output'!$J:$J, 1), "")</f>
        <v/>
      </c>
    </row>
    <row r="394" spans="2:5" x14ac:dyDescent="0.2">
      <c r="B394" s="1"/>
      <c r="E394" s="38" t="str">
        <f>IFERROR(AVERAGEIFS('Picarro Output'!G:G, 'Picarro Output'!$B:$B, 'Uncalibrated Data'!$C394, 'Picarro Output'!$I:$I, 0, 'Picarro Output'!$J:$J, 1), "")</f>
        <v/>
      </c>
    </row>
    <row r="395" spans="2:5" x14ac:dyDescent="0.2">
      <c r="B395" s="1"/>
      <c r="E395" s="38" t="str">
        <f>IFERROR(AVERAGEIFS('Picarro Output'!G:G, 'Picarro Output'!$B:$B, 'Uncalibrated Data'!$C395, 'Picarro Output'!$I:$I, 0, 'Picarro Output'!$J:$J, 1), "")</f>
        <v/>
      </c>
    </row>
    <row r="396" spans="2:5" x14ac:dyDescent="0.2">
      <c r="B396" s="1"/>
      <c r="E396" s="38" t="str">
        <f>IFERROR(AVERAGEIFS('Picarro Output'!G:G, 'Picarro Output'!$B:$B, 'Uncalibrated Data'!$C396, 'Picarro Output'!$I:$I, 0, 'Picarro Output'!$J:$J, 1), "")</f>
        <v/>
      </c>
    </row>
    <row r="397" spans="2:5" x14ac:dyDescent="0.2">
      <c r="B397" s="1"/>
      <c r="E397" s="38" t="str">
        <f>IFERROR(AVERAGEIFS('Picarro Output'!G:G, 'Picarro Output'!$B:$B, 'Uncalibrated Data'!$C397, 'Picarro Output'!$I:$I, 0, 'Picarro Output'!$J:$J, 1), "")</f>
        <v/>
      </c>
    </row>
    <row r="398" spans="2:5" x14ac:dyDescent="0.2">
      <c r="B398" s="1"/>
      <c r="E398" s="38" t="str">
        <f>IFERROR(AVERAGEIFS('Picarro Output'!G:G, 'Picarro Output'!$B:$B, 'Uncalibrated Data'!$C398, 'Picarro Output'!$I:$I, 0, 'Picarro Output'!$J:$J, 1), "")</f>
        <v/>
      </c>
    </row>
    <row r="399" spans="2:5" x14ac:dyDescent="0.2">
      <c r="B399" s="1"/>
      <c r="E399" s="38" t="str">
        <f>IFERROR(AVERAGEIFS('Picarro Output'!G:G, 'Picarro Output'!$B:$B, 'Uncalibrated Data'!$C399, 'Picarro Output'!$I:$I, 0, 'Picarro Output'!$J:$J, 1), "")</f>
        <v/>
      </c>
    </row>
    <row r="400" spans="2:5" x14ac:dyDescent="0.2">
      <c r="B400" s="1"/>
      <c r="E400" s="38" t="str">
        <f>IFERROR(AVERAGEIFS('Picarro Output'!G:G, 'Picarro Output'!$B:$B, 'Uncalibrated Data'!$C400, 'Picarro Output'!$I:$I, 0, 'Picarro Output'!$J:$J, 1), "")</f>
        <v/>
      </c>
    </row>
    <row r="401" spans="2:5" x14ac:dyDescent="0.2">
      <c r="B401" s="1"/>
      <c r="E401" s="38" t="str">
        <f>IFERROR(AVERAGEIFS('Picarro Output'!G:G, 'Picarro Output'!$B:$B, 'Uncalibrated Data'!$C401, 'Picarro Output'!$I:$I, 0, 'Picarro Output'!$J:$J, 1), "")</f>
        <v/>
      </c>
    </row>
    <row r="402" spans="2:5" x14ac:dyDescent="0.2">
      <c r="B402" s="1"/>
      <c r="E402" s="38" t="str">
        <f>IFERROR(AVERAGEIFS('Picarro Output'!G:G, 'Picarro Output'!$B:$B, 'Uncalibrated Data'!$C402, 'Picarro Output'!$I:$I, 0, 'Picarro Output'!$J:$J, 1), "")</f>
        <v/>
      </c>
    </row>
    <row r="403" spans="2:5" x14ac:dyDescent="0.2">
      <c r="B403" s="1"/>
      <c r="E403" s="38" t="str">
        <f>IFERROR(AVERAGEIFS('Picarro Output'!G:G, 'Picarro Output'!$B:$B, 'Uncalibrated Data'!$C403, 'Picarro Output'!$I:$I, 0, 'Picarro Output'!$J:$J, 1), "")</f>
        <v/>
      </c>
    </row>
    <row r="404" spans="2:5" x14ac:dyDescent="0.2">
      <c r="B404" s="1"/>
      <c r="E404" s="38" t="str">
        <f>IFERROR(AVERAGEIFS('Picarro Output'!G:G, 'Picarro Output'!$B:$B, 'Uncalibrated Data'!$C404, 'Picarro Output'!$I:$I, 0, 'Picarro Output'!$J:$J, 1), "")</f>
        <v/>
      </c>
    </row>
    <row r="405" spans="2:5" x14ac:dyDescent="0.2">
      <c r="B405" s="1"/>
      <c r="E405" s="38" t="str">
        <f>IFERROR(AVERAGEIFS('Picarro Output'!G:G, 'Picarro Output'!$B:$B, 'Uncalibrated Data'!$C405, 'Picarro Output'!$I:$I, 0, 'Picarro Output'!$J:$J, 1), "")</f>
        <v/>
      </c>
    </row>
    <row r="406" spans="2:5" x14ac:dyDescent="0.2">
      <c r="B406" s="1"/>
      <c r="E406" s="38" t="str">
        <f>IFERROR(AVERAGEIFS('Picarro Output'!G:G, 'Picarro Output'!$B:$B, 'Uncalibrated Data'!$C406, 'Picarro Output'!$I:$I, 0, 'Picarro Output'!$J:$J, 1), "")</f>
        <v/>
      </c>
    </row>
    <row r="407" spans="2:5" x14ac:dyDescent="0.2">
      <c r="B407" s="1"/>
      <c r="E407" s="38" t="str">
        <f>IFERROR(AVERAGEIFS('Picarro Output'!G:G, 'Picarro Output'!$B:$B, 'Uncalibrated Data'!$C407, 'Picarro Output'!$I:$I, 0, 'Picarro Output'!$J:$J, 1), "")</f>
        <v/>
      </c>
    </row>
    <row r="408" spans="2:5" x14ac:dyDescent="0.2">
      <c r="B408" s="1"/>
      <c r="E408" s="38" t="str">
        <f>IFERROR(AVERAGEIFS('Picarro Output'!G:G, 'Picarro Output'!$B:$B, 'Uncalibrated Data'!$C408, 'Picarro Output'!$I:$I, 0, 'Picarro Output'!$J:$J, 1), "")</f>
        <v/>
      </c>
    </row>
    <row r="409" spans="2:5" x14ac:dyDescent="0.2">
      <c r="B409" s="1"/>
      <c r="E409" s="38" t="str">
        <f>IFERROR(AVERAGEIFS('Picarro Output'!G:G, 'Picarro Output'!$B:$B, 'Uncalibrated Data'!$C409, 'Picarro Output'!$I:$I, 0, 'Picarro Output'!$J:$J, 1), "")</f>
        <v/>
      </c>
    </row>
    <row r="410" spans="2:5" x14ac:dyDescent="0.2">
      <c r="B410" s="1"/>
      <c r="E410" s="38" t="str">
        <f>IFERROR(AVERAGEIFS('Picarro Output'!G:G, 'Picarro Output'!$B:$B, 'Uncalibrated Data'!$C410, 'Picarro Output'!$I:$I, 0, 'Picarro Output'!$J:$J, 1), "")</f>
        <v/>
      </c>
    </row>
    <row r="411" spans="2:5" x14ac:dyDescent="0.2">
      <c r="B411" s="1"/>
      <c r="E411" s="38" t="str">
        <f>IFERROR(AVERAGEIFS('Picarro Output'!G:G, 'Picarro Output'!$B:$B, 'Uncalibrated Data'!$C411, 'Picarro Output'!$I:$I, 0, 'Picarro Output'!$J:$J, 1), "")</f>
        <v/>
      </c>
    </row>
    <row r="412" spans="2:5" x14ac:dyDescent="0.2">
      <c r="B412" s="1"/>
      <c r="E412" s="38" t="str">
        <f>IFERROR(AVERAGEIFS('Picarro Output'!G:G, 'Picarro Output'!$B:$B, 'Uncalibrated Data'!$C412, 'Picarro Output'!$I:$I, 0, 'Picarro Output'!$J:$J, 1), "")</f>
        <v/>
      </c>
    </row>
    <row r="413" spans="2:5" x14ac:dyDescent="0.2">
      <c r="B413" s="1"/>
      <c r="E413" s="38" t="str">
        <f>IFERROR(AVERAGEIFS('Picarro Output'!G:G, 'Picarro Output'!$B:$B, 'Uncalibrated Data'!$C413, 'Picarro Output'!$I:$I, 0, 'Picarro Output'!$J:$J, 1), "")</f>
        <v/>
      </c>
    </row>
    <row r="414" spans="2:5" x14ac:dyDescent="0.2">
      <c r="B414" s="1"/>
      <c r="E414" s="38" t="str">
        <f>IFERROR(AVERAGEIFS('Picarro Output'!G:G, 'Picarro Output'!$B:$B, 'Uncalibrated Data'!$C414, 'Picarro Output'!$I:$I, 0, 'Picarro Output'!$J:$J, 1), "")</f>
        <v/>
      </c>
    </row>
    <row r="415" spans="2:5" x14ac:dyDescent="0.2">
      <c r="B415" s="1"/>
      <c r="E415" s="38" t="str">
        <f>IFERROR(AVERAGEIFS('Picarro Output'!G:G, 'Picarro Output'!$B:$B, 'Uncalibrated Data'!$C415, 'Picarro Output'!$I:$I, 0, 'Picarro Output'!$J:$J, 1), "")</f>
        <v/>
      </c>
    </row>
    <row r="416" spans="2:5" x14ac:dyDescent="0.2">
      <c r="B416" s="1"/>
      <c r="E416" s="38" t="str">
        <f>IFERROR(AVERAGEIFS('Picarro Output'!G:G, 'Picarro Output'!$B:$B, 'Uncalibrated Data'!$C416, 'Picarro Output'!$I:$I, 0, 'Picarro Output'!$J:$J, 1), "")</f>
        <v/>
      </c>
    </row>
    <row r="417" spans="2:5" x14ac:dyDescent="0.2">
      <c r="B417" s="1"/>
      <c r="E417" s="38" t="str">
        <f>IFERROR(AVERAGEIFS('Picarro Output'!G:G, 'Picarro Output'!$B:$B, 'Uncalibrated Data'!$C417, 'Picarro Output'!$I:$I, 0, 'Picarro Output'!$J:$J, 1), "")</f>
        <v/>
      </c>
    </row>
    <row r="418" spans="2:5" x14ac:dyDescent="0.2">
      <c r="B418" s="1"/>
      <c r="E418" s="38" t="str">
        <f>IFERROR(AVERAGEIFS('Picarro Output'!G:G, 'Picarro Output'!$B:$B, 'Uncalibrated Data'!$C418, 'Picarro Output'!$I:$I, 0, 'Picarro Output'!$J:$J, 1), "")</f>
        <v/>
      </c>
    </row>
    <row r="419" spans="2:5" x14ac:dyDescent="0.2">
      <c r="B419" s="1"/>
      <c r="E419" s="38" t="str">
        <f>IFERROR(AVERAGEIFS('Picarro Output'!G:G, 'Picarro Output'!$B:$B, 'Uncalibrated Data'!$C419, 'Picarro Output'!$I:$I, 0, 'Picarro Output'!$J:$J, 1), "")</f>
        <v/>
      </c>
    </row>
    <row r="420" spans="2:5" x14ac:dyDescent="0.2">
      <c r="B420" s="1"/>
      <c r="E420" s="38" t="str">
        <f>IFERROR(AVERAGEIFS('Picarro Output'!G:G, 'Picarro Output'!$B:$B, 'Uncalibrated Data'!$C420, 'Picarro Output'!$I:$I, 0, 'Picarro Output'!$J:$J, 1), "")</f>
        <v/>
      </c>
    </row>
    <row r="421" spans="2:5" x14ac:dyDescent="0.2">
      <c r="B421" s="1"/>
      <c r="E421" s="38" t="str">
        <f>IFERROR(AVERAGEIFS('Picarro Output'!G:G, 'Picarro Output'!$B:$B, 'Uncalibrated Data'!$C421, 'Picarro Output'!$I:$I, 0, 'Picarro Output'!$J:$J, 1), "")</f>
        <v/>
      </c>
    </row>
    <row r="422" spans="2:5" x14ac:dyDescent="0.2">
      <c r="B422" s="1"/>
      <c r="E422" s="38" t="str">
        <f>IFERROR(AVERAGEIFS('Picarro Output'!G:G, 'Picarro Output'!$B:$B, 'Uncalibrated Data'!$C422, 'Picarro Output'!$I:$I, 0, 'Picarro Output'!$J:$J, 1), "")</f>
        <v/>
      </c>
    </row>
    <row r="423" spans="2:5" x14ac:dyDescent="0.2">
      <c r="B423" s="1"/>
      <c r="E423" s="38" t="str">
        <f>IFERROR(AVERAGEIFS('Picarro Output'!G:G, 'Picarro Output'!$B:$B, 'Uncalibrated Data'!$C423, 'Picarro Output'!$I:$I, 0, 'Picarro Output'!$J:$J, 1), "")</f>
        <v/>
      </c>
    </row>
    <row r="424" spans="2:5" x14ac:dyDescent="0.2">
      <c r="B424" s="1"/>
      <c r="E424" s="38" t="str">
        <f>IFERROR(AVERAGEIFS('Picarro Output'!G:G, 'Picarro Output'!$B:$B, 'Uncalibrated Data'!$C424, 'Picarro Output'!$I:$I, 0, 'Picarro Output'!$J:$J, 1), "")</f>
        <v/>
      </c>
    </row>
    <row r="425" spans="2:5" x14ac:dyDescent="0.2">
      <c r="B425" s="1"/>
      <c r="E425" s="38" t="str">
        <f>IFERROR(AVERAGEIFS('Picarro Output'!G:G, 'Picarro Output'!$B:$B, 'Uncalibrated Data'!$C425, 'Picarro Output'!$I:$I, 0, 'Picarro Output'!$J:$J, 1), "")</f>
        <v/>
      </c>
    </row>
    <row r="426" spans="2:5" x14ac:dyDescent="0.2">
      <c r="B426" s="1"/>
      <c r="E426" s="38" t="str">
        <f>IFERROR(AVERAGEIFS('Picarro Output'!G:G, 'Picarro Output'!$B:$B, 'Uncalibrated Data'!$C426, 'Picarro Output'!$I:$I, 0, 'Picarro Output'!$J:$J, 1), "")</f>
        <v/>
      </c>
    </row>
    <row r="427" spans="2:5" x14ac:dyDescent="0.2">
      <c r="B427" s="1"/>
      <c r="E427" s="38" t="str">
        <f>IFERROR(AVERAGEIFS('Picarro Output'!G:G, 'Picarro Output'!$B:$B, 'Uncalibrated Data'!$C427, 'Picarro Output'!$I:$I, 0, 'Picarro Output'!$J:$J, 1), "")</f>
        <v/>
      </c>
    </row>
    <row r="428" spans="2:5" x14ac:dyDescent="0.2">
      <c r="B428" s="1"/>
      <c r="E428" s="38" t="str">
        <f>IFERROR(AVERAGEIFS('Picarro Output'!G:G, 'Picarro Output'!$B:$B, 'Uncalibrated Data'!$C428, 'Picarro Output'!$I:$I, 0, 'Picarro Output'!$J:$J, 1), "")</f>
        <v/>
      </c>
    </row>
    <row r="429" spans="2:5" x14ac:dyDescent="0.2">
      <c r="B429" s="1"/>
      <c r="E429" s="38" t="str">
        <f>IFERROR(AVERAGEIFS('Picarro Output'!G:G, 'Picarro Output'!$B:$B, 'Uncalibrated Data'!$C429, 'Picarro Output'!$I:$I, 0, 'Picarro Output'!$J:$J, 1), "")</f>
        <v/>
      </c>
    </row>
    <row r="430" spans="2:5" x14ac:dyDescent="0.2">
      <c r="B430" s="1"/>
      <c r="E430" s="38" t="str">
        <f>IFERROR(AVERAGEIFS('Picarro Output'!G:G, 'Picarro Output'!$B:$B, 'Uncalibrated Data'!$C430, 'Picarro Output'!$I:$I, 0, 'Picarro Output'!$J:$J, 1), "")</f>
        <v/>
      </c>
    </row>
    <row r="431" spans="2:5" x14ac:dyDescent="0.2">
      <c r="B431" s="1"/>
      <c r="E431" s="38" t="str">
        <f>IFERROR(AVERAGEIFS('Picarro Output'!G:G, 'Picarro Output'!$B:$B, 'Uncalibrated Data'!$C431, 'Picarro Output'!$I:$I, 0, 'Picarro Output'!$J:$J, 1), "")</f>
        <v/>
      </c>
    </row>
    <row r="432" spans="2:5" x14ac:dyDescent="0.2">
      <c r="B432" s="1"/>
      <c r="E432" s="38" t="str">
        <f>IFERROR(AVERAGEIFS('Picarro Output'!G:G, 'Picarro Output'!$B:$B, 'Uncalibrated Data'!$C432, 'Picarro Output'!$I:$I, 0, 'Picarro Output'!$J:$J, 1), "")</f>
        <v/>
      </c>
    </row>
    <row r="433" spans="2:5" x14ac:dyDescent="0.2">
      <c r="B433" s="1"/>
      <c r="E433" s="38" t="str">
        <f>IFERROR(AVERAGEIFS('Picarro Output'!G:G, 'Picarro Output'!$B:$B, 'Uncalibrated Data'!$C433, 'Picarro Output'!$I:$I, 0, 'Picarro Output'!$J:$J, 1), "")</f>
        <v/>
      </c>
    </row>
    <row r="434" spans="2:5" x14ac:dyDescent="0.2">
      <c r="B434" s="1"/>
      <c r="E434" s="38" t="str">
        <f>IFERROR(AVERAGEIFS('Picarro Output'!G:G, 'Picarro Output'!$B:$B, 'Uncalibrated Data'!$C434, 'Picarro Output'!$I:$I, 0, 'Picarro Output'!$J:$J, 1), "")</f>
        <v/>
      </c>
    </row>
    <row r="435" spans="2:5" x14ac:dyDescent="0.2">
      <c r="B435" s="1"/>
      <c r="E435" s="38" t="str">
        <f>IFERROR(AVERAGEIFS('Picarro Output'!G:G, 'Picarro Output'!$B:$B, 'Uncalibrated Data'!$C435, 'Picarro Output'!$I:$I, 0, 'Picarro Output'!$J:$J, 1), "")</f>
        <v/>
      </c>
    </row>
    <row r="436" spans="2:5" x14ac:dyDescent="0.2">
      <c r="B436" s="1"/>
      <c r="E436" s="38" t="str">
        <f>IFERROR(AVERAGEIFS('Picarro Output'!G:G, 'Picarro Output'!$B:$B, 'Uncalibrated Data'!$C436, 'Picarro Output'!$I:$I, 0, 'Picarro Output'!$J:$J, 1), "")</f>
        <v/>
      </c>
    </row>
    <row r="437" spans="2:5" x14ac:dyDescent="0.2">
      <c r="B437" s="1"/>
      <c r="E437" s="38" t="str">
        <f>IFERROR(AVERAGEIFS('Picarro Output'!G:G, 'Picarro Output'!$B:$B, 'Uncalibrated Data'!$C437, 'Picarro Output'!$I:$I, 0, 'Picarro Output'!$J:$J, 1), "")</f>
        <v/>
      </c>
    </row>
    <row r="438" spans="2:5" x14ac:dyDescent="0.2">
      <c r="B438" s="1"/>
      <c r="E438" s="38" t="str">
        <f>IFERROR(AVERAGEIFS('Picarro Output'!G:G, 'Picarro Output'!$B:$B, 'Uncalibrated Data'!$C438, 'Picarro Output'!$I:$I, 0, 'Picarro Output'!$J:$J, 1), "")</f>
        <v/>
      </c>
    </row>
    <row r="439" spans="2:5" x14ac:dyDescent="0.2">
      <c r="B439" s="1"/>
      <c r="E439" s="38" t="str">
        <f>IFERROR(AVERAGEIFS('Picarro Output'!G:G, 'Picarro Output'!$B:$B, 'Uncalibrated Data'!$C439, 'Picarro Output'!$I:$I, 0, 'Picarro Output'!$J:$J, 1), "")</f>
        <v/>
      </c>
    </row>
    <row r="440" spans="2:5" x14ac:dyDescent="0.2">
      <c r="B440" s="1"/>
      <c r="E440" s="38" t="str">
        <f>IFERROR(AVERAGEIFS('Picarro Output'!G:G, 'Picarro Output'!$B:$B, 'Uncalibrated Data'!$C440, 'Picarro Output'!$I:$I, 0, 'Picarro Output'!$J:$J, 1), "")</f>
        <v/>
      </c>
    </row>
    <row r="441" spans="2:5" x14ac:dyDescent="0.2">
      <c r="B441" s="1"/>
      <c r="E441" s="38" t="str">
        <f>IFERROR(AVERAGEIFS('Picarro Output'!G:G, 'Picarro Output'!$B:$B, 'Uncalibrated Data'!$C441, 'Picarro Output'!$I:$I, 0, 'Picarro Output'!$J:$J, 1), "")</f>
        <v/>
      </c>
    </row>
    <row r="442" spans="2:5" x14ac:dyDescent="0.2">
      <c r="B442" s="1"/>
      <c r="E442" s="38" t="str">
        <f>IFERROR(AVERAGEIFS('Picarro Output'!G:G, 'Picarro Output'!$B:$B, 'Uncalibrated Data'!$C442, 'Picarro Output'!$I:$I, 0, 'Picarro Output'!$J:$J, 1), "")</f>
        <v/>
      </c>
    </row>
    <row r="443" spans="2:5" x14ac:dyDescent="0.2">
      <c r="B443" s="1"/>
      <c r="E443" s="38" t="str">
        <f>IFERROR(AVERAGEIFS('Picarro Output'!G:G, 'Picarro Output'!$B:$B, 'Uncalibrated Data'!$C443, 'Picarro Output'!$I:$I, 0, 'Picarro Output'!$J:$J, 1), "")</f>
        <v/>
      </c>
    </row>
    <row r="444" spans="2:5" x14ac:dyDescent="0.2">
      <c r="B444" s="1"/>
      <c r="E444" s="38" t="str">
        <f>IFERROR(AVERAGEIFS('Picarro Output'!G:G, 'Picarro Output'!$B:$B, 'Uncalibrated Data'!$C444, 'Picarro Output'!$I:$I, 0, 'Picarro Output'!$J:$J, 1), "")</f>
        <v/>
      </c>
    </row>
    <row r="445" spans="2:5" x14ac:dyDescent="0.2">
      <c r="B445" s="1"/>
      <c r="E445" s="38" t="str">
        <f>IFERROR(AVERAGEIFS('Picarro Output'!G:G, 'Picarro Output'!$B:$B, 'Uncalibrated Data'!$C445, 'Picarro Output'!$I:$I, 0, 'Picarro Output'!$J:$J, 1), "")</f>
        <v/>
      </c>
    </row>
    <row r="446" spans="2:5" x14ac:dyDescent="0.2">
      <c r="B446" s="1"/>
      <c r="E446" s="38" t="str">
        <f>IFERROR(AVERAGEIFS('Picarro Output'!G:G, 'Picarro Output'!$B:$B, 'Uncalibrated Data'!$C446, 'Picarro Output'!$I:$I, 0, 'Picarro Output'!$J:$J, 1), "")</f>
        <v/>
      </c>
    </row>
    <row r="447" spans="2:5" x14ac:dyDescent="0.2">
      <c r="B447" s="1"/>
      <c r="E447" s="38" t="str">
        <f>IFERROR(AVERAGEIFS('Picarro Output'!G:G, 'Picarro Output'!$B:$B, 'Uncalibrated Data'!$C447, 'Picarro Output'!$I:$I, 0, 'Picarro Output'!$J:$J, 1), "")</f>
        <v/>
      </c>
    </row>
    <row r="448" spans="2:5" x14ac:dyDescent="0.2">
      <c r="B448" s="1"/>
      <c r="E448" s="38" t="str">
        <f>IFERROR(AVERAGEIFS('Picarro Output'!G:G, 'Picarro Output'!$B:$B, 'Uncalibrated Data'!$C448, 'Picarro Output'!$I:$I, 0, 'Picarro Output'!$J:$J, 1), "")</f>
        <v/>
      </c>
    </row>
    <row r="449" spans="2:5" x14ac:dyDescent="0.2">
      <c r="B449" s="1"/>
      <c r="E449" s="38" t="str">
        <f>IFERROR(AVERAGEIFS('Picarro Output'!G:G, 'Picarro Output'!$B:$B, 'Uncalibrated Data'!$C449, 'Picarro Output'!$I:$I, 0, 'Picarro Output'!$J:$J, 1), "")</f>
        <v/>
      </c>
    </row>
    <row r="450" spans="2:5" x14ac:dyDescent="0.2">
      <c r="B450" s="1"/>
      <c r="E450" s="38" t="str">
        <f>IFERROR(AVERAGEIFS('Picarro Output'!G:G, 'Picarro Output'!$B:$B, 'Uncalibrated Data'!$C450, 'Picarro Output'!$I:$I, 0, 'Picarro Output'!$J:$J, 1), "")</f>
        <v/>
      </c>
    </row>
    <row r="451" spans="2:5" x14ac:dyDescent="0.2">
      <c r="B451" s="1"/>
      <c r="E451" s="38" t="str">
        <f>IFERROR(AVERAGEIFS('Picarro Output'!G:G, 'Picarro Output'!$B:$B, 'Uncalibrated Data'!$C451, 'Picarro Output'!$I:$I, 0, 'Picarro Output'!$J:$J, 1), "")</f>
        <v/>
      </c>
    </row>
    <row r="452" spans="2:5" x14ac:dyDescent="0.2">
      <c r="B452" s="1"/>
      <c r="E452" s="38" t="str">
        <f>IFERROR(AVERAGEIFS('Picarro Output'!G:G, 'Picarro Output'!$B:$B, 'Uncalibrated Data'!$C452, 'Picarro Output'!$I:$I, 0, 'Picarro Output'!$J:$J, 1), "")</f>
        <v/>
      </c>
    </row>
    <row r="453" spans="2:5" x14ac:dyDescent="0.2">
      <c r="B453" s="1"/>
      <c r="E453" s="38" t="str">
        <f>IFERROR(AVERAGEIFS('Picarro Output'!G:G, 'Picarro Output'!$B:$B, 'Uncalibrated Data'!$C453, 'Picarro Output'!$I:$I, 0, 'Picarro Output'!$J:$J, 1), "")</f>
        <v/>
      </c>
    </row>
    <row r="454" spans="2:5" x14ac:dyDescent="0.2">
      <c r="B454" s="1"/>
      <c r="E454" s="38" t="str">
        <f>IFERROR(AVERAGEIFS('Picarro Output'!G:G, 'Picarro Output'!$B:$B, 'Uncalibrated Data'!$C454, 'Picarro Output'!$I:$I, 0, 'Picarro Output'!$J:$J, 1), "")</f>
        <v/>
      </c>
    </row>
    <row r="455" spans="2:5" x14ac:dyDescent="0.2">
      <c r="B455" s="1"/>
      <c r="E455" s="38" t="str">
        <f>IFERROR(AVERAGEIFS('Picarro Output'!G:G, 'Picarro Output'!$B:$B, 'Uncalibrated Data'!$C455, 'Picarro Output'!$I:$I, 0, 'Picarro Output'!$J:$J, 1), "")</f>
        <v/>
      </c>
    </row>
    <row r="456" spans="2:5" x14ac:dyDescent="0.2">
      <c r="B456" s="1"/>
      <c r="E456" s="38" t="str">
        <f>IFERROR(AVERAGEIFS('Picarro Output'!G:G, 'Picarro Output'!$B:$B, 'Uncalibrated Data'!$C456, 'Picarro Output'!$I:$I, 0, 'Picarro Output'!$J:$J, 1), "")</f>
        <v/>
      </c>
    </row>
    <row r="457" spans="2:5" x14ac:dyDescent="0.2">
      <c r="B457" s="1"/>
      <c r="E457" s="38" t="str">
        <f>IFERROR(AVERAGEIFS('Picarro Output'!G:G, 'Picarro Output'!$B:$B, 'Uncalibrated Data'!$C457, 'Picarro Output'!$I:$I, 0, 'Picarro Output'!$J:$J, 1), "")</f>
        <v/>
      </c>
    </row>
    <row r="458" spans="2:5" x14ac:dyDescent="0.2">
      <c r="B458" s="1"/>
      <c r="E458" s="38" t="str">
        <f>IFERROR(AVERAGEIFS('Picarro Output'!G:G, 'Picarro Output'!$B:$B, 'Uncalibrated Data'!$C458, 'Picarro Output'!$I:$I, 0, 'Picarro Output'!$J:$J, 1), "")</f>
        <v/>
      </c>
    </row>
    <row r="459" spans="2:5" x14ac:dyDescent="0.2">
      <c r="B459" s="1"/>
      <c r="E459" s="38" t="str">
        <f>IFERROR(AVERAGEIFS('Picarro Output'!G:G, 'Picarro Output'!$B:$B, 'Uncalibrated Data'!$C459, 'Picarro Output'!$I:$I, 0, 'Picarro Output'!$J:$J, 1), "")</f>
        <v/>
      </c>
    </row>
    <row r="460" spans="2:5" x14ac:dyDescent="0.2">
      <c r="B460" s="1"/>
      <c r="E460" s="38" t="str">
        <f>IFERROR(AVERAGEIFS('Picarro Output'!G:G, 'Picarro Output'!$B:$B, 'Uncalibrated Data'!$C460, 'Picarro Output'!$I:$I, 0, 'Picarro Output'!$J:$J, 1), "")</f>
        <v/>
      </c>
    </row>
    <row r="461" spans="2:5" x14ac:dyDescent="0.2">
      <c r="B461" s="1"/>
      <c r="E461" s="38" t="str">
        <f>IFERROR(AVERAGEIFS('Picarro Output'!G:G, 'Picarro Output'!$B:$B, 'Uncalibrated Data'!$C461, 'Picarro Output'!$I:$I, 0, 'Picarro Output'!$J:$J, 1), "")</f>
        <v/>
      </c>
    </row>
    <row r="462" spans="2:5" x14ac:dyDescent="0.2">
      <c r="B462" s="1"/>
      <c r="E462" s="38" t="str">
        <f>IFERROR(AVERAGEIFS('Picarro Output'!G:G, 'Picarro Output'!$B:$B, 'Uncalibrated Data'!$C462, 'Picarro Output'!$I:$I, 0, 'Picarro Output'!$J:$J, 1), "")</f>
        <v/>
      </c>
    </row>
    <row r="463" spans="2:5" x14ac:dyDescent="0.2">
      <c r="B463" s="1"/>
      <c r="E463" s="38" t="str">
        <f>IFERROR(AVERAGEIFS('Picarro Output'!G:G, 'Picarro Output'!$B:$B, 'Uncalibrated Data'!$C463, 'Picarro Output'!$I:$I, 0, 'Picarro Output'!$J:$J, 1), "")</f>
        <v/>
      </c>
    </row>
    <row r="464" spans="2:5" x14ac:dyDescent="0.2">
      <c r="B464" s="1"/>
      <c r="E464" s="38" t="str">
        <f>IFERROR(AVERAGEIFS('Picarro Output'!G:G, 'Picarro Output'!$B:$B, 'Uncalibrated Data'!$C464, 'Picarro Output'!$I:$I, 0, 'Picarro Output'!$J:$J, 1), "")</f>
        <v/>
      </c>
    </row>
    <row r="465" spans="2:5" x14ac:dyDescent="0.2">
      <c r="B465" s="1"/>
      <c r="E465" s="38" t="str">
        <f>IFERROR(AVERAGEIFS('Picarro Output'!G:G, 'Picarro Output'!$B:$B, 'Uncalibrated Data'!$C465, 'Picarro Output'!$I:$I, 0, 'Picarro Output'!$J:$J, 1), "")</f>
        <v/>
      </c>
    </row>
    <row r="466" spans="2:5" x14ac:dyDescent="0.2">
      <c r="B466" s="1"/>
      <c r="E466" s="38" t="str">
        <f>IFERROR(AVERAGEIFS('Picarro Output'!G:G, 'Picarro Output'!$B:$B, 'Uncalibrated Data'!$C466, 'Picarro Output'!$I:$I, 0, 'Picarro Output'!$J:$J, 1), "")</f>
        <v/>
      </c>
    </row>
    <row r="467" spans="2:5" x14ac:dyDescent="0.2">
      <c r="B467" s="1"/>
      <c r="E467" s="38" t="str">
        <f>IFERROR(AVERAGEIFS('Picarro Output'!G:G, 'Picarro Output'!$B:$B, 'Uncalibrated Data'!$C467, 'Picarro Output'!$I:$I, 0, 'Picarro Output'!$J:$J, 1), "")</f>
        <v/>
      </c>
    </row>
    <row r="468" spans="2:5" x14ac:dyDescent="0.2">
      <c r="B468" s="1"/>
      <c r="E468" s="38" t="str">
        <f>IFERROR(AVERAGEIFS('Picarro Output'!G:G, 'Picarro Output'!$B:$B, 'Uncalibrated Data'!$C468, 'Picarro Output'!$I:$I, 0, 'Picarro Output'!$J:$J, 1), "")</f>
        <v/>
      </c>
    </row>
    <row r="469" spans="2:5" x14ac:dyDescent="0.2">
      <c r="B469" s="1"/>
      <c r="E469" s="38" t="str">
        <f>IFERROR(AVERAGEIFS('Picarro Output'!G:G, 'Picarro Output'!$B:$B, 'Uncalibrated Data'!$C469, 'Picarro Output'!$I:$I, 0, 'Picarro Output'!$J:$J, 1), "")</f>
        <v/>
      </c>
    </row>
    <row r="470" spans="2:5" x14ac:dyDescent="0.2">
      <c r="B470" s="1"/>
      <c r="E470" s="38" t="str">
        <f>IFERROR(AVERAGEIFS('Picarro Output'!G:G, 'Picarro Output'!$B:$B, 'Uncalibrated Data'!$C470, 'Picarro Output'!$I:$I, 0, 'Picarro Output'!$J:$J, 1), "")</f>
        <v/>
      </c>
    </row>
    <row r="471" spans="2:5" x14ac:dyDescent="0.2">
      <c r="B471" s="1"/>
      <c r="E471" s="38" t="str">
        <f>IFERROR(AVERAGEIFS('Picarro Output'!G:G, 'Picarro Output'!$B:$B, 'Uncalibrated Data'!$C471, 'Picarro Output'!$I:$I, 0, 'Picarro Output'!$J:$J, 1), "")</f>
        <v/>
      </c>
    </row>
    <row r="472" spans="2:5" x14ac:dyDescent="0.2">
      <c r="B472" s="1"/>
      <c r="E472" s="38" t="str">
        <f>IFERROR(AVERAGEIFS('Picarro Output'!G:G, 'Picarro Output'!$B:$B, 'Uncalibrated Data'!$C472, 'Picarro Output'!$I:$I, 0, 'Picarro Output'!$J:$J, 1), "")</f>
        <v/>
      </c>
    </row>
    <row r="473" spans="2:5" x14ac:dyDescent="0.2">
      <c r="B473" s="1"/>
      <c r="E473" s="38" t="str">
        <f>IFERROR(AVERAGEIFS('Picarro Output'!G:G, 'Picarro Output'!$B:$B, 'Uncalibrated Data'!$C473, 'Picarro Output'!$I:$I, 0, 'Picarro Output'!$J:$J, 1), "")</f>
        <v/>
      </c>
    </row>
    <row r="474" spans="2:5" x14ac:dyDescent="0.2">
      <c r="B474" s="1"/>
      <c r="E474" s="38" t="str">
        <f>IFERROR(AVERAGEIFS('Picarro Output'!G:G, 'Picarro Output'!$B:$B, 'Uncalibrated Data'!$C474, 'Picarro Output'!$I:$I, 0, 'Picarro Output'!$J:$J, 1), "")</f>
        <v/>
      </c>
    </row>
    <row r="475" spans="2:5" x14ac:dyDescent="0.2">
      <c r="B475" s="1"/>
      <c r="E475" s="38" t="str">
        <f>IFERROR(AVERAGEIFS('Picarro Output'!G:G, 'Picarro Output'!$B:$B, 'Uncalibrated Data'!$C475, 'Picarro Output'!$I:$I, 0, 'Picarro Output'!$J:$J, 1), "")</f>
        <v/>
      </c>
    </row>
    <row r="476" spans="2:5" x14ac:dyDescent="0.2">
      <c r="B476" s="1"/>
      <c r="E476" s="38" t="str">
        <f>IFERROR(AVERAGEIFS('Picarro Output'!G:G, 'Picarro Output'!$B:$B, 'Uncalibrated Data'!$C476, 'Picarro Output'!$I:$I, 0, 'Picarro Output'!$J:$J, 1), "")</f>
        <v/>
      </c>
    </row>
    <row r="477" spans="2:5" x14ac:dyDescent="0.2">
      <c r="B477" s="1"/>
      <c r="E477" s="38" t="str">
        <f>IFERROR(AVERAGEIFS('Picarro Output'!G:G, 'Picarro Output'!$B:$B, 'Uncalibrated Data'!$C477, 'Picarro Output'!$I:$I, 0, 'Picarro Output'!$J:$J, 1), "")</f>
        <v/>
      </c>
    </row>
    <row r="478" spans="2:5" x14ac:dyDescent="0.2">
      <c r="B478" s="1"/>
      <c r="E478" s="38" t="str">
        <f>IFERROR(AVERAGEIFS('Picarro Output'!G:G, 'Picarro Output'!$B:$B, 'Uncalibrated Data'!$C478, 'Picarro Output'!$I:$I, 0, 'Picarro Output'!$J:$J, 1), "")</f>
        <v/>
      </c>
    </row>
    <row r="479" spans="2:5" x14ac:dyDescent="0.2">
      <c r="B479" s="1"/>
      <c r="E479" s="38" t="str">
        <f>IFERROR(AVERAGEIFS('Picarro Output'!G:G, 'Picarro Output'!$B:$B, 'Uncalibrated Data'!$C479, 'Picarro Output'!$I:$I, 0, 'Picarro Output'!$J:$J, 1), "")</f>
        <v/>
      </c>
    </row>
    <row r="480" spans="2:5" x14ac:dyDescent="0.2">
      <c r="B480" s="1"/>
      <c r="E480" s="38" t="str">
        <f>IFERROR(AVERAGEIFS('Picarro Output'!G:G, 'Picarro Output'!$B:$B, 'Uncalibrated Data'!$C480, 'Picarro Output'!$I:$I, 0, 'Picarro Output'!$J:$J, 1), "")</f>
        <v/>
      </c>
    </row>
    <row r="481" spans="2:5" x14ac:dyDescent="0.2">
      <c r="B481" s="1"/>
      <c r="E481" s="38" t="str">
        <f>IFERROR(AVERAGEIFS('Picarro Output'!G:G, 'Picarro Output'!$B:$B, 'Uncalibrated Data'!$C481, 'Picarro Output'!$I:$I, 0, 'Picarro Output'!$J:$J, 1), "")</f>
        <v/>
      </c>
    </row>
    <row r="482" spans="2:5" x14ac:dyDescent="0.2">
      <c r="B482" s="1"/>
      <c r="E482" s="38" t="str">
        <f>IFERROR(AVERAGEIFS('Picarro Output'!G:G, 'Picarro Output'!$B:$B, 'Uncalibrated Data'!$C482, 'Picarro Output'!$I:$I, 0, 'Picarro Output'!$J:$J, 1), "")</f>
        <v/>
      </c>
    </row>
    <row r="483" spans="2:5" x14ac:dyDescent="0.2">
      <c r="B483" s="1"/>
      <c r="E483" s="38" t="str">
        <f>IFERROR(AVERAGEIFS('Picarro Output'!G:G, 'Picarro Output'!$B:$B, 'Uncalibrated Data'!$C483, 'Picarro Output'!$I:$I, 0, 'Picarro Output'!$J:$J, 1), "")</f>
        <v/>
      </c>
    </row>
    <row r="484" spans="2:5" x14ac:dyDescent="0.2">
      <c r="B484" s="1"/>
      <c r="E484" s="38" t="str">
        <f>IFERROR(AVERAGEIFS('Picarro Output'!G:G, 'Picarro Output'!$B:$B, 'Uncalibrated Data'!$C484, 'Picarro Output'!$I:$I, 0, 'Picarro Output'!$J:$J, 1), "")</f>
        <v/>
      </c>
    </row>
    <row r="485" spans="2:5" x14ac:dyDescent="0.2">
      <c r="B485" s="1"/>
      <c r="E485" s="38" t="str">
        <f>IFERROR(AVERAGEIFS('Picarro Output'!G:G, 'Picarro Output'!$B:$B, 'Uncalibrated Data'!$C485, 'Picarro Output'!$I:$I, 0, 'Picarro Output'!$J:$J, 1), "")</f>
        <v/>
      </c>
    </row>
    <row r="486" spans="2:5" x14ac:dyDescent="0.2">
      <c r="B486" s="1"/>
      <c r="E486" s="38" t="str">
        <f>IFERROR(AVERAGEIFS('Picarro Output'!G:G, 'Picarro Output'!$B:$B, 'Uncalibrated Data'!$C486, 'Picarro Output'!$I:$I, 0, 'Picarro Output'!$J:$J, 1), "")</f>
        <v/>
      </c>
    </row>
    <row r="487" spans="2:5" x14ac:dyDescent="0.2">
      <c r="B487" s="1"/>
      <c r="E487" s="38" t="str">
        <f>IFERROR(AVERAGEIFS('Picarro Output'!G:G, 'Picarro Output'!$B:$B, 'Uncalibrated Data'!$C487, 'Picarro Output'!$I:$I, 0, 'Picarro Output'!$J:$J, 1), "")</f>
        <v/>
      </c>
    </row>
    <row r="488" spans="2:5" x14ac:dyDescent="0.2">
      <c r="B488" s="1"/>
      <c r="E488" s="38" t="str">
        <f>IFERROR(AVERAGEIFS('Picarro Output'!G:G, 'Picarro Output'!$B:$B, 'Uncalibrated Data'!$C488, 'Picarro Output'!$I:$I, 0, 'Picarro Output'!$J:$J, 1), "")</f>
        <v/>
      </c>
    </row>
    <row r="489" spans="2:5" x14ac:dyDescent="0.2">
      <c r="B489" s="1"/>
      <c r="E489" s="38" t="str">
        <f>IFERROR(AVERAGEIFS('Picarro Output'!G:G, 'Picarro Output'!$B:$B, 'Uncalibrated Data'!$C489, 'Picarro Output'!$I:$I, 0, 'Picarro Output'!$J:$J, 1), "")</f>
        <v/>
      </c>
    </row>
    <row r="490" spans="2:5" x14ac:dyDescent="0.2">
      <c r="B490" s="1"/>
      <c r="E490" s="38" t="str">
        <f>IFERROR(AVERAGEIFS('Picarro Output'!G:G, 'Picarro Output'!$B:$B, 'Uncalibrated Data'!$C490, 'Picarro Output'!$I:$I, 0, 'Picarro Output'!$J:$J, 1), "")</f>
        <v/>
      </c>
    </row>
    <row r="491" spans="2:5" x14ac:dyDescent="0.2">
      <c r="B491" s="1"/>
      <c r="E491" s="38" t="str">
        <f>IFERROR(AVERAGEIFS('Picarro Output'!G:G, 'Picarro Output'!$B:$B, 'Uncalibrated Data'!$C491, 'Picarro Output'!$I:$I, 0, 'Picarro Output'!$J:$J, 1), "")</f>
        <v/>
      </c>
    </row>
    <row r="492" spans="2:5" x14ac:dyDescent="0.2">
      <c r="B492" s="1"/>
      <c r="E492" s="38" t="str">
        <f>IFERROR(AVERAGEIFS('Picarro Output'!G:G, 'Picarro Output'!$B:$B, 'Uncalibrated Data'!$C492, 'Picarro Output'!$I:$I, 0, 'Picarro Output'!$J:$J, 1), "")</f>
        <v/>
      </c>
    </row>
    <row r="493" spans="2:5" x14ac:dyDescent="0.2">
      <c r="B493" s="1"/>
      <c r="E493" s="38" t="str">
        <f>IFERROR(AVERAGEIFS('Picarro Output'!G:G, 'Picarro Output'!$B:$B, 'Uncalibrated Data'!$C493, 'Picarro Output'!$I:$I, 0, 'Picarro Output'!$J:$J, 1), "")</f>
        <v/>
      </c>
    </row>
    <row r="494" spans="2:5" x14ac:dyDescent="0.2">
      <c r="B494" s="1"/>
      <c r="E494" s="38" t="str">
        <f>IFERROR(AVERAGEIFS('Picarro Output'!G:G, 'Picarro Output'!$B:$B, 'Uncalibrated Data'!$C494, 'Picarro Output'!$I:$I, 0, 'Picarro Output'!$J:$J, 1), "")</f>
        <v/>
      </c>
    </row>
    <row r="495" spans="2:5" x14ac:dyDescent="0.2">
      <c r="B495" s="1"/>
      <c r="E495" s="38" t="str">
        <f>IFERROR(AVERAGEIFS('Picarro Output'!G:G, 'Picarro Output'!$B:$B, 'Uncalibrated Data'!$C495, 'Picarro Output'!$I:$I, 0, 'Picarro Output'!$J:$J, 1), "")</f>
        <v/>
      </c>
    </row>
    <row r="496" spans="2:5" x14ac:dyDescent="0.2">
      <c r="B496" s="1"/>
      <c r="E496" s="38" t="str">
        <f>IFERROR(AVERAGEIFS('Picarro Output'!G:G, 'Picarro Output'!$B:$B, 'Uncalibrated Data'!$C496, 'Picarro Output'!$I:$I, 0, 'Picarro Output'!$J:$J, 1), "")</f>
        <v/>
      </c>
    </row>
    <row r="497" spans="2:5" x14ac:dyDescent="0.2">
      <c r="B497" s="1"/>
      <c r="E497" s="38" t="str">
        <f>IFERROR(AVERAGEIFS('Picarro Output'!G:G, 'Picarro Output'!$B:$B, 'Uncalibrated Data'!$C497, 'Picarro Output'!$I:$I, 0, 'Picarro Output'!$J:$J, 1), "")</f>
        <v/>
      </c>
    </row>
    <row r="498" spans="2:5" x14ac:dyDescent="0.2">
      <c r="B498" s="1"/>
      <c r="E498" s="38" t="str">
        <f>IFERROR(AVERAGEIFS('Picarro Output'!G:G, 'Picarro Output'!$B:$B, 'Uncalibrated Data'!$C498, 'Picarro Output'!$I:$I, 0, 'Picarro Output'!$J:$J, 1), "")</f>
        <v/>
      </c>
    </row>
    <row r="499" spans="2:5" x14ac:dyDescent="0.2">
      <c r="B499" s="1"/>
      <c r="E499" s="38" t="str">
        <f>IFERROR(AVERAGEIFS('Picarro Output'!G:G, 'Picarro Output'!$B:$B, 'Uncalibrated Data'!$C499, 'Picarro Output'!$I:$I, 0, 'Picarro Output'!$J:$J, 1), "")</f>
        <v/>
      </c>
    </row>
    <row r="500" spans="2:5" x14ac:dyDescent="0.2">
      <c r="B500" s="1"/>
      <c r="E500" s="38" t="str">
        <f>IFERROR(AVERAGEIFS('Picarro Output'!G:G, 'Picarro Output'!$B:$B, 'Uncalibrated Data'!$C500, 'Picarro Output'!$I:$I, 0, 'Picarro Output'!$J:$J, 1), "")</f>
        <v/>
      </c>
    </row>
    <row r="501" spans="2:5" x14ac:dyDescent="0.2">
      <c r="B501" s="1"/>
      <c r="E501" s="38" t="str">
        <f>IFERROR(AVERAGEIFS('Picarro Output'!G:G, 'Picarro Output'!$B:$B, 'Uncalibrated Data'!$C501, 'Picarro Output'!$I:$I, 0, 'Picarro Output'!$J:$J, 1), "")</f>
        <v/>
      </c>
    </row>
    <row r="502" spans="2:5" x14ac:dyDescent="0.2">
      <c r="B502" s="1"/>
      <c r="E502" s="38" t="str">
        <f>IFERROR(AVERAGEIFS('Picarro Output'!G:G, 'Picarro Output'!$B:$B, 'Uncalibrated Data'!$C502, 'Picarro Output'!$I:$I, 0, 'Picarro Output'!$J:$J, 1), "")</f>
        <v/>
      </c>
    </row>
    <row r="503" spans="2:5" x14ac:dyDescent="0.2">
      <c r="B503" s="1"/>
      <c r="E503" s="38" t="str">
        <f>IFERROR(AVERAGEIFS('Picarro Output'!G:G, 'Picarro Output'!$B:$B, 'Uncalibrated Data'!$C503, 'Picarro Output'!$I:$I, 0, 'Picarro Output'!$J:$J, 1), "")</f>
        <v/>
      </c>
    </row>
    <row r="504" spans="2:5" x14ac:dyDescent="0.2">
      <c r="B504" s="1"/>
      <c r="E504" s="38" t="str">
        <f>IFERROR(AVERAGEIFS('Picarro Output'!G:G, 'Picarro Output'!$B:$B, 'Uncalibrated Data'!$C504, 'Picarro Output'!$I:$I, 0, 'Picarro Output'!$J:$J, 1), "")</f>
        <v/>
      </c>
    </row>
    <row r="505" spans="2:5" x14ac:dyDescent="0.2">
      <c r="B505" s="1"/>
      <c r="E505" s="38" t="str">
        <f>IFERROR(AVERAGEIFS('Picarro Output'!G:G, 'Picarro Output'!$B:$B, 'Uncalibrated Data'!$C505, 'Picarro Output'!$I:$I, 0, 'Picarro Output'!$J:$J, 1), "")</f>
        <v/>
      </c>
    </row>
    <row r="506" spans="2:5" x14ac:dyDescent="0.2">
      <c r="B506" s="1"/>
      <c r="E506" s="38" t="str">
        <f>IFERROR(AVERAGEIFS('Picarro Output'!G:G, 'Picarro Output'!$B:$B, 'Uncalibrated Data'!$C506, 'Picarro Output'!$I:$I, 0, 'Picarro Output'!$J:$J, 1), "")</f>
        <v/>
      </c>
    </row>
    <row r="507" spans="2:5" x14ac:dyDescent="0.2">
      <c r="B507" s="1"/>
      <c r="E507" s="38" t="str">
        <f>IFERROR(AVERAGEIFS('Picarro Output'!G:G, 'Picarro Output'!$B:$B, 'Uncalibrated Data'!$C507, 'Picarro Output'!$I:$I, 0, 'Picarro Output'!$J:$J, 1), "")</f>
        <v/>
      </c>
    </row>
    <row r="508" spans="2:5" x14ac:dyDescent="0.2">
      <c r="B508" s="1"/>
      <c r="E508" s="38" t="str">
        <f>IFERROR(AVERAGEIFS('Picarro Output'!G:G, 'Picarro Output'!$B:$B, 'Uncalibrated Data'!$C508, 'Picarro Output'!$I:$I, 0, 'Picarro Output'!$J:$J, 1), "")</f>
        <v/>
      </c>
    </row>
    <row r="509" spans="2:5" x14ac:dyDescent="0.2">
      <c r="B509" s="1"/>
      <c r="E509" s="38" t="str">
        <f>IFERROR(AVERAGEIFS('Picarro Output'!G:G, 'Picarro Output'!$B:$B, 'Uncalibrated Data'!$C509, 'Picarro Output'!$I:$I, 0, 'Picarro Output'!$J:$J, 1), "")</f>
        <v/>
      </c>
    </row>
    <row r="510" spans="2:5" x14ac:dyDescent="0.2">
      <c r="B510" s="1"/>
      <c r="E510" s="38" t="str">
        <f>IFERROR(AVERAGEIFS('Picarro Output'!G:G, 'Picarro Output'!$B:$B, 'Uncalibrated Data'!$C510, 'Picarro Output'!$I:$I, 0, 'Picarro Output'!$J:$J, 1), "")</f>
        <v/>
      </c>
    </row>
    <row r="511" spans="2:5" x14ac:dyDescent="0.2">
      <c r="B511" s="1"/>
      <c r="E511" s="38" t="str">
        <f>IFERROR(AVERAGEIFS('Picarro Output'!G:G, 'Picarro Output'!$B:$B, 'Uncalibrated Data'!$C511, 'Picarro Output'!$I:$I, 0, 'Picarro Output'!$J:$J, 1), "")</f>
        <v/>
      </c>
    </row>
    <row r="512" spans="2:5" x14ac:dyDescent="0.2">
      <c r="B512" s="1"/>
      <c r="E512" s="38" t="str">
        <f>IFERROR(AVERAGEIFS('Picarro Output'!G:G, 'Picarro Output'!$B:$B, 'Uncalibrated Data'!$C512, 'Picarro Output'!$I:$I, 0, 'Picarro Output'!$J:$J, 1), "")</f>
        <v/>
      </c>
    </row>
    <row r="513" spans="2:5" x14ac:dyDescent="0.2">
      <c r="B513" s="1"/>
      <c r="E513" s="38" t="str">
        <f>IFERROR(AVERAGEIFS('Picarro Output'!G:G, 'Picarro Output'!$B:$B, 'Uncalibrated Data'!$C513, 'Picarro Output'!$I:$I, 0, 'Picarro Output'!$J:$J, 1), "")</f>
        <v/>
      </c>
    </row>
    <row r="514" spans="2:5" x14ac:dyDescent="0.2">
      <c r="B514" s="1"/>
      <c r="E514" s="38" t="str">
        <f>IFERROR(AVERAGEIFS('Picarro Output'!G:G, 'Picarro Output'!$B:$B, 'Uncalibrated Data'!$C514, 'Picarro Output'!$I:$I, 0, 'Picarro Output'!$J:$J, 1), "")</f>
        <v/>
      </c>
    </row>
    <row r="515" spans="2:5" x14ac:dyDescent="0.2">
      <c r="B515" s="1"/>
      <c r="E515" s="38" t="str">
        <f>IFERROR(AVERAGEIFS('Picarro Output'!G:G, 'Picarro Output'!$B:$B, 'Uncalibrated Data'!$C515, 'Picarro Output'!$I:$I, 0, 'Picarro Output'!$J:$J, 1), "")</f>
        <v/>
      </c>
    </row>
    <row r="516" spans="2:5" x14ac:dyDescent="0.2">
      <c r="B516" s="1"/>
      <c r="E516" s="38" t="str">
        <f>IFERROR(AVERAGEIFS('Picarro Output'!G:G, 'Picarro Output'!$B:$B, 'Uncalibrated Data'!$C516, 'Picarro Output'!$I:$I, 0, 'Picarro Output'!$J:$J, 1), "")</f>
        <v/>
      </c>
    </row>
    <row r="517" spans="2:5" x14ac:dyDescent="0.2">
      <c r="B517" s="1"/>
      <c r="E517" s="38" t="str">
        <f>IFERROR(AVERAGEIFS('Picarro Output'!G:G, 'Picarro Output'!$B:$B, 'Uncalibrated Data'!$C517, 'Picarro Output'!$I:$I, 0, 'Picarro Output'!$J:$J, 1), "")</f>
        <v/>
      </c>
    </row>
    <row r="518" spans="2:5" x14ac:dyDescent="0.2">
      <c r="B518" s="1"/>
      <c r="E518" s="38" t="str">
        <f>IFERROR(AVERAGEIFS('Picarro Output'!G:G, 'Picarro Output'!$B:$B, 'Uncalibrated Data'!$C518, 'Picarro Output'!$I:$I, 0, 'Picarro Output'!$J:$J, 1), "")</f>
        <v/>
      </c>
    </row>
    <row r="519" spans="2:5" x14ac:dyDescent="0.2">
      <c r="B519" s="1"/>
      <c r="E519" s="38" t="str">
        <f>IFERROR(AVERAGEIFS('Picarro Output'!G:G, 'Picarro Output'!$B:$B, 'Uncalibrated Data'!$C519, 'Picarro Output'!$I:$I, 0, 'Picarro Output'!$J:$J, 1), "")</f>
        <v/>
      </c>
    </row>
    <row r="520" spans="2:5" x14ac:dyDescent="0.2">
      <c r="B520" s="1"/>
      <c r="E520" s="38" t="str">
        <f>IFERROR(AVERAGEIFS('Picarro Output'!G:G, 'Picarro Output'!$B:$B, 'Uncalibrated Data'!$C520, 'Picarro Output'!$I:$I, 0, 'Picarro Output'!$J:$J, 1), "")</f>
        <v/>
      </c>
    </row>
    <row r="521" spans="2:5" x14ac:dyDescent="0.2">
      <c r="B521" s="1"/>
      <c r="E521" s="38" t="str">
        <f>IFERROR(AVERAGEIFS('Picarro Output'!G:G, 'Picarro Output'!$B:$B, 'Uncalibrated Data'!$C521, 'Picarro Output'!$I:$I, 0, 'Picarro Output'!$J:$J, 1), "")</f>
        <v/>
      </c>
    </row>
    <row r="522" spans="2:5" x14ac:dyDescent="0.2">
      <c r="B522" s="1"/>
      <c r="E522" s="38" t="str">
        <f>IFERROR(AVERAGEIFS('Picarro Output'!G:G, 'Picarro Output'!$B:$B, 'Uncalibrated Data'!$C522, 'Picarro Output'!$I:$I, 0, 'Picarro Output'!$J:$J, 1), "")</f>
        <v/>
      </c>
    </row>
    <row r="523" spans="2:5" x14ac:dyDescent="0.2">
      <c r="B523" s="1"/>
      <c r="E523" s="38" t="str">
        <f>IFERROR(AVERAGEIFS('Picarro Output'!G:G, 'Picarro Output'!$B:$B, 'Uncalibrated Data'!$C523, 'Picarro Output'!$I:$I, 0, 'Picarro Output'!$J:$J, 1), "")</f>
        <v/>
      </c>
    </row>
    <row r="524" spans="2:5" x14ac:dyDescent="0.2">
      <c r="B524" s="1"/>
      <c r="E524" s="38" t="str">
        <f>IFERROR(AVERAGEIFS('Picarro Output'!G:G, 'Picarro Output'!$B:$B, 'Uncalibrated Data'!$C524, 'Picarro Output'!$I:$I, 0, 'Picarro Output'!$J:$J, 1), "")</f>
        <v/>
      </c>
    </row>
    <row r="525" spans="2:5" x14ac:dyDescent="0.2">
      <c r="B525" s="1"/>
      <c r="E525" s="38" t="str">
        <f>IFERROR(AVERAGEIFS('Picarro Output'!G:G, 'Picarro Output'!$B:$B, 'Uncalibrated Data'!$C525, 'Picarro Output'!$I:$I, 0, 'Picarro Output'!$J:$J, 1), "")</f>
        <v/>
      </c>
    </row>
    <row r="526" spans="2:5" x14ac:dyDescent="0.2">
      <c r="B526" s="1"/>
      <c r="E526" s="38" t="str">
        <f>IFERROR(AVERAGEIFS('Picarro Output'!G:G, 'Picarro Output'!$B:$B, 'Uncalibrated Data'!$C526, 'Picarro Output'!$I:$I, 0, 'Picarro Output'!$J:$J, 1), "")</f>
        <v/>
      </c>
    </row>
    <row r="527" spans="2:5" x14ac:dyDescent="0.2">
      <c r="B527" s="1"/>
      <c r="E527" s="38" t="str">
        <f>IFERROR(AVERAGEIFS('Picarro Output'!G:G, 'Picarro Output'!$B:$B, 'Uncalibrated Data'!$C527, 'Picarro Output'!$I:$I, 0, 'Picarro Output'!$J:$J, 1), "")</f>
        <v/>
      </c>
    </row>
    <row r="528" spans="2:5" x14ac:dyDescent="0.2">
      <c r="B528" s="1"/>
      <c r="E528" s="38" t="str">
        <f>IFERROR(AVERAGEIFS('Picarro Output'!G:G, 'Picarro Output'!$B:$B, 'Uncalibrated Data'!$C528, 'Picarro Output'!$I:$I, 0, 'Picarro Output'!$J:$J, 1), "")</f>
        <v/>
      </c>
    </row>
    <row r="529" spans="2:5" x14ac:dyDescent="0.2">
      <c r="B529" s="1"/>
      <c r="E529" s="38" t="str">
        <f>IFERROR(AVERAGEIFS('Picarro Output'!G:G, 'Picarro Output'!$B:$B, 'Uncalibrated Data'!$C529, 'Picarro Output'!$I:$I, 0, 'Picarro Output'!$J:$J, 1), "")</f>
        <v/>
      </c>
    </row>
    <row r="530" spans="2:5" x14ac:dyDescent="0.2">
      <c r="B530" s="1"/>
      <c r="E530" s="38" t="str">
        <f>IFERROR(AVERAGEIFS('Picarro Output'!G:G, 'Picarro Output'!$B:$B, 'Uncalibrated Data'!$C530, 'Picarro Output'!$I:$I, 0, 'Picarro Output'!$J:$J, 1), "")</f>
        <v/>
      </c>
    </row>
    <row r="531" spans="2:5" x14ac:dyDescent="0.2">
      <c r="B531" s="1"/>
      <c r="E531" s="38" t="str">
        <f>IFERROR(AVERAGEIFS('Picarro Output'!G:G, 'Picarro Output'!$B:$B, 'Uncalibrated Data'!$C531, 'Picarro Output'!$I:$I, 0, 'Picarro Output'!$J:$J, 1), "")</f>
        <v/>
      </c>
    </row>
    <row r="532" spans="2:5" x14ac:dyDescent="0.2">
      <c r="B532" s="1"/>
      <c r="E532" s="38" t="str">
        <f>IFERROR(AVERAGEIFS('Picarro Output'!G:G, 'Picarro Output'!$B:$B, 'Uncalibrated Data'!$C532, 'Picarro Output'!$I:$I, 0, 'Picarro Output'!$J:$J, 1), "")</f>
        <v/>
      </c>
    </row>
    <row r="533" spans="2:5" x14ac:dyDescent="0.2">
      <c r="B533" s="1"/>
      <c r="E533" s="38" t="str">
        <f>IFERROR(AVERAGEIFS('Picarro Output'!G:G, 'Picarro Output'!$B:$B, 'Uncalibrated Data'!$C533, 'Picarro Output'!$I:$I, 0, 'Picarro Output'!$J:$J, 1), "")</f>
        <v/>
      </c>
    </row>
    <row r="534" spans="2:5" x14ac:dyDescent="0.2">
      <c r="B534" s="1"/>
      <c r="E534" s="38" t="str">
        <f>IFERROR(AVERAGEIFS('Picarro Output'!G:G, 'Picarro Output'!$B:$B, 'Uncalibrated Data'!$C534, 'Picarro Output'!$I:$I, 0, 'Picarro Output'!$J:$J, 1), "")</f>
        <v/>
      </c>
    </row>
    <row r="535" spans="2:5" x14ac:dyDescent="0.2">
      <c r="B535" s="1"/>
      <c r="E535" s="38" t="str">
        <f>IFERROR(AVERAGEIFS('Picarro Output'!G:G, 'Picarro Output'!$B:$B, 'Uncalibrated Data'!$C535, 'Picarro Output'!$I:$I, 0, 'Picarro Output'!$J:$J, 1), "")</f>
        <v/>
      </c>
    </row>
    <row r="536" spans="2:5" x14ac:dyDescent="0.2">
      <c r="B536" s="1"/>
      <c r="E536" s="38" t="str">
        <f>IFERROR(AVERAGEIFS('Picarro Output'!G:G, 'Picarro Output'!$B:$B, 'Uncalibrated Data'!$C536, 'Picarro Output'!$I:$I, 0, 'Picarro Output'!$J:$J, 1), "")</f>
        <v/>
      </c>
    </row>
    <row r="537" spans="2:5" x14ac:dyDescent="0.2">
      <c r="B537" s="1"/>
      <c r="E537" s="38" t="str">
        <f>IFERROR(AVERAGEIFS('Picarro Output'!G:G, 'Picarro Output'!$B:$B, 'Uncalibrated Data'!$C537, 'Picarro Output'!$I:$I, 0, 'Picarro Output'!$J:$J, 1), "")</f>
        <v/>
      </c>
    </row>
    <row r="538" spans="2:5" x14ac:dyDescent="0.2">
      <c r="B538" s="1"/>
      <c r="E538" s="38" t="str">
        <f>IFERROR(AVERAGEIFS('Picarro Output'!G:G, 'Picarro Output'!$B:$B, 'Uncalibrated Data'!$C538, 'Picarro Output'!$I:$I, 0, 'Picarro Output'!$J:$J, 1), "")</f>
        <v/>
      </c>
    </row>
    <row r="539" spans="2:5" x14ac:dyDescent="0.2">
      <c r="B539" s="1"/>
      <c r="E539" s="38" t="str">
        <f>IFERROR(AVERAGEIFS('Picarro Output'!G:G, 'Picarro Output'!$B:$B, 'Uncalibrated Data'!$C539, 'Picarro Output'!$I:$I, 0, 'Picarro Output'!$J:$J, 1), "")</f>
        <v/>
      </c>
    </row>
    <row r="540" spans="2:5" x14ac:dyDescent="0.2">
      <c r="B540" s="1"/>
      <c r="E540" s="38" t="str">
        <f>IFERROR(AVERAGEIFS('Picarro Output'!G:G, 'Picarro Output'!$B:$B, 'Uncalibrated Data'!$C540, 'Picarro Output'!$I:$I, 0, 'Picarro Output'!$J:$J, 1), "")</f>
        <v/>
      </c>
    </row>
    <row r="541" spans="2:5" x14ac:dyDescent="0.2">
      <c r="B541" s="1"/>
      <c r="E541" s="38" t="str">
        <f>IFERROR(AVERAGEIFS('Picarro Output'!G:G, 'Picarro Output'!$B:$B, 'Uncalibrated Data'!$C541, 'Picarro Output'!$I:$I, 0, 'Picarro Output'!$J:$J, 1), "")</f>
        <v/>
      </c>
    </row>
    <row r="542" spans="2:5" x14ac:dyDescent="0.2">
      <c r="B542" s="1"/>
      <c r="E542" s="38" t="str">
        <f>IFERROR(AVERAGEIFS('Picarro Output'!G:G, 'Picarro Output'!$B:$B, 'Uncalibrated Data'!$C542, 'Picarro Output'!$I:$I, 0, 'Picarro Output'!$J:$J, 1), "")</f>
        <v/>
      </c>
    </row>
    <row r="543" spans="2:5" x14ac:dyDescent="0.2">
      <c r="B543" s="1"/>
      <c r="E543" s="38" t="str">
        <f>IFERROR(AVERAGEIFS('Picarro Output'!G:G, 'Picarro Output'!$B:$B, 'Uncalibrated Data'!$C543, 'Picarro Output'!$I:$I, 0, 'Picarro Output'!$J:$J, 1), "")</f>
        <v/>
      </c>
    </row>
    <row r="544" spans="2:5" x14ac:dyDescent="0.2">
      <c r="B544" s="1"/>
      <c r="E544" s="38" t="str">
        <f>IFERROR(AVERAGEIFS('Picarro Output'!G:G, 'Picarro Output'!$B:$B, 'Uncalibrated Data'!$C544, 'Picarro Output'!$I:$I, 0, 'Picarro Output'!$J:$J, 1), "")</f>
        <v/>
      </c>
    </row>
    <row r="545" spans="2:5" x14ac:dyDescent="0.2">
      <c r="B545" s="1"/>
      <c r="E545" s="38" t="str">
        <f>IFERROR(AVERAGEIFS('Picarro Output'!G:G, 'Picarro Output'!$B:$B, 'Uncalibrated Data'!$C545, 'Picarro Output'!$I:$I, 0, 'Picarro Output'!$J:$J, 1), "")</f>
        <v/>
      </c>
    </row>
    <row r="546" spans="2:5" x14ac:dyDescent="0.2">
      <c r="B546" s="1"/>
      <c r="E546" s="38" t="str">
        <f>IFERROR(AVERAGEIFS('Picarro Output'!G:G, 'Picarro Output'!$B:$B, 'Uncalibrated Data'!$C546, 'Picarro Output'!$I:$I, 0, 'Picarro Output'!$J:$J, 1), "")</f>
        <v/>
      </c>
    </row>
    <row r="547" spans="2:5" x14ac:dyDescent="0.2">
      <c r="B547" s="1"/>
      <c r="E547" s="38" t="str">
        <f>IFERROR(AVERAGEIFS('Picarro Output'!G:G, 'Picarro Output'!$B:$B, 'Uncalibrated Data'!$C547, 'Picarro Output'!$I:$I, 0, 'Picarro Output'!$J:$J, 1), "")</f>
        <v/>
      </c>
    </row>
    <row r="548" spans="2:5" x14ac:dyDescent="0.2">
      <c r="B548" s="1"/>
      <c r="E548" s="38" t="str">
        <f>IFERROR(AVERAGEIFS('Picarro Output'!G:G, 'Picarro Output'!$B:$B, 'Uncalibrated Data'!$C548, 'Picarro Output'!$I:$I, 0, 'Picarro Output'!$J:$J, 1), "")</f>
        <v/>
      </c>
    </row>
    <row r="549" spans="2:5" x14ac:dyDescent="0.2">
      <c r="B549" s="1"/>
      <c r="E549" s="38" t="str">
        <f>IFERROR(AVERAGEIFS('Picarro Output'!G:G, 'Picarro Output'!$B:$B, 'Uncalibrated Data'!$C549, 'Picarro Output'!$I:$I, 0, 'Picarro Output'!$J:$J, 1), "")</f>
        <v/>
      </c>
    </row>
    <row r="550" spans="2:5" x14ac:dyDescent="0.2">
      <c r="B550" s="1"/>
      <c r="E550" s="38" t="str">
        <f>IFERROR(AVERAGEIFS('Picarro Output'!G:G, 'Picarro Output'!$B:$B, 'Uncalibrated Data'!$C550, 'Picarro Output'!$I:$I, 0, 'Picarro Output'!$J:$J, 1), "")</f>
        <v/>
      </c>
    </row>
    <row r="551" spans="2:5" x14ac:dyDescent="0.2">
      <c r="B551" s="1"/>
      <c r="E551" s="38" t="str">
        <f>IFERROR(AVERAGEIFS('Picarro Output'!G:G, 'Picarro Output'!$B:$B, 'Uncalibrated Data'!$C551, 'Picarro Output'!$I:$I, 0, 'Picarro Output'!$J:$J, 1), "")</f>
        <v/>
      </c>
    </row>
    <row r="552" spans="2:5" x14ac:dyDescent="0.2">
      <c r="B552" s="1"/>
      <c r="E552" s="38" t="str">
        <f>IFERROR(AVERAGEIFS('Picarro Output'!G:G, 'Picarro Output'!$B:$B, 'Uncalibrated Data'!$C552, 'Picarro Output'!$I:$I, 0, 'Picarro Output'!$J:$J, 1), "")</f>
        <v/>
      </c>
    </row>
    <row r="553" spans="2:5" x14ac:dyDescent="0.2">
      <c r="B553" s="1"/>
      <c r="E553" s="38" t="str">
        <f>IFERROR(AVERAGEIFS('Picarro Output'!G:G, 'Picarro Output'!$B:$B, 'Uncalibrated Data'!$C553, 'Picarro Output'!$I:$I, 0, 'Picarro Output'!$J:$J, 1), "")</f>
        <v/>
      </c>
    </row>
    <row r="554" spans="2:5" x14ac:dyDescent="0.2">
      <c r="B554" s="1"/>
      <c r="E554" s="38" t="str">
        <f>IFERROR(AVERAGEIFS('Picarro Output'!G:G, 'Picarro Output'!$B:$B, 'Uncalibrated Data'!$C554, 'Picarro Output'!$I:$I, 0, 'Picarro Output'!$J:$J, 1), "")</f>
        <v/>
      </c>
    </row>
    <row r="555" spans="2:5" x14ac:dyDescent="0.2">
      <c r="B555" s="1"/>
      <c r="E555" s="38" t="str">
        <f>IFERROR(AVERAGEIFS('Picarro Output'!G:G, 'Picarro Output'!$B:$B, 'Uncalibrated Data'!$C555, 'Picarro Output'!$I:$I, 0, 'Picarro Output'!$J:$J, 1), "")</f>
        <v/>
      </c>
    </row>
    <row r="556" spans="2:5" x14ac:dyDescent="0.2">
      <c r="B556" s="1"/>
      <c r="E556" s="38" t="str">
        <f>IFERROR(AVERAGEIFS('Picarro Output'!G:G, 'Picarro Output'!$B:$B, 'Uncalibrated Data'!$C556, 'Picarro Output'!$I:$I, 0, 'Picarro Output'!$J:$J, 1), "")</f>
        <v/>
      </c>
    </row>
    <row r="557" spans="2:5" x14ac:dyDescent="0.2">
      <c r="B557" s="1"/>
      <c r="E557" s="38" t="str">
        <f>IFERROR(AVERAGEIFS('Picarro Output'!G:G, 'Picarro Output'!$B:$B, 'Uncalibrated Data'!$C557, 'Picarro Output'!$I:$I, 0, 'Picarro Output'!$J:$J, 1), "")</f>
        <v/>
      </c>
    </row>
    <row r="558" spans="2:5" x14ac:dyDescent="0.2">
      <c r="B558" s="1"/>
      <c r="E558" s="38" t="str">
        <f>IFERROR(AVERAGEIFS('Picarro Output'!G:G, 'Picarro Output'!$B:$B, 'Uncalibrated Data'!$C558, 'Picarro Output'!$I:$I, 0, 'Picarro Output'!$J:$J, 1), "")</f>
        <v/>
      </c>
    </row>
    <row r="559" spans="2:5" x14ac:dyDescent="0.2">
      <c r="B559" s="1"/>
      <c r="E559" s="38" t="str">
        <f>IFERROR(AVERAGEIFS('Picarro Output'!G:G, 'Picarro Output'!$B:$B, 'Uncalibrated Data'!$C559, 'Picarro Output'!$I:$I, 0, 'Picarro Output'!$J:$J, 1), "")</f>
        <v/>
      </c>
    </row>
    <row r="560" spans="2:5" x14ac:dyDescent="0.2">
      <c r="B560" s="1"/>
      <c r="E560" s="38" t="str">
        <f>IFERROR(AVERAGEIFS('Picarro Output'!G:G, 'Picarro Output'!$B:$B, 'Uncalibrated Data'!$C560, 'Picarro Output'!$I:$I, 0, 'Picarro Output'!$J:$J, 1), "")</f>
        <v/>
      </c>
    </row>
    <row r="561" spans="2:5" x14ac:dyDescent="0.2">
      <c r="B561" s="1"/>
      <c r="E561" s="38" t="str">
        <f>IFERROR(AVERAGEIFS('Picarro Output'!G:G, 'Picarro Output'!$B:$B, 'Uncalibrated Data'!$C561, 'Picarro Output'!$I:$I, 0, 'Picarro Output'!$J:$J, 1), "")</f>
        <v/>
      </c>
    </row>
    <row r="562" spans="2:5" x14ac:dyDescent="0.2">
      <c r="B562" s="1"/>
      <c r="E562" s="38" t="str">
        <f>IFERROR(AVERAGEIFS('Picarro Output'!G:G, 'Picarro Output'!$B:$B, 'Uncalibrated Data'!$C562, 'Picarro Output'!$I:$I, 0, 'Picarro Output'!$J:$J, 1), "")</f>
        <v/>
      </c>
    </row>
    <row r="563" spans="2:5" x14ac:dyDescent="0.2">
      <c r="B563" s="1"/>
      <c r="E563" s="38" t="str">
        <f>IFERROR(AVERAGEIFS('Picarro Output'!G:G, 'Picarro Output'!$B:$B, 'Uncalibrated Data'!$C563, 'Picarro Output'!$I:$I, 0, 'Picarro Output'!$J:$J, 1), "")</f>
        <v/>
      </c>
    </row>
    <row r="564" spans="2:5" x14ac:dyDescent="0.2">
      <c r="B564" s="1"/>
      <c r="E564" s="38" t="str">
        <f>IFERROR(AVERAGEIFS('Picarro Output'!G:G, 'Picarro Output'!$B:$B, 'Uncalibrated Data'!$C564, 'Picarro Output'!$I:$I, 0, 'Picarro Output'!$J:$J, 1), "")</f>
        <v/>
      </c>
    </row>
    <row r="565" spans="2:5" x14ac:dyDescent="0.2">
      <c r="B565" s="1"/>
      <c r="E565" s="38" t="str">
        <f>IFERROR(AVERAGEIFS('Picarro Output'!G:G, 'Picarro Output'!$B:$B, 'Uncalibrated Data'!$C565, 'Picarro Output'!$I:$I, 0, 'Picarro Output'!$J:$J, 1), "")</f>
        <v/>
      </c>
    </row>
    <row r="566" spans="2:5" x14ac:dyDescent="0.2">
      <c r="B566" s="1"/>
      <c r="E566" s="38" t="str">
        <f>IFERROR(AVERAGEIFS('Picarro Output'!G:G, 'Picarro Output'!$B:$B, 'Uncalibrated Data'!$C566, 'Picarro Output'!$I:$I, 0, 'Picarro Output'!$J:$J, 1), "")</f>
        <v/>
      </c>
    </row>
    <row r="567" spans="2:5" x14ac:dyDescent="0.2">
      <c r="B567" s="1"/>
      <c r="E567" s="38" t="str">
        <f>IFERROR(AVERAGEIFS('Picarro Output'!G:G, 'Picarro Output'!$B:$B, 'Uncalibrated Data'!$C567, 'Picarro Output'!$I:$I, 0, 'Picarro Output'!$J:$J, 1), "")</f>
        <v/>
      </c>
    </row>
    <row r="568" spans="2:5" x14ac:dyDescent="0.2">
      <c r="B568" s="1"/>
      <c r="E568" s="38" t="str">
        <f>IFERROR(AVERAGEIFS('Picarro Output'!G:G, 'Picarro Output'!$B:$B, 'Uncalibrated Data'!$C568, 'Picarro Output'!$I:$I, 0, 'Picarro Output'!$J:$J, 1), "")</f>
        <v/>
      </c>
    </row>
    <row r="569" spans="2:5" x14ac:dyDescent="0.2">
      <c r="B569" s="1"/>
      <c r="E569" s="38" t="str">
        <f>IFERROR(AVERAGEIFS('Picarro Output'!G:G, 'Picarro Output'!$B:$B, 'Uncalibrated Data'!$C569, 'Picarro Output'!$I:$I, 0, 'Picarro Output'!$J:$J, 1), "")</f>
        <v/>
      </c>
    </row>
    <row r="570" spans="2:5" x14ac:dyDescent="0.2">
      <c r="B570" s="1"/>
      <c r="E570" s="38" t="str">
        <f>IFERROR(AVERAGEIFS('Picarro Output'!G:G, 'Picarro Output'!$B:$B, 'Uncalibrated Data'!$C570, 'Picarro Output'!$I:$I, 0, 'Picarro Output'!$J:$J, 1), "")</f>
        <v/>
      </c>
    </row>
    <row r="571" spans="2:5" x14ac:dyDescent="0.2">
      <c r="B571" s="1"/>
      <c r="E571" s="38" t="str">
        <f>IFERROR(AVERAGEIFS('Picarro Output'!G:G, 'Picarro Output'!$B:$B, 'Uncalibrated Data'!$C571, 'Picarro Output'!$I:$I, 0, 'Picarro Output'!$J:$J, 1), "")</f>
        <v/>
      </c>
    </row>
    <row r="572" spans="2:5" x14ac:dyDescent="0.2">
      <c r="B572" s="1"/>
      <c r="E572" s="38" t="str">
        <f>IFERROR(AVERAGEIFS('Picarro Output'!G:G, 'Picarro Output'!$B:$B, 'Uncalibrated Data'!$C572, 'Picarro Output'!$I:$I, 0, 'Picarro Output'!$J:$J, 1), "")</f>
        <v/>
      </c>
    </row>
    <row r="573" spans="2:5" x14ac:dyDescent="0.2">
      <c r="B573" s="1"/>
      <c r="E573" s="38" t="str">
        <f>IFERROR(AVERAGEIFS('Picarro Output'!G:G, 'Picarro Output'!$B:$B, 'Uncalibrated Data'!$C573, 'Picarro Output'!$I:$I, 0, 'Picarro Output'!$J:$J, 1), "")</f>
        <v/>
      </c>
    </row>
    <row r="574" spans="2:5" x14ac:dyDescent="0.2">
      <c r="B574" s="1"/>
      <c r="E574" s="38" t="str">
        <f>IFERROR(AVERAGEIFS('Picarro Output'!G:G, 'Picarro Output'!$B:$B, 'Uncalibrated Data'!$C574, 'Picarro Output'!$I:$I, 0, 'Picarro Output'!$J:$J, 1), "")</f>
        <v/>
      </c>
    </row>
    <row r="575" spans="2:5" x14ac:dyDescent="0.2">
      <c r="B575" s="1"/>
      <c r="E575" s="38" t="str">
        <f>IFERROR(AVERAGEIFS('Picarro Output'!G:G, 'Picarro Output'!$B:$B, 'Uncalibrated Data'!$C575, 'Picarro Output'!$I:$I, 0, 'Picarro Output'!$J:$J, 1), "")</f>
        <v/>
      </c>
    </row>
    <row r="576" spans="2:5" x14ac:dyDescent="0.2">
      <c r="B576" s="1"/>
      <c r="E576" s="38" t="str">
        <f>IFERROR(AVERAGEIFS('Picarro Output'!G:G, 'Picarro Output'!$B:$B, 'Uncalibrated Data'!$C576, 'Picarro Output'!$I:$I, 0, 'Picarro Output'!$J:$J, 1), "")</f>
        <v/>
      </c>
    </row>
    <row r="577" spans="2:5" x14ac:dyDescent="0.2">
      <c r="B577" s="1"/>
      <c r="E577" s="38" t="str">
        <f>IFERROR(AVERAGEIFS('Picarro Output'!G:G, 'Picarro Output'!$B:$B, 'Uncalibrated Data'!$C577, 'Picarro Output'!$I:$I, 0, 'Picarro Output'!$J:$J, 1), "")</f>
        <v/>
      </c>
    </row>
    <row r="578" spans="2:5" x14ac:dyDescent="0.2">
      <c r="B578" s="1"/>
      <c r="E578" s="38" t="str">
        <f>IFERROR(AVERAGEIFS('Picarro Output'!G:G, 'Picarro Output'!$B:$B, 'Uncalibrated Data'!$C578, 'Picarro Output'!$I:$I, 0, 'Picarro Output'!$J:$J, 1), "")</f>
        <v/>
      </c>
    </row>
    <row r="579" spans="2:5" x14ac:dyDescent="0.2">
      <c r="B579" s="1"/>
      <c r="E579" s="38" t="str">
        <f>IFERROR(AVERAGEIFS('Picarro Output'!G:G, 'Picarro Output'!$B:$B, 'Uncalibrated Data'!$C579, 'Picarro Output'!$I:$I, 0, 'Picarro Output'!$J:$J, 1), "")</f>
        <v/>
      </c>
    </row>
    <row r="580" spans="2:5" x14ac:dyDescent="0.2">
      <c r="B580" s="1"/>
      <c r="E580" s="38" t="str">
        <f>IFERROR(AVERAGEIFS('Picarro Output'!G:G, 'Picarro Output'!$B:$B, 'Uncalibrated Data'!$C580, 'Picarro Output'!$I:$I, 0, 'Picarro Output'!$J:$J, 1), "")</f>
        <v/>
      </c>
    </row>
    <row r="581" spans="2:5" x14ac:dyDescent="0.2">
      <c r="B581" s="1"/>
      <c r="E581" s="38" t="str">
        <f>IFERROR(AVERAGEIFS('Picarro Output'!G:G, 'Picarro Output'!$B:$B, 'Uncalibrated Data'!$C581, 'Picarro Output'!$I:$I, 0, 'Picarro Output'!$J:$J, 1), "")</f>
        <v/>
      </c>
    </row>
    <row r="582" spans="2:5" x14ac:dyDescent="0.2">
      <c r="B582" s="1"/>
      <c r="E582" s="38" t="str">
        <f>IFERROR(AVERAGEIFS('Picarro Output'!G:G, 'Picarro Output'!$B:$B, 'Uncalibrated Data'!$C582, 'Picarro Output'!$I:$I, 0, 'Picarro Output'!$J:$J, 1), "")</f>
        <v/>
      </c>
    </row>
    <row r="583" spans="2:5" x14ac:dyDescent="0.2">
      <c r="B583" s="1"/>
      <c r="E583" s="38" t="str">
        <f>IFERROR(AVERAGEIFS('Picarro Output'!G:G, 'Picarro Output'!$B:$B, 'Uncalibrated Data'!$C583, 'Picarro Output'!$I:$I, 0, 'Picarro Output'!$J:$J, 1), "")</f>
        <v/>
      </c>
    </row>
    <row r="584" spans="2:5" x14ac:dyDescent="0.2">
      <c r="B584" s="1"/>
      <c r="E584" s="38" t="str">
        <f>IFERROR(AVERAGEIFS('Picarro Output'!G:G, 'Picarro Output'!$B:$B, 'Uncalibrated Data'!$C584, 'Picarro Output'!$I:$I, 0, 'Picarro Output'!$J:$J, 1), "")</f>
        <v/>
      </c>
    </row>
    <row r="585" spans="2:5" x14ac:dyDescent="0.2">
      <c r="B585" s="1"/>
      <c r="E585" s="38" t="str">
        <f>IFERROR(AVERAGEIFS('Picarro Output'!G:G, 'Picarro Output'!$B:$B, 'Uncalibrated Data'!$C585, 'Picarro Output'!$I:$I, 0, 'Picarro Output'!$J:$J, 1), "")</f>
        <v/>
      </c>
    </row>
    <row r="586" spans="2:5" x14ac:dyDescent="0.2">
      <c r="B586" s="1"/>
      <c r="E586" s="38" t="str">
        <f>IFERROR(AVERAGEIFS('Picarro Output'!G:G, 'Picarro Output'!$B:$B, 'Uncalibrated Data'!$C586, 'Picarro Output'!$I:$I, 0, 'Picarro Output'!$J:$J, 1), "")</f>
        <v/>
      </c>
    </row>
    <row r="587" spans="2:5" x14ac:dyDescent="0.2">
      <c r="B587" s="1"/>
      <c r="E587" s="38" t="str">
        <f>IFERROR(AVERAGEIFS('Picarro Output'!G:G, 'Picarro Output'!$B:$B, 'Uncalibrated Data'!$C587, 'Picarro Output'!$I:$I, 0, 'Picarro Output'!$J:$J, 1), "")</f>
        <v/>
      </c>
    </row>
    <row r="588" spans="2:5" x14ac:dyDescent="0.2">
      <c r="B588" s="1"/>
      <c r="E588" s="38" t="str">
        <f>IFERROR(AVERAGEIFS('Picarro Output'!G:G, 'Picarro Output'!$B:$B, 'Uncalibrated Data'!$C588, 'Picarro Output'!$I:$I, 0, 'Picarro Output'!$J:$J, 1), "")</f>
        <v/>
      </c>
    </row>
    <row r="589" spans="2:5" x14ac:dyDescent="0.2">
      <c r="B589" s="1"/>
      <c r="E589" s="38" t="str">
        <f>IFERROR(AVERAGEIFS('Picarro Output'!G:G, 'Picarro Output'!$B:$B, 'Uncalibrated Data'!$C589, 'Picarro Output'!$I:$I, 0, 'Picarro Output'!$J:$J, 1), "")</f>
        <v/>
      </c>
    </row>
    <row r="590" spans="2:5" x14ac:dyDescent="0.2">
      <c r="B590" s="1"/>
      <c r="E590" s="38" t="str">
        <f>IFERROR(AVERAGEIFS('Picarro Output'!G:G, 'Picarro Output'!$B:$B, 'Uncalibrated Data'!$C590, 'Picarro Output'!$I:$I, 0, 'Picarro Output'!$J:$J, 1), "")</f>
        <v/>
      </c>
    </row>
    <row r="591" spans="2:5" x14ac:dyDescent="0.2">
      <c r="B591" s="1"/>
      <c r="E591" s="38" t="str">
        <f>IFERROR(AVERAGEIFS('Picarro Output'!G:G, 'Picarro Output'!$B:$B, 'Uncalibrated Data'!$C591, 'Picarro Output'!$I:$I, 0, 'Picarro Output'!$J:$J, 1), "")</f>
        <v/>
      </c>
    </row>
    <row r="592" spans="2:5" x14ac:dyDescent="0.2">
      <c r="B592" s="1"/>
      <c r="E592" s="38" t="str">
        <f>IFERROR(AVERAGEIFS('Picarro Output'!G:G, 'Picarro Output'!$B:$B, 'Uncalibrated Data'!$C592, 'Picarro Output'!$I:$I, 0, 'Picarro Output'!$J:$J, 1), "")</f>
        <v/>
      </c>
    </row>
    <row r="593" spans="2:5" x14ac:dyDescent="0.2">
      <c r="B593" s="1"/>
      <c r="E593" s="38" t="str">
        <f>IFERROR(AVERAGEIFS('Picarro Output'!G:G, 'Picarro Output'!$B:$B, 'Uncalibrated Data'!$C593, 'Picarro Output'!$I:$I, 0, 'Picarro Output'!$J:$J, 1), "")</f>
        <v/>
      </c>
    </row>
    <row r="594" spans="2:5" x14ac:dyDescent="0.2">
      <c r="B594" s="1"/>
      <c r="E594" s="38" t="str">
        <f>IFERROR(AVERAGEIFS('Picarro Output'!G:G, 'Picarro Output'!$B:$B, 'Uncalibrated Data'!$C594, 'Picarro Output'!$I:$I, 0, 'Picarro Output'!$J:$J, 1), "")</f>
        <v/>
      </c>
    </row>
    <row r="595" spans="2:5" x14ac:dyDescent="0.2">
      <c r="B595" s="1"/>
      <c r="E595" s="38" t="str">
        <f>IFERROR(AVERAGEIFS('Picarro Output'!G:G, 'Picarro Output'!$B:$B, 'Uncalibrated Data'!$C595, 'Picarro Output'!$I:$I, 0, 'Picarro Output'!$J:$J, 1), "")</f>
        <v/>
      </c>
    </row>
    <row r="596" spans="2:5" x14ac:dyDescent="0.2">
      <c r="B596" s="1"/>
      <c r="E596" s="38" t="str">
        <f>IFERROR(AVERAGEIFS('Picarro Output'!G:G, 'Picarro Output'!$B:$B, 'Uncalibrated Data'!$C596, 'Picarro Output'!$I:$I, 0, 'Picarro Output'!$J:$J, 1), "")</f>
        <v/>
      </c>
    </row>
    <row r="597" spans="2:5" x14ac:dyDescent="0.2">
      <c r="B597" s="1"/>
      <c r="E597" s="38" t="str">
        <f>IFERROR(AVERAGEIFS('Picarro Output'!G:G, 'Picarro Output'!$B:$B, 'Uncalibrated Data'!$C597, 'Picarro Output'!$I:$I, 0, 'Picarro Output'!$J:$J, 1), "")</f>
        <v/>
      </c>
    </row>
    <row r="598" spans="2:5" x14ac:dyDescent="0.2">
      <c r="B598" s="1"/>
      <c r="E598" s="38" t="str">
        <f>IFERROR(AVERAGEIFS('Picarro Output'!G:G, 'Picarro Output'!$B:$B, 'Uncalibrated Data'!$C598, 'Picarro Output'!$I:$I, 0, 'Picarro Output'!$J:$J, 1), "")</f>
        <v/>
      </c>
    </row>
    <row r="599" spans="2:5" x14ac:dyDescent="0.2">
      <c r="B599" s="1"/>
      <c r="E599" s="38" t="str">
        <f>IFERROR(AVERAGEIFS('Picarro Output'!G:G, 'Picarro Output'!$B:$B, 'Uncalibrated Data'!$C599, 'Picarro Output'!$I:$I, 0, 'Picarro Output'!$J:$J, 1), "")</f>
        <v/>
      </c>
    </row>
    <row r="600" spans="2:5" x14ac:dyDescent="0.2">
      <c r="B600" s="1"/>
      <c r="E600" s="38" t="str">
        <f>IFERROR(AVERAGEIFS('Picarro Output'!G:G, 'Picarro Output'!$B:$B, 'Uncalibrated Data'!$C600, 'Picarro Output'!$I:$I, 0, 'Picarro Output'!$J:$J, 1), "")</f>
        <v/>
      </c>
    </row>
    <row r="601" spans="2:5" x14ac:dyDescent="0.2">
      <c r="B601" s="1"/>
      <c r="E601" s="38" t="str">
        <f>IFERROR(AVERAGEIFS('Picarro Output'!G:G, 'Picarro Output'!$B:$B, 'Uncalibrated Data'!$C601, 'Picarro Output'!$I:$I, 0, 'Picarro Output'!$J:$J, 1), "")</f>
        <v/>
      </c>
    </row>
    <row r="602" spans="2:5" x14ac:dyDescent="0.2">
      <c r="B602" s="1"/>
      <c r="E602" s="38" t="str">
        <f>IFERROR(AVERAGEIFS('Picarro Output'!G:G, 'Picarro Output'!$B:$B, 'Uncalibrated Data'!$C602, 'Picarro Output'!$I:$I, 0, 'Picarro Output'!$J:$J, 1), "")</f>
        <v/>
      </c>
    </row>
    <row r="603" spans="2:5" x14ac:dyDescent="0.2">
      <c r="B603" s="1"/>
      <c r="E603" s="38" t="str">
        <f>IFERROR(AVERAGEIFS('Picarro Output'!G:G, 'Picarro Output'!$B:$B, 'Uncalibrated Data'!$C603, 'Picarro Output'!$I:$I, 0, 'Picarro Output'!$J:$J, 1), "")</f>
        <v/>
      </c>
    </row>
    <row r="604" spans="2:5" x14ac:dyDescent="0.2">
      <c r="B604" s="1"/>
      <c r="E604" s="38" t="str">
        <f>IFERROR(AVERAGEIFS('Picarro Output'!G:G, 'Picarro Output'!$B:$B, 'Uncalibrated Data'!$C604, 'Picarro Output'!$I:$I, 0, 'Picarro Output'!$J:$J, 1), "")</f>
        <v/>
      </c>
    </row>
    <row r="605" spans="2:5" x14ac:dyDescent="0.2">
      <c r="B605" s="1"/>
      <c r="E605" s="38" t="str">
        <f>IFERROR(AVERAGEIFS('Picarro Output'!G:G, 'Picarro Output'!$B:$B, 'Uncalibrated Data'!$C605, 'Picarro Output'!$I:$I, 0, 'Picarro Output'!$J:$J, 1), "")</f>
        <v/>
      </c>
    </row>
    <row r="606" spans="2:5" x14ac:dyDescent="0.2">
      <c r="B606" s="1"/>
      <c r="E606" s="38" t="str">
        <f>IFERROR(AVERAGEIFS('Picarro Output'!G:G, 'Picarro Output'!$B:$B, 'Uncalibrated Data'!$C606, 'Picarro Output'!$I:$I, 0, 'Picarro Output'!$J:$J, 1), "")</f>
        <v/>
      </c>
    </row>
    <row r="607" spans="2:5" x14ac:dyDescent="0.2">
      <c r="B607" s="1"/>
      <c r="E607" s="38" t="str">
        <f>IFERROR(AVERAGEIFS('Picarro Output'!G:G, 'Picarro Output'!$B:$B, 'Uncalibrated Data'!$C607, 'Picarro Output'!$I:$I, 0, 'Picarro Output'!$J:$J, 1), "")</f>
        <v/>
      </c>
    </row>
    <row r="608" spans="2:5" x14ac:dyDescent="0.2">
      <c r="B608" s="1"/>
      <c r="E608" s="38" t="str">
        <f>IFERROR(AVERAGEIFS('Picarro Output'!G:G, 'Picarro Output'!$B:$B, 'Uncalibrated Data'!$C608, 'Picarro Output'!$I:$I, 0, 'Picarro Output'!$J:$J, 1), "")</f>
        <v/>
      </c>
    </row>
    <row r="609" spans="2:5" x14ac:dyDescent="0.2">
      <c r="B609" s="1"/>
      <c r="E609" s="38" t="str">
        <f>IFERROR(AVERAGEIFS('Picarro Output'!G:G, 'Picarro Output'!$B:$B, 'Uncalibrated Data'!$C609, 'Picarro Output'!$I:$I, 0, 'Picarro Output'!$J:$J, 1), "")</f>
        <v/>
      </c>
    </row>
    <row r="610" spans="2:5" x14ac:dyDescent="0.2">
      <c r="B610" s="1"/>
      <c r="E610" s="38" t="str">
        <f>IFERROR(AVERAGEIFS('Picarro Output'!G:G, 'Picarro Output'!$B:$B, 'Uncalibrated Data'!$C610, 'Picarro Output'!$I:$I, 0, 'Picarro Output'!$J:$J, 1), "")</f>
        <v/>
      </c>
    </row>
    <row r="611" spans="2:5" x14ac:dyDescent="0.2">
      <c r="B611" s="1"/>
      <c r="E611" s="38" t="str">
        <f>IFERROR(AVERAGEIFS('Picarro Output'!G:G, 'Picarro Output'!$B:$B, 'Uncalibrated Data'!$C611, 'Picarro Output'!$I:$I, 0, 'Picarro Output'!$J:$J, 1), "")</f>
        <v/>
      </c>
    </row>
    <row r="612" spans="2:5" x14ac:dyDescent="0.2">
      <c r="B612" s="1"/>
      <c r="E612" s="38" t="str">
        <f>IFERROR(AVERAGEIFS('Picarro Output'!G:G, 'Picarro Output'!$B:$B, 'Uncalibrated Data'!$C612, 'Picarro Output'!$I:$I, 0, 'Picarro Output'!$J:$J, 1), "")</f>
        <v/>
      </c>
    </row>
    <row r="613" spans="2:5" x14ac:dyDescent="0.2">
      <c r="B613" s="1"/>
      <c r="E613" s="38" t="str">
        <f>IFERROR(AVERAGEIFS('Picarro Output'!G:G, 'Picarro Output'!$B:$B, 'Uncalibrated Data'!$C613, 'Picarro Output'!$I:$I, 0, 'Picarro Output'!$J:$J, 1), "")</f>
        <v/>
      </c>
    </row>
    <row r="614" spans="2:5" x14ac:dyDescent="0.2">
      <c r="B614" s="1"/>
      <c r="E614" s="38" t="str">
        <f>IFERROR(AVERAGEIFS('Picarro Output'!G:G, 'Picarro Output'!$B:$B, 'Uncalibrated Data'!$C614, 'Picarro Output'!$I:$I, 0, 'Picarro Output'!$J:$J, 1), "")</f>
        <v/>
      </c>
    </row>
    <row r="615" spans="2:5" x14ac:dyDescent="0.2">
      <c r="B615" s="1"/>
      <c r="E615" s="38" t="str">
        <f>IFERROR(AVERAGEIFS('Picarro Output'!G:G, 'Picarro Output'!$B:$B, 'Uncalibrated Data'!$C615, 'Picarro Output'!$I:$I, 0, 'Picarro Output'!$J:$J, 1), "")</f>
        <v/>
      </c>
    </row>
    <row r="616" spans="2:5" x14ac:dyDescent="0.2">
      <c r="B616" s="1"/>
      <c r="E616" s="38" t="str">
        <f>IFERROR(AVERAGEIFS('Picarro Output'!G:G, 'Picarro Output'!$B:$B, 'Uncalibrated Data'!$C616, 'Picarro Output'!$I:$I, 0, 'Picarro Output'!$J:$J, 1), "")</f>
        <v/>
      </c>
    </row>
    <row r="617" spans="2:5" x14ac:dyDescent="0.2">
      <c r="B617" s="1"/>
      <c r="E617" s="38" t="str">
        <f>IFERROR(AVERAGEIFS('Picarro Output'!G:G, 'Picarro Output'!$B:$B, 'Uncalibrated Data'!$C617, 'Picarro Output'!$I:$I, 0, 'Picarro Output'!$J:$J, 1), "")</f>
        <v/>
      </c>
    </row>
    <row r="618" spans="2:5" x14ac:dyDescent="0.2">
      <c r="B618" s="1"/>
      <c r="E618" s="38" t="str">
        <f>IFERROR(AVERAGEIFS('Picarro Output'!G:G, 'Picarro Output'!$B:$B, 'Uncalibrated Data'!$C618, 'Picarro Output'!$I:$I, 0, 'Picarro Output'!$J:$J, 1), "")</f>
        <v/>
      </c>
    </row>
    <row r="619" spans="2:5" x14ac:dyDescent="0.2">
      <c r="B619" s="1"/>
      <c r="E619" s="38" t="str">
        <f>IFERROR(AVERAGEIFS('Picarro Output'!G:G, 'Picarro Output'!$B:$B, 'Uncalibrated Data'!$C619, 'Picarro Output'!$I:$I, 0, 'Picarro Output'!$J:$J, 1), "")</f>
        <v/>
      </c>
    </row>
    <row r="620" spans="2:5" x14ac:dyDescent="0.2">
      <c r="B620" s="1"/>
      <c r="E620" s="38" t="str">
        <f>IFERROR(AVERAGEIFS('Picarro Output'!G:G, 'Picarro Output'!$B:$B, 'Uncalibrated Data'!$C620, 'Picarro Output'!$I:$I, 0, 'Picarro Output'!$J:$J, 1), "")</f>
        <v/>
      </c>
    </row>
    <row r="621" spans="2:5" x14ac:dyDescent="0.2">
      <c r="B621" s="1"/>
      <c r="E621" s="38" t="str">
        <f>IFERROR(AVERAGEIFS('Picarro Output'!G:G, 'Picarro Output'!$B:$B, 'Uncalibrated Data'!$C621, 'Picarro Output'!$I:$I, 0, 'Picarro Output'!$J:$J, 1), "")</f>
        <v/>
      </c>
    </row>
    <row r="622" spans="2:5" x14ac:dyDescent="0.2">
      <c r="B622" s="1"/>
      <c r="E622" s="38" t="str">
        <f>IFERROR(AVERAGEIFS('Picarro Output'!G:G, 'Picarro Output'!$B:$B, 'Uncalibrated Data'!$C622, 'Picarro Output'!$I:$I, 0, 'Picarro Output'!$J:$J, 1), "")</f>
        <v/>
      </c>
    </row>
    <row r="623" spans="2:5" x14ac:dyDescent="0.2">
      <c r="B623" s="1"/>
      <c r="E623" s="38" t="str">
        <f>IFERROR(AVERAGEIFS('Picarro Output'!G:G, 'Picarro Output'!$B:$B, 'Uncalibrated Data'!$C623, 'Picarro Output'!$I:$I, 0, 'Picarro Output'!$J:$J, 1), "")</f>
        <v/>
      </c>
    </row>
    <row r="624" spans="2:5" x14ac:dyDescent="0.2">
      <c r="B624" s="1"/>
      <c r="E624" s="38" t="str">
        <f>IFERROR(AVERAGEIFS('Picarro Output'!G:G, 'Picarro Output'!$B:$B, 'Uncalibrated Data'!$C624, 'Picarro Output'!$I:$I, 0, 'Picarro Output'!$J:$J, 1), "")</f>
        <v/>
      </c>
    </row>
    <row r="625" spans="2:5" x14ac:dyDescent="0.2">
      <c r="B625" s="1"/>
      <c r="E625" s="38" t="str">
        <f>IFERROR(AVERAGEIFS('Picarro Output'!G:G, 'Picarro Output'!$B:$B, 'Uncalibrated Data'!$C625, 'Picarro Output'!$I:$I, 0, 'Picarro Output'!$J:$J, 1), "")</f>
        <v/>
      </c>
    </row>
    <row r="626" spans="2:5" x14ac:dyDescent="0.2">
      <c r="B626" s="1"/>
      <c r="E626" s="38" t="str">
        <f>IFERROR(AVERAGEIFS('Picarro Output'!G:G, 'Picarro Output'!$B:$B, 'Uncalibrated Data'!$C626, 'Picarro Output'!$I:$I, 0, 'Picarro Output'!$J:$J, 1), "")</f>
        <v/>
      </c>
    </row>
    <row r="627" spans="2:5" x14ac:dyDescent="0.2">
      <c r="B627" s="1"/>
      <c r="E627" s="38" t="str">
        <f>IFERROR(AVERAGEIFS('Picarro Output'!G:G, 'Picarro Output'!$B:$B, 'Uncalibrated Data'!$C627, 'Picarro Output'!$I:$I, 0, 'Picarro Output'!$J:$J, 1), "")</f>
        <v/>
      </c>
    </row>
    <row r="628" spans="2:5" x14ac:dyDescent="0.2">
      <c r="B628" s="1"/>
      <c r="E628" s="38" t="str">
        <f>IFERROR(AVERAGEIFS('Picarro Output'!G:G, 'Picarro Output'!$B:$B, 'Uncalibrated Data'!$C628, 'Picarro Output'!$I:$I, 0, 'Picarro Output'!$J:$J, 1), "")</f>
        <v/>
      </c>
    </row>
    <row r="629" spans="2:5" x14ac:dyDescent="0.2">
      <c r="B629" s="1"/>
      <c r="E629" s="38" t="str">
        <f>IFERROR(AVERAGEIFS('Picarro Output'!G:G, 'Picarro Output'!$B:$B, 'Uncalibrated Data'!$C629, 'Picarro Output'!$I:$I, 0, 'Picarro Output'!$J:$J, 1), "")</f>
        <v/>
      </c>
    </row>
    <row r="630" spans="2:5" x14ac:dyDescent="0.2">
      <c r="B630" s="1"/>
      <c r="E630" s="38" t="str">
        <f>IFERROR(AVERAGEIFS('Picarro Output'!G:G, 'Picarro Output'!$B:$B, 'Uncalibrated Data'!$C630, 'Picarro Output'!$I:$I, 0, 'Picarro Output'!$J:$J, 1), "")</f>
        <v/>
      </c>
    </row>
    <row r="631" spans="2:5" x14ac:dyDescent="0.2">
      <c r="B631" s="1"/>
      <c r="E631" s="38" t="str">
        <f>IFERROR(AVERAGEIFS('Picarro Output'!G:G, 'Picarro Output'!$B:$B, 'Uncalibrated Data'!$C631, 'Picarro Output'!$I:$I, 0, 'Picarro Output'!$J:$J, 1), "")</f>
        <v/>
      </c>
    </row>
    <row r="632" spans="2:5" x14ac:dyDescent="0.2">
      <c r="B632" s="1"/>
      <c r="E632" s="38" t="str">
        <f>IFERROR(AVERAGEIFS('Picarro Output'!G:G, 'Picarro Output'!$B:$B, 'Uncalibrated Data'!$C632, 'Picarro Output'!$I:$I, 0, 'Picarro Output'!$J:$J, 1), "")</f>
        <v/>
      </c>
    </row>
    <row r="633" spans="2:5" x14ac:dyDescent="0.2">
      <c r="B633" s="1"/>
      <c r="E633" s="38" t="str">
        <f>IFERROR(AVERAGEIFS('Picarro Output'!G:G, 'Picarro Output'!$B:$B, 'Uncalibrated Data'!$C633, 'Picarro Output'!$I:$I, 0, 'Picarro Output'!$J:$J, 1), "")</f>
        <v/>
      </c>
    </row>
    <row r="634" spans="2:5" x14ac:dyDescent="0.2">
      <c r="B634" s="1"/>
      <c r="E634" s="38" t="str">
        <f>IFERROR(AVERAGEIFS('Picarro Output'!G:G, 'Picarro Output'!$B:$B, 'Uncalibrated Data'!$C634, 'Picarro Output'!$I:$I, 0, 'Picarro Output'!$J:$J, 1), "")</f>
        <v/>
      </c>
    </row>
    <row r="635" spans="2:5" x14ac:dyDescent="0.2">
      <c r="B635" s="1"/>
      <c r="E635" s="38" t="str">
        <f>IFERROR(AVERAGEIFS('Picarro Output'!G:G, 'Picarro Output'!$B:$B, 'Uncalibrated Data'!$C635, 'Picarro Output'!$I:$I, 0, 'Picarro Output'!$J:$J, 1), "")</f>
        <v/>
      </c>
    </row>
    <row r="636" spans="2:5" x14ac:dyDescent="0.2">
      <c r="B636" s="1"/>
      <c r="E636" s="38" t="str">
        <f>IFERROR(AVERAGEIFS('Picarro Output'!G:G, 'Picarro Output'!$B:$B, 'Uncalibrated Data'!$C636, 'Picarro Output'!$I:$I, 0, 'Picarro Output'!$J:$J, 1), "")</f>
        <v/>
      </c>
    </row>
    <row r="637" spans="2:5" x14ac:dyDescent="0.2">
      <c r="B637" s="1"/>
      <c r="E637" s="38" t="str">
        <f>IFERROR(AVERAGEIFS('Picarro Output'!G:G, 'Picarro Output'!$B:$B, 'Uncalibrated Data'!$C637, 'Picarro Output'!$I:$I, 0, 'Picarro Output'!$J:$J, 1), "")</f>
        <v/>
      </c>
    </row>
    <row r="638" spans="2:5" x14ac:dyDescent="0.2">
      <c r="B638" s="1"/>
      <c r="E638" s="38" t="str">
        <f>IFERROR(AVERAGEIFS('Picarro Output'!G:G, 'Picarro Output'!$B:$B, 'Uncalibrated Data'!$C638, 'Picarro Output'!$I:$I, 0, 'Picarro Output'!$J:$J, 1), "")</f>
        <v/>
      </c>
    </row>
    <row r="639" spans="2:5" x14ac:dyDescent="0.2">
      <c r="B639" s="1"/>
      <c r="E639" s="38" t="str">
        <f>IFERROR(AVERAGEIFS('Picarro Output'!G:G, 'Picarro Output'!$B:$B, 'Uncalibrated Data'!$C639, 'Picarro Output'!$I:$I, 0, 'Picarro Output'!$J:$J, 1), "")</f>
        <v/>
      </c>
    </row>
    <row r="640" spans="2:5" x14ac:dyDescent="0.2">
      <c r="B640" s="1"/>
      <c r="E640" s="38" t="str">
        <f>IFERROR(AVERAGEIFS('Picarro Output'!G:G, 'Picarro Output'!$B:$B, 'Uncalibrated Data'!$C640, 'Picarro Output'!$I:$I, 0, 'Picarro Output'!$J:$J, 1), "")</f>
        <v/>
      </c>
    </row>
    <row r="641" spans="2:5" x14ac:dyDescent="0.2">
      <c r="B641" s="1"/>
      <c r="E641" s="38" t="str">
        <f>IFERROR(AVERAGEIFS('Picarro Output'!G:G, 'Picarro Output'!$B:$B, 'Uncalibrated Data'!$C641, 'Picarro Output'!$I:$I, 0, 'Picarro Output'!$J:$J, 1), "")</f>
        <v/>
      </c>
    </row>
    <row r="642" spans="2:5" x14ac:dyDescent="0.2">
      <c r="B642" s="1"/>
      <c r="E642" s="38" t="str">
        <f>IFERROR(AVERAGEIFS('Picarro Output'!G:G, 'Picarro Output'!$B:$B, 'Uncalibrated Data'!$C642, 'Picarro Output'!$I:$I, 0, 'Picarro Output'!$J:$J, 1), "")</f>
        <v/>
      </c>
    </row>
    <row r="643" spans="2:5" x14ac:dyDescent="0.2">
      <c r="B643" s="1"/>
      <c r="E643" s="38" t="str">
        <f>IFERROR(AVERAGEIFS('Picarro Output'!G:G, 'Picarro Output'!$B:$B, 'Uncalibrated Data'!$C643, 'Picarro Output'!$I:$I, 0, 'Picarro Output'!$J:$J, 1), "")</f>
        <v/>
      </c>
    </row>
    <row r="644" spans="2:5" x14ac:dyDescent="0.2">
      <c r="B644" s="1"/>
      <c r="E644" s="38" t="str">
        <f>IFERROR(AVERAGEIFS('Picarro Output'!G:G, 'Picarro Output'!$B:$B, 'Uncalibrated Data'!$C644, 'Picarro Output'!$I:$I, 0, 'Picarro Output'!$J:$J, 1), "")</f>
        <v/>
      </c>
    </row>
    <row r="645" spans="2:5" x14ac:dyDescent="0.2">
      <c r="B645" s="1"/>
      <c r="E645" s="38" t="str">
        <f>IFERROR(AVERAGEIFS('Picarro Output'!G:G, 'Picarro Output'!$B:$B, 'Uncalibrated Data'!$C645, 'Picarro Output'!$I:$I, 0, 'Picarro Output'!$J:$J, 1), "")</f>
        <v/>
      </c>
    </row>
    <row r="646" spans="2:5" x14ac:dyDescent="0.2">
      <c r="B646" s="1"/>
      <c r="E646" s="38" t="str">
        <f>IFERROR(AVERAGEIFS('Picarro Output'!G:G, 'Picarro Output'!$B:$B, 'Uncalibrated Data'!$C646, 'Picarro Output'!$I:$I, 0, 'Picarro Output'!$J:$J, 1), "")</f>
        <v/>
      </c>
    </row>
    <row r="647" spans="2:5" x14ac:dyDescent="0.2">
      <c r="B647" s="1"/>
      <c r="E647" s="38" t="str">
        <f>IFERROR(AVERAGEIFS('Picarro Output'!G:G, 'Picarro Output'!$B:$B, 'Uncalibrated Data'!$C647, 'Picarro Output'!$I:$I, 0, 'Picarro Output'!$J:$J, 1), "")</f>
        <v/>
      </c>
    </row>
    <row r="648" spans="2:5" x14ac:dyDescent="0.2">
      <c r="B648" s="1"/>
      <c r="E648" s="38" t="str">
        <f>IFERROR(AVERAGEIFS('Picarro Output'!G:G, 'Picarro Output'!$B:$B, 'Uncalibrated Data'!$C648, 'Picarro Output'!$I:$I, 0, 'Picarro Output'!$J:$J, 1), "")</f>
        <v/>
      </c>
    </row>
    <row r="649" spans="2:5" x14ac:dyDescent="0.2">
      <c r="B649" s="1"/>
      <c r="E649" s="38" t="str">
        <f>IFERROR(AVERAGEIFS('Picarro Output'!G:G, 'Picarro Output'!$B:$B, 'Uncalibrated Data'!$C649, 'Picarro Output'!$I:$I, 0, 'Picarro Output'!$J:$J, 1), "")</f>
        <v/>
      </c>
    </row>
    <row r="650" spans="2:5" x14ac:dyDescent="0.2">
      <c r="B650" s="1"/>
      <c r="E650" s="38" t="str">
        <f>IFERROR(AVERAGEIFS('Picarro Output'!G:G, 'Picarro Output'!$B:$B, 'Uncalibrated Data'!$C650, 'Picarro Output'!$I:$I, 0, 'Picarro Output'!$J:$J, 1), "")</f>
        <v/>
      </c>
    </row>
    <row r="651" spans="2:5" x14ac:dyDescent="0.2">
      <c r="B651" s="1"/>
      <c r="E651" s="38" t="str">
        <f>IFERROR(AVERAGEIFS('Picarro Output'!G:G, 'Picarro Output'!$B:$B, 'Uncalibrated Data'!$C651, 'Picarro Output'!$I:$I, 0, 'Picarro Output'!$J:$J, 1), "")</f>
        <v/>
      </c>
    </row>
    <row r="652" spans="2:5" x14ac:dyDescent="0.2">
      <c r="B652" s="1"/>
      <c r="E652" s="38" t="str">
        <f>IFERROR(AVERAGEIFS('Picarro Output'!G:G, 'Picarro Output'!$B:$B, 'Uncalibrated Data'!$C652, 'Picarro Output'!$I:$I, 0, 'Picarro Output'!$J:$J, 1), "")</f>
        <v/>
      </c>
    </row>
    <row r="653" spans="2:5" x14ac:dyDescent="0.2">
      <c r="B653" s="1"/>
      <c r="E653" s="38" t="str">
        <f>IFERROR(AVERAGEIFS('Picarro Output'!G:G, 'Picarro Output'!$B:$B, 'Uncalibrated Data'!$C653, 'Picarro Output'!$I:$I, 0, 'Picarro Output'!$J:$J, 1), "")</f>
        <v/>
      </c>
    </row>
    <row r="654" spans="2:5" x14ac:dyDescent="0.2">
      <c r="B654" s="1"/>
      <c r="E654" s="38" t="str">
        <f>IFERROR(AVERAGEIFS('Picarro Output'!G:G, 'Picarro Output'!$B:$B, 'Uncalibrated Data'!$C654, 'Picarro Output'!$I:$I, 0, 'Picarro Output'!$J:$J, 1), "")</f>
        <v/>
      </c>
    </row>
    <row r="655" spans="2:5" x14ac:dyDescent="0.2">
      <c r="B655" s="1"/>
      <c r="E655" s="38" t="str">
        <f>IFERROR(AVERAGEIFS('Picarro Output'!G:G, 'Picarro Output'!$B:$B, 'Uncalibrated Data'!$C655, 'Picarro Output'!$I:$I, 0, 'Picarro Output'!$J:$J, 1), "")</f>
        <v/>
      </c>
    </row>
    <row r="656" spans="2:5" x14ac:dyDescent="0.2">
      <c r="B656" s="1"/>
      <c r="E656" s="38" t="str">
        <f>IFERROR(AVERAGEIFS('Picarro Output'!G:G, 'Picarro Output'!$B:$B, 'Uncalibrated Data'!$C656, 'Picarro Output'!$I:$I, 0, 'Picarro Output'!$J:$J, 1), "")</f>
        <v/>
      </c>
    </row>
    <row r="657" spans="2:5" x14ac:dyDescent="0.2">
      <c r="B657" s="1"/>
      <c r="E657" s="38" t="str">
        <f>IFERROR(AVERAGEIFS('Picarro Output'!G:G, 'Picarro Output'!$B:$B, 'Uncalibrated Data'!$C657, 'Picarro Output'!$I:$I, 0, 'Picarro Output'!$J:$J, 1), "")</f>
        <v/>
      </c>
    </row>
    <row r="658" spans="2:5" x14ac:dyDescent="0.2">
      <c r="B658" s="1"/>
      <c r="E658" s="38" t="str">
        <f>IFERROR(AVERAGEIFS('Picarro Output'!G:G, 'Picarro Output'!$B:$B, 'Uncalibrated Data'!$C658, 'Picarro Output'!$I:$I, 0, 'Picarro Output'!$J:$J, 1), "")</f>
        <v/>
      </c>
    </row>
    <row r="659" spans="2:5" x14ac:dyDescent="0.2">
      <c r="B659" s="1"/>
      <c r="E659" s="38" t="str">
        <f>IFERROR(AVERAGEIFS('Picarro Output'!G:G, 'Picarro Output'!$B:$B, 'Uncalibrated Data'!$C659, 'Picarro Output'!$I:$I, 0, 'Picarro Output'!$J:$J, 1), "")</f>
        <v/>
      </c>
    </row>
    <row r="660" spans="2:5" x14ac:dyDescent="0.2">
      <c r="B660" s="1"/>
      <c r="E660" s="38" t="str">
        <f>IFERROR(AVERAGEIFS('Picarro Output'!G:G, 'Picarro Output'!$B:$B, 'Uncalibrated Data'!$C660, 'Picarro Output'!$I:$I, 0, 'Picarro Output'!$J:$J, 1), "")</f>
        <v/>
      </c>
    </row>
    <row r="661" spans="2:5" x14ac:dyDescent="0.2">
      <c r="B661" s="1"/>
      <c r="E661" s="38" t="str">
        <f>IFERROR(AVERAGEIFS('Picarro Output'!G:G, 'Picarro Output'!$B:$B, 'Uncalibrated Data'!$C661, 'Picarro Output'!$I:$I, 0, 'Picarro Output'!$J:$J, 1), "")</f>
        <v/>
      </c>
    </row>
    <row r="662" spans="2:5" x14ac:dyDescent="0.2">
      <c r="B662" s="1"/>
      <c r="E662" s="38" t="str">
        <f>IFERROR(AVERAGEIFS('Picarro Output'!G:G, 'Picarro Output'!$B:$B, 'Uncalibrated Data'!$C662, 'Picarro Output'!$I:$I, 0, 'Picarro Output'!$J:$J, 1), "")</f>
        <v/>
      </c>
    </row>
    <row r="663" spans="2:5" x14ac:dyDescent="0.2">
      <c r="B663" s="1"/>
      <c r="E663" s="38" t="str">
        <f>IFERROR(AVERAGEIFS('Picarro Output'!G:G, 'Picarro Output'!$B:$B, 'Uncalibrated Data'!$C663, 'Picarro Output'!$I:$I, 0, 'Picarro Output'!$J:$J, 1), "")</f>
        <v/>
      </c>
    </row>
    <row r="664" spans="2:5" x14ac:dyDescent="0.2">
      <c r="B664" s="1"/>
      <c r="E664" s="38" t="str">
        <f>IFERROR(AVERAGEIFS('Picarro Output'!G:G, 'Picarro Output'!$B:$B, 'Uncalibrated Data'!$C664, 'Picarro Output'!$I:$I, 0, 'Picarro Output'!$J:$J, 1), "")</f>
        <v/>
      </c>
    </row>
    <row r="665" spans="2:5" x14ac:dyDescent="0.2">
      <c r="B665" s="1"/>
      <c r="E665" s="38" t="str">
        <f>IFERROR(AVERAGEIFS('Picarro Output'!G:G, 'Picarro Output'!$B:$B, 'Uncalibrated Data'!$C665, 'Picarro Output'!$I:$I, 0, 'Picarro Output'!$J:$J, 1), "")</f>
        <v/>
      </c>
    </row>
    <row r="666" spans="2:5" x14ac:dyDescent="0.2">
      <c r="B666" s="1"/>
      <c r="E666" s="38" t="str">
        <f>IFERROR(AVERAGEIFS('Picarro Output'!G:G, 'Picarro Output'!$B:$B, 'Uncalibrated Data'!$C666, 'Picarro Output'!$I:$I, 0, 'Picarro Output'!$J:$J, 1), "")</f>
        <v/>
      </c>
    </row>
    <row r="667" spans="2:5" x14ac:dyDescent="0.2">
      <c r="B667" s="1"/>
      <c r="E667" s="38" t="str">
        <f>IFERROR(AVERAGEIFS('Picarro Output'!G:G, 'Picarro Output'!$B:$B, 'Uncalibrated Data'!$C667, 'Picarro Output'!$I:$I, 0, 'Picarro Output'!$J:$J, 1), "")</f>
        <v/>
      </c>
    </row>
    <row r="668" spans="2:5" x14ac:dyDescent="0.2">
      <c r="B668" s="1"/>
      <c r="E668" s="38" t="str">
        <f>IFERROR(AVERAGEIFS('Picarro Output'!G:G, 'Picarro Output'!$B:$B, 'Uncalibrated Data'!$C668, 'Picarro Output'!$I:$I, 0, 'Picarro Output'!$J:$J, 1), "")</f>
        <v/>
      </c>
    </row>
    <row r="669" spans="2:5" x14ac:dyDescent="0.2">
      <c r="B669" s="1"/>
      <c r="E669" s="38" t="str">
        <f>IFERROR(AVERAGEIFS('Picarro Output'!G:G, 'Picarro Output'!$B:$B, 'Uncalibrated Data'!$C669, 'Picarro Output'!$I:$I, 0, 'Picarro Output'!$J:$J, 1), "")</f>
        <v/>
      </c>
    </row>
    <row r="670" spans="2:5" x14ac:dyDescent="0.2">
      <c r="B670" s="1"/>
      <c r="E670" s="38" t="str">
        <f>IFERROR(AVERAGEIFS('Picarro Output'!G:G, 'Picarro Output'!$B:$B, 'Uncalibrated Data'!$C670, 'Picarro Output'!$I:$I, 0, 'Picarro Output'!$J:$J, 1), "")</f>
        <v/>
      </c>
    </row>
    <row r="671" spans="2:5" x14ac:dyDescent="0.2">
      <c r="B671" s="1"/>
      <c r="E671" s="38" t="str">
        <f>IFERROR(AVERAGEIFS('Picarro Output'!G:G, 'Picarro Output'!$B:$B, 'Uncalibrated Data'!$C671, 'Picarro Output'!$I:$I, 0, 'Picarro Output'!$J:$J, 1), "")</f>
        <v/>
      </c>
    </row>
    <row r="672" spans="2:5" x14ac:dyDescent="0.2">
      <c r="B672" s="1"/>
      <c r="E672" s="38" t="str">
        <f>IFERROR(AVERAGEIFS('Picarro Output'!G:G, 'Picarro Output'!$B:$B, 'Uncalibrated Data'!$C672, 'Picarro Output'!$I:$I, 0, 'Picarro Output'!$J:$J, 1), "")</f>
        <v/>
      </c>
    </row>
    <row r="673" spans="2:5" x14ac:dyDescent="0.2">
      <c r="B673" s="1"/>
      <c r="E673" s="38" t="str">
        <f>IFERROR(AVERAGEIFS('Picarro Output'!G:G, 'Picarro Output'!$B:$B, 'Uncalibrated Data'!$C673, 'Picarro Output'!$I:$I, 0, 'Picarro Output'!$J:$J, 1), "")</f>
        <v/>
      </c>
    </row>
    <row r="674" spans="2:5" x14ac:dyDescent="0.2">
      <c r="B674" s="1"/>
      <c r="E674" s="38" t="str">
        <f>IFERROR(AVERAGEIFS('Picarro Output'!G:G, 'Picarro Output'!$B:$B, 'Uncalibrated Data'!$C674, 'Picarro Output'!$I:$I, 0, 'Picarro Output'!$J:$J, 1), "")</f>
        <v/>
      </c>
    </row>
    <row r="675" spans="2:5" x14ac:dyDescent="0.2">
      <c r="B675" s="1"/>
      <c r="E675" s="38" t="str">
        <f>IFERROR(AVERAGEIFS('Picarro Output'!G:G, 'Picarro Output'!$B:$B, 'Uncalibrated Data'!$C675, 'Picarro Output'!$I:$I, 0, 'Picarro Output'!$J:$J, 1), "")</f>
        <v/>
      </c>
    </row>
    <row r="676" spans="2:5" x14ac:dyDescent="0.2">
      <c r="B676" s="1"/>
      <c r="E676" s="38" t="str">
        <f>IFERROR(AVERAGEIFS('Picarro Output'!G:G, 'Picarro Output'!$B:$B, 'Uncalibrated Data'!$C676, 'Picarro Output'!$I:$I, 0, 'Picarro Output'!$J:$J, 1), "")</f>
        <v/>
      </c>
    </row>
    <row r="677" spans="2:5" x14ac:dyDescent="0.2">
      <c r="B677" s="1"/>
      <c r="E677" s="38" t="str">
        <f>IFERROR(AVERAGEIFS('Picarro Output'!G:G, 'Picarro Output'!$B:$B, 'Uncalibrated Data'!$C677, 'Picarro Output'!$I:$I, 0, 'Picarro Output'!$J:$J, 1), "")</f>
        <v/>
      </c>
    </row>
    <row r="678" spans="2:5" x14ac:dyDescent="0.2">
      <c r="B678" s="1"/>
      <c r="E678" s="38" t="str">
        <f>IFERROR(AVERAGEIFS('Picarro Output'!G:G, 'Picarro Output'!$B:$B, 'Uncalibrated Data'!$C678, 'Picarro Output'!$I:$I, 0, 'Picarro Output'!$J:$J, 1), "")</f>
        <v/>
      </c>
    </row>
    <row r="679" spans="2:5" x14ac:dyDescent="0.2">
      <c r="B679" s="1"/>
      <c r="E679" s="38" t="str">
        <f>IFERROR(AVERAGEIFS('Picarro Output'!G:G, 'Picarro Output'!$B:$B, 'Uncalibrated Data'!$C679, 'Picarro Output'!$I:$I, 0, 'Picarro Output'!$J:$J, 1), "")</f>
        <v/>
      </c>
    </row>
    <row r="680" spans="2:5" x14ac:dyDescent="0.2">
      <c r="B680" s="1"/>
      <c r="E680" s="38" t="str">
        <f>IFERROR(AVERAGEIFS('Picarro Output'!G:G, 'Picarro Output'!$B:$B, 'Uncalibrated Data'!$C680, 'Picarro Output'!$I:$I, 0, 'Picarro Output'!$J:$J, 1), "")</f>
        <v/>
      </c>
    </row>
    <row r="681" spans="2:5" x14ac:dyDescent="0.2">
      <c r="B681" s="1"/>
      <c r="E681" s="38" t="str">
        <f>IFERROR(AVERAGEIFS('Picarro Output'!G:G, 'Picarro Output'!$B:$B, 'Uncalibrated Data'!$C681, 'Picarro Output'!$I:$I, 0, 'Picarro Output'!$J:$J, 1), "")</f>
        <v/>
      </c>
    </row>
    <row r="682" spans="2:5" x14ac:dyDescent="0.2">
      <c r="B682" s="1"/>
      <c r="E682" s="38" t="str">
        <f>IFERROR(AVERAGEIFS('Picarro Output'!G:G, 'Picarro Output'!$B:$B, 'Uncalibrated Data'!$C682, 'Picarro Output'!$I:$I, 0, 'Picarro Output'!$J:$J, 1), "")</f>
        <v/>
      </c>
    </row>
    <row r="683" spans="2:5" x14ac:dyDescent="0.2">
      <c r="B683" s="1"/>
      <c r="E683" s="38" t="str">
        <f>IFERROR(AVERAGEIFS('Picarro Output'!G:G, 'Picarro Output'!$B:$B, 'Uncalibrated Data'!$C683, 'Picarro Output'!$I:$I, 0, 'Picarro Output'!$J:$J, 1), "")</f>
        <v/>
      </c>
    </row>
    <row r="684" spans="2:5" x14ac:dyDescent="0.2">
      <c r="B684" s="1"/>
      <c r="E684" s="38" t="str">
        <f>IFERROR(AVERAGEIFS('Picarro Output'!G:G, 'Picarro Output'!$B:$B, 'Uncalibrated Data'!$C684, 'Picarro Output'!$I:$I, 0, 'Picarro Output'!$J:$J, 1), "")</f>
        <v/>
      </c>
    </row>
    <row r="685" spans="2:5" x14ac:dyDescent="0.2">
      <c r="B685" s="1"/>
      <c r="E685" s="38" t="str">
        <f>IFERROR(AVERAGEIFS('Picarro Output'!G:G, 'Picarro Output'!$B:$B, 'Uncalibrated Data'!$C685, 'Picarro Output'!$I:$I, 0, 'Picarro Output'!$J:$J, 1), "")</f>
        <v/>
      </c>
    </row>
    <row r="686" spans="2:5" x14ac:dyDescent="0.2">
      <c r="B686" s="1"/>
      <c r="E686" s="38" t="str">
        <f>IFERROR(AVERAGEIFS('Picarro Output'!G:G, 'Picarro Output'!$B:$B, 'Uncalibrated Data'!$C686, 'Picarro Output'!$I:$I, 0, 'Picarro Output'!$J:$J, 1), "")</f>
        <v/>
      </c>
    </row>
    <row r="687" spans="2:5" x14ac:dyDescent="0.2">
      <c r="B687" s="1"/>
      <c r="E687" s="38" t="str">
        <f>IFERROR(AVERAGEIFS('Picarro Output'!G:G, 'Picarro Output'!$B:$B, 'Uncalibrated Data'!$C687, 'Picarro Output'!$I:$I, 0, 'Picarro Output'!$J:$J, 1), "")</f>
        <v/>
      </c>
    </row>
    <row r="688" spans="2:5" x14ac:dyDescent="0.2">
      <c r="B688" s="1"/>
      <c r="E688" s="38" t="str">
        <f>IFERROR(AVERAGEIFS('Picarro Output'!G:G, 'Picarro Output'!$B:$B, 'Uncalibrated Data'!$C688, 'Picarro Output'!$I:$I, 0, 'Picarro Output'!$J:$J, 1), "")</f>
        <v/>
      </c>
    </row>
    <row r="689" spans="2:5" x14ac:dyDescent="0.2">
      <c r="B689" s="1"/>
      <c r="E689" s="38" t="str">
        <f>IFERROR(AVERAGEIFS('Picarro Output'!G:G, 'Picarro Output'!$B:$B, 'Uncalibrated Data'!$C689, 'Picarro Output'!$I:$I, 0, 'Picarro Output'!$J:$J, 1), "")</f>
        <v/>
      </c>
    </row>
    <row r="690" spans="2:5" x14ac:dyDescent="0.2">
      <c r="B690" s="1"/>
      <c r="E690" s="38" t="str">
        <f>IFERROR(AVERAGEIFS('Picarro Output'!G:G, 'Picarro Output'!$B:$B, 'Uncalibrated Data'!$C690, 'Picarro Output'!$I:$I, 0, 'Picarro Output'!$J:$J, 1), "")</f>
        <v/>
      </c>
    </row>
    <row r="691" spans="2:5" x14ac:dyDescent="0.2">
      <c r="B691" s="1"/>
      <c r="E691" s="38" t="str">
        <f>IFERROR(AVERAGEIFS('Picarro Output'!G:G, 'Picarro Output'!$B:$B, 'Uncalibrated Data'!$C691, 'Picarro Output'!$I:$I, 0, 'Picarro Output'!$J:$J, 1), "")</f>
        <v/>
      </c>
    </row>
    <row r="692" spans="2:5" x14ac:dyDescent="0.2">
      <c r="B692" s="1"/>
      <c r="E692" s="38" t="str">
        <f>IFERROR(AVERAGEIFS('Picarro Output'!G:G, 'Picarro Output'!$B:$B, 'Uncalibrated Data'!$C692, 'Picarro Output'!$I:$I, 0, 'Picarro Output'!$J:$J, 1), "")</f>
        <v/>
      </c>
    </row>
    <row r="693" spans="2:5" x14ac:dyDescent="0.2">
      <c r="B693" s="1"/>
      <c r="E693" s="38" t="str">
        <f>IFERROR(AVERAGEIFS('Picarro Output'!G:G, 'Picarro Output'!$B:$B, 'Uncalibrated Data'!$C693, 'Picarro Output'!$I:$I, 0, 'Picarro Output'!$J:$J, 1), "")</f>
        <v/>
      </c>
    </row>
    <row r="694" spans="2:5" x14ac:dyDescent="0.2">
      <c r="B694" s="1"/>
      <c r="E694" s="38" t="str">
        <f>IFERROR(AVERAGEIFS('Picarro Output'!G:G, 'Picarro Output'!$B:$B, 'Uncalibrated Data'!$C694, 'Picarro Output'!$I:$I, 0, 'Picarro Output'!$J:$J, 1), "")</f>
        <v/>
      </c>
    </row>
    <row r="695" spans="2:5" x14ac:dyDescent="0.2">
      <c r="B695" s="1"/>
      <c r="E695" s="38" t="str">
        <f>IFERROR(AVERAGEIFS('Picarro Output'!G:G, 'Picarro Output'!$B:$B, 'Uncalibrated Data'!$C695, 'Picarro Output'!$I:$I, 0, 'Picarro Output'!$J:$J, 1), "")</f>
        <v/>
      </c>
    </row>
    <row r="696" spans="2:5" x14ac:dyDescent="0.2">
      <c r="B696" s="1"/>
      <c r="E696" s="38" t="str">
        <f>IFERROR(AVERAGEIFS('Picarro Output'!G:G, 'Picarro Output'!$B:$B, 'Uncalibrated Data'!$C696, 'Picarro Output'!$I:$I, 0, 'Picarro Output'!$J:$J, 1), "")</f>
        <v/>
      </c>
    </row>
    <row r="697" spans="2:5" x14ac:dyDescent="0.2">
      <c r="B697" s="1"/>
      <c r="E697" s="38" t="str">
        <f>IFERROR(AVERAGEIFS('Picarro Output'!G:G, 'Picarro Output'!$B:$B, 'Uncalibrated Data'!$C697, 'Picarro Output'!$I:$I, 0, 'Picarro Output'!$J:$J, 1), "")</f>
        <v/>
      </c>
    </row>
    <row r="698" spans="2:5" x14ac:dyDescent="0.2">
      <c r="B698" s="1"/>
      <c r="E698" s="38" t="str">
        <f>IFERROR(AVERAGEIFS('Picarro Output'!G:G, 'Picarro Output'!$B:$B, 'Uncalibrated Data'!$C698, 'Picarro Output'!$I:$I, 0, 'Picarro Output'!$J:$J, 1), "")</f>
        <v/>
      </c>
    </row>
    <row r="699" spans="2:5" x14ac:dyDescent="0.2">
      <c r="B699" s="1"/>
      <c r="E699" s="38" t="str">
        <f>IFERROR(AVERAGEIFS('Picarro Output'!G:G, 'Picarro Output'!$B:$B, 'Uncalibrated Data'!$C699, 'Picarro Output'!$I:$I, 0, 'Picarro Output'!$J:$J, 1), "")</f>
        <v/>
      </c>
    </row>
    <row r="700" spans="2:5" x14ac:dyDescent="0.2">
      <c r="B700" s="1"/>
      <c r="E700" s="38" t="str">
        <f>IFERROR(AVERAGEIFS('Picarro Output'!G:G, 'Picarro Output'!$B:$B, 'Uncalibrated Data'!$C700, 'Picarro Output'!$I:$I, 0, 'Picarro Output'!$J:$J, 1), "")</f>
        <v/>
      </c>
    </row>
    <row r="701" spans="2:5" x14ac:dyDescent="0.2">
      <c r="B701" s="1"/>
      <c r="E701" s="38" t="str">
        <f>IFERROR(AVERAGEIFS('Picarro Output'!G:G, 'Picarro Output'!$B:$B, 'Uncalibrated Data'!$C701, 'Picarro Output'!$I:$I, 0, 'Picarro Output'!$J:$J, 1), "")</f>
        <v/>
      </c>
    </row>
    <row r="702" spans="2:5" x14ac:dyDescent="0.2">
      <c r="B702" s="1"/>
      <c r="E702" s="38" t="str">
        <f>IFERROR(AVERAGEIFS('Picarro Output'!G:G, 'Picarro Output'!$B:$B, 'Uncalibrated Data'!$C702, 'Picarro Output'!$I:$I, 0, 'Picarro Output'!$J:$J, 1), "")</f>
        <v/>
      </c>
    </row>
    <row r="703" spans="2:5" x14ac:dyDescent="0.2">
      <c r="B703" s="1"/>
      <c r="E703" s="38" t="str">
        <f>IFERROR(AVERAGEIFS('Picarro Output'!G:G, 'Picarro Output'!$B:$B, 'Uncalibrated Data'!$C703, 'Picarro Output'!$I:$I, 0, 'Picarro Output'!$J:$J, 1), "")</f>
        <v/>
      </c>
    </row>
    <row r="704" spans="2:5" x14ac:dyDescent="0.2">
      <c r="B704" s="1"/>
      <c r="E704" s="38" t="str">
        <f>IFERROR(AVERAGEIFS('Picarro Output'!G:G, 'Picarro Output'!$B:$B, 'Uncalibrated Data'!$C704, 'Picarro Output'!$I:$I, 0, 'Picarro Output'!$J:$J, 1), "")</f>
        <v/>
      </c>
    </row>
    <row r="705" spans="2:5" x14ac:dyDescent="0.2">
      <c r="B705" s="1"/>
      <c r="E705" s="38" t="str">
        <f>IFERROR(AVERAGEIFS('Picarro Output'!G:G, 'Picarro Output'!$B:$B, 'Uncalibrated Data'!$C705, 'Picarro Output'!$I:$I, 0, 'Picarro Output'!$J:$J, 1), "")</f>
        <v/>
      </c>
    </row>
    <row r="706" spans="2:5" x14ac:dyDescent="0.2">
      <c r="B706" s="1"/>
      <c r="E706" s="38" t="str">
        <f>IFERROR(AVERAGEIFS('Picarro Output'!G:G, 'Picarro Output'!$B:$B, 'Uncalibrated Data'!$C706, 'Picarro Output'!$I:$I, 0, 'Picarro Output'!$J:$J, 1), "")</f>
        <v/>
      </c>
    </row>
    <row r="707" spans="2:5" x14ac:dyDescent="0.2">
      <c r="B707" s="1"/>
      <c r="E707" s="38" t="str">
        <f>IFERROR(AVERAGEIFS('Picarro Output'!G:G, 'Picarro Output'!$B:$B, 'Uncalibrated Data'!$C707, 'Picarro Output'!$I:$I, 0, 'Picarro Output'!$J:$J, 1), "")</f>
        <v/>
      </c>
    </row>
    <row r="708" spans="2:5" x14ac:dyDescent="0.2">
      <c r="B708" s="1"/>
      <c r="E708" s="38" t="str">
        <f>IFERROR(AVERAGEIFS('Picarro Output'!G:G, 'Picarro Output'!$B:$B, 'Uncalibrated Data'!$C708, 'Picarro Output'!$I:$I, 0, 'Picarro Output'!$J:$J, 1), "")</f>
        <v/>
      </c>
    </row>
    <row r="709" spans="2:5" x14ac:dyDescent="0.2">
      <c r="B709" s="1"/>
      <c r="E709" s="38" t="str">
        <f>IFERROR(AVERAGEIFS('Picarro Output'!G:G, 'Picarro Output'!$B:$B, 'Uncalibrated Data'!$C709, 'Picarro Output'!$I:$I, 0, 'Picarro Output'!$J:$J, 1), "")</f>
        <v/>
      </c>
    </row>
    <row r="710" spans="2:5" x14ac:dyDescent="0.2">
      <c r="B710" s="1"/>
      <c r="E710" s="38" t="str">
        <f>IFERROR(AVERAGEIFS('Picarro Output'!G:G, 'Picarro Output'!$B:$B, 'Uncalibrated Data'!$C710, 'Picarro Output'!$I:$I, 0, 'Picarro Output'!$J:$J, 1), "")</f>
        <v/>
      </c>
    </row>
    <row r="711" spans="2:5" x14ac:dyDescent="0.2">
      <c r="B711" s="1"/>
      <c r="E711" s="38" t="str">
        <f>IFERROR(AVERAGEIFS('Picarro Output'!G:G, 'Picarro Output'!$B:$B, 'Uncalibrated Data'!$C711, 'Picarro Output'!$I:$I, 0, 'Picarro Output'!$J:$J, 1), "")</f>
        <v/>
      </c>
    </row>
    <row r="712" spans="2:5" x14ac:dyDescent="0.2">
      <c r="B712" s="1"/>
      <c r="E712" s="38" t="str">
        <f>IFERROR(AVERAGEIFS('Picarro Output'!G:G, 'Picarro Output'!$B:$B, 'Uncalibrated Data'!$C712, 'Picarro Output'!$I:$I, 0, 'Picarro Output'!$J:$J, 1), "")</f>
        <v/>
      </c>
    </row>
    <row r="713" spans="2:5" x14ac:dyDescent="0.2">
      <c r="B713" s="1"/>
      <c r="E713" s="38" t="str">
        <f>IFERROR(AVERAGEIFS('Picarro Output'!G:G, 'Picarro Output'!$B:$B, 'Uncalibrated Data'!$C713, 'Picarro Output'!$I:$I, 0, 'Picarro Output'!$J:$J, 1), "")</f>
        <v/>
      </c>
    </row>
    <row r="714" spans="2:5" x14ac:dyDescent="0.2">
      <c r="B714" s="1"/>
      <c r="E714" s="38" t="str">
        <f>IFERROR(AVERAGEIFS('Picarro Output'!G:G, 'Picarro Output'!$B:$B, 'Uncalibrated Data'!$C714, 'Picarro Output'!$I:$I, 0, 'Picarro Output'!$J:$J, 1), "")</f>
        <v/>
      </c>
    </row>
    <row r="715" spans="2:5" x14ac:dyDescent="0.2">
      <c r="B715" s="1"/>
      <c r="E715" s="38" t="str">
        <f>IFERROR(AVERAGEIFS('Picarro Output'!G:G, 'Picarro Output'!$B:$B, 'Uncalibrated Data'!$C715, 'Picarro Output'!$I:$I, 0, 'Picarro Output'!$J:$J, 1), "")</f>
        <v/>
      </c>
    </row>
    <row r="716" spans="2:5" x14ac:dyDescent="0.2">
      <c r="B716" s="1"/>
      <c r="E716" s="38" t="str">
        <f>IFERROR(AVERAGEIFS('Picarro Output'!G:G, 'Picarro Output'!$B:$B, 'Uncalibrated Data'!$C716, 'Picarro Output'!$I:$I, 0, 'Picarro Output'!$J:$J, 1), "")</f>
        <v/>
      </c>
    </row>
    <row r="717" spans="2:5" x14ac:dyDescent="0.2">
      <c r="B717" s="1"/>
      <c r="E717" s="38" t="str">
        <f>IFERROR(AVERAGEIFS('Picarro Output'!G:G, 'Picarro Output'!$B:$B, 'Uncalibrated Data'!$C717, 'Picarro Output'!$I:$I, 0, 'Picarro Output'!$J:$J, 1), "")</f>
        <v/>
      </c>
    </row>
    <row r="718" spans="2:5" x14ac:dyDescent="0.2">
      <c r="B718" s="1"/>
      <c r="E718" s="38" t="str">
        <f>IFERROR(AVERAGEIFS('Picarro Output'!G:G, 'Picarro Output'!$B:$B, 'Uncalibrated Data'!$C718, 'Picarro Output'!$I:$I, 0, 'Picarro Output'!$J:$J, 1), "")</f>
        <v/>
      </c>
    </row>
    <row r="719" spans="2:5" x14ac:dyDescent="0.2">
      <c r="B719" s="1"/>
      <c r="E719" s="38" t="str">
        <f>IFERROR(AVERAGEIFS('Picarro Output'!G:G, 'Picarro Output'!$B:$B, 'Uncalibrated Data'!$C719, 'Picarro Output'!$I:$I, 0, 'Picarro Output'!$J:$J, 1), "")</f>
        <v/>
      </c>
    </row>
    <row r="720" spans="2:5" x14ac:dyDescent="0.2">
      <c r="B720" s="1"/>
      <c r="E720" s="38" t="str">
        <f>IFERROR(AVERAGEIFS('Picarro Output'!G:G, 'Picarro Output'!$B:$B, 'Uncalibrated Data'!$C720, 'Picarro Output'!$I:$I, 0, 'Picarro Output'!$J:$J, 1), "")</f>
        <v/>
      </c>
    </row>
    <row r="721" spans="2:5" x14ac:dyDescent="0.2">
      <c r="B721" s="1"/>
      <c r="E721" s="38" t="str">
        <f>IFERROR(AVERAGEIFS('Picarro Output'!G:G, 'Picarro Output'!$B:$B, 'Uncalibrated Data'!$C721, 'Picarro Output'!$I:$I, 0, 'Picarro Output'!$J:$J, 1), "")</f>
        <v/>
      </c>
    </row>
    <row r="722" spans="2:5" x14ac:dyDescent="0.2">
      <c r="B722" s="1"/>
      <c r="E722" s="38" t="str">
        <f>IFERROR(AVERAGEIFS('Picarro Output'!G:G, 'Picarro Output'!$B:$B, 'Uncalibrated Data'!$C722, 'Picarro Output'!$I:$I, 0, 'Picarro Output'!$J:$J, 1), "")</f>
        <v/>
      </c>
    </row>
    <row r="723" spans="2:5" x14ac:dyDescent="0.2">
      <c r="B723" s="1"/>
      <c r="E723" s="38" t="str">
        <f>IFERROR(AVERAGEIFS('Picarro Output'!G:G, 'Picarro Output'!$B:$B, 'Uncalibrated Data'!$C723, 'Picarro Output'!$I:$I, 0, 'Picarro Output'!$J:$J, 1), "")</f>
        <v/>
      </c>
    </row>
    <row r="724" spans="2:5" x14ac:dyDescent="0.2">
      <c r="B724" s="1"/>
      <c r="E724" s="38" t="str">
        <f>IFERROR(AVERAGEIFS('Picarro Output'!G:G, 'Picarro Output'!$B:$B, 'Uncalibrated Data'!$C724, 'Picarro Output'!$I:$I, 0, 'Picarro Output'!$J:$J, 1), "")</f>
        <v/>
      </c>
    </row>
    <row r="725" spans="2:5" x14ac:dyDescent="0.2">
      <c r="B725" s="1"/>
      <c r="E725" s="38" t="str">
        <f>IFERROR(AVERAGEIFS('Picarro Output'!G:G, 'Picarro Output'!$B:$B, 'Uncalibrated Data'!$C725, 'Picarro Output'!$I:$I, 0, 'Picarro Output'!$J:$J, 1), "")</f>
        <v/>
      </c>
    </row>
    <row r="726" spans="2:5" x14ac:dyDescent="0.2">
      <c r="B726" s="1"/>
      <c r="E726" s="38" t="str">
        <f>IFERROR(AVERAGEIFS('Picarro Output'!G:G, 'Picarro Output'!$B:$B, 'Uncalibrated Data'!$C726, 'Picarro Output'!$I:$I, 0, 'Picarro Output'!$J:$J, 1), "")</f>
        <v/>
      </c>
    </row>
    <row r="727" spans="2:5" x14ac:dyDescent="0.2">
      <c r="B727" s="1"/>
      <c r="E727" s="38" t="str">
        <f>IFERROR(AVERAGEIFS('Picarro Output'!G:G, 'Picarro Output'!$B:$B, 'Uncalibrated Data'!$C727, 'Picarro Output'!$I:$I, 0, 'Picarro Output'!$J:$J, 1), "")</f>
        <v/>
      </c>
    </row>
    <row r="728" spans="2:5" x14ac:dyDescent="0.2">
      <c r="B728" s="1"/>
      <c r="E728" s="38" t="str">
        <f>IFERROR(AVERAGEIFS('Picarro Output'!G:G, 'Picarro Output'!$B:$B, 'Uncalibrated Data'!$C728, 'Picarro Output'!$I:$I, 0, 'Picarro Output'!$J:$J, 1), "")</f>
        <v/>
      </c>
    </row>
    <row r="729" spans="2:5" x14ac:dyDescent="0.2">
      <c r="B729" s="1"/>
      <c r="E729" s="38" t="str">
        <f>IFERROR(AVERAGEIFS('Picarro Output'!G:G, 'Picarro Output'!$B:$B, 'Uncalibrated Data'!$C729, 'Picarro Output'!$I:$I, 0, 'Picarro Output'!$J:$J, 1), "")</f>
        <v/>
      </c>
    </row>
    <row r="730" spans="2:5" x14ac:dyDescent="0.2">
      <c r="B730" s="1"/>
      <c r="E730" s="38" t="str">
        <f>IFERROR(AVERAGEIFS('Picarro Output'!G:G, 'Picarro Output'!$B:$B, 'Uncalibrated Data'!$C730, 'Picarro Output'!$I:$I, 0, 'Picarro Output'!$J:$J, 1), "")</f>
        <v/>
      </c>
    </row>
    <row r="731" spans="2:5" x14ac:dyDescent="0.2">
      <c r="B731" s="1"/>
      <c r="E731" s="38" t="str">
        <f>IFERROR(AVERAGEIFS('Picarro Output'!G:G, 'Picarro Output'!$B:$B, 'Uncalibrated Data'!$C731, 'Picarro Output'!$I:$I, 0, 'Picarro Output'!$J:$J, 1), "")</f>
        <v/>
      </c>
    </row>
    <row r="732" spans="2:5" x14ac:dyDescent="0.2">
      <c r="B732" s="1"/>
      <c r="E732" s="38" t="str">
        <f>IFERROR(AVERAGEIFS('Picarro Output'!G:G, 'Picarro Output'!$B:$B, 'Uncalibrated Data'!$C732, 'Picarro Output'!$I:$I, 0, 'Picarro Output'!$J:$J, 1), "")</f>
        <v/>
      </c>
    </row>
    <row r="733" spans="2:5" x14ac:dyDescent="0.2">
      <c r="B733" s="1"/>
      <c r="E733" s="38" t="str">
        <f>IFERROR(AVERAGEIFS('Picarro Output'!G:G, 'Picarro Output'!$B:$B, 'Uncalibrated Data'!$C733, 'Picarro Output'!$I:$I, 0, 'Picarro Output'!$J:$J, 1), "")</f>
        <v/>
      </c>
    </row>
    <row r="734" spans="2:5" x14ac:dyDescent="0.2">
      <c r="B734" s="1"/>
      <c r="E734" s="38" t="str">
        <f>IFERROR(AVERAGEIFS('Picarro Output'!G:G, 'Picarro Output'!$B:$B, 'Uncalibrated Data'!$C734, 'Picarro Output'!$I:$I, 0, 'Picarro Output'!$J:$J, 1), "")</f>
        <v/>
      </c>
    </row>
    <row r="735" spans="2:5" x14ac:dyDescent="0.2">
      <c r="B735" s="1"/>
      <c r="E735" s="38" t="str">
        <f>IFERROR(AVERAGEIFS('Picarro Output'!G:G, 'Picarro Output'!$B:$B, 'Uncalibrated Data'!$C735, 'Picarro Output'!$I:$I, 0, 'Picarro Output'!$J:$J, 1), "")</f>
        <v/>
      </c>
    </row>
    <row r="736" spans="2:5" x14ac:dyDescent="0.2">
      <c r="B736" s="1"/>
      <c r="E736" s="38" t="str">
        <f>IFERROR(AVERAGEIFS('Picarro Output'!G:G, 'Picarro Output'!$B:$B, 'Uncalibrated Data'!$C736, 'Picarro Output'!$I:$I, 0, 'Picarro Output'!$J:$J, 1), "")</f>
        <v/>
      </c>
    </row>
    <row r="737" spans="2:5" x14ac:dyDescent="0.2">
      <c r="B737" s="1"/>
      <c r="E737" s="38" t="str">
        <f>IFERROR(AVERAGEIFS('Picarro Output'!G:G, 'Picarro Output'!$B:$B, 'Uncalibrated Data'!$C737, 'Picarro Output'!$I:$I, 0, 'Picarro Output'!$J:$J, 1), "")</f>
        <v/>
      </c>
    </row>
    <row r="738" spans="2:5" x14ac:dyDescent="0.2">
      <c r="B738" s="1"/>
      <c r="E738" s="38" t="str">
        <f>IFERROR(AVERAGEIFS('Picarro Output'!G:G, 'Picarro Output'!$B:$B, 'Uncalibrated Data'!$C738, 'Picarro Output'!$I:$I, 0, 'Picarro Output'!$J:$J, 1), "")</f>
        <v/>
      </c>
    </row>
    <row r="739" spans="2:5" x14ac:dyDescent="0.2">
      <c r="B739" s="1"/>
      <c r="E739" s="38" t="str">
        <f>IFERROR(AVERAGEIFS('Picarro Output'!G:G, 'Picarro Output'!$B:$B, 'Uncalibrated Data'!$C739, 'Picarro Output'!$I:$I, 0, 'Picarro Output'!$J:$J, 1), "")</f>
        <v/>
      </c>
    </row>
    <row r="740" spans="2:5" x14ac:dyDescent="0.2">
      <c r="B740" s="1"/>
      <c r="E740" s="38" t="str">
        <f>IFERROR(AVERAGEIFS('Picarro Output'!G:G, 'Picarro Output'!$B:$B, 'Uncalibrated Data'!$C740, 'Picarro Output'!$I:$I, 0, 'Picarro Output'!$J:$J, 1), "")</f>
        <v/>
      </c>
    </row>
    <row r="741" spans="2:5" x14ac:dyDescent="0.2">
      <c r="B741" s="1"/>
      <c r="E741" s="38" t="str">
        <f>IFERROR(AVERAGEIFS('Picarro Output'!G:G, 'Picarro Output'!$B:$B, 'Uncalibrated Data'!$C741, 'Picarro Output'!$I:$I, 0, 'Picarro Output'!$J:$J, 1), "")</f>
        <v/>
      </c>
    </row>
    <row r="742" spans="2:5" x14ac:dyDescent="0.2">
      <c r="B742" s="1"/>
      <c r="E742" s="38" t="str">
        <f>IFERROR(AVERAGEIFS('Picarro Output'!G:G, 'Picarro Output'!$B:$B, 'Uncalibrated Data'!$C742, 'Picarro Output'!$I:$I, 0, 'Picarro Output'!$J:$J, 1), "")</f>
        <v/>
      </c>
    </row>
    <row r="743" spans="2:5" x14ac:dyDescent="0.2">
      <c r="B743" s="1"/>
      <c r="E743" s="38" t="str">
        <f>IFERROR(AVERAGEIFS('Picarro Output'!G:G, 'Picarro Output'!$B:$B, 'Uncalibrated Data'!$C743, 'Picarro Output'!$I:$I, 0, 'Picarro Output'!$J:$J, 1), "")</f>
        <v/>
      </c>
    </row>
    <row r="744" spans="2:5" x14ac:dyDescent="0.2">
      <c r="B744" s="1"/>
      <c r="E744" s="38" t="str">
        <f>IFERROR(AVERAGEIFS('Picarro Output'!G:G, 'Picarro Output'!$B:$B, 'Uncalibrated Data'!$C744, 'Picarro Output'!$I:$I, 0, 'Picarro Output'!$J:$J, 1), "")</f>
        <v/>
      </c>
    </row>
    <row r="745" spans="2:5" x14ac:dyDescent="0.2">
      <c r="B745" s="1"/>
      <c r="E745" s="38" t="str">
        <f>IFERROR(AVERAGEIFS('Picarro Output'!G:G, 'Picarro Output'!$B:$B, 'Uncalibrated Data'!$C745, 'Picarro Output'!$I:$I, 0, 'Picarro Output'!$J:$J, 1), "")</f>
        <v/>
      </c>
    </row>
    <row r="746" spans="2:5" x14ac:dyDescent="0.2">
      <c r="B746" s="1"/>
      <c r="E746" s="38" t="str">
        <f>IFERROR(AVERAGEIFS('Picarro Output'!G:G, 'Picarro Output'!$B:$B, 'Uncalibrated Data'!$C746, 'Picarro Output'!$I:$I, 0, 'Picarro Output'!$J:$J, 1), "")</f>
        <v/>
      </c>
    </row>
    <row r="747" spans="2:5" x14ac:dyDescent="0.2">
      <c r="B747" s="1"/>
      <c r="E747" s="38" t="str">
        <f>IFERROR(AVERAGEIFS('Picarro Output'!G:G, 'Picarro Output'!$B:$B, 'Uncalibrated Data'!$C747, 'Picarro Output'!$I:$I, 0, 'Picarro Output'!$J:$J, 1), "")</f>
        <v/>
      </c>
    </row>
    <row r="748" spans="2:5" x14ac:dyDescent="0.2">
      <c r="B748" s="1"/>
      <c r="E748" s="38" t="str">
        <f>IFERROR(AVERAGEIFS('Picarro Output'!G:G, 'Picarro Output'!$B:$B, 'Uncalibrated Data'!$C748, 'Picarro Output'!$I:$I, 0, 'Picarro Output'!$J:$J, 1), "")</f>
        <v/>
      </c>
    </row>
    <row r="749" spans="2:5" x14ac:dyDescent="0.2">
      <c r="B749" s="1"/>
      <c r="E749" s="38" t="str">
        <f>IFERROR(AVERAGEIFS('Picarro Output'!G:G, 'Picarro Output'!$B:$B, 'Uncalibrated Data'!$C749, 'Picarro Output'!$I:$I, 0, 'Picarro Output'!$J:$J, 1), "")</f>
        <v/>
      </c>
    </row>
    <row r="750" spans="2:5" x14ac:dyDescent="0.2">
      <c r="B750" s="1"/>
      <c r="E750" s="38" t="str">
        <f>IFERROR(AVERAGEIFS('Picarro Output'!G:G, 'Picarro Output'!$B:$B, 'Uncalibrated Data'!$C750, 'Picarro Output'!$I:$I, 0, 'Picarro Output'!$J:$J, 1), "")</f>
        <v/>
      </c>
    </row>
    <row r="751" spans="2:5" x14ac:dyDescent="0.2">
      <c r="B751" s="1"/>
      <c r="E751" s="38" t="str">
        <f>IFERROR(AVERAGEIFS('Picarro Output'!G:G, 'Picarro Output'!$B:$B, 'Uncalibrated Data'!$C751, 'Picarro Output'!$I:$I, 0, 'Picarro Output'!$J:$J, 1), "")</f>
        <v/>
      </c>
    </row>
    <row r="752" spans="2:5" x14ac:dyDescent="0.2">
      <c r="B752" s="1"/>
      <c r="E752" s="38" t="str">
        <f>IFERROR(AVERAGEIFS('Picarro Output'!G:G, 'Picarro Output'!$B:$B, 'Uncalibrated Data'!$C752, 'Picarro Output'!$I:$I, 0, 'Picarro Output'!$J:$J, 1), "")</f>
        <v/>
      </c>
    </row>
    <row r="753" spans="2:5" x14ac:dyDescent="0.2">
      <c r="B753" s="1"/>
      <c r="E753" s="38" t="str">
        <f>IFERROR(AVERAGEIFS('Picarro Output'!G:G, 'Picarro Output'!$B:$B, 'Uncalibrated Data'!$C753, 'Picarro Output'!$I:$I, 0, 'Picarro Output'!$J:$J, 1), "")</f>
        <v/>
      </c>
    </row>
    <row r="754" spans="2:5" x14ac:dyDescent="0.2">
      <c r="B754" s="1"/>
      <c r="E754" s="38" t="str">
        <f>IFERROR(AVERAGEIFS('Picarro Output'!G:G, 'Picarro Output'!$B:$B, 'Uncalibrated Data'!$C754, 'Picarro Output'!$I:$I, 0, 'Picarro Output'!$J:$J, 1), "")</f>
        <v/>
      </c>
    </row>
    <row r="755" spans="2:5" x14ac:dyDescent="0.2">
      <c r="B755" s="1"/>
      <c r="E755" s="38" t="str">
        <f>IFERROR(AVERAGEIFS('Picarro Output'!G:G, 'Picarro Output'!$B:$B, 'Uncalibrated Data'!$C755, 'Picarro Output'!$I:$I, 0, 'Picarro Output'!$J:$J, 1), "")</f>
        <v/>
      </c>
    </row>
    <row r="756" spans="2:5" x14ac:dyDescent="0.2">
      <c r="B756" s="1"/>
      <c r="E756" s="38" t="str">
        <f>IFERROR(AVERAGEIFS('Picarro Output'!G:G, 'Picarro Output'!$B:$B, 'Uncalibrated Data'!$C756, 'Picarro Output'!$I:$I, 0, 'Picarro Output'!$J:$J, 1), "")</f>
        <v/>
      </c>
    </row>
    <row r="757" spans="2:5" x14ac:dyDescent="0.2">
      <c r="B757" s="1"/>
      <c r="E757" s="38" t="str">
        <f>IFERROR(AVERAGEIFS('Picarro Output'!G:G, 'Picarro Output'!$B:$B, 'Uncalibrated Data'!$C757, 'Picarro Output'!$I:$I, 0, 'Picarro Output'!$J:$J, 1), "")</f>
        <v/>
      </c>
    </row>
    <row r="758" spans="2:5" x14ac:dyDescent="0.2">
      <c r="B758" s="1"/>
      <c r="E758" s="38" t="str">
        <f>IFERROR(AVERAGEIFS('Picarro Output'!G:G, 'Picarro Output'!$B:$B, 'Uncalibrated Data'!$C758, 'Picarro Output'!$I:$I, 0, 'Picarro Output'!$J:$J, 1), "")</f>
        <v/>
      </c>
    </row>
    <row r="759" spans="2:5" x14ac:dyDescent="0.2">
      <c r="B759" s="1"/>
      <c r="E759" s="38" t="str">
        <f>IFERROR(AVERAGEIFS('Picarro Output'!G:G, 'Picarro Output'!$B:$B, 'Uncalibrated Data'!$C759, 'Picarro Output'!$I:$I, 0, 'Picarro Output'!$J:$J, 1), "")</f>
        <v/>
      </c>
    </row>
    <row r="760" spans="2:5" x14ac:dyDescent="0.2">
      <c r="B760" s="1"/>
      <c r="E760" s="38" t="str">
        <f>IFERROR(AVERAGEIFS('Picarro Output'!G:G, 'Picarro Output'!$B:$B, 'Uncalibrated Data'!$C760, 'Picarro Output'!$I:$I, 0, 'Picarro Output'!$J:$J, 1), "")</f>
        <v/>
      </c>
    </row>
    <row r="761" spans="2:5" x14ac:dyDescent="0.2">
      <c r="B761" s="1"/>
      <c r="E761" s="38" t="str">
        <f>IFERROR(AVERAGEIFS('Picarro Output'!G:G, 'Picarro Output'!$B:$B, 'Uncalibrated Data'!$C761, 'Picarro Output'!$I:$I, 0, 'Picarro Output'!$J:$J, 1), "")</f>
        <v/>
      </c>
    </row>
    <row r="762" spans="2:5" x14ac:dyDescent="0.2">
      <c r="B762" s="1"/>
      <c r="E762" s="38" t="str">
        <f>IFERROR(AVERAGEIFS('Picarro Output'!G:G, 'Picarro Output'!$B:$B, 'Uncalibrated Data'!$C762, 'Picarro Output'!$I:$I, 0, 'Picarro Output'!$J:$J, 1), "")</f>
        <v/>
      </c>
    </row>
    <row r="763" spans="2:5" x14ac:dyDescent="0.2">
      <c r="B763" s="1"/>
      <c r="E763" s="38" t="str">
        <f>IFERROR(AVERAGEIFS('Picarro Output'!G:G, 'Picarro Output'!$B:$B, 'Uncalibrated Data'!$C763, 'Picarro Output'!$I:$I, 0, 'Picarro Output'!$J:$J, 1), "")</f>
        <v/>
      </c>
    </row>
    <row r="764" spans="2:5" x14ac:dyDescent="0.2">
      <c r="B764" s="1"/>
      <c r="E764" s="38" t="str">
        <f>IFERROR(AVERAGEIFS('Picarro Output'!G:G, 'Picarro Output'!$B:$B, 'Uncalibrated Data'!$C764, 'Picarro Output'!$I:$I, 0, 'Picarro Output'!$J:$J, 1), "")</f>
        <v/>
      </c>
    </row>
    <row r="765" spans="2:5" x14ac:dyDescent="0.2">
      <c r="B765" s="1"/>
      <c r="E765" s="38" t="str">
        <f>IFERROR(AVERAGEIFS('Picarro Output'!G:G, 'Picarro Output'!$B:$B, 'Uncalibrated Data'!$C765, 'Picarro Output'!$I:$I, 0, 'Picarro Output'!$J:$J, 1), "")</f>
        <v/>
      </c>
    </row>
    <row r="766" spans="2:5" x14ac:dyDescent="0.2">
      <c r="B766" s="1"/>
      <c r="E766" s="38" t="str">
        <f>IFERROR(AVERAGEIFS('Picarro Output'!G:G, 'Picarro Output'!$B:$B, 'Uncalibrated Data'!$C766, 'Picarro Output'!$I:$I, 0, 'Picarro Output'!$J:$J, 1), "")</f>
        <v/>
      </c>
    </row>
    <row r="767" spans="2:5" x14ac:dyDescent="0.2">
      <c r="B767" s="1"/>
      <c r="E767" s="38" t="str">
        <f>IFERROR(AVERAGEIFS('Picarro Output'!G:G, 'Picarro Output'!$B:$B, 'Uncalibrated Data'!$C767, 'Picarro Output'!$I:$I, 0, 'Picarro Output'!$J:$J, 1), "")</f>
        <v/>
      </c>
    </row>
    <row r="768" spans="2:5" x14ac:dyDescent="0.2">
      <c r="B768" s="1"/>
      <c r="E768" s="38" t="str">
        <f>IFERROR(AVERAGEIFS('Picarro Output'!G:G, 'Picarro Output'!$B:$B, 'Uncalibrated Data'!$C768, 'Picarro Output'!$I:$I, 0, 'Picarro Output'!$J:$J, 1), "")</f>
        <v/>
      </c>
    </row>
    <row r="769" spans="2:5" x14ac:dyDescent="0.2">
      <c r="B769" s="1"/>
      <c r="E769" s="38" t="str">
        <f>IFERROR(AVERAGEIFS('Picarro Output'!G:G, 'Picarro Output'!$B:$B, 'Uncalibrated Data'!$C769, 'Picarro Output'!$I:$I, 0, 'Picarro Output'!$J:$J, 1), "")</f>
        <v/>
      </c>
    </row>
    <row r="770" spans="2:5" x14ac:dyDescent="0.2">
      <c r="B770" s="1"/>
      <c r="E770" s="38" t="str">
        <f>IFERROR(AVERAGEIFS('Picarro Output'!G:G, 'Picarro Output'!$B:$B, 'Uncalibrated Data'!$C770, 'Picarro Output'!$I:$I, 0, 'Picarro Output'!$J:$J, 1), "")</f>
        <v/>
      </c>
    </row>
    <row r="771" spans="2:5" x14ac:dyDescent="0.2">
      <c r="B771" s="1"/>
      <c r="E771" s="38" t="str">
        <f>IFERROR(AVERAGEIFS('Picarro Output'!G:G, 'Picarro Output'!$B:$B, 'Uncalibrated Data'!$C771, 'Picarro Output'!$I:$I, 0, 'Picarro Output'!$J:$J, 1), "")</f>
        <v/>
      </c>
    </row>
    <row r="772" spans="2:5" x14ac:dyDescent="0.2">
      <c r="B772" s="1"/>
      <c r="E772" s="38" t="str">
        <f>IFERROR(AVERAGEIFS('Picarro Output'!G:G, 'Picarro Output'!$B:$B, 'Uncalibrated Data'!$C772, 'Picarro Output'!$I:$I, 0, 'Picarro Output'!$J:$J, 1), "")</f>
        <v/>
      </c>
    </row>
    <row r="773" spans="2:5" x14ac:dyDescent="0.2">
      <c r="B773" s="1"/>
      <c r="E773" s="38" t="str">
        <f>IFERROR(AVERAGEIFS('Picarro Output'!G:G, 'Picarro Output'!$B:$B, 'Uncalibrated Data'!$C773, 'Picarro Output'!$I:$I, 0, 'Picarro Output'!$J:$J, 1), "")</f>
        <v/>
      </c>
    </row>
    <row r="774" spans="2:5" x14ac:dyDescent="0.2">
      <c r="B774" s="1"/>
      <c r="E774" s="38" t="str">
        <f>IFERROR(AVERAGEIFS('Picarro Output'!G:G, 'Picarro Output'!$B:$B, 'Uncalibrated Data'!$C774, 'Picarro Output'!$I:$I, 0, 'Picarro Output'!$J:$J, 1), "")</f>
        <v/>
      </c>
    </row>
    <row r="775" spans="2:5" x14ac:dyDescent="0.2">
      <c r="B775" s="1"/>
      <c r="E775" s="38" t="str">
        <f>IFERROR(AVERAGEIFS('Picarro Output'!G:G, 'Picarro Output'!$B:$B, 'Uncalibrated Data'!$C775, 'Picarro Output'!$I:$I, 0, 'Picarro Output'!$J:$J, 1), "")</f>
        <v/>
      </c>
    </row>
    <row r="776" spans="2:5" x14ac:dyDescent="0.2">
      <c r="B776" s="1"/>
      <c r="E776" s="38" t="str">
        <f>IFERROR(AVERAGEIFS('Picarro Output'!G:G, 'Picarro Output'!$B:$B, 'Uncalibrated Data'!$C776, 'Picarro Output'!$I:$I, 0, 'Picarro Output'!$J:$J, 1), "")</f>
        <v/>
      </c>
    </row>
    <row r="777" spans="2:5" x14ac:dyDescent="0.2">
      <c r="B777" s="1"/>
      <c r="E777" s="38" t="str">
        <f>IFERROR(AVERAGEIFS('Picarro Output'!G:G, 'Picarro Output'!$B:$B, 'Uncalibrated Data'!$C777, 'Picarro Output'!$I:$I, 0, 'Picarro Output'!$J:$J, 1), "")</f>
        <v/>
      </c>
    </row>
    <row r="778" spans="2:5" x14ac:dyDescent="0.2">
      <c r="B778" s="1"/>
      <c r="E778" s="38" t="str">
        <f>IFERROR(AVERAGEIFS('Picarro Output'!G:G, 'Picarro Output'!$B:$B, 'Uncalibrated Data'!$C778, 'Picarro Output'!$I:$I, 0, 'Picarro Output'!$J:$J, 1), "")</f>
        <v/>
      </c>
    </row>
    <row r="779" spans="2:5" x14ac:dyDescent="0.2">
      <c r="B779" s="1"/>
      <c r="E779" s="38" t="str">
        <f>IFERROR(AVERAGEIFS('Picarro Output'!G:G, 'Picarro Output'!$B:$B, 'Uncalibrated Data'!$C779, 'Picarro Output'!$I:$I, 0, 'Picarro Output'!$J:$J, 1), "")</f>
        <v/>
      </c>
    </row>
    <row r="780" spans="2:5" x14ac:dyDescent="0.2">
      <c r="B780" s="1"/>
      <c r="E780" s="38" t="str">
        <f>IFERROR(AVERAGEIFS('Picarro Output'!G:G, 'Picarro Output'!$B:$B, 'Uncalibrated Data'!$C780, 'Picarro Output'!$I:$I, 0, 'Picarro Output'!$J:$J, 1), "")</f>
        <v/>
      </c>
    </row>
    <row r="781" spans="2:5" x14ac:dyDescent="0.2">
      <c r="B781" s="1"/>
      <c r="E781" s="38" t="str">
        <f>IFERROR(AVERAGEIFS('Picarro Output'!G:G, 'Picarro Output'!$B:$B, 'Uncalibrated Data'!$C781, 'Picarro Output'!$I:$I, 0, 'Picarro Output'!$J:$J, 1), "")</f>
        <v/>
      </c>
    </row>
    <row r="782" spans="2:5" x14ac:dyDescent="0.2">
      <c r="B782" s="1"/>
      <c r="E782" s="38" t="str">
        <f>IFERROR(AVERAGEIFS('Picarro Output'!G:G, 'Picarro Output'!$B:$B, 'Uncalibrated Data'!$C782, 'Picarro Output'!$I:$I, 0, 'Picarro Output'!$J:$J, 1), "")</f>
        <v/>
      </c>
    </row>
    <row r="783" spans="2:5" x14ac:dyDescent="0.2">
      <c r="B783" s="1"/>
      <c r="E783" s="38" t="str">
        <f>IFERROR(AVERAGEIFS('Picarro Output'!G:G, 'Picarro Output'!$B:$B, 'Uncalibrated Data'!$C783, 'Picarro Output'!$I:$I, 0, 'Picarro Output'!$J:$J, 1), "")</f>
        <v/>
      </c>
    </row>
    <row r="784" spans="2:5" x14ac:dyDescent="0.2">
      <c r="B784" s="1"/>
      <c r="E784" s="38" t="str">
        <f>IFERROR(AVERAGEIFS('Picarro Output'!G:G, 'Picarro Output'!$B:$B, 'Uncalibrated Data'!$C784, 'Picarro Output'!$I:$I, 0, 'Picarro Output'!$J:$J, 1), "")</f>
        <v/>
      </c>
    </row>
    <row r="785" spans="2:5" x14ac:dyDescent="0.2">
      <c r="B785" s="1"/>
      <c r="E785" s="38" t="str">
        <f>IFERROR(AVERAGEIFS('Picarro Output'!G:G, 'Picarro Output'!$B:$B, 'Uncalibrated Data'!$C785, 'Picarro Output'!$I:$I, 0, 'Picarro Output'!$J:$J, 1), "")</f>
        <v/>
      </c>
    </row>
    <row r="786" spans="2:5" x14ac:dyDescent="0.2">
      <c r="B786" s="1"/>
      <c r="E786" s="38" t="str">
        <f>IFERROR(AVERAGEIFS('Picarro Output'!G:G, 'Picarro Output'!$B:$B, 'Uncalibrated Data'!$C786, 'Picarro Output'!$I:$I, 0, 'Picarro Output'!$J:$J, 1), "")</f>
        <v/>
      </c>
    </row>
    <row r="787" spans="2:5" x14ac:dyDescent="0.2">
      <c r="B787" s="1"/>
      <c r="E787" s="38" t="str">
        <f>IFERROR(AVERAGEIFS('Picarro Output'!G:G, 'Picarro Output'!$B:$B, 'Uncalibrated Data'!$C787, 'Picarro Output'!$I:$I, 0, 'Picarro Output'!$J:$J, 1), "")</f>
        <v/>
      </c>
    </row>
    <row r="788" spans="2:5" x14ac:dyDescent="0.2">
      <c r="B788" s="1"/>
      <c r="E788" s="38" t="str">
        <f>IFERROR(AVERAGEIFS('Picarro Output'!G:G, 'Picarro Output'!$B:$B, 'Uncalibrated Data'!$C788, 'Picarro Output'!$I:$I, 0, 'Picarro Output'!$J:$J, 1), "")</f>
        <v/>
      </c>
    </row>
    <row r="789" spans="2:5" x14ac:dyDescent="0.2">
      <c r="B789" s="1"/>
      <c r="E789" s="38" t="str">
        <f>IFERROR(AVERAGEIFS('Picarro Output'!G:G, 'Picarro Output'!$B:$B, 'Uncalibrated Data'!$C789, 'Picarro Output'!$I:$I, 0, 'Picarro Output'!$J:$J, 1), "")</f>
        <v/>
      </c>
    </row>
    <row r="790" spans="2:5" x14ac:dyDescent="0.2">
      <c r="B790" s="1"/>
      <c r="E790" s="38" t="str">
        <f>IFERROR(AVERAGEIFS('Picarro Output'!G:G, 'Picarro Output'!$B:$B, 'Uncalibrated Data'!$C790, 'Picarro Output'!$I:$I, 0, 'Picarro Output'!$J:$J, 1), "")</f>
        <v/>
      </c>
    </row>
    <row r="791" spans="2:5" x14ac:dyDescent="0.2">
      <c r="B791" s="1"/>
      <c r="E791" s="38" t="str">
        <f>IFERROR(AVERAGEIFS('Picarro Output'!G:G, 'Picarro Output'!$B:$B, 'Uncalibrated Data'!$C791, 'Picarro Output'!$I:$I, 0, 'Picarro Output'!$J:$J, 1), "")</f>
        <v/>
      </c>
    </row>
    <row r="792" spans="2:5" x14ac:dyDescent="0.2">
      <c r="B792" s="1"/>
      <c r="E792" s="38" t="str">
        <f>IFERROR(AVERAGEIFS('Picarro Output'!G:G, 'Picarro Output'!$B:$B, 'Uncalibrated Data'!$C792, 'Picarro Output'!$I:$I, 0, 'Picarro Output'!$J:$J, 1), "")</f>
        <v/>
      </c>
    </row>
    <row r="793" spans="2:5" x14ac:dyDescent="0.2">
      <c r="B793" s="1"/>
      <c r="E793" s="38" t="str">
        <f>IFERROR(AVERAGEIFS('Picarro Output'!G:G, 'Picarro Output'!$B:$B, 'Uncalibrated Data'!$C793, 'Picarro Output'!$I:$I, 0, 'Picarro Output'!$J:$J, 1), "")</f>
        <v/>
      </c>
    </row>
    <row r="794" spans="2:5" x14ac:dyDescent="0.2">
      <c r="B794" s="1"/>
      <c r="E794" s="38" t="str">
        <f>IFERROR(AVERAGEIFS('Picarro Output'!G:G, 'Picarro Output'!$B:$B, 'Uncalibrated Data'!$C794, 'Picarro Output'!$I:$I, 0, 'Picarro Output'!$J:$J, 1), "")</f>
        <v/>
      </c>
    </row>
    <row r="795" spans="2:5" x14ac:dyDescent="0.2">
      <c r="B795" s="1"/>
      <c r="E795" s="38" t="str">
        <f>IFERROR(AVERAGEIFS('Picarro Output'!G:G, 'Picarro Output'!$B:$B, 'Uncalibrated Data'!$C795, 'Picarro Output'!$I:$I, 0, 'Picarro Output'!$J:$J, 1), "")</f>
        <v/>
      </c>
    </row>
    <row r="796" spans="2:5" x14ac:dyDescent="0.2">
      <c r="B796" s="1"/>
      <c r="E796" s="38" t="str">
        <f>IFERROR(AVERAGEIFS('Picarro Output'!G:G, 'Picarro Output'!$B:$B, 'Uncalibrated Data'!$C796, 'Picarro Output'!$I:$I, 0, 'Picarro Output'!$J:$J, 1), "")</f>
        <v/>
      </c>
    </row>
    <row r="797" spans="2:5" x14ac:dyDescent="0.2">
      <c r="B797" s="1"/>
      <c r="E797" s="38" t="str">
        <f>IFERROR(AVERAGEIFS('Picarro Output'!G:G, 'Picarro Output'!$B:$B, 'Uncalibrated Data'!$C797, 'Picarro Output'!$I:$I, 0, 'Picarro Output'!$J:$J, 1), "")</f>
        <v/>
      </c>
    </row>
    <row r="798" spans="2:5" x14ac:dyDescent="0.2">
      <c r="B798" s="1"/>
      <c r="E798" s="38" t="str">
        <f>IFERROR(AVERAGEIFS('Picarro Output'!G:G, 'Picarro Output'!$B:$B, 'Uncalibrated Data'!$C798, 'Picarro Output'!$I:$I, 0, 'Picarro Output'!$J:$J, 1), "")</f>
        <v/>
      </c>
    </row>
    <row r="799" spans="2:5" x14ac:dyDescent="0.2">
      <c r="B799" s="1"/>
      <c r="E799" s="38" t="str">
        <f>IFERROR(AVERAGEIFS('Picarro Output'!G:G, 'Picarro Output'!$B:$B, 'Uncalibrated Data'!$C799, 'Picarro Output'!$I:$I, 0, 'Picarro Output'!$J:$J, 1), "")</f>
        <v/>
      </c>
    </row>
    <row r="800" spans="2:5" x14ac:dyDescent="0.2">
      <c r="B800" s="1"/>
      <c r="E800" s="38" t="str">
        <f>IFERROR(AVERAGEIFS('Picarro Output'!G:G, 'Picarro Output'!$B:$B, 'Uncalibrated Data'!$C800, 'Picarro Output'!$I:$I, 0, 'Picarro Output'!$J:$J, 1), "")</f>
        <v/>
      </c>
    </row>
    <row r="801" spans="2:5" x14ac:dyDescent="0.2">
      <c r="B801" s="1"/>
      <c r="E801" s="38" t="str">
        <f>IFERROR(AVERAGEIFS('Picarro Output'!G:G, 'Picarro Output'!$B:$B, 'Uncalibrated Data'!$C801, 'Picarro Output'!$I:$I, 0, 'Picarro Output'!$J:$J, 1), "")</f>
        <v/>
      </c>
    </row>
    <row r="802" spans="2:5" x14ac:dyDescent="0.2">
      <c r="B802" s="1"/>
      <c r="E802" s="38" t="str">
        <f>IFERROR(AVERAGEIFS('Picarro Output'!G:G, 'Picarro Output'!$B:$B, 'Uncalibrated Data'!$C802, 'Picarro Output'!$I:$I, 0, 'Picarro Output'!$J:$J, 1), "")</f>
        <v/>
      </c>
    </row>
    <row r="803" spans="2:5" x14ac:dyDescent="0.2">
      <c r="B803" s="1"/>
      <c r="E803" s="38" t="str">
        <f>IFERROR(AVERAGEIFS('Picarro Output'!G:G, 'Picarro Output'!$B:$B, 'Uncalibrated Data'!$C803, 'Picarro Output'!$I:$I, 0, 'Picarro Output'!$J:$J, 1), "")</f>
        <v/>
      </c>
    </row>
    <row r="804" spans="2:5" x14ac:dyDescent="0.2">
      <c r="B804" s="1"/>
      <c r="E804" s="38" t="str">
        <f>IFERROR(AVERAGEIFS('Picarro Output'!G:G, 'Picarro Output'!$B:$B, 'Uncalibrated Data'!$C804, 'Picarro Output'!$I:$I, 0, 'Picarro Output'!$J:$J, 1), "")</f>
        <v/>
      </c>
    </row>
    <row r="805" spans="2:5" x14ac:dyDescent="0.2">
      <c r="B805" s="1"/>
      <c r="E805" s="38" t="str">
        <f>IFERROR(AVERAGEIFS('Picarro Output'!G:G, 'Picarro Output'!$B:$B, 'Uncalibrated Data'!$C805, 'Picarro Output'!$I:$I, 0, 'Picarro Output'!$J:$J, 1), "")</f>
        <v/>
      </c>
    </row>
    <row r="806" spans="2:5" x14ac:dyDescent="0.2">
      <c r="B806" s="1"/>
      <c r="E806" s="38" t="str">
        <f>IFERROR(AVERAGEIFS('Picarro Output'!G:G, 'Picarro Output'!$B:$B, 'Uncalibrated Data'!$C806, 'Picarro Output'!$I:$I, 0, 'Picarro Output'!$J:$J, 1), "")</f>
        <v/>
      </c>
    </row>
    <row r="807" spans="2:5" x14ac:dyDescent="0.2">
      <c r="B807" s="1"/>
      <c r="E807" s="38" t="str">
        <f>IFERROR(AVERAGEIFS('Picarro Output'!G:G, 'Picarro Output'!$B:$B, 'Uncalibrated Data'!$C807, 'Picarro Output'!$I:$I, 0, 'Picarro Output'!$J:$J, 1), "")</f>
        <v/>
      </c>
    </row>
    <row r="808" spans="2:5" x14ac:dyDescent="0.2">
      <c r="B808" s="1"/>
      <c r="E808" s="38" t="str">
        <f>IFERROR(AVERAGEIFS('Picarro Output'!G:G, 'Picarro Output'!$B:$B, 'Uncalibrated Data'!$C808, 'Picarro Output'!$I:$I, 0, 'Picarro Output'!$J:$J, 1), "")</f>
        <v/>
      </c>
    </row>
    <row r="809" spans="2:5" x14ac:dyDescent="0.2">
      <c r="B809" s="1"/>
      <c r="E809" s="38" t="str">
        <f>IFERROR(AVERAGEIFS('Picarro Output'!G:G, 'Picarro Output'!$B:$B, 'Uncalibrated Data'!$C809, 'Picarro Output'!$I:$I, 0, 'Picarro Output'!$J:$J, 1), "")</f>
        <v/>
      </c>
    </row>
    <row r="810" spans="2:5" x14ac:dyDescent="0.2">
      <c r="B810" s="1"/>
      <c r="E810" s="38" t="str">
        <f>IFERROR(AVERAGEIFS('Picarro Output'!G:G, 'Picarro Output'!$B:$B, 'Uncalibrated Data'!$C810, 'Picarro Output'!$I:$I, 0, 'Picarro Output'!$J:$J, 1), "")</f>
        <v/>
      </c>
    </row>
    <row r="811" spans="2:5" x14ac:dyDescent="0.2">
      <c r="B811" s="1"/>
      <c r="E811" s="38" t="str">
        <f>IFERROR(AVERAGEIFS('Picarro Output'!G:G, 'Picarro Output'!$B:$B, 'Uncalibrated Data'!$C811, 'Picarro Output'!$I:$I, 0, 'Picarro Output'!$J:$J, 1), "")</f>
        <v/>
      </c>
    </row>
    <row r="812" spans="2:5" x14ac:dyDescent="0.2">
      <c r="B812" s="1"/>
      <c r="E812" s="38" t="str">
        <f>IFERROR(AVERAGEIFS('Picarro Output'!G:G, 'Picarro Output'!$B:$B, 'Uncalibrated Data'!$C812, 'Picarro Output'!$I:$I, 0, 'Picarro Output'!$J:$J, 1), "")</f>
        <v/>
      </c>
    </row>
    <row r="813" spans="2:5" x14ac:dyDescent="0.2">
      <c r="B813" s="1"/>
      <c r="E813" s="38" t="str">
        <f>IFERROR(AVERAGEIFS('Picarro Output'!G:G, 'Picarro Output'!$B:$B, 'Uncalibrated Data'!$C813, 'Picarro Output'!$I:$I, 0, 'Picarro Output'!$J:$J, 1), "")</f>
        <v/>
      </c>
    </row>
    <row r="814" spans="2:5" x14ac:dyDescent="0.2">
      <c r="B814" s="1"/>
      <c r="E814" s="38" t="str">
        <f>IFERROR(AVERAGEIFS('Picarro Output'!G:G, 'Picarro Output'!$B:$B, 'Uncalibrated Data'!$C814, 'Picarro Output'!$I:$I, 0, 'Picarro Output'!$J:$J, 1), "")</f>
        <v/>
      </c>
    </row>
    <row r="815" spans="2:5" x14ac:dyDescent="0.2">
      <c r="B815" s="1"/>
      <c r="E815" s="38" t="str">
        <f>IFERROR(AVERAGEIFS('Picarro Output'!G:G, 'Picarro Output'!$B:$B, 'Uncalibrated Data'!$C815, 'Picarro Output'!$I:$I, 0, 'Picarro Output'!$J:$J, 1), "")</f>
        <v/>
      </c>
    </row>
    <row r="816" spans="2:5" x14ac:dyDescent="0.2">
      <c r="B816" s="1"/>
      <c r="E816" s="38" t="str">
        <f>IFERROR(AVERAGEIFS('Picarro Output'!G:G, 'Picarro Output'!$B:$B, 'Uncalibrated Data'!$C816, 'Picarro Output'!$I:$I, 0, 'Picarro Output'!$J:$J, 1), "")</f>
        <v/>
      </c>
    </row>
    <row r="817" spans="2:5" x14ac:dyDescent="0.2">
      <c r="B817" s="1"/>
      <c r="E817" s="38" t="str">
        <f>IFERROR(AVERAGEIFS('Picarro Output'!G:G, 'Picarro Output'!$B:$B, 'Uncalibrated Data'!$C817, 'Picarro Output'!$I:$I, 0, 'Picarro Output'!$J:$J, 1), "")</f>
        <v/>
      </c>
    </row>
    <row r="818" spans="2:5" x14ac:dyDescent="0.2">
      <c r="B818" s="1"/>
      <c r="E818" s="38" t="str">
        <f>IFERROR(AVERAGEIFS('Picarro Output'!G:G, 'Picarro Output'!$B:$B, 'Uncalibrated Data'!$C818, 'Picarro Output'!$I:$I, 0, 'Picarro Output'!$J:$J, 1), "")</f>
        <v/>
      </c>
    </row>
    <row r="819" spans="2:5" x14ac:dyDescent="0.2">
      <c r="B819" s="1"/>
      <c r="E819" s="38" t="str">
        <f>IFERROR(AVERAGEIFS('Picarro Output'!G:G, 'Picarro Output'!$B:$B, 'Uncalibrated Data'!$C819, 'Picarro Output'!$I:$I, 0, 'Picarro Output'!$J:$J, 1), "")</f>
        <v/>
      </c>
    </row>
    <row r="820" spans="2:5" x14ac:dyDescent="0.2">
      <c r="B820" s="1"/>
      <c r="E820" s="38" t="str">
        <f>IFERROR(AVERAGEIFS('Picarro Output'!G:G, 'Picarro Output'!$B:$B, 'Uncalibrated Data'!$C820, 'Picarro Output'!$I:$I, 0, 'Picarro Output'!$J:$J, 1), "")</f>
        <v/>
      </c>
    </row>
    <row r="821" spans="2:5" x14ac:dyDescent="0.2">
      <c r="B821" s="1"/>
      <c r="E821" s="38" t="str">
        <f>IFERROR(AVERAGEIFS('Picarro Output'!G:G, 'Picarro Output'!$B:$B, 'Uncalibrated Data'!$C821, 'Picarro Output'!$I:$I, 0, 'Picarro Output'!$J:$J, 1), "")</f>
        <v/>
      </c>
    </row>
    <row r="822" spans="2:5" x14ac:dyDescent="0.2">
      <c r="B822" s="1"/>
      <c r="E822" s="38" t="str">
        <f>IFERROR(AVERAGEIFS('Picarro Output'!G:G, 'Picarro Output'!$B:$B, 'Uncalibrated Data'!$C822, 'Picarro Output'!$I:$I, 0, 'Picarro Output'!$J:$J, 1), "")</f>
        <v/>
      </c>
    </row>
    <row r="823" spans="2:5" x14ac:dyDescent="0.2">
      <c r="B823" s="1"/>
      <c r="E823" s="38" t="str">
        <f>IFERROR(AVERAGEIFS('Picarro Output'!G:G, 'Picarro Output'!$B:$B, 'Uncalibrated Data'!$C823, 'Picarro Output'!$I:$I, 0, 'Picarro Output'!$J:$J, 1), "")</f>
        <v/>
      </c>
    </row>
    <row r="824" spans="2:5" x14ac:dyDescent="0.2">
      <c r="B824" s="1"/>
      <c r="E824" s="38" t="str">
        <f>IFERROR(AVERAGEIFS('Picarro Output'!G:G, 'Picarro Output'!$B:$B, 'Uncalibrated Data'!$C824, 'Picarro Output'!$I:$I, 0, 'Picarro Output'!$J:$J, 1), "")</f>
        <v/>
      </c>
    </row>
    <row r="825" spans="2:5" x14ac:dyDescent="0.2">
      <c r="B825" s="1"/>
      <c r="E825" s="38" t="str">
        <f>IFERROR(AVERAGEIFS('Picarro Output'!G:G, 'Picarro Output'!$B:$B, 'Uncalibrated Data'!$C825, 'Picarro Output'!$I:$I, 0, 'Picarro Output'!$J:$J, 1), "")</f>
        <v/>
      </c>
    </row>
    <row r="826" spans="2:5" x14ac:dyDescent="0.2">
      <c r="B826" s="1"/>
      <c r="E826" s="38" t="str">
        <f>IFERROR(AVERAGEIFS('Picarro Output'!G:G, 'Picarro Output'!$B:$B, 'Uncalibrated Data'!$C826, 'Picarro Output'!$I:$I, 0, 'Picarro Output'!$J:$J, 1), "")</f>
        <v/>
      </c>
    </row>
    <row r="827" spans="2:5" x14ac:dyDescent="0.2">
      <c r="B827" s="1"/>
      <c r="E827" s="38" t="str">
        <f>IFERROR(AVERAGEIFS('Picarro Output'!G:G, 'Picarro Output'!$B:$B, 'Uncalibrated Data'!$C827, 'Picarro Output'!$I:$I, 0, 'Picarro Output'!$J:$J, 1), "")</f>
        <v/>
      </c>
    </row>
    <row r="828" spans="2:5" x14ac:dyDescent="0.2">
      <c r="B828" s="1"/>
      <c r="E828" s="38" t="str">
        <f>IFERROR(AVERAGEIFS('Picarro Output'!G:G, 'Picarro Output'!$B:$B, 'Uncalibrated Data'!$C828, 'Picarro Output'!$I:$I, 0, 'Picarro Output'!$J:$J, 1), "")</f>
        <v/>
      </c>
    </row>
    <row r="829" spans="2:5" x14ac:dyDescent="0.2">
      <c r="B829" s="1"/>
      <c r="E829" s="38" t="str">
        <f>IFERROR(AVERAGEIFS('Picarro Output'!G:G, 'Picarro Output'!$B:$B, 'Uncalibrated Data'!$C829, 'Picarro Output'!$I:$I, 0, 'Picarro Output'!$J:$J, 1), "")</f>
        <v/>
      </c>
    </row>
    <row r="830" spans="2:5" x14ac:dyDescent="0.2">
      <c r="B830" s="1"/>
      <c r="E830" s="38" t="str">
        <f>IFERROR(AVERAGEIFS('Picarro Output'!G:G, 'Picarro Output'!$B:$B, 'Uncalibrated Data'!$C830, 'Picarro Output'!$I:$I, 0, 'Picarro Output'!$J:$J, 1), "")</f>
        <v/>
      </c>
    </row>
    <row r="831" spans="2:5" x14ac:dyDescent="0.2">
      <c r="B831" s="1"/>
      <c r="E831" s="38" t="str">
        <f>IFERROR(AVERAGEIFS('Picarro Output'!G:G, 'Picarro Output'!$B:$B, 'Uncalibrated Data'!$C831, 'Picarro Output'!$I:$I, 0, 'Picarro Output'!$J:$J, 1), "")</f>
        <v/>
      </c>
    </row>
    <row r="832" spans="2:5" x14ac:dyDescent="0.2">
      <c r="B832" s="1"/>
      <c r="E832" s="38" t="str">
        <f>IFERROR(AVERAGEIFS('Picarro Output'!G:G, 'Picarro Output'!$B:$B, 'Uncalibrated Data'!$C832, 'Picarro Output'!$I:$I, 0, 'Picarro Output'!$J:$J, 1), "")</f>
        <v/>
      </c>
    </row>
    <row r="833" spans="2:5" x14ac:dyDescent="0.2">
      <c r="B833" s="1"/>
      <c r="E833" s="38" t="str">
        <f>IFERROR(AVERAGEIFS('Picarro Output'!G:G, 'Picarro Output'!$B:$B, 'Uncalibrated Data'!$C833, 'Picarro Output'!$I:$I, 0, 'Picarro Output'!$J:$J, 1), "")</f>
        <v/>
      </c>
    </row>
    <row r="834" spans="2:5" x14ac:dyDescent="0.2">
      <c r="B834" s="1"/>
      <c r="E834" s="38" t="str">
        <f>IFERROR(AVERAGEIFS('Picarro Output'!G:G, 'Picarro Output'!$B:$B, 'Uncalibrated Data'!$C834, 'Picarro Output'!$I:$I, 0, 'Picarro Output'!$J:$J, 1), "")</f>
        <v/>
      </c>
    </row>
    <row r="835" spans="2:5" x14ac:dyDescent="0.2">
      <c r="B835" s="1"/>
      <c r="E835" s="38" t="str">
        <f>IFERROR(AVERAGEIFS('Picarro Output'!G:G, 'Picarro Output'!$B:$B, 'Uncalibrated Data'!$C835, 'Picarro Output'!$I:$I, 0, 'Picarro Output'!$J:$J, 1), "")</f>
        <v/>
      </c>
    </row>
    <row r="836" spans="2:5" x14ac:dyDescent="0.2">
      <c r="B836" s="1"/>
      <c r="E836" s="38" t="str">
        <f>IFERROR(AVERAGEIFS('Picarro Output'!G:G, 'Picarro Output'!$B:$B, 'Uncalibrated Data'!$C836, 'Picarro Output'!$I:$I, 0, 'Picarro Output'!$J:$J, 1), "")</f>
        <v/>
      </c>
    </row>
    <row r="837" spans="2:5" x14ac:dyDescent="0.2">
      <c r="B837" s="1"/>
      <c r="E837" s="38" t="str">
        <f>IFERROR(AVERAGEIFS('Picarro Output'!G:G, 'Picarro Output'!$B:$B, 'Uncalibrated Data'!$C837, 'Picarro Output'!$I:$I, 0, 'Picarro Output'!$J:$J, 1), "")</f>
        <v/>
      </c>
    </row>
    <row r="838" spans="2:5" x14ac:dyDescent="0.2">
      <c r="B838" s="1"/>
      <c r="E838" s="38" t="str">
        <f>IFERROR(AVERAGEIFS('Picarro Output'!G:G, 'Picarro Output'!$B:$B, 'Uncalibrated Data'!$C838, 'Picarro Output'!$I:$I, 0, 'Picarro Output'!$J:$J, 1), "")</f>
        <v/>
      </c>
    </row>
    <row r="839" spans="2:5" x14ac:dyDescent="0.2">
      <c r="B839" s="1"/>
      <c r="E839" s="38" t="str">
        <f>IFERROR(AVERAGEIFS('Picarro Output'!G:G, 'Picarro Output'!$B:$B, 'Uncalibrated Data'!$C839, 'Picarro Output'!$I:$I, 0, 'Picarro Output'!$J:$J, 1), "")</f>
        <v/>
      </c>
    </row>
    <row r="840" spans="2:5" x14ac:dyDescent="0.2">
      <c r="B840" s="1"/>
      <c r="E840" s="38" t="str">
        <f>IFERROR(AVERAGEIFS('Picarro Output'!G:G, 'Picarro Output'!$B:$B, 'Uncalibrated Data'!$C840, 'Picarro Output'!$I:$I, 0, 'Picarro Output'!$J:$J, 1), "")</f>
        <v/>
      </c>
    </row>
    <row r="841" spans="2:5" x14ac:dyDescent="0.2">
      <c r="B841" s="1"/>
      <c r="E841" s="38" t="str">
        <f>IFERROR(AVERAGEIFS('Picarro Output'!G:G, 'Picarro Output'!$B:$B, 'Uncalibrated Data'!$C841, 'Picarro Output'!$I:$I, 0, 'Picarro Output'!$J:$J, 1), "")</f>
        <v/>
      </c>
    </row>
    <row r="842" spans="2:5" x14ac:dyDescent="0.2">
      <c r="B842" s="1"/>
      <c r="E842" s="38" t="str">
        <f>IFERROR(AVERAGEIFS('Picarro Output'!G:G, 'Picarro Output'!$B:$B, 'Uncalibrated Data'!$C842, 'Picarro Output'!$I:$I, 0, 'Picarro Output'!$J:$J, 1), "")</f>
        <v/>
      </c>
    </row>
    <row r="843" spans="2:5" x14ac:dyDescent="0.2">
      <c r="B843" s="1"/>
      <c r="E843" s="38" t="str">
        <f>IFERROR(AVERAGEIFS('Picarro Output'!G:G, 'Picarro Output'!$B:$B, 'Uncalibrated Data'!$C843, 'Picarro Output'!$I:$I, 0, 'Picarro Output'!$J:$J, 1), "")</f>
        <v/>
      </c>
    </row>
    <row r="844" spans="2:5" x14ac:dyDescent="0.2">
      <c r="B844" s="1"/>
      <c r="E844" s="38" t="str">
        <f>IFERROR(AVERAGEIFS('Picarro Output'!G:G, 'Picarro Output'!$B:$B, 'Uncalibrated Data'!$C844, 'Picarro Output'!$I:$I, 0, 'Picarro Output'!$J:$J, 1), "")</f>
        <v/>
      </c>
    </row>
    <row r="845" spans="2:5" x14ac:dyDescent="0.2">
      <c r="B845" s="1"/>
      <c r="E845" s="38" t="str">
        <f>IFERROR(AVERAGEIFS('Picarro Output'!G:G, 'Picarro Output'!$B:$B, 'Uncalibrated Data'!$C845, 'Picarro Output'!$I:$I, 0, 'Picarro Output'!$J:$J, 1), "")</f>
        <v/>
      </c>
    </row>
    <row r="846" spans="2:5" x14ac:dyDescent="0.2">
      <c r="B846" s="1"/>
      <c r="E846" s="38" t="str">
        <f>IFERROR(AVERAGEIFS('Picarro Output'!G:G, 'Picarro Output'!$B:$B, 'Uncalibrated Data'!$C846, 'Picarro Output'!$I:$I, 0, 'Picarro Output'!$J:$J, 1), "")</f>
        <v/>
      </c>
    </row>
    <row r="847" spans="2:5" x14ac:dyDescent="0.2">
      <c r="B847" s="1"/>
      <c r="E847" s="38" t="str">
        <f>IFERROR(AVERAGEIFS('Picarro Output'!G:G, 'Picarro Output'!$B:$B, 'Uncalibrated Data'!$C847, 'Picarro Output'!$I:$I, 0, 'Picarro Output'!$J:$J, 1), "")</f>
        <v/>
      </c>
    </row>
    <row r="848" spans="2:5" x14ac:dyDescent="0.2">
      <c r="B848" s="1"/>
      <c r="E848" s="38" t="str">
        <f>IFERROR(AVERAGEIFS('Picarro Output'!G:G, 'Picarro Output'!$B:$B, 'Uncalibrated Data'!$C848, 'Picarro Output'!$I:$I, 0, 'Picarro Output'!$J:$J, 1), "")</f>
        <v/>
      </c>
    </row>
    <row r="849" spans="2:5" x14ac:dyDescent="0.2">
      <c r="B849" s="1"/>
      <c r="E849" s="38" t="str">
        <f>IFERROR(AVERAGEIFS('Picarro Output'!G:G, 'Picarro Output'!$B:$B, 'Uncalibrated Data'!$C849, 'Picarro Output'!$I:$I, 0, 'Picarro Output'!$J:$J, 1), "")</f>
        <v/>
      </c>
    </row>
    <row r="850" spans="2:5" x14ac:dyDescent="0.2">
      <c r="B850" s="1"/>
      <c r="E850" s="38" t="str">
        <f>IFERROR(AVERAGEIFS('Picarro Output'!G:G, 'Picarro Output'!$B:$B, 'Uncalibrated Data'!$C850, 'Picarro Output'!$I:$I, 0, 'Picarro Output'!$J:$J, 1), "")</f>
        <v/>
      </c>
    </row>
    <row r="851" spans="2:5" x14ac:dyDescent="0.2">
      <c r="B851" s="1"/>
      <c r="E851" s="38" t="str">
        <f>IFERROR(AVERAGEIFS('Picarro Output'!G:G, 'Picarro Output'!$B:$B, 'Uncalibrated Data'!$C851, 'Picarro Output'!$I:$I, 0, 'Picarro Output'!$J:$J, 1), "")</f>
        <v/>
      </c>
    </row>
    <row r="852" spans="2:5" x14ac:dyDescent="0.2">
      <c r="B852" s="1"/>
      <c r="E852" s="38" t="str">
        <f>IFERROR(AVERAGEIFS('Picarro Output'!G:G, 'Picarro Output'!$B:$B, 'Uncalibrated Data'!$C852, 'Picarro Output'!$I:$I, 0, 'Picarro Output'!$J:$J, 1), "")</f>
        <v/>
      </c>
    </row>
    <row r="853" spans="2:5" x14ac:dyDescent="0.2">
      <c r="B853" s="1"/>
      <c r="E853" s="38" t="str">
        <f>IFERROR(AVERAGEIFS('Picarro Output'!G:G, 'Picarro Output'!$B:$B, 'Uncalibrated Data'!$C853, 'Picarro Output'!$I:$I, 0, 'Picarro Output'!$J:$J, 1), "")</f>
        <v/>
      </c>
    </row>
    <row r="854" spans="2:5" x14ac:dyDescent="0.2">
      <c r="B854" s="1"/>
      <c r="E854" s="38" t="str">
        <f>IFERROR(AVERAGEIFS('Picarro Output'!G:G, 'Picarro Output'!$B:$B, 'Uncalibrated Data'!$C854, 'Picarro Output'!$I:$I, 0, 'Picarro Output'!$J:$J, 1), "")</f>
        <v/>
      </c>
    </row>
    <row r="855" spans="2:5" x14ac:dyDescent="0.2">
      <c r="B855" s="1"/>
      <c r="E855" s="38" t="str">
        <f>IFERROR(AVERAGEIFS('Picarro Output'!G:G, 'Picarro Output'!$B:$B, 'Uncalibrated Data'!$C855, 'Picarro Output'!$I:$I, 0, 'Picarro Output'!$J:$J, 1), "")</f>
        <v/>
      </c>
    </row>
    <row r="856" spans="2:5" x14ac:dyDescent="0.2">
      <c r="B856" s="1"/>
      <c r="E856" s="38" t="str">
        <f>IFERROR(AVERAGEIFS('Picarro Output'!G:G, 'Picarro Output'!$B:$B, 'Uncalibrated Data'!$C856, 'Picarro Output'!$I:$I, 0, 'Picarro Output'!$J:$J, 1), "")</f>
        <v/>
      </c>
    </row>
    <row r="857" spans="2:5" x14ac:dyDescent="0.2">
      <c r="B857" s="1"/>
      <c r="E857" s="38" t="str">
        <f>IFERROR(AVERAGEIFS('Picarro Output'!G:G, 'Picarro Output'!$B:$B, 'Uncalibrated Data'!$C857, 'Picarro Output'!$I:$I, 0, 'Picarro Output'!$J:$J, 1), "")</f>
        <v/>
      </c>
    </row>
    <row r="858" spans="2:5" x14ac:dyDescent="0.2">
      <c r="B858" s="1"/>
      <c r="E858" s="38" t="str">
        <f>IFERROR(AVERAGEIFS('Picarro Output'!G:G, 'Picarro Output'!$B:$B, 'Uncalibrated Data'!$C858, 'Picarro Output'!$I:$I, 0, 'Picarro Output'!$J:$J, 1), "")</f>
        <v/>
      </c>
    </row>
    <row r="859" spans="2:5" x14ac:dyDescent="0.2">
      <c r="B859" s="1"/>
      <c r="E859" s="38" t="str">
        <f>IFERROR(AVERAGEIFS('Picarro Output'!G:G, 'Picarro Output'!$B:$B, 'Uncalibrated Data'!$C859, 'Picarro Output'!$I:$I, 0, 'Picarro Output'!$J:$J, 1), "")</f>
        <v/>
      </c>
    </row>
    <row r="860" spans="2:5" x14ac:dyDescent="0.2">
      <c r="B860" s="1"/>
      <c r="E860" s="38" t="str">
        <f>IFERROR(AVERAGEIFS('Picarro Output'!G:G, 'Picarro Output'!$B:$B, 'Uncalibrated Data'!$C860, 'Picarro Output'!$I:$I, 0, 'Picarro Output'!$J:$J, 1), "")</f>
        <v/>
      </c>
    </row>
    <row r="861" spans="2:5" x14ac:dyDescent="0.2">
      <c r="B861" s="1"/>
      <c r="E861" s="38" t="str">
        <f>IFERROR(AVERAGEIFS('Picarro Output'!G:G, 'Picarro Output'!$B:$B, 'Uncalibrated Data'!$C861, 'Picarro Output'!$I:$I, 0, 'Picarro Output'!$J:$J, 1), "")</f>
        <v/>
      </c>
    </row>
    <row r="862" spans="2:5" x14ac:dyDescent="0.2">
      <c r="B862" s="1"/>
      <c r="E862" s="38" t="str">
        <f>IFERROR(AVERAGEIFS('Picarro Output'!G:G, 'Picarro Output'!$B:$B, 'Uncalibrated Data'!$C862, 'Picarro Output'!$I:$I, 0, 'Picarro Output'!$J:$J, 1), "")</f>
        <v/>
      </c>
    </row>
    <row r="863" spans="2:5" x14ac:dyDescent="0.2">
      <c r="B863" s="1"/>
      <c r="E863" s="38" t="str">
        <f>IFERROR(AVERAGEIFS('Picarro Output'!G:G, 'Picarro Output'!$B:$B, 'Uncalibrated Data'!$C863, 'Picarro Output'!$I:$I, 0, 'Picarro Output'!$J:$J, 1), "")</f>
        <v/>
      </c>
    </row>
    <row r="864" spans="2:5" x14ac:dyDescent="0.2">
      <c r="B864" s="1"/>
      <c r="E864" s="38" t="str">
        <f>IFERROR(AVERAGEIFS('Picarro Output'!G:G, 'Picarro Output'!$B:$B, 'Uncalibrated Data'!$C864, 'Picarro Output'!$I:$I, 0, 'Picarro Output'!$J:$J, 1), "")</f>
        <v/>
      </c>
    </row>
    <row r="865" spans="2:5" x14ac:dyDescent="0.2">
      <c r="B865" s="1"/>
      <c r="E865" s="38" t="str">
        <f>IFERROR(AVERAGEIFS('Picarro Output'!G:G, 'Picarro Output'!$B:$B, 'Uncalibrated Data'!$C865, 'Picarro Output'!$I:$I, 0, 'Picarro Output'!$J:$J, 1), "")</f>
        <v/>
      </c>
    </row>
    <row r="866" spans="2:5" x14ac:dyDescent="0.2">
      <c r="B866" s="1"/>
      <c r="E866" s="38" t="str">
        <f>IFERROR(AVERAGEIFS('Picarro Output'!G:G, 'Picarro Output'!$B:$B, 'Uncalibrated Data'!$C866, 'Picarro Output'!$I:$I, 0, 'Picarro Output'!$J:$J, 1), "")</f>
        <v/>
      </c>
    </row>
    <row r="867" spans="2:5" x14ac:dyDescent="0.2">
      <c r="B867" s="1"/>
      <c r="E867" s="38" t="str">
        <f>IFERROR(AVERAGEIFS('Picarro Output'!G:G, 'Picarro Output'!$B:$B, 'Uncalibrated Data'!$C867, 'Picarro Output'!$I:$I, 0, 'Picarro Output'!$J:$J, 1), "")</f>
        <v/>
      </c>
    </row>
    <row r="868" spans="2:5" x14ac:dyDescent="0.2">
      <c r="B868" s="1"/>
      <c r="E868" s="38" t="str">
        <f>IFERROR(AVERAGEIFS('Picarro Output'!G:G, 'Picarro Output'!$B:$B, 'Uncalibrated Data'!$C868, 'Picarro Output'!$I:$I, 0, 'Picarro Output'!$J:$J, 1), "")</f>
        <v/>
      </c>
    </row>
    <row r="869" spans="2:5" x14ac:dyDescent="0.2">
      <c r="B869" s="1"/>
      <c r="E869" s="38" t="str">
        <f>IFERROR(AVERAGEIFS('Picarro Output'!G:G, 'Picarro Output'!$B:$B, 'Uncalibrated Data'!$C869, 'Picarro Output'!$I:$I, 0, 'Picarro Output'!$J:$J, 1), "")</f>
        <v/>
      </c>
    </row>
    <row r="870" spans="2:5" x14ac:dyDescent="0.2">
      <c r="B870" s="1"/>
      <c r="E870" s="38" t="str">
        <f>IFERROR(AVERAGEIFS('Picarro Output'!G:G, 'Picarro Output'!$B:$B, 'Uncalibrated Data'!$C870, 'Picarro Output'!$I:$I, 0, 'Picarro Output'!$J:$J, 1), "")</f>
        <v/>
      </c>
    </row>
    <row r="871" spans="2:5" x14ac:dyDescent="0.2">
      <c r="B871" s="1"/>
      <c r="E871" s="38" t="str">
        <f>IFERROR(AVERAGEIFS('Picarro Output'!G:G, 'Picarro Output'!$B:$B, 'Uncalibrated Data'!$C871, 'Picarro Output'!$I:$I, 0, 'Picarro Output'!$J:$J, 1), "")</f>
        <v/>
      </c>
    </row>
    <row r="872" spans="2:5" x14ac:dyDescent="0.2">
      <c r="B872" s="1"/>
      <c r="E872" s="38" t="str">
        <f>IFERROR(AVERAGEIFS('Picarro Output'!G:G, 'Picarro Output'!$B:$B, 'Uncalibrated Data'!$C872, 'Picarro Output'!$I:$I, 0, 'Picarro Output'!$J:$J, 1), "")</f>
        <v/>
      </c>
    </row>
    <row r="873" spans="2:5" x14ac:dyDescent="0.2">
      <c r="B873" s="1"/>
      <c r="E873" s="38" t="str">
        <f>IFERROR(AVERAGEIFS('Picarro Output'!G:G, 'Picarro Output'!$B:$B, 'Uncalibrated Data'!$C873, 'Picarro Output'!$I:$I, 0, 'Picarro Output'!$J:$J, 1), "")</f>
        <v/>
      </c>
    </row>
    <row r="874" spans="2:5" x14ac:dyDescent="0.2">
      <c r="B874" s="1"/>
      <c r="E874" s="38" t="str">
        <f>IFERROR(AVERAGEIFS('Picarro Output'!G:G, 'Picarro Output'!$B:$B, 'Uncalibrated Data'!$C874, 'Picarro Output'!$I:$I, 0, 'Picarro Output'!$J:$J, 1), "")</f>
        <v/>
      </c>
    </row>
    <row r="875" spans="2:5" x14ac:dyDescent="0.2">
      <c r="B875" s="1"/>
      <c r="E875" s="38" t="str">
        <f>IFERROR(AVERAGEIFS('Picarro Output'!G:G, 'Picarro Output'!$B:$B, 'Uncalibrated Data'!$C875, 'Picarro Output'!$I:$I, 0, 'Picarro Output'!$J:$J, 1), "")</f>
        <v/>
      </c>
    </row>
    <row r="876" spans="2:5" x14ac:dyDescent="0.2">
      <c r="B876" s="1"/>
      <c r="E876" s="38" t="str">
        <f>IFERROR(AVERAGEIFS('Picarro Output'!G:G, 'Picarro Output'!$B:$B, 'Uncalibrated Data'!$C876, 'Picarro Output'!$I:$I, 0, 'Picarro Output'!$J:$J, 1), "")</f>
        <v/>
      </c>
    </row>
    <row r="877" spans="2:5" x14ac:dyDescent="0.2">
      <c r="B877" s="1"/>
      <c r="E877" s="38" t="str">
        <f>IFERROR(AVERAGEIFS('Picarro Output'!G:G, 'Picarro Output'!$B:$B, 'Uncalibrated Data'!$C877, 'Picarro Output'!$I:$I, 0, 'Picarro Output'!$J:$J, 1), "")</f>
        <v/>
      </c>
    </row>
    <row r="878" spans="2:5" x14ac:dyDescent="0.2">
      <c r="B878" s="1"/>
      <c r="E878" s="38" t="str">
        <f>IFERROR(AVERAGEIFS('Picarro Output'!G:G, 'Picarro Output'!$B:$B, 'Uncalibrated Data'!$C878, 'Picarro Output'!$I:$I, 0, 'Picarro Output'!$J:$J, 1), "")</f>
        <v/>
      </c>
    </row>
    <row r="879" spans="2:5" x14ac:dyDescent="0.2">
      <c r="B879" s="1"/>
      <c r="E879" s="38" t="str">
        <f>IFERROR(AVERAGEIFS('Picarro Output'!G:G, 'Picarro Output'!$B:$B, 'Uncalibrated Data'!$C879, 'Picarro Output'!$I:$I, 0, 'Picarro Output'!$J:$J, 1), "")</f>
        <v/>
      </c>
    </row>
    <row r="880" spans="2:5" x14ac:dyDescent="0.2">
      <c r="B880" s="1"/>
      <c r="E880" s="38" t="str">
        <f>IFERROR(AVERAGEIFS('Picarro Output'!G:G, 'Picarro Output'!$B:$B, 'Uncalibrated Data'!$C880, 'Picarro Output'!$I:$I, 0, 'Picarro Output'!$J:$J, 1), "")</f>
        <v/>
      </c>
    </row>
    <row r="881" spans="2:5" x14ac:dyDescent="0.2">
      <c r="B881" s="1"/>
      <c r="E881" s="38" t="str">
        <f>IFERROR(AVERAGEIFS('Picarro Output'!G:G, 'Picarro Output'!$B:$B, 'Uncalibrated Data'!$C881, 'Picarro Output'!$I:$I, 0, 'Picarro Output'!$J:$J, 1), "")</f>
        <v/>
      </c>
    </row>
    <row r="882" spans="2:5" x14ac:dyDescent="0.2">
      <c r="B882" s="1"/>
      <c r="E882" s="38" t="str">
        <f>IFERROR(AVERAGEIFS('Picarro Output'!G:G, 'Picarro Output'!$B:$B, 'Uncalibrated Data'!$C882, 'Picarro Output'!$I:$I, 0, 'Picarro Output'!$J:$J, 1), "")</f>
        <v/>
      </c>
    </row>
    <row r="883" spans="2:5" x14ac:dyDescent="0.2">
      <c r="B883" s="1"/>
      <c r="E883" s="38" t="str">
        <f>IFERROR(AVERAGEIFS('Picarro Output'!G:G, 'Picarro Output'!$B:$B, 'Uncalibrated Data'!$C883, 'Picarro Output'!$I:$I, 0, 'Picarro Output'!$J:$J, 1), "")</f>
        <v/>
      </c>
    </row>
    <row r="884" spans="2:5" x14ac:dyDescent="0.2">
      <c r="B884" s="1"/>
      <c r="E884" s="38" t="str">
        <f>IFERROR(AVERAGEIFS('Picarro Output'!G:G, 'Picarro Output'!$B:$B, 'Uncalibrated Data'!$C884, 'Picarro Output'!$I:$I, 0, 'Picarro Output'!$J:$J, 1), "")</f>
        <v/>
      </c>
    </row>
    <row r="885" spans="2:5" x14ac:dyDescent="0.2">
      <c r="B885" s="1"/>
      <c r="E885" s="38" t="str">
        <f>IFERROR(AVERAGEIFS('Picarro Output'!G:G, 'Picarro Output'!$B:$B, 'Uncalibrated Data'!$C885, 'Picarro Output'!$I:$I, 0, 'Picarro Output'!$J:$J, 1), "")</f>
        <v/>
      </c>
    </row>
    <row r="886" spans="2:5" x14ac:dyDescent="0.2">
      <c r="B886" s="1"/>
      <c r="E886" s="38" t="str">
        <f>IFERROR(AVERAGEIFS('Picarro Output'!G:G, 'Picarro Output'!$B:$B, 'Uncalibrated Data'!$C886, 'Picarro Output'!$I:$I, 0, 'Picarro Output'!$J:$J, 1), "")</f>
        <v/>
      </c>
    </row>
    <row r="887" spans="2:5" x14ac:dyDescent="0.2">
      <c r="B887" s="1"/>
      <c r="E887" s="38" t="str">
        <f>IFERROR(AVERAGEIFS('Picarro Output'!G:G, 'Picarro Output'!$B:$B, 'Uncalibrated Data'!$C887, 'Picarro Output'!$I:$I, 0, 'Picarro Output'!$J:$J, 1), "")</f>
        <v/>
      </c>
    </row>
    <row r="888" spans="2:5" x14ac:dyDescent="0.2">
      <c r="B888" s="1"/>
      <c r="E888" s="38" t="str">
        <f>IFERROR(AVERAGEIFS('Picarro Output'!G:G, 'Picarro Output'!$B:$B, 'Uncalibrated Data'!$C888, 'Picarro Output'!$I:$I, 0, 'Picarro Output'!$J:$J, 1), "")</f>
        <v/>
      </c>
    </row>
    <row r="889" spans="2:5" x14ac:dyDescent="0.2">
      <c r="B889" s="1"/>
      <c r="E889" s="38" t="str">
        <f>IFERROR(AVERAGEIFS('Picarro Output'!G:G, 'Picarro Output'!$B:$B, 'Uncalibrated Data'!$C889, 'Picarro Output'!$I:$I, 0, 'Picarro Output'!$J:$J, 1), "")</f>
        <v/>
      </c>
    </row>
    <row r="890" spans="2:5" x14ac:dyDescent="0.2">
      <c r="B890" s="1"/>
      <c r="E890" s="38" t="str">
        <f>IFERROR(AVERAGEIFS('Picarro Output'!G:G, 'Picarro Output'!$B:$B, 'Uncalibrated Data'!$C890, 'Picarro Output'!$I:$I, 0, 'Picarro Output'!$J:$J, 1), "")</f>
        <v/>
      </c>
    </row>
    <row r="891" spans="2:5" x14ac:dyDescent="0.2">
      <c r="B891" s="1"/>
      <c r="E891" s="38" t="str">
        <f>IFERROR(AVERAGEIFS('Picarro Output'!G:G, 'Picarro Output'!$B:$B, 'Uncalibrated Data'!$C891, 'Picarro Output'!$I:$I, 0, 'Picarro Output'!$J:$J, 1), "")</f>
        <v/>
      </c>
    </row>
    <row r="892" spans="2:5" x14ac:dyDescent="0.2">
      <c r="B892" s="1"/>
      <c r="E892" s="38" t="str">
        <f>IFERROR(AVERAGEIFS('Picarro Output'!G:G, 'Picarro Output'!$B:$B, 'Uncalibrated Data'!$C892, 'Picarro Output'!$I:$I, 0, 'Picarro Output'!$J:$J, 1), "")</f>
        <v/>
      </c>
    </row>
    <row r="893" spans="2:5" x14ac:dyDescent="0.2">
      <c r="B893" s="1"/>
      <c r="E893" s="38" t="str">
        <f>IFERROR(AVERAGEIFS('Picarro Output'!G:G, 'Picarro Output'!$B:$B, 'Uncalibrated Data'!$C893, 'Picarro Output'!$I:$I, 0, 'Picarro Output'!$J:$J, 1), "")</f>
        <v/>
      </c>
    </row>
    <row r="894" spans="2:5" x14ac:dyDescent="0.2">
      <c r="B894" s="1"/>
      <c r="E894" s="38" t="str">
        <f>IFERROR(AVERAGEIFS('Picarro Output'!G:G, 'Picarro Output'!$B:$B, 'Uncalibrated Data'!$C894, 'Picarro Output'!$I:$I, 0, 'Picarro Output'!$J:$J, 1), "")</f>
        <v/>
      </c>
    </row>
    <row r="895" spans="2:5" x14ac:dyDescent="0.2">
      <c r="B895" s="1"/>
      <c r="E895" s="38" t="str">
        <f>IFERROR(AVERAGEIFS('Picarro Output'!G:G, 'Picarro Output'!$B:$B, 'Uncalibrated Data'!$C895, 'Picarro Output'!$I:$I, 0, 'Picarro Output'!$J:$J, 1), "")</f>
        <v/>
      </c>
    </row>
    <row r="896" spans="2:5" x14ac:dyDescent="0.2">
      <c r="B896" s="1"/>
      <c r="E896" s="38" t="str">
        <f>IFERROR(AVERAGEIFS('Picarro Output'!G:G, 'Picarro Output'!$B:$B, 'Uncalibrated Data'!$C896, 'Picarro Output'!$I:$I, 0, 'Picarro Output'!$J:$J, 1), "")</f>
        <v/>
      </c>
    </row>
    <row r="897" spans="2:5" x14ac:dyDescent="0.2">
      <c r="B897" s="1"/>
      <c r="E897" s="38" t="str">
        <f>IFERROR(AVERAGEIFS('Picarro Output'!G:G, 'Picarro Output'!$B:$B, 'Uncalibrated Data'!$C897, 'Picarro Output'!$I:$I, 0, 'Picarro Output'!$J:$J, 1), "")</f>
        <v/>
      </c>
    </row>
    <row r="898" spans="2:5" x14ac:dyDescent="0.2">
      <c r="B898" s="1"/>
      <c r="E898" s="38" t="str">
        <f>IFERROR(AVERAGEIFS('Picarro Output'!G:G, 'Picarro Output'!$B:$B, 'Uncalibrated Data'!$C898, 'Picarro Output'!$I:$I, 0, 'Picarro Output'!$J:$J, 1), "")</f>
        <v/>
      </c>
    </row>
    <row r="899" spans="2:5" x14ac:dyDescent="0.2">
      <c r="B899" s="1"/>
      <c r="E899" s="38" t="str">
        <f>IFERROR(AVERAGEIFS('Picarro Output'!G:G, 'Picarro Output'!$B:$B, 'Uncalibrated Data'!$C899, 'Picarro Output'!$I:$I, 0, 'Picarro Output'!$J:$J, 1), "")</f>
        <v/>
      </c>
    </row>
    <row r="900" spans="2:5" x14ac:dyDescent="0.2">
      <c r="B900" s="1"/>
      <c r="E900" s="38" t="str">
        <f>IFERROR(AVERAGEIFS('Picarro Output'!G:G, 'Picarro Output'!$B:$B, 'Uncalibrated Data'!$C900, 'Picarro Output'!$I:$I, 0, 'Picarro Output'!$J:$J, 1), "")</f>
        <v/>
      </c>
    </row>
    <row r="901" spans="2:5" x14ac:dyDescent="0.2">
      <c r="B901" s="1"/>
      <c r="E901" s="38" t="str">
        <f>IFERROR(AVERAGEIFS('Picarro Output'!G:G, 'Picarro Output'!$B:$B, 'Uncalibrated Data'!$C901, 'Picarro Output'!$I:$I, 0, 'Picarro Output'!$J:$J, 1), "")</f>
        <v/>
      </c>
    </row>
    <row r="902" spans="2:5" x14ac:dyDescent="0.2">
      <c r="B902" s="1"/>
      <c r="E902" s="38" t="str">
        <f>IFERROR(AVERAGEIFS('Picarro Output'!G:G, 'Picarro Output'!$B:$B, 'Uncalibrated Data'!$C902, 'Picarro Output'!$I:$I, 0, 'Picarro Output'!$J:$J, 1), "")</f>
        <v/>
      </c>
    </row>
    <row r="903" spans="2:5" x14ac:dyDescent="0.2">
      <c r="B903" s="1"/>
      <c r="E903" s="38" t="str">
        <f>IFERROR(AVERAGEIFS('Picarro Output'!G:G, 'Picarro Output'!$B:$B, 'Uncalibrated Data'!$C903, 'Picarro Output'!$I:$I, 0, 'Picarro Output'!$J:$J, 1), "")</f>
        <v/>
      </c>
    </row>
    <row r="904" spans="2:5" x14ac:dyDescent="0.2">
      <c r="B904" s="1"/>
      <c r="E904" s="38" t="str">
        <f>IFERROR(AVERAGEIFS('Picarro Output'!G:G, 'Picarro Output'!$B:$B, 'Uncalibrated Data'!$C904, 'Picarro Output'!$I:$I, 0, 'Picarro Output'!$J:$J, 1), "")</f>
        <v/>
      </c>
    </row>
    <row r="905" spans="2:5" x14ac:dyDescent="0.2">
      <c r="B905" s="1"/>
      <c r="E905" s="38" t="str">
        <f>IFERROR(AVERAGEIFS('Picarro Output'!G:G, 'Picarro Output'!$B:$B, 'Uncalibrated Data'!$C905, 'Picarro Output'!$I:$I, 0, 'Picarro Output'!$J:$J, 1), "")</f>
        <v/>
      </c>
    </row>
    <row r="906" spans="2:5" x14ac:dyDescent="0.2">
      <c r="B906" s="1"/>
      <c r="E906" s="38" t="str">
        <f>IFERROR(AVERAGEIFS('Picarro Output'!G:G, 'Picarro Output'!$B:$B, 'Uncalibrated Data'!$C906, 'Picarro Output'!$I:$I, 0, 'Picarro Output'!$J:$J, 1), "")</f>
        <v/>
      </c>
    </row>
    <row r="907" spans="2:5" x14ac:dyDescent="0.2">
      <c r="B907" s="1"/>
      <c r="E907" s="38" t="str">
        <f>IFERROR(AVERAGEIFS('Picarro Output'!G:G, 'Picarro Output'!$B:$B, 'Uncalibrated Data'!$C907, 'Picarro Output'!$I:$I, 0, 'Picarro Output'!$J:$J, 1), "")</f>
        <v/>
      </c>
    </row>
    <row r="908" spans="2:5" x14ac:dyDescent="0.2">
      <c r="B908" s="1"/>
      <c r="E908" s="38" t="str">
        <f>IFERROR(AVERAGEIFS('Picarro Output'!G:G, 'Picarro Output'!$B:$B, 'Uncalibrated Data'!$C908, 'Picarro Output'!$I:$I, 0, 'Picarro Output'!$J:$J, 1), "")</f>
        <v/>
      </c>
    </row>
    <row r="909" spans="2:5" x14ac:dyDescent="0.2">
      <c r="B909" s="1"/>
      <c r="E909" s="38" t="str">
        <f>IFERROR(AVERAGEIFS('Picarro Output'!G:G, 'Picarro Output'!$B:$B, 'Uncalibrated Data'!$C909, 'Picarro Output'!$I:$I, 0, 'Picarro Output'!$J:$J, 1), "")</f>
        <v/>
      </c>
    </row>
    <row r="910" spans="2:5" x14ac:dyDescent="0.2">
      <c r="B910" s="1"/>
      <c r="E910" s="38" t="str">
        <f>IFERROR(AVERAGEIFS('Picarro Output'!G:G, 'Picarro Output'!$B:$B, 'Uncalibrated Data'!$C910, 'Picarro Output'!$I:$I, 0, 'Picarro Output'!$J:$J, 1), "")</f>
        <v/>
      </c>
    </row>
    <row r="911" spans="2:5" x14ac:dyDescent="0.2">
      <c r="B911" s="1"/>
      <c r="E911" s="38" t="str">
        <f>IFERROR(AVERAGEIFS('Picarro Output'!G:G, 'Picarro Output'!$B:$B, 'Uncalibrated Data'!$C911, 'Picarro Output'!$I:$I, 0, 'Picarro Output'!$J:$J, 1), "")</f>
        <v/>
      </c>
    </row>
    <row r="912" spans="2:5" x14ac:dyDescent="0.2">
      <c r="B912" s="1"/>
      <c r="E912" s="38" t="str">
        <f>IFERROR(AVERAGEIFS('Picarro Output'!G:G, 'Picarro Output'!$B:$B, 'Uncalibrated Data'!$C912, 'Picarro Output'!$I:$I, 0, 'Picarro Output'!$J:$J, 1), "")</f>
        <v/>
      </c>
    </row>
    <row r="913" spans="2:5" x14ac:dyDescent="0.2">
      <c r="B913" s="1"/>
      <c r="E913" s="38" t="str">
        <f>IFERROR(AVERAGEIFS('Picarro Output'!G:G, 'Picarro Output'!$B:$B, 'Uncalibrated Data'!$C913, 'Picarro Output'!$I:$I, 0, 'Picarro Output'!$J:$J, 1), "")</f>
        <v/>
      </c>
    </row>
    <row r="914" spans="2:5" x14ac:dyDescent="0.2">
      <c r="B914" s="1"/>
      <c r="E914" s="38" t="str">
        <f>IFERROR(AVERAGEIFS('Picarro Output'!G:G, 'Picarro Output'!$B:$B, 'Uncalibrated Data'!$C914, 'Picarro Output'!$I:$I, 0, 'Picarro Output'!$J:$J, 1), "")</f>
        <v/>
      </c>
    </row>
    <row r="915" spans="2:5" x14ac:dyDescent="0.2">
      <c r="B915" s="1"/>
      <c r="E915" s="38" t="str">
        <f>IFERROR(AVERAGEIFS('Picarro Output'!G:G, 'Picarro Output'!$B:$B, 'Uncalibrated Data'!$C915, 'Picarro Output'!$I:$I, 0, 'Picarro Output'!$J:$J, 1), "")</f>
        <v/>
      </c>
    </row>
    <row r="916" spans="2:5" x14ac:dyDescent="0.2">
      <c r="B916" s="1"/>
      <c r="E916" s="38" t="str">
        <f>IFERROR(AVERAGEIFS('Picarro Output'!G:G, 'Picarro Output'!$B:$B, 'Uncalibrated Data'!$C916, 'Picarro Output'!$I:$I, 0, 'Picarro Output'!$J:$J, 1), "")</f>
        <v/>
      </c>
    </row>
    <row r="917" spans="2:5" x14ac:dyDescent="0.2">
      <c r="B917" s="1"/>
      <c r="E917" s="38" t="str">
        <f>IFERROR(AVERAGEIFS('Picarro Output'!G:G, 'Picarro Output'!$B:$B, 'Uncalibrated Data'!$C917, 'Picarro Output'!$I:$I, 0, 'Picarro Output'!$J:$J, 1), "")</f>
        <v/>
      </c>
    </row>
    <row r="918" spans="2:5" x14ac:dyDescent="0.2">
      <c r="B918" s="1"/>
      <c r="E918" s="38" t="str">
        <f>IFERROR(AVERAGEIFS('Picarro Output'!G:G, 'Picarro Output'!$B:$B, 'Uncalibrated Data'!$C918, 'Picarro Output'!$I:$I, 0, 'Picarro Output'!$J:$J, 1), "")</f>
        <v/>
      </c>
    </row>
    <row r="919" spans="2:5" x14ac:dyDescent="0.2">
      <c r="B919" s="1"/>
      <c r="E919" s="38" t="str">
        <f>IFERROR(AVERAGEIFS('Picarro Output'!G:G, 'Picarro Output'!$B:$B, 'Uncalibrated Data'!$C919, 'Picarro Output'!$I:$I, 0, 'Picarro Output'!$J:$J, 1), "")</f>
        <v/>
      </c>
    </row>
    <row r="920" spans="2:5" x14ac:dyDescent="0.2">
      <c r="B920" s="1"/>
      <c r="E920" s="38" t="str">
        <f>IFERROR(AVERAGEIFS('Picarro Output'!G:G, 'Picarro Output'!$B:$B, 'Uncalibrated Data'!$C920, 'Picarro Output'!$I:$I, 0, 'Picarro Output'!$J:$J, 1), "")</f>
        <v/>
      </c>
    </row>
    <row r="921" spans="2:5" x14ac:dyDescent="0.2">
      <c r="B921" s="1"/>
      <c r="E921" s="38" t="str">
        <f>IFERROR(AVERAGEIFS('Picarro Output'!G:G, 'Picarro Output'!$B:$B, 'Uncalibrated Data'!$C921, 'Picarro Output'!$I:$I, 0, 'Picarro Output'!$J:$J, 1), "")</f>
        <v/>
      </c>
    </row>
    <row r="922" spans="2:5" x14ac:dyDescent="0.2">
      <c r="B922" s="1"/>
      <c r="E922" s="38" t="str">
        <f>IFERROR(AVERAGEIFS('Picarro Output'!G:G, 'Picarro Output'!$B:$B, 'Uncalibrated Data'!$C922, 'Picarro Output'!$I:$I, 0, 'Picarro Output'!$J:$J, 1), "")</f>
        <v/>
      </c>
    </row>
    <row r="923" spans="2:5" x14ac:dyDescent="0.2">
      <c r="B923" s="1"/>
      <c r="E923" s="38" t="str">
        <f>IFERROR(AVERAGEIFS('Picarro Output'!G:G, 'Picarro Output'!$B:$B, 'Uncalibrated Data'!$C923, 'Picarro Output'!$I:$I, 0, 'Picarro Output'!$J:$J, 1), "")</f>
        <v/>
      </c>
    </row>
    <row r="924" spans="2:5" x14ac:dyDescent="0.2">
      <c r="B924" s="1"/>
      <c r="E924" s="38" t="str">
        <f>IFERROR(AVERAGEIFS('Picarro Output'!G:G, 'Picarro Output'!$B:$B, 'Uncalibrated Data'!$C924, 'Picarro Output'!$I:$I, 0, 'Picarro Output'!$J:$J, 1), "")</f>
        <v/>
      </c>
    </row>
    <row r="925" spans="2:5" x14ac:dyDescent="0.2">
      <c r="B925" s="1"/>
      <c r="E925" s="38" t="str">
        <f>IFERROR(AVERAGEIFS('Picarro Output'!G:G, 'Picarro Output'!$B:$B, 'Uncalibrated Data'!$C925, 'Picarro Output'!$I:$I, 0, 'Picarro Output'!$J:$J, 1), "")</f>
        <v/>
      </c>
    </row>
    <row r="926" spans="2:5" x14ac:dyDescent="0.2">
      <c r="B926" s="1"/>
      <c r="E926" s="38" t="str">
        <f>IFERROR(AVERAGEIFS('Picarro Output'!G:G, 'Picarro Output'!$B:$B, 'Uncalibrated Data'!$C926, 'Picarro Output'!$I:$I, 0, 'Picarro Output'!$J:$J, 1), "")</f>
        <v/>
      </c>
    </row>
    <row r="927" spans="2:5" x14ac:dyDescent="0.2">
      <c r="B927" s="1"/>
      <c r="E927" s="38" t="str">
        <f>IFERROR(AVERAGEIFS('Picarro Output'!G:G, 'Picarro Output'!$B:$B, 'Uncalibrated Data'!$C927, 'Picarro Output'!$I:$I, 0, 'Picarro Output'!$J:$J, 1), "")</f>
        <v/>
      </c>
    </row>
    <row r="928" spans="2:5" x14ac:dyDescent="0.2">
      <c r="B928" s="1"/>
      <c r="E928" s="38" t="str">
        <f>IFERROR(AVERAGEIFS('Picarro Output'!G:G, 'Picarro Output'!$B:$B, 'Uncalibrated Data'!$C928, 'Picarro Output'!$I:$I, 0, 'Picarro Output'!$J:$J, 1), "")</f>
        <v/>
      </c>
    </row>
    <row r="929" spans="2:5" x14ac:dyDescent="0.2">
      <c r="B929" s="1"/>
      <c r="E929" s="38" t="str">
        <f>IFERROR(AVERAGEIFS('Picarro Output'!G:G, 'Picarro Output'!$B:$B, 'Uncalibrated Data'!$C929, 'Picarro Output'!$I:$I, 0, 'Picarro Output'!$J:$J, 1), "")</f>
        <v/>
      </c>
    </row>
    <row r="930" spans="2:5" x14ac:dyDescent="0.2">
      <c r="B930" s="1"/>
      <c r="E930" s="38" t="str">
        <f>IFERROR(AVERAGEIFS('Picarro Output'!G:G, 'Picarro Output'!$B:$B, 'Uncalibrated Data'!$C930, 'Picarro Output'!$I:$I, 0, 'Picarro Output'!$J:$J, 1), "")</f>
        <v/>
      </c>
    </row>
    <row r="931" spans="2:5" x14ac:dyDescent="0.2">
      <c r="B931" s="1"/>
      <c r="E931" s="38" t="str">
        <f>IFERROR(AVERAGEIFS('Picarro Output'!G:G, 'Picarro Output'!$B:$B, 'Uncalibrated Data'!$C931, 'Picarro Output'!$I:$I, 0, 'Picarro Output'!$J:$J, 1), "")</f>
        <v/>
      </c>
    </row>
    <row r="932" spans="2:5" x14ac:dyDescent="0.2">
      <c r="B932" s="1"/>
      <c r="E932" s="38" t="str">
        <f>IFERROR(AVERAGEIFS('Picarro Output'!G:G, 'Picarro Output'!$B:$B, 'Uncalibrated Data'!$C932, 'Picarro Output'!$I:$I, 0, 'Picarro Output'!$J:$J, 1), "")</f>
        <v/>
      </c>
    </row>
    <row r="933" spans="2:5" x14ac:dyDescent="0.2">
      <c r="B933" s="1"/>
      <c r="E933" s="38" t="str">
        <f>IFERROR(AVERAGEIFS('Picarro Output'!G:G, 'Picarro Output'!$B:$B, 'Uncalibrated Data'!$C933, 'Picarro Output'!$I:$I, 0, 'Picarro Output'!$J:$J, 1), "")</f>
        <v/>
      </c>
    </row>
    <row r="934" spans="2:5" x14ac:dyDescent="0.2">
      <c r="B934" s="1"/>
      <c r="E934" s="38" t="str">
        <f>IFERROR(AVERAGEIFS('Picarro Output'!G:G, 'Picarro Output'!$B:$B, 'Uncalibrated Data'!$C934, 'Picarro Output'!$I:$I, 0, 'Picarro Output'!$J:$J, 1), "")</f>
        <v/>
      </c>
    </row>
    <row r="935" spans="2:5" x14ac:dyDescent="0.2">
      <c r="B935" s="1"/>
      <c r="E935" s="38" t="str">
        <f>IFERROR(AVERAGEIFS('Picarro Output'!G:G, 'Picarro Output'!$B:$B, 'Uncalibrated Data'!$C935, 'Picarro Output'!$I:$I, 0, 'Picarro Output'!$J:$J, 1), "")</f>
        <v/>
      </c>
    </row>
    <row r="936" spans="2:5" x14ac:dyDescent="0.2">
      <c r="B936" s="1"/>
      <c r="E936" s="38" t="str">
        <f>IFERROR(AVERAGEIFS('Picarro Output'!G:G, 'Picarro Output'!$B:$B, 'Uncalibrated Data'!$C936, 'Picarro Output'!$I:$I, 0, 'Picarro Output'!$J:$J, 1), "")</f>
        <v/>
      </c>
    </row>
    <row r="937" spans="2:5" x14ac:dyDescent="0.2">
      <c r="B937" s="1"/>
      <c r="E937" s="38" t="str">
        <f>IFERROR(AVERAGEIFS('Picarro Output'!G:G, 'Picarro Output'!$B:$B, 'Uncalibrated Data'!$C937, 'Picarro Output'!$I:$I, 0, 'Picarro Output'!$J:$J, 1), "")</f>
        <v/>
      </c>
    </row>
    <row r="938" spans="2:5" x14ac:dyDescent="0.2">
      <c r="B938" s="1"/>
      <c r="E938" s="38" t="str">
        <f>IFERROR(AVERAGEIFS('Picarro Output'!G:G, 'Picarro Output'!$B:$B, 'Uncalibrated Data'!$C938, 'Picarro Output'!$I:$I, 0, 'Picarro Output'!$J:$J, 1), "")</f>
        <v/>
      </c>
    </row>
    <row r="939" spans="2:5" x14ac:dyDescent="0.2">
      <c r="B939" s="1"/>
      <c r="E939" s="38" t="str">
        <f>IFERROR(AVERAGEIFS('Picarro Output'!G:G, 'Picarro Output'!$B:$B, 'Uncalibrated Data'!$C939, 'Picarro Output'!$I:$I, 0, 'Picarro Output'!$J:$J, 1), "")</f>
        <v/>
      </c>
    </row>
    <row r="940" spans="2:5" x14ac:dyDescent="0.2">
      <c r="B940" s="1"/>
      <c r="E940" s="38" t="str">
        <f>IFERROR(AVERAGEIFS('Picarro Output'!G:G, 'Picarro Output'!$B:$B, 'Uncalibrated Data'!$C940, 'Picarro Output'!$I:$I, 0, 'Picarro Output'!$J:$J, 1), "")</f>
        <v/>
      </c>
    </row>
    <row r="941" spans="2:5" x14ac:dyDescent="0.2">
      <c r="B941" s="1"/>
      <c r="E941" s="38" t="str">
        <f>IFERROR(AVERAGEIFS('Picarro Output'!G:G, 'Picarro Output'!$B:$B, 'Uncalibrated Data'!$C941, 'Picarro Output'!$I:$I, 0, 'Picarro Output'!$J:$J, 1), "")</f>
        <v/>
      </c>
    </row>
    <row r="942" spans="2:5" x14ac:dyDescent="0.2">
      <c r="B942" s="1"/>
      <c r="E942" s="38" t="str">
        <f>IFERROR(AVERAGEIFS('Picarro Output'!G:G, 'Picarro Output'!$B:$B, 'Uncalibrated Data'!$C942, 'Picarro Output'!$I:$I, 0, 'Picarro Output'!$J:$J, 1), "")</f>
        <v/>
      </c>
    </row>
    <row r="943" spans="2:5" x14ac:dyDescent="0.2">
      <c r="B943" s="1"/>
      <c r="E943" s="38" t="str">
        <f>IFERROR(AVERAGEIFS('Picarro Output'!G:G, 'Picarro Output'!$B:$B, 'Uncalibrated Data'!$C943, 'Picarro Output'!$I:$I, 0, 'Picarro Output'!$J:$J, 1), "")</f>
        <v/>
      </c>
    </row>
    <row r="944" spans="2:5" x14ac:dyDescent="0.2">
      <c r="B944" s="1"/>
      <c r="E944" s="38" t="str">
        <f>IFERROR(AVERAGEIFS('Picarro Output'!G:G, 'Picarro Output'!$B:$B, 'Uncalibrated Data'!$C944, 'Picarro Output'!$I:$I, 0, 'Picarro Output'!$J:$J, 1), "")</f>
        <v/>
      </c>
    </row>
    <row r="945" spans="2:5" x14ac:dyDescent="0.2">
      <c r="B945" s="1"/>
      <c r="E945" s="38" t="str">
        <f>IFERROR(AVERAGEIFS('Picarro Output'!G:G, 'Picarro Output'!$B:$B, 'Uncalibrated Data'!$C945, 'Picarro Output'!$I:$I, 0, 'Picarro Output'!$J:$J, 1), "")</f>
        <v/>
      </c>
    </row>
    <row r="946" spans="2:5" x14ac:dyDescent="0.2">
      <c r="B946" s="1"/>
      <c r="E946" s="38" t="str">
        <f>IFERROR(AVERAGEIFS('Picarro Output'!G:G, 'Picarro Output'!$B:$B, 'Uncalibrated Data'!$C946, 'Picarro Output'!$I:$I, 0, 'Picarro Output'!$J:$J, 1), "")</f>
        <v/>
      </c>
    </row>
    <row r="947" spans="2:5" x14ac:dyDescent="0.2">
      <c r="B947" s="1"/>
      <c r="E947" s="38" t="str">
        <f>IFERROR(AVERAGEIFS('Picarro Output'!G:G, 'Picarro Output'!$B:$B, 'Uncalibrated Data'!$C947, 'Picarro Output'!$I:$I, 0, 'Picarro Output'!$J:$J, 1), "")</f>
        <v/>
      </c>
    </row>
    <row r="948" spans="2:5" x14ac:dyDescent="0.2">
      <c r="B948" s="1"/>
      <c r="E948" s="38" t="str">
        <f>IFERROR(AVERAGEIFS('Picarro Output'!G:G, 'Picarro Output'!$B:$B, 'Uncalibrated Data'!$C948, 'Picarro Output'!$I:$I, 0, 'Picarro Output'!$J:$J, 1), "")</f>
        <v/>
      </c>
    </row>
    <row r="949" spans="2:5" x14ac:dyDescent="0.2">
      <c r="B949" s="1"/>
      <c r="E949" s="38" t="str">
        <f>IFERROR(AVERAGEIFS('Picarro Output'!G:G, 'Picarro Output'!$B:$B, 'Uncalibrated Data'!$C949, 'Picarro Output'!$I:$I, 0, 'Picarro Output'!$J:$J, 1), "")</f>
        <v/>
      </c>
    </row>
    <row r="950" spans="2:5" x14ac:dyDescent="0.2">
      <c r="B950" s="1"/>
      <c r="E950" s="38" t="str">
        <f>IFERROR(AVERAGEIFS('Picarro Output'!G:G, 'Picarro Output'!$B:$B, 'Uncalibrated Data'!$C950, 'Picarro Output'!$I:$I, 0, 'Picarro Output'!$J:$J, 1), "")</f>
        <v/>
      </c>
    </row>
    <row r="951" spans="2:5" x14ac:dyDescent="0.2">
      <c r="B951" s="1"/>
      <c r="E951" s="38" t="str">
        <f>IFERROR(AVERAGEIFS('Picarro Output'!G:G, 'Picarro Output'!$B:$B, 'Uncalibrated Data'!$C951, 'Picarro Output'!$I:$I, 0, 'Picarro Output'!$J:$J, 1), "")</f>
        <v/>
      </c>
    </row>
    <row r="952" spans="2:5" x14ac:dyDescent="0.2">
      <c r="B952" s="1"/>
      <c r="E952" s="38" t="str">
        <f>IFERROR(AVERAGEIFS('Picarro Output'!G:G, 'Picarro Output'!$B:$B, 'Uncalibrated Data'!$C952, 'Picarro Output'!$I:$I, 0, 'Picarro Output'!$J:$J, 1), "")</f>
        <v/>
      </c>
    </row>
    <row r="953" spans="2:5" x14ac:dyDescent="0.2">
      <c r="B953" s="1"/>
      <c r="E953" s="38" t="str">
        <f>IFERROR(AVERAGEIFS('Picarro Output'!G:G, 'Picarro Output'!$B:$B, 'Uncalibrated Data'!$C953, 'Picarro Output'!$I:$I, 0, 'Picarro Output'!$J:$J, 1), "")</f>
        <v/>
      </c>
    </row>
    <row r="954" spans="2:5" x14ac:dyDescent="0.2">
      <c r="B954" s="1"/>
      <c r="E954" s="38" t="str">
        <f>IFERROR(AVERAGEIFS('Picarro Output'!G:G, 'Picarro Output'!$B:$B, 'Uncalibrated Data'!$C954, 'Picarro Output'!$I:$I, 0, 'Picarro Output'!$J:$J, 1), "")</f>
        <v/>
      </c>
    </row>
    <row r="955" spans="2:5" x14ac:dyDescent="0.2">
      <c r="B955" s="1"/>
      <c r="E955" s="38" t="str">
        <f>IFERROR(AVERAGEIFS('Picarro Output'!G:G, 'Picarro Output'!$B:$B, 'Uncalibrated Data'!$C955, 'Picarro Output'!$I:$I, 0, 'Picarro Output'!$J:$J, 1), "")</f>
        <v/>
      </c>
    </row>
    <row r="956" spans="2:5" x14ac:dyDescent="0.2">
      <c r="B956" s="1"/>
      <c r="E956" s="38" t="str">
        <f>IFERROR(AVERAGEIFS('Picarro Output'!G:G, 'Picarro Output'!$B:$B, 'Uncalibrated Data'!$C956, 'Picarro Output'!$I:$I, 0, 'Picarro Output'!$J:$J, 1), "")</f>
        <v/>
      </c>
    </row>
    <row r="957" spans="2:5" x14ac:dyDescent="0.2">
      <c r="B957" s="1"/>
      <c r="E957" s="38" t="str">
        <f>IFERROR(AVERAGEIFS('Picarro Output'!G:G, 'Picarro Output'!$B:$B, 'Uncalibrated Data'!$C957, 'Picarro Output'!$I:$I, 0, 'Picarro Output'!$J:$J, 1), "")</f>
        <v/>
      </c>
    </row>
    <row r="958" spans="2:5" x14ac:dyDescent="0.2">
      <c r="B958" s="1"/>
      <c r="E958" s="38" t="str">
        <f>IFERROR(AVERAGEIFS('Picarro Output'!G:G, 'Picarro Output'!$B:$B, 'Uncalibrated Data'!$C958, 'Picarro Output'!$I:$I, 0, 'Picarro Output'!$J:$J, 1), "")</f>
        <v/>
      </c>
    </row>
    <row r="959" spans="2:5" x14ac:dyDescent="0.2">
      <c r="B959" s="1"/>
      <c r="E959" s="38" t="str">
        <f>IFERROR(AVERAGEIFS('Picarro Output'!G:G, 'Picarro Output'!$B:$B, 'Uncalibrated Data'!$C959, 'Picarro Output'!$I:$I, 0, 'Picarro Output'!$J:$J, 1), "")</f>
        <v/>
      </c>
    </row>
    <row r="960" spans="2:5" x14ac:dyDescent="0.2">
      <c r="B960" s="1"/>
      <c r="E960" s="38" t="str">
        <f>IFERROR(AVERAGEIFS('Picarro Output'!G:G, 'Picarro Output'!$B:$B, 'Uncalibrated Data'!$C960, 'Picarro Output'!$I:$I, 0, 'Picarro Output'!$J:$J, 1), "")</f>
        <v/>
      </c>
    </row>
    <row r="961" spans="2:5" x14ac:dyDescent="0.2">
      <c r="B961" s="1"/>
      <c r="E961" s="38" t="str">
        <f>IFERROR(AVERAGEIFS('Picarro Output'!G:G, 'Picarro Output'!$B:$B, 'Uncalibrated Data'!$C961, 'Picarro Output'!$I:$I, 0, 'Picarro Output'!$J:$J, 1), "")</f>
        <v/>
      </c>
    </row>
    <row r="962" spans="2:5" x14ac:dyDescent="0.2">
      <c r="B962" s="1"/>
      <c r="E962" s="38" t="str">
        <f>IFERROR(AVERAGEIFS('Picarro Output'!G:G, 'Picarro Output'!$B:$B, 'Uncalibrated Data'!$C962, 'Picarro Output'!$I:$I, 0, 'Picarro Output'!$J:$J, 1), "")</f>
        <v/>
      </c>
    </row>
    <row r="963" spans="2:5" x14ac:dyDescent="0.2">
      <c r="B963" s="1"/>
      <c r="E963" s="38" t="str">
        <f>IFERROR(AVERAGEIFS('Picarro Output'!G:G, 'Picarro Output'!$B:$B, 'Uncalibrated Data'!$C963, 'Picarro Output'!$I:$I, 0, 'Picarro Output'!$J:$J, 1), "")</f>
        <v/>
      </c>
    </row>
    <row r="964" spans="2:5" x14ac:dyDescent="0.2">
      <c r="B964" s="1"/>
      <c r="E964" s="38" t="str">
        <f>IFERROR(AVERAGEIFS('Picarro Output'!G:G, 'Picarro Output'!$B:$B, 'Uncalibrated Data'!$C964, 'Picarro Output'!$I:$I, 0, 'Picarro Output'!$J:$J, 1), "")</f>
        <v/>
      </c>
    </row>
    <row r="965" spans="2:5" x14ac:dyDescent="0.2">
      <c r="B965" s="1"/>
      <c r="E965" s="38" t="str">
        <f>IFERROR(AVERAGEIFS('Picarro Output'!G:G, 'Picarro Output'!$B:$B, 'Uncalibrated Data'!$C965, 'Picarro Output'!$I:$I, 0, 'Picarro Output'!$J:$J, 1), "")</f>
        <v/>
      </c>
    </row>
    <row r="966" spans="2:5" x14ac:dyDescent="0.2">
      <c r="B966" s="1"/>
      <c r="E966" s="38" t="str">
        <f>IFERROR(AVERAGEIFS('Picarro Output'!G:G, 'Picarro Output'!$B:$B, 'Uncalibrated Data'!$C966, 'Picarro Output'!$I:$I, 0, 'Picarro Output'!$J:$J, 1), "")</f>
        <v/>
      </c>
    </row>
    <row r="967" spans="2:5" x14ac:dyDescent="0.2">
      <c r="B967" s="1"/>
      <c r="E967" s="38" t="str">
        <f>IFERROR(AVERAGEIFS('Picarro Output'!G:G, 'Picarro Output'!$B:$B, 'Uncalibrated Data'!$C967, 'Picarro Output'!$I:$I, 0, 'Picarro Output'!$J:$J, 1), "")</f>
        <v/>
      </c>
    </row>
    <row r="968" spans="2:5" x14ac:dyDescent="0.2">
      <c r="B968" s="1"/>
      <c r="E968" s="38" t="str">
        <f>IFERROR(AVERAGEIFS('Picarro Output'!G:G, 'Picarro Output'!$B:$B, 'Uncalibrated Data'!$C968, 'Picarro Output'!$I:$I, 0, 'Picarro Output'!$J:$J, 1), "")</f>
        <v/>
      </c>
    </row>
    <row r="969" spans="2:5" x14ac:dyDescent="0.2">
      <c r="B969" s="1"/>
      <c r="E969" s="38" t="str">
        <f>IFERROR(AVERAGEIFS('Picarro Output'!G:G, 'Picarro Output'!$B:$B, 'Uncalibrated Data'!$C969, 'Picarro Output'!$I:$I, 0, 'Picarro Output'!$J:$J, 1), "")</f>
        <v/>
      </c>
    </row>
    <row r="970" spans="2:5" x14ac:dyDescent="0.2">
      <c r="B970" s="1"/>
      <c r="E970" s="38" t="str">
        <f>IFERROR(AVERAGEIFS('Picarro Output'!G:G, 'Picarro Output'!$B:$B, 'Uncalibrated Data'!$C970, 'Picarro Output'!$I:$I, 0, 'Picarro Output'!$J:$J, 1), "")</f>
        <v/>
      </c>
    </row>
    <row r="971" spans="2:5" x14ac:dyDescent="0.2">
      <c r="B971" s="1"/>
      <c r="E971" s="38" t="str">
        <f>IFERROR(AVERAGEIFS('Picarro Output'!G:G, 'Picarro Output'!$B:$B, 'Uncalibrated Data'!$C971, 'Picarro Output'!$I:$I, 0, 'Picarro Output'!$J:$J, 1), "")</f>
        <v/>
      </c>
    </row>
    <row r="972" spans="2:5" x14ac:dyDescent="0.2">
      <c r="B972" s="1"/>
      <c r="E972" s="38" t="str">
        <f>IFERROR(AVERAGEIFS('Picarro Output'!G:G, 'Picarro Output'!$B:$B, 'Uncalibrated Data'!$C972, 'Picarro Output'!$I:$I, 0, 'Picarro Output'!$J:$J, 1), "")</f>
        <v/>
      </c>
    </row>
    <row r="973" spans="2:5" x14ac:dyDescent="0.2">
      <c r="B973" s="1"/>
      <c r="E973" s="38" t="str">
        <f>IFERROR(AVERAGEIFS('Picarro Output'!G:G, 'Picarro Output'!$B:$B, 'Uncalibrated Data'!$C973, 'Picarro Output'!$I:$I, 0, 'Picarro Output'!$J:$J, 1), "")</f>
        <v/>
      </c>
    </row>
    <row r="974" spans="2:5" x14ac:dyDescent="0.2">
      <c r="B974" s="1"/>
      <c r="E974" s="38" t="str">
        <f>IFERROR(AVERAGEIFS('Picarro Output'!G:G, 'Picarro Output'!$B:$B, 'Uncalibrated Data'!$C974, 'Picarro Output'!$I:$I, 0, 'Picarro Output'!$J:$J, 1), "")</f>
        <v/>
      </c>
    </row>
    <row r="975" spans="2:5" x14ac:dyDescent="0.2">
      <c r="B975" s="1"/>
      <c r="E975" s="38" t="str">
        <f>IFERROR(AVERAGEIFS('Picarro Output'!G:G, 'Picarro Output'!$B:$B, 'Uncalibrated Data'!$C975, 'Picarro Output'!$I:$I, 0, 'Picarro Output'!$J:$J, 1), "")</f>
        <v/>
      </c>
    </row>
    <row r="976" spans="2:5" x14ac:dyDescent="0.2">
      <c r="B976" s="1"/>
      <c r="E976" s="38" t="str">
        <f>IFERROR(AVERAGEIFS('Picarro Output'!G:G, 'Picarro Output'!$B:$B, 'Uncalibrated Data'!$C976, 'Picarro Output'!$I:$I, 0, 'Picarro Output'!$J:$J, 1), "")</f>
        <v/>
      </c>
    </row>
    <row r="977" spans="2:5" x14ac:dyDescent="0.2">
      <c r="B977" s="1"/>
      <c r="E977" s="38" t="str">
        <f>IFERROR(AVERAGEIFS('Picarro Output'!G:G, 'Picarro Output'!$B:$B, 'Uncalibrated Data'!$C977, 'Picarro Output'!$I:$I, 0, 'Picarro Output'!$J:$J, 1), "")</f>
        <v/>
      </c>
    </row>
    <row r="978" spans="2:5" x14ac:dyDescent="0.2">
      <c r="B978" s="1"/>
      <c r="E978" s="38" t="str">
        <f>IFERROR(AVERAGEIFS('Picarro Output'!G:G, 'Picarro Output'!$B:$B, 'Uncalibrated Data'!$C978, 'Picarro Output'!$I:$I, 0, 'Picarro Output'!$J:$J, 1), "")</f>
        <v/>
      </c>
    </row>
    <row r="979" spans="2:5" x14ac:dyDescent="0.2">
      <c r="B979" s="1"/>
      <c r="E979" s="38" t="str">
        <f>IFERROR(AVERAGEIFS('Picarro Output'!G:G, 'Picarro Output'!$B:$B, 'Uncalibrated Data'!$C979, 'Picarro Output'!$I:$I, 0, 'Picarro Output'!$J:$J, 1), "")</f>
        <v/>
      </c>
    </row>
    <row r="980" spans="2:5" x14ac:dyDescent="0.2">
      <c r="B980" s="1"/>
      <c r="E980" s="38" t="str">
        <f>IFERROR(AVERAGEIFS('Picarro Output'!G:G, 'Picarro Output'!$B:$B, 'Uncalibrated Data'!$C980, 'Picarro Output'!$I:$I, 0, 'Picarro Output'!$J:$J, 1), "")</f>
        <v/>
      </c>
    </row>
    <row r="981" spans="2:5" x14ac:dyDescent="0.2">
      <c r="B981" s="1"/>
      <c r="E981" s="38" t="str">
        <f>IFERROR(AVERAGEIFS('Picarro Output'!G:G, 'Picarro Output'!$B:$B, 'Uncalibrated Data'!$C981, 'Picarro Output'!$I:$I, 0, 'Picarro Output'!$J:$J, 1), "")</f>
        <v/>
      </c>
    </row>
    <row r="982" spans="2:5" x14ac:dyDescent="0.2">
      <c r="B982" s="1"/>
      <c r="E982" s="38" t="str">
        <f>IFERROR(AVERAGEIFS('Picarro Output'!G:G, 'Picarro Output'!$B:$B, 'Uncalibrated Data'!$C982, 'Picarro Output'!$I:$I, 0, 'Picarro Output'!$J:$J, 1), "")</f>
        <v/>
      </c>
    </row>
    <row r="983" spans="2:5" x14ac:dyDescent="0.2">
      <c r="B983" s="1"/>
      <c r="E983" s="38" t="str">
        <f>IFERROR(AVERAGEIFS('Picarro Output'!G:G, 'Picarro Output'!$B:$B, 'Uncalibrated Data'!$C983, 'Picarro Output'!$I:$I, 0, 'Picarro Output'!$J:$J, 1), "")</f>
        <v/>
      </c>
    </row>
    <row r="984" spans="2:5" x14ac:dyDescent="0.2">
      <c r="B984" s="1"/>
      <c r="E984" s="38" t="str">
        <f>IFERROR(AVERAGEIFS('Picarro Output'!G:G, 'Picarro Output'!$B:$B, 'Uncalibrated Data'!$C984, 'Picarro Output'!$I:$I, 0, 'Picarro Output'!$J:$J, 1), "")</f>
        <v/>
      </c>
    </row>
    <row r="985" spans="2:5" x14ac:dyDescent="0.2">
      <c r="B985" s="1"/>
      <c r="E985" s="38" t="str">
        <f>IFERROR(AVERAGEIFS('Picarro Output'!G:G, 'Picarro Output'!$B:$B, 'Uncalibrated Data'!$C985, 'Picarro Output'!$I:$I, 0, 'Picarro Output'!$J:$J, 1), "")</f>
        <v/>
      </c>
    </row>
    <row r="986" spans="2:5" x14ac:dyDescent="0.2">
      <c r="B986" s="1"/>
      <c r="E986" s="38" t="str">
        <f>IFERROR(AVERAGEIFS('Picarro Output'!G:G, 'Picarro Output'!$B:$B, 'Uncalibrated Data'!$C986, 'Picarro Output'!$I:$I, 0, 'Picarro Output'!$J:$J, 1), "")</f>
        <v/>
      </c>
    </row>
    <row r="987" spans="2:5" x14ac:dyDescent="0.2">
      <c r="B987" s="1"/>
      <c r="E987" s="38" t="str">
        <f>IFERROR(AVERAGEIFS('Picarro Output'!G:G, 'Picarro Output'!$B:$B, 'Uncalibrated Data'!$C987, 'Picarro Output'!$I:$I, 0, 'Picarro Output'!$J:$J, 1), "")</f>
        <v/>
      </c>
    </row>
    <row r="988" spans="2:5" x14ac:dyDescent="0.2">
      <c r="B988" s="1"/>
      <c r="E988" s="38" t="str">
        <f>IFERROR(AVERAGEIFS('Picarro Output'!G:G, 'Picarro Output'!$B:$B, 'Uncalibrated Data'!$C988, 'Picarro Output'!$I:$I, 0, 'Picarro Output'!$J:$J, 1), "")</f>
        <v/>
      </c>
    </row>
    <row r="989" spans="2:5" x14ac:dyDescent="0.2">
      <c r="B989" s="1"/>
      <c r="E989" s="38" t="str">
        <f>IFERROR(AVERAGEIFS('Picarro Output'!G:G, 'Picarro Output'!$B:$B, 'Uncalibrated Data'!$C989, 'Picarro Output'!$I:$I, 0, 'Picarro Output'!$J:$J, 1), "")</f>
        <v/>
      </c>
    </row>
    <row r="990" spans="2:5" x14ac:dyDescent="0.2">
      <c r="B990" s="1"/>
      <c r="E990" s="38" t="str">
        <f>IFERROR(AVERAGEIFS('Picarro Output'!G:G, 'Picarro Output'!$B:$B, 'Uncalibrated Data'!$C990, 'Picarro Output'!$I:$I, 0, 'Picarro Output'!$J:$J, 1), "")</f>
        <v/>
      </c>
    </row>
    <row r="991" spans="2:5" x14ac:dyDescent="0.2">
      <c r="B991" s="1"/>
      <c r="E991" s="38" t="str">
        <f>IFERROR(AVERAGEIFS('Picarro Output'!G:G, 'Picarro Output'!$B:$B, 'Uncalibrated Data'!$C991, 'Picarro Output'!$I:$I, 0, 'Picarro Output'!$J:$J, 1), "")</f>
        <v/>
      </c>
    </row>
    <row r="992" spans="2:5" x14ac:dyDescent="0.2">
      <c r="B992" s="1"/>
      <c r="E992" s="38" t="str">
        <f>IFERROR(AVERAGEIFS('Picarro Output'!G:G, 'Picarro Output'!$B:$B, 'Uncalibrated Data'!$C992, 'Picarro Output'!$I:$I, 0, 'Picarro Output'!$J:$J, 1), "")</f>
        <v/>
      </c>
    </row>
    <row r="993" spans="2:5" x14ac:dyDescent="0.2">
      <c r="B993" s="1"/>
      <c r="E993" s="38" t="str">
        <f>IFERROR(AVERAGEIFS('Picarro Output'!G:G, 'Picarro Output'!$B:$B, 'Uncalibrated Data'!$C993, 'Picarro Output'!$I:$I, 0, 'Picarro Output'!$J:$J, 1), "")</f>
        <v/>
      </c>
    </row>
    <row r="994" spans="2:5" x14ac:dyDescent="0.2">
      <c r="B994" s="1"/>
      <c r="E994" s="38" t="str">
        <f>IFERROR(AVERAGEIFS('Picarro Output'!G:G, 'Picarro Output'!$B:$B, 'Uncalibrated Data'!$C994, 'Picarro Output'!$I:$I, 0, 'Picarro Output'!$J:$J, 1), "")</f>
        <v/>
      </c>
    </row>
    <row r="995" spans="2:5" x14ac:dyDescent="0.2">
      <c r="B995" s="1"/>
      <c r="E995" s="38" t="str">
        <f>IFERROR(AVERAGEIFS('Picarro Output'!G:G, 'Picarro Output'!$B:$B, 'Uncalibrated Data'!$C995, 'Picarro Output'!$I:$I, 0, 'Picarro Output'!$J:$J, 1), "")</f>
        <v/>
      </c>
    </row>
    <row r="996" spans="2:5" x14ac:dyDescent="0.2">
      <c r="B996" s="1"/>
      <c r="E996" s="38" t="str">
        <f>IFERROR(AVERAGEIFS('Picarro Output'!G:G, 'Picarro Output'!$B:$B, 'Uncalibrated Data'!$C996, 'Picarro Output'!$I:$I, 0, 'Picarro Output'!$J:$J, 1), "")</f>
        <v/>
      </c>
    </row>
    <row r="997" spans="2:5" x14ac:dyDescent="0.2">
      <c r="B997" s="1"/>
      <c r="E997" s="38" t="str">
        <f>IFERROR(AVERAGEIFS('Picarro Output'!G:G, 'Picarro Output'!$B:$B, 'Uncalibrated Data'!$C997, 'Picarro Output'!$I:$I, 0, 'Picarro Output'!$J:$J, 1), "")</f>
        <v/>
      </c>
    </row>
    <row r="998" spans="2:5" x14ac:dyDescent="0.2">
      <c r="B998" s="1"/>
      <c r="E998" s="38" t="str">
        <f>IFERROR(AVERAGEIFS('Picarro Output'!G:G, 'Picarro Output'!$B:$B, 'Uncalibrated Data'!$C998, 'Picarro Output'!$I:$I, 0, 'Picarro Output'!$J:$J, 1), "")</f>
        <v/>
      </c>
    </row>
    <row r="999" spans="2:5" x14ac:dyDescent="0.2">
      <c r="B999" s="1"/>
      <c r="E999" s="38" t="str">
        <f>IFERROR(AVERAGEIFS('Picarro Output'!G:G, 'Picarro Output'!$B:$B, 'Uncalibrated Data'!$C999, 'Picarro Output'!$I:$I, 0, 'Picarro Output'!$J:$J, 1), "")</f>
        <v/>
      </c>
    </row>
    <row r="1000" spans="2:5" x14ac:dyDescent="0.2">
      <c r="B1000" s="1"/>
      <c r="E1000" s="38" t="str">
        <f>IFERROR(AVERAGEIFS('Picarro Output'!G:G, 'Picarro Output'!$B:$B, 'Uncalibrated Data'!$C1000, 'Picarro Output'!$I:$I, 0, 'Picarro Output'!$J:$J, 1), "")</f>
        <v/>
      </c>
    </row>
    <row r="1001" spans="2:5" x14ac:dyDescent="0.2">
      <c r="B1001" s="1"/>
      <c r="E1001" s="38" t="str">
        <f>IFERROR(AVERAGEIFS('Picarro Output'!G:G, 'Picarro Output'!$B:$B, 'Uncalibrated Data'!$C1001, 'Picarro Output'!$I:$I, 0, 'Picarro Output'!$J:$J, 1), "")</f>
        <v/>
      </c>
    </row>
    <row r="1002" spans="2:5" x14ac:dyDescent="0.2">
      <c r="B1002" s="1"/>
      <c r="E1002" s="38" t="str">
        <f>IFERROR(AVERAGEIFS('Picarro Output'!G:G, 'Picarro Output'!$B:$B, 'Uncalibrated Data'!$C1002, 'Picarro Output'!$I:$I, 0, 'Picarro Output'!$J:$J, 1), "")</f>
        <v/>
      </c>
    </row>
    <row r="1003" spans="2:5" x14ac:dyDescent="0.2">
      <c r="B1003" s="1"/>
      <c r="E1003" s="38" t="str">
        <f>IFERROR(AVERAGEIFS('Picarro Output'!G:G, 'Picarro Output'!$B:$B, 'Uncalibrated Data'!$C1003, 'Picarro Output'!$I:$I, 0, 'Picarro Output'!$J:$J, 1), "")</f>
        <v/>
      </c>
    </row>
    <row r="1004" spans="2:5" x14ac:dyDescent="0.2">
      <c r="B1004" s="1"/>
      <c r="E1004" s="38" t="str">
        <f>IFERROR(AVERAGEIFS('Picarro Output'!G:G, 'Picarro Output'!$B:$B, 'Uncalibrated Data'!$C1004, 'Picarro Output'!$I:$I, 0, 'Picarro Output'!$J:$J, 1), "")</f>
        <v/>
      </c>
    </row>
    <row r="1005" spans="2:5" x14ac:dyDescent="0.2">
      <c r="B1005" s="1"/>
      <c r="E1005" s="38" t="str">
        <f>IFERROR(AVERAGEIFS('Picarro Output'!G:G, 'Picarro Output'!$B:$B, 'Uncalibrated Data'!$C1005, 'Picarro Output'!$I:$I, 0, 'Picarro Output'!$J:$J, 1), "")</f>
        <v/>
      </c>
    </row>
    <row r="1006" spans="2:5" x14ac:dyDescent="0.2">
      <c r="B1006" s="1"/>
      <c r="E1006" s="38" t="str">
        <f>IFERROR(AVERAGEIFS('Picarro Output'!G:G, 'Picarro Output'!$B:$B, 'Uncalibrated Data'!$C1006, 'Picarro Output'!$I:$I, 0, 'Picarro Output'!$J:$J, 1), "")</f>
        <v/>
      </c>
    </row>
    <row r="1007" spans="2:5" x14ac:dyDescent="0.2">
      <c r="B1007" s="1"/>
      <c r="E1007" s="38" t="str">
        <f>IFERROR(AVERAGEIFS('Picarro Output'!G:G, 'Picarro Output'!$B:$B, 'Uncalibrated Data'!$C1007, 'Picarro Output'!$I:$I, 0, 'Picarro Output'!$J:$J, 1), "")</f>
        <v/>
      </c>
    </row>
    <row r="1008" spans="2:5" x14ac:dyDescent="0.2">
      <c r="B1008" s="1"/>
      <c r="E1008" s="38" t="str">
        <f>IFERROR(AVERAGEIFS('Picarro Output'!G:G, 'Picarro Output'!$B:$B, 'Uncalibrated Data'!$C1008, 'Picarro Output'!$I:$I, 0, 'Picarro Output'!$J:$J, 1), "")</f>
        <v/>
      </c>
    </row>
    <row r="1009" spans="2:5" x14ac:dyDescent="0.2">
      <c r="B1009" s="1"/>
      <c r="E1009" s="38" t="str">
        <f>IFERROR(AVERAGEIFS('Picarro Output'!G:G, 'Picarro Output'!$B:$B, 'Uncalibrated Data'!$C1009, 'Picarro Output'!$I:$I, 0, 'Picarro Output'!$J:$J, 1), "")</f>
        <v/>
      </c>
    </row>
    <row r="1010" spans="2:5" x14ac:dyDescent="0.2">
      <c r="B1010" s="1"/>
      <c r="E1010" s="38" t="str">
        <f>IFERROR(AVERAGEIFS('Picarro Output'!G:G, 'Picarro Output'!$B:$B, 'Uncalibrated Data'!$C1010, 'Picarro Output'!$I:$I, 0, 'Picarro Output'!$J:$J, 1), "")</f>
        <v/>
      </c>
    </row>
    <row r="1011" spans="2:5" x14ac:dyDescent="0.2">
      <c r="B1011" s="1"/>
      <c r="E1011" s="38" t="str">
        <f>IFERROR(AVERAGEIFS('Picarro Output'!G:G, 'Picarro Output'!$B:$B, 'Uncalibrated Data'!$C1011, 'Picarro Output'!$I:$I, 0, 'Picarro Output'!$J:$J, 1), "")</f>
        <v/>
      </c>
    </row>
    <row r="1012" spans="2:5" x14ac:dyDescent="0.2">
      <c r="B1012" s="1"/>
      <c r="E1012" s="38" t="str">
        <f>IFERROR(AVERAGEIFS('Picarro Output'!G:G, 'Picarro Output'!$B:$B, 'Uncalibrated Data'!$C1012, 'Picarro Output'!$I:$I, 0, 'Picarro Output'!$J:$J, 1), "")</f>
        <v/>
      </c>
    </row>
    <row r="1013" spans="2:5" x14ac:dyDescent="0.2">
      <c r="B1013" s="1"/>
      <c r="E1013" s="38" t="str">
        <f>IFERROR(AVERAGEIFS('Picarro Output'!G:G, 'Picarro Output'!$B:$B, 'Uncalibrated Data'!$C1013, 'Picarro Output'!$I:$I, 0, 'Picarro Output'!$J:$J, 1), "")</f>
        <v/>
      </c>
    </row>
    <row r="1014" spans="2:5" x14ac:dyDescent="0.2">
      <c r="B1014" s="1"/>
      <c r="E1014" s="38" t="str">
        <f>IFERROR(AVERAGEIFS('Picarro Output'!G:G, 'Picarro Output'!$B:$B, 'Uncalibrated Data'!$C1014, 'Picarro Output'!$I:$I, 0, 'Picarro Output'!$J:$J, 1), "")</f>
        <v/>
      </c>
    </row>
    <row r="1015" spans="2:5" x14ac:dyDescent="0.2">
      <c r="B1015" s="1"/>
      <c r="E1015" s="38" t="str">
        <f>IFERROR(AVERAGEIFS('Picarro Output'!G:G, 'Picarro Output'!$B:$B, 'Uncalibrated Data'!$C1015, 'Picarro Output'!$I:$I, 0, 'Picarro Output'!$J:$J, 1), "")</f>
        <v/>
      </c>
    </row>
    <row r="1016" spans="2:5" x14ac:dyDescent="0.2">
      <c r="B1016" s="1"/>
      <c r="E1016" s="38" t="str">
        <f>IFERROR(AVERAGEIFS('Picarro Output'!G:G, 'Picarro Output'!$B:$B, 'Uncalibrated Data'!$C1016, 'Picarro Output'!$I:$I, 0, 'Picarro Output'!$J:$J, 1), "")</f>
        <v/>
      </c>
    </row>
    <row r="1017" spans="2:5" x14ac:dyDescent="0.2">
      <c r="B1017" s="1"/>
      <c r="E1017" s="38" t="str">
        <f>IFERROR(AVERAGEIFS('Picarro Output'!G:G, 'Picarro Output'!$B:$B, 'Uncalibrated Data'!$C1017, 'Picarro Output'!$I:$I, 0, 'Picarro Output'!$J:$J, 1), "")</f>
        <v/>
      </c>
    </row>
    <row r="1018" spans="2:5" x14ac:dyDescent="0.2">
      <c r="B1018" s="1"/>
      <c r="E1018" s="38" t="str">
        <f>IFERROR(AVERAGEIFS('Picarro Output'!G:G, 'Picarro Output'!$B:$B, 'Uncalibrated Data'!$C1018, 'Picarro Output'!$I:$I, 0, 'Picarro Output'!$J:$J, 1), "")</f>
        <v/>
      </c>
    </row>
    <row r="1019" spans="2:5" x14ac:dyDescent="0.2">
      <c r="B1019" s="1"/>
      <c r="E1019" s="38" t="str">
        <f>IFERROR(AVERAGEIFS('Picarro Output'!G:G, 'Picarro Output'!$B:$B, 'Uncalibrated Data'!$C1019, 'Picarro Output'!$I:$I, 0, 'Picarro Output'!$J:$J, 1), "")</f>
        <v/>
      </c>
    </row>
    <row r="1020" spans="2:5" x14ac:dyDescent="0.2">
      <c r="B1020" s="1"/>
      <c r="E1020" s="38" t="str">
        <f>IFERROR(AVERAGEIFS('Picarro Output'!G:G, 'Picarro Output'!$B:$B, 'Uncalibrated Data'!$C1020, 'Picarro Output'!$I:$I, 0, 'Picarro Output'!$J:$J, 1), "")</f>
        <v/>
      </c>
    </row>
    <row r="1021" spans="2:5" x14ac:dyDescent="0.2">
      <c r="B1021" s="1"/>
      <c r="E1021" s="38" t="str">
        <f>IFERROR(AVERAGEIFS('Picarro Output'!G:G, 'Picarro Output'!$B:$B, 'Uncalibrated Data'!$C1021, 'Picarro Output'!$I:$I, 0, 'Picarro Output'!$J:$J, 1), "")</f>
        <v/>
      </c>
    </row>
    <row r="1022" spans="2:5" x14ac:dyDescent="0.2">
      <c r="B1022" s="1"/>
      <c r="E1022" s="38" t="str">
        <f>IFERROR(AVERAGEIFS('Picarro Output'!G:G, 'Picarro Output'!$B:$B, 'Uncalibrated Data'!$C1022, 'Picarro Output'!$I:$I, 0, 'Picarro Output'!$J:$J, 1), "")</f>
        <v/>
      </c>
    </row>
    <row r="1023" spans="2:5" x14ac:dyDescent="0.2">
      <c r="B1023" s="1"/>
      <c r="E1023" s="38" t="str">
        <f>IFERROR(AVERAGEIFS('Picarro Output'!G:G, 'Picarro Output'!$B:$B, 'Uncalibrated Data'!$C1023, 'Picarro Output'!$I:$I, 0, 'Picarro Output'!$J:$J, 1), "")</f>
        <v/>
      </c>
    </row>
    <row r="1024" spans="2:5" x14ac:dyDescent="0.2">
      <c r="B1024" s="1"/>
      <c r="E1024" s="38" t="str">
        <f>IFERROR(AVERAGEIFS('Picarro Output'!G:G, 'Picarro Output'!$B:$B, 'Uncalibrated Data'!$C1024, 'Picarro Output'!$I:$I, 0, 'Picarro Output'!$J:$J, 1), "")</f>
        <v/>
      </c>
    </row>
    <row r="1025" spans="2:5" x14ac:dyDescent="0.2">
      <c r="B1025" s="1"/>
      <c r="E1025" s="38" t="str">
        <f>IFERROR(AVERAGEIFS('Picarro Output'!G:G, 'Picarro Output'!$B:$B, 'Uncalibrated Data'!$C1025, 'Picarro Output'!$I:$I, 0, 'Picarro Output'!$J:$J, 1), "")</f>
        <v/>
      </c>
    </row>
    <row r="1026" spans="2:5" x14ac:dyDescent="0.2">
      <c r="B1026" s="1"/>
      <c r="E1026" s="38" t="str">
        <f>IFERROR(AVERAGEIFS('Picarro Output'!G:G, 'Picarro Output'!$B:$B, 'Uncalibrated Data'!$C1026, 'Picarro Output'!$I:$I, 0, 'Picarro Output'!$J:$J, 1), "")</f>
        <v/>
      </c>
    </row>
    <row r="1027" spans="2:5" x14ac:dyDescent="0.2">
      <c r="B1027" s="1"/>
      <c r="E1027" s="38" t="str">
        <f>IFERROR(AVERAGEIFS('Picarro Output'!G:G, 'Picarro Output'!$B:$B, 'Uncalibrated Data'!$C1027, 'Picarro Output'!$I:$I, 0, 'Picarro Output'!$J:$J, 1), "")</f>
        <v/>
      </c>
    </row>
    <row r="1028" spans="2:5" x14ac:dyDescent="0.2">
      <c r="B1028" s="1"/>
      <c r="E1028" s="38" t="str">
        <f>IFERROR(AVERAGEIFS('Picarro Output'!G:G, 'Picarro Output'!$B:$B, 'Uncalibrated Data'!$C1028, 'Picarro Output'!$I:$I, 0, 'Picarro Output'!$J:$J, 1), "")</f>
        <v/>
      </c>
    </row>
    <row r="1029" spans="2:5" x14ac:dyDescent="0.2">
      <c r="B1029" s="1"/>
      <c r="E1029" s="38" t="str">
        <f>IFERROR(AVERAGEIFS('Picarro Output'!G:G, 'Picarro Output'!$B:$B, 'Uncalibrated Data'!$C1029, 'Picarro Output'!$I:$I, 0, 'Picarro Output'!$J:$J, 1), "")</f>
        <v/>
      </c>
    </row>
    <row r="1030" spans="2:5" x14ac:dyDescent="0.2">
      <c r="B1030" s="1"/>
      <c r="E1030" s="38" t="str">
        <f>IFERROR(AVERAGEIFS('Picarro Output'!G:G, 'Picarro Output'!$B:$B, 'Uncalibrated Data'!$C1030, 'Picarro Output'!$I:$I, 0, 'Picarro Output'!$J:$J, 1), "")</f>
        <v/>
      </c>
    </row>
    <row r="1031" spans="2:5" x14ac:dyDescent="0.2">
      <c r="B1031" s="1"/>
      <c r="E1031" s="38" t="str">
        <f>IFERROR(AVERAGEIFS('Picarro Output'!G:G, 'Picarro Output'!$B:$B, 'Uncalibrated Data'!$C1031, 'Picarro Output'!$I:$I, 0, 'Picarro Output'!$J:$J, 1), "")</f>
        <v/>
      </c>
    </row>
    <row r="1032" spans="2:5" x14ac:dyDescent="0.2">
      <c r="B1032" s="1"/>
      <c r="E1032" s="38" t="str">
        <f>IFERROR(AVERAGEIFS('Picarro Output'!G:G, 'Picarro Output'!$B:$B, 'Uncalibrated Data'!$C1032, 'Picarro Output'!$I:$I, 0, 'Picarro Output'!$J:$J, 1), "")</f>
        <v/>
      </c>
    </row>
    <row r="1033" spans="2:5" x14ac:dyDescent="0.2">
      <c r="B1033" s="1"/>
      <c r="E1033" s="38" t="str">
        <f>IFERROR(AVERAGEIFS('Picarro Output'!G:G, 'Picarro Output'!$B:$B, 'Uncalibrated Data'!$C1033, 'Picarro Output'!$I:$I, 0, 'Picarro Output'!$J:$J, 1), "")</f>
        <v/>
      </c>
    </row>
    <row r="1034" spans="2:5" x14ac:dyDescent="0.2">
      <c r="B1034" s="1"/>
      <c r="E1034" s="38" t="str">
        <f>IFERROR(AVERAGEIFS('Picarro Output'!G:G, 'Picarro Output'!$B:$B, 'Uncalibrated Data'!$C1034, 'Picarro Output'!$I:$I, 0, 'Picarro Output'!$J:$J, 1), "")</f>
        <v/>
      </c>
    </row>
    <row r="1035" spans="2:5" x14ac:dyDescent="0.2">
      <c r="B1035" s="1"/>
      <c r="E1035" s="38" t="str">
        <f>IFERROR(AVERAGEIFS('Picarro Output'!G:G, 'Picarro Output'!$B:$B, 'Uncalibrated Data'!$C1035, 'Picarro Output'!$I:$I, 0, 'Picarro Output'!$J:$J, 1), "")</f>
        <v/>
      </c>
    </row>
    <row r="1036" spans="2:5" x14ac:dyDescent="0.2">
      <c r="B1036" s="1"/>
      <c r="E1036" s="38" t="str">
        <f>IFERROR(AVERAGEIFS('Picarro Output'!G:G, 'Picarro Output'!$B:$B, 'Uncalibrated Data'!$C1036, 'Picarro Output'!$I:$I, 0, 'Picarro Output'!$J:$J, 1), "")</f>
        <v/>
      </c>
    </row>
    <row r="1037" spans="2:5" x14ac:dyDescent="0.2">
      <c r="B1037" s="1"/>
      <c r="E1037" s="38" t="str">
        <f>IFERROR(AVERAGEIFS('Picarro Output'!G:G, 'Picarro Output'!$B:$B, 'Uncalibrated Data'!$C1037, 'Picarro Output'!$I:$I, 0, 'Picarro Output'!$J:$J, 1), "")</f>
        <v/>
      </c>
    </row>
    <row r="1038" spans="2:5" x14ac:dyDescent="0.2">
      <c r="B1038" s="1"/>
      <c r="E1038" s="38" t="str">
        <f>IFERROR(AVERAGEIFS('Picarro Output'!G:G, 'Picarro Output'!$B:$B, 'Uncalibrated Data'!$C1038, 'Picarro Output'!$I:$I, 0, 'Picarro Output'!$J:$J, 1), "")</f>
        <v/>
      </c>
    </row>
    <row r="1039" spans="2:5" x14ac:dyDescent="0.2">
      <c r="B1039" s="1"/>
      <c r="E1039" s="38" t="str">
        <f>IFERROR(AVERAGEIFS('Picarro Output'!G:G, 'Picarro Output'!$B:$B, 'Uncalibrated Data'!$C1039, 'Picarro Output'!$I:$I, 0, 'Picarro Output'!$J:$J, 1), "")</f>
        <v/>
      </c>
    </row>
    <row r="1040" spans="2:5" x14ac:dyDescent="0.2">
      <c r="B1040" s="1"/>
      <c r="E1040" s="38" t="str">
        <f>IFERROR(AVERAGEIFS('Picarro Output'!G:G, 'Picarro Output'!$B:$B, 'Uncalibrated Data'!$C1040, 'Picarro Output'!$I:$I, 0, 'Picarro Output'!$J:$J, 1), "")</f>
        <v/>
      </c>
    </row>
    <row r="1041" spans="2:5" x14ac:dyDescent="0.2">
      <c r="B1041" s="1"/>
      <c r="E1041" s="38" t="str">
        <f>IFERROR(AVERAGEIFS('Picarro Output'!G:G, 'Picarro Output'!$B:$B, 'Uncalibrated Data'!$C1041, 'Picarro Output'!$I:$I, 0, 'Picarro Output'!$J:$J, 1), "")</f>
        <v/>
      </c>
    </row>
    <row r="1042" spans="2:5" x14ac:dyDescent="0.2">
      <c r="B1042" s="1"/>
      <c r="E1042" s="38" t="str">
        <f>IFERROR(AVERAGEIFS('Picarro Output'!G:G, 'Picarro Output'!$B:$B, 'Uncalibrated Data'!$C1042, 'Picarro Output'!$I:$I, 0, 'Picarro Output'!$J:$J, 1), "")</f>
        <v/>
      </c>
    </row>
    <row r="1043" spans="2:5" x14ac:dyDescent="0.2">
      <c r="B1043" s="1"/>
      <c r="E1043" s="38" t="str">
        <f>IFERROR(AVERAGEIFS('Picarro Output'!G:G, 'Picarro Output'!$B:$B, 'Uncalibrated Data'!$C1043, 'Picarro Output'!$I:$I, 0, 'Picarro Output'!$J:$J, 1), "")</f>
        <v/>
      </c>
    </row>
    <row r="1044" spans="2:5" x14ac:dyDescent="0.2">
      <c r="B1044" s="1"/>
      <c r="E1044" s="38" t="str">
        <f>IFERROR(AVERAGEIFS('Picarro Output'!G:G, 'Picarro Output'!$B:$B, 'Uncalibrated Data'!$C1044, 'Picarro Output'!$I:$I, 0, 'Picarro Output'!$J:$J, 1), "")</f>
        <v/>
      </c>
    </row>
    <row r="1045" spans="2:5" x14ac:dyDescent="0.2">
      <c r="B1045" s="1"/>
      <c r="E1045" s="38" t="str">
        <f>IFERROR(AVERAGEIFS('Picarro Output'!G:G, 'Picarro Output'!$B:$B, 'Uncalibrated Data'!$C1045, 'Picarro Output'!$I:$I, 0, 'Picarro Output'!$J:$J, 1), "")</f>
        <v/>
      </c>
    </row>
    <row r="1046" spans="2:5" x14ac:dyDescent="0.2">
      <c r="B1046" s="1"/>
      <c r="E1046" s="38" t="str">
        <f>IFERROR(AVERAGEIFS('Picarro Output'!G:G, 'Picarro Output'!$B:$B, 'Uncalibrated Data'!$C1046, 'Picarro Output'!$I:$I, 0, 'Picarro Output'!$J:$J, 1), "")</f>
        <v/>
      </c>
    </row>
    <row r="1047" spans="2:5" x14ac:dyDescent="0.2">
      <c r="B1047" s="1"/>
      <c r="E1047" s="38" t="str">
        <f>IFERROR(AVERAGEIFS('Picarro Output'!G:G, 'Picarro Output'!$B:$B, 'Uncalibrated Data'!$C1047, 'Picarro Output'!$I:$I, 0, 'Picarro Output'!$J:$J, 1), "")</f>
        <v/>
      </c>
    </row>
    <row r="1048" spans="2:5" x14ac:dyDescent="0.2">
      <c r="B1048" s="1"/>
      <c r="E1048" s="38" t="str">
        <f>IFERROR(AVERAGEIFS('Picarro Output'!G:G, 'Picarro Output'!$B:$B, 'Uncalibrated Data'!$C1048, 'Picarro Output'!$I:$I, 0, 'Picarro Output'!$J:$J, 1), "")</f>
        <v/>
      </c>
    </row>
    <row r="1049" spans="2:5" x14ac:dyDescent="0.2">
      <c r="B1049" s="1"/>
      <c r="E1049" s="38" t="str">
        <f>IFERROR(AVERAGEIFS('Picarro Output'!G:G, 'Picarro Output'!$B:$B, 'Uncalibrated Data'!$C1049, 'Picarro Output'!$I:$I, 0, 'Picarro Output'!$J:$J, 1), "")</f>
        <v/>
      </c>
    </row>
    <row r="1050" spans="2:5" x14ac:dyDescent="0.2">
      <c r="B1050" s="1"/>
      <c r="E1050" s="38" t="str">
        <f>IFERROR(AVERAGEIFS('Picarro Output'!G:G, 'Picarro Output'!$B:$B, 'Uncalibrated Data'!$C1050, 'Picarro Output'!$I:$I, 0, 'Picarro Output'!$J:$J, 1), "")</f>
        <v/>
      </c>
    </row>
    <row r="1051" spans="2:5" x14ac:dyDescent="0.2">
      <c r="B1051" s="1"/>
      <c r="E1051" s="38" t="str">
        <f>IFERROR(AVERAGEIFS('Picarro Output'!G:G, 'Picarro Output'!$B:$B, 'Uncalibrated Data'!$C1051, 'Picarro Output'!$I:$I, 0, 'Picarro Output'!$J:$J, 1), "")</f>
        <v/>
      </c>
    </row>
    <row r="1052" spans="2:5" x14ac:dyDescent="0.2">
      <c r="B1052" s="1"/>
      <c r="E1052" s="38" t="str">
        <f>IFERROR(AVERAGEIFS('Picarro Output'!G:G, 'Picarro Output'!$B:$B, 'Uncalibrated Data'!$C1052, 'Picarro Output'!$I:$I, 0, 'Picarro Output'!$J:$J, 1), "")</f>
        <v/>
      </c>
    </row>
    <row r="1053" spans="2:5" x14ac:dyDescent="0.2">
      <c r="B1053" s="1"/>
      <c r="E1053" s="38" t="str">
        <f>IFERROR(AVERAGEIFS('Picarro Output'!G:G, 'Picarro Output'!$B:$B, 'Uncalibrated Data'!$C1053, 'Picarro Output'!$I:$I, 0, 'Picarro Output'!$J:$J, 1), "")</f>
        <v/>
      </c>
    </row>
    <row r="1054" spans="2:5" x14ac:dyDescent="0.2">
      <c r="B1054" s="1"/>
      <c r="E1054" s="38" t="str">
        <f>IFERROR(AVERAGEIFS('Picarro Output'!G:G, 'Picarro Output'!$B:$B, 'Uncalibrated Data'!$C1054, 'Picarro Output'!$I:$I, 0, 'Picarro Output'!$J:$J, 1), "")</f>
        <v/>
      </c>
    </row>
    <row r="1055" spans="2:5" x14ac:dyDescent="0.2">
      <c r="B1055" s="1"/>
      <c r="E1055" s="38" t="str">
        <f>IFERROR(AVERAGEIFS('Picarro Output'!G:G, 'Picarro Output'!$B:$B, 'Uncalibrated Data'!$C1055, 'Picarro Output'!$I:$I, 0, 'Picarro Output'!$J:$J, 1), "")</f>
        <v/>
      </c>
    </row>
    <row r="1056" spans="2:5" x14ac:dyDescent="0.2">
      <c r="B1056" s="1"/>
      <c r="E1056" s="38" t="str">
        <f>IFERROR(AVERAGEIFS('Picarro Output'!G:G, 'Picarro Output'!$B:$B, 'Uncalibrated Data'!$C1056, 'Picarro Output'!$I:$I, 0, 'Picarro Output'!$J:$J, 1), "")</f>
        <v/>
      </c>
    </row>
    <row r="1057" spans="2:5" x14ac:dyDescent="0.2">
      <c r="B1057" s="1"/>
      <c r="E1057" s="38" t="str">
        <f>IFERROR(AVERAGEIFS('Picarro Output'!G:G, 'Picarro Output'!$B:$B, 'Uncalibrated Data'!$C1057, 'Picarro Output'!$I:$I, 0, 'Picarro Output'!$J:$J, 1), "")</f>
        <v/>
      </c>
    </row>
    <row r="1058" spans="2:5" x14ac:dyDescent="0.2">
      <c r="B1058" s="1"/>
      <c r="E1058" s="38" t="str">
        <f>IFERROR(AVERAGEIFS('Picarro Output'!G:G, 'Picarro Output'!$B:$B, 'Uncalibrated Data'!$C1058, 'Picarro Output'!$I:$I, 0, 'Picarro Output'!$J:$J, 1), "")</f>
        <v/>
      </c>
    </row>
    <row r="1059" spans="2:5" x14ac:dyDescent="0.2">
      <c r="B1059" s="1"/>
      <c r="E1059" s="38" t="str">
        <f>IFERROR(AVERAGEIFS('Picarro Output'!G:G, 'Picarro Output'!$B:$B, 'Uncalibrated Data'!$C1059, 'Picarro Output'!$I:$I, 0, 'Picarro Output'!$J:$J, 1), "")</f>
        <v/>
      </c>
    </row>
    <row r="1060" spans="2:5" x14ac:dyDescent="0.2">
      <c r="B1060" s="1"/>
      <c r="E1060" s="38" t="str">
        <f>IFERROR(AVERAGEIFS('Picarro Output'!G:G, 'Picarro Output'!$B:$B, 'Uncalibrated Data'!$C1060, 'Picarro Output'!$I:$I, 0, 'Picarro Output'!$J:$J, 1), "")</f>
        <v/>
      </c>
    </row>
    <row r="1061" spans="2:5" x14ac:dyDescent="0.2">
      <c r="B1061" s="1"/>
      <c r="E1061" s="38" t="str">
        <f>IFERROR(AVERAGEIFS('Picarro Output'!G:G, 'Picarro Output'!$B:$B, 'Uncalibrated Data'!$C1061, 'Picarro Output'!$I:$I, 0, 'Picarro Output'!$J:$J, 1), "")</f>
        <v/>
      </c>
    </row>
    <row r="1062" spans="2:5" x14ac:dyDescent="0.2">
      <c r="B1062" s="1"/>
      <c r="E1062" s="38" t="str">
        <f>IFERROR(AVERAGEIFS('Picarro Output'!G:G, 'Picarro Output'!$B:$B, 'Uncalibrated Data'!$C1062, 'Picarro Output'!$I:$I, 0, 'Picarro Output'!$J:$J, 1), "")</f>
        <v/>
      </c>
    </row>
    <row r="1063" spans="2:5" x14ac:dyDescent="0.2">
      <c r="B1063" s="1"/>
      <c r="E1063" s="38" t="str">
        <f>IFERROR(AVERAGEIFS('Picarro Output'!G:G, 'Picarro Output'!$B:$B, 'Uncalibrated Data'!$C1063, 'Picarro Output'!$I:$I, 0, 'Picarro Output'!$J:$J, 1), "")</f>
        <v/>
      </c>
    </row>
    <row r="1064" spans="2:5" x14ac:dyDescent="0.2">
      <c r="B1064" s="1"/>
      <c r="E1064" s="38" t="str">
        <f>IFERROR(AVERAGEIFS('Picarro Output'!G:G, 'Picarro Output'!$B:$B, 'Uncalibrated Data'!$C1064, 'Picarro Output'!$I:$I, 0, 'Picarro Output'!$J:$J, 1), "")</f>
        <v/>
      </c>
    </row>
    <row r="1065" spans="2:5" x14ac:dyDescent="0.2">
      <c r="B1065" s="1"/>
      <c r="E1065" s="38" t="str">
        <f>IFERROR(AVERAGEIFS('Picarro Output'!G:G, 'Picarro Output'!$B:$B, 'Uncalibrated Data'!$C1065, 'Picarro Output'!$I:$I, 0, 'Picarro Output'!$J:$J, 1), "")</f>
        <v/>
      </c>
    </row>
    <row r="1066" spans="2:5" x14ac:dyDescent="0.2">
      <c r="B1066" s="1"/>
      <c r="E1066" s="38" t="str">
        <f>IFERROR(AVERAGEIFS('Picarro Output'!G:G, 'Picarro Output'!$B:$B, 'Uncalibrated Data'!$C1066, 'Picarro Output'!$I:$I, 0, 'Picarro Output'!$J:$J, 1), "")</f>
        <v/>
      </c>
    </row>
    <row r="1067" spans="2:5" x14ac:dyDescent="0.2">
      <c r="B1067" s="1"/>
      <c r="E1067" s="38" t="str">
        <f>IFERROR(AVERAGEIFS('Picarro Output'!G:G, 'Picarro Output'!$B:$B, 'Uncalibrated Data'!$C1067, 'Picarro Output'!$I:$I, 0, 'Picarro Output'!$J:$J, 1), "")</f>
        <v/>
      </c>
    </row>
    <row r="1068" spans="2:5" x14ac:dyDescent="0.2">
      <c r="B1068" s="1"/>
      <c r="E1068" s="38" t="str">
        <f>IFERROR(AVERAGEIFS('Picarro Output'!G:G, 'Picarro Output'!$B:$B, 'Uncalibrated Data'!$C1068, 'Picarro Output'!$I:$I, 0, 'Picarro Output'!$J:$J, 1), "")</f>
        <v/>
      </c>
    </row>
    <row r="1069" spans="2:5" x14ac:dyDescent="0.2">
      <c r="B1069" s="1"/>
      <c r="E1069" s="38" t="str">
        <f>IFERROR(AVERAGEIFS('Picarro Output'!G:G, 'Picarro Output'!$B:$B, 'Uncalibrated Data'!$C1069, 'Picarro Output'!$I:$I, 0, 'Picarro Output'!$J:$J, 1), "")</f>
        <v/>
      </c>
    </row>
    <row r="1070" spans="2:5" x14ac:dyDescent="0.2">
      <c r="B1070" s="1"/>
      <c r="E1070" s="38" t="str">
        <f>IFERROR(AVERAGEIFS('Picarro Output'!G:G, 'Picarro Output'!$B:$B, 'Uncalibrated Data'!$C1070, 'Picarro Output'!$I:$I, 0, 'Picarro Output'!$J:$J, 1), "")</f>
        <v/>
      </c>
    </row>
    <row r="1071" spans="2:5" x14ac:dyDescent="0.2">
      <c r="B1071" s="1"/>
      <c r="E1071" s="38" t="str">
        <f>IFERROR(AVERAGEIFS('Picarro Output'!G:G, 'Picarro Output'!$B:$B, 'Uncalibrated Data'!$C1071, 'Picarro Output'!$I:$I, 0, 'Picarro Output'!$J:$J, 1), "")</f>
        <v/>
      </c>
    </row>
    <row r="1072" spans="2:5" x14ac:dyDescent="0.2">
      <c r="B1072" s="1"/>
      <c r="E1072" s="38" t="str">
        <f>IFERROR(AVERAGEIFS('Picarro Output'!G:G, 'Picarro Output'!$B:$B, 'Uncalibrated Data'!$C1072, 'Picarro Output'!$I:$I, 0, 'Picarro Output'!$J:$J, 1), "")</f>
        <v/>
      </c>
    </row>
    <row r="1073" spans="2:5" x14ac:dyDescent="0.2">
      <c r="B1073" s="1"/>
      <c r="E1073" s="38" t="str">
        <f>IFERROR(AVERAGEIFS('Picarro Output'!G:G, 'Picarro Output'!$B:$B, 'Uncalibrated Data'!$C1073, 'Picarro Output'!$I:$I, 0, 'Picarro Output'!$J:$J, 1), "")</f>
        <v/>
      </c>
    </row>
    <row r="1074" spans="2:5" x14ac:dyDescent="0.2">
      <c r="B1074" s="1"/>
      <c r="E1074" s="38" t="str">
        <f>IFERROR(AVERAGEIFS('Picarro Output'!G:G, 'Picarro Output'!$B:$B, 'Uncalibrated Data'!$C1074, 'Picarro Output'!$I:$I, 0, 'Picarro Output'!$J:$J, 1), "")</f>
        <v/>
      </c>
    </row>
    <row r="1075" spans="2:5" x14ac:dyDescent="0.2">
      <c r="B1075" s="1"/>
      <c r="E1075" s="38" t="str">
        <f>IFERROR(AVERAGEIFS('Picarro Output'!G:G, 'Picarro Output'!$B:$B, 'Uncalibrated Data'!$C1075, 'Picarro Output'!$I:$I, 0, 'Picarro Output'!$J:$J, 1), "")</f>
        <v/>
      </c>
    </row>
    <row r="1076" spans="2:5" x14ac:dyDescent="0.2">
      <c r="B1076" s="1"/>
      <c r="E1076" s="38" t="str">
        <f>IFERROR(AVERAGEIFS('Picarro Output'!G:G, 'Picarro Output'!$B:$B, 'Uncalibrated Data'!$C1076, 'Picarro Output'!$I:$I, 0, 'Picarro Output'!$J:$J, 1), "")</f>
        <v/>
      </c>
    </row>
    <row r="1077" spans="2:5" x14ac:dyDescent="0.2">
      <c r="B1077" s="1"/>
      <c r="E1077" s="38" t="str">
        <f>IFERROR(AVERAGEIFS('Picarro Output'!G:G, 'Picarro Output'!$B:$B, 'Uncalibrated Data'!$C1077, 'Picarro Output'!$I:$I, 0, 'Picarro Output'!$J:$J, 1), "")</f>
        <v/>
      </c>
    </row>
    <row r="1078" spans="2:5" x14ac:dyDescent="0.2">
      <c r="B1078" s="1"/>
      <c r="E1078" s="38" t="str">
        <f>IFERROR(AVERAGEIFS('Picarro Output'!G:G, 'Picarro Output'!$B:$B, 'Uncalibrated Data'!$C1078, 'Picarro Output'!$I:$I, 0, 'Picarro Output'!$J:$J, 1), "")</f>
        <v/>
      </c>
    </row>
    <row r="1079" spans="2:5" x14ac:dyDescent="0.2">
      <c r="B1079" s="1"/>
      <c r="E1079" s="38" t="str">
        <f>IFERROR(AVERAGEIFS('Picarro Output'!G:G, 'Picarro Output'!$B:$B, 'Uncalibrated Data'!$C1079, 'Picarro Output'!$I:$I, 0, 'Picarro Output'!$J:$J, 1), "")</f>
        <v/>
      </c>
    </row>
    <row r="1080" spans="2:5" x14ac:dyDescent="0.2">
      <c r="B1080" s="1"/>
      <c r="E1080" s="38" t="str">
        <f>IFERROR(AVERAGEIFS('Picarro Output'!G:G, 'Picarro Output'!$B:$B, 'Uncalibrated Data'!$C1080, 'Picarro Output'!$I:$I, 0, 'Picarro Output'!$J:$J, 1), "")</f>
        <v/>
      </c>
    </row>
    <row r="1081" spans="2:5" x14ac:dyDescent="0.2">
      <c r="B1081" s="1"/>
      <c r="E1081" s="38" t="str">
        <f>IFERROR(AVERAGEIFS('Picarro Output'!G:G, 'Picarro Output'!$B:$B, 'Uncalibrated Data'!$C1081, 'Picarro Output'!$I:$I, 0, 'Picarro Output'!$J:$J, 1), "")</f>
        <v/>
      </c>
    </row>
    <row r="1082" spans="2:5" x14ac:dyDescent="0.2">
      <c r="B1082" s="1"/>
      <c r="E1082" s="38" t="str">
        <f>IFERROR(AVERAGEIFS('Picarro Output'!G:G, 'Picarro Output'!$B:$B, 'Uncalibrated Data'!$C1082, 'Picarro Output'!$I:$I, 0, 'Picarro Output'!$J:$J, 1), "")</f>
        <v/>
      </c>
    </row>
    <row r="1083" spans="2:5" x14ac:dyDescent="0.2">
      <c r="B1083" s="1"/>
      <c r="E1083" s="38" t="str">
        <f>IFERROR(AVERAGEIFS('Picarro Output'!G:G, 'Picarro Output'!$B:$B, 'Uncalibrated Data'!$C1083, 'Picarro Output'!$I:$I, 0, 'Picarro Output'!$J:$J, 1), "")</f>
        <v/>
      </c>
    </row>
    <row r="1084" spans="2:5" x14ac:dyDescent="0.2">
      <c r="B1084" s="1"/>
      <c r="E1084" s="38" t="str">
        <f>IFERROR(AVERAGEIFS('Picarro Output'!G:G, 'Picarro Output'!$B:$B, 'Uncalibrated Data'!$C1084, 'Picarro Output'!$I:$I, 0, 'Picarro Output'!$J:$J, 1), "")</f>
        <v/>
      </c>
    </row>
    <row r="1085" spans="2:5" x14ac:dyDescent="0.2">
      <c r="B1085" s="1"/>
      <c r="E1085" s="38" t="str">
        <f>IFERROR(AVERAGEIFS('Picarro Output'!G:G, 'Picarro Output'!$B:$B, 'Uncalibrated Data'!$C1085, 'Picarro Output'!$I:$I, 0, 'Picarro Output'!$J:$J, 1), "")</f>
        <v/>
      </c>
    </row>
    <row r="1086" spans="2:5" x14ac:dyDescent="0.2">
      <c r="B1086" s="1"/>
      <c r="E1086" s="38" t="str">
        <f>IFERROR(AVERAGEIFS('Picarro Output'!G:G, 'Picarro Output'!$B:$B, 'Uncalibrated Data'!$C1086, 'Picarro Output'!$I:$I, 0, 'Picarro Output'!$J:$J, 1), "")</f>
        <v/>
      </c>
    </row>
    <row r="1087" spans="2:5" x14ac:dyDescent="0.2">
      <c r="B1087" s="1"/>
      <c r="E1087" s="38" t="str">
        <f>IFERROR(AVERAGEIFS('Picarro Output'!G:G, 'Picarro Output'!$B:$B, 'Uncalibrated Data'!$C1087, 'Picarro Output'!$I:$I, 0, 'Picarro Output'!$J:$J, 1), "")</f>
        <v/>
      </c>
    </row>
    <row r="1088" spans="2:5" x14ac:dyDescent="0.2">
      <c r="B1088" s="1"/>
      <c r="E1088" s="38" t="str">
        <f>IFERROR(AVERAGEIFS('Picarro Output'!G:G, 'Picarro Output'!$B:$B, 'Uncalibrated Data'!$C1088, 'Picarro Output'!$I:$I, 0, 'Picarro Output'!$J:$J, 1), "")</f>
        <v/>
      </c>
    </row>
    <row r="1089" spans="2:5" x14ac:dyDescent="0.2">
      <c r="B1089" s="1"/>
      <c r="E1089" s="38" t="str">
        <f>IFERROR(AVERAGEIFS('Picarro Output'!G:G, 'Picarro Output'!$B:$B, 'Uncalibrated Data'!$C1089, 'Picarro Output'!$I:$I, 0, 'Picarro Output'!$J:$J, 1), "")</f>
        <v/>
      </c>
    </row>
    <row r="1090" spans="2:5" x14ac:dyDescent="0.2">
      <c r="B1090" s="1"/>
      <c r="E1090" s="38" t="str">
        <f>IFERROR(AVERAGEIFS('Picarro Output'!G:G, 'Picarro Output'!$B:$B, 'Uncalibrated Data'!$C1090, 'Picarro Output'!$I:$I, 0, 'Picarro Output'!$J:$J, 1), "")</f>
        <v/>
      </c>
    </row>
    <row r="1091" spans="2:5" x14ac:dyDescent="0.2">
      <c r="B1091" s="1"/>
      <c r="E1091" s="38" t="str">
        <f>IFERROR(AVERAGEIFS('Picarro Output'!G:G, 'Picarro Output'!$B:$B, 'Uncalibrated Data'!$C1091, 'Picarro Output'!$I:$I, 0, 'Picarro Output'!$J:$J, 1), "")</f>
        <v/>
      </c>
    </row>
    <row r="1092" spans="2:5" x14ac:dyDescent="0.2">
      <c r="B1092" s="1"/>
      <c r="E1092" s="38" t="str">
        <f>IFERROR(AVERAGEIFS('Picarro Output'!G:G, 'Picarro Output'!$B:$B, 'Uncalibrated Data'!$C1092, 'Picarro Output'!$I:$I, 0, 'Picarro Output'!$J:$J, 1), "")</f>
        <v/>
      </c>
    </row>
    <row r="1093" spans="2:5" x14ac:dyDescent="0.2">
      <c r="B1093" s="1"/>
      <c r="E1093" s="38" t="str">
        <f>IFERROR(AVERAGEIFS('Picarro Output'!G:G, 'Picarro Output'!$B:$B, 'Uncalibrated Data'!$C1093, 'Picarro Output'!$I:$I, 0, 'Picarro Output'!$J:$J, 1), "")</f>
        <v/>
      </c>
    </row>
    <row r="1094" spans="2:5" x14ac:dyDescent="0.2">
      <c r="B1094" s="1"/>
      <c r="E1094" s="38" t="str">
        <f>IFERROR(AVERAGEIFS('Picarro Output'!G:G, 'Picarro Output'!$B:$B, 'Uncalibrated Data'!$C1094, 'Picarro Output'!$I:$I, 0, 'Picarro Output'!$J:$J, 1), "")</f>
        <v/>
      </c>
    </row>
    <row r="1095" spans="2:5" x14ac:dyDescent="0.2">
      <c r="B1095" s="1"/>
      <c r="E1095" s="38" t="str">
        <f>IFERROR(AVERAGEIFS('Picarro Output'!G:G, 'Picarro Output'!$B:$B, 'Uncalibrated Data'!$C1095, 'Picarro Output'!$I:$I, 0, 'Picarro Output'!$J:$J, 1), "")</f>
        <v/>
      </c>
    </row>
    <row r="1096" spans="2:5" x14ac:dyDescent="0.2">
      <c r="B1096" s="1"/>
      <c r="E1096" s="38" t="str">
        <f>IFERROR(AVERAGEIFS('Picarro Output'!G:G, 'Picarro Output'!$B:$B, 'Uncalibrated Data'!$C1096, 'Picarro Output'!$I:$I, 0, 'Picarro Output'!$J:$J, 1), "")</f>
        <v/>
      </c>
    </row>
    <row r="1097" spans="2:5" x14ac:dyDescent="0.2">
      <c r="B1097" s="1"/>
      <c r="E1097" s="38" t="str">
        <f>IFERROR(AVERAGEIFS('Picarro Output'!G:G, 'Picarro Output'!$B:$B, 'Uncalibrated Data'!$C1097, 'Picarro Output'!$I:$I, 0, 'Picarro Output'!$J:$J, 1), "")</f>
        <v/>
      </c>
    </row>
    <row r="1098" spans="2:5" x14ac:dyDescent="0.2">
      <c r="B1098" s="1"/>
      <c r="E1098" s="38" t="str">
        <f>IFERROR(AVERAGEIFS('Picarro Output'!G:G, 'Picarro Output'!$B:$B, 'Uncalibrated Data'!$C1098, 'Picarro Output'!$I:$I, 0, 'Picarro Output'!$J:$J, 1), "")</f>
        <v/>
      </c>
    </row>
    <row r="1099" spans="2:5" x14ac:dyDescent="0.2">
      <c r="B1099" s="1"/>
      <c r="E1099" s="38" t="str">
        <f>IFERROR(AVERAGEIFS('Picarro Output'!G:G, 'Picarro Output'!$B:$B, 'Uncalibrated Data'!$C1099, 'Picarro Output'!$I:$I, 0, 'Picarro Output'!$J:$J, 1), "")</f>
        <v/>
      </c>
    </row>
    <row r="1100" spans="2:5" x14ac:dyDescent="0.2">
      <c r="B1100" s="1"/>
      <c r="E1100" s="38" t="str">
        <f>IFERROR(AVERAGEIFS('Picarro Output'!G:G, 'Picarro Output'!$B:$B, 'Uncalibrated Data'!$C1100, 'Picarro Output'!$I:$I, 0, 'Picarro Output'!$J:$J, 1), "")</f>
        <v/>
      </c>
    </row>
    <row r="1101" spans="2:5" x14ac:dyDescent="0.2">
      <c r="B1101" s="1"/>
      <c r="E1101" s="38" t="str">
        <f>IFERROR(AVERAGEIFS('Picarro Output'!G:G, 'Picarro Output'!$B:$B, 'Uncalibrated Data'!$C1101, 'Picarro Output'!$I:$I, 0, 'Picarro Output'!$J:$J, 1), "")</f>
        <v/>
      </c>
    </row>
    <row r="1102" spans="2:5" x14ac:dyDescent="0.2">
      <c r="B1102" s="1"/>
      <c r="E1102" s="38" t="str">
        <f>IFERROR(AVERAGEIFS('Picarro Output'!G:G, 'Picarro Output'!$B:$B, 'Uncalibrated Data'!$C1102, 'Picarro Output'!$I:$I, 0, 'Picarro Output'!$J:$J, 1), "")</f>
        <v/>
      </c>
    </row>
    <row r="1103" spans="2:5" x14ac:dyDescent="0.2">
      <c r="B1103" s="1"/>
      <c r="E1103" s="38" t="str">
        <f>IFERROR(AVERAGEIFS('Picarro Output'!G:G, 'Picarro Output'!$B:$B, 'Uncalibrated Data'!$C1103, 'Picarro Output'!$I:$I, 0, 'Picarro Output'!$J:$J, 1), "")</f>
        <v/>
      </c>
    </row>
    <row r="1104" spans="2:5" x14ac:dyDescent="0.2">
      <c r="B1104" s="1"/>
      <c r="E1104" s="38" t="str">
        <f>IFERROR(AVERAGEIFS('Picarro Output'!G:G, 'Picarro Output'!$B:$B, 'Uncalibrated Data'!$C1104, 'Picarro Output'!$I:$I, 0, 'Picarro Output'!$J:$J, 1), "")</f>
        <v/>
      </c>
    </row>
    <row r="1105" spans="2:5" x14ac:dyDescent="0.2">
      <c r="B1105" s="1"/>
      <c r="E1105" s="38" t="str">
        <f>IFERROR(AVERAGEIFS('Picarro Output'!G:G, 'Picarro Output'!$B:$B, 'Uncalibrated Data'!$C1105, 'Picarro Output'!$I:$I, 0, 'Picarro Output'!$J:$J, 1), "")</f>
        <v/>
      </c>
    </row>
    <row r="1106" spans="2:5" x14ac:dyDescent="0.2">
      <c r="B1106" s="1"/>
      <c r="E1106" s="38" t="str">
        <f>IFERROR(AVERAGEIFS('Picarro Output'!G:G, 'Picarro Output'!$B:$B, 'Uncalibrated Data'!$C1106, 'Picarro Output'!$I:$I, 0, 'Picarro Output'!$J:$J, 1), "")</f>
        <v/>
      </c>
    </row>
    <row r="1107" spans="2:5" x14ac:dyDescent="0.2">
      <c r="B1107" s="1"/>
      <c r="E1107" s="38" t="str">
        <f>IFERROR(AVERAGEIFS('Picarro Output'!G:G, 'Picarro Output'!$B:$B, 'Uncalibrated Data'!$C1107, 'Picarro Output'!$I:$I, 0, 'Picarro Output'!$J:$J, 1), "")</f>
        <v/>
      </c>
    </row>
    <row r="1108" spans="2:5" x14ac:dyDescent="0.2">
      <c r="B1108" s="1"/>
      <c r="E1108" s="38" t="str">
        <f>IFERROR(AVERAGEIFS('Picarro Output'!G:G, 'Picarro Output'!$B:$B, 'Uncalibrated Data'!$C1108, 'Picarro Output'!$I:$I, 0, 'Picarro Output'!$J:$J, 1), "")</f>
        <v/>
      </c>
    </row>
    <row r="1109" spans="2:5" x14ac:dyDescent="0.2">
      <c r="B1109" s="1"/>
      <c r="E1109" s="38" t="str">
        <f>IFERROR(AVERAGEIFS('Picarro Output'!G:G, 'Picarro Output'!$B:$B, 'Uncalibrated Data'!$C1109, 'Picarro Output'!$I:$I, 0, 'Picarro Output'!$J:$J, 1), "")</f>
        <v/>
      </c>
    </row>
    <row r="1110" spans="2:5" x14ac:dyDescent="0.2">
      <c r="B1110" s="1"/>
      <c r="E1110" s="38" t="str">
        <f>IFERROR(AVERAGEIFS('Picarro Output'!G:G, 'Picarro Output'!$B:$B, 'Uncalibrated Data'!$C1110, 'Picarro Output'!$I:$I, 0, 'Picarro Output'!$J:$J, 1), "")</f>
        <v/>
      </c>
    </row>
    <row r="1111" spans="2:5" x14ac:dyDescent="0.2">
      <c r="B1111" s="1"/>
      <c r="E1111" s="38" t="str">
        <f>IFERROR(AVERAGEIFS('Picarro Output'!G:G, 'Picarro Output'!$B:$B, 'Uncalibrated Data'!$C1111, 'Picarro Output'!$I:$I, 0, 'Picarro Output'!$J:$J, 1), "")</f>
        <v/>
      </c>
    </row>
    <row r="1112" spans="2:5" x14ac:dyDescent="0.2">
      <c r="B1112" s="1"/>
      <c r="E1112" s="38" t="str">
        <f>IFERROR(AVERAGEIFS('Picarro Output'!G:G, 'Picarro Output'!$B:$B, 'Uncalibrated Data'!$C1112, 'Picarro Output'!$I:$I, 0, 'Picarro Output'!$J:$J, 1), "")</f>
        <v/>
      </c>
    </row>
    <row r="1113" spans="2:5" x14ac:dyDescent="0.2">
      <c r="B1113" s="1"/>
      <c r="E1113" s="38" t="str">
        <f>IFERROR(AVERAGEIFS('Picarro Output'!G:G, 'Picarro Output'!$B:$B, 'Uncalibrated Data'!$C1113, 'Picarro Output'!$I:$I, 0, 'Picarro Output'!$J:$J, 1), "")</f>
        <v/>
      </c>
    </row>
    <row r="1114" spans="2:5" x14ac:dyDescent="0.2">
      <c r="B1114" s="1"/>
      <c r="E1114" s="38" t="str">
        <f>IFERROR(AVERAGEIFS('Picarro Output'!G:G, 'Picarro Output'!$B:$B, 'Uncalibrated Data'!$C1114, 'Picarro Output'!$I:$I, 0, 'Picarro Output'!$J:$J, 1), "")</f>
        <v/>
      </c>
    </row>
    <row r="1115" spans="2:5" x14ac:dyDescent="0.2">
      <c r="B1115" s="1"/>
      <c r="E1115" s="38" t="str">
        <f>IFERROR(AVERAGEIFS('Picarro Output'!G:G, 'Picarro Output'!$B:$B, 'Uncalibrated Data'!$C1115, 'Picarro Output'!$I:$I, 0, 'Picarro Output'!$J:$J, 1), "")</f>
        <v/>
      </c>
    </row>
    <row r="1116" spans="2:5" x14ac:dyDescent="0.2">
      <c r="B1116" s="1"/>
      <c r="E1116" s="38" t="str">
        <f>IFERROR(AVERAGEIFS('Picarro Output'!G:G, 'Picarro Output'!$B:$B, 'Uncalibrated Data'!$C1116, 'Picarro Output'!$I:$I, 0, 'Picarro Output'!$J:$J, 1), "")</f>
        <v/>
      </c>
    </row>
    <row r="1117" spans="2:5" x14ac:dyDescent="0.2">
      <c r="B1117" s="1"/>
      <c r="E1117" s="38" t="str">
        <f>IFERROR(AVERAGEIFS('Picarro Output'!G:G, 'Picarro Output'!$B:$B, 'Uncalibrated Data'!$C1117, 'Picarro Output'!$I:$I, 0, 'Picarro Output'!$J:$J, 1), "")</f>
        <v/>
      </c>
    </row>
    <row r="1118" spans="2:5" x14ac:dyDescent="0.2">
      <c r="B1118" s="1"/>
      <c r="E1118" s="38" t="str">
        <f>IFERROR(AVERAGEIFS('Picarro Output'!G:G, 'Picarro Output'!$B:$B, 'Uncalibrated Data'!$C1118, 'Picarro Output'!$I:$I, 0, 'Picarro Output'!$J:$J, 1), "")</f>
        <v/>
      </c>
    </row>
    <row r="1119" spans="2:5" x14ac:dyDescent="0.2">
      <c r="B1119" s="1"/>
      <c r="E1119" s="38" t="str">
        <f>IFERROR(AVERAGEIFS('Picarro Output'!G:G, 'Picarro Output'!$B:$B, 'Uncalibrated Data'!$C1119, 'Picarro Output'!$I:$I, 0, 'Picarro Output'!$J:$J, 1), "")</f>
        <v/>
      </c>
    </row>
    <row r="1120" spans="2:5" x14ac:dyDescent="0.2">
      <c r="B1120" s="1"/>
      <c r="E1120" s="38" t="str">
        <f>IFERROR(AVERAGEIFS('Picarro Output'!G:G, 'Picarro Output'!$B:$B, 'Uncalibrated Data'!$C1120, 'Picarro Output'!$I:$I, 0, 'Picarro Output'!$J:$J, 1), "")</f>
        <v/>
      </c>
    </row>
    <row r="1121" spans="2:5" x14ac:dyDescent="0.2">
      <c r="B1121" s="1"/>
      <c r="E1121" s="38" t="str">
        <f>IFERROR(AVERAGEIFS('Picarro Output'!G:G, 'Picarro Output'!$B:$B, 'Uncalibrated Data'!$C1121, 'Picarro Output'!$I:$I, 0, 'Picarro Output'!$J:$J, 1), "")</f>
        <v/>
      </c>
    </row>
    <row r="1122" spans="2:5" x14ac:dyDescent="0.2">
      <c r="B1122" s="1"/>
      <c r="E1122" s="38" t="str">
        <f>IFERROR(AVERAGEIFS('Picarro Output'!G:G, 'Picarro Output'!$B:$B, 'Uncalibrated Data'!$C1122, 'Picarro Output'!$I:$I, 0, 'Picarro Output'!$J:$J, 1), "")</f>
        <v/>
      </c>
    </row>
    <row r="1123" spans="2:5" x14ac:dyDescent="0.2">
      <c r="B1123" s="1"/>
      <c r="E1123" s="38" t="str">
        <f>IFERROR(AVERAGEIFS('Picarro Output'!G:G, 'Picarro Output'!$B:$B, 'Uncalibrated Data'!$C1123, 'Picarro Output'!$I:$I, 0, 'Picarro Output'!$J:$J, 1), "")</f>
        <v/>
      </c>
    </row>
    <row r="1124" spans="2:5" x14ac:dyDescent="0.2">
      <c r="B1124" s="1"/>
      <c r="E1124" s="38" t="str">
        <f>IFERROR(AVERAGEIFS('Picarro Output'!G:G, 'Picarro Output'!$B:$B, 'Uncalibrated Data'!$C1124, 'Picarro Output'!$I:$I, 0, 'Picarro Output'!$J:$J, 1), "")</f>
        <v/>
      </c>
    </row>
    <row r="1125" spans="2:5" x14ac:dyDescent="0.2">
      <c r="B1125" s="1"/>
      <c r="E1125" s="38" t="str">
        <f>IFERROR(AVERAGEIFS('Picarro Output'!G:G, 'Picarro Output'!$B:$B, 'Uncalibrated Data'!$C1125, 'Picarro Output'!$I:$I, 0, 'Picarro Output'!$J:$J, 1), "")</f>
        <v/>
      </c>
    </row>
    <row r="1126" spans="2:5" x14ac:dyDescent="0.2">
      <c r="B1126" s="1"/>
      <c r="E1126" s="38" t="str">
        <f>IFERROR(AVERAGEIFS('Picarro Output'!G:G, 'Picarro Output'!$B:$B, 'Uncalibrated Data'!$C1126, 'Picarro Output'!$I:$I, 0, 'Picarro Output'!$J:$J, 1), "")</f>
        <v/>
      </c>
    </row>
    <row r="1127" spans="2:5" x14ac:dyDescent="0.2">
      <c r="B1127" s="1"/>
      <c r="E1127" s="38" t="str">
        <f>IFERROR(AVERAGEIFS('Picarro Output'!G:G, 'Picarro Output'!$B:$B, 'Uncalibrated Data'!$C1127, 'Picarro Output'!$I:$I, 0, 'Picarro Output'!$J:$J, 1), "")</f>
        <v/>
      </c>
    </row>
    <row r="1128" spans="2:5" x14ac:dyDescent="0.2">
      <c r="B1128" s="1"/>
      <c r="E1128" s="38" t="str">
        <f>IFERROR(AVERAGEIFS('Picarro Output'!G:G, 'Picarro Output'!$B:$B, 'Uncalibrated Data'!$C1128, 'Picarro Output'!$I:$I, 0, 'Picarro Output'!$J:$J, 1), "")</f>
        <v/>
      </c>
    </row>
    <row r="1129" spans="2:5" x14ac:dyDescent="0.2">
      <c r="B1129" s="1"/>
      <c r="E1129" s="38" t="str">
        <f>IFERROR(AVERAGEIFS('Picarro Output'!G:G, 'Picarro Output'!$B:$B, 'Uncalibrated Data'!$C1129, 'Picarro Output'!$I:$I, 0, 'Picarro Output'!$J:$J, 1), "")</f>
        <v/>
      </c>
    </row>
    <row r="1130" spans="2:5" x14ac:dyDescent="0.2">
      <c r="B1130" s="1"/>
      <c r="E1130" s="38" t="str">
        <f>IFERROR(AVERAGEIFS('Picarro Output'!G:G, 'Picarro Output'!$B:$B, 'Uncalibrated Data'!$C1130, 'Picarro Output'!$I:$I, 0, 'Picarro Output'!$J:$J, 1), "")</f>
        <v/>
      </c>
    </row>
    <row r="1131" spans="2:5" x14ac:dyDescent="0.2">
      <c r="B1131" s="1"/>
      <c r="E1131" s="38" t="str">
        <f>IFERROR(AVERAGEIFS('Picarro Output'!G:G, 'Picarro Output'!$B:$B, 'Uncalibrated Data'!$C1131, 'Picarro Output'!$I:$I, 0, 'Picarro Output'!$J:$J, 1), "")</f>
        <v/>
      </c>
    </row>
    <row r="1132" spans="2:5" x14ac:dyDescent="0.2">
      <c r="B1132" s="1"/>
      <c r="E1132" s="38" t="str">
        <f>IFERROR(AVERAGEIFS('Picarro Output'!G:G, 'Picarro Output'!$B:$B, 'Uncalibrated Data'!$C1132, 'Picarro Output'!$I:$I, 0, 'Picarro Output'!$J:$J, 1), "")</f>
        <v/>
      </c>
    </row>
    <row r="1133" spans="2:5" x14ac:dyDescent="0.2">
      <c r="B1133" s="1"/>
      <c r="E1133" s="38" t="str">
        <f>IFERROR(AVERAGEIFS('Picarro Output'!G:G, 'Picarro Output'!$B:$B, 'Uncalibrated Data'!$C1133, 'Picarro Output'!$I:$I, 0, 'Picarro Output'!$J:$J, 1), "")</f>
        <v/>
      </c>
    </row>
    <row r="1134" spans="2:5" x14ac:dyDescent="0.2">
      <c r="B1134" s="1"/>
      <c r="E1134" s="38" t="str">
        <f>IFERROR(AVERAGEIFS('Picarro Output'!G:G, 'Picarro Output'!$B:$B, 'Uncalibrated Data'!$C1134, 'Picarro Output'!$I:$I, 0, 'Picarro Output'!$J:$J, 1), "")</f>
        <v/>
      </c>
    </row>
    <row r="1135" spans="2:5" x14ac:dyDescent="0.2">
      <c r="B1135" s="1"/>
      <c r="E1135" s="38" t="str">
        <f>IFERROR(AVERAGEIFS('Picarro Output'!G:G, 'Picarro Output'!$B:$B, 'Uncalibrated Data'!$C1135, 'Picarro Output'!$I:$I, 0, 'Picarro Output'!$J:$J, 1), "")</f>
        <v/>
      </c>
    </row>
    <row r="1136" spans="2:5" x14ac:dyDescent="0.2">
      <c r="B1136" s="1"/>
      <c r="E1136" s="38" t="str">
        <f>IFERROR(AVERAGEIFS('Picarro Output'!G:G, 'Picarro Output'!$B:$B, 'Uncalibrated Data'!$C1136, 'Picarro Output'!$I:$I, 0, 'Picarro Output'!$J:$J, 1), "")</f>
        <v/>
      </c>
    </row>
    <row r="1137" spans="2:5" x14ac:dyDescent="0.2">
      <c r="B1137" s="1"/>
      <c r="E1137" s="38" t="str">
        <f>IFERROR(AVERAGEIFS('Picarro Output'!G:G, 'Picarro Output'!$B:$B, 'Uncalibrated Data'!$C1137, 'Picarro Output'!$I:$I, 0, 'Picarro Output'!$J:$J, 1), "")</f>
        <v/>
      </c>
    </row>
    <row r="1138" spans="2:5" x14ac:dyDescent="0.2">
      <c r="B1138" s="1"/>
      <c r="E1138" s="38" t="str">
        <f>IFERROR(AVERAGEIFS('Picarro Output'!G:G, 'Picarro Output'!$B:$B, 'Uncalibrated Data'!$C1138, 'Picarro Output'!$I:$I, 0, 'Picarro Output'!$J:$J, 1), "")</f>
        <v/>
      </c>
    </row>
    <row r="1139" spans="2:5" x14ac:dyDescent="0.2">
      <c r="B1139" s="1"/>
      <c r="E1139" s="38" t="str">
        <f>IFERROR(AVERAGEIFS('Picarro Output'!G:G, 'Picarro Output'!$B:$B, 'Uncalibrated Data'!$C1139, 'Picarro Output'!$I:$I, 0, 'Picarro Output'!$J:$J, 1), "")</f>
        <v/>
      </c>
    </row>
    <row r="1140" spans="2:5" x14ac:dyDescent="0.2">
      <c r="B1140" s="1"/>
      <c r="E1140" s="38" t="str">
        <f>IFERROR(AVERAGEIFS('Picarro Output'!G:G, 'Picarro Output'!$B:$B, 'Uncalibrated Data'!$C1140, 'Picarro Output'!$I:$I, 0, 'Picarro Output'!$J:$J, 1), "")</f>
        <v/>
      </c>
    </row>
    <row r="1141" spans="2:5" x14ac:dyDescent="0.2">
      <c r="B1141" s="1"/>
      <c r="E1141" s="38" t="str">
        <f>IFERROR(AVERAGEIFS('Picarro Output'!G:G, 'Picarro Output'!$B:$B, 'Uncalibrated Data'!$C1141, 'Picarro Output'!$I:$I, 0, 'Picarro Output'!$J:$J, 1), "")</f>
        <v/>
      </c>
    </row>
    <row r="1142" spans="2:5" x14ac:dyDescent="0.2">
      <c r="B1142" s="1"/>
      <c r="E1142" s="38" t="str">
        <f>IFERROR(AVERAGEIFS('Picarro Output'!G:G, 'Picarro Output'!$B:$B, 'Uncalibrated Data'!$C1142, 'Picarro Output'!$I:$I, 0, 'Picarro Output'!$J:$J, 1), "")</f>
        <v/>
      </c>
    </row>
    <row r="1143" spans="2:5" x14ac:dyDescent="0.2">
      <c r="B1143" s="1"/>
      <c r="E1143" s="38" t="str">
        <f>IFERROR(AVERAGEIFS('Picarro Output'!G:G, 'Picarro Output'!$B:$B, 'Uncalibrated Data'!$C1143, 'Picarro Output'!$I:$I, 0, 'Picarro Output'!$J:$J, 1), "")</f>
        <v/>
      </c>
    </row>
    <row r="1144" spans="2:5" x14ac:dyDescent="0.2">
      <c r="B1144" s="1"/>
      <c r="E1144" s="38" t="str">
        <f>IFERROR(AVERAGEIFS('Picarro Output'!G:G, 'Picarro Output'!$B:$B, 'Uncalibrated Data'!$C1144, 'Picarro Output'!$I:$I, 0, 'Picarro Output'!$J:$J, 1), "")</f>
        <v/>
      </c>
    </row>
    <row r="1145" spans="2:5" x14ac:dyDescent="0.2">
      <c r="B1145" s="1"/>
      <c r="E1145" s="38" t="str">
        <f>IFERROR(AVERAGEIFS('Picarro Output'!G:G, 'Picarro Output'!$B:$B, 'Uncalibrated Data'!$C1145, 'Picarro Output'!$I:$I, 0, 'Picarro Output'!$J:$J, 1), "")</f>
        <v/>
      </c>
    </row>
    <row r="1146" spans="2:5" x14ac:dyDescent="0.2">
      <c r="B1146" s="1"/>
      <c r="E1146" s="38" t="str">
        <f>IFERROR(AVERAGEIFS('Picarro Output'!G:G, 'Picarro Output'!$B:$B, 'Uncalibrated Data'!$C1146, 'Picarro Output'!$I:$I, 0, 'Picarro Output'!$J:$J, 1), "")</f>
        <v/>
      </c>
    </row>
    <row r="1147" spans="2:5" x14ac:dyDescent="0.2">
      <c r="B1147" s="1"/>
      <c r="E1147" s="38" t="str">
        <f>IFERROR(AVERAGEIFS('Picarro Output'!G:G, 'Picarro Output'!$B:$B, 'Uncalibrated Data'!$C1147, 'Picarro Output'!$I:$I, 0, 'Picarro Output'!$J:$J, 1), "")</f>
        <v/>
      </c>
    </row>
    <row r="1148" spans="2:5" x14ac:dyDescent="0.2">
      <c r="B1148" s="1"/>
      <c r="E1148" s="38" t="str">
        <f>IFERROR(AVERAGEIFS('Picarro Output'!G:G, 'Picarro Output'!$B:$B, 'Uncalibrated Data'!$C1148, 'Picarro Output'!$I:$I, 0, 'Picarro Output'!$J:$J, 1), "")</f>
        <v/>
      </c>
    </row>
    <row r="1149" spans="2:5" x14ac:dyDescent="0.2">
      <c r="B1149" s="1"/>
      <c r="E1149" s="38" t="str">
        <f>IFERROR(AVERAGEIFS('Picarro Output'!G:G, 'Picarro Output'!$B:$B, 'Uncalibrated Data'!$C1149, 'Picarro Output'!$I:$I, 0, 'Picarro Output'!$J:$J, 1), "")</f>
        <v/>
      </c>
    </row>
    <row r="1150" spans="2:5" x14ac:dyDescent="0.2">
      <c r="B1150" s="1"/>
      <c r="E1150" s="38" t="str">
        <f>IFERROR(AVERAGEIFS('Picarro Output'!G:G, 'Picarro Output'!$B:$B, 'Uncalibrated Data'!$C1150, 'Picarro Output'!$I:$I, 0, 'Picarro Output'!$J:$J, 1), "")</f>
        <v/>
      </c>
    </row>
    <row r="1151" spans="2:5" x14ac:dyDescent="0.2">
      <c r="B1151" s="1"/>
      <c r="E1151" s="38" t="str">
        <f>IFERROR(AVERAGEIFS('Picarro Output'!G:G, 'Picarro Output'!$B:$B, 'Uncalibrated Data'!$C1151, 'Picarro Output'!$I:$I, 0, 'Picarro Output'!$J:$J, 1), "")</f>
        <v/>
      </c>
    </row>
    <row r="1152" spans="2:5" x14ac:dyDescent="0.2">
      <c r="B1152" s="1"/>
      <c r="E1152" s="38" t="str">
        <f>IFERROR(AVERAGEIFS('Picarro Output'!G:G, 'Picarro Output'!$B:$B, 'Uncalibrated Data'!$C1152, 'Picarro Output'!$I:$I, 0, 'Picarro Output'!$J:$J, 1), "")</f>
        <v/>
      </c>
    </row>
    <row r="1153" spans="2:5" x14ac:dyDescent="0.2">
      <c r="B1153" s="1"/>
      <c r="E1153" s="38" t="str">
        <f>IFERROR(AVERAGEIFS('Picarro Output'!G:G, 'Picarro Output'!$B:$B, 'Uncalibrated Data'!$C1153, 'Picarro Output'!$I:$I, 0, 'Picarro Output'!$J:$J, 1), "")</f>
        <v/>
      </c>
    </row>
    <row r="1154" spans="2:5" x14ac:dyDescent="0.2">
      <c r="B1154" s="1"/>
      <c r="E1154" s="38" t="str">
        <f>IFERROR(AVERAGEIFS('Picarro Output'!G:G, 'Picarro Output'!$B:$B, 'Uncalibrated Data'!$C1154, 'Picarro Output'!$I:$I, 0, 'Picarro Output'!$J:$J, 1), "")</f>
        <v/>
      </c>
    </row>
    <row r="1155" spans="2:5" x14ac:dyDescent="0.2">
      <c r="B1155" s="1"/>
      <c r="E1155" s="38" t="str">
        <f>IFERROR(AVERAGEIFS('Picarro Output'!G:G, 'Picarro Output'!$B:$B, 'Uncalibrated Data'!$C1155, 'Picarro Output'!$I:$I, 0, 'Picarro Output'!$J:$J, 1), "")</f>
        <v/>
      </c>
    </row>
    <row r="1156" spans="2:5" x14ac:dyDescent="0.2">
      <c r="B1156" s="1"/>
      <c r="E1156" s="38" t="str">
        <f>IFERROR(AVERAGEIFS('Picarro Output'!G:G, 'Picarro Output'!$B:$B, 'Uncalibrated Data'!$C1156, 'Picarro Output'!$I:$I, 0, 'Picarro Output'!$J:$J, 1), "")</f>
        <v/>
      </c>
    </row>
    <row r="1157" spans="2:5" x14ac:dyDescent="0.2">
      <c r="B1157" s="1"/>
      <c r="E1157" s="38" t="str">
        <f>IFERROR(AVERAGEIFS('Picarro Output'!G:G, 'Picarro Output'!$B:$B, 'Uncalibrated Data'!$C1157, 'Picarro Output'!$I:$I, 0, 'Picarro Output'!$J:$J, 1), "")</f>
        <v/>
      </c>
    </row>
    <row r="1158" spans="2:5" x14ac:dyDescent="0.2">
      <c r="B1158" s="1"/>
      <c r="E1158" s="38" t="str">
        <f>IFERROR(AVERAGEIFS('Picarro Output'!G:G, 'Picarro Output'!$B:$B, 'Uncalibrated Data'!$C1158, 'Picarro Output'!$I:$I, 0, 'Picarro Output'!$J:$J, 1), "")</f>
        <v/>
      </c>
    </row>
    <row r="1159" spans="2:5" x14ac:dyDescent="0.2">
      <c r="B1159" s="1"/>
      <c r="E1159" s="38" t="str">
        <f>IFERROR(AVERAGEIFS('Picarro Output'!G:G, 'Picarro Output'!$B:$B, 'Uncalibrated Data'!$C1159, 'Picarro Output'!$I:$I, 0, 'Picarro Output'!$J:$J, 1), "")</f>
        <v/>
      </c>
    </row>
    <row r="1160" spans="2:5" x14ac:dyDescent="0.2">
      <c r="B1160" s="1"/>
      <c r="E1160" s="38" t="str">
        <f>IFERROR(AVERAGEIFS('Picarro Output'!G:G, 'Picarro Output'!$B:$B, 'Uncalibrated Data'!$C1160, 'Picarro Output'!$I:$I, 0, 'Picarro Output'!$J:$J, 1), "")</f>
        <v/>
      </c>
    </row>
    <row r="1161" spans="2:5" x14ac:dyDescent="0.2">
      <c r="B1161" s="1"/>
      <c r="E1161" s="38" t="str">
        <f>IFERROR(AVERAGEIFS('Picarro Output'!G:G, 'Picarro Output'!$B:$B, 'Uncalibrated Data'!$C1161, 'Picarro Output'!$I:$I, 0, 'Picarro Output'!$J:$J, 1), "")</f>
        <v/>
      </c>
    </row>
    <row r="1162" spans="2:5" x14ac:dyDescent="0.2">
      <c r="B1162" s="1"/>
      <c r="E1162" s="38" t="str">
        <f>IFERROR(AVERAGEIFS('Picarro Output'!G:G, 'Picarro Output'!$B:$B, 'Uncalibrated Data'!$C1162, 'Picarro Output'!$I:$I, 0, 'Picarro Output'!$J:$J, 1), "")</f>
        <v/>
      </c>
    </row>
    <row r="1163" spans="2:5" x14ac:dyDescent="0.2">
      <c r="B1163" s="1"/>
      <c r="E1163" s="38" t="str">
        <f>IFERROR(AVERAGEIFS('Picarro Output'!G:G, 'Picarro Output'!$B:$B, 'Uncalibrated Data'!$C1163, 'Picarro Output'!$I:$I, 0, 'Picarro Output'!$J:$J, 1), "")</f>
        <v/>
      </c>
    </row>
    <row r="1164" spans="2:5" x14ac:dyDescent="0.2">
      <c r="B1164" s="1"/>
      <c r="E1164" s="38" t="str">
        <f>IFERROR(AVERAGEIFS('Picarro Output'!G:G, 'Picarro Output'!$B:$B, 'Uncalibrated Data'!$C1164, 'Picarro Output'!$I:$I, 0, 'Picarro Output'!$J:$J, 1), "")</f>
        <v/>
      </c>
    </row>
    <row r="1165" spans="2:5" x14ac:dyDescent="0.2">
      <c r="B1165" s="1"/>
      <c r="E1165" s="38" t="str">
        <f>IFERROR(AVERAGEIFS('Picarro Output'!G:G, 'Picarro Output'!$B:$B, 'Uncalibrated Data'!$C1165, 'Picarro Output'!$I:$I, 0, 'Picarro Output'!$J:$J, 1), "")</f>
        <v/>
      </c>
    </row>
    <row r="1166" spans="2:5" x14ac:dyDescent="0.2">
      <c r="B1166" s="1"/>
      <c r="E1166" s="38" t="str">
        <f>IFERROR(AVERAGEIFS('Picarro Output'!G:G, 'Picarro Output'!$B:$B, 'Uncalibrated Data'!$C1166, 'Picarro Output'!$I:$I, 0, 'Picarro Output'!$J:$J, 1), "")</f>
        <v/>
      </c>
    </row>
    <row r="1167" spans="2:5" x14ac:dyDescent="0.2">
      <c r="B1167" s="1"/>
      <c r="E1167" s="38" t="str">
        <f>IFERROR(AVERAGEIFS('Picarro Output'!G:G, 'Picarro Output'!$B:$B, 'Uncalibrated Data'!$C1167, 'Picarro Output'!$I:$I, 0, 'Picarro Output'!$J:$J, 1), "")</f>
        <v/>
      </c>
    </row>
    <row r="1168" spans="2:5" x14ac:dyDescent="0.2">
      <c r="B1168" s="1"/>
      <c r="E1168" s="38" t="str">
        <f>IFERROR(AVERAGEIFS('Picarro Output'!G:G, 'Picarro Output'!$B:$B, 'Uncalibrated Data'!$C1168, 'Picarro Output'!$I:$I, 0, 'Picarro Output'!$J:$J, 1), "")</f>
        <v/>
      </c>
    </row>
    <row r="1169" spans="2:5" x14ac:dyDescent="0.2">
      <c r="B1169" s="1"/>
      <c r="E1169" s="38" t="str">
        <f>IFERROR(AVERAGEIFS('Picarro Output'!G:G, 'Picarro Output'!$B:$B, 'Uncalibrated Data'!$C1169, 'Picarro Output'!$I:$I, 0, 'Picarro Output'!$J:$J, 1), "")</f>
        <v/>
      </c>
    </row>
    <row r="1170" spans="2:5" x14ac:dyDescent="0.2">
      <c r="B1170" s="1"/>
      <c r="E1170" s="38" t="str">
        <f>IFERROR(AVERAGEIFS('Picarro Output'!G:G, 'Picarro Output'!$B:$B, 'Uncalibrated Data'!$C1170, 'Picarro Output'!$I:$I, 0, 'Picarro Output'!$J:$J, 1), "")</f>
        <v/>
      </c>
    </row>
    <row r="1171" spans="2:5" x14ac:dyDescent="0.2">
      <c r="B1171" s="1"/>
      <c r="E1171" s="38" t="str">
        <f>IFERROR(AVERAGEIFS('Picarro Output'!G:G, 'Picarro Output'!$B:$B, 'Uncalibrated Data'!$C1171, 'Picarro Output'!$I:$I, 0, 'Picarro Output'!$J:$J, 1), "")</f>
        <v/>
      </c>
    </row>
    <row r="1172" spans="2:5" x14ac:dyDescent="0.2">
      <c r="B1172" s="1"/>
      <c r="E1172" s="38" t="str">
        <f>IFERROR(AVERAGEIFS('Picarro Output'!G:G, 'Picarro Output'!$B:$B, 'Uncalibrated Data'!$C1172, 'Picarro Output'!$I:$I, 0, 'Picarro Output'!$J:$J, 1), "")</f>
        <v/>
      </c>
    </row>
    <row r="1173" spans="2:5" x14ac:dyDescent="0.2">
      <c r="B1173" s="1"/>
      <c r="E1173" s="38" t="str">
        <f>IFERROR(AVERAGEIFS('Picarro Output'!G:G, 'Picarro Output'!$B:$B, 'Uncalibrated Data'!$C1173, 'Picarro Output'!$I:$I, 0, 'Picarro Output'!$J:$J, 1), "")</f>
        <v/>
      </c>
    </row>
    <row r="1174" spans="2:5" x14ac:dyDescent="0.2">
      <c r="B1174" s="1"/>
      <c r="E1174" s="38" t="str">
        <f>IFERROR(AVERAGEIFS('Picarro Output'!G:G, 'Picarro Output'!$B:$B, 'Uncalibrated Data'!$C1174, 'Picarro Output'!$I:$I, 0, 'Picarro Output'!$J:$J, 1), "")</f>
        <v/>
      </c>
    </row>
    <row r="1175" spans="2:5" x14ac:dyDescent="0.2">
      <c r="B1175" s="1"/>
      <c r="E1175" s="38" t="str">
        <f>IFERROR(AVERAGEIFS('Picarro Output'!G:G, 'Picarro Output'!$B:$B, 'Uncalibrated Data'!$C1175, 'Picarro Output'!$I:$I, 0, 'Picarro Output'!$J:$J, 1), "")</f>
        <v/>
      </c>
    </row>
    <row r="1176" spans="2:5" x14ac:dyDescent="0.2">
      <c r="B1176" s="1"/>
      <c r="E1176" s="38" t="str">
        <f>IFERROR(AVERAGEIFS('Picarro Output'!G:G, 'Picarro Output'!$B:$B, 'Uncalibrated Data'!$C1176, 'Picarro Output'!$I:$I, 0, 'Picarro Output'!$J:$J, 1), "")</f>
        <v/>
      </c>
    </row>
    <row r="1177" spans="2:5" x14ac:dyDescent="0.2">
      <c r="B1177" s="1"/>
      <c r="E1177" s="38" t="str">
        <f>IFERROR(AVERAGEIFS('Picarro Output'!G:G, 'Picarro Output'!$B:$B, 'Uncalibrated Data'!$C1177, 'Picarro Output'!$I:$I, 0, 'Picarro Output'!$J:$J, 1), "")</f>
        <v/>
      </c>
    </row>
    <row r="1178" spans="2:5" x14ac:dyDescent="0.2">
      <c r="B1178" s="1"/>
      <c r="E1178" s="38" t="str">
        <f>IFERROR(AVERAGEIFS('Picarro Output'!G:G, 'Picarro Output'!$B:$B, 'Uncalibrated Data'!$C1178, 'Picarro Output'!$I:$I, 0, 'Picarro Output'!$J:$J, 1), "")</f>
        <v/>
      </c>
    </row>
    <row r="1179" spans="2:5" x14ac:dyDescent="0.2">
      <c r="B1179" s="1"/>
      <c r="E1179" s="38" t="str">
        <f>IFERROR(AVERAGEIFS('Picarro Output'!G:G, 'Picarro Output'!$B:$B, 'Uncalibrated Data'!$C1179, 'Picarro Output'!$I:$I, 0, 'Picarro Output'!$J:$J, 1), "")</f>
        <v/>
      </c>
    </row>
    <row r="1180" spans="2:5" x14ac:dyDescent="0.2">
      <c r="B1180" s="1"/>
      <c r="E1180" s="38" t="str">
        <f>IFERROR(AVERAGEIFS('Picarro Output'!G:G, 'Picarro Output'!$B:$B, 'Uncalibrated Data'!$C1180, 'Picarro Output'!$I:$I, 0, 'Picarro Output'!$J:$J, 1), "")</f>
        <v/>
      </c>
    </row>
    <row r="1181" spans="2:5" x14ac:dyDescent="0.2">
      <c r="B1181" s="1"/>
      <c r="E1181" s="38" t="str">
        <f>IFERROR(AVERAGEIFS('Picarro Output'!G:G, 'Picarro Output'!$B:$B, 'Uncalibrated Data'!$C1181, 'Picarro Output'!$I:$I, 0, 'Picarro Output'!$J:$J, 1), "")</f>
        <v/>
      </c>
    </row>
    <row r="1182" spans="2:5" x14ac:dyDescent="0.2">
      <c r="B1182" s="1"/>
      <c r="E1182" s="38" t="str">
        <f>IFERROR(AVERAGEIFS('Picarro Output'!G:G, 'Picarro Output'!$B:$B, 'Uncalibrated Data'!$C1182, 'Picarro Output'!$I:$I, 0, 'Picarro Output'!$J:$J, 1), "")</f>
        <v/>
      </c>
    </row>
    <row r="1183" spans="2:5" x14ac:dyDescent="0.2">
      <c r="B1183" s="1"/>
      <c r="E1183" s="38" t="str">
        <f>IFERROR(AVERAGEIFS('Picarro Output'!G:G, 'Picarro Output'!$B:$B, 'Uncalibrated Data'!$C1183, 'Picarro Output'!$I:$I, 0, 'Picarro Output'!$J:$J, 1), "")</f>
        <v/>
      </c>
    </row>
    <row r="1184" spans="2:5" x14ac:dyDescent="0.2">
      <c r="B1184" s="1"/>
      <c r="E1184" s="38" t="str">
        <f>IFERROR(AVERAGEIFS('Picarro Output'!G:G, 'Picarro Output'!$B:$B, 'Uncalibrated Data'!$C1184, 'Picarro Output'!$I:$I, 0, 'Picarro Output'!$J:$J, 1), "")</f>
        <v/>
      </c>
    </row>
    <row r="1185" spans="2:5" x14ac:dyDescent="0.2">
      <c r="B1185" s="1"/>
      <c r="E1185" s="38" t="str">
        <f>IFERROR(AVERAGEIFS('Picarro Output'!G:G, 'Picarro Output'!$B:$B, 'Uncalibrated Data'!$C1185, 'Picarro Output'!$I:$I, 0, 'Picarro Output'!$J:$J, 1), "")</f>
        <v/>
      </c>
    </row>
    <row r="1186" spans="2:5" x14ac:dyDescent="0.2">
      <c r="B1186" s="1"/>
      <c r="E1186" s="38" t="str">
        <f>IFERROR(AVERAGEIFS('Picarro Output'!G:G, 'Picarro Output'!$B:$B, 'Uncalibrated Data'!$C1186, 'Picarro Output'!$I:$I, 0, 'Picarro Output'!$J:$J, 1), "")</f>
        <v/>
      </c>
    </row>
    <row r="1187" spans="2:5" x14ac:dyDescent="0.2">
      <c r="B1187" s="1"/>
      <c r="E1187" s="38" t="str">
        <f>IFERROR(AVERAGEIFS('Picarro Output'!G:G, 'Picarro Output'!$B:$B, 'Uncalibrated Data'!$C1187, 'Picarro Output'!$I:$I, 0, 'Picarro Output'!$J:$J, 1), "")</f>
        <v/>
      </c>
    </row>
    <row r="1188" spans="2:5" x14ac:dyDescent="0.2">
      <c r="B1188" s="1"/>
      <c r="E1188" s="38" t="str">
        <f>IFERROR(AVERAGEIFS('Picarro Output'!G:G, 'Picarro Output'!$B:$B, 'Uncalibrated Data'!$C1188, 'Picarro Output'!$I:$I, 0, 'Picarro Output'!$J:$J, 1), "")</f>
        <v/>
      </c>
    </row>
    <row r="1189" spans="2:5" x14ac:dyDescent="0.2">
      <c r="B1189" s="1"/>
      <c r="E1189" s="38" t="str">
        <f>IFERROR(AVERAGEIFS('Picarro Output'!G:G, 'Picarro Output'!$B:$B, 'Uncalibrated Data'!$C1189, 'Picarro Output'!$I:$I, 0, 'Picarro Output'!$J:$J, 1), "")</f>
        <v/>
      </c>
    </row>
    <row r="1190" spans="2:5" x14ac:dyDescent="0.2">
      <c r="B1190" s="1"/>
      <c r="E1190" s="38" t="str">
        <f>IFERROR(AVERAGEIFS('Picarro Output'!G:G, 'Picarro Output'!$B:$B, 'Uncalibrated Data'!$C1190, 'Picarro Output'!$I:$I, 0, 'Picarro Output'!$J:$J, 1), "")</f>
        <v/>
      </c>
    </row>
    <row r="1191" spans="2:5" x14ac:dyDescent="0.2">
      <c r="B1191" s="1"/>
      <c r="E1191" s="38" t="str">
        <f>IFERROR(AVERAGEIFS('Picarro Output'!G:G, 'Picarro Output'!$B:$B, 'Uncalibrated Data'!$C1191, 'Picarro Output'!$I:$I, 0, 'Picarro Output'!$J:$J, 1), "")</f>
        <v/>
      </c>
    </row>
    <row r="1192" spans="2:5" x14ac:dyDescent="0.2">
      <c r="B1192" s="1"/>
      <c r="E1192" s="38" t="str">
        <f>IFERROR(AVERAGEIFS('Picarro Output'!G:G, 'Picarro Output'!$B:$B, 'Uncalibrated Data'!$C1192, 'Picarro Output'!$I:$I, 0, 'Picarro Output'!$J:$J, 1), "")</f>
        <v/>
      </c>
    </row>
    <row r="1193" spans="2:5" x14ac:dyDescent="0.2">
      <c r="B1193" s="1"/>
      <c r="E1193" s="38" t="str">
        <f>IFERROR(AVERAGEIFS('Picarro Output'!G:G, 'Picarro Output'!$B:$B, 'Uncalibrated Data'!$C1193, 'Picarro Output'!$I:$I, 0, 'Picarro Output'!$J:$J, 1), "")</f>
        <v/>
      </c>
    </row>
    <row r="1194" spans="2:5" x14ac:dyDescent="0.2">
      <c r="B1194" s="1"/>
      <c r="E1194" s="38" t="str">
        <f>IFERROR(AVERAGEIFS('Picarro Output'!G:G, 'Picarro Output'!$B:$B, 'Uncalibrated Data'!$C1194, 'Picarro Output'!$I:$I, 0, 'Picarro Output'!$J:$J, 1), "")</f>
        <v/>
      </c>
    </row>
    <row r="1195" spans="2:5" x14ac:dyDescent="0.2">
      <c r="B1195" s="1"/>
      <c r="E1195" s="38" t="str">
        <f>IFERROR(AVERAGEIFS('Picarro Output'!G:G, 'Picarro Output'!$B:$B, 'Uncalibrated Data'!$C1195, 'Picarro Output'!$I:$I, 0, 'Picarro Output'!$J:$J, 1), "")</f>
        <v/>
      </c>
    </row>
    <row r="1196" spans="2:5" x14ac:dyDescent="0.2">
      <c r="B1196" s="1"/>
      <c r="E1196" s="38" t="str">
        <f>IFERROR(AVERAGEIFS('Picarro Output'!G:G, 'Picarro Output'!$B:$B, 'Uncalibrated Data'!$C1196, 'Picarro Output'!$I:$I, 0, 'Picarro Output'!$J:$J, 1), "")</f>
        <v/>
      </c>
    </row>
    <row r="1197" spans="2:5" x14ac:dyDescent="0.2">
      <c r="B1197" s="1"/>
      <c r="E1197" s="38" t="str">
        <f>IFERROR(AVERAGEIFS('Picarro Output'!G:G, 'Picarro Output'!$B:$B, 'Uncalibrated Data'!$C1197, 'Picarro Output'!$I:$I, 0, 'Picarro Output'!$J:$J, 1), "")</f>
        <v/>
      </c>
    </row>
    <row r="1198" spans="2:5" x14ac:dyDescent="0.2">
      <c r="B1198" s="1"/>
      <c r="E1198" s="38" t="str">
        <f>IFERROR(AVERAGEIFS('Picarro Output'!G:G, 'Picarro Output'!$B:$B, 'Uncalibrated Data'!$C1198, 'Picarro Output'!$I:$I, 0, 'Picarro Output'!$J:$J, 1), "")</f>
        <v/>
      </c>
    </row>
    <row r="1199" spans="2:5" x14ac:dyDescent="0.2">
      <c r="B1199" s="1"/>
      <c r="E1199" s="38" t="str">
        <f>IFERROR(AVERAGEIFS('Picarro Output'!G:G, 'Picarro Output'!$B:$B, 'Uncalibrated Data'!$C1199, 'Picarro Output'!$I:$I, 0, 'Picarro Output'!$J:$J, 1), "")</f>
        <v/>
      </c>
    </row>
    <row r="1200" spans="2:5" x14ac:dyDescent="0.2">
      <c r="B1200" s="1"/>
      <c r="E1200" s="38" t="str">
        <f>IFERROR(AVERAGEIFS('Picarro Output'!G:G, 'Picarro Output'!$B:$B, 'Uncalibrated Data'!$C1200, 'Picarro Output'!$I:$I, 0, 'Picarro Output'!$J:$J, 1), "")</f>
        <v/>
      </c>
    </row>
    <row r="1201" spans="2:5" x14ac:dyDescent="0.2">
      <c r="B1201" s="1"/>
      <c r="E1201" s="38" t="str">
        <f>IFERROR(AVERAGEIFS('Picarro Output'!G:G, 'Picarro Output'!$B:$B, 'Uncalibrated Data'!$C1201, 'Picarro Output'!$I:$I, 0, 'Picarro Output'!$J:$J, 1), "")</f>
        <v/>
      </c>
    </row>
    <row r="1202" spans="2:5" x14ac:dyDescent="0.2">
      <c r="B1202" s="1"/>
      <c r="E1202" s="38" t="str">
        <f>IFERROR(AVERAGEIFS('Picarro Output'!G:G, 'Picarro Output'!$B:$B, 'Uncalibrated Data'!$C1202, 'Picarro Output'!$I:$I, 0, 'Picarro Output'!$J:$J, 1), "")</f>
        <v/>
      </c>
    </row>
    <row r="1203" spans="2:5" x14ac:dyDescent="0.2">
      <c r="B1203" s="1"/>
      <c r="E1203" s="38" t="str">
        <f>IFERROR(AVERAGEIFS('Picarro Output'!G:G, 'Picarro Output'!$B:$B, 'Uncalibrated Data'!$C1203, 'Picarro Output'!$I:$I, 0, 'Picarro Output'!$J:$J, 1), "")</f>
        <v/>
      </c>
    </row>
    <row r="1204" spans="2:5" x14ac:dyDescent="0.2">
      <c r="B1204" s="1"/>
      <c r="E1204" s="38" t="str">
        <f>IFERROR(AVERAGEIFS('Picarro Output'!G:G, 'Picarro Output'!$B:$B, 'Uncalibrated Data'!$C1204, 'Picarro Output'!$I:$I, 0, 'Picarro Output'!$J:$J, 1), "")</f>
        <v/>
      </c>
    </row>
    <row r="1205" spans="2:5" x14ac:dyDescent="0.2">
      <c r="B1205" s="1"/>
      <c r="E1205" s="38" t="str">
        <f>IFERROR(AVERAGEIFS('Picarro Output'!G:G, 'Picarro Output'!$B:$B, 'Uncalibrated Data'!$C1205, 'Picarro Output'!$I:$I, 0, 'Picarro Output'!$J:$J, 1), "")</f>
        <v/>
      </c>
    </row>
    <row r="1206" spans="2:5" x14ac:dyDescent="0.2">
      <c r="B1206" s="1"/>
      <c r="E1206" s="38" t="str">
        <f>IFERROR(AVERAGEIFS('Picarro Output'!G:G, 'Picarro Output'!$B:$B, 'Uncalibrated Data'!$C1206, 'Picarro Output'!$I:$I, 0, 'Picarro Output'!$J:$J, 1), "")</f>
        <v/>
      </c>
    </row>
    <row r="1207" spans="2:5" x14ac:dyDescent="0.2">
      <c r="B1207" s="1"/>
      <c r="E1207" s="38" t="str">
        <f>IFERROR(AVERAGEIFS('Picarro Output'!G:G, 'Picarro Output'!$B:$B, 'Uncalibrated Data'!$C1207, 'Picarro Output'!$I:$I, 0, 'Picarro Output'!$J:$J, 1), "")</f>
        <v/>
      </c>
    </row>
    <row r="1208" spans="2:5" x14ac:dyDescent="0.2">
      <c r="B1208" s="1"/>
      <c r="E1208" s="38" t="str">
        <f>IFERROR(AVERAGEIFS('Picarro Output'!G:G, 'Picarro Output'!$B:$B, 'Uncalibrated Data'!$C1208, 'Picarro Output'!$I:$I, 0, 'Picarro Output'!$J:$J, 1), "")</f>
        <v/>
      </c>
    </row>
    <row r="1209" spans="2:5" x14ac:dyDescent="0.2">
      <c r="B1209" s="1"/>
      <c r="E1209" s="38" t="str">
        <f>IFERROR(AVERAGEIFS('Picarro Output'!G:G, 'Picarro Output'!$B:$B, 'Uncalibrated Data'!$C1209, 'Picarro Output'!$I:$I, 0, 'Picarro Output'!$J:$J, 1), "")</f>
        <v/>
      </c>
    </row>
    <row r="1210" spans="2:5" x14ac:dyDescent="0.2">
      <c r="B1210" s="1"/>
      <c r="E1210" s="38" t="str">
        <f>IFERROR(AVERAGEIFS('Picarro Output'!G:G, 'Picarro Output'!$B:$B, 'Uncalibrated Data'!$C1210, 'Picarro Output'!$I:$I, 0, 'Picarro Output'!$J:$J, 1), "")</f>
        <v/>
      </c>
    </row>
    <row r="1211" spans="2:5" x14ac:dyDescent="0.2">
      <c r="B1211" s="1"/>
      <c r="E1211" s="38" t="str">
        <f>IFERROR(AVERAGEIFS('Picarro Output'!G:G, 'Picarro Output'!$B:$B, 'Uncalibrated Data'!$C1211, 'Picarro Output'!$I:$I, 0, 'Picarro Output'!$J:$J, 1), "")</f>
        <v/>
      </c>
    </row>
    <row r="1212" spans="2:5" x14ac:dyDescent="0.2">
      <c r="B1212" s="1"/>
      <c r="E1212" s="38" t="str">
        <f>IFERROR(AVERAGEIFS('Picarro Output'!G:G, 'Picarro Output'!$B:$B, 'Uncalibrated Data'!$C1212, 'Picarro Output'!$I:$I, 0, 'Picarro Output'!$J:$J, 1), "")</f>
        <v/>
      </c>
    </row>
    <row r="1213" spans="2:5" x14ac:dyDescent="0.2">
      <c r="B1213" s="1"/>
      <c r="E1213" s="38" t="str">
        <f>IFERROR(AVERAGEIFS('Picarro Output'!G:G, 'Picarro Output'!$B:$B, 'Uncalibrated Data'!$C1213, 'Picarro Output'!$I:$I, 0, 'Picarro Output'!$J:$J, 1), "")</f>
        <v/>
      </c>
    </row>
    <row r="1214" spans="2:5" x14ac:dyDescent="0.2">
      <c r="B1214" s="1"/>
      <c r="E1214" s="38" t="str">
        <f>IFERROR(AVERAGEIFS('Picarro Output'!G:G, 'Picarro Output'!$B:$B, 'Uncalibrated Data'!$C1214, 'Picarro Output'!$I:$I, 0, 'Picarro Output'!$J:$J, 1), "")</f>
        <v/>
      </c>
    </row>
    <row r="1215" spans="2:5" x14ac:dyDescent="0.2">
      <c r="B1215" s="1"/>
      <c r="E1215" s="38" t="str">
        <f>IFERROR(AVERAGEIFS('Picarro Output'!G:G, 'Picarro Output'!$B:$B, 'Uncalibrated Data'!$C1215, 'Picarro Output'!$I:$I, 0, 'Picarro Output'!$J:$J, 1), "")</f>
        <v/>
      </c>
    </row>
    <row r="1216" spans="2:5" x14ac:dyDescent="0.2">
      <c r="B1216" s="1"/>
      <c r="E1216" s="38" t="str">
        <f>IFERROR(AVERAGEIFS('Picarro Output'!G:G, 'Picarro Output'!$B:$B, 'Uncalibrated Data'!$C1216, 'Picarro Output'!$I:$I, 0, 'Picarro Output'!$J:$J, 1), "")</f>
        <v/>
      </c>
    </row>
    <row r="1217" spans="2:5" x14ac:dyDescent="0.2">
      <c r="B1217" s="1"/>
      <c r="E1217" s="38" t="str">
        <f>IFERROR(AVERAGEIFS('Picarro Output'!G:G, 'Picarro Output'!$B:$B, 'Uncalibrated Data'!$C1217, 'Picarro Output'!$I:$I, 0, 'Picarro Output'!$J:$J, 1), "")</f>
        <v/>
      </c>
    </row>
    <row r="1218" spans="2:5" x14ac:dyDescent="0.2">
      <c r="B1218" s="1"/>
      <c r="E1218" s="38" t="str">
        <f>IFERROR(AVERAGEIFS('Picarro Output'!G:G, 'Picarro Output'!$B:$B, 'Uncalibrated Data'!$C1218, 'Picarro Output'!$I:$I, 0, 'Picarro Output'!$J:$J, 1), "")</f>
        <v/>
      </c>
    </row>
    <row r="1219" spans="2:5" x14ac:dyDescent="0.2">
      <c r="B1219" s="1"/>
      <c r="E1219" s="38" t="str">
        <f>IFERROR(AVERAGEIFS('Picarro Output'!G:G, 'Picarro Output'!$B:$B, 'Uncalibrated Data'!$C1219, 'Picarro Output'!$I:$I, 0, 'Picarro Output'!$J:$J, 1), "")</f>
        <v/>
      </c>
    </row>
    <row r="1220" spans="2:5" x14ac:dyDescent="0.2">
      <c r="B1220" s="1"/>
      <c r="E1220" s="38" t="str">
        <f>IFERROR(AVERAGEIFS('Picarro Output'!G:G, 'Picarro Output'!$B:$B, 'Uncalibrated Data'!$C1220, 'Picarro Output'!$I:$I, 0, 'Picarro Output'!$J:$J, 1), "")</f>
        <v/>
      </c>
    </row>
    <row r="1221" spans="2:5" x14ac:dyDescent="0.2">
      <c r="B1221" s="1"/>
      <c r="E1221" s="38" t="str">
        <f>IFERROR(AVERAGEIFS('Picarro Output'!G:G, 'Picarro Output'!$B:$B, 'Uncalibrated Data'!$C1221, 'Picarro Output'!$I:$I, 0, 'Picarro Output'!$J:$J, 1), "")</f>
        <v/>
      </c>
    </row>
    <row r="1222" spans="2:5" x14ac:dyDescent="0.2">
      <c r="B1222" s="1"/>
      <c r="E1222" s="38" t="str">
        <f>IFERROR(AVERAGEIFS('Picarro Output'!G:G, 'Picarro Output'!$B:$B, 'Uncalibrated Data'!$C1222, 'Picarro Output'!$I:$I, 0, 'Picarro Output'!$J:$J, 1), "")</f>
        <v/>
      </c>
    </row>
    <row r="1223" spans="2:5" x14ac:dyDescent="0.2">
      <c r="B1223" s="1"/>
      <c r="E1223" s="38" t="str">
        <f>IFERROR(AVERAGEIFS('Picarro Output'!G:G, 'Picarro Output'!$B:$B, 'Uncalibrated Data'!$C1223, 'Picarro Output'!$I:$I, 0, 'Picarro Output'!$J:$J, 1), "")</f>
        <v/>
      </c>
    </row>
    <row r="1224" spans="2:5" x14ac:dyDescent="0.2">
      <c r="B1224" s="1"/>
      <c r="E1224" s="38" t="str">
        <f>IFERROR(AVERAGEIFS('Picarro Output'!G:G, 'Picarro Output'!$B:$B, 'Uncalibrated Data'!$C1224, 'Picarro Output'!$I:$I, 0, 'Picarro Output'!$J:$J, 1), "")</f>
        <v/>
      </c>
    </row>
    <row r="1225" spans="2:5" x14ac:dyDescent="0.2">
      <c r="B1225" s="1"/>
      <c r="E1225" s="38" t="str">
        <f>IFERROR(AVERAGEIFS('Picarro Output'!G:G, 'Picarro Output'!$B:$B, 'Uncalibrated Data'!$C1225, 'Picarro Output'!$I:$I, 0, 'Picarro Output'!$J:$J, 1), "")</f>
        <v/>
      </c>
    </row>
    <row r="1226" spans="2:5" x14ac:dyDescent="0.2">
      <c r="B1226" s="1"/>
      <c r="E1226" s="38" t="str">
        <f>IFERROR(AVERAGEIFS('Picarro Output'!G:G, 'Picarro Output'!$B:$B, 'Uncalibrated Data'!$C1226, 'Picarro Output'!$I:$I, 0, 'Picarro Output'!$J:$J, 1), "")</f>
        <v/>
      </c>
    </row>
    <row r="1227" spans="2:5" x14ac:dyDescent="0.2">
      <c r="B1227" s="1"/>
      <c r="E1227" s="38" t="str">
        <f>IFERROR(AVERAGEIFS('Picarro Output'!G:G, 'Picarro Output'!$B:$B, 'Uncalibrated Data'!$C1227, 'Picarro Output'!$I:$I, 0, 'Picarro Output'!$J:$J, 1), "")</f>
        <v/>
      </c>
    </row>
    <row r="1228" spans="2:5" x14ac:dyDescent="0.2">
      <c r="B1228" s="1"/>
      <c r="E1228" s="38" t="str">
        <f>IFERROR(AVERAGEIFS('Picarro Output'!G:G, 'Picarro Output'!$B:$B, 'Uncalibrated Data'!$C1228, 'Picarro Output'!$I:$I, 0, 'Picarro Output'!$J:$J, 1), "")</f>
        <v/>
      </c>
    </row>
    <row r="1229" spans="2:5" x14ac:dyDescent="0.2">
      <c r="B1229" s="1"/>
      <c r="E1229" s="38" t="str">
        <f>IFERROR(AVERAGEIFS('Picarro Output'!G:G, 'Picarro Output'!$B:$B, 'Uncalibrated Data'!$C1229, 'Picarro Output'!$I:$I, 0, 'Picarro Output'!$J:$J, 1), "")</f>
        <v/>
      </c>
    </row>
    <row r="1230" spans="2:5" x14ac:dyDescent="0.2">
      <c r="B1230" s="1"/>
      <c r="E1230" s="38" t="str">
        <f>IFERROR(AVERAGEIFS('Picarro Output'!G:G, 'Picarro Output'!$B:$B, 'Uncalibrated Data'!$C1230, 'Picarro Output'!$I:$I, 0, 'Picarro Output'!$J:$J, 1), "")</f>
        <v/>
      </c>
    </row>
    <row r="1231" spans="2:5" x14ac:dyDescent="0.2">
      <c r="B1231" s="1"/>
      <c r="E1231" s="38" t="str">
        <f>IFERROR(AVERAGEIFS('Picarro Output'!G:G, 'Picarro Output'!$B:$B, 'Uncalibrated Data'!$C1231, 'Picarro Output'!$I:$I, 0, 'Picarro Output'!$J:$J, 1), "")</f>
        <v/>
      </c>
    </row>
    <row r="1232" spans="2:5" x14ac:dyDescent="0.2">
      <c r="B1232" s="1"/>
      <c r="E1232" s="38" t="str">
        <f>IFERROR(AVERAGEIFS('Picarro Output'!G:G, 'Picarro Output'!$B:$B, 'Uncalibrated Data'!$C1232, 'Picarro Output'!$I:$I, 0, 'Picarro Output'!$J:$J, 1), "")</f>
        <v/>
      </c>
    </row>
    <row r="1233" spans="2:5" x14ac:dyDescent="0.2">
      <c r="B1233" s="1"/>
      <c r="E1233" s="38" t="str">
        <f>IFERROR(AVERAGEIFS('Picarro Output'!G:G, 'Picarro Output'!$B:$B, 'Uncalibrated Data'!$C1233, 'Picarro Output'!$I:$I, 0, 'Picarro Output'!$J:$J, 1), "")</f>
        <v/>
      </c>
    </row>
    <row r="1234" spans="2:5" x14ac:dyDescent="0.2">
      <c r="B1234" s="1"/>
      <c r="E1234" s="38" t="str">
        <f>IFERROR(AVERAGEIFS('Picarro Output'!G:G, 'Picarro Output'!$B:$B, 'Uncalibrated Data'!$C1234, 'Picarro Output'!$I:$I, 0, 'Picarro Output'!$J:$J, 1), "")</f>
        <v/>
      </c>
    </row>
    <row r="1235" spans="2:5" x14ac:dyDescent="0.2">
      <c r="B1235" s="1"/>
      <c r="E1235" s="38" t="str">
        <f>IFERROR(AVERAGEIFS('Picarro Output'!G:G, 'Picarro Output'!$B:$B, 'Uncalibrated Data'!$C1235, 'Picarro Output'!$I:$I, 0, 'Picarro Output'!$J:$J, 1), "")</f>
        <v/>
      </c>
    </row>
    <row r="1236" spans="2:5" x14ac:dyDescent="0.2">
      <c r="B1236" s="1"/>
      <c r="E1236" s="38" t="str">
        <f>IFERROR(AVERAGEIFS('Picarro Output'!G:G, 'Picarro Output'!$B:$B, 'Uncalibrated Data'!$C1236, 'Picarro Output'!$I:$I, 0, 'Picarro Output'!$J:$J, 1), "")</f>
        <v/>
      </c>
    </row>
    <row r="1237" spans="2:5" x14ac:dyDescent="0.2">
      <c r="B1237" s="1"/>
      <c r="E1237" s="38" t="str">
        <f>IFERROR(AVERAGEIFS('Picarro Output'!G:G, 'Picarro Output'!$B:$B, 'Uncalibrated Data'!$C1237, 'Picarro Output'!$I:$I, 0, 'Picarro Output'!$J:$J, 1), "")</f>
        <v/>
      </c>
    </row>
    <row r="1238" spans="2:5" x14ac:dyDescent="0.2">
      <c r="B1238" s="1"/>
      <c r="E1238" s="38" t="str">
        <f>IFERROR(AVERAGEIFS('Picarro Output'!G:G, 'Picarro Output'!$B:$B, 'Uncalibrated Data'!$C1238, 'Picarro Output'!$I:$I, 0, 'Picarro Output'!$J:$J, 1), "")</f>
        <v/>
      </c>
    </row>
    <row r="1239" spans="2:5" x14ac:dyDescent="0.2">
      <c r="B1239" s="1"/>
      <c r="E1239" s="38" t="str">
        <f>IFERROR(AVERAGEIFS('Picarro Output'!G:G, 'Picarro Output'!$B:$B, 'Uncalibrated Data'!$C1239, 'Picarro Output'!$I:$I, 0, 'Picarro Output'!$J:$J, 1), "")</f>
        <v/>
      </c>
    </row>
    <row r="1240" spans="2:5" x14ac:dyDescent="0.2">
      <c r="B1240" s="1"/>
      <c r="E1240" s="38" t="str">
        <f>IFERROR(AVERAGEIFS('Picarro Output'!G:G, 'Picarro Output'!$B:$B, 'Uncalibrated Data'!$C1240, 'Picarro Output'!$I:$I, 0, 'Picarro Output'!$J:$J, 1), "")</f>
        <v/>
      </c>
    </row>
    <row r="1241" spans="2:5" x14ac:dyDescent="0.2">
      <c r="B1241" s="1"/>
      <c r="E1241" s="38" t="str">
        <f>IFERROR(AVERAGEIFS('Picarro Output'!G:G, 'Picarro Output'!$B:$B, 'Uncalibrated Data'!$C1241, 'Picarro Output'!$I:$I, 0, 'Picarro Output'!$J:$J, 1), "")</f>
        <v/>
      </c>
    </row>
    <row r="1242" spans="2:5" x14ac:dyDescent="0.2">
      <c r="B1242" s="1"/>
      <c r="E1242" s="38" t="str">
        <f>IFERROR(AVERAGEIFS('Picarro Output'!G:G, 'Picarro Output'!$B:$B, 'Uncalibrated Data'!$C1242, 'Picarro Output'!$I:$I, 0, 'Picarro Output'!$J:$J, 1), "")</f>
        <v/>
      </c>
    </row>
    <row r="1243" spans="2:5" x14ac:dyDescent="0.2">
      <c r="B1243" s="1"/>
      <c r="E1243" s="38" t="str">
        <f>IFERROR(AVERAGEIFS('Picarro Output'!G:G, 'Picarro Output'!$B:$B, 'Uncalibrated Data'!$C1243, 'Picarro Output'!$I:$I, 0, 'Picarro Output'!$J:$J, 1), "")</f>
        <v/>
      </c>
    </row>
    <row r="1244" spans="2:5" x14ac:dyDescent="0.2">
      <c r="B1244" s="1"/>
      <c r="E1244" s="38" t="str">
        <f>IFERROR(AVERAGEIFS('Picarro Output'!G:G, 'Picarro Output'!$B:$B, 'Uncalibrated Data'!$C1244, 'Picarro Output'!$I:$I, 0, 'Picarro Output'!$J:$J, 1), "")</f>
        <v/>
      </c>
    </row>
    <row r="1245" spans="2:5" x14ac:dyDescent="0.2">
      <c r="B1245" s="1"/>
      <c r="E1245" s="38" t="str">
        <f>IFERROR(AVERAGEIFS('Picarro Output'!G:G, 'Picarro Output'!$B:$B, 'Uncalibrated Data'!$C1245, 'Picarro Output'!$I:$I, 0, 'Picarro Output'!$J:$J, 1), "")</f>
        <v/>
      </c>
    </row>
    <row r="1246" spans="2:5" x14ac:dyDescent="0.2">
      <c r="B1246" s="1"/>
      <c r="E1246" s="38" t="str">
        <f>IFERROR(AVERAGEIFS('Picarro Output'!G:G, 'Picarro Output'!$B:$B, 'Uncalibrated Data'!$C1246, 'Picarro Output'!$I:$I, 0, 'Picarro Output'!$J:$J, 1), "")</f>
        <v/>
      </c>
    </row>
    <row r="1247" spans="2:5" x14ac:dyDescent="0.2">
      <c r="B1247" s="1"/>
      <c r="E1247" s="38" t="str">
        <f>IFERROR(AVERAGEIFS('Picarro Output'!G:G, 'Picarro Output'!$B:$B, 'Uncalibrated Data'!$C1247, 'Picarro Output'!$I:$I, 0, 'Picarro Output'!$J:$J, 1), "")</f>
        <v/>
      </c>
    </row>
    <row r="1248" spans="2:5" x14ac:dyDescent="0.2">
      <c r="B1248" s="1"/>
      <c r="E1248" s="38" t="str">
        <f>IFERROR(AVERAGEIFS('Picarro Output'!G:G, 'Picarro Output'!$B:$B, 'Uncalibrated Data'!$C1248, 'Picarro Output'!$I:$I, 0, 'Picarro Output'!$J:$J, 1), "")</f>
        <v/>
      </c>
    </row>
    <row r="1249" spans="2:5" x14ac:dyDescent="0.2">
      <c r="B1249" s="1"/>
      <c r="E1249" s="38" t="str">
        <f>IFERROR(AVERAGEIFS('Picarro Output'!G:G, 'Picarro Output'!$B:$B, 'Uncalibrated Data'!$C1249, 'Picarro Output'!$I:$I, 0, 'Picarro Output'!$J:$J, 1), "")</f>
        <v/>
      </c>
    </row>
    <row r="1250" spans="2:5" x14ac:dyDescent="0.2">
      <c r="B1250" s="1"/>
      <c r="E1250" s="38" t="str">
        <f>IFERROR(AVERAGEIFS('Picarro Output'!G:G, 'Picarro Output'!$B:$B, 'Uncalibrated Data'!$C1250, 'Picarro Output'!$I:$I, 0, 'Picarro Output'!$J:$J, 1), "")</f>
        <v/>
      </c>
    </row>
    <row r="1251" spans="2:5" x14ac:dyDescent="0.2">
      <c r="B1251" s="1"/>
      <c r="E1251" s="38" t="str">
        <f>IFERROR(AVERAGEIFS('Picarro Output'!G:G, 'Picarro Output'!$B:$B, 'Uncalibrated Data'!$C1251, 'Picarro Output'!$I:$I, 0, 'Picarro Output'!$J:$J, 1), "")</f>
        <v/>
      </c>
    </row>
    <row r="1252" spans="2:5" x14ac:dyDescent="0.2">
      <c r="B1252" s="1"/>
      <c r="E1252" s="38" t="str">
        <f>IFERROR(AVERAGEIFS('Picarro Output'!G:G, 'Picarro Output'!$B:$B, 'Uncalibrated Data'!$C1252, 'Picarro Output'!$I:$I, 0, 'Picarro Output'!$J:$J, 1), "")</f>
        <v/>
      </c>
    </row>
    <row r="1253" spans="2:5" x14ac:dyDescent="0.2">
      <c r="B1253" s="1"/>
      <c r="E1253" s="38" t="str">
        <f>IFERROR(AVERAGEIFS('Picarro Output'!G:G, 'Picarro Output'!$B:$B, 'Uncalibrated Data'!$C1253, 'Picarro Output'!$I:$I, 0, 'Picarro Output'!$J:$J, 1), "")</f>
        <v/>
      </c>
    </row>
    <row r="1254" spans="2:5" x14ac:dyDescent="0.2">
      <c r="B1254" s="1"/>
      <c r="E1254" s="38" t="str">
        <f>IFERROR(AVERAGEIFS('Picarro Output'!G:G, 'Picarro Output'!$B:$B, 'Uncalibrated Data'!$C1254, 'Picarro Output'!$I:$I, 0, 'Picarro Output'!$J:$J, 1), "")</f>
        <v/>
      </c>
    </row>
    <row r="1255" spans="2:5" x14ac:dyDescent="0.2">
      <c r="B1255" s="1"/>
      <c r="E1255" s="38" t="str">
        <f>IFERROR(AVERAGEIFS('Picarro Output'!G:G, 'Picarro Output'!$B:$B, 'Uncalibrated Data'!$C1255, 'Picarro Output'!$I:$I, 0, 'Picarro Output'!$J:$J, 1), "")</f>
        <v/>
      </c>
    </row>
    <row r="1256" spans="2:5" x14ac:dyDescent="0.2">
      <c r="B1256" s="1"/>
      <c r="E1256" s="38" t="str">
        <f>IFERROR(AVERAGEIFS('Picarro Output'!G:G, 'Picarro Output'!$B:$B, 'Uncalibrated Data'!$C1256, 'Picarro Output'!$I:$I, 0, 'Picarro Output'!$J:$J, 1), "")</f>
        <v/>
      </c>
    </row>
    <row r="1257" spans="2:5" x14ac:dyDescent="0.2">
      <c r="B1257" s="1"/>
      <c r="E1257" s="38" t="str">
        <f>IFERROR(AVERAGEIFS('Picarro Output'!G:G, 'Picarro Output'!$B:$B, 'Uncalibrated Data'!$C1257, 'Picarro Output'!$I:$I, 0, 'Picarro Output'!$J:$J, 1), "")</f>
        <v/>
      </c>
    </row>
    <row r="1258" spans="2:5" x14ac:dyDescent="0.2">
      <c r="B1258" s="1"/>
      <c r="E1258" s="38" t="str">
        <f>IFERROR(AVERAGEIFS('Picarro Output'!G:G, 'Picarro Output'!$B:$B, 'Uncalibrated Data'!$C1258, 'Picarro Output'!$I:$I, 0, 'Picarro Output'!$J:$J, 1), "")</f>
        <v/>
      </c>
    </row>
    <row r="1259" spans="2:5" x14ac:dyDescent="0.2">
      <c r="B1259" s="1"/>
      <c r="E1259" s="38" t="str">
        <f>IFERROR(AVERAGEIFS('Picarro Output'!G:G, 'Picarro Output'!$B:$B, 'Uncalibrated Data'!$C1259, 'Picarro Output'!$I:$I, 0, 'Picarro Output'!$J:$J, 1), "")</f>
        <v/>
      </c>
    </row>
    <row r="1260" spans="2:5" x14ac:dyDescent="0.2">
      <c r="B1260" s="1"/>
      <c r="E1260" s="38" t="str">
        <f>IFERROR(AVERAGEIFS('Picarro Output'!G:G, 'Picarro Output'!$B:$B, 'Uncalibrated Data'!$C1260, 'Picarro Output'!$I:$I, 0, 'Picarro Output'!$J:$J, 1), "")</f>
        <v/>
      </c>
    </row>
    <row r="1261" spans="2:5" x14ac:dyDescent="0.2">
      <c r="B1261" s="1"/>
      <c r="E1261" s="38" t="str">
        <f>IFERROR(AVERAGEIFS('Picarro Output'!G:G, 'Picarro Output'!$B:$B, 'Uncalibrated Data'!$C1261, 'Picarro Output'!$I:$I, 0, 'Picarro Output'!$J:$J, 1), "")</f>
        <v/>
      </c>
    </row>
    <row r="1262" spans="2:5" x14ac:dyDescent="0.2">
      <c r="B1262" s="1"/>
      <c r="E1262" s="38" t="str">
        <f>IFERROR(AVERAGEIFS('Picarro Output'!G:G, 'Picarro Output'!$B:$B, 'Uncalibrated Data'!$C1262, 'Picarro Output'!$I:$I, 0, 'Picarro Output'!$J:$J, 1), "")</f>
        <v/>
      </c>
    </row>
    <row r="1263" spans="2:5" x14ac:dyDescent="0.2">
      <c r="B1263" s="1"/>
      <c r="E1263" s="38" t="str">
        <f>IFERROR(AVERAGEIFS('Picarro Output'!G:G, 'Picarro Output'!$B:$B, 'Uncalibrated Data'!$C1263, 'Picarro Output'!$I:$I, 0, 'Picarro Output'!$J:$J, 1), "")</f>
        <v/>
      </c>
    </row>
    <row r="1264" spans="2:5" x14ac:dyDescent="0.2">
      <c r="B1264" s="1"/>
      <c r="E1264" s="38" t="str">
        <f>IFERROR(AVERAGEIFS('Picarro Output'!G:G, 'Picarro Output'!$B:$B, 'Uncalibrated Data'!$C1264, 'Picarro Output'!$I:$I, 0, 'Picarro Output'!$J:$J, 1), "")</f>
        <v/>
      </c>
    </row>
    <row r="1265" spans="2:5" x14ac:dyDescent="0.2">
      <c r="B1265" s="1"/>
      <c r="E1265" s="38" t="str">
        <f>IFERROR(AVERAGEIFS('Picarro Output'!G:G, 'Picarro Output'!$B:$B, 'Uncalibrated Data'!$C1265, 'Picarro Output'!$I:$I, 0, 'Picarro Output'!$J:$J, 1), "")</f>
        <v/>
      </c>
    </row>
    <row r="1266" spans="2:5" x14ac:dyDescent="0.2">
      <c r="B1266" s="1"/>
      <c r="E1266" s="38" t="str">
        <f>IFERROR(AVERAGEIFS('Picarro Output'!G:G, 'Picarro Output'!$B:$B, 'Uncalibrated Data'!$C1266, 'Picarro Output'!$I:$I, 0, 'Picarro Output'!$J:$J, 1), "")</f>
        <v/>
      </c>
    </row>
    <row r="1267" spans="2:5" x14ac:dyDescent="0.2">
      <c r="B1267" s="1"/>
      <c r="E1267" s="38" t="str">
        <f>IFERROR(AVERAGEIFS('Picarro Output'!G:G, 'Picarro Output'!$B:$B, 'Uncalibrated Data'!$C1267, 'Picarro Output'!$I:$I, 0, 'Picarro Output'!$J:$J, 1), "")</f>
        <v/>
      </c>
    </row>
    <row r="1268" spans="2:5" x14ac:dyDescent="0.2">
      <c r="B1268" s="1"/>
      <c r="E1268" s="38" t="str">
        <f>IFERROR(AVERAGEIFS('Picarro Output'!G:G, 'Picarro Output'!$B:$B, 'Uncalibrated Data'!$C1268, 'Picarro Output'!$I:$I, 0, 'Picarro Output'!$J:$J, 1), "")</f>
        <v/>
      </c>
    </row>
    <row r="1269" spans="2:5" x14ac:dyDescent="0.2">
      <c r="B1269" s="1"/>
      <c r="E1269" s="38" t="str">
        <f>IFERROR(AVERAGEIFS('Picarro Output'!G:G, 'Picarro Output'!$B:$B, 'Uncalibrated Data'!$C1269, 'Picarro Output'!$I:$I, 0, 'Picarro Output'!$J:$J, 1), "")</f>
        <v/>
      </c>
    </row>
    <row r="1270" spans="2:5" x14ac:dyDescent="0.2">
      <c r="B1270" s="1"/>
      <c r="E1270" s="38" t="str">
        <f>IFERROR(AVERAGEIFS('Picarro Output'!G:G, 'Picarro Output'!$B:$B, 'Uncalibrated Data'!$C1270, 'Picarro Output'!$I:$I, 0, 'Picarro Output'!$J:$J, 1), "")</f>
        <v/>
      </c>
    </row>
    <row r="1271" spans="2:5" x14ac:dyDescent="0.2">
      <c r="B1271" s="1"/>
      <c r="E1271" s="38" t="str">
        <f>IFERROR(AVERAGEIFS('Picarro Output'!G:G, 'Picarro Output'!$B:$B, 'Uncalibrated Data'!$C1271, 'Picarro Output'!$I:$I, 0, 'Picarro Output'!$J:$J, 1), "")</f>
        <v/>
      </c>
    </row>
    <row r="1272" spans="2:5" x14ac:dyDescent="0.2">
      <c r="B1272" s="1"/>
      <c r="E1272" s="38" t="str">
        <f>IFERROR(AVERAGEIFS('Picarro Output'!G:G, 'Picarro Output'!$B:$B, 'Uncalibrated Data'!$C1272, 'Picarro Output'!$I:$I, 0, 'Picarro Output'!$J:$J, 1), "")</f>
        <v/>
      </c>
    </row>
    <row r="1273" spans="2:5" x14ac:dyDescent="0.2">
      <c r="B1273" s="1"/>
      <c r="E1273" s="38" t="str">
        <f>IFERROR(AVERAGEIFS('Picarro Output'!G:G, 'Picarro Output'!$B:$B, 'Uncalibrated Data'!$C1273, 'Picarro Output'!$I:$I, 0, 'Picarro Output'!$J:$J, 1), "")</f>
        <v/>
      </c>
    </row>
    <row r="1274" spans="2:5" x14ac:dyDescent="0.2">
      <c r="B1274" s="1"/>
      <c r="E1274" s="38" t="str">
        <f>IFERROR(AVERAGEIFS('Picarro Output'!G:G, 'Picarro Output'!$B:$B, 'Uncalibrated Data'!$C1274, 'Picarro Output'!$I:$I, 0, 'Picarro Output'!$J:$J, 1), "")</f>
        <v/>
      </c>
    </row>
    <row r="1275" spans="2:5" x14ac:dyDescent="0.2">
      <c r="B1275" s="1"/>
      <c r="E1275" s="38" t="str">
        <f>IFERROR(AVERAGEIFS('Picarro Output'!G:G, 'Picarro Output'!$B:$B, 'Uncalibrated Data'!$C1275, 'Picarro Output'!$I:$I, 0, 'Picarro Output'!$J:$J, 1), "")</f>
        <v/>
      </c>
    </row>
    <row r="1276" spans="2:5" x14ac:dyDescent="0.2">
      <c r="B1276" s="1"/>
      <c r="E1276" s="38" t="str">
        <f>IFERROR(AVERAGEIFS('Picarro Output'!G:G, 'Picarro Output'!$B:$B, 'Uncalibrated Data'!$C1276, 'Picarro Output'!$I:$I, 0, 'Picarro Output'!$J:$J, 1), "")</f>
        <v/>
      </c>
    </row>
    <row r="1277" spans="2:5" x14ac:dyDescent="0.2">
      <c r="B1277" s="1"/>
      <c r="E1277" s="38" t="str">
        <f>IFERROR(AVERAGEIFS('Picarro Output'!G:G, 'Picarro Output'!$B:$B, 'Uncalibrated Data'!$C1277, 'Picarro Output'!$I:$I, 0, 'Picarro Output'!$J:$J, 1), "")</f>
        <v/>
      </c>
    </row>
    <row r="1278" spans="2:5" x14ac:dyDescent="0.2">
      <c r="B1278" s="1"/>
      <c r="E1278" s="38" t="str">
        <f>IFERROR(AVERAGEIFS('Picarro Output'!G:G, 'Picarro Output'!$B:$B, 'Uncalibrated Data'!$C1278, 'Picarro Output'!$I:$I, 0, 'Picarro Output'!$J:$J, 1), "")</f>
        <v/>
      </c>
    </row>
    <row r="1279" spans="2:5" x14ac:dyDescent="0.2">
      <c r="B1279" s="1"/>
      <c r="E1279" s="38" t="str">
        <f>IFERROR(AVERAGEIFS('Picarro Output'!G:G, 'Picarro Output'!$B:$B, 'Uncalibrated Data'!$C1279, 'Picarro Output'!$I:$I, 0, 'Picarro Output'!$J:$J, 1), "")</f>
        <v/>
      </c>
    </row>
    <row r="1280" spans="2:5" x14ac:dyDescent="0.2">
      <c r="B1280" s="1"/>
      <c r="E1280" s="38" t="str">
        <f>IFERROR(AVERAGEIFS('Picarro Output'!G:G, 'Picarro Output'!$B:$B, 'Uncalibrated Data'!$C1280, 'Picarro Output'!$I:$I, 0, 'Picarro Output'!$J:$J, 1), "")</f>
        <v/>
      </c>
    </row>
    <row r="1281" spans="2:5" x14ac:dyDescent="0.2">
      <c r="B1281" s="1"/>
      <c r="E1281" s="38" t="str">
        <f>IFERROR(AVERAGEIFS('Picarro Output'!G:G, 'Picarro Output'!$B:$B, 'Uncalibrated Data'!$C1281, 'Picarro Output'!$I:$I, 0, 'Picarro Output'!$J:$J, 1), "")</f>
        <v/>
      </c>
    </row>
    <row r="1282" spans="2:5" x14ac:dyDescent="0.2">
      <c r="B1282" s="1"/>
      <c r="E1282" s="38" t="str">
        <f>IFERROR(AVERAGEIFS('Picarro Output'!G:G, 'Picarro Output'!$B:$B, 'Uncalibrated Data'!$C1282, 'Picarro Output'!$I:$I, 0, 'Picarro Output'!$J:$J, 1), "")</f>
        <v/>
      </c>
    </row>
    <row r="1283" spans="2:5" x14ac:dyDescent="0.2">
      <c r="B1283" s="1"/>
      <c r="E1283" s="38" t="str">
        <f>IFERROR(AVERAGEIFS('Picarro Output'!G:G, 'Picarro Output'!$B:$B, 'Uncalibrated Data'!$C1283, 'Picarro Output'!$I:$I, 0, 'Picarro Output'!$J:$J, 1), "")</f>
        <v/>
      </c>
    </row>
    <row r="1284" spans="2:5" x14ac:dyDescent="0.2">
      <c r="B1284" s="1"/>
      <c r="E1284" s="38" t="str">
        <f>IFERROR(AVERAGEIFS('Picarro Output'!G:G, 'Picarro Output'!$B:$B, 'Uncalibrated Data'!$C1284, 'Picarro Output'!$I:$I, 0, 'Picarro Output'!$J:$J, 1), "")</f>
        <v/>
      </c>
    </row>
    <row r="1285" spans="2:5" x14ac:dyDescent="0.2">
      <c r="B1285" s="1"/>
      <c r="E1285" s="38" t="str">
        <f>IFERROR(AVERAGEIFS('Picarro Output'!G:G, 'Picarro Output'!$B:$B, 'Uncalibrated Data'!$C1285, 'Picarro Output'!$I:$I, 0, 'Picarro Output'!$J:$J, 1), "")</f>
        <v/>
      </c>
    </row>
    <row r="1286" spans="2:5" x14ac:dyDescent="0.2">
      <c r="B1286" s="1"/>
      <c r="E1286" s="38" t="str">
        <f>IFERROR(AVERAGEIFS('Picarro Output'!G:G, 'Picarro Output'!$B:$B, 'Uncalibrated Data'!$C1286, 'Picarro Output'!$I:$I, 0, 'Picarro Output'!$J:$J, 1), "")</f>
        <v/>
      </c>
    </row>
    <row r="1287" spans="2:5" x14ac:dyDescent="0.2">
      <c r="B1287" s="1"/>
      <c r="E1287" s="38" t="str">
        <f>IFERROR(AVERAGEIFS('Picarro Output'!G:G, 'Picarro Output'!$B:$B, 'Uncalibrated Data'!$C1287, 'Picarro Output'!$I:$I, 0, 'Picarro Output'!$J:$J, 1), "")</f>
        <v/>
      </c>
    </row>
    <row r="1288" spans="2:5" x14ac:dyDescent="0.2">
      <c r="B1288" s="1"/>
      <c r="E1288" s="38" t="str">
        <f>IFERROR(AVERAGEIFS('Picarro Output'!G:G, 'Picarro Output'!$B:$B, 'Uncalibrated Data'!$C1288, 'Picarro Output'!$I:$I, 0, 'Picarro Output'!$J:$J, 1), "")</f>
        <v/>
      </c>
    </row>
    <row r="1289" spans="2:5" x14ac:dyDescent="0.2">
      <c r="B1289" s="1"/>
      <c r="E1289" s="38" t="str">
        <f>IFERROR(AVERAGEIFS('Picarro Output'!G:G, 'Picarro Output'!$B:$B, 'Uncalibrated Data'!$C1289, 'Picarro Output'!$I:$I, 0, 'Picarro Output'!$J:$J, 1), "")</f>
        <v/>
      </c>
    </row>
    <row r="1290" spans="2:5" x14ac:dyDescent="0.2">
      <c r="B1290" s="1"/>
      <c r="E1290" s="38" t="str">
        <f>IFERROR(AVERAGEIFS('Picarro Output'!G:G, 'Picarro Output'!$B:$B, 'Uncalibrated Data'!$C1290, 'Picarro Output'!$I:$I, 0, 'Picarro Output'!$J:$J, 1), "")</f>
        <v/>
      </c>
    </row>
    <row r="1291" spans="2:5" x14ac:dyDescent="0.2">
      <c r="B1291" s="1"/>
      <c r="E1291" s="38" t="str">
        <f>IFERROR(AVERAGEIFS('Picarro Output'!G:G, 'Picarro Output'!$B:$B, 'Uncalibrated Data'!$C1291, 'Picarro Output'!$I:$I, 0, 'Picarro Output'!$J:$J, 1), "")</f>
        <v/>
      </c>
    </row>
    <row r="1292" spans="2:5" x14ac:dyDescent="0.2">
      <c r="B1292" s="1"/>
      <c r="E1292" s="38" t="str">
        <f>IFERROR(AVERAGEIFS('Picarro Output'!G:G, 'Picarro Output'!$B:$B, 'Uncalibrated Data'!$C1292, 'Picarro Output'!$I:$I, 0, 'Picarro Output'!$J:$J, 1), "")</f>
        <v/>
      </c>
    </row>
    <row r="1293" spans="2:5" x14ac:dyDescent="0.2">
      <c r="B1293" s="1"/>
      <c r="E1293" s="38" t="str">
        <f>IFERROR(AVERAGEIFS('Picarro Output'!G:G, 'Picarro Output'!$B:$B, 'Uncalibrated Data'!$C1293, 'Picarro Output'!$I:$I, 0, 'Picarro Output'!$J:$J, 1), "")</f>
        <v/>
      </c>
    </row>
    <row r="1294" spans="2:5" x14ac:dyDescent="0.2">
      <c r="B1294" s="1"/>
      <c r="E1294" s="38" t="str">
        <f>IFERROR(AVERAGEIFS('Picarro Output'!G:G, 'Picarro Output'!$B:$B, 'Uncalibrated Data'!$C1294, 'Picarro Output'!$I:$I, 0, 'Picarro Output'!$J:$J, 1), "")</f>
        <v/>
      </c>
    </row>
    <row r="1295" spans="2:5" x14ac:dyDescent="0.2">
      <c r="B1295" s="1"/>
      <c r="E1295" s="38" t="str">
        <f>IFERROR(AVERAGEIFS('Picarro Output'!G:G, 'Picarro Output'!$B:$B, 'Uncalibrated Data'!$C1295, 'Picarro Output'!$I:$I, 0, 'Picarro Output'!$J:$J, 1), "")</f>
        <v/>
      </c>
    </row>
    <row r="1296" spans="2:5" x14ac:dyDescent="0.2">
      <c r="B1296" s="1"/>
      <c r="E1296" s="38" t="str">
        <f>IFERROR(AVERAGEIFS('Picarro Output'!G:G, 'Picarro Output'!$B:$B, 'Uncalibrated Data'!$C1296, 'Picarro Output'!$I:$I, 0, 'Picarro Output'!$J:$J, 1), "")</f>
        <v/>
      </c>
    </row>
    <row r="1297" spans="2:5" x14ac:dyDescent="0.2">
      <c r="B1297" s="1"/>
      <c r="E1297" s="38" t="str">
        <f>IFERROR(AVERAGEIFS('Picarro Output'!G:G, 'Picarro Output'!$B:$B, 'Uncalibrated Data'!$C1297, 'Picarro Output'!$I:$I, 0, 'Picarro Output'!$J:$J, 1), "")</f>
        <v/>
      </c>
    </row>
    <row r="1298" spans="2:5" x14ac:dyDescent="0.2">
      <c r="B1298" s="1"/>
      <c r="E1298" s="38" t="str">
        <f>IFERROR(AVERAGEIFS('Picarro Output'!G:G, 'Picarro Output'!$B:$B, 'Uncalibrated Data'!$C1298, 'Picarro Output'!$I:$I, 0, 'Picarro Output'!$J:$J, 1), "")</f>
        <v/>
      </c>
    </row>
    <row r="1299" spans="2:5" x14ac:dyDescent="0.2">
      <c r="B1299" s="1"/>
      <c r="E1299" s="38" t="str">
        <f>IFERROR(AVERAGEIFS('Picarro Output'!G:G, 'Picarro Output'!$B:$B, 'Uncalibrated Data'!$C1299, 'Picarro Output'!$I:$I, 0, 'Picarro Output'!$J:$J, 1), "")</f>
        <v/>
      </c>
    </row>
    <row r="1300" spans="2:5" x14ac:dyDescent="0.2">
      <c r="B1300" s="1"/>
      <c r="E1300" s="38" t="str">
        <f>IFERROR(AVERAGEIFS('Picarro Output'!G:G, 'Picarro Output'!$B:$B, 'Uncalibrated Data'!$C1300, 'Picarro Output'!$I:$I, 0, 'Picarro Output'!$J:$J, 1), "")</f>
        <v/>
      </c>
    </row>
    <row r="1301" spans="2:5" x14ac:dyDescent="0.2">
      <c r="B1301" s="1"/>
      <c r="E1301" s="38" t="str">
        <f>IFERROR(AVERAGEIFS('Picarro Output'!G:G, 'Picarro Output'!$B:$B, 'Uncalibrated Data'!$C1301, 'Picarro Output'!$I:$I, 0, 'Picarro Output'!$J:$J, 1), "")</f>
        <v/>
      </c>
    </row>
    <row r="1302" spans="2:5" x14ac:dyDescent="0.2">
      <c r="B1302" s="1"/>
      <c r="E1302" s="38" t="str">
        <f>IFERROR(AVERAGEIFS('Picarro Output'!G:G, 'Picarro Output'!$B:$B, 'Uncalibrated Data'!$C1302, 'Picarro Output'!$I:$I, 0, 'Picarro Output'!$J:$J, 1), "")</f>
        <v/>
      </c>
    </row>
    <row r="1303" spans="2:5" x14ac:dyDescent="0.2">
      <c r="B1303" s="1"/>
      <c r="E1303" s="38" t="str">
        <f>IFERROR(AVERAGEIFS('Picarro Output'!G:G, 'Picarro Output'!$B:$B, 'Uncalibrated Data'!$C1303, 'Picarro Output'!$I:$I, 0, 'Picarro Output'!$J:$J, 1), "")</f>
        <v/>
      </c>
    </row>
    <row r="1304" spans="2:5" x14ac:dyDescent="0.2">
      <c r="B1304" s="1"/>
      <c r="E1304" s="38" t="str">
        <f>IFERROR(AVERAGEIFS('Picarro Output'!G:G, 'Picarro Output'!$B:$B, 'Uncalibrated Data'!$C1304, 'Picarro Output'!$I:$I, 0, 'Picarro Output'!$J:$J, 1), "")</f>
        <v/>
      </c>
    </row>
    <row r="1305" spans="2:5" x14ac:dyDescent="0.2">
      <c r="B1305" s="1"/>
      <c r="E1305" s="38" t="str">
        <f>IFERROR(AVERAGEIFS('Picarro Output'!G:G, 'Picarro Output'!$B:$B, 'Uncalibrated Data'!$C1305, 'Picarro Output'!$I:$I, 0, 'Picarro Output'!$J:$J, 1), "")</f>
        <v/>
      </c>
    </row>
    <row r="1306" spans="2:5" x14ac:dyDescent="0.2">
      <c r="B1306" s="1"/>
      <c r="E1306" s="38" t="str">
        <f>IFERROR(AVERAGEIFS('Picarro Output'!G:G, 'Picarro Output'!$B:$B, 'Uncalibrated Data'!$C1306, 'Picarro Output'!$I:$I, 0, 'Picarro Output'!$J:$J, 1), "")</f>
        <v/>
      </c>
    </row>
    <row r="1307" spans="2:5" x14ac:dyDescent="0.2">
      <c r="B1307" s="1"/>
      <c r="E1307" s="38" t="str">
        <f>IFERROR(AVERAGEIFS('Picarro Output'!G:G, 'Picarro Output'!$B:$B, 'Uncalibrated Data'!$C1307, 'Picarro Output'!$I:$I, 0, 'Picarro Output'!$J:$J, 1), "")</f>
        <v/>
      </c>
    </row>
    <row r="1308" spans="2:5" x14ac:dyDescent="0.2">
      <c r="B1308" s="1"/>
      <c r="E1308" s="38" t="str">
        <f>IFERROR(AVERAGEIFS('Picarro Output'!G:G, 'Picarro Output'!$B:$B, 'Uncalibrated Data'!$C1308, 'Picarro Output'!$I:$I, 0, 'Picarro Output'!$J:$J, 1), "")</f>
        <v/>
      </c>
    </row>
    <row r="1309" spans="2:5" x14ac:dyDescent="0.2">
      <c r="B1309" s="1"/>
      <c r="E1309" s="38" t="str">
        <f>IFERROR(AVERAGEIFS('Picarro Output'!G:G, 'Picarro Output'!$B:$B, 'Uncalibrated Data'!$C1309, 'Picarro Output'!$I:$I, 0, 'Picarro Output'!$J:$J, 1), "")</f>
        <v/>
      </c>
    </row>
    <row r="1310" spans="2:5" x14ac:dyDescent="0.2">
      <c r="B1310" s="1"/>
      <c r="E1310" s="38" t="str">
        <f>IFERROR(AVERAGEIFS('Picarro Output'!G:G, 'Picarro Output'!$B:$B, 'Uncalibrated Data'!$C1310, 'Picarro Output'!$I:$I, 0, 'Picarro Output'!$J:$J, 1), "")</f>
        <v/>
      </c>
    </row>
    <row r="1311" spans="2:5" x14ac:dyDescent="0.2">
      <c r="B1311" s="1"/>
      <c r="E1311" s="38" t="str">
        <f>IFERROR(AVERAGEIFS('Picarro Output'!G:G, 'Picarro Output'!$B:$B, 'Uncalibrated Data'!$C1311, 'Picarro Output'!$I:$I, 0, 'Picarro Output'!$J:$J, 1), "")</f>
        <v/>
      </c>
    </row>
    <row r="1312" spans="2:5" x14ac:dyDescent="0.2">
      <c r="B1312" s="1"/>
      <c r="E1312" s="38" t="str">
        <f>IFERROR(AVERAGEIFS('Picarro Output'!G:G, 'Picarro Output'!$B:$B, 'Uncalibrated Data'!$C1312, 'Picarro Output'!$I:$I, 0, 'Picarro Output'!$J:$J, 1), "")</f>
        <v/>
      </c>
    </row>
    <row r="1313" spans="2:5" x14ac:dyDescent="0.2">
      <c r="B1313" s="1"/>
      <c r="E1313" s="38" t="str">
        <f>IFERROR(AVERAGEIFS('Picarro Output'!G:G, 'Picarro Output'!$B:$B, 'Uncalibrated Data'!$C1313, 'Picarro Output'!$I:$I, 0, 'Picarro Output'!$J:$J, 1), "")</f>
        <v/>
      </c>
    </row>
    <row r="1314" spans="2:5" x14ac:dyDescent="0.2">
      <c r="B1314" s="1"/>
      <c r="E1314" s="38" t="str">
        <f>IFERROR(AVERAGEIFS('Picarro Output'!G:G, 'Picarro Output'!$B:$B, 'Uncalibrated Data'!$C1314, 'Picarro Output'!$I:$I, 0, 'Picarro Output'!$J:$J, 1), "")</f>
        <v/>
      </c>
    </row>
    <row r="1315" spans="2:5" x14ac:dyDescent="0.2">
      <c r="B1315" s="1"/>
      <c r="E1315" s="38" t="str">
        <f>IFERROR(AVERAGEIFS('Picarro Output'!G:G, 'Picarro Output'!$B:$B, 'Uncalibrated Data'!$C1315, 'Picarro Output'!$I:$I, 0, 'Picarro Output'!$J:$J, 1), "")</f>
        <v/>
      </c>
    </row>
    <row r="1316" spans="2:5" x14ac:dyDescent="0.2">
      <c r="B1316" s="1"/>
      <c r="E1316" s="38" t="str">
        <f>IFERROR(AVERAGEIFS('Picarro Output'!G:G, 'Picarro Output'!$B:$B, 'Uncalibrated Data'!$C1316, 'Picarro Output'!$I:$I, 0, 'Picarro Output'!$J:$J, 1), "")</f>
        <v/>
      </c>
    </row>
    <row r="1317" spans="2:5" x14ac:dyDescent="0.2">
      <c r="B1317" s="1"/>
      <c r="E1317" s="38" t="str">
        <f>IFERROR(AVERAGEIFS('Picarro Output'!G:G, 'Picarro Output'!$B:$B, 'Uncalibrated Data'!$C1317, 'Picarro Output'!$I:$I, 0, 'Picarro Output'!$J:$J, 1), "")</f>
        <v/>
      </c>
    </row>
    <row r="1318" spans="2:5" x14ac:dyDescent="0.2">
      <c r="B1318" s="1"/>
      <c r="E1318" s="38" t="str">
        <f>IFERROR(AVERAGEIFS('Picarro Output'!G:G, 'Picarro Output'!$B:$B, 'Uncalibrated Data'!$C1318, 'Picarro Output'!$I:$I, 0, 'Picarro Output'!$J:$J, 1), "")</f>
        <v/>
      </c>
    </row>
    <row r="1319" spans="2:5" x14ac:dyDescent="0.2">
      <c r="B1319" s="1"/>
      <c r="E1319" s="38" t="str">
        <f>IFERROR(AVERAGEIFS('Picarro Output'!G:G, 'Picarro Output'!$B:$B, 'Uncalibrated Data'!$C1319, 'Picarro Output'!$I:$I, 0, 'Picarro Output'!$J:$J, 1), "")</f>
        <v/>
      </c>
    </row>
    <row r="1320" spans="2:5" x14ac:dyDescent="0.2">
      <c r="B1320" s="1"/>
      <c r="E1320" s="38" t="str">
        <f>IFERROR(AVERAGEIFS('Picarro Output'!G:G, 'Picarro Output'!$B:$B, 'Uncalibrated Data'!$C1320, 'Picarro Output'!$I:$I, 0, 'Picarro Output'!$J:$J, 1), "")</f>
        <v/>
      </c>
    </row>
    <row r="1321" spans="2:5" x14ac:dyDescent="0.2">
      <c r="B1321" s="1"/>
      <c r="E1321" s="38" t="str">
        <f>IFERROR(AVERAGEIFS('Picarro Output'!G:G, 'Picarro Output'!$B:$B, 'Uncalibrated Data'!$C1321, 'Picarro Output'!$I:$I, 0, 'Picarro Output'!$J:$J, 1), "")</f>
        <v/>
      </c>
    </row>
    <row r="1322" spans="2:5" x14ac:dyDescent="0.2">
      <c r="B1322" s="1"/>
      <c r="E1322" s="38" t="str">
        <f>IFERROR(AVERAGEIFS('Picarro Output'!G:G, 'Picarro Output'!$B:$B, 'Uncalibrated Data'!$C1322, 'Picarro Output'!$I:$I, 0, 'Picarro Output'!$J:$J, 1), "")</f>
        <v/>
      </c>
    </row>
    <row r="1323" spans="2:5" x14ac:dyDescent="0.2">
      <c r="B1323" s="1"/>
      <c r="E1323" s="38" t="str">
        <f>IFERROR(AVERAGEIFS('Picarro Output'!G:G, 'Picarro Output'!$B:$B, 'Uncalibrated Data'!$C1323, 'Picarro Output'!$I:$I, 0, 'Picarro Output'!$J:$J, 1), "")</f>
        <v/>
      </c>
    </row>
    <row r="1324" spans="2:5" x14ac:dyDescent="0.2">
      <c r="B1324" s="1"/>
      <c r="E1324" s="38" t="str">
        <f>IFERROR(AVERAGEIFS('Picarro Output'!G:G, 'Picarro Output'!$B:$B, 'Uncalibrated Data'!$C1324, 'Picarro Output'!$I:$I, 0, 'Picarro Output'!$J:$J, 1), "")</f>
        <v/>
      </c>
    </row>
    <row r="1325" spans="2:5" x14ac:dyDescent="0.2">
      <c r="B1325" s="1"/>
      <c r="E1325" s="38" t="str">
        <f>IFERROR(AVERAGEIFS('Picarro Output'!G:G, 'Picarro Output'!$B:$B, 'Uncalibrated Data'!$C1325, 'Picarro Output'!$I:$I, 0, 'Picarro Output'!$J:$J, 1), "")</f>
        <v/>
      </c>
    </row>
    <row r="1326" spans="2:5" x14ac:dyDescent="0.2">
      <c r="B1326" s="1"/>
      <c r="E1326" s="38" t="str">
        <f>IFERROR(AVERAGEIFS('Picarro Output'!G:G, 'Picarro Output'!$B:$B, 'Uncalibrated Data'!$C1326, 'Picarro Output'!$I:$I, 0, 'Picarro Output'!$J:$J, 1), "")</f>
        <v/>
      </c>
    </row>
    <row r="1327" spans="2:5" x14ac:dyDescent="0.2">
      <c r="B1327" s="1"/>
      <c r="E1327" s="38" t="str">
        <f>IFERROR(AVERAGEIFS('Picarro Output'!G:G, 'Picarro Output'!$B:$B, 'Uncalibrated Data'!$C1327, 'Picarro Output'!$I:$I, 0, 'Picarro Output'!$J:$J, 1), "")</f>
        <v/>
      </c>
    </row>
    <row r="1328" spans="2:5" x14ac:dyDescent="0.2">
      <c r="B1328" s="1"/>
      <c r="E1328" s="38" t="str">
        <f>IFERROR(AVERAGEIFS('Picarro Output'!G:G, 'Picarro Output'!$B:$B, 'Uncalibrated Data'!$C1328, 'Picarro Output'!$I:$I, 0, 'Picarro Output'!$J:$J, 1), "")</f>
        <v/>
      </c>
    </row>
    <row r="1329" spans="2:5" x14ac:dyDescent="0.2">
      <c r="B1329" s="1"/>
      <c r="E1329" s="38" t="str">
        <f>IFERROR(AVERAGEIFS('Picarro Output'!G:G, 'Picarro Output'!$B:$B, 'Uncalibrated Data'!$C1329, 'Picarro Output'!$I:$I, 0, 'Picarro Output'!$J:$J, 1), "")</f>
        <v/>
      </c>
    </row>
    <row r="1330" spans="2:5" x14ac:dyDescent="0.2">
      <c r="B1330" s="1"/>
      <c r="E1330" s="38" t="str">
        <f>IFERROR(AVERAGEIFS('Picarro Output'!G:G, 'Picarro Output'!$B:$B, 'Uncalibrated Data'!$C1330, 'Picarro Output'!$I:$I, 0, 'Picarro Output'!$J:$J, 1), "")</f>
        <v/>
      </c>
    </row>
    <row r="1331" spans="2:5" x14ac:dyDescent="0.2">
      <c r="B1331" s="1"/>
      <c r="E1331" s="38" t="str">
        <f>IFERROR(AVERAGEIFS('Picarro Output'!G:G, 'Picarro Output'!$B:$B, 'Uncalibrated Data'!$C1331, 'Picarro Output'!$I:$I, 0, 'Picarro Output'!$J:$J, 1), "")</f>
        <v/>
      </c>
    </row>
    <row r="1332" spans="2:5" x14ac:dyDescent="0.2">
      <c r="B1332" s="1"/>
      <c r="E1332" s="38" t="str">
        <f>IFERROR(AVERAGEIFS('Picarro Output'!G:G, 'Picarro Output'!$B:$B, 'Uncalibrated Data'!$C1332, 'Picarro Output'!$I:$I, 0, 'Picarro Output'!$J:$J, 1), "")</f>
        <v/>
      </c>
    </row>
    <row r="1333" spans="2:5" x14ac:dyDescent="0.2">
      <c r="B1333" s="1"/>
      <c r="E1333" s="38" t="str">
        <f>IFERROR(AVERAGEIFS('Picarro Output'!G:G, 'Picarro Output'!$B:$B, 'Uncalibrated Data'!$C1333, 'Picarro Output'!$I:$I, 0, 'Picarro Output'!$J:$J, 1), "")</f>
        <v/>
      </c>
    </row>
    <row r="1334" spans="2:5" x14ac:dyDescent="0.2">
      <c r="B1334" s="1"/>
      <c r="E1334" s="38" t="str">
        <f>IFERROR(AVERAGEIFS('Picarro Output'!G:G, 'Picarro Output'!$B:$B, 'Uncalibrated Data'!$C1334, 'Picarro Output'!$I:$I, 0, 'Picarro Output'!$J:$J, 1), "")</f>
        <v/>
      </c>
    </row>
    <row r="1335" spans="2:5" x14ac:dyDescent="0.2">
      <c r="B1335" s="1"/>
      <c r="E1335" s="38" t="str">
        <f>IFERROR(AVERAGEIFS('Picarro Output'!G:G, 'Picarro Output'!$B:$B, 'Uncalibrated Data'!$C1335, 'Picarro Output'!$I:$I, 0, 'Picarro Output'!$J:$J, 1), "")</f>
        <v/>
      </c>
    </row>
    <row r="1336" spans="2:5" x14ac:dyDescent="0.2">
      <c r="B1336" s="1"/>
      <c r="E1336" s="38" t="str">
        <f>IFERROR(AVERAGEIFS('Picarro Output'!G:G, 'Picarro Output'!$B:$B, 'Uncalibrated Data'!$C1336, 'Picarro Output'!$I:$I, 0, 'Picarro Output'!$J:$J, 1), "")</f>
        <v/>
      </c>
    </row>
    <row r="1337" spans="2:5" x14ac:dyDescent="0.2">
      <c r="B1337" s="1"/>
      <c r="E1337" s="38" t="str">
        <f>IFERROR(AVERAGEIFS('Picarro Output'!G:G, 'Picarro Output'!$B:$B, 'Uncalibrated Data'!$C1337, 'Picarro Output'!$I:$I, 0, 'Picarro Output'!$J:$J, 1), "")</f>
        <v/>
      </c>
    </row>
    <row r="1338" spans="2:5" x14ac:dyDescent="0.2">
      <c r="B1338" s="1"/>
      <c r="E1338" s="38" t="str">
        <f>IFERROR(AVERAGEIFS('Picarro Output'!G:G, 'Picarro Output'!$B:$B, 'Uncalibrated Data'!$C1338, 'Picarro Output'!$I:$I, 0, 'Picarro Output'!$J:$J, 1), "")</f>
        <v/>
      </c>
    </row>
    <row r="1339" spans="2:5" x14ac:dyDescent="0.2">
      <c r="B1339" s="1"/>
      <c r="E1339" s="38" t="str">
        <f>IFERROR(AVERAGEIFS('Picarro Output'!G:G, 'Picarro Output'!$B:$B, 'Uncalibrated Data'!$C1339, 'Picarro Output'!$I:$I, 0, 'Picarro Output'!$J:$J, 1), "")</f>
        <v/>
      </c>
    </row>
    <row r="1340" spans="2:5" x14ac:dyDescent="0.2">
      <c r="B1340" s="1"/>
      <c r="E1340" s="38" t="str">
        <f>IFERROR(AVERAGEIFS('Picarro Output'!G:G, 'Picarro Output'!$B:$B, 'Uncalibrated Data'!$C1340, 'Picarro Output'!$I:$I, 0, 'Picarro Output'!$J:$J, 1), "")</f>
        <v/>
      </c>
    </row>
    <row r="1341" spans="2:5" x14ac:dyDescent="0.2">
      <c r="B1341" s="1"/>
      <c r="E1341" s="38" t="str">
        <f>IFERROR(AVERAGEIFS('Picarro Output'!G:G, 'Picarro Output'!$B:$B, 'Uncalibrated Data'!$C1341, 'Picarro Output'!$I:$I, 0, 'Picarro Output'!$J:$J, 1), "")</f>
        <v/>
      </c>
    </row>
    <row r="1342" spans="2:5" x14ac:dyDescent="0.2">
      <c r="B1342" s="1"/>
      <c r="E1342" s="38" t="str">
        <f>IFERROR(AVERAGEIFS('Picarro Output'!G:G, 'Picarro Output'!$B:$B, 'Uncalibrated Data'!$C1342, 'Picarro Output'!$I:$I, 0, 'Picarro Output'!$J:$J, 1), "")</f>
        <v/>
      </c>
    </row>
    <row r="1343" spans="2:5" x14ac:dyDescent="0.2">
      <c r="B1343" s="1"/>
      <c r="E1343" s="38" t="str">
        <f>IFERROR(AVERAGEIFS('Picarro Output'!G:G, 'Picarro Output'!$B:$B, 'Uncalibrated Data'!$C1343, 'Picarro Output'!$I:$I, 0, 'Picarro Output'!$J:$J, 1), "")</f>
        <v/>
      </c>
    </row>
    <row r="1344" spans="2:5" x14ac:dyDescent="0.2">
      <c r="B1344" s="1"/>
      <c r="E1344" s="38" t="str">
        <f>IFERROR(AVERAGEIFS('Picarro Output'!G:G, 'Picarro Output'!$B:$B, 'Uncalibrated Data'!$C1344, 'Picarro Output'!$I:$I, 0, 'Picarro Output'!$J:$J, 1), "")</f>
        <v/>
      </c>
    </row>
    <row r="1345" spans="2:5" x14ac:dyDescent="0.2">
      <c r="B1345" s="1"/>
      <c r="E1345" s="38" t="str">
        <f>IFERROR(AVERAGEIFS('Picarro Output'!G:G, 'Picarro Output'!$B:$B, 'Uncalibrated Data'!$C1345, 'Picarro Output'!$I:$I, 0, 'Picarro Output'!$J:$J, 1), "")</f>
        <v/>
      </c>
    </row>
    <row r="1346" spans="2:5" x14ac:dyDescent="0.2">
      <c r="B1346" s="1"/>
      <c r="E1346" s="38" t="str">
        <f>IFERROR(AVERAGEIFS('Picarro Output'!G:G, 'Picarro Output'!$B:$B, 'Uncalibrated Data'!$C1346, 'Picarro Output'!$I:$I, 0, 'Picarro Output'!$J:$J, 1), "")</f>
        <v/>
      </c>
    </row>
    <row r="1347" spans="2:5" x14ac:dyDescent="0.2">
      <c r="B1347" s="1"/>
      <c r="E1347" s="38" t="str">
        <f>IFERROR(AVERAGEIFS('Picarro Output'!G:G, 'Picarro Output'!$B:$B, 'Uncalibrated Data'!$C1347, 'Picarro Output'!$I:$I, 0, 'Picarro Output'!$J:$J, 1), "")</f>
        <v/>
      </c>
    </row>
    <row r="1348" spans="2:5" x14ac:dyDescent="0.2">
      <c r="B1348" s="1"/>
      <c r="E1348" s="38" t="str">
        <f>IFERROR(AVERAGEIFS('Picarro Output'!G:G, 'Picarro Output'!$B:$B, 'Uncalibrated Data'!$C1348, 'Picarro Output'!$I:$I, 0, 'Picarro Output'!$J:$J, 1), "")</f>
        <v/>
      </c>
    </row>
    <row r="1349" spans="2:5" x14ac:dyDescent="0.2">
      <c r="B1349" s="1"/>
      <c r="E1349" s="38" t="str">
        <f>IFERROR(AVERAGEIFS('Picarro Output'!G:G, 'Picarro Output'!$B:$B, 'Uncalibrated Data'!$C1349, 'Picarro Output'!$I:$I, 0, 'Picarro Output'!$J:$J, 1), "")</f>
        <v/>
      </c>
    </row>
    <row r="1350" spans="2:5" x14ac:dyDescent="0.2">
      <c r="B1350" s="1"/>
      <c r="E1350" s="38" t="str">
        <f>IFERROR(AVERAGEIFS('Picarro Output'!G:G, 'Picarro Output'!$B:$B, 'Uncalibrated Data'!$C1350, 'Picarro Output'!$I:$I, 0, 'Picarro Output'!$J:$J, 1), "")</f>
        <v/>
      </c>
    </row>
    <row r="1351" spans="2:5" x14ac:dyDescent="0.2">
      <c r="B1351" s="1"/>
      <c r="E1351" s="38" t="str">
        <f>IFERROR(AVERAGEIFS('Picarro Output'!G:G, 'Picarro Output'!$B:$B, 'Uncalibrated Data'!$C1351, 'Picarro Output'!$I:$I, 0, 'Picarro Output'!$J:$J, 1), "")</f>
        <v/>
      </c>
    </row>
    <row r="1352" spans="2:5" x14ac:dyDescent="0.2">
      <c r="B1352" s="1"/>
      <c r="E1352" s="38" t="str">
        <f>IFERROR(AVERAGEIFS('Picarro Output'!G:G, 'Picarro Output'!$B:$B, 'Uncalibrated Data'!$C1352, 'Picarro Output'!$I:$I, 0, 'Picarro Output'!$J:$J, 1), "")</f>
        <v/>
      </c>
    </row>
    <row r="1353" spans="2:5" x14ac:dyDescent="0.2">
      <c r="B1353" s="1"/>
      <c r="E1353" s="38" t="str">
        <f>IFERROR(AVERAGEIFS('Picarro Output'!G:G, 'Picarro Output'!$B:$B, 'Uncalibrated Data'!$C1353, 'Picarro Output'!$I:$I, 0, 'Picarro Output'!$J:$J, 1), "")</f>
        <v/>
      </c>
    </row>
    <row r="1354" spans="2:5" x14ac:dyDescent="0.2">
      <c r="B1354" s="1"/>
      <c r="E1354" s="38" t="str">
        <f>IFERROR(AVERAGEIFS('Picarro Output'!G:G, 'Picarro Output'!$B:$B, 'Uncalibrated Data'!$C1354, 'Picarro Output'!$I:$I, 0, 'Picarro Output'!$J:$J, 1), "")</f>
        <v/>
      </c>
    </row>
    <row r="1355" spans="2:5" x14ac:dyDescent="0.2">
      <c r="B1355" s="1"/>
      <c r="E1355" s="38" t="str">
        <f>IFERROR(AVERAGEIFS('Picarro Output'!G:G, 'Picarro Output'!$B:$B, 'Uncalibrated Data'!$C1355, 'Picarro Output'!$I:$I, 0, 'Picarro Output'!$J:$J, 1), "")</f>
        <v/>
      </c>
    </row>
    <row r="1356" spans="2:5" x14ac:dyDescent="0.2">
      <c r="B1356" s="1"/>
      <c r="E1356" s="38" t="str">
        <f>IFERROR(AVERAGEIFS('Picarro Output'!G:G, 'Picarro Output'!$B:$B, 'Uncalibrated Data'!$C1356, 'Picarro Output'!$I:$I, 0, 'Picarro Output'!$J:$J, 1), "")</f>
        <v/>
      </c>
    </row>
    <row r="1357" spans="2:5" x14ac:dyDescent="0.2">
      <c r="B1357" s="1"/>
      <c r="E1357" s="38" t="str">
        <f>IFERROR(AVERAGEIFS('Picarro Output'!G:G, 'Picarro Output'!$B:$B, 'Uncalibrated Data'!$C1357, 'Picarro Output'!$I:$I, 0, 'Picarro Output'!$J:$J, 1), "")</f>
        <v/>
      </c>
    </row>
    <row r="1358" spans="2:5" x14ac:dyDescent="0.2">
      <c r="B1358" s="1"/>
      <c r="E1358" s="38" t="str">
        <f>IFERROR(AVERAGEIFS('Picarro Output'!G:G, 'Picarro Output'!$B:$B, 'Uncalibrated Data'!$C1358, 'Picarro Output'!$I:$I, 0, 'Picarro Output'!$J:$J, 1), "")</f>
        <v/>
      </c>
    </row>
    <row r="1359" spans="2:5" x14ac:dyDescent="0.2">
      <c r="B1359" s="1"/>
      <c r="E1359" s="38" t="str">
        <f>IFERROR(AVERAGEIFS('Picarro Output'!G:G, 'Picarro Output'!$B:$B, 'Uncalibrated Data'!$C1359, 'Picarro Output'!$I:$I, 0, 'Picarro Output'!$J:$J, 1), "")</f>
        <v/>
      </c>
    </row>
    <row r="1360" spans="2:5" x14ac:dyDescent="0.2">
      <c r="B1360" s="1"/>
      <c r="E1360" s="38" t="str">
        <f>IFERROR(AVERAGEIFS('Picarro Output'!G:G, 'Picarro Output'!$B:$B, 'Uncalibrated Data'!$C1360, 'Picarro Output'!$I:$I, 0, 'Picarro Output'!$J:$J, 1), "")</f>
        <v/>
      </c>
    </row>
    <row r="1361" spans="2:5" x14ac:dyDescent="0.2">
      <c r="B1361" s="1"/>
      <c r="E1361" s="38" t="str">
        <f>IFERROR(AVERAGEIFS('Picarro Output'!G:G, 'Picarro Output'!$B:$B, 'Uncalibrated Data'!$C1361, 'Picarro Output'!$I:$I, 0, 'Picarro Output'!$J:$J, 1), "")</f>
        <v/>
      </c>
    </row>
    <row r="1362" spans="2:5" x14ac:dyDescent="0.2">
      <c r="B1362" s="1"/>
      <c r="E1362" s="38" t="str">
        <f>IFERROR(AVERAGEIFS('Picarro Output'!G:G, 'Picarro Output'!$B:$B, 'Uncalibrated Data'!$C1362, 'Picarro Output'!$I:$I, 0, 'Picarro Output'!$J:$J, 1), "")</f>
        <v/>
      </c>
    </row>
    <row r="1363" spans="2:5" x14ac:dyDescent="0.2">
      <c r="B1363" s="1"/>
      <c r="E1363" s="38" t="str">
        <f>IFERROR(AVERAGEIFS('Picarro Output'!G:G, 'Picarro Output'!$B:$B, 'Uncalibrated Data'!$C1363, 'Picarro Output'!$I:$I, 0, 'Picarro Output'!$J:$J, 1), "")</f>
        <v/>
      </c>
    </row>
    <row r="1364" spans="2:5" x14ac:dyDescent="0.2">
      <c r="B1364" s="1"/>
      <c r="E1364" s="38" t="str">
        <f>IFERROR(AVERAGEIFS('Picarro Output'!G:G, 'Picarro Output'!$B:$B, 'Uncalibrated Data'!$C1364, 'Picarro Output'!$I:$I, 0, 'Picarro Output'!$J:$J, 1), "")</f>
        <v/>
      </c>
    </row>
    <row r="1365" spans="2:5" x14ac:dyDescent="0.2">
      <c r="B1365" s="1"/>
      <c r="E1365" s="38" t="str">
        <f>IFERROR(AVERAGEIFS('Picarro Output'!G:G, 'Picarro Output'!$B:$B, 'Uncalibrated Data'!$C1365, 'Picarro Output'!$I:$I, 0, 'Picarro Output'!$J:$J, 1), "")</f>
        <v/>
      </c>
    </row>
    <row r="1366" spans="2:5" x14ac:dyDescent="0.2">
      <c r="B1366" s="1"/>
      <c r="E1366" s="38" t="str">
        <f>IFERROR(AVERAGEIFS('Picarro Output'!G:G, 'Picarro Output'!$B:$B, 'Uncalibrated Data'!$C1366, 'Picarro Output'!$I:$I, 0, 'Picarro Output'!$J:$J, 1), "")</f>
        <v/>
      </c>
    </row>
    <row r="1367" spans="2:5" x14ac:dyDescent="0.2">
      <c r="B1367" s="1"/>
      <c r="E1367" s="38" t="str">
        <f>IFERROR(AVERAGEIFS('Picarro Output'!G:G, 'Picarro Output'!$B:$B, 'Uncalibrated Data'!$C1367, 'Picarro Output'!$I:$I, 0, 'Picarro Output'!$J:$J, 1), "")</f>
        <v/>
      </c>
    </row>
    <row r="1368" spans="2:5" x14ac:dyDescent="0.2">
      <c r="B1368" s="1"/>
      <c r="E1368" s="38" t="str">
        <f>IFERROR(AVERAGEIFS('Picarro Output'!G:G, 'Picarro Output'!$B:$B, 'Uncalibrated Data'!$C1368, 'Picarro Output'!$I:$I, 0, 'Picarro Output'!$J:$J, 1), "")</f>
        <v/>
      </c>
    </row>
    <row r="1369" spans="2:5" x14ac:dyDescent="0.2">
      <c r="B1369" s="1"/>
      <c r="E1369" s="38" t="str">
        <f>IFERROR(AVERAGEIFS('Picarro Output'!G:G, 'Picarro Output'!$B:$B, 'Uncalibrated Data'!$C1369, 'Picarro Output'!$I:$I, 0, 'Picarro Output'!$J:$J, 1), "")</f>
        <v/>
      </c>
    </row>
    <row r="1370" spans="2:5" x14ac:dyDescent="0.2">
      <c r="B1370" s="1"/>
      <c r="E1370" s="38" t="str">
        <f>IFERROR(AVERAGEIFS('Picarro Output'!G:G, 'Picarro Output'!$B:$B, 'Uncalibrated Data'!$C1370, 'Picarro Output'!$I:$I, 0, 'Picarro Output'!$J:$J, 1), "")</f>
        <v/>
      </c>
    </row>
    <row r="1371" spans="2:5" x14ac:dyDescent="0.2">
      <c r="B1371" s="1"/>
      <c r="E1371" s="38" t="str">
        <f>IFERROR(AVERAGEIFS('Picarro Output'!G:G, 'Picarro Output'!$B:$B, 'Uncalibrated Data'!$C1371, 'Picarro Output'!$I:$I, 0, 'Picarro Output'!$J:$J, 1), "")</f>
        <v/>
      </c>
    </row>
    <row r="1372" spans="2:5" x14ac:dyDescent="0.2">
      <c r="B1372" s="1"/>
      <c r="E1372" s="38" t="str">
        <f>IFERROR(AVERAGEIFS('Picarro Output'!G:G, 'Picarro Output'!$B:$B, 'Uncalibrated Data'!$C1372, 'Picarro Output'!$I:$I, 0, 'Picarro Output'!$J:$J, 1), "")</f>
        <v/>
      </c>
    </row>
    <row r="1373" spans="2:5" x14ac:dyDescent="0.2">
      <c r="B1373" s="1"/>
      <c r="E1373" s="38" t="str">
        <f>IFERROR(AVERAGEIFS('Picarro Output'!G:G, 'Picarro Output'!$B:$B, 'Uncalibrated Data'!$C1373, 'Picarro Output'!$I:$I, 0, 'Picarro Output'!$J:$J, 1), "")</f>
        <v/>
      </c>
    </row>
    <row r="1374" spans="2:5" x14ac:dyDescent="0.2">
      <c r="B1374" s="1"/>
      <c r="E1374" s="38" t="str">
        <f>IFERROR(AVERAGEIFS('Picarro Output'!G:G, 'Picarro Output'!$B:$B, 'Uncalibrated Data'!$C1374, 'Picarro Output'!$I:$I, 0, 'Picarro Output'!$J:$J, 1), "")</f>
        <v/>
      </c>
    </row>
    <row r="1375" spans="2:5" x14ac:dyDescent="0.2">
      <c r="B1375" s="1"/>
      <c r="E1375" s="38" t="str">
        <f>IFERROR(AVERAGEIFS('Picarro Output'!G:G, 'Picarro Output'!$B:$B, 'Uncalibrated Data'!$C1375, 'Picarro Output'!$I:$I, 0, 'Picarro Output'!$J:$J, 1), "")</f>
        <v/>
      </c>
    </row>
    <row r="1376" spans="2:5" x14ac:dyDescent="0.2">
      <c r="B1376" s="1"/>
      <c r="E1376" s="38" t="str">
        <f>IFERROR(AVERAGEIFS('Picarro Output'!G:G, 'Picarro Output'!$B:$B, 'Uncalibrated Data'!$C1376, 'Picarro Output'!$I:$I, 0, 'Picarro Output'!$J:$J, 1), "")</f>
        <v/>
      </c>
    </row>
    <row r="1377" spans="2:5" x14ac:dyDescent="0.2">
      <c r="B1377" s="1"/>
      <c r="E1377" s="38" t="str">
        <f>IFERROR(AVERAGEIFS('Picarro Output'!G:G, 'Picarro Output'!$B:$B, 'Uncalibrated Data'!$C1377, 'Picarro Output'!$I:$I, 0, 'Picarro Output'!$J:$J, 1), "")</f>
        <v/>
      </c>
    </row>
    <row r="1378" spans="2:5" x14ac:dyDescent="0.2">
      <c r="B1378" s="1"/>
      <c r="E1378" s="38" t="str">
        <f>IFERROR(AVERAGEIFS('Picarro Output'!G:G, 'Picarro Output'!$B:$B, 'Uncalibrated Data'!$C1378, 'Picarro Output'!$I:$I, 0, 'Picarro Output'!$J:$J, 1), "")</f>
        <v/>
      </c>
    </row>
    <row r="1379" spans="2:5" x14ac:dyDescent="0.2">
      <c r="B1379" s="1"/>
      <c r="E1379" s="38" t="str">
        <f>IFERROR(AVERAGEIFS('Picarro Output'!G:G, 'Picarro Output'!$B:$B, 'Uncalibrated Data'!$C1379, 'Picarro Output'!$I:$I, 0, 'Picarro Output'!$J:$J, 1), "")</f>
        <v/>
      </c>
    </row>
    <row r="1380" spans="2:5" x14ac:dyDescent="0.2">
      <c r="B1380" s="1"/>
      <c r="E1380" s="38" t="str">
        <f>IFERROR(AVERAGEIFS('Picarro Output'!G:G, 'Picarro Output'!$B:$B, 'Uncalibrated Data'!$C1380, 'Picarro Output'!$I:$I, 0, 'Picarro Output'!$J:$J, 1), "")</f>
        <v/>
      </c>
    </row>
    <row r="1381" spans="2:5" x14ac:dyDescent="0.2">
      <c r="B1381" s="1"/>
      <c r="E1381" s="38" t="str">
        <f>IFERROR(AVERAGEIFS('Picarro Output'!G:G, 'Picarro Output'!$B:$B, 'Uncalibrated Data'!$C1381, 'Picarro Output'!$I:$I, 0, 'Picarro Output'!$J:$J, 1), "")</f>
        <v/>
      </c>
    </row>
    <row r="1382" spans="2:5" x14ac:dyDescent="0.2">
      <c r="B1382" s="1"/>
      <c r="E1382" s="38" t="str">
        <f>IFERROR(AVERAGEIFS('Picarro Output'!G:G, 'Picarro Output'!$B:$B, 'Uncalibrated Data'!$C1382, 'Picarro Output'!$I:$I, 0, 'Picarro Output'!$J:$J, 1), "")</f>
        <v/>
      </c>
    </row>
    <row r="1383" spans="2:5" x14ac:dyDescent="0.2">
      <c r="B1383" s="1"/>
      <c r="E1383" s="38" t="str">
        <f>IFERROR(AVERAGEIFS('Picarro Output'!G:G, 'Picarro Output'!$B:$B, 'Uncalibrated Data'!$C1383, 'Picarro Output'!$I:$I, 0, 'Picarro Output'!$J:$J, 1), "")</f>
        <v/>
      </c>
    </row>
    <row r="1384" spans="2:5" x14ac:dyDescent="0.2">
      <c r="B1384" s="1"/>
      <c r="E1384" s="38" t="str">
        <f>IFERROR(AVERAGEIFS('Picarro Output'!G:G, 'Picarro Output'!$B:$B, 'Uncalibrated Data'!$C1384, 'Picarro Output'!$I:$I, 0, 'Picarro Output'!$J:$J, 1), "")</f>
        <v/>
      </c>
    </row>
    <row r="1385" spans="2:5" x14ac:dyDescent="0.2">
      <c r="B1385" s="1"/>
      <c r="E1385" s="38" t="str">
        <f>IFERROR(AVERAGEIFS('Picarro Output'!G:G, 'Picarro Output'!$B:$B, 'Uncalibrated Data'!$C1385, 'Picarro Output'!$I:$I, 0, 'Picarro Output'!$J:$J, 1), "")</f>
        <v/>
      </c>
    </row>
    <row r="1386" spans="2:5" x14ac:dyDescent="0.2">
      <c r="B1386" s="1"/>
      <c r="E1386" s="38" t="str">
        <f>IFERROR(AVERAGEIFS('Picarro Output'!G:G, 'Picarro Output'!$B:$B, 'Uncalibrated Data'!$C1386, 'Picarro Output'!$I:$I, 0, 'Picarro Output'!$J:$J, 1), "")</f>
        <v/>
      </c>
    </row>
    <row r="1387" spans="2:5" x14ac:dyDescent="0.2">
      <c r="B1387" s="1"/>
      <c r="E1387" s="38" t="str">
        <f>IFERROR(AVERAGEIFS('Picarro Output'!G:G, 'Picarro Output'!$B:$B, 'Uncalibrated Data'!$C1387, 'Picarro Output'!$I:$I, 0, 'Picarro Output'!$J:$J, 1), "")</f>
        <v/>
      </c>
    </row>
    <row r="1388" spans="2:5" x14ac:dyDescent="0.2">
      <c r="B1388" s="1"/>
      <c r="E1388" s="38" t="str">
        <f>IFERROR(AVERAGEIFS('Picarro Output'!G:G, 'Picarro Output'!$B:$B, 'Uncalibrated Data'!$C1388, 'Picarro Output'!$I:$I, 0, 'Picarro Output'!$J:$J, 1), "")</f>
        <v/>
      </c>
    </row>
    <row r="1389" spans="2:5" x14ac:dyDescent="0.2">
      <c r="B1389" s="1"/>
      <c r="E1389" s="38" t="str">
        <f>IFERROR(AVERAGEIFS('Picarro Output'!G:G, 'Picarro Output'!$B:$B, 'Uncalibrated Data'!$C1389, 'Picarro Output'!$I:$I, 0, 'Picarro Output'!$J:$J, 1), "")</f>
        <v/>
      </c>
    </row>
    <row r="1390" spans="2:5" x14ac:dyDescent="0.2">
      <c r="B1390" s="1"/>
      <c r="E1390" s="38" t="str">
        <f>IFERROR(AVERAGEIFS('Picarro Output'!G:G, 'Picarro Output'!$B:$B, 'Uncalibrated Data'!$C1390, 'Picarro Output'!$I:$I, 0, 'Picarro Output'!$J:$J, 1), "")</f>
        <v/>
      </c>
    </row>
    <row r="1391" spans="2:5" x14ac:dyDescent="0.2">
      <c r="B1391" s="1"/>
      <c r="E1391" s="38" t="str">
        <f>IFERROR(AVERAGEIFS('Picarro Output'!G:G, 'Picarro Output'!$B:$B, 'Uncalibrated Data'!$C1391, 'Picarro Output'!$I:$I, 0, 'Picarro Output'!$J:$J, 1), "")</f>
        <v/>
      </c>
    </row>
    <row r="1392" spans="2:5" x14ac:dyDescent="0.2">
      <c r="B1392" s="1"/>
      <c r="E1392" s="38" t="str">
        <f>IFERROR(AVERAGEIFS('Picarro Output'!G:G, 'Picarro Output'!$B:$B, 'Uncalibrated Data'!$C1392, 'Picarro Output'!$I:$I, 0, 'Picarro Output'!$J:$J, 1), "")</f>
        <v/>
      </c>
    </row>
    <row r="1393" spans="2:5" x14ac:dyDescent="0.2">
      <c r="B1393" s="1"/>
      <c r="E1393" s="38" t="str">
        <f>IFERROR(AVERAGEIFS('Picarro Output'!G:G, 'Picarro Output'!$B:$B, 'Uncalibrated Data'!$C1393, 'Picarro Output'!$I:$I, 0, 'Picarro Output'!$J:$J, 1), "")</f>
        <v/>
      </c>
    </row>
    <row r="1394" spans="2:5" x14ac:dyDescent="0.2">
      <c r="B1394" s="1"/>
      <c r="E1394" s="38" t="str">
        <f>IFERROR(AVERAGEIFS('Picarro Output'!G:G, 'Picarro Output'!$B:$B, 'Uncalibrated Data'!$C1394, 'Picarro Output'!$I:$I, 0, 'Picarro Output'!$J:$J, 1), "")</f>
        <v/>
      </c>
    </row>
    <row r="1395" spans="2:5" x14ac:dyDescent="0.2">
      <c r="B1395" s="1"/>
      <c r="E1395" s="38" t="str">
        <f>IFERROR(AVERAGEIFS('Picarro Output'!G:G, 'Picarro Output'!$B:$B, 'Uncalibrated Data'!$C1395, 'Picarro Output'!$I:$I, 0, 'Picarro Output'!$J:$J, 1), "")</f>
        <v/>
      </c>
    </row>
    <row r="1396" spans="2:5" x14ac:dyDescent="0.2">
      <c r="B1396" s="1"/>
      <c r="E1396" s="38" t="str">
        <f>IFERROR(AVERAGEIFS('Picarro Output'!G:G, 'Picarro Output'!$B:$B, 'Uncalibrated Data'!$C1396, 'Picarro Output'!$I:$I, 0, 'Picarro Output'!$J:$J, 1), "")</f>
        <v/>
      </c>
    </row>
    <row r="1397" spans="2:5" x14ac:dyDescent="0.2">
      <c r="B1397" s="1"/>
      <c r="E1397" s="38" t="str">
        <f>IFERROR(AVERAGEIFS('Picarro Output'!G:G, 'Picarro Output'!$B:$B, 'Uncalibrated Data'!$C1397, 'Picarro Output'!$I:$I, 0, 'Picarro Output'!$J:$J, 1), "")</f>
        <v/>
      </c>
    </row>
    <row r="1398" spans="2:5" x14ac:dyDescent="0.2">
      <c r="B1398" s="1"/>
      <c r="E1398" s="38" t="str">
        <f>IFERROR(AVERAGEIFS('Picarro Output'!G:G, 'Picarro Output'!$B:$B, 'Uncalibrated Data'!$C1398, 'Picarro Output'!$I:$I, 0, 'Picarro Output'!$J:$J, 1), "")</f>
        <v/>
      </c>
    </row>
    <row r="1399" spans="2:5" x14ac:dyDescent="0.2">
      <c r="B1399" s="1"/>
      <c r="E1399" s="38" t="str">
        <f>IFERROR(AVERAGEIFS('Picarro Output'!G:G, 'Picarro Output'!$B:$B, 'Uncalibrated Data'!$C1399, 'Picarro Output'!$I:$I, 0, 'Picarro Output'!$J:$J, 1), "")</f>
        <v/>
      </c>
    </row>
    <row r="1400" spans="2:5" x14ac:dyDescent="0.2">
      <c r="B1400" s="1"/>
      <c r="E1400" s="38" t="str">
        <f>IFERROR(AVERAGEIFS('Picarro Output'!G:G, 'Picarro Output'!$B:$B, 'Uncalibrated Data'!$C1400, 'Picarro Output'!$I:$I, 0, 'Picarro Output'!$J:$J, 1), "")</f>
        <v/>
      </c>
    </row>
    <row r="1401" spans="2:5" x14ac:dyDescent="0.2">
      <c r="B1401" s="1"/>
      <c r="E1401" s="38" t="str">
        <f>IFERROR(AVERAGEIFS('Picarro Output'!G:G, 'Picarro Output'!$B:$B, 'Uncalibrated Data'!$C1401, 'Picarro Output'!$I:$I, 0, 'Picarro Output'!$J:$J, 1), "")</f>
        <v/>
      </c>
    </row>
    <row r="1402" spans="2:5" x14ac:dyDescent="0.2">
      <c r="B1402" s="1"/>
      <c r="E1402" s="38" t="str">
        <f>IFERROR(AVERAGEIFS('Picarro Output'!G:G, 'Picarro Output'!$B:$B, 'Uncalibrated Data'!$C1402, 'Picarro Output'!$I:$I, 0, 'Picarro Output'!$J:$J, 1), "")</f>
        <v/>
      </c>
    </row>
    <row r="1403" spans="2:5" x14ac:dyDescent="0.2">
      <c r="B1403" s="1"/>
      <c r="E1403" s="38" t="str">
        <f>IFERROR(AVERAGEIFS('Picarro Output'!G:G, 'Picarro Output'!$B:$B, 'Uncalibrated Data'!$C1403, 'Picarro Output'!$I:$I, 0, 'Picarro Output'!$J:$J, 1), "")</f>
        <v/>
      </c>
    </row>
    <row r="1404" spans="2:5" x14ac:dyDescent="0.2">
      <c r="B1404" s="1"/>
      <c r="E1404" s="38" t="str">
        <f>IFERROR(AVERAGEIFS('Picarro Output'!G:G, 'Picarro Output'!$B:$B, 'Uncalibrated Data'!$C1404, 'Picarro Output'!$I:$I, 0, 'Picarro Output'!$J:$J, 1), "")</f>
        <v/>
      </c>
    </row>
    <row r="1405" spans="2:5" x14ac:dyDescent="0.2">
      <c r="B1405" s="1"/>
      <c r="E1405" s="38" t="str">
        <f>IFERROR(AVERAGEIFS('Picarro Output'!G:G, 'Picarro Output'!$B:$B, 'Uncalibrated Data'!$C1405, 'Picarro Output'!$I:$I, 0, 'Picarro Output'!$J:$J, 1), "")</f>
        <v/>
      </c>
    </row>
    <row r="1406" spans="2:5" x14ac:dyDescent="0.2">
      <c r="B1406" s="1"/>
      <c r="E1406" s="38" t="str">
        <f>IFERROR(AVERAGEIFS('Picarro Output'!G:G, 'Picarro Output'!$B:$B, 'Uncalibrated Data'!$C1406, 'Picarro Output'!$I:$I, 0, 'Picarro Output'!$J:$J, 1), "")</f>
        <v/>
      </c>
    </row>
    <row r="1407" spans="2:5" x14ac:dyDescent="0.2">
      <c r="B1407" s="1"/>
      <c r="E1407" s="38" t="str">
        <f>IFERROR(AVERAGEIFS('Picarro Output'!G:G, 'Picarro Output'!$B:$B, 'Uncalibrated Data'!$C1407, 'Picarro Output'!$I:$I, 0, 'Picarro Output'!$J:$J, 1), "")</f>
        <v/>
      </c>
    </row>
    <row r="1408" spans="2:5" x14ac:dyDescent="0.2">
      <c r="B1408" s="1"/>
      <c r="E1408" s="38" t="str">
        <f>IFERROR(AVERAGEIFS('Picarro Output'!G:G, 'Picarro Output'!$B:$B, 'Uncalibrated Data'!$C1408, 'Picarro Output'!$I:$I, 0, 'Picarro Output'!$J:$J, 1), "")</f>
        <v/>
      </c>
    </row>
    <row r="1409" spans="2:5" x14ac:dyDescent="0.2">
      <c r="B1409" s="1"/>
      <c r="E1409" s="38" t="str">
        <f>IFERROR(AVERAGEIFS('Picarro Output'!G:G, 'Picarro Output'!$B:$B, 'Uncalibrated Data'!$C1409, 'Picarro Output'!$I:$I, 0, 'Picarro Output'!$J:$J, 1), "")</f>
        <v/>
      </c>
    </row>
    <row r="1410" spans="2:5" x14ac:dyDescent="0.2">
      <c r="B1410" s="1"/>
      <c r="E1410" s="38" t="str">
        <f>IFERROR(AVERAGEIFS('Picarro Output'!G:G, 'Picarro Output'!$B:$B, 'Uncalibrated Data'!$C1410, 'Picarro Output'!$I:$I, 0, 'Picarro Output'!$J:$J, 1), "")</f>
        <v/>
      </c>
    </row>
    <row r="1411" spans="2:5" x14ac:dyDescent="0.2">
      <c r="B1411" s="1"/>
      <c r="E1411" s="38" t="str">
        <f>IFERROR(AVERAGEIFS('Picarro Output'!G:G, 'Picarro Output'!$B:$B, 'Uncalibrated Data'!$C1411, 'Picarro Output'!$I:$I, 0, 'Picarro Output'!$J:$J, 1), "")</f>
        <v/>
      </c>
    </row>
    <row r="1412" spans="2:5" x14ac:dyDescent="0.2">
      <c r="B1412" s="1"/>
      <c r="E1412" s="38" t="str">
        <f>IFERROR(AVERAGEIFS('Picarro Output'!G:G, 'Picarro Output'!$B:$B, 'Uncalibrated Data'!$C1412, 'Picarro Output'!$I:$I, 0, 'Picarro Output'!$J:$J, 1), "")</f>
        <v/>
      </c>
    </row>
    <row r="1413" spans="2:5" x14ac:dyDescent="0.2">
      <c r="B1413" s="1"/>
      <c r="E1413" s="38" t="str">
        <f>IFERROR(AVERAGEIFS('Picarro Output'!G:G, 'Picarro Output'!$B:$B, 'Uncalibrated Data'!$C1413, 'Picarro Output'!$I:$I, 0, 'Picarro Output'!$J:$J, 1), "")</f>
        <v/>
      </c>
    </row>
    <row r="1414" spans="2:5" x14ac:dyDescent="0.2">
      <c r="B1414" s="1"/>
      <c r="E1414" s="38" t="str">
        <f>IFERROR(AVERAGEIFS('Picarro Output'!G:G, 'Picarro Output'!$B:$B, 'Uncalibrated Data'!$C1414, 'Picarro Output'!$I:$I, 0, 'Picarro Output'!$J:$J, 1), "")</f>
        <v/>
      </c>
    </row>
    <row r="1415" spans="2:5" x14ac:dyDescent="0.2">
      <c r="B1415" s="1"/>
      <c r="E1415" s="38" t="str">
        <f>IFERROR(AVERAGEIFS('Picarro Output'!G:G, 'Picarro Output'!$B:$B, 'Uncalibrated Data'!$C1415, 'Picarro Output'!$I:$I, 0, 'Picarro Output'!$J:$J, 1), "")</f>
        <v/>
      </c>
    </row>
    <row r="1416" spans="2:5" x14ac:dyDescent="0.2">
      <c r="B1416" s="1"/>
      <c r="E1416" s="38" t="str">
        <f>IFERROR(AVERAGEIFS('Picarro Output'!G:G, 'Picarro Output'!$B:$B, 'Uncalibrated Data'!$C1416, 'Picarro Output'!$I:$I, 0, 'Picarro Output'!$J:$J, 1), "")</f>
        <v/>
      </c>
    </row>
    <row r="1417" spans="2:5" x14ac:dyDescent="0.2">
      <c r="B1417" s="1"/>
      <c r="E1417" s="38" t="str">
        <f>IFERROR(AVERAGEIFS('Picarro Output'!G:G, 'Picarro Output'!$B:$B, 'Uncalibrated Data'!$C1417, 'Picarro Output'!$I:$I, 0, 'Picarro Output'!$J:$J, 1), "")</f>
        <v/>
      </c>
    </row>
    <row r="1418" spans="2:5" x14ac:dyDescent="0.2">
      <c r="B1418" s="1"/>
      <c r="E1418" s="38" t="str">
        <f>IFERROR(AVERAGEIFS('Picarro Output'!G:G, 'Picarro Output'!$B:$B, 'Uncalibrated Data'!$C1418, 'Picarro Output'!$I:$I, 0, 'Picarro Output'!$J:$J, 1), "")</f>
        <v/>
      </c>
    </row>
    <row r="1419" spans="2:5" x14ac:dyDescent="0.2">
      <c r="B1419" s="1"/>
      <c r="E1419" s="38" t="str">
        <f>IFERROR(AVERAGEIFS('Picarro Output'!G:G, 'Picarro Output'!$B:$B, 'Uncalibrated Data'!$C1419, 'Picarro Output'!$I:$I, 0, 'Picarro Output'!$J:$J, 1), "")</f>
        <v/>
      </c>
    </row>
    <row r="1420" spans="2:5" x14ac:dyDescent="0.2">
      <c r="B1420" s="1"/>
      <c r="E1420" s="38" t="str">
        <f>IFERROR(AVERAGEIFS('Picarro Output'!G:G, 'Picarro Output'!$B:$B, 'Uncalibrated Data'!$C1420, 'Picarro Output'!$I:$I, 0, 'Picarro Output'!$J:$J, 1), "")</f>
        <v/>
      </c>
    </row>
    <row r="1421" spans="2:5" x14ac:dyDescent="0.2">
      <c r="B1421" s="1"/>
      <c r="E1421" s="38" t="str">
        <f>IFERROR(AVERAGEIFS('Picarro Output'!G:G, 'Picarro Output'!$B:$B, 'Uncalibrated Data'!$C1421, 'Picarro Output'!$I:$I, 0, 'Picarro Output'!$J:$J, 1), "")</f>
        <v/>
      </c>
    </row>
    <row r="1422" spans="2:5" x14ac:dyDescent="0.2">
      <c r="B1422" s="1"/>
      <c r="E1422" s="38" t="str">
        <f>IFERROR(AVERAGEIFS('Picarro Output'!G:G, 'Picarro Output'!$B:$B, 'Uncalibrated Data'!$C1422, 'Picarro Output'!$I:$I, 0, 'Picarro Output'!$J:$J, 1), "")</f>
        <v/>
      </c>
    </row>
    <row r="1423" spans="2:5" x14ac:dyDescent="0.2">
      <c r="B1423" s="1"/>
      <c r="E1423" s="38" t="str">
        <f>IFERROR(AVERAGEIFS('Picarro Output'!G:G, 'Picarro Output'!$B:$B, 'Uncalibrated Data'!$C1423, 'Picarro Output'!$I:$I, 0, 'Picarro Output'!$J:$J, 1), "")</f>
        <v/>
      </c>
    </row>
    <row r="1424" spans="2:5" x14ac:dyDescent="0.2">
      <c r="B1424" s="1"/>
      <c r="E1424" s="38" t="str">
        <f>IFERROR(AVERAGEIFS('Picarro Output'!G:G, 'Picarro Output'!$B:$B, 'Uncalibrated Data'!$C1424, 'Picarro Output'!$I:$I, 0, 'Picarro Output'!$J:$J, 1), "")</f>
        <v/>
      </c>
    </row>
    <row r="1425" spans="2:5" x14ac:dyDescent="0.2">
      <c r="B1425" s="1"/>
      <c r="E1425" s="38" t="str">
        <f>IFERROR(AVERAGEIFS('Picarro Output'!G:G, 'Picarro Output'!$B:$B, 'Uncalibrated Data'!$C1425, 'Picarro Output'!$I:$I, 0, 'Picarro Output'!$J:$J, 1), "")</f>
        <v/>
      </c>
    </row>
    <row r="1426" spans="2:5" x14ac:dyDescent="0.2">
      <c r="B1426" s="1"/>
      <c r="E1426" s="38" t="str">
        <f>IFERROR(AVERAGEIFS('Picarro Output'!G:G, 'Picarro Output'!$B:$B, 'Uncalibrated Data'!$C1426, 'Picarro Output'!$I:$I, 0, 'Picarro Output'!$J:$J, 1), "")</f>
        <v/>
      </c>
    </row>
    <row r="1427" spans="2:5" x14ac:dyDescent="0.2">
      <c r="B1427" s="1"/>
      <c r="E1427" s="38" t="str">
        <f>IFERROR(AVERAGEIFS('Picarro Output'!G:G, 'Picarro Output'!$B:$B, 'Uncalibrated Data'!$C1427, 'Picarro Output'!$I:$I, 0, 'Picarro Output'!$J:$J, 1), "")</f>
        <v/>
      </c>
    </row>
    <row r="1428" spans="2:5" x14ac:dyDescent="0.2">
      <c r="B1428" s="1"/>
      <c r="E1428" s="38" t="str">
        <f>IFERROR(AVERAGEIFS('Picarro Output'!G:G, 'Picarro Output'!$B:$B, 'Uncalibrated Data'!$C1428, 'Picarro Output'!$I:$I, 0, 'Picarro Output'!$J:$J, 1), "")</f>
        <v/>
      </c>
    </row>
    <row r="1429" spans="2:5" x14ac:dyDescent="0.2">
      <c r="B1429" s="1"/>
      <c r="E1429" s="38" t="str">
        <f>IFERROR(AVERAGEIFS('Picarro Output'!G:G, 'Picarro Output'!$B:$B, 'Uncalibrated Data'!$C1429, 'Picarro Output'!$I:$I, 0, 'Picarro Output'!$J:$J, 1), "")</f>
        <v/>
      </c>
    </row>
    <row r="1430" spans="2:5" x14ac:dyDescent="0.2">
      <c r="B1430" s="1"/>
      <c r="E1430" s="38" t="str">
        <f>IFERROR(AVERAGEIFS('Picarro Output'!G:G, 'Picarro Output'!$B:$B, 'Uncalibrated Data'!$C1430, 'Picarro Output'!$I:$I, 0, 'Picarro Output'!$J:$J, 1), "")</f>
        <v/>
      </c>
    </row>
    <row r="1431" spans="2:5" x14ac:dyDescent="0.2">
      <c r="B1431" s="1"/>
      <c r="E1431" s="38" t="str">
        <f>IFERROR(AVERAGEIFS('Picarro Output'!G:G, 'Picarro Output'!$B:$B, 'Uncalibrated Data'!$C1431, 'Picarro Output'!$I:$I, 0, 'Picarro Output'!$J:$J, 1), "")</f>
        <v/>
      </c>
    </row>
    <row r="1432" spans="2:5" x14ac:dyDescent="0.2">
      <c r="B1432" s="1"/>
      <c r="E1432" s="38" t="str">
        <f>IFERROR(AVERAGEIFS('Picarro Output'!G:G, 'Picarro Output'!$B:$B, 'Uncalibrated Data'!$C1432, 'Picarro Output'!$I:$I, 0, 'Picarro Output'!$J:$J, 1), "")</f>
        <v/>
      </c>
    </row>
    <row r="1433" spans="2:5" x14ac:dyDescent="0.2">
      <c r="B1433" s="1"/>
      <c r="E1433" s="38" t="str">
        <f>IFERROR(AVERAGEIFS('Picarro Output'!G:G, 'Picarro Output'!$B:$B, 'Uncalibrated Data'!$C1433, 'Picarro Output'!$I:$I, 0, 'Picarro Output'!$J:$J, 1), "")</f>
        <v/>
      </c>
    </row>
    <row r="1434" spans="2:5" x14ac:dyDescent="0.2">
      <c r="B1434" s="1"/>
      <c r="E1434" s="38" t="str">
        <f>IFERROR(AVERAGEIFS('Picarro Output'!G:G, 'Picarro Output'!$B:$B, 'Uncalibrated Data'!$C1434, 'Picarro Output'!$I:$I, 0, 'Picarro Output'!$J:$J, 1), "")</f>
        <v/>
      </c>
    </row>
    <row r="1435" spans="2:5" x14ac:dyDescent="0.2">
      <c r="B1435" s="1"/>
      <c r="E1435" s="38" t="str">
        <f>IFERROR(AVERAGEIFS('Picarro Output'!G:G, 'Picarro Output'!$B:$B, 'Uncalibrated Data'!$C1435, 'Picarro Output'!$I:$I, 0, 'Picarro Output'!$J:$J, 1), "")</f>
        <v/>
      </c>
    </row>
    <row r="1436" spans="2:5" x14ac:dyDescent="0.2">
      <c r="B1436" s="1"/>
      <c r="E1436" s="38" t="str">
        <f>IFERROR(AVERAGEIFS('Picarro Output'!G:G, 'Picarro Output'!$B:$B, 'Uncalibrated Data'!$C1436, 'Picarro Output'!$I:$I, 0, 'Picarro Output'!$J:$J, 1), "")</f>
        <v/>
      </c>
    </row>
    <row r="1437" spans="2:5" x14ac:dyDescent="0.2">
      <c r="B1437" s="1"/>
      <c r="E1437" s="38" t="str">
        <f>IFERROR(AVERAGEIFS('Picarro Output'!G:G, 'Picarro Output'!$B:$B, 'Uncalibrated Data'!$C1437, 'Picarro Output'!$I:$I, 0, 'Picarro Output'!$J:$J, 1), "")</f>
        <v/>
      </c>
    </row>
    <row r="1438" spans="2:5" x14ac:dyDescent="0.2">
      <c r="B1438" s="1"/>
      <c r="E1438" s="38" t="str">
        <f>IFERROR(AVERAGEIFS('Picarro Output'!G:G, 'Picarro Output'!$B:$B, 'Uncalibrated Data'!$C1438, 'Picarro Output'!$I:$I, 0, 'Picarro Output'!$J:$J, 1), "")</f>
        <v/>
      </c>
    </row>
    <row r="1439" spans="2:5" x14ac:dyDescent="0.2">
      <c r="B1439" s="1"/>
      <c r="E1439" s="38" t="str">
        <f>IFERROR(AVERAGEIFS('Picarro Output'!G:G, 'Picarro Output'!$B:$B, 'Uncalibrated Data'!$C1439, 'Picarro Output'!$I:$I, 0, 'Picarro Output'!$J:$J, 1), "")</f>
        <v/>
      </c>
    </row>
    <row r="1440" spans="2:5" x14ac:dyDescent="0.2">
      <c r="B1440" s="1"/>
      <c r="E1440" s="38" t="str">
        <f>IFERROR(AVERAGEIFS('Picarro Output'!G:G, 'Picarro Output'!$B:$B, 'Uncalibrated Data'!$C1440, 'Picarro Output'!$I:$I, 0, 'Picarro Output'!$J:$J, 1), "")</f>
        <v/>
      </c>
    </row>
    <row r="1441" spans="2:5" x14ac:dyDescent="0.2">
      <c r="B1441" s="1"/>
      <c r="E1441" s="38" t="str">
        <f>IFERROR(AVERAGEIFS('Picarro Output'!G:G, 'Picarro Output'!$B:$B, 'Uncalibrated Data'!$C1441, 'Picarro Output'!$I:$I, 0, 'Picarro Output'!$J:$J, 1), "")</f>
        <v/>
      </c>
    </row>
    <row r="1442" spans="2:5" x14ac:dyDescent="0.2">
      <c r="B1442" s="1"/>
      <c r="E1442" s="38" t="str">
        <f>IFERROR(AVERAGEIFS('Picarro Output'!G:G, 'Picarro Output'!$B:$B, 'Uncalibrated Data'!$C1442, 'Picarro Output'!$I:$I, 0, 'Picarro Output'!$J:$J, 1), "")</f>
        <v/>
      </c>
    </row>
    <row r="1443" spans="2:5" x14ac:dyDescent="0.2">
      <c r="B1443" s="1"/>
      <c r="E1443" s="38" t="str">
        <f>IFERROR(AVERAGEIFS('Picarro Output'!G:G, 'Picarro Output'!$B:$B, 'Uncalibrated Data'!$C1443, 'Picarro Output'!$I:$I, 0, 'Picarro Output'!$J:$J, 1), "")</f>
        <v/>
      </c>
    </row>
    <row r="1444" spans="2:5" x14ac:dyDescent="0.2">
      <c r="B1444" s="1"/>
      <c r="E1444" s="38" t="str">
        <f>IFERROR(AVERAGEIFS('Picarro Output'!G:G, 'Picarro Output'!$B:$B, 'Uncalibrated Data'!$C1444, 'Picarro Output'!$I:$I, 0, 'Picarro Output'!$J:$J, 1), "")</f>
        <v/>
      </c>
    </row>
    <row r="1445" spans="2:5" x14ac:dyDescent="0.2">
      <c r="B1445" s="1"/>
      <c r="E1445" s="38" t="str">
        <f>IFERROR(AVERAGEIFS('Picarro Output'!G:G, 'Picarro Output'!$B:$B, 'Uncalibrated Data'!$C1445, 'Picarro Output'!$I:$I, 0, 'Picarro Output'!$J:$J, 1), "")</f>
        <v/>
      </c>
    </row>
    <row r="1446" spans="2:5" x14ac:dyDescent="0.2">
      <c r="B1446" s="1"/>
      <c r="E1446" s="38" t="str">
        <f>IFERROR(AVERAGEIFS('Picarro Output'!G:G, 'Picarro Output'!$B:$B, 'Uncalibrated Data'!$C1446, 'Picarro Output'!$I:$I, 0, 'Picarro Output'!$J:$J, 1), "")</f>
        <v/>
      </c>
    </row>
    <row r="1447" spans="2:5" x14ac:dyDescent="0.2">
      <c r="B1447" s="1"/>
      <c r="E1447" s="38" t="str">
        <f>IFERROR(AVERAGEIFS('Picarro Output'!G:G, 'Picarro Output'!$B:$B, 'Uncalibrated Data'!$C1447, 'Picarro Output'!$I:$I, 0, 'Picarro Output'!$J:$J, 1), "")</f>
        <v/>
      </c>
    </row>
    <row r="1448" spans="2:5" x14ac:dyDescent="0.2">
      <c r="B1448" s="1"/>
      <c r="E1448" s="38" t="str">
        <f>IFERROR(AVERAGEIFS('Picarro Output'!G:G, 'Picarro Output'!$B:$B, 'Uncalibrated Data'!$C1448, 'Picarro Output'!$I:$I, 0, 'Picarro Output'!$J:$J, 1), "")</f>
        <v/>
      </c>
    </row>
    <row r="1449" spans="2:5" x14ac:dyDescent="0.2">
      <c r="B1449" s="1"/>
      <c r="E1449" s="38" t="str">
        <f>IFERROR(AVERAGEIFS('Picarro Output'!G:G, 'Picarro Output'!$B:$B, 'Uncalibrated Data'!$C1449, 'Picarro Output'!$I:$I, 0, 'Picarro Output'!$J:$J, 1), "")</f>
        <v/>
      </c>
    </row>
    <row r="1450" spans="2:5" x14ac:dyDescent="0.2">
      <c r="B1450" s="1"/>
      <c r="E1450" s="38" t="str">
        <f>IFERROR(AVERAGEIFS('Picarro Output'!G:G, 'Picarro Output'!$B:$B, 'Uncalibrated Data'!$C1450, 'Picarro Output'!$I:$I, 0, 'Picarro Output'!$J:$J, 1), "")</f>
        <v/>
      </c>
    </row>
    <row r="1451" spans="2:5" x14ac:dyDescent="0.2">
      <c r="B1451" s="1"/>
      <c r="E1451" s="38" t="str">
        <f>IFERROR(AVERAGEIFS('Picarro Output'!G:G, 'Picarro Output'!$B:$B, 'Uncalibrated Data'!$C1451, 'Picarro Output'!$I:$I, 0, 'Picarro Output'!$J:$J, 1), "")</f>
        <v/>
      </c>
    </row>
    <row r="1452" spans="2:5" x14ac:dyDescent="0.2">
      <c r="B1452" s="1"/>
      <c r="E1452" s="38" t="str">
        <f>IFERROR(AVERAGEIFS('Picarro Output'!G:G, 'Picarro Output'!$B:$B, 'Uncalibrated Data'!$C1452, 'Picarro Output'!$I:$I, 0, 'Picarro Output'!$J:$J, 1), "")</f>
        <v/>
      </c>
    </row>
    <row r="1453" spans="2:5" x14ac:dyDescent="0.2">
      <c r="B1453" s="1"/>
      <c r="E1453" s="38" t="str">
        <f>IFERROR(AVERAGEIFS('Picarro Output'!G:G, 'Picarro Output'!$B:$B, 'Uncalibrated Data'!$C1453, 'Picarro Output'!$I:$I, 0, 'Picarro Output'!$J:$J, 1), "")</f>
        <v/>
      </c>
    </row>
    <row r="1454" spans="2:5" x14ac:dyDescent="0.2">
      <c r="B1454" s="1"/>
      <c r="E1454" s="38" t="str">
        <f>IFERROR(AVERAGEIFS('Picarro Output'!G:G, 'Picarro Output'!$B:$B, 'Uncalibrated Data'!$C1454, 'Picarro Output'!$I:$I, 0, 'Picarro Output'!$J:$J, 1), "")</f>
        <v/>
      </c>
    </row>
    <row r="1455" spans="2:5" x14ac:dyDescent="0.2">
      <c r="B1455" s="1"/>
      <c r="E1455" s="38" t="str">
        <f>IFERROR(AVERAGEIFS('Picarro Output'!G:G, 'Picarro Output'!$B:$B, 'Uncalibrated Data'!$C1455, 'Picarro Output'!$I:$I, 0, 'Picarro Output'!$J:$J, 1), "")</f>
        <v/>
      </c>
    </row>
    <row r="1456" spans="2:5" x14ac:dyDescent="0.2">
      <c r="B1456" s="1"/>
      <c r="E1456" s="38" t="str">
        <f>IFERROR(AVERAGEIFS('Picarro Output'!G:G, 'Picarro Output'!$B:$B, 'Uncalibrated Data'!$C1456, 'Picarro Output'!$I:$I, 0, 'Picarro Output'!$J:$J, 1), "")</f>
        <v/>
      </c>
    </row>
    <row r="1457" spans="2:5" x14ac:dyDescent="0.2">
      <c r="B1457" s="1"/>
      <c r="E1457" s="38" t="str">
        <f>IFERROR(AVERAGEIFS('Picarro Output'!G:G, 'Picarro Output'!$B:$B, 'Uncalibrated Data'!$C1457, 'Picarro Output'!$I:$I, 0, 'Picarro Output'!$J:$J, 1), "")</f>
        <v/>
      </c>
    </row>
    <row r="1458" spans="2:5" x14ac:dyDescent="0.2">
      <c r="B1458" s="1"/>
      <c r="E1458" s="38" t="str">
        <f>IFERROR(AVERAGEIFS('Picarro Output'!G:G, 'Picarro Output'!$B:$B, 'Uncalibrated Data'!$C1458, 'Picarro Output'!$I:$I, 0, 'Picarro Output'!$J:$J, 1), "")</f>
        <v/>
      </c>
    </row>
    <row r="1459" spans="2:5" x14ac:dyDescent="0.2">
      <c r="B1459" s="1"/>
      <c r="E1459" s="38" t="str">
        <f>IFERROR(AVERAGEIFS('Picarro Output'!G:G, 'Picarro Output'!$B:$B, 'Uncalibrated Data'!$C1459, 'Picarro Output'!$I:$I, 0, 'Picarro Output'!$J:$J, 1), "")</f>
        <v/>
      </c>
    </row>
    <row r="1460" spans="2:5" x14ac:dyDescent="0.2">
      <c r="B1460" s="1"/>
      <c r="E1460" s="38" t="str">
        <f>IFERROR(AVERAGEIFS('Picarro Output'!G:G, 'Picarro Output'!$B:$B, 'Uncalibrated Data'!$C1460, 'Picarro Output'!$I:$I, 0, 'Picarro Output'!$J:$J, 1), "")</f>
        <v/>
      </c>
    </row>
    <row r="1461" spans="2:5" x14ac:dyDescent="0.2">
      <c r="B1461" s="1"/>
      <c r="E1461" s="38" t="str">
        <f>IFERROR(AVERAGEIFS('Picarro Output'!G:G, 'Picarro Output'!$B:$B, 'Uncalibrated Data'!$C1461, 'Picarro Output'!$I:$I, 0, 'Picarro Output'!$J:$J, 1), "")</f>
        <v/>
      </c>
    </row>
    <row r="1462" spans="2:5" x14ac:dyDescent="0.2">
      <c r="B1462" s="1"/>
      <c r="E1462" s="38" t="str">
        <f>IFERROR(AVERAGEIFS('Picarro Output'!G:G, 'Picarro Output'!$B:$B, 'Uncalibrated Data'!$C1462, 'Picarro Output'!$I:$I, 0, 'Picarro Output'!$J:$J, 1), "")</f>
        <v/>
      </c>
    </row>
    <row r="1463" spans="2:5" x14ac:dyDescent="0.2">
      <c r="B1463" s="1"/>
      <c r="E1463" s="38" t="str">
        <f>IFERROR(AVERAGEIFS('Picarro Output'!G:G, 'Picarro Output'!$B:$B, 'Uncalibrated Data'!$C1463, 'Picarro Output'!$I:$I, 0, 'Picarro Output'!$J:$J, 1), "")</f>
        <v/>
      </c>
    </row>
    <row r="1464" spans="2:5" x14ac:dyDescent="0.2">
      <c r="B1464" s="1"/>
      <c r="E1464" s="38" t="str">
        <f>IFERROR(AVERAGEIFS('Picarro Output'!G:G, 'Picarro Output'!$B:$B, 'Uncalibrated Data'!$C1464, 'Picarro Output'!$I:$I, 0, 'Picarro Output'!$J:$J, 1), "")</f>
        <v/>
      </c>
    </row>
    <row r="1465" spans="2:5" x14ac:dyDescent="0.2">
      <c r="B1465" s="1"/>
      <c r="E1465" s="38" t="str">
        <f>IFERROR(AVERAGEIFS('Picarro Output'!G:G, 'Picarro Output'!$B:$B, 'Uncalibrated Data'!$C1465, 'Picarro Output'!$I:$I, 0, 'Picarro Output'!$J:$J, 1), "")</f>
        <v/>
      </c>
    </row>
    <row r="1466" spans="2:5" x14ac:dyDescent="0.2">
      <c r="B1466" s="1"/>
      <c r="E1466" s="38" t="str">
        <f>IFERROR(AVERAGEIFS('Picarro Output'!G:G, 'Picarro Output'!$B:$B, 'Uncalibrated Data'!$C1466, 'Picarro Output'!$I:$I, 0, 'Picarro Output'!$J:$J, 1), "")</f>
        <v/>
      </c>
    </row>
    <row r="1467" spans="2:5" x14ac:dyDescent="0.2">
      <c r="B1467" s="1"/>
      <c r="E1467" s="38" t="str">
        <f>IFERROR(AVERAGEIFS('Picarro Output'!G:G, 'Picarro Output'!$B:$B, 'Uncalibrated Data'!$C1467, 'Picarro Output'!$I:$I, 0, 'Picarro Output'!$J:$J, 1), "")</f>
        <v/>
      </c>
    </row>
    <row r="1468" spans="2:5" x14ac:dyDescent="0.2">
      <c r="B1468" s="1"/>
      <c r="E1468" s="38" t="str">
        <f>IFERROR(AVERAGEIFS('Picarro Output'!G:G, 'Picarro Output'!$B:$B, 'Uncalibrated Data'!$C1468, 'Picarro Output'!$I:$I, 0, 'Picarro Output'!$J:$J, 1), "")</f>
        <v/>
      </c>
    </row>
    <row r="1469" spans="2:5" x14ac:dyDescent="0.2">
      <c r="B1469" s="1"/>
      <c r="E1469" s="38" t="str">
        <f>IFERROR(AVERAGEIFS('Picarro Output'!G:G, 'Picarro Output'!$B:$B, 'Uncalibrated Data'!$C1469, 'Picarro Output'!$I:$I, 0, 'Picarro Output'!$J:$J, 1), "")</f>
        <v/>
      </c>
    </row>
    <row r="1470" spans="2:5" x14ac:dyDescent="0.2">
      <c r="B1470" s="1"/>
      <c r="E1470" s="38" t="str">
        <f>IFERROR(AVERAGEIFS('Picarro Output'!G:G, 'Picarro Output'!$B:$B, 'Uncalibrated Data'!$C1470, 'Picarro Output'!$I:$I, 0, 'Picarro Output'!$J:$J, 1), "")</f>
        <v/>
      </c>
    </row>
    <row r="1471" spans="2:5" x14ac:dyDescent="0.2">
      <c r="B1471" s="1"/>
      <c r="E1471" s="38" t="str">
        <f>IFERROR(AVERAGEIFS('Picarro Output'!G:G, 'Picarro Output'!$B:$B, 'Uncalibrated Data'!$C1471, 'Picarro Output'!$I:$I, 0, 'Picarro Output'!$J:$J, 1), "")</f>
        <v/>
      </c>
    </row>
    <row r="1472" spans="2:5" x14ac:dyDescent="0.2">
      <c r="B1472" s="1"/>
      <c r="E1472" s="38" t="str">
        <f>IFERROR(AVERAGEIFS('Picarro Output'!G:G, 'Picarro Output'!$B:$B, 'Uncalibrated Data'!$C1472, 'Picarro Output'!$I:$I, 0, 'Picarro Output'!$J:$J, 1), "")</f>
        <v/>
      </c>
    </row>
    <row r="1473" spans="2:5" x14ac:dyDescent="0.2">
      <c r="B1473" s="1"/>
      <c r="E1473" s="38" t="str">
        <f>IFERROR(AVERAGEIFS('Picarro Output'!G:G, 'Picarro Output'!$B:$B, 'Uncalibrated Data'!$C1473, 'Picarro Output'!$I:$I, 0, 'Picarro Output'!$J:$J, 1), "")</f>
        <v/>
      </c>
    </row>
    <row r="1474" spans="2:5" x14ac:dyDescent="0.2">
      <c r="B1474" s="1"/>
      <c r="E1474" s="38" t="str">
        <f>IFERROR(AVERAGEIFS('Picarro Output'!G:G, 'Picarro Output'!$B:$B, 'Uncalibrated Data'!$C1474, 'Picarro Output'!$I:$I, 0, 'Picarro Output'!$J:$J, 1), "")</f>
        <v/>
      </c>
    </row>
    <row r="1475" spans="2:5" x14ac:dyDescent="0.2">
      <c r="B1475" s="1"/>
      <c r="E1475" s="38" t="str">
        <f>IFERROR(AVERAGEIFS('Picarro Output'!G:G, 'Picarro Output'!$B:$B, 'Uncalibrated Data'!$C1475, 'Picarro Output'!$I:$I, 0, 'Picarro Output'!$J:$J, 1), "")</f>
        <v/>
      </c>
    </row>
    <row r="1476" spans="2:5" x14ac:dyDescent="0.2">
      <c r="B1476" s="1"/>
      <c r="E1476" s="38" t="str">
        <f>IFERROR(AVERAGEIFS('Picarro Output'!G:G, 'Picarro Output'!$B:$B, 'Uncalibrated Data'!$C1476, 'Picarro Output'!$I:$I, 0, 'Picarro Output'!$J:$J, 1), "")</f>
        <v/>
      </c>
    </row>
    <row r="1477" spans="2:5" x14ac:dyDescent="0.2">
      <c r="B1477" s="1"/>
      <c r="E1477" s="38" t="str">
        <f>IFERROR(AVERAGEIFS('Picarro Output'!G:G, 'Picarro Output'!$B:$B, 'Uncalibrated Data'!$C1477, 'Picarro Output'!$I:$I, 0, 'Picarro Output'!$J:$J, 1), "")</f>
        <v/>
      </c>
    </row>
    <row r="1478" spans="2:5" x14ac:dyDescent="0.2">
      <c r="B1478" s="1"/>
      <c r="E1478" s="38" t="str">
        <f>IFERROR(AVERAGEIFS('Picarro Output'!G:G, 'Picarro Output'!$B:$B, 'Uncalibrated Data'!$C1478, 'Picarro Output'!$I:$I, 0, 'Picarro Output'!$J:$J, 1), "")</f>
        <v/>
      </c>
    </row>
    <row r="1479" spans="2:5" x14ac:dyDescent="0.2">
      <c r="B1479" s="1"/>
      <c r="E1479" s="38" t="str">
        <f>IFERROR(AVERAGEIFS('Picarro Output'!G:G, 'Picarro Output'!$B:$B, 'Uncalibrated Data'!$C1479, 'Picarro Output'!$I:$I, 0, 'Picarro Output'!$J:$J, 1), "")</f>
        <v/>
      </c>
    </row>
    <row r="1480" spans="2:5" x14ac:dyDescent="0.2">
      <c r="B1480" s="1"/>
      <c r="E1480" s="38" t="str">
        <f>IFERROR(AVERAGEIFS('Picarro Output'!G:G, 'Picarro Output'!$B:$B, 'Uncalibrated Data'!$C1480, 'Picarro Output'!$I:$I, 0, 'Picarro Output'!$J:$J, 1), "")</f>
        <v/>
      </c>
    </row>
    <row r="1481" spans="2:5" x14ac:dyDescent="0.2">
      <c r="B1481" s="1"/>
      <c r="E1481" s="38" t="str">
        <f>IFERROR(AVERAGEIFS('Picarro Output'!G:G, 'Picarro Output'!$B:$B, 'Uncalibrated Data'!$C1481, 'Picarro Output'!$I:$I, 0, 'Picarro Output'!$J:$J, 1), "")</f>
        <v/>
      </c>
    </row>
    <row r="1482" spans="2:5" x14ac:dyDescent="0.2">
      <c r="B1482" s="1"/>
      <c r="E1482" s="38" t="str">
        <f>IFERROR(AVERAGEIFS('Picarro Output'!G:G, 'Picarro Output'!$B:$B, 'Uncalibrated Data'!$C1482, 'Picarro Output'!$I:$I, 0, 'Picarro Output'!$J:$J, 1), "")</f>
        <v/>
      </c>
    </row>
    <row r="1483" spans="2:5" x14ac:dyDescent="0.2">
      <c r="B1483" s="1"/>
      <c r="E1483" s="38" t="str">
        <f>IFERROR(AVERAGEIFS('Picarro Output'!G:G, 'Picarro Output'!$B:$B, 'Uncalibrated Data'!$C1483, 'Picarro Output'!$I:$I, 0, 'Picarro Output'!$J:$J, 1), "")</f>
        <v/>
      </c>
    </row>
    <row r="1484" spans="2:5" x14ac:dyDescent="0.2">
      <c r="B1484" s="1"/>
      <c r="E1484" s="38" t="str">
        <f>IFERROR(AVERAGEIFS('Picarro Output'!G:G, 'Picarro Output'!$B:$B, 'Uncalibrated Data'!$C1484, 'Picarro Output'!$I:$I, 0, 'Picarro Output'!$J:$J, 1), "")</f>
        <v/>
      </c>
    </row>
    <row r="1485" spans="2:5" x14ac:dyDescent="0.2">
      <c r="B1485" s="1"/>
      <c r="E1485" s="38" t="str">
        <f>IFERROR(AVERAGEIFS('Picarro Output'!G:G, 'Picarro Output'!$B:$B, 'Uncalibrated Data'!$C1485, 'Picarro Output'!$I:$I, 0, 'Picarro Output'!$J:$J, 1), "")</f>
        <v/>
      </c>
    </row>
    <row r="1486" spans="2:5" x14ac:dyDescent="0.2">
      <c r="B1486" s="1"/>
      <c r="E1486" s="38" t="str">
        <f>IFERROR(AVERAGEIFS('Picarro Output'!G:G, 'Picarro Output'!$B:$B, 'Uncalibrated Data'!$C1486, 'Picarro Output'!$I:$I, 0, 'Picarro Output'!$J:$J, 1), "")</f>
        <v/>
      </c>
    </row>
    <row r="1487" spans="2:5" x14ac:dyDescent="0.2">
      <c r="B1487" s="1"/>
      <c r="E1487" s="38" t="str">
        <f>IFERROR(AVERAGEIFS('Picarro Output'!G:G, 'Picarro Output'!$B:$B, 'Uncalibrated Data'!$C1487, 'Picarro Output'!$I:$I, 0, 'Picarro Output'!$J:$J, 1), "")</f>
        <v/>
      </c>
    </row>
    <row r="1488" spans="2:5" x14ac:dyDescent="0.2">
      <c r="B1488" s="1"/>
      <c r="E1488" s="38" t="str">
        <f>IFERROR(AVERAGEIFS('Picarro Output'!G:G, 'Picarro Output'!$B:$B, 'Uncalibrated Data'!$C1488, 'Picarro Output'!$I:$I, 0, 'Picarro Output'!$J:$J, 1), "")</f>
        <v/>
      </c>
    </row>
    <row r="1489" spans="2:5" x14ac:dyDescent="0.2">
      <c r="B1489" s="1"/>
      <c r="E1489" s="38" t="str">
        <f>IFERROR(AVERAGEIFS('Picarro Output'!G:G, 'Picarro Output'!$B:$B, 'Uncalibrated Data'!$C1489, 'Picarro Output'!$I:$I, 0, 'Picarro Output'!$J:$J, 1), "")</f>
        <v/>
      </c>
    </row>
    <row r="1490" spans="2:5" x14ac:dyDescent="0.2">
      <c r="B1490" s="1"/>
      <c r="E1490" s="38" t="str">
        <f>IFERROR(AVERAGEIFS('Picarro Output'!G:G, 'Picarro Output'!$B:$B, 'Uncalibrated Data'!$C1490, 'Picarro Output'!$I:$I, 0, 'Picarro Output'!$J:$J, 1), "")</f>
        <v/>
      </c>
    </row>
    <row r="1491" spans="2:5" x14ac:dyDescent="0.2">
      <c r="B1491" s="1"/>
      <c r="E1491" s="38" t="str">
        <f>IFERROR(AVERAGEIFS('Picarro Output'!G:G, 'Picarro Output'!$B:$B, 'Uncalibrated Data'!$C1491, 'Picarro Output'!$I:$I, 0, 'Picarro Output'!$J:$J, 1), "")</f>
        <v/>
      </c>
    </row>
    <row r="1492" spans="2:5" x14ac:dyDescent="0.2">
      <c r="B1492" s="1"/>
      <c r="E1492" s="38" t="str">
        <f>IFERROR(AVERAGEIFS('Picarro Output'!G:G, 'Picarro Output'!$B:$B, 'Uncalibrated Data'!$C1492, 'Picarro Output'!$I:$I, 0, 'Picarro Output'!$J:$J, 1), "")</f>
        <v/>
      </c>
    </row>
    <row r="1493" spans="2:5" x14ac:dyDescent="0.2">
      <c r="B1493" s="1"/>
      <c r="E1493" s="38" t="str">
        <f>IFERROR(AVERAGEIFS('Picarro Output'!G:G, 'Picarro Output'!$B:$B, 'Uncalibrated Data'!$C1493, 'Picarro Output'!$I:$I, 0, 'Picarro Output'!$J:$J, 1), "")</f>
        <v/>
      </c>
    </row>
    <row r="1494" spans="2:5" x14ac:dyDescent="0.2">
      <c r="B1494" s="1"/>
      <c r="E1494" s="38" t="str">
        <f>IFERROR(AVERAGEIFS('Picarro Output'!G:G, 'Picarro Output'!$B:$B, 'Uncalibrated Data'!$C1494, 'Picarro Output'!$I:$I, 0, 'Picarro Output'!$J:$J, 1), "")</f>
        <v/>
      </c>
    </row>
    <row r="1495" spans="2:5" x14ac:dyDescent="0.2">
      <c r="B1495" s="1"/>
      <c r="E1495" s="38" t="str">
        <f>IFERROR(AVERAGEIFS('Picarro Output'!G:G, 'Picarro Output'!$B:$B, 'Uncalibrated Data'!$C1495, 'Picarro Output'!$I:$I, 0, 'Picarro Output'!$J:$J, 1), "")</f>
        <v/>
      </c>
    </row>
    <row r="1496" spans="2:5" x14ac:dyDescent="0.2">
      <c r="B1496" s="1"/>
      <c r="E1496" s="38" t="str">
        <f>IFERROR(AVERAGEIFS('Picarro Output'!G:G, 'Picarro Output'!$B:$B, 'Uncalibrated Data'!$C1496, 'Picarro Output'!$I:$I, 0, 'Picarro Output'!$J:$J, 1), "")</f>
        <v/>
      </c>
    </row>
    <row r="1497" spans="2:5" x14ac:dyDescent="0.2">
      <c r="B1497" s="1"/>
      <c r="E1497" s="38" t="str">
        <f>IFERROR(AVERAGEIFS('Picarro Output'!G:G, 'Picarro Output'!$B:$B, 'Uncalibrated Data'!$C1497, 'Picarro Output'!$I:$I, 0, 'Picarro Output'!$J:$J, 1), "")</f>
        <v/>
      </c>
    </row>
    <row r="1498" spans="2:5" x14ac:dyDescent="0.2">
      <c r="B1498" s="1"/>
      <c r="E1498" s="38" t="str">
        <f>IFERROR(AVERAGEIFS('Picarro Output'!G:G, 'Picarro Output'!$B:$B, 'Uncalibrated Data'!$C1498, 'Picarro Output'!$I:$I, 0, 'Picarro Output'!$J:$J, 1), "")</f>
        <v/>
      </c>
    </row>
    <row r="1499" spans="2:5" x14ac:dyDescent="0.2">
      <c r="B1499" s="1"/>
      <c r="E1499" s="38" t="str">
        <f>IFERROR(AVERAGEIFS('Picarro Output'!G:G, 'Picarro Output'!$B:$B, 'Uncalibrated Data'!$C1499, 'Picarro Output'!$I:$I, 0, 'Picarro Output'!$J:$J, 1), "")</f>
        <v/>
      </c>
    </row>
    <row r="1500" spans="2:5" x14ac:dyDescent="0.2">
      <c r="B1500" s="1"/>
      <c r="E1500" s="38" t="str">
        <f>IFERROR(AVERAGEIFS('Picarro Output'!G:G, 'Picarro Output'!$B:$B, 'Uncalibrated Data'!$C1500, 'Picarro Output'!$I:$I, 0, 'Picarro Output'!$J:$J, 1), "")</f>
        <v/>
      </c>
    </row>
    <row r="1501" spans="2:5" x14ac:dyDescent="0.2">
      <c r="B1501" s="1"/>
      <c r="E1501" s="38" t="str">
        <f>IFERROR(AVERAGEIFS('Picarro Output'!G:G, 'Picarro Output'!$B:$B, 'Uncalibrated Data'!$C1501, 'Picarro Output'!$I:$I, 0, 'Picarro Output'!$J:$J, 1), "")</f>
        <v/>
      </c>
    </row>
    <row r="1502" spans="2:5" x14ac:dyDescent="0.2">
      <c r="B1502" s="1"/>
      <c r="E1502" s="38" t="str">
        <f>IFERROR(AVERAGEIFS('Picarro Output'!G:G, 'Picarro Output'!$B:$B, 'Uncalibrated Data'!$C1502, 'Picarro Output'!$I:$I, 0, 'Picarro Output'!$J:$J, 1), "")</f>
        <v/>
      </c>
    </row>
    <row r="1503" spans="2:5" x14ac:dyDescent="0.2">
      <c r="B1503" s="1"/>
      <c r="E1503" s="38" t="str">
        <f>IFERROR(AVERAGEIFS('Picarro Output'!G:G, 'Picarro Output'!$B:$B, 'Uncalibrated Data'!$C1503, 'Picarro Output'!$I:$I, 0, 'Picarro Output'!$J:$J, 1), "")</f>
        <v/>
      </c>
    </row>
    <row r="1504" spans="2:5" x14ac:dyDescent="0.2">
      <c r="B1504" s="1"/>
      <c r="E1504" s="38" t="str">
        <f>IFERROR(AVERAGEIFS('Picarro Output'!G:G, 'Picarro Output'!$B:$B, 'Uncalibrated Data'!$C1504, 'Picarro Output'!$I:$I, 0, 'Picarro Output'!$J:$J, 1), "")</f>
        <v/>
      </c>
    </row>
    <row r="1505" spans="2:5" x14ac:dyDescent="0.2">
      <c r="B1505" s="1"/>
      <c r="E1505" s="38" t="str">
        <f>IFERROR(AVERAGEIFS('Picarro Output'!G:G, 'Picarro Output'!$B:$B, 'Uncalibrated Data'!$C1505, 'Picarro Output'!$I:$I, 0, 'Picarro Output'!$J:$J, 1), "")</f>
        <v/>
      </c>
    </row>
    <row r="1506" spans="2:5" x14ac:dyDescent="0.2">
      <c r="B1506" s="1"/>
      <c r="E1506" s="38" t="str">
        <f>IFERROR(AVERAGEIFS('Picarro Output'!G:G, 'Picarro Output'!$B:$B, 'Uncalibrated Data'!$C1506, 'Picarro Output'!$I:$I, 0, 'Picarro Output'!$J:$J, 1), "")</f>
        <v/>
      </c>
    </row>
    <row r="1507" spans="2:5" x14ac:dyDescent="0.2">
      <c r="B1507" s="1"/>
      <c r="E1507" s="38" t="str">
        <f>IFERROR(AVERAGEIFS('Picarro Output'!G:G, 'Picarro Output'!$B:$B, 'Uncalibrated Data'!$C1507, 'Picarro Output'!$I:$I, 0, 'Picarro Output'!$J:$J, 1), "")</f>
        <v/>
      </c>
    </row>
    <row r="1508" spans="2:5" x14ac:dyDescent="0.2">
      <c r="B1508" s="1"/>
      <c r="E1508" s="38" t="str">
        <f>IFERROR(AVERAGEIFS('Picarro Output'!G:G, 'Picarro Output'!$B:$B, 'Uncalibrated Data'!$C1508, 'Picarro Output'!$I:$I, 0, 'Picarro Output'!$J:$J, 1), "")</f>
        <v/>
      </c>
    </row>
    <row r="1509" spans="2:5" x14ac:dyDescent="0.2">
      <c r="B1509" s="1"/>
      <c r="E1509" s="38" t="str">
        <f>IFERROR(AVERAGEIFS('Picarro Output'!G:G, 'Picarro Output'!$B:$B, 'Uncalibrated Data'!$C1509, 'Picarro Output'!$I:$I, 0, 'Picarro Output'!$J:$J, 1), "")</f>
        <v/>
      </c>
    </row>
    <row r="1510" spans="2:5" x14ac:dyDescent="0.2">
      <c r="B1510" s="1"/>
      <c r="E1510" s="38" t="str">
        <f>IFERROR(AVERAGEIFS('Picarro Output'!G:G, 'Picarro Output'!$B:$B, 'Uncalibrated Data'!$C1510, 'Picarro Output'!$I:$I, 0, 'Picarro Output'!$J:$J, 1), "")</f>
        <v/>
      </c>
    </row>
    <row r="1511" spans="2:5" x14ac:dyDescent="0.2">
      <c r="B1511" s="1"/>
      <c r="E1511" s="38" t="str">
        <f>IFERROR(AVERAGEIFS('Picarro Output'!G:G, 'Picarro Output'!$B:$B, 'Uncalibrated Data'!$C1511, 'Picarro Output'!$I:$I, 0, 'Picarro Output'!$J:$J, 1), "")</f>
        <v/>
      </c>
    </row>
    <row r="1512" spans="2:5" x14ac:dyDescent="0.2">
      <c r="B1512" s="1"/>
      <c r="E1512" s="38" t="str">
        <f>IFERROR(AVERAGEIFS('Picarro Output'!G:G, 'Picarro Output'!$B:$B, 'Uncalibrated Data'!$C1512, 'Picarro Output'!$I:$I, 0, 'Picarro Output'!$J:$J, 1), "")</f>
        <v/>
      </c>
    </row>
    <row r="1513" spans="2:5" x14ac:dyDescent="0.2">
      <c r="B1513" s="1"/>
      <c r="E1513" s="38" t="str">
        <f>IFERROR(AVERAGEIFS('Picarro Output'!G:G, 'Picarro Output'!$B:$B, 'Uncalibrated Data'!$C1513, 'Picarro Output'!$I:$I, 0, 'Picarro Output'!$J:$J, 1), "")</f>
        <v/>
      </c>
    </row>
    <row r="1514" spans="2:5" x14ac:dyDescent="0.2">
      <c r="B1514" s="1"/>
      <c r="E1514" s="38" t="str">
        <f>IFERROR(AVERAGEIFS('Picarro Output'!G:G, 'Picarro Output'!$B:$B, 'Uncalibrated Data'!$C1514, 'Picarro Output'!$I:$I, 0, 'Picarro Output'!$J:$J, 1), "")</f>
        <v/>
      </c>
    </row>
    <row r="1515" spans="2:5" x14ac:dyDescent="0.2">
      <c r="B1515" s="1"/>
      <c r="E1515" s="38" t="str">
        <f>IFERROR(AVERAGEIFS('Picarro Output'!G:G, 'Picarro Output'!$B:$B, 'Uncalibrated Data'!$C1515, 'Picarro Output'!$I:$I, 0, 'Picarro Output'!$J:$J, 1), "")</f>
        <v/>
      </c>
    </row>
    <row r="1516" spans="2:5" x14ac:dyDescent="0.2">
      <c r="B1516" s="1"/>
      <c r="E1516" s="38" t="str">
        <f>IFERROR(AVERAGEIFS('Picarro Output'!G:G, 'Picarro Output'!$B:$B, 'Uncalibrated Data'!$C1516, 'Picarro Output'!$I:$I, 0, 'Picarro Output'!$J:$J, 1), "")</f>
        <v/>
      </c>
    </row>
    <row r="1517" spans="2:5" x14ac:dyDescent="0.2">
      <c r="B1517" s="1"/>
      <c r="E1517" s="38" t="str">
        <f>IFERROR(AVERAGEIFS('Picarro Output'!G:G, 'Picarro Output'!$B:$B, 'Uncalibrated Data'!$C1517, 'Picarro Output'!$I:$I, 0, 'Picarro Output'!$J:$J, 1), "")</f>
        <v/>
      </c>
    </row>
    <row r="1518" spans="2:5" x14ac:dyDescent="0.2">
      <c r="B1518" s="1"/>
      <c r="E1518" s="38" t="str">
        <f>IFERROR(AVERAGEIFS('Picarro Output'!G:G, 'Picarro Output'!$B:$B, 'Uncalibrated Data'!$C1518, 'Picarro Output'!$I:$I, 0, 'Picarro Output'!$J:$J, 1), "")</f>
        <v/>
      </c>
    </row>
    <row r="1519" spans="2:5" x14ac:dyDescent="0.2">
      <c r="B1519" s="1"/>
      <c r="E1519" s="38" t="str">
        <f>IFERROR(AVERAGEIFS('Picarro Output'!G:G, 'Picarro Output'!$B:$B, 'Uncalibrated Data'!$C1519, 'Picarro Output'!$I:$I, 0, 'Picarro Output'!$J:$J, 1), "")</f>
        <v/>
      </c>
    </row>
    <row r="1520" spans="2:5" x14ac:dyDescent="0.2">
      <c r="B1520" s="1"/>
      <c r="E1520" s="38" t="str">
        <f>IFERROR(AVERAGEIFS('Picarro Output'!G:G, 'Picarro Output'!$B:$B, 'Uncalibrated Data'!$C1520, 'Picarro Output'!$I:$I, 0, 'Picarro Output'!$J:$J, 1), "")</f>
        <v/>
      </c>
    </row>
    <row r="1521" spans="2:5" x14ac:dyDescent="0.2">
      <c r="B1521" s="1"/>
      <c r="E1521" s="38" t="str">
        <f>IFERROR(AVERAGEIFS('Picarro Output'!G:G, 'Picarro Output'!$B:$B, 'Uncalibrated Data'!$C1521, 'Picarro Output'!$I:$I, 0, 'Picarro Output'!$J:$J, 1), "")</f>
        <v/>
      </c>
    </row>
    <row r="1522" spans="2:5" x14ac:dyDescent="0.2">
      <c r="B1522" s="1"/>
      <c r="E1522" s="38" t="str">
        <f>IFERROR(AVERAGEIFS('Picarro Output'!G:G, 'Picarro Output'!$B:$B, 'Uncalibrated Data'!$C1522, 'Picarro Output'!$I:$I, 0, 'Picarro Output'!$J:$J, 1), "")</f>
        <v/>
      </c>
    </row>
    <row r="1523" spans="2:5" x14ac:dyDescent="0.2">
      <c r="B1523" s="1"/>
      <c r="E1523" s="38" t="str">
        <f>IFERROR(AVERAGEIFS('Picarro Output'!G:G, 'Picarro Output'!$B:$B, 'Uncalibrated Data'!$C1523, 'Picarro Output'!$I:$I, 0, 'Picarro Output'!$J:$J, 1), "")</f>
        <v/>
      </c>
    </row>
    <row r="1524" spans="2:5" x14ac:dyDescent="0.2">
      <c r="B1524" s="1"/>
      <c r="E1524" s="38" t="str">
        <f>IFERROR(AVERAGEIFS('Picarro Output'!G:G, 'Picarro Output'!$B:$B, 'Uncalibrated Data'!$C1524, 'Picarro Output'!$I:$I, 0, 'Picarro Output'!$J:$J, 1), "")</f>
        <v/>
      </c>
    </row>
    <row r="1525" spans="2:5" x14ac:dyDescent="0.2">
      <c r="B1525" s="1"/>
      <c r="E1525" s="38" t="str">
        <f>IFERROR(AVERAGEIFS('Picarro Output'!G:G, 'Picarro Output'!$B:$B, 'Uncalibrated Data'!$C1525, 'Picarro Output'!$I:$I, 0, 'Picarro Output'!$J:$J, 1), "")</f>
        <v/>
      </c>
    </row>
    <row r="1526" spans="2:5" x14ac:dyDescent="0.2">
      <c r="B1526" s="1"/>
      <c r="E1526" s="38" t="str">
        <f>IFERROR(AVERAGEIFS('Picarro Output'!G:G, 'Picarro Output'!$B:$B, 'Uncalibrated Data'!$C1526, 'Picarro Output'!$I:$I, 0, 'Picarro Output'!$J:$J, 1), "")</f>
        <v/>
      </c>
    </row>
    <row r="1527" spans="2:5" x14ac:dyDescent="0.2">
      <c r="B1527" s="1"/>
      <c r="E1527" s="38" t="str">
        <f>IFERROR(AVERAGEIFS('Picarro Output'!G:G, 'Picarro Output'!$B:$B, 'Uncalibrated Data'!$C1527, 'Picarro Output'!$I:$I, 0, 'Picarro Output'!$J:$J, 1), "")</f>
        <v/>
      </c>
    </row>
    <row r="1528" spans="2:5" x14ac:dyDescent="0.2">
      <c r="B1528" s="1"/>
      <c r="E1528" s="38" t="str">
        <f>IFERROR(AVERAGEIFS('Picarro Output'!G:G, 'Picarro Output'!$B:$B, 'Uncalibrated Data'!$C1528, 'Picarro Output'!$I:$I, 0, 'Picarro Output'!$J:$J, 1), "")</f>
        <v/>
      </c>
    </row>
    <row r="1529" spans="2:5" x14ac:dyDescent="0.2">
      <c r="B1529" s="1"/>
      <c r="E1529" s="38" t="str">
        <f>IFERROR(AVERAGEIFS('Picarro Output'!G:G, 'Picarro Output'!$B:$B, 'Uncalibrated Data'!$C1529, 'Picarro Output'!$I:$I, 0, 'Picarro Output'!$J:$J, 1), "")</f>
        <v/>
      </c>
    </row>
    <row r="1530" spans="2:5" x14ac:dyDescent="0.2">
      <c r="B1530" s="1"/>
      <c r="E1530" s="38" t="str">
        <f>IFERROR(AVERAGEIFS('Picarro Output'!G:G, 'Picarro Output'!$B:$B, 'Uncalibrated Data'!$C1530, 'Picarro Output'!$I:$I, 0, 'Picarro Output'!$J:$J, 1), "")</f>
        <v/>
      </c>
    </row>
    <row r="1531" spans="2:5" x14ac:dyDescent="0.2">
      <c r="B1531" s="1"/>
      <c r="E1531" s="38" t="str">
        <f>IFERROR(AVERAGEIFS('Picarro Output'!G:G, 'Picarro Output'!$B:$B, 'Uncalibrated Data'!$C1531, 'Picarro Output'!$I:$I, 0, 'Picarro Output'!$J:$J, 1), "")</f>
        <v/>
      </c>
    </row>
    <row r="1532" spans="2:5" x14ac:dyDescent="0.2">
      <c r="B1532" s="1"/>
      <c r="E1532" s="38" t="str">
        <f>IFERROR(AVERAGEIFS('Picarro Output'!G:G, 'Picarro Output'!$B:$B, 'Uncalibrated Data'!$C1532, 'Picarro Output'!$I:$I, 0, 'Picarro Output'!$J:$J, 1), "")</f>
        <v/>
      </c>
    </row>
    <row r="1533" spans="2:5" x14ac:dyDescent="0.2">
      <c r="B1533" s="1"/>
      <c r="E1533" s="38" t="str">
        <f>IFERROR(AVERAGEIFS('Picarro Output'!G:G, 'Picarro Output'!$B:$B, 'Uncalibrated Data'!$C1533, 'Picarro Output'!$I:$I, 0, 'Picarro Output'!$J:$J, 1), "")</f>
        <v/>
      </c>
    </row>
    <row r="1534" spans="2:5" x14ac:dyDescent="0.2">
      <c r="B1534" s="1"/>
      <c r="E1534" s="38" t="str">
        <f>IFERROR(AVERAGEIFS('Picarro Output'!G:G, 'Picarro Output'!$B:$B, 'Uncalibrated Data'!$C1534, 'Picarro Output'!$I:$I, 0, 'Picarro Output'!$J:$J, 1), "")</f>
        <v/>
      </c>
    </row>
    <row r="1535" spans="2:5" x14ac:dyDescent="0.2">
      <c r="B1535" s="1"/>
      <c r="E1535" s="38" t="str">
        <f>IFERROR(AVERAGEIFS('Picarro Output'!G:G, 'Picarro Output'!$B:$B, 'Uncalibrated Data'!$C1535, 'Picarro Output'!$I:$I, 0, 'Picarro Output'!$J:$J, 1), "")</f>
        <v/>
      </c>
    </row>
    <row r="1536" spans="2:5" x14ac:dyDescent="0.2">
      <c r="B1536" s="1"/>
      <c r="E1536" s="38" t="str">
        <f>IFERROR(AVERAGEIFS('Picarro Output'!G:G, 'Picarro Output'!$B:$B, 'Uncalibrated Data'!$C1536, 'Picarro Output'!$I:$I, 0, 'Picarro Output'!$J:$J, 1), "")</f>
        <v/>
      </c>
    </row>
    <row r="1537" spans="2:5" x14ac:dyDescent="0.2">
      <c r="B1537" s="1"/>
      <c r="E1537" s="38" t="str">
        <f>IFERROR(AVERAGEIFS('Picarro Output'!G:G, 'Picarro Output'!$B:$B, 'Uncalibrated Data'!$C1537, 'Picarro Output'!$I:$I, 0, 'Picarro Output'!$J:$J, 1), "")</f>
        <v/>
      </c>
    </row>
    <row r="1538" spans="2:5" x14ac:dyDescent="0.2">
      <c r="B1538" s="1"/>
      <c r="E1538" s="38" t="str">
        <f>IFERROR(AVERAGEIFS('Picarro Output'!G:G, 'Picarro Output'!$B:$B, 'Uncalibrated Data'!$C1538, 'Picarro Output'!$I:$I, 0, 'Picarro Output'!$J:$J, 1), "")</f>
        <v/>
      </c>
    </row>
    <row r="1539" spans="2:5" x14ac:dyDescent="0.2">
      <c r="B1539" s="1"/>
      <c r="E1539" s="38" t="str">
        <f>IFERROR(AVERAGEIFS('Picarro Output'!G:G, 'Picarro Output'!$B:$B, 'Uncalibrated Data'!$C1539, 'Picarro Output'!$I:$I, 0, 'Picarro Output'!$J:$J, 1), "")</f>
        <v/>
      </c>
    </row>
    <row r="1540" spans="2:5" x14ac:dyDescent="0.2">
      <c r="B1540" s="1"/>
      <c r="E1540" s="38" t="str">
        <f>IFERROR(AVERAGEIFS('Picarro Output'!G:G, 'Picarro Output'!$B:$B, 'Uncalibrated Data'!$C1540, 'Picarro Output'!$I:$I, 0, 'Picarro Output'!$J:$J, 1), "")</f>
        <v/>
      </c>
    </row>
    <row r="1541" spans="2:5" x14ac:dyDescent="0.2">
      <c r="B1541" s="1"/>
      <c r="E1541" s="38" t="str">
        <f>IFERROR(AVERAGEIFS('Picarro Output'!G:G, 'Picarro Output'!$B:$B, 'Uncalibrated Data'!$C1541, 'Picarro Output'!$I:$I, 0, 'Picarro Output'!$J:$J, 1), "")</f>
        <v/>
      </c>
    </row>
    <row r="1542" spans="2:5" x14ac:dyDescent="0.2">
      <c r="B1542" s="1"/>
      <c r="E1542" s="38" t="str">
        <f>IFERROR(AVERAGEIFS('Picarro Output'!G:G, 'Picarro Output'!$B:$B, 'Uncalibrated Data'!$C1542, 'Picarro Output'!$I:$I, 0, 'Picarro Output'!$J:$J, 1), "")</f>
        <v/>
      </c>
    </row>
    <row r="1543" spans="2:5" x14ac:dyDescent="0.2">
      <c r="B1543" s="1"/>
      <c r="E1543" s="38" t="str">
        <f>IFERROR(AVERAGEIFS('Picarro Output'!G:G, 'Picarro Output'!$B:$B, 'Uncalibrated Data'!$C1543, 'Picarro Output'!$I:$I, 0, 'Picarro Output'!$J:$J, 1), "")</f>
        <v/>
      </c>
    </row>
    <row r="1544" spans="2:5" x14ac:dyDescent="0.2">
      <c r="B1544" s="1"/>
      <c r="E1544" s="38" t="str">
        <f>IFERROR(AVERAGEIFS('Picarro Output'!G:G, 'Picarro Output'!$B:$B, 'Uncalibrated Data'!$C1544, 'Picarro Output'!$I:$I, 0, 'Picarro Output'!$J:$J, 1), "")</f>
        <v/>
      </c>
    </row>
    <row r="1545" spans="2:5" x14ac:dyDescent="0.2">
      <c r="B1545" s="1"/>
      <c r="E1545" s="38" t="str">
        <f>IFERROR(AVERAGEIFS('Picarro Output'!G:G, 'Picarro Output'!$B:$B, 'Uncalibrated Data'!$C1545, 'Picarro Output'!$I:$I, 0, 'Picarro Output'!$J:$J, 1), "")</f>
        <v/>
      </c>
    </row>
    <row r="1546" spans="2:5" x14ac:dyDescent="0.2">
      <c r="B1546" s="1"/>
      <c r="E1546" s="38" t="str">
        <f>IFERROR(AVERAGEIFS('Picarro Output'!G:G, 'Picarro Output'!$B:$B, 'Uncalibrated Data'!$C1546, 'Picarro Output'!$I:$I, 0, 'Picarro Output'!$J:$J, 1), "")</f>
        <v/>
      </c>
    </row>
    <row r="1547" spans="2:5" x14ac:dyDescent="0.2">
      <c r="B1547" s="1"/>
      <c r="E1547" s="38" t="str">
        <f>IFERROR(AVERAGEIFS('Picarro Output'!G:G, 'Picarro Output'!$B:$B, 'Uncalibrated Data'!$C1547, 'Picarro Output'!$I:$I, 0, 'Picarro Output'!$J:$J, 1), "")</f>
        <v/>
      </c>
    </row>
    <row r="1548" spans="2:5" x14ac:dyDescent="0.2">
      <c r="B1548" s="1"/>
      <c r="E1548" s="38" t="str">
        <f>IFERROR(AVERAGEIFS('Picarro Output'!G:G, 'Picarro Output'!$B:$B, 'Uncalibrated Data'!$C1548, 'Picarro Output'!$I:$I, 0, 'Picarro Output'!$J:$J, 1), "")</f>
        <v/>
      </c>
    </row>
    <row r="1549" spans="2:5" x14ac:dyDescent="0.2">
      <c r="B1549" s="1"/>
      <c r="E1549" s="38" t="str">
        <f>IFERROR(AVERAGEIFS('Picarro Output'!G:G, 'Picarro Output'!$B:$B, 'Uncalibrated Data'!$C1549, 'Picarro Output'!$I:$I, 0, 'Picarro Output'!$J:$J, 1), "")</f>
        <v/>
      </c>
    </row>
    <row r="1550" spans="2:5" x14ac:dyDescent="0.2">
      <c r="B1550" s="1"/>
      <c r="E1550" s="38" t="str">
        <f>IFERROR(AVERAGEIFS('Picarro Output'!G:G, 'Picarro Output'!$B:$B, 'Uncalibrated Data'!$C1550, 'Picarro Output'!$I:$I, 0, 'Picarro Output'!$J:$J, 1), "")</f>
        <v/>
      </c>
    </row>
    <row r="1551" spans="2:5" x14ac:dyDescent="0.2">
      <c r="B1551" s="1"/>
      <c r="E1551" s="38" t="str">
        <f>IFERROR(AVERAGEIFS('Picarro Output'!G:G, 'Picarro Output'!$B:$B, 'Uncalibrated Data'!$C1551, 'Picarro Output'!$I:$I, 0, 'Picarro Output'!$J:$J, 1), "")</f>
        <v/>
      </c>
    </row>
    <row r="1552" spans="2:5" x14ac:dyDescent="0.2">
      <c r="B1552" s="1"/>
      <c r="E1552" s="38" t="str">
        <f>IFERROR(AVERAGEIFS('Picarro Output'!G:G, 'Picarro Output'!$B:$B, 'Uncalibrated Data'!$C1552, 'Picarro Output'!$I:$I, 0, 'Picarro Output'!$J:$J, 1), "")</f>
        <v/>
      </c>
    </row>
    <row r="1553" spans="2:5" x14ac:dyDescent="0.2">
      <c r="B1553" s="1"/>
      <c r="E1553" s="38" t="str">
        <f>IFERROR(AVERAGEIFS('Picarro Output'!G:G, 'Picarro Output'!$B:$B, 'Uncalibrated Data'!$C1553, 'Picarro Output'!$I:$I, 0, 'Picarro Output'!$J:$J, 1), "")</f>
        <v/>
      </c>
    </row>
    <row r="1554" spans="2:5" x14ac:dyDescent="0.2">
      <c r="B1554" s="1"/>
      <c r="E1554" s="38" t="str">
        <f>IFERROR(AVERAGEIFS('Picarro Output'!G:G, 'Picarro Output'!$B:$B, 'Uncalibrated Data'!$C1554, 'Picarro Output'!$I:$I, 0, 'Picarro Output'!$J:$J, 1), "")</f>
        <v/>
      </c>
    </row>
    <row r="1555" spans="2:5" x14ac:dyDescent="0.2">
      <c r="B1555" s="1"/>
      <c r="E1555" s="38" t="str">
        <f>IFERROR(AVERAGEIFS('Picarro Output'!G:G, 'Picarro Output'!$B:$B, 'Uncalibrated Data'!$C1555, 'Picarro Output'!$I:$I, 0, 'Picarro Output'!$J:$J, 1), "")</f>
        <v/>
      </c>
    </row>
    <row r="1556" spans="2:5" x14ac:dyDescent="0.2">
      <c r="B1556" s="1"/>
      <c r="E1556" s="38" t="str">
        <f>IFERROR(AVERAGEIFS('Picarro Output'!G:G, 'Picarro Output'!$B:$B, 'Uncalibrated Data'!$C1556, 'Picarro Output'!$I:$I, 0, 'Picarro Output'!$J:$J, 1), "")</f>
        <v/>
      </c>
    </row>
    <row r="1557" spans="2:5" x14ac:dyDescent="0.2">
      <c r="B1557" s="1"/>
      <c r="E1557" s="38" t="str">
        <f>IFERROR(AVERAGEIFS('Picarro Output'!G:G, 'Picarro Output'!$B:$B, 'Uncalibrated Data'!$C1557, 'Picarro Output'!$I:$I, 0, 'Picarro Output'!$J:$J, 1), "")</f>
        <v/>
      </c>
    </row>
    <row r="1558" spans="2:5" x14ac:dyDescent="0.2">
      <c r="B1558" s="1"/>
      <c r="E1558" s="38" t="str">
        <f>IFERROR(AVERAGEIFS('Picarro Output'!G:G, 'Picarro Output'!$B:$B, 'Uncalibrated Data'!$C1558, 'Picarro Output'!$I:$I, 0, 'Picarro Output'!$J:$J, 1), "")</f>
        <v/>
      </c>
    </row>
    <row r="1559" spans="2:5" x14ac:dyDescent="0.2">
      <c r="B1559" s="1"/>
      <c r="E1559" s="38" t="str">
        <f>IFERROR(AVERAGEIFS('Picarro Output'!G:G, 'Picarro Output'!$B:$B, 'Uncalibrated Data'!$C1559, 'Picarro Output'!$I:$I, 0, 'Picarro Output'!$J:$J, 1), "")</f>
        <v/>
      </c>
    </row>
    <row r="1560" spans="2:5" x14ac:dyDescent="0.2">
      <c r="B1560" s="1"/>
      <c r="E1560" s="38" t="str">
        <f>IFERROR(AVERAGEIFS('Picarro Output'!G:G, 'Picarro Output'!$B:$B, 'Uncalibrated Data'!$C1560, 'Picarro Output'!$I:$I, 0, 'Picarro Output'!$J:$J, 1), "")</f>
        <v/>
      </c>
    </row>
    <row r="1561" spans="2:5" x14ac:dyDescent="0.2">
      <c r="B1561" s="1"/>
      <c r="E1561" s="38" t="str">
        <f>IFERROR(AVERAGEIFS('Picarro Output'!G:G, 'Picarro Output'!$B:$B, 'Uncalibrated Data'!$C1561, 'Picarro Output'!$I:$I, 0, 'Picarro Output'!$J:$J, 1), "")</f>
        <v/>
      </c>
    </row>
    <row r="1562" spans="2:5" x14ac:dyDescent="0.2">
      <c r="B1562" s="1"/>
      <c r="E1562" s="38" t="str">
        <f>IFERROR(AVERAGEIFS('Picarro Output'!G:G, 'Picarro Output'!$B:$B, 'Uncalibrated Data'!$C1562, 'Picarro Output'!$I:$I, 0, 'Picarro Output'!$J:$J, 1), "")</f>
        <v/>
      </c>
    </row>
    <row r="1563" spans="2:5" x14ac:dyDescent="0.2">
      <c r="B1563" s="1"/>
      <c r="E1563" s="38" t="str">
        <f>IFERROR(AVERAGEIFS('Picarro Output'!G:G, 'Picarro Output'!$B:$B, 'Uncalibrated Data'!$C1563, 'Picarro Output'!$I:$I, 0, 'Picarro Output'!$J:$J, 1), "")</f>
        <v/>
      </c>
    </row>
    <row r="1564" spans="2:5" x14ac:dyDescent="0.2">
      <c r="B1564" s="1"/>
      <c r="E1564" s="38" t="str">
        <f>IFERROR(AVERAGEIFS('Picarro Output'!G:G, 'Picarro Output'!$B:$B, 'Uncalibrated Data'!$C1564, 'Picarro Output'!$I:$I, 0, 'Picarro Output'!$J:$J, 1), "")</f>
        <v/>
      </c>
    </row>
    <row r="1565" spans="2:5" x14ac:dyDescent="0.2">
      <c r="B1565" s="1"/>
      <c r="E1565" s="38" t="str">
        <f>IFERROR(AVERAGEIFS('Picarro Output'!G:G, 'Picarro Output'!$B:$B, 'Uncalibrated Data'!$C1565, 'Picarro Output'!$I:$I, 0, 'Picarro Output'!$J:$J, 1), "")</f>
        <v/>
      </c>
    </row>
    <row r="1566" spans="2:5" x14ac:dyDescent="0.2">
      <c r="B1566" s="1"/>
      <c r="E1566" s="38" t="str">
        <f>IFERROR(AVERAGEIFS('Picarro Output'!G:G, 'Picarro Output'!$B:$B, 'Uncalibrated Data'!$C1566, 'Picarro Output'!$I:$I, 0, 'Picarro Output'!$J:$J, 1), "")</f>
        <v/>
      </c>
    </row>
    <row r="1567" spans="2:5" x14ac:dyDescent="0.2">
      <c r="B1567" s="1"/>
      <c r="E1567" s="38" t="str">
        <f>IFERROR(AVERAGEIFS('Picarro Output'!G:G, 'Picarro Output'!$B:$B, 'Uncalibrated Data'!$C1567, 'Picarro Output'!$I:$I, 0, 'Picarro Output'!$J:$J, 1), "")</f>
        <v/>
      </c>
    </row>
    <row r="1568" spans="2:5" x14ac:dyDescent="0.2">
      <c r="B1568" s="1"/>
      <c r="E1568" s="38" t="str">
        <f>IFERROR(AVERAGEIFS('Picarro Output'!G:G, 'Picarro Output'!$B:$B, 'Uncalibrated Data'!$C1568, 'Picarro Output'!$I:$I, 0, 'Picarro Output'!$J:$J, 1), "")</f>
        <v/>
      </c>
    </row>
    <row r="1569" spans="2:5" x14ac:dyDescent="0.2">
      <c r="B1569" s="1"/>
      <c r="E1569" s="38" t="str">
        <f>IFERROR(AVERAGEIFS('Picarro Output'!G:G, 'Picarro Output'!$B:$B, 'Uncalibrated Data'!$C1569, 'Picarro Output'!$I:$I, 0, 'Picarro Output'!$J:$J, 1), "")</f>
        <v/>
      </c>
    </row>
    <row r="1570" spans="2:5" x14ac:dyDescent="0.2">
      <c r="B1570" s="1"/>
      <c r="E1570" s="38" t="str">
        <f>IFERROR(AVERAGEIFS('Picarro Output'!G:G, 'Picarro Output'!$B:$B, 'Uncalibrated Data'!$C1570, 'Picarro Output'!$I:$I, 0, 'Picarro Output'!$J:$J, 1), "")</f>
        <v/>
      </c>
    </row>
    <row r="1571" spans="2:5" x14ac:dyDescent="0.2">
      <c r="B1571" s="1"/>
      <c r="E1571" s="38" t="str">
        <f>IFERROR(AVERAGEIFS('Picarro Output'!G:G, 'Picarro Output'!$B:$B, 'Uncalibrated Data'!$C1571, 'Picarro Output'!$I:$I, 0, 'Picarro Output'!$J:$J, 1), "")</f>
        <v/>
      </c>
    </row>
    <row r="1572" spans="2:5" x14ac:dyDescent="0.2">
      <c r="B1572" s="1"/>
      <c r="E1572" s="38" t="str">
        <f>IFERROR(AVERAGEIFS('Picarro Output'!G:G, 'Picarro Output'!$B:$B, 'Uncalibrated Data'!$C1572, 'Picarro Output'!$I:$I, 0, 'Picarro Output'!$J:$J, 1), "")</f>
        <v/>
      </c>
    </row>
    <row r="1573" spans="2:5" x14ac:dyDescent="0.2">
      <c r="B1573" s="1"/>
      <c r="E1573" s="38" t="str">
        <f>IFERROR(AVERAGEIFS('Picarro Output'!G:G, 'Picarro Output'!$B:$B, 'Uncalibrated Data'!$C1573, 'Picarro Output'!$I:$I, 0, 'Picarro Output'!$J:$J, 1), "")</f>
        <v/>
      </c>
    </row>
    <row r="1574" spans="2:5" x14ac:dyDescent="0.2">
      <c r="B1574" s="1"/>
      <c r="E1574" s="38" t="str">
        <f>IFERROR(AVERAGEIFS('Picarro Output'!G:G, 'Picarro Output'!$B:$B, 'Uncalibrated Data'!$C1574, 'Picarro Output'!$I:$I, 0, 'Picarro Output'!$J:$J, 1), "")</f>
        <v/>
      </c>
    </row>
    <row r="1575" spans="2:5" x14ac:dyDescent="0.2">
      <c r="B1575" s="1"/>
      <c r="E1575" s="38" t="str">
        <f>IFERROR(AVERAGEIFS('Picarro Output'!G:G, 'Picarro Output'!$B:$B, 'Uncalibrated Data'!$C1575, 'Picarro Output'!$I:$I, 0, 'Picarro Output'!$J:$J, 1), "")</f>
        <v/>
      </c>
    </row>
    <row r="1576" spans="2:5" x14ac:dyDescent="0.2">
      <c r="B1576" s="1"/>
      <c r="E1576" s="38" t="str">
        <f>IFERROR(AVERAGEIFS('Picarro Output'!G:G, 'Picarro Output'!$B:$B, 'Uncalibrated Data'!$C1576, 'Picarro Output'!$I:$I, 0, 'Picarro Output'!$J:$J, 1), "")</f>
        <v/>
      </c>
    </row>
    <row r="1577" spans="2:5" x14ac:dyDescent="0.2">
      <c r="B1577" s="1"/>
      <c r="E1577" s="38" t="str">
        <f>IFERROR(AVERAGEIFS('Picarro Output'!G:G, 'Picarro Output'!$B:$B, 'Uncalibrated Data'!$C1577, 'Picarro Output'!$I:$I, 0, 'Picarro Output'!$J:$J, 1), "")</f>
        <v/>
      </c>
    </row>
    <row r="1578" spans="2:5" x14ac:dyDescent="0.2">
      <c r="B1578" s="1"/>
      <c r="E1578" s="38" t="str">
        <f>IFERROR(AVERAGEIFS('Picarro Output'!G:G, 'Picarro Output'!$B:$B, 'Uncalibrated Data'!$C1578, 'Picarro Output'!$I:$I, 0, 'Picarro Output'!$J:$J, 1), "")</f>
        <v/>
      </c>
    </row>
    <row r="1579" spans="2:5" x14ac:dyDescent="0.2">
      <c r="B1579" s="1"/>
      <c r="E1579" s="38" t="str">
        <f>IFERROR(AVERAGEIFS('Picarro Output'!G:G, 'Picarro Output'!$B:$B, 'Uncalibrated Data'!$C1579, 'Picarro Output'!$I:$I, 0, 'Picarro Output'!$J:$J, 1), "")</f>
        <v/>
      </c>
    </row>
    <row r="1580" spans="2:5" x14ac:dyDescent="0.2">
      <c r="B1580" s="1"/>
      <c r="E1580" s="38" t="str">
        <f>IFERROR(AVERAGEIFS('Picarro Output'!G:G, 'Picarro Output'!$B:$B, 'Uncalibrated Data'!$C1580, 'Picarro Output'!$I:$I, 0, 'Picarro Output'!$J:$J, 1), "")</f>
        <v/>
      </c>
    </row>
    <row r="1581" spans="2:5" x14ac:dyDescent="0.2">
      <c r="B1581" s="1"/>
      <c r="E1581" s="38" t="str">
        <f>IFERROR(AVERAGEIFS('Picarro Output'!G:G, 'Picarro Output'!$B:$B, 'Uncalibrated Data'!$C1581, 'Picarro Output'!$I:$I, 0, 'Picarro Output'!$J:$J, 1), "")</f>
        <v/>
      </c>
    </row>
    <row r="1582" spans="2:5" x14ac:dyDescent="0.2">
      <c r="B1582" s="1"/>
      <c r="E1582" s="38" t="str">
        <f>IFERROR(AVERAGEIFS('Picarro Output'!G:G, 'Picarro Output'!$B:$B, 'Uncalibrated Data'!$C1582, 'Picarro Output'!$I:$I, 0, 'Picarro Output'!$J:$J, 1), "")</f>
        <v/>
      </c>
    </row>
    <row r="1583" spans="2:5" x14ac:dyDescent="0.2">
      <c r="B1583" s="1"/>
      <c r="E1583" s="38" t="str">
        <f>IFERROR(AVERAGEIFS('Picarro Output'!G:G, 'Picarro Output'!$B:$B, 'Uncalibrated Data'!$C1583, 'Picarro Output'!$I:$I, 0, 'Picarro Output'!$J:$J, 1), "")</f>
        <v/>
      </c>
    </row>
    <row r="1584" spans="2:5" x14ac:dyDescent="0.2">
      <c r="B1584" s="1"/>
      <c r="E1584" s="38" t="str">
        <f>IFERROR(AVERAGEIFS('Picarro Output'!G:G, 'Picarro Output'!$B:$B, 'Uncalibrated Data'!$C1584, 'Picarro Output'!$I:$I, 0, 'Picarro Output'!$J:$J, 1), "")</f>
        <v/>
      </c>
    </row>
    <row r="1585" spans="2:5" x14ac:dyDescent="0.2">
      <c r="B1585" s="1"/>
      <c r="E1585" s="38" t="str">
        <f>IFERROR(AVERAGEIFS('Picarro Output'!G:G, 'Picarro Output'!$B:$B, 'Uncalibrated Data'!$C1585, 'Picarro Output'!$I:$I, 0, 'Picarro Output'!$J:$J, 1), "")</f>
        <v/>
      </c>
    </row>
    <row r="1586" spans="2:5" x14ac:dyDescent="0.2">
      <c r="B1586" s="1"/>
      <c r="E1586" s="38" t="str">
        <f>IFERROR(AVERAGEIFS('Picarro Output'!G:G, 'Picarro Output'!$B:$B, 'Uncalibrated Data'!$C1586, 'Picarro Output'!$I:$I, 0, 'Picarro Output'!$J:$J, 1), "")</f>
        <v/>
      </c>
    </row>
    <row r="1587" spans="2:5" x14ac:dyDescent="0.2">
      <c r="B1587" s="1"/>
      <c r="E1587" s="38" t="str">
        <f>IFERROR(AVERAGEIFS('Picarro Output'!G:G, 'Picarro Output'!$B:$B, 'Uncalibrated Data'!$C1587, 'Picarro Output'!$I:$I, 0, 'Picarro Output'!$J:$J, 1), "")</f>
        <v/>
      </c>
    </row>
    <row r="1588" spans="2:5" x14ac:dyDescent="0.2">
      <c r="B1588" s="1"/>
      <c r="E1588" s="38" t="str">
        <f>IFERROR(AVERAGEIFS('Picarro Output'!G:G, 'Picarro Output'!$B:$B, 'Uncalibrated Data'!$C1588, 'Picarro Output'!$I:$I, 0, 'Picarro Output'!$J:$J, 1), "")</f>
        <v/>
      </c>
    </row>
    <row r="1589" spans="2:5" x14ac:dyDescent="0.2">
      <c r="B1589" s="1"/>
      <c r="E1589" s="38" t="str">
        <f>IFERROR(AVERAGEIFS('Picarro Output'!G:G, 'Picarro Output'!$B:$B, 'Uncalibrated Data'!$C1589, 'Picarro Output'!$I:$I, 0, 'Picarro Output'!$J:$J, 1), "")</f>
        <v/>
      </c>
    </row>
    <row r="1590" spans="2:5" x14ac:dyDescent="0.2">
      <c r="B1590" s="1"/>
      <c r="E1590" s="38" t="str">
        <f>IFERROR(AVERAGEIFS('Picarro Output'!G:G, 'Picarro Output'!$B:$B, 'Uncalibrated Data'!$C1590, 'Picarro Output'!$I:$I, 0, 'Picarro Output'!$J:$J, 1), "")</f>
        <v/>
      </c>
    </row>
    <row r="1591" spans="2:5" x14ac:dyDescent="0.2">
      <c r="B1591" s="1"/>
      <c r="E1591" s="38" t="str">
        <f>IFERROR(AVERAGEIFS('Picarro Output'!G:G, 'Picarro Output'!$B:$B, 'Uncalibrated Data'!$C1591, 'Picarro Output'!$I:$I, 0, 'Picarro Output'!$J:$J, 1), "")</f>
        <v/>
      </c>
    </row>
    <row r="1592" spans="2:5" x14ac:dyDescent="0.2">
      <c r="B1592" s="1"/>
      <c r="E1592" s="38" t="str">
        <f>IFERROR(AVERAGEIFS('Picarro Output'!G:G, 'Picarro Output'!$B:$B, 'Uncalibrated Data'!$C1592, 'Picarro Output'!$I:$I, 0, 'Picarro Output'!$J:$J, 1), "")</f>
        <v/>
      </c>
    </row>
    <row r="1593" spans="2:5" x14ac:dyDescent="0.2">
      <c r="B1593" s="1"/>
      <c r="E1593" s="38" t="str">
        <f>IFERROR(AVERAGEIFS('Picarro Output'!G:G, 'Picarro Output'!$B:$B, 'Uncalibrated Data'!$C1593, 'Picarro Output'!$I:$I, 0, 'Picarro Output'!$J:$J, 1), "")</f>
        <v/>
      </c>
    </row>
    <row r="1594" spans="2:5" x14ac:dyDescent="0.2">
      <c r="B1594" s="1"/>
      <c r="E1594" s="38" t="str">
        <f>IFERROR(AVERAGEIFS('Picarro Output'!G:G, 'Picarro Output'!$B:$B, 'Uncalibrated Data'!$C1594, 'Picarro Output'!$I:$I, 0, 'Picarro Output'!$J:$J, 1), "")</f>
        <v/>
      </c>
    </row>
    <row r="1595" spans="2:5" x14ac:dyDescent="0.2">
      <c r="B1595" s="1"/>
      <c r="E1595" s="38" t="str">
        <f>IFERROR(AVERAGEIFS('Picarro Output'!G:G, 'Picarro Output'!$B:$B, 'Uncalibrated Data'!$C1595, 'Picarro Output'!$I:$I, 0, 'Picarro Output'!$J:$J, 1), "")</f>
        <v/>
      </c>
    </row>
    <row r="1596" spans="2:5" x14ac:dyDescent="0.2">
      <c r="B1596" s="1"/>
      <c r="E1596" s="38" t="str">
        <f>IFERROR(AVERAGEIFS('Picarro Output'!G:G, 'Picarro Output'!$B:$B, 'Uncalibrated Data'!$C1596, 'Picarro Output'!$I:$I, 0, 'Picarro Output'!$J:$J, 1), "")</f>
        <v/>
      </c>
    </row>
    <row r="1597" spans="2:5" x14ac:dyDescent="0.2">
      <c r="B1597" s="1"/>
      <c r="E1597" s="38" t="str">
        <f>IFERROR(AVERAGEIFS('Picarro Output'!G:G, 'Picarro Output'!$B:$B, 'Uncalibrated Data'!$C1597, 'Picarro Output'!$I:$I, 0, 'Picarro Output'!$J:$J, 1), "")</f>
        <v/>
      </c>
    </row>
    <row r="1598" spans="2:5" x14ac:dyDescent="0.2">
      <c r="B1598" s="1"/>
      <c r="E1598" s="38" t="str">
        <f>IFERROR(AVERAGEIFS('Picarro Output'!G:G, 'Picarro Output'!$B:$B, 'Uncalibrated Data'!$C1598, 'Picarro Output'!$I:$I, 0, 'Picarro Output'!$J:$J, 1), "")</f>
        <v/>
      </c>
    </row>
    <row r="1599" spans="2:5" x14ac:dyDescent="0.2">
      <c r="B1599" s="1"/>
      <c r="E1599" s="38" t="str">
        <f>IFERROR(AVERAGEIFS('Picarro Output'!G:G, 'Picarro Output'!$B:$B, 'Uncalibrated Data'!$C1599, 'Picarro Output'!$I:$I, 0, 'Picarro Output'!$J:$J, 1), "")</f>
        <v/>
      </c>
    </row>
    <row r="1600" spans="2:5" x14ac:dyDescent="0.2">
      <c r="B1600" s="1"/>
      <c r="E1600" s="38" t="str">
        <f>IFERROR(AVERAGEIFS('Picarro Output'!G:G, 'Picarro Output'!$B:$B, 'Uncalibrated Data'!$C1600, 'Picarro Output'!$I:$I, 0, 'Picarro Output'!$J:$J, 1), "")</f>
        <v/>
      </c>
    </row>
    <row r="1601" spans="2:5" x14ac:dyDescent="0.2">
      <c r="B1601" s="1"/>
      <c r="E1601" s="38" t="str">
        <f>IFERROR(AVERAGEIFS('Picarro Output'!G:G, 'Picarro Output'!$B:$B, 'Uncalibrated Data'!$C1601, 'Picarro Output'!$I:$I, 0, 'Picarro Output'!$J:$J, 1), "")</f>
        <v/>
      </c>
    </row>
    <row r="1602" spans="2:5" x14ac:dyDescent="0.2">
      <c r="B1602" s="1"/>
      <c r="E1602" s="38" t="str">
        <f>IFERROR(AVERAGEIFS('Picarro Output'!G:G, 'Picarro Output'!$B:$B, 'Uncalibrated Data'!$C1602, 'Picarro Output'!$I:$I, 0, 'Picarro Output'!$J:$J, 1), "")</f>
        <v/>
      </c>
    </row>
    <row r="1603" spans="2:5" x14ac:dyDescent="0.2">
      <c r="B1603" s="1"/>
      <c r="E1603" s="38" t="str">
        <f>IFERROR(AVERAGEIFS('Picarro Output'!G:G, 'Picarro Output'!$B:$B, 'Uncalibrated Data'!$C1603, 'Picarro Output'!$I:$I, 0, 'Picarro Output'!$J:$J, 1), "")</f>
        <v/>
      </c>
    </row>
    <row r="1604" spans="2:5" x14ac:dyDescent="0.2">
      <c r="B1604" s="1"/>
      <c r="E1604" s="38" t="str">
        <f>IFERROR(AVERAGEIFS('Picarro Output'!G:G, 'Picarro Output'!$B:$B, 'Uncalibrated Data'!$C1604, 'Picarro Output'!$I:$I, 0, 'Picarro Output'!$J:$J, 1), "")</f>
        <v/>
      </c>
    </row>
    <row r="1605" spans="2:5" x14ac:dyDescent="0.2">
      <c r="B1605" s="1"/>
      <c r="E1605" s="38" t="str">
        <f>IFERROR(AVERAGEIFS('Picarro Output'!G:G, 'Picarro Output'!$B:$B, 'Uncalibrated Data'!$C1605, 'Picarro Output'!$I:$I, 0, 'Picarro Output'!$J:$J, 1), "")</f>
        <v/>
      </c>
    </row>
    <row r="1606" spans="2:5" x14ac:dyDescent="0.2">
      <c r="B1606" s="1"/>
      <c r="E1606" s="38" t="str">
        <f>IFERROR(AVERAGEIFS('Picarro Output'!G:G, 'Picarro Output'!$B:$B, 'Uncalibrated Data'!$C1606, 'Picarro Output'!$I:$I, 0, 'Picarro Output'!$J:$J, 1), "")</f>
        <v/>
      </c>
    </row>
    <row r="1607" spans="2:5" x14ac:dyDescent="0.2">
      <c r="B1607" s="1"/>
      <c r="E1607" s="38" t="str">
        <f>IFERROR(AVERAGEIFS('Picarro Output'!G:G, 'Picarro Output'!$B:$B, 'Uncalibrated Data'!$C1607, 'Picarro Output'!$I:$I, 0, 'Picarro Output'!$J:$J, 1), "")</f>
        <v/>
      </c>
    </row>
    <row r="1608" spans="2:5" x14ac:dyDescent="0.2">
      <c r="B1608" s="1"/>
      <c r="E1608" s="38" t="str">
        <f>IFERROR(AVERAGEIFS('Picarro Output'!G:G, 'Picarro Output'!$B:$B, 'Uncalibrated Data'!$C1608, 'Picarro Output'!$I:$I, 0, 'Picarro Output'!$J:$J, 1), "")</f>
        <v/>
      </c>
    </row>
    <row r="1609" spans="2:5" x14ac:dyDescent="0.2">
      <c r="B1609" s="1"/>
      <c r="E1609" s="38" t="str">
        <f>IFERROR(AVERAGEIFS('Picarro Output'!G:G, 'Picarro Output'!$B:$B, 'Uncalibrated Data'!$C1609, 'Picarro Output'!$I:$I, 0, 'Picarro Output'!$J:$J, 1), "")</f>
        <v/>
      </c>
    </row>
    <row r="1610" spans="2:5" x14ac:dyDescent="0.2">
      <c r="B1610" s="1"/>
      <c r="E1610" s="38" t="str">
        <f>IFERROR(AVERAGEIFS('Picarro Output'!G:G, 'Picarro Output'!$B:$B, 'Uncalibrated Data'!$C1610, 'Picarro Output'!$I:$I, 0, 'Picarro Output'!$J:$J, 1), "")</f>
        <v/>
      </c>
    </row>
    <row r="1611" spans="2:5" x14ac:dyDescent="0.2">
      <c r="B1611" s="1"/>
      <c r="E1611" s="38" t="str">
        <f>IFERROR(AVERAGEIFS('Picarro Output'!G:G, 'Picarro Output'!$B:$B, 'Uncalibrated Data'!$C1611, 'Picarro Output'!$I:$I, 0, 'Picarro Output'!$J:$J, 1), "")</f>
        <v/>
      </c>
    </row>
    <row r="1612" spans="2:5" x14ac:dyDescent="0.2">
      <c r="B1612" s="1"/>
      <c r="E1612" s="38" t="str">
        <f>IFERROR(AVERAGEIFS('Picarro Output'!G:G, 'Picarro Output'!$B:$B, 'Uncalibrated Data'!$C1612, 'Picarro Output'!$I:$I, 0, 'Picarro Output'!$J:$J, 1), "")</f>
        <v/>
      </c>
    </row>
    <row r="1613" spans="2:5" x14ac:dyDescent="0.2">
      <c r="B1613" s="1"/>
      <c r="E1613" s="38" t="str">
        <f>IFERROR(AVERAGEIFS('Picarro Output'!G:G, 'Picarro Output'!$B:$B, 'Uncalibrated Data'!$C1613, 'Picarro Output'!$I:$I, 0, 'Picarro Output'!$J:$J, 1), "")</f>
        <v/>
      </c>
    </row>
    <row r="1614" spans="2:5" x14ac:dyDescent="0.2">
      <c r="B1614" s="1"/>
      <c r="E1614" s="38" t="str">
        <f>IFERROR(AVERAGEIFS('Picarro Output'!G:G, 'Picarro Output'!$B:$B, 'Uncalibrated Data'!$C1614, 'Picarro Output'!$I:$I, 0, 'Picarro Output'!$J:$J, 1), "")</f>
        <v/>
      </c>
    </row>
    <row r="1615" spans="2:5" x14ac:dyDescent="0.2">
      <c r="B1615" s="1"/>
      <c r="E1615" s="38" t="str">
        <f>IFERROR(AVERAGEIFS('Picarro Output'!G:G, 'Picarro Output'!$B:$B, 'Uncalibrated Data'!$C1615, 'Picarro Output'!$I:$I, 0, 'Picarro Output'!$J:$J, 1), "")</f>
        <v/>
      </c>
    </row>
    <row r="1616" spans="2:5" x14ac:dyDescent="0.2">
      <c r="B1616" s="1"/>
      <c r="E1616" s="38" t="str">
        <f>IFERROR(AVERAGEIFS('Picarro Output'!G:G, 'Picarro Output'!$B:$B, 'Uncalibrated Data'!$C1616, 'Picarro Output'!$I:$I, 0, 'Picarro Output'!$J:$J, 1), "")</f>
        <v/>
      </c>
    </row>
    <row r="1617" spans="2:5" x14ac:dyDescent="0.2">
      <c r="B1617" s="1"/>
      <c r="E1617" s="38" t="str">
        <f>IFERROR(AVERAGEIFS('Picarro Output'!G:G, 'Picarro Output'!$B:$B, 'Uncalibrated Data'!$C1617, 'Picarro Output'!$I:$I, 0, 'Picarro Output'!$J:$J, 1), "")</f>
        <v/>
      </c>
    </row>
    <row r="1618" spans="2:5" x14ac:dyDescent="0.2">
      <c r="B1618" s="1"/>
      <c r="E1618" s="38" t="str">
        <f>IFERROR(AVERAGEIFS('Picarro Output'!G:G, 'Picarro Output'!$B:$B, 'Uncalibrated Data'!$C1618, 'Picarro Output'!$I:$I, 0, 'Picarro Output'!$J:$J, 1), "")</f>
        <v/>
      </c>
    </row>
    <row r="1619" spans="2:5" x14ac:dyDescent="0.2">
      <c r="B1619" s="1"/>
      <c r="E1619" s="38" t="str">
        <f>IFERROR(AVERAGEIFS('Picarro Output'!G:G, 'Picarro Output'!$B:$B, 'Uncalibrated Data'!$C1619, 'Picarro Output'!$I:$I, 0, 'Picarro Output'!$J:$J, 1), "")</f>
        <v/>
      </c>
    </row>
    <row r="1620" spans="2:5" x14ac:dyDescent="0.2">
      <c r="B1620" s="1"/>
      <c r="E1620" s="38" t="str">
        <f>IFERROR(AVERAGEIFS('Picarro Output'!G:G, 'Picarro Output'!$B:$B, 'Uncalibrated Data'!$C1620, 'Picarro Output'!$I:$I, 0, 'Picarro Output'!$J:$J, 1), "")</f>
        <v/>
      </c>
    </row>
    <row r="1621" spans="2:5" x14ac:dyDescent="0.2">
      <c r="B1621" s="1"/>
      <c r="E1621" s="38" t="str">
        <f>IFERROR(AVERAGEIFS('Picarro Output'!G:G, 'Picarro Output'!$B:$B, 'Uncalibrated Data'!$C1621, 'Picarro Output'!$I:$I, 0, 'Picarro Output'!$J:$J, 1), "")</f>
        <v/>
      </c>
    </row>
    <row r="1622" spans="2:5" x14ac:dyDescent="0.2">
      <c r="B1622" s="1"/>
      <c r="E1622" s="38" t="str">
        <f>IFERROR(AVERAGEIFS('Picarro Output'!G:G, 'Picarro Output'!$B:$B, 'Uncalibrated Data'!$C1622, 'Picarro Output'!$I:$I, 0, 'Picarro Output'!$J:$J, 1), "")</f>
        <v/>
      </c>
    </row>
    <row r="1623" spans="2:5" x14ac:dyDescent="0.2">
      <c r="B1623" s="1"/>
      <c r="E1623" s="38" t="str">
        <f>IFERROR(AVERAGEIFS('Picarro Output'!G:G, 'Picarro Output'!$B:$B, 'Uncalibrated Data'!$C1623, 'Picarro Output'!$I:$I, 0, 'Picarro Output'!$J:$J, 1), "")</f>
        <v/>
      </c>
    </row>
    <row r="1624" spans="2:5" x14ac:dyDescent="0.2">
      <c r="B1624" s="1"/>
      <c r="E1624" s="38" t="str">
        <f>IFERROR(AVERAGEIFS('Picarro Output'!G:G, 'Picarro Output'!$B:$B, 'Uncalibrated Data'!$C1624, 'Picarro Output'!$I:$I, 0, 'Picarro Output'!$J:$J, 1), "")</f>
        <v/>
      </c>
    </row>
    <row r="1625" spans="2:5" x14ac:dyDescent="0.2">
      <c r="B1625" s="1"/>
      <c r="E1625" s="38" t="str">
        <f>IFERROR(AVERAGEIFS('Picarro Output'!G:G, 'Picarro Output'!$B:$B, 'Uncalibrated Data'!$C1625, 'Picarro Output'!$I:$I, 0, 'Picarro Output'!$J:$J, 1), "")</f>
        <v/>
      </c>
    </row>
    <row r="1626" spans="2:5" x14ac:dyDescent="0.2">
      <c r="B1626" s="1"/>
      <c r="E1626" s="38" t="str">
        <f>IFERROR(AVERAGEIFS('Picarro Output'!G:G, 'Picarro Output'!$B:$B, 'Uncalibrated Data'!$C1626, 'Picarro Output'!$I:$I, 0, 'Picarro Output'!$J:$J, 1), "")</f>
        <v/>
      </c>
    </row>
    <row r="1627" spans="2:5" x14ac:dyDescent="0.2">
      <c r="B1627" s="1"/>
      <c r="E1627" s="38" t="str">
        <f>IFERROR(AVERAGEIFS('Picarro Output'!G:G, 'Picarro Output'!$B:$B, 'Uncalibrated Data'!$C1627, 'Picarro Output'!$I:$I, 0, 'Picarro Output'!$J:$J, 1), "")</f>
        <v/>
      </c>
    </row>
    <row r="1628" spans="2:5" x14ac:dyDescent="0.2">
      <c r="B1628" s="1"/>
      <c r="E1628" s="38" t="str">
        <f>IFERROR(AVERAGEIFS('Picarro Output'!G:G, 'Picarro Output'!$B:$B, 'Uncalibrated Data'!$C1628, 'Picarro Output'!$I:$I, 0, 'Picarro Output'!$J:$J, 1), "")</f>
        <v/>
      </c>
    </row>
    <row r="1629" spans="2:5" x14ac:dyDescent="0.2">
      <c r="B1629" s="1"/>
      <c r="E1629" s="38" t="str">
        <f>IFERROR(AVERAGEIFS('Picarro Output'!G:G, 'Picarro Output'!$B:$B, 'Uncalibrated Data'!$C1629, 'Picarro Output'!$I:$I, 0, 'Picarro Output'!$J:$J, 1), "")</f>
        <v/>
      </c>
    </row>
    <row r="1630" spans="2:5" x14ac:dyDescent="0.2">
      <c r="B1630" s="1"/>
      <c r="E1630" s="38" t="str">
        <f>IFERROR(AVERAGEIFS('Picarro Output'!G:G, 'Picarro Output'!$B:$B, 'Uncalibrated Data'!$C1630, 'Picarro Output'!$I:$I, 0, 'Picarro Output'!$J:$J, 1), "")</f>
        <v/>
      </c>
    </row>
    <row r="1631" spans="2:5" x14ac:dyDescent="0.2">
      <c r="B1631" s="1"/>
      <c r="E1631" s="38" t="str">
        <f>IFERROR(AVERAGEIFS('Picarro Output'!G:G, 'Picarro Output'!$B:$B, 'Uncalibrated Data'!$C1631, 'Picarro Output'!$I:$I, 0, 'Picarro Output'!$J:$J, 1), "")</f>
        <v/>
      </c>
    </row>
    <row r="1632" spans="2:5" x14ac:dyDescent="0.2">
      <c r="B1632" s="1"/>
      <c r="E1632" s="38" t="str">
        <f>IFERROR(AVERAGEIFS('Picarro Output'!G:G, 'Picarro Output'!$B:$B, 'Uncalibrated Data'!$C1632, 'Picarro Output'!$I:$I, 0, 'Picarro Output'!$J:$J, 1), "")</f>
        <v/>
      </c>
    </row>
    <row r="1633" spans="2:5" x14ac:dyDescent="0.2">
      <c r="B1633" s="1"/>
      <c r="E1633" s="38" t="str">
        <f>IFERROR(AVERAGEIFS('Picarro Output'!G:G, 'Picarro Output'!$B:$B, 'Uncalibrated Data'!$C1633, 'Picarro Output'!$I:$I, 0, 'Picarro Output'!$J:$J, 1), "")</f>
        <v/>
      </c>
    </row>
    <row r="1634" spans="2:5" x14ac:dyDescent="0.2">
      <c r="B1634" s="1"/>
      <c r="E1634" s="38" t="str">
        <f>IFERROR(AVERAGEIFS('Picarro Output'!G:G, 'Picarro Output'!$B:$B, 'Uncalibrated Data'!$C1634, 'Picarro Output'!$I:$I, 0, 'Picarro Output'!$J:$J, 1), "")</f>
        <v/>
      </c>
    </row>
    <row r="1635" spans="2:5" x14ac:dyDescent="0.2">
      <c r="B1635" s="1"/>
      <c r="E1635" s="38" t="str">
        <f>IFERROR(AVERAGEIFS('Picarro Output'!G:G, 'Picarro Output'!$B:$B, 'Uncalibrated Data'!$C1635, 'Picarro Output'!$I:$I, 0, 'Picarro Output'!$J:$J, 1), "")</f>
        <v/>
      </c>
    </row>
    <row r="1636" spans="2:5" x14ac:dyDescent="0.2">
      <c r="B1636" s="1"/>
      <c r="E1636" s="38" t="str">
        <f>IFERROR(AVERAGEIFS('Picarro Output'!G:G, 'Picarro Output'!$B:$B, 'Uncalibrated Data'!$C1636, 'Picarro Output'!$I:$I, 0, 'Picarro Output'!$J:$J, 1), "")</f>
        <v/>
      </c>
    </row>
    <row r="1637" spans="2:5" x14ac:dyDescent="0.2">
      <c r="B1637" s="1"/>
      <c r="E1637" s="38" t="str">
        <f>IFERROR(AVERAGEIFS('Picarro Output'!G:G, 'Picarro Output'!$B:$B, 'Uncalibrated Data'!$C1637, 'Picarro Output'!$I:$I, 0, 'Picarro Output'!$J:$J, 1), "")</f>
        <v/>
      </c>
    </row>
    <row r="1638" spans="2:5" x14ac:dyDescent="0.2">
      <c r="B1638" s="1"/>
      <c r="E1638" s="38" t="str">
        <f>IFERROR(AVERAGEIFS('Picarro Output'!G:G, 'Picarro Output'!$B:$B, 'Uncalibrated Data'!$C1638, 'Picarro Output'!$I:$I, 0, 'Picarro Output'!$J:$J, 1), "")</f>
        <v/>
      </c>
    </row>
    <row r="1639" spans="2:5" x14ac:dyDescent="0.2">
      <c r="B1639" s="1"/>
      <c r="E1639" s="38" t="str">
        <f>IFERROR(AVERAGEIFS('Picarro Output'!G:G, 'Picarro Output'!$B:$B, 'Uncalibrated Data'!$C1639, 'Picarro Output'!$I:$I, 0, 'Picarro Output'!$J:$J, 1), "")</f>
        <v/>
      </c>
    </row>
    <row r="1640" spans="2:5" x14ac:dyDescent="0.2">
      <c r="B1640" s="1"/>
      <c r="E1640" s="38" t="str">
        <f>IFERROR(AVERAGEIFS('Picarro Output'!G:G, 'Picarro Output'!$B:$B, 'Uncalibrated Data'!$C1640, 'Picarro Output'!$I:$I, 0, 'Picarro Output'!$J:$J, 1), "")</f>
        <v/>
      </c>
    </row>
    <row r="1641" spans="2:5" x14ac:dyDescent="0.2">
      <c r="B1641" s="1"/>
      <c r="E1641" s="38" t="str">
        <f>IFERROR(AVERAGEIFS('Picarro Output'!G:G, 'Picarro Output'!$B:$B, 'Uncalibrated Data'!$C1641, 'Picarro Output'!$I:$I, 0, 'Picarro Output'!$J:$J, 1), "")</f>
        <v/>
      </c>
    </row>
    <row r="1642" spans="2:5" x14ac:dyDescent="0.2">
      <c r="B1642" s="1"/>
      <c r="E1642" s="38" t="str">
        <f>IFERROR(AVERAGEIFS('Picarro Output'!G:G, 'Picarro Output'!$B:$B, 'Uncalibrated Data'!$C1642, 'Picarro Output'!$I:$I, 0, 'Picarro Output'!$J:$J, 1), "")</f>
        <v/>
      </c>
    </row>
    <row r="1643" spans="2:5" x14ac:dyDescent="0.2">
      <c r="B1643" s="1"/>
      <c r="E1643" s="38" t="str">
        <f>IFERROR(AVERAGEIFS('Picarro Output'!G:G, 'Picarro Output'!$B:$B, 'Uncalibrated Data'!$C1643, 'Picarro Output'!$I:$I, 0, 'Picarro Output'!$J:$J, 1), "")</f>
        <v/>
      </c>
    </row>
    <row r="1644" spans="2:5" x14ac:dyDescent="0.2">
      <c r="B1644" s="1"/>
      <c r="E1644" s="38" t="str">
        <f>IFERROR(AVERAGEIFS('Picarro Output'!G:G, 'Picarro Output'!$B:$B, 'Uncalibrated Data'!$C1644, 'Picarro Output'!$I:$I, 0, 'Picarro Output'!$J:$J, 1), "")</f>
        <v/>
      </c>
    </row>
    <row r="1645" spans="2:5" x14ac:dyDescent="0.2">
      <c r="B1645" s="1"/>
      <c r="E1645" s="38" t="str">
        <f>IFERROR(AVERAGEIFS('Picarro Output'!G:G, 'Picarro Output'!$B:$B, 'Uncalibrated Data'!$C1645, 'Picarro Output'!$I:$I, 0, 'Picarro Output'!$J:$J, 1), "")</f>
        <v/>
      </c>
    </row>
    <row r="1646" spans="2:5" x14ac:dyDescent="0.2">
      <c r="B1646" s="1"/>
      <c r="E1646" s="38" t="str">
        <f>IFERROR(AVERAGEIFS('Picarro Output'!G:G, 'Picarro Output'!$B:$B, 'Uncalibrated Data'!$C1646, 'Picarro Output'!$I:$I, 0, 'Picarro Output'!$J:$J, 1), "")</f>
        <v/>
      </c>
    </row>
    <row r="1647" spans="2:5" x14ac:dyDescent="0.2">
      <c r="B1647" s="1"/>
      <c r="E1647" s="38" t="str">
        <f>IFERROR(AVERAGEIFS('Picarro Output'!G:G, 'Picarro Output'!$B:$B, 'Uncalibrated Data'!$C1647, 'Picarro Output'!$I:$I, 0, 'Picarro Output'!$J:$J, 1), "")</f>
        <v/>
      </c>
    </row>
    <row r="1648" spans="2:5" x14ac:dyDescent="0.2">
      <c r="B1648" s="1"/>
      <c r="E1648" s="38" t="str">
        <f>IFERROR(AVERAGEIFS('Picarro Output'!G:G, 'Picarro Output'!$B:$B, 'Uncalibrated Data'!$C1648, 'Picarro Output'!$I:$I, 0, 'Picarro Output'!$J:$J, 1), "")</f>
        <v/>
      </c>
    </row>
    <row r="1649" spans="2:5" x14ac:dyDescent="0.2">
      <c r="B1649" s="1"/>
      <c r="E1649" s="38" t="str">
        <f>IFERROR(AVERAGEIFS('Picarro Output'!G:G, 'Picarro Output'!$B:$B, 'Uncalibrated Data'!$C1649, 'Picarro Output'!$I:$I, 0, 'Picarro Output'!$J:$J, 1), "")</f>
        <v/>
      </c>
    </row>
    <row r="1650" spans="2:5" x14ac:dyDescent="0.2">
      <c r="B1650" s="1"/>
      <c r="E1650" s="38" t="str">
        <f>IFERROR(AVERAGEIFS('Picarro Output'!G:G, 'Picarro Output'!$B:$B, 'Uncalibrated Data'!$C1650, 'Picarro Output'!$I:$I, 0, 'Picarro Output'!$J:$J, 1), "")</f>
        <v/>
      </c>
    </row>
    <row r="1651" spans="2:5" x14ac:dyDescent="0.2">
      <c r="B1651" s="1"/>
      <c r="E1651" s="38" t="str">
        <f>IFERROR(AVERAGEIFS('Picarro Output'!G:G, 'Picarro Output'!$B:$B, 'Uncalibrated Data'!$C1651, 'Picarro Output'!$I:$I, 0, 'Picarro Output'!$J:$J, 1), "")</f>
        <v/>
      </c>
    </row>
    <row r="1652" spans="2:5" x14ac:dyDescent="0.2">
      <c r="B1652" s="1"/>
      <c r="E1652" s="38" t="str">
        <f>IFERROR(AVERAGEIFS('Picarro Output'!G:G, 'Picarro Output'!$B:$B, 'Uncalibrated Data'!$C1652, 'Picarro Output'!$I:$I, 0, 'Picarro Output'!$J:$J, 1), "")</f>
        <v/>
      </c>
    </row>
    <row r="1653" spans="2:5" x14ac:dyDescent="0.2">
      <c r="B1653" s="1"/>
      <c r="E1653" s="38" t="str">
        <f>IFERROR(AVERAGEIFS('Picarro Output'!G:G, 'Picarro Output'!$B:$B, 'Uncalibrated Data'!$C1653, 'Picarro Output'!$I:$I, 0, 'Picarro Output'!$J:$J, 1), "")</f>
        <v/>
      </c>
    </row>
    <row r="1654" spans="2:5" x14ac:dyDescent="0.2">
      <c r="B1654" s="1"/>
      <c r="E1654" s="38" t="str">
        <f>IFERROR(AVERAGEIFS('Picarro Output'!G:G, 'Picarro Output'!$B:$B, 'Uncalibrated Data'!$C1654, 'Picarro Output'!$I:$I, 0, 'Picarro Output'!$J:$J, 1), "")</f>
        <v/>
      </c>
    </row>
    <row r="1655" spans="2:5" x14ac:dyDescent="0.2">
      <c r="B1655" s="1"/>
      <c r="E1655" s="38" t="str">
        <f>IFERROR(AVERAGEIFS('Picarro Output'!G:G, 'Picarro Output'!$B:$B, 'Uncalibrated Data'!$C1655, 'Picarro Output'!$I:$I, 0, 'Picarro Output'!$J:$J, 1), "")</f>
        <v/>
      </c>
    </row>
    <row r="1656" spans="2:5" x14ac:dyDescent="0.2">
      <c r="B1656" s="1"/>
      <c r="E1656" s="38" t="str">
        <f>IFERROR(AVERAGEIFS('Picarro Output'!G:G, 'Picarro Output'!$B:$B, 'Uncalibrated Data'!$C1656, 'Picarro Output'!$I:$I, 0, 'Picarro Output'!$J:$J, 1), "")</f>
        <v/>
      </c>
    </row>
    <row r="1657" spans="2:5" x14ac:dyDescent="0.2">
      <c r="B1657" s="1"/>
      <c r="E1657" s="38" t="str">
        <f>IFERROR(AVERAGEIFS('Picarro Output'!G:G, 'Picarro Output'!$B:$B, 'Uncalibrated Data'!$C1657, 'Picarro Output'!$I:$I, 0, 'Picarro Output'!$J:$J, 1), "")</f>
        <v/>
      </c>
    </row>
    <row r="1658" spans="2:5" x14ac:dyDescent="0.2">
      <c r="B1658" s="1"/>
      <c r="E1658" s="38" t="str">
        <f>IFERROR(AVERAGEIFS('Picarro Output'!G:G, 'Picarro Output'!$B:$B, 'Uncalibrated Data'!$C1658, 'Picarro Output'!$I:$I, 0, 'Picarro Output'!$J:$J, 1), "")</f>
        <v/>
      </c>
    </row>
    <row r="1659" spans="2:5" x14ac:dyDescent="0.2">
      <c r="B1659" s="1"/>
      <c r="E1659" s="38" t="str">
        <f>IFERROR(AVERAGEIFS('Picarro Output'!G:G, 'Picarro Output'!$B:$B, 'Uncalibrated Data'!$C1659, 'Picarro Output'!$I:$I, 0, 'Picarro Output'!$J:$J, 1), "")</f>
        <v/>
      </c>
    </row>
    <row r="1660" spans="2:5" x14ac:dyDescent="0.2">
      <c r="B1660" s="1"/>
      <c r="E1660" s="38" t="str">
        <f>IFERROR(AVERAGEIFS('Picarro Output'!G:G, 'Picarro Output'!$B:$B, 'Uncalibrated Data'!$C1660, 'Picarro Output'!$I:$I, 0, 'Picarro Output'!$J:$J, 1), "")</f>
        <v/>
      </c>
    </row>
    <row r="1661" spans="2:5" x14ac:dyDescent="0.2">
      <c r="B1661" s="1"/>
      <c r="E1661" s="38" t="str">
        <f>IFERROR(AVERAGEIFS('Picarro Output'!G:G, 'Picarro Output'!$B:$B, 'Uncalibrated Data'!$C1661, 'Picarro Output'!$I:$I, 0, 'Picarro Output'!$J:$J, 1), "")</f>
        <v/>
      </c>
    </row>
    <row r="1662" spans="2:5" x14ac:dyDescent="0.2">
      <c r="B1662" s="1"/>
      <c r="E1662" s="38" t="str">
        <f>IFERROR(AVERAGEIFS('Picarro Output'!G:G, 'Picarro Output'!$B:$B, 'Uncalibrated Data'!$C1662, 'Picarro Output'!$I:$I, 0, 'Picarro Output'!$J:$J, 1), "")</f>
        <v/>
      </c>
    </row>
    <row r="1663" spans="2:5" x14ac:dyDescent="0.2">
      <c r="B1663" s="1"/>
      <c r="E1663" s="38" t="str">
        <f>IFERROR(AVERAGEIFS('Picarro Output'!G:G, 'Picarro Output'!$B:$B, 'Uncalibrated Data'!$C1663, 'Picarro Output'!$I:$I, 0, 'Picarro Output'!$J:$J, 1), "")</f>
        <v/>
      </c>
    </row>
    <row r="1664" spans="2:5" x14ac:dyDescent="0.2">
      <c r="B1664" s="1"/>
      <c r="E1664" s="38" t="str">
        <f>IFERROR(AVERAGEIFS('Picarro Output'!G:G, 'Picarro Output'!$B:$B, 'Uncalibrated Data'!$C1664, 'Picarro Output'!$I:$I, 0, 'Picarro Output'!$J:$J, 1), "")</f>
        <v/>
      </c>
    </row>
    <row r="1665" spans="2:5" x14ac:dyDescent="0.2">
      <c r="B1665" s="1"/>
      <c r="E1665" s="38" t="str">
        <f>IFERROR(AVERAGEIFS('Picarro Output'!G:G, 'Picarro Output'!$B:$B, 'Uncalibrated Data'!$C1665, 'Picarro Output'!$I:$I, 0, 'Picarro Output'!$J:$J, 1), "")</f>
        <v/>
      </c>
    </row>
    <row r="1666" spans="2:5" x14ac:dyDescent="0.2">
      <c r="B1666" s="1"/>
      <c r="E1666" s="38" t="str">
        <f>IFERROR(AVERAGEIFS('Picarro Output'!G:G, 'Picarro Output'!$B:$B, 'Uncalibrated Data'!$C1666, 'Picarro Output'!$I:$I, 0, 'Picarro Output'!$J:$J, 1), "")</f>
        <v/>
      </c>
    </row>
    <row r="1667" spans="2:5" x14ac:dyDescent="0.2">
      <c r="B1667" s="1"/>
      <c r="E1667" s="38" t="str">
        <f>IFERROR(AVERAGEIFS('Picarro Output'!G:G, 'Picarro Output'!$B:$B, 'Uncalibrated Data'!$C1667, 'Picarro Output'!$I:$I, 0, 'Picarro Output'!$J:$J, 1), "")</f>
        <v/>
      </c>
    </row>
    <row r="1668" spans="2:5" x14ac:dyDescent="0.2">
      <c r="B1668" s="1"/>
      <c r="E1668" s="38" t="str">
        <f>IFERROR(AVERAGEIFS('Picarro Output'!G:G, 'Picarro Output'!$B:$B, 'Uncalibrated Data'!$C1668, 'Picarro Output'!$I:$I, 0, 'Picarro Output'!$J:$J, 1), "")</f>
        <v/>
      </c>
    </row>
    <row r="1669" spans="2:5" x14ac:dyDescent="0.2">
      <c r="B1669" s="1"/>
      <c r="E1669" s="38" t="str">
        <f>IFERROR(AVERAGEIFS('Picarro Output'!G:G, 'Picarro Output'!$B:$B, 'Uncalibrated Data'!$C1669, 'Picarro Output'!$I:$I, 0, 'Picarro Output'!$J:$J, 1), "")</f>
        <v/>
      </c>
    </row>
    <row r="1670" spans="2:5" x14ac:dyDescent="0.2">
      <c r="B1670" s="1"/>
      <c r="E1670" s="38" t="str">
        <f>IFERROR(AVERAGEIFS('Picarro Output'!G:G, 'Picarro Output'!$B:$B, 'Uncalibrated Data'!$C1670, 'Picarro Output'!$I:$I, 0, 'Picarro Output'!$J:$J, 1), "")</f>
        <v/>
      </c>
    </row>
    <row r="1671" spans="2:5" x14ac:dyDescent="0.2">
      <c r="B1671" s="1"/>
      <c r="E1671" s="38" t="str">
        <f>IFERROR(AVERAGEIFS('Picarro Output'!G:G, 'Picarro Output'!$B:$B, 'Uncalibrated Data'!$C1671, 'Picarro Output'!$I:$I, 0, 'Picarro Output'!$J:$J, 1), "")</f>
        <v/>
      </c>
    </row>
    <row r="1672" spans="2:5" x14ac:dyDescent="0.2">
      <c r="B1672" s="1"/>
      <c r="E1672" s="38" t="str">
        <f>IFERROR(AVERAGEIFS('Picarro Output'!G:G, 'Picarro Output'!$B:$B, 'Uncalibrated Data'!$C1672, 'Picarro Output'!$I:$I, 0, 'Picarro Output'!$J:$J, 1), "")</f>
        <v/>
      </c>
    </row>
    <row r="1673" spans="2:5" x14ac:dyDescent="0.2">
      <c r="B1673" s="1"/>
      <c r="E1673" s="38" t="str">
        <f>IFERROR(AVERAGEIFS('Picarro Output'!G:G, 'Picarro Output'!$B:$B, 'Uncalibrated Data'!$C1673, 'Picarro Output'!$I:$I, 0, 'Picarro Output'!$J:$J, 1), "")</f>
        <v/>
      </c>
    </row>
    <row r="1674" spans="2:5" x14ac:dyDescent="0.2">
      <c r="B1674" s="1"/>
      <c r="E1674" s="38" t="str">
        <f>IFERROR(AVERAGEIFS('Picarro Output'!G:G, 'Picarro Output'!$B:$B, 'Uncalibrated Data'!$C1674, 'Picarro Output'!$I:$I, 0, 'Picarro Output'!$J:$J, 1), "")</f>
        <v/>
      </c>
    </row>
    <row r="1675" spans="2:5" x14ac:dyDescent="0.2">
      <c r="B1675" s="1"/>
      <c r="E1675" s="38" t="str">
        <f>IFERROR(AVERAGEIFS('Picarro Output'!G:G, 'Picarro Output'!$B:$B, 'Uncalibrated Data'!$C1675, 'Picarro Output'!$I:$I, 0, 'Picarro Output'!$J:$J, 1), "")</f>
        <v/>
      </c>
    </row>
    <row r="1676" spans="2:5" x14ac:dyDescent="0.2">
      <c r="B1676" s="1"/>
      <c r="E1676" s="38" t="str">
        <f>IFERROR(AVERAGEIFS('Picarro Output'!G:G, 'Picarro Output'!$B:$B, 'Uncalibrated Data'!$C1676, 'Picarro Output'!$I:$I, 0, 'Picarro Output'!$J:$J, 1), "")</f>
        <v/>
      </c>
    </row>
    <row r="1677" spans="2:5" x14ac:dyDescent="0.2">
      <c r="B1677" s="1"/>
      <c r="E1677" s="38" t="str">
        <f>IFERROR(AVERAGEIFS('Picarro Output'!G:G, 'Picarro Output'!$B:$B, 'Uncalibrated Data'!$C1677, 'Picarro Output'!$I:$I, 0, 'Picarro Output'!$J:$J, 1), "")</f>
        <v/>
      </c>
    </row>
    <row r="1678" spans="2:5" x14ac:dyDescent="0.2">
      <c r="B1678" s="1"/>
      <c r="E1678" s="38" t="str">
        <f>IFERROR(AVERAGEIFS('Picarro Output'!G:G, 'Picarro Output'!$B:$B, 'Uncalibrated Data'!$C1678, 'Picarro Output'!$I:$I, 0, 'Picarro Output'!$J:$J, 1), "")</f>
        <v/>
      </c>
    </row>
    <row r="1679" spans="2:5" x14ac:dyDescent="0.2">
      <c r="B1679" s="1"/>
      <c r="E1679" s="38" t="str">
        <f>IFERROR(AVERAGEIFS('Picarro Output'!G:G, 'Picarro Output'!$B:$B, 'Uncalibrated Data'!$C1679, 'Picarro Output'!$I:$I, 0, 'Picarro Output'!$J:$J, 1), "")</f>
        <v/>
      </c>
    </row>
    <row r="1680" spans="2:5" x14ac:dyDescent="0.2">
      <c r="B1680" s="1"/>
      <c r="E1680" s="38" t="str">
        <f>IFERROR(AVERAGEIFS('Picarro Output'!G:G, 'Picarro Output'!$B:$B, 'Uncalibrated Data'!$C1680, 'Picarro Output'!$I:$I, 0, 'Picarro Output'!$J:$J, 1), "")</f>
        <v/>
      </c>
    </row>
    <row r="1681" spans="2:5" x14ac:dyDescent="0.2">
      <c r="B1681" s="1"/>
      <c r="E1681" s="38" t="str">
        <f>IFERROR(AVERAGEIFS('Picarro Output'!G:G, 'Picarro Output'!$B:$B, 'Uncalibrated Data'!$C1681, 'Picarro Output'!$I:$I, 0, 'Picarro Output'!$J:$J, 1), "")</f>
        <v/>
      </c>
    </row>
    <row r="1682" spans="2:5" x14ac:dyDescent="0.2">
      <c r="B1682" s="1"/>
      <c r="E1682" s="38" t="str">
        <f>IFERROR(AVERAGEIFS('Picarro Output'!G:G, 'Picarro Output'!$B:$B, 'Uncalibrated Data'!$C1682, 'Picarro Output'!$I:$I, 0, 'Picarro Output'!$J:$J, 1), "")</f>
        <v/>
      </c>
    </row>
    <row r="1683" spans="2:5" x14ac:dyDescent="0.2">
      <c r="B1683" s="1"/>
      <c r="E1683" s="38" t="str">
        <f>IFERROR(AVERAGEIFS('Picarro Output'!G:G, 'Picarro Output'!$B:$B, 'Uncalibrated Data'!$C1683, 'Picarro Output'!$I:$I, 0, 'Picarro Output'!$J:$J, 1), "")</f>
        <v/>
      </c>
    </row>
    <row r="1684" spans="2:5" x14ac:dyDescent="0.2">
      <c r="B1684" s="1"/>
      <c r="E1684" s="38" t="str">
        <f>IFERROR(AVERAGEIFS('Picarro Output'!G:G, 'Picarro Output'!$B:$B, 'Uncalibrated Data'!$C1684, 'Picarro Output'!$I:$I, 0, 'Picarro Output'!$J:$J, 1), "")</f>
        <v/>
      </c>
    </row>
    <row r="1685" spans="2:5" x14ac:dyDescent="0.2">
      <c r="B1685" s="1"/>
      <c r="E1685" s="38" t="str">
        <f>IFERROR(AVERAGEIFS('Picarro Output'!G:G, 'Picarro Output'!$B:$B, 'Uncalibrated Data'!$C1685, 'Picarro Output'!$I:$I, 0, 'Picarro Output'!$J:$J, 1), "")</f>
        <v/>
      </c>
    </row>
    <row r="1686" spans="2:5" x14ac:dyDescent="0.2">
      <c r="B1686" s="1"/>
      <c r="E1686" s="38" t="str">
        <f>IFERROR(AVERAGEIFS('Picarro Output'!G:G, 'Picarro Output'!$B:$B, 'Uncalibrated Data'!$C1686, 'Picarro Output'!$I:$I, 0, 'Picarro Output'!$J:$J, 1), "")</f>
        <v/>
      </c>
    </row>
    <row r="1687" spans="2:5" x14ac:dyDescent="0.2">
      <c r="B1687" s="1"/>
      <c r="E1687" s="38" t="str">
        <f>IFERROR(AVERAGEIFS('Picarro Output'!G:G, 'Picarro Output'!$B:$B, 'Uncalibrated Data'!$C1687, 'Picarro Output'!$I:$I, 0, 'Picarro Output'!$J:$J, 1), "")</f>
        <v/>
      </c>
    </row>
    <row r="1688" spans="2:5" x14ac:dyDescent="0.2">
      <c r="B1688" s="1"/>
      <c r="E1688" s="38" t="str">
        <f>IFERROR(AVERAGEIFS('Picarro Output'!G:G, 'Picarro Output'!$B:$B, 'Uncalibrated Data'!$C1688, 'Picarro Output'!$I:$I, 0, 'Picarro Output'!$J:$J, 1), "")</f>
        <v/>
      </c>
    </row>
    <row r="1689" spans="2:5" x14ac:dyDescent="0.2">
      <c r="B1689" s="1"/>
      <c r="E1689" s="38" t="str">
        <f>IFERROR(AVERAGEIFS('Picarro Output'!G:G, 'Picarro Output'!$B:$B, 'Uncalibrated Data'!$C1689, 'Picarro Output'!$I:$I, 0, 'Picarro Output'!$J:$J, 1), "")</f>
        <v/>
      </c>
    </row>
    <row r="1690" spans="2:5" x14ac:dyDescent="0.2">
      <c r="B1690" s="1"/>
      <c r="E1690" s="38" t="str">
        <f>IFERROR(AVERAGEIFS('Picarro Output'!G:G, 'Picarro Output'!$B:$B, 'Uncalibrated Data'!$C1690, 'Picarro Output'!$I:$I, 0, 'Picarro Output'!$J:$J, 1), "")</f>
        <v/>
      </c>
    </row>
    <row r="1691" spans="2:5" x14ac:dyDescent="0.2">
      <c r="B1691" s="1"/>
      <c r="E1691" s="38" t="str">
        <f>IFERROR(AVERAGEIFS('Picarro Output'!G:G, 'Picarro Output'!$B:$B, 'Uncalibrated Data'!$C1691, 'Picarro Output'!$I:$I, 0, 'Picarro Output'!$J:$J, 1), "")</f>
        <v/>
      </c>
    </row>
    <row r="1692" spans="2:5" x14ac:dyDescent="0.2">
      <c r="B1692" s="1"/>
      <c r="E1692" s="38" t="str">
        <f>IFERROR(AVERAGEIFS('Picarro Output'!G:G, 'Picarro Output'!$B:$B, 'Uncalibrated Data'!$C1692, 'Picarro Output'!$I:$I, 0, 'Picarro Output'!$J:$J, 1), "")</f>
        <v/>
      </c>
    </row>
    <row r="1693" spans="2:5" x14ac:dyDescent="0.2">
      <c r="B1693" s="1"/>
      <c r="E1693" s="38" t="str">
        <f>IFERROR(AVERAGEIFS('Picarro Output'!G:G, 'Picarro Output'!$B:$B, 'Uncalibrated Data'!$C1693, 'Picarro Output'!$I:$I, 0, 'Picarro Output'!$J:$J, 1), "")</f>
        <v/>
      </c>
    </row>
    <row r="1694" spans="2:5" x14ac:dyDescent="0.2">
      <c r="B1694" s="1"/>
      <c r="E1694" s="38" t="str">
        <f>IFERROR(AVERAGEIFS('Picarro Output'!G:G, 'Picarro Output'!$B:$B, 'Uncalibrated Data'!$C1694, 'Picarro Output'!$I:$I, 0, 'Picarro Output'!$J:$J, 1), "")</f>
        <v/>
      </c>
    </row>
    <row r="1695" spans="2:5" x14ac:dyDescent="0.2">
      <c r="B1695" s="1"/>
      <c r="E1695" s="38" t="str">
        <f>IFERROR(AVERAGEIFS('Picarro Output'!G:G, 'Picarro Output'!$B:$B, 'Uncalibrated Data'!$C1695, 'Picarro Output'!$I:$I, 0, 'Picarro Output'!$J:$J, 1), "")</f>
        <v/>
      </c>
    </row>
    <row r="1696" spans="2:5" x14ac:dyDescent="0.2">
      <c r="B1696" s="1"/>
      <c r="E1696" s="38" t="str">
        <f>IFERROR(AVERAGEIFS('Picarro Output'!G:G, 'Picarro Output'!$B:$B, 'Uncalibrated Data'!$C1696, 'Picarro Output'!$I:$I, 0, 'Picarro Output'!$J:$J, 1), "")</f>
        <v/>
      </c>
    </row>
    <row r="1697" spans="2:5" x14ac:dyDescent="0.2">
      <c r="B1697" s="1"/>
      <c r="E1697" s="38" t="str">
        <f>IFERROR(AVERAGEIFS('Picarro Output'!G:G, 'Picarro Output'!$B:$B, 'Uncalibrated Data'!$C1697, 'Picarro Output'!$I:$I, 0, 'Picarro Output'!$J:$J, 1), "")</f>
        <v/>
      </c>
    </row>
    <row r="1698" spans="2:5" x14ac:dyDescent="0.2">
      <c r="B1698" s="1"/>
      <c r="E1698" s="38" t="str">
        <f>IFERROR(AVERAGEIFS('Picarro Output'!G:G, 'Picarro Output'!$B:$B, 'Uncalibrated Data'!$C1698, 'Picarro Output'!$I:$I, 0, 'Picarro Output'!$J:$J, 1), "")</f>
        <v/>
      </c>
    </row>
    <row r="1699" spans="2:5" x14ac:dyDescent="0.2">
      <c r="B1699" s="1"/>
      <c r="E1699" s="38" t="str">
        <f>IFERROR(AVERAGEIFS('Picarro Output'!G:G, 'Picarro Output'!$B:$B, 'Uncalibrated Data'!$C1699, 'Picarro Output'!$I:$I, 0, 'Picarro Output'!$J:$J, 1), "")</f>
        <v/>
      </c>
    </row>
    <row r="1700" spans="2:5" x14ac:dyDescent="0.2">
      <c r="B1700" s="1"/>
      <c r="E1700" s="38" t="str">
        <f>IFERROR(AVERAGEIFS('Picarro Output'!G:G, 'Picarro Output'!$B:$B, 'Uncalibrated Data'!$C1700, 'Picarro Output'!$I:$I, 0, 'Picarro Output'!$J:$J, 1), "")</f>
        <v/>
      </c>
    </row>
    <row r="1701" spans="2:5" x14ac:dyDescent="0.2">
      <c r="B1701" s="1"/>
      <c r="E1701" s="38" t="str">
        <f>IFERROR(AVERAGEIFS('Picarro Output'!G:G, 'Picarro Output'!$B:$B, 'Uncalibrated Data'!$C1701, 'Picarro Output'!$I:$I, 0, 'Picarro Output'!$J:$J, 1), "")</f>
        <v/>
      </c>
    </row>
    <row r="1702" spans="2:5" x14ac:dyDescent="0.2">
      <c r="B1702" s="1"/>
      <c r="E1702" s="38" t="str">
        <f>IFERROR(AVERAGEIFS('Picarro Output'!G:G, 'Picarro Output'!$B:$B, 'Uncalibrated Data'!$C1702, 'Picarro Output'!$I:$I, 0, 'Picarro Output'!$J:$J, 1), "")</f>
        <v/>
      </c>
    </row>
    <row r="1703" spans="2:5" x14ac:dyDescent="0.2">
      <c r="B1703" s="1"/>
      <c r="E1703" s="38" t="str">
        <f>IFERROR(AVERAGEIFS('Picarro Output'!G:G, 'Picarro Output'!$B:$B, 'Uncalibrated Data'!$C1703, 'Picarro Output'!$I:$I, 0, 'Picarro Output'!$J:$J, 1), "")</f>
        <v/>
      </c>
    </row>
    <row r="1704" spans="2:5" x14ac:dyDescent="0.2">
      <c r="B1704" s="1"/>
      <c r="E1704" s="38" t="str">
        <f>IFERROR(AVERAGEIFS('Picarro Output'!G:G, 'Picarro Output'!$B:$B, 'Uncalibrated Data'!$C1704, 'Picarro Output'!$I:$I, 0, 'Picarro Output'!$J:$J, 1), "")</f>
        <v/>
      </c>
    </row>
    <row r="1705" spans="2:5" x14ac:dyDescent="0.2">
      <c r="B1705" s="1"/>
      <c r="E1705" s="38" t="str">
        <f>IFERROR(AVERAGEIFS('Picarro Output'!G:G, 'Picarro Output'!$B:$B, 'Uncalibrated Data'!$C1705, 'Picarro Output'!$I:$I, 0, 'Picarro Output'!$J:$J, 1), "")</f>
        <v/>
      </c>
    </row>
    <row r="1706" spans="2:5" x14ac:dyDescent="0.2">
      <c r="B1706" s="1"/>
      <c r="E1706" s="38" t="str">
        <f>IFERROR(AVERAGEIFS('Picarro Output'!G:G, 'Picarro Output'!$B:$B, 'Uncalibrated Data'!$C1706, 'Picarro Output'!$I:$I, 0, 'Picarro Output'!$J:$J, 1), "")</f>
        <v/>
      </c>
    </row>
    <row r="1707" spans="2:5" x14ac:dyDescent="0.2">
      <c r="B1707" s="1"/>
      <c r="E1707" s="38" t="str">
        <f>IFERROR(AVERAGEIFS('Picarro Output'!G:G, 'Picarro Output'!$B:$B, 'Uncalibrated Data'!$C1707, 'Picarro Output'!$I:$I, 0, 'Picarro Output'!$J:$J, 1), "")</f>
        <v/>
      </c>
    </row>
    <row r="1708" spans="2:5" x14ac:dyDescent="0.2">
      <c r="B1708" s="1"/>
      <c r="E1708" s="38" t="str">
        <f>IFERROR(AVERAGEIFS('Picarro Output'!G:G, 'Picarro Output'!$B:$B, 'Uncalibrated Data'!$C1708, 'Picarro Output'!$I:$I, 0, 'Picarro Output'!$J:$J, 1), "")</f>
        <v/>
      </c>
    </row>
    <row r="1709" spans="2:5" x14ac:dyDescent="0.2">
      <c r="B1709" s="1"/>
      <c r="E1709" s="38" t="str">
        <f>IFERROR(AVERAGEIFS('Picarro Output'!G:G, 'Picarro Output'!$B:$B, 'Uncalibrated Data'!$C1709, 'Picarro Output'!$I:$I, 0, 'Picarro Output'!$J:$J, 1), "")</f>
        <v/>
      </c>
    </row>
    <row r="1710" spans="2:5" x14ac:dyDescent="0.2">
      <c r="B1710" s="1"/>
      <c r="E1710" s="38" t="str">
        <f>IFERROR(AVERAGEIFS('Picarro Output'!G:G, 'Picarro Output'!$B:$B, 'Uncalibrated Data'!$C1710, 'Picarro Output'!$I:$I, 0, 'Picarro Output'!$J:$J, 1), "")</f>
        <v/>
      </c>
    </row>
    <row r="1711" spans="2:5" x14ac:dyDescent="0.2">
      <c r="B1711" s="1"/>
      <c r="E1711" s="38" t="str">
        <f>IFERROR(AVERAGEIFS('Picarro Output'!G:G, 'Picarro Output'!$B:$B, 'Uncalibrated Data'!$C1711, 'Picarro Output'!$I:$I, 0, 'Picarro Output'!$J:$J, 1), "")</f>
        <v/>
      </c>
    </row>
    <row r="1712" spans="2:5" x14ac:dyDescent="0.2">
      <c r="B1712" s="1"/>
      <c r="E1712" s="38" t="str">
        <f>IFERROR(AVERAGEIFS('Picarro Output'!G:G, 'Picarro Output'!$B:$B, 'Uncalibrated Data'!$C1712, 'Picarro Output'!$I:$I, 0, 'Picarro Output'!$J:$J, 1), "")</f>
        <v/>
      </c>
    </row>
    <row r="1713" spans="2:5" x14ac:dyDescent="0.2">
      <c r="B1713" s="1"/>
      <c r="E1713" s="38" t="str">
        <f>IFERROR(AVERAGEIFS('Picarro Output'!G:G, 'Picarro Output'!$B:$B, 'Uncalibrated Data'!$C1713, 'Picarro Output'!$I:$I, 0, 'Picarro Output'!$J:$J, 1), "")</f>
        <v/>
      </c>
    </row>
    <row r="1714" spans="2:5" x14ac:dyDescent="0.2">
      <c r="B1714" s="1"/>
      <c r="E1714" s="38" t="str">
        <f>IFERROR(AVERAGEIFS('Picarro Output'!G:G, 'Picarro Output'!$B:$B, 'Uncalibrated Data'!$C1714, 'Picarro Output'!$I:$I, 0, 'Picarro Output'!$J:$J, 1), "")</f>
        <v/>
      </c>
    </row>
    <row r="1715" spans="2:5" x14ac:dyDescent="0.2">
      <c r="B1715" s="1"/>
      <c r="E1715" s="38" t="str">
        <f>IFERROR(AVERAGEIFS('Picarro Output'!G:G, 'Picarro Output'!$B:$B, 'Uncalibrated Data'!$C1715, 'Picarro Output'!$I:$I, 0, 'Picarro Output'!$J:$J, 1), "")</f>
        <v/>
      </c>
    </row>
    <row r="1716" spans="2:5" x14ac:dyDescent="0.2">
      <c r="B1716" s="1"/>
      <c r="E1716" s="38" t="str">
        <f>IFERROR(AVERAGEIFS('Picarro Output'!G:G, 'Picarro Output'!$B:$B, 'Uncalibrated Data'!$C1716, 'Picarro Output'!$I:$I, 0, 'Picarro Output'!$J:$J, 1), "")</f>
        <v/>
      </c>
    </row>
    <row r="1717" spans="2:5" x14ac:dyDescent="0.2">
      <c r="B1717" s="1"/>
      <c r="E1717" s="38" t="str">
        <f>IFERROR(AVERAGEIFS('Picarro Output'!G:G, 'Picarro Output'!$B:$B, 'Uncalibrated Data'!$C1717, 'Picarro Output'!$I:$I, 0, 'Picarro Output'!$J:$J, 1), "")</f>
        <v/>
      </c>
    </row>
    <row r="1718" spans="2:5" x14ac:dyDescent="0.2">
      <c r="B1718" s="1"/>
      <c r="E1718" s="38" t="str">
        <f>IFERROR(AVERAGEIFS('Picarro Output'!G:G, 'Picarro Output'!$B:$B, 'Uncalibrated Data'!$C1718, 'Picarro Output'!$I:$I, 0, 'Picarro Output'!$J:$J, 1), "")</f>
        <v/>
      </c>
    </row>
    <row r="1719" spans="2:5" x14ac:dyDescent="0.2">
      <c r="B1719" s="1"/>
      <c r="E1719" s="38" t="str">
        <f>IFERROR(AVERAGEIFS('Picarro Output'!G:G, 'Picarro Output'!$B:$B, 'Uncalibrated Data'!$C1719, 'Picarro Output'!$I:$I, 0, 'Picarro Output'!$J:$J, 1), "")</f>
        <v/>
      </c>
    </row>
    <row r="1720" spans="2:5" x14ac:dyDescent="0.2">
      <c r="B1720" s="1"/>
      <c r="E1720" s="38" t="str">
        <f>IFERROR(AVERAGEIFS('Picarro Output'!G:G, 'Picarro Output'!$B:$B, 'Uncalibrated Data'!$C1720, 'Picarro Output'!$I:$I, 0, 'Picarro Output'!$J:$J, 1), "")</f>
        <v/>
      </c>
    </row>
    <row r="1721" spans="2:5" x14ac:dyDescent="0.2">
      <c r="B1721" s="1"/>
      <c r="E1721" s="38" t="str">
        <f>IFERROR(AVERAGEIFS('Picarro Output'!G:G, 'Picarro Output'!$B:$B, 'Uncalibrated Data'!$C1721, 'Picarro Output'!$I:$I, 0, 'Picarro Output'!$J:$J, 1), "")</f>
        <v/>
      </c>
    </row>
    <row r="1722" spans="2:5" x14ac:dyDescent="0.2">
      <c r="B1722" s="1"/>
      <c r="E1722" s="38" t="str">
        <f>IFERROR(AVERAGEIFS('Picarro Output'!G:G, 'Picarro Output'!$B:$B, 'Uncalibrated Data'!$C1722, 'Picarro Output'!$I:$I, 0, 'Picarro Output'!$J:$J, 1), "")</f>
        <v/>
      </c>
    </row>
    <row r="1723" spans="2:5" x14ac:dyDescent="0.2">
      <c r="B1723" s="1"/>
      <c r="E1723" s="38" t="str">
        <f>IFERROR(AVERAGEIFS('Picarro Output'!G:G, 'Picarro Output'!$B:$B, 'Uncalibrated Data'!$C1723, 'Picarro Output'!$I:$I, 0, 'Picarro Output'!$J:$J, 1), "")</f>
        <v/>
      </c>
    </row>
    <row r="1724" spans="2:5" x14ac:dyDescent="0.2">
      <c r="B1724" s="1"/>
      <c r="E1724" s="38" t="str">
        <f>IFERROR(AVERAGEIFS('Picarro Output'!G:G, 'Picarro Output'!$B:$B, 'Uncalibrated Data'!$C1724, 'Picarro Output'!$I:$I, 0, 'Picarro Output'!$J:$J, 1), "")</f>
        <v/>
      </c>
    </row>
    <row r="1725" spans="2:5" x14ac:dyDescent="0.2">
      <c r="B1725" s="1"/>
      <c r="E1725" s="38" t="str">
        <f>IFERROR(AVERAGEIFS('Picarro Output'!G:G, 'Picarro Output'!$B:$B, 'Uncalibrated Data'!$C1725, 'Picarro Output'!$I:$I, 0, 'Picarro Output'!$J:$J, 1), "")</f>
        <v/>
      </c>
    </row>
    <row r="1726" spans="2:5" x14ac:dyDescent="0.2">
      <c r="B1726" s="1"/>
      <c r="E1726" s="38" t="str">
        <f>IFERROR(AVERAGEIFS('Picarro Output'!G:G, 'Picarro Output'!$B:$B, 'Uncalibrated Data'!$C1726, 'Picarro Output'!$I:$I, 0, 'Picarro Output'!$J:$J, 1), "")</f>
        <v/>
      </c>
    </row>
    <row r="1727" spans="2:5" x14ac:dyDescent="0.2">
      <c r="B1727" s="1"/>
      <c r="E1727" s="38" t="str">
        <f>IFERROR(AVERAGEIFS('Picarro Output'!G:G, 'Picarro Output'!$B:$B, 'Uncalibrated Data'!$C1727, 'Picarro Output'!$I:$I, 0, 'Picarro Output'!$J:$J, 1), "")</f>
        <v/>
      </c>
    </row>
    <row r="1728" spans="2:5" x14ac:dyDescent="0.2">
      <c r="B1728" s="1"/>
      <c r="E1728" s="38" t="str">
        <f>IFERROR(AVERAGEIFS('Picarro Output'!G:G, 'Picarro Output'!$B:$B, 'Uncalibrated Data'!$C1728, 'Picarro Output'!$I:$I, 0, 'Picarro Output'!$J:$J, 1), "")</f>
        <v/>
      </c>
    </row>
    <row r="1729" spans="2:5" x14ac:dyDescent="0.2">
      <c r="B1729" s="1"/>
      <c r="E1729" s="38" t="str">
        <f>IFERROR(AVERAGEIFS('Picarro Output'!G:G, 'Picarro Output'!$B:$B, 'Uncalibrated Data'!$C1729, 'Picarro Output'!$I:$I, 0, 'Picarro Output'!$J:$J, 1), "")</f>
        <v/>
      </c>
    </row>
    <row r="1730" spans="2:5" x14ac:dyDescent="0.2">
      <c r="B1730" s="1"/>
      <c r="E1730" s="38" t="str">
        <f>IFERROR(AVERAGEIFS('Picarro Output'!G:G, 'Picarro Output'!$B:$B, 'Uncalibrated Data'!$C1730, 'Picarro Output'!$I:$I, 0, 'Picarro Output'!$J:$J, 1), "")</f>
        <v/>
      </c>
    </row>
    <row r="1731" spans="2:5" x14ac:dyDescent="0.2">
      <c r="B1731" s="1"/>
      <c r="E1731" s="38" t="str">
        <f>IFERROR(AVERAGEIFS('Picarro Output'!G:G, 'Picarro Output'!$B:$B, 'Uncalibrated Data'!$C1731, 'Picarro Output'!$I:$I, 0, 'Picarro Output'!$J:$J, 1), "")</f>
        <v/>
      </c>
    </row>
    <row r="1732" spans="2:5" x14ac:dyDescent="0.2">
      <c r="B1732" s="1"/>
      <c r="E1732" s="38" t="str">
        <f>IFERROR(AVERAGEIFS('Picarro Output'!G:G, 'Picarro Output'!$B:$B, 'Uncalibrated Data'!$C1732, 'Picarro Output'!$I:$I, 0, 'Picarro Output'!$J:$J, 1), "")</f>
        <v/>
      </c>
    </row>
    <row r="1733" spans="2:5" x14ac:dyDescent="0.2">
      <c r="B1733" s="1"/>
      <c r="E1733" s="38" t="str">
        <f>IFERROR(AVERAGEIFS('Picarro Output'!G:G, 'Picarro Output'!$B:$B, 'Uncalibrated Data'!$C1733, 'Picarro Output'!$I:$I, 0, 'Picarro Output'!$J:$J, 1), "")</f>
        <v/>
      </c>
    </row>
    <row r="1734" spans="2:5" x14ac:dyDescent="0.2">
      <c r="B1734" s="1"/>
      <c r="E1734" s="38" t="str">
        <f>IFERROR(AVERAGEIFS('Picarro Output'!G:G, 'Picarro Output'!$B:$B, 'Uncalibrated Data'!$C1734, 'Picarro Output'!$I:$I, 0, 'Picarro Output'!$J:$J, 1), "")</f>
        <v/>
      </c>
    </row>
    <row r="1735" spans="2:5" x14ac:dyDescent="0.2">
      <c r="B1735" s="1"/>
      <c r="E1735" s="38" t="str">
        <f>IFERROR(AVERAGEIFS('Picarro Output'!G:G, 'Picarro Output'!$B:$B, 'Uncalibrated Data'!$C1735, 'Picarro Output'!$I:$I, 0, 'Picarro Output'!$J:$J, 1), "")</f>
        <v/>
      </c>
    </row>
    <row r="1736" spans="2:5" x14ac:dyDescent="0.2">
      <c r="B1736" s="1"/>
      <c r="E1736" s="38" t="str">
        <f>IFERROR(AVERAGEIFS('Picarro Output'!G:G, 'Picarro Output'!$B:$B, 'Uncalibrated Data'!$C1736, 'Picarro Output'!$I:$I, 0, 'Picarro Output'!$J:$J, 1), "")</f>
        <v/>
      </c>
    </row>
    <row r="1737" spans="2:5" x14ac:dyDescent="0.2">
      <c r="B1737" s="1"/>
      <c r="E1737" s="38" t="str">
        <f>IFERROR(AVERAGEIFS('Picarro Output'!G:G, 'Picarro Output'!$B:$B, 'Uncalibrated Data'!$C1737, 'Picarro Output'!$I:$I, 0, 'Picarro Output'!$J:$J, 1), "")</f>
        <v/>
      </c>
    </row>
    <row r="1738" spans="2:5" x14ac:dyDescent="0.2">
      <c r="B1738" s="1"/>
      <c r="E1738" s="38" t="str">
        <f>IFERROR(AVERAGEIFS('Picarro Output'!G:G, 'Picarro Output'!$B:$B, 'Uncalibrated Data'!$C1738, 'Picarro Output'!$I:$I, 0, 'Picarro Output'!$J:$J, 1), "")</f>
        <v/>
      </c>
    </row>
    <row r="1739" spans="2:5" x14ac:dyDescent="0.2">
      <c r="B1739" s="1"/>
      <c r="E1739" s="38" t="str">
        <f>IFERROR(AVERAGEIFS('Picarro Output'!G:G, 'Picarro Output'!$B:$B, 'Uncalibrated Data'!$C1739, 'Picarro Output'!$I:$I, 0, 'Picarro Output'!$J:$J, 1), "")</f>
        <v/>
      </c>
    </row>
    <row r="1740" spans="2:5" x14ac:dyDescent="0.2">
      <c r="B1740" s="1"/>
      <c r="E1740" s="38" t="str">
        <f>IFERROR(AVERAGEIFS('Picarro Output'!G:G, 'Picarro Output'!$B:$B, 'Uncalibrated Data'!$C1740, 'Picarro Output'!$I:$I, 0, 'Picarro Output'!$J:$J, 1), "")</f>
        <v/>
      </c>
    </row>
    <row r="1741" spans="2:5" x14ac:dyDescent="0.2">
      <c r="B1741" s="1"/>
      <c r="E1741" s="38" t="str">
        <f>IFERROR(AVERAGEIFS('Picarro Output'!G:G, 'Picarro Output'!$B:$B, 'Uncalibrated Data'!$C1741, 'Picarro Output'!$I:$I, 0, 'Picarro Output'!$J:$J, 1), "")</f>
        <v/>
      </c>
    </row>
    <row r="1742" spans="2:5" x14ac:dyDescent="0.2">
      <c r="B1742" s="1"/>
      <c r="E1742" s="38" t="str">
        <f>IFERROR(AVERAGEIFS('Picarro Output'!G:G, 'Picarro Output'!$B:$B, 'Uncalibrated Data'!$C1742, 'Picarro Output'!$I:$I, 0, 'Picarro Output'!$J:$J, 1), "")</f>
        <v/>
      </c>
    </row>
    <row r="1743" spans="2:5" x14ac:dyDescent="0.2">
      <c r="B1743" s="1"/>
      <c r="E1743" s="38" t="str">
        <f>IFERROR(AVERAGEIFS('Picarro Output'!G:G, 'Picarro Output'!$B:$B, 'Uncalibrated Data'!$C1743, 'Picarro Output'!$I:$I, 0, 'Picarro Output'!$J:$J, 1), "")</f>
        <v/>
      </c>
    </row>
    <row r="1744" spans="2:5" x14ac:dyDescent="0.2">
      <c r="B1744" s="1"/>
      <c r="E1744" s="38" t="str">
        <f>IFERROR(AVERAGEIFS('Picarro Output'!G:G, 'Picarro Output'!$B:$B, 'Uncalibrated Data'!$C1744, 'Picarro Output'!$I:$I, 0, 'Picarro Output'!$J:$J, 1), "")</f>
        <v/>
      </c>
    </row>
    <row r="1745" spans="2:5" x14ac:dyDescent="0.2">
      <c r="B1745" s="1"/>
      <c r="E1745" s="38" t="str">
        <f>IFERROR(AVERAGEIFS('Picarro Output'!G:G, 'Picarro Output'!$B:$B, 'Uncalibrated Data'!$C1745, 'Picarro Output'!$I:$I, 0, 'Picarro Output'!$J:$J, 1), "")</f>
        <v/>
      </c>
    </row>
    <row r="1746" spans="2:5" x14ac:dyDescent="0.2">
      <c r="B1746" s="1"/>
      <c r="E1746" s="38" t="str">
        <f>IFERROR(AVERAGEIFS('Picarro Output'!G:G, 'Picarro Output'!$B:$B, 'Uncalibrated Data'!$C1746, 'Picarro Output'!$I:$I, 0, 'Picarro Output'!$J:$J, 1), "")</f>
        <v/>
      </c>
    </row>
    <row r="1747" spans="2:5" x14ac:dyDescent="0.2">
      <c r="B1747" s="1"/>
      <c r="E1747" s="38" t="str">
        <f>IFERROR(AVERAGEIFS('Picarro Output'!G:G, 'Picarro Output'!$B:$B, 'Uncalibrated Data'!$C1747, 'Picarro Output'!$I:$I, 0, 'Picarro Output'!$J:$J, 1), "")</f>
        <v/>
      </c>
    </row>
    <row r="1748" spans="2:5" x14ac:dyDescent="0.2">
      <c r="B1748" s="1"/>
      <c r="E1748" s="38" t="str">
        <f>IFERROR(AVERAGEIFS('Picarro Output'!G:G, 'Picarro Output'!$B:$B, 'Uncalibrated Data'!$C1748, 'Picarro Output'!$I:$I, 0, 'Picarro Output'!$J:$J, 1), "")</f>
        <v/>
      </c>
    </row>
    <row r="1749" spans="2:5" x14ac:dyDescent="0.2">
      <c r="B1749" s="1"/>
      <c r="E1749" s="38" t="str">
        <f>IFERROR(AVERAGEIFS('Picarro Output'!G:G, 'Picarro Output'!$B:$B, 'Uncalibrated Data'!$C1749, 'Picarro Output'!$I:$I, 0, 'Picarro Output'!$J:$J, 1), "")</f>
        <v/>
      </c>
    </row>
    <row r="1750" spans="2:5" x14ac:dyDescent="0.2">
      <c r="B1750" s="1"/>
      <c r="E1750" s="38" t="str">
        <f>IFERROR(AVERAGEIFS('Picarro Output'!G:G, 'Picarro Output'!$B:$B, 'Uncalibrated Data'!$C1750, 'Picarro Output'!$I:$I, 0, 'Picarro Output'!$J:$J, 1), "")</f>
        <v/>
      </c>
    </row>
    <row r="1751" spans="2:5" x14ac:dyDescent="0.2">
      <c r="B1751" s="1"/>
      <c r="E1751" s="38" t="str">
        <f>IFERROR(AVERAGEIFS('Picarro Output'!G:G, 'Picarro Output'!$B:$B, 'Uncalibrated Data'!$C1751, 'Picarro Output'!$I:$I, 0, 'Picarro Output'!$J:$J, 1), "")</f>
        <v/>
      </c>
    </row>
    <row r="1752" spans="2:5" x14ac:dyDescent="0.2">
      <c r="B1752" s="1"/>
      <c r="E1752" s="38" t="str">
        <f>IFERROR(AVERAGEIFS('Picarro Output'!G:G, 'Picarro Output'!$B:$B, 'Uncalibrated Data'!$C1752, 'Picarro Output'!$I:$I, 0, 'Picarro Output'!$J:$J, 1), "")</f>
        <v/>
      </c>
    </row>
    <row r="1753" spans="2:5" x14ac:dyDescent="0.2">
      <c r="B1753" s="1"/>
      <c r="E1753" s="38" t="str">
        <f>IFERROR(AVERAGEIFS('Picarro Output'!G:G, 'Picarro Output'!$B:$B, 'Uncalibrated Data'!$C1753, 'Picarro Output'!$I:$I, 0, 'Picarro Output'!$J:$J, 1), "")</f>
        <v/>
      </c>
    </row>
    <row r="1754" spans="2:5" x14ac:dyDescent="0.2">
      <c r="B1754" s="1"/>
      <c r="E1754" s="38" t="str">
        <f>IFERROR(AVERAGEIFS('Picarro Output'!G:G, 'Picarro Output'!$B:$B, 'Uncalibrated Data'!$C1754, 'Picarro Output'!$I:$I, 0, 'Picarro Output'!$J:$J, 1), "")</f>
        <v/>
      </c>
    </row>
    <row r="1755" spans="2:5" x14ac:dyDescent="0.2">
      <c r="B1755" s="1"/>
      <c r="E1755" s="38" t="str">
        <f>IFERROR(AVERAGEIFS('Picarro Output'!G:G, 'Picarro Output'!$B:$B, 'Uncalibrated Data'!$C1755, 'Picarro Output'!$I:$I, 0, 'Picarro Output'!$J:$J, 1), "")</f>
        <v/>
      </c>
    </row>
    <row r="1756" spans="2:5" x14ac:dyDescent="0.2">
      <c r="B1756" s="1"/>
      <c r="E1756" s="38" t="str">
        <f>IFERROR(AVERAGEIFS('Picarro Output'!G:G, 'Picarro Output'!$B:$B, 'Uncalibrated Data'!$C1756, 'Picarro Output'!$I:$I, 0, 'Picarro Output'!$J:$J, 1), "")</f>
        <v/>
      </c>
    </row>
    <row r="1757" spans="2:5" x14ac:dyDescent="0.2">
      <c r="B1757" s="1"/>
      <c r="E1757" s="38" t="str">
        <f>IFERROR(AVERAGEIFS('Picarro Output'!G:G, 'Picarro Output'!$B:$B, 'Uncalibrated Data'!$C1757, 'Picarro Output'!$I:$I, 0, 'Picarro Output'!$J:$J, 1), "")</f>
        <v/>
      </c>
    </row>
    <row r="1758" spans="2:5" x14ac:dyDescent="0.2">
      <c r="B1758" s="1"/>
      <c r="E1758" s="38" t="str">
        <f>IFERROR(AVERAGEIFS('Picarro Output'!G:G, 'Picarro Output'!$B:$B, 'Uncalibrated Data'!$C1758, 'Picarro Output'!$I:$I, 0, 'Picarro Output'!$J:$J, 1), "")</f>
        <v/>
      </c>
    </row>
    <row r="1759" spans="2:5" x14ac:dyDescent="0.2">
      <c r="B1759" s="1"/>
      <c r="E1759" s="38" t="str">
        <f>IFERROR(AVERAGEIFS('Picarro Output'!G:G, 'Picarro Output'!$B:$B, 'Uncalibrated Data'!$C1759, 'Picarro Output'!$I:$I, 0, 'Picarro Output'!$J:$J, 1), "")</f>
        <v/>
      </c>
    </row>
    <row r="1760" spans="2:5" x14ac:dyDescent="0.2">
      <c r="B1760" s="1"/>
      <c r="E1760" s="38" t="str">
        <f>IFERROR(AVERAGEIFS('Picarro Output'!G:G, 'Picarro Output'!$B:$B, 'Uncalibrated Data'!$C1760, 'Picarro Output'!$I:$I, 0, 'Picarro Output'!$J:$J, 1), "")</f>
        <v/>
      </c>
    </row>
    <row r="1761" spans="2:5" x14ac:dyDescent="0.2">
      <c r="B1761" s="1"/>
      <c r="E1761" s="38" t="str">
        <f>IFERROR(AVERAGEIFS('Picarro Output'!G:G, 'Picarro Output'!$B:$B, 'Uncalibrated Data'!$C1761, 'Picarro Output'!$I:$I, 0, 'Picarro Output'!$J:$J, 1), "")</f>
        <v/>
      </c>
    </row>
    <row r="1762" spans="2:5" x14ac:dyDescent="0.2">
      <c r="B1762" s="1"/>
      <c r="E1762" s="38" t="str">
        <f>IFERROR(AVERAGEIFS('Picarro Output'!G:G, 'Picarro Output'!$B:$B, 'Uncalibrated Data'!$C1762, 'Picarro Output'!$I:$I, 0, 'Picarro Output'!$J:$J, 1), "")</f>
        <v/>
      </c>
    </row>
    <row r="1763" spans="2:5" x14ac:dyDescent="0.2">
      <c r="B1763" s="1"/>
      <c r="E1763" s="38" t="str">
        <f>IFERROR(AVERAGEIFS('Picarro Output'!G:G, 'Picarro Output'!$B:$B, 'Uncalibrated Data'!$C1763, 'Picarro Output'!$I:$I, 0, 'Picarro Output'!$J:$J, 1), "")</f>
        <v/>
      </c>
    </row>
    <row r="1764" spans="2:5" x14ac:dyDescent="0.2">
      <c r="B1764" s="1"/>
      <c r="E1764" s="38" t="str">
        <f>IFERROR(AVERAGEIFS('Picarro Output'!G:G, 'Picarro Output'!$B:$B, 'Uncalibrated Data'!$C1764, 'Picarro Output'!$I:$I, 0, 'Picarro Output'!$J:$J, 1), "")</f>
        <v/>
      </c>
    </row>
    <row r="1765" spans="2:5" x14ac:dyDescent="0.2">
      <c r="B1765" s="1"/>
      <c r="E1765" s="38" t="str">
        <f>IFERROR(AVERAGEIFS('Picarro Output'!G:G, 'Picarro Output'!$B:$B, 'Uncalibrated Data'!$C1765, 'Picarro Output'!$I:$I, 0, 'Picarro Output'!$J:$J, 1), "")</f>
        <v/>
      </c>
    </row>
    <row r="1766" spans="2:5" x14ac:dyDescent="0.2">
      <c r="B1766" s="1"/>
      <c r="E1766" s="38" t="str">
        <f>IFERROR(AVERAGEIFS('Picarro Output'!G:G, 'Picarro Output'!$B:$B, 'Uncalibrated Data'!$C1766, 'Picarro Output'!$I:$I, 0, 'Picarro Output'!$J:$J, 1), "")</f>
        <v/>
      </c>
    </row>
    <row r="1767" spans="2:5" x14ac:dyDescent="0.2">
      <c r="B1767" s="1"/>
      <c r="E1767" s="38" t="str">
        <f>IFERROR(AVERAGEIFS('Picarro Output'!G:G, 'Picarro Output'!$B:$B, 'Uncalibrated Data'!$C1767, 'Picarro Output'!$I:$I, 0, 'Picarro Output'!$J:$J, 1), "")</f>
        <v/>
      </c>
    </row>
    <row r="1768" spans="2:5" x14ac:dyDescent="0.2">
      <c r="B1768" s="1"/>
      <c r="E1768" s="38" t="str">
        <f>IFERROR(AVERAGEIFS('Picarro Output'!G:G, 'Picarro Output'!$B:$B, 'Uncalibrated Data'!$C1768, 'Picarro Output'!$I:$I, 0, 'Picarro Output'!$J:$J, 1), "")</f>
        <v/>
      </c>
    </row>
    <row r="1769" spans="2:5" x14ac:dyDescent="0.2">
      <c r="B1769" s="1"/>
      <c r="E1769" s="38" t="str">
        <f>IFERROR(AVERAGEIFS('Picarro Output'!G:G, 'Picarro Output'!$B:$B, 'Uncalibrated Data'!$C1769, 'Picarro Output'!$I:$I, 0, 'Picarro Output'!$J:$J, 1), "")</f>
        <v/>
      </c>
    </row>
    <row r="1770" spans="2:5" x14ac:dyDescent="0.2">
      <c r="B1770" s="1"/>
      <c r="E1770" s="38" t="str">
        <f>IFERROR(AVERAGEIFS('Picarro Output'!G:G, 'Picarro Output'!$B:$B, 'Uncalibrated Data'!$C1770, 'Picarro Output'!$I:$I, 0, 'Picarro Output'!$J:$J, 1), "")</f>
        <v/>
      </c>
    </row>
    <row r="1771" spans="2:5" x14ac:dyDescent="0.2">
      <c r="B1771" s="1"/>
      <c r="E1771" s="38" t="str">
        <f>IFERROR(AVERAGEIFS('Picarro Output'!G:G, 'Picarro Output'!$B:$B, 'Uncalibrated Data'!$C1771, 'Picarro Output'!$I:$I, 0, 'Picarro Output'!$J:$J, 1), "")</f>
        <v/>
      </c>
    </row>
    <row r="1772" spans="2:5" x14ac:dyDescent="0.2">
      <c r="B1772" s="1"/>
      <c r="E1772" s="38" t="str">
        <f>IFERROR(AVERAGEIFS('Picarro Output'!G:G, 'Picarro Output'!$B:$B, 'Uncalibrated Data'!$C1772, 'Picarro Output'!$I:$I, 0, 'Picarro Output'!$J:$J, 1), "")</f>
        <v/>
      </c>
    </row>
    <row r="1773" spans="2:5" x14ac:dyDescent="0.2">
      <c r="B1773" s="1"/>
      <c r="E1773" s="38" t="str">
        <f>IFERROR(AVERAGEIFS('Picarro Output'!G:G, 'Picarro Output'!$B:$B, 'Uncalibrated Data'!$C1773, 'Picarro Output'!$I:$I, 0, 'Picarro Output'!$J:$J, 1), "")</f>
        <v/>
      </c>
    </row>
    <row r="1774" spans="2:5" x14ac:dyDescent="0.2">
      <c r="B1774" s="1"/>
      <c r="E1774" s="38" t="str">
        <f>IFERROR(AVERAGEIFS('Picarro Output'!G:G, 'Picarro Output'!$B:$B, 'Uncalibrated Data'!$C1774, 'Picarro Output'!$I:$I, 0, 'Picarro Output'!$J:$J, 1), "")</f>
        <v/>
      </c>
    </row>
    <row r="1775" spans="2:5" x14ac:dyDescent="0.2">
      <c r="B1775" s="1"/>
      <c r="E1775" s="38" t="str">
        <f>IFERROR(AVERAGEIFS('Picarro Output'!G:G, 'Picarro Output'!$B:$B, 'Uncalibrated Data'!$C1775, 'Picarro Output'!$I:$I, 0, 'Picarro Output'!$J:$J, 1), "")</f>
        <v/>
      </c>
    </row>
    <row r="1776" spans="2:5" x14ac:dyDescent="0.2">
      <c r="B1776" s="1"/>
      <c r="E1776" s="38" t="str">
        <f>IFERROR(AVERAGEIFS('Picarro Output'!G:G, 'Picarro Output'!$B:$B, 'Uncalibrated Data'!$C1776, 'Picarro Output'!$I:$I, 0, 'Picarro Output'!$J:$J, 1), "")</f>
        <v/>
      </c>
    </row>
    <row r="1777" spans="2:5" x14ac:dyDescent="0.2">
      <c r="B1777" s="1"/>
      <c r="E1777" s="38" t="str">
        <f>IFERROR(AVERAGEIFS('Picarro Output'!G:G, 'Picarro Output'!$B:$B, 'Uncalibrated Data'!$C1777, 'Picarro Output'!$I:$I, 0, 'Picarro Output'!$J:$J, 1), "")</f>
        <v/>
      </c>
    </row>
    <row r="1778" spans="2:5" x14ac:dyDescent="0.2">
      <c r="B1778" s="1"/>
      <c r="E1778" s="38" t="str">
        <f>IFERROR(AVERAGEIFS('Picarro Output'!G:G, 'Picarro Output'!$B:$B, 'Uncalibrated Data'!$C1778, 'Picarro Output'!$I:$I, 0, 'Picarro Output'!$J:$J, 1), "")</f>
        <v/>
      </c>
    </row>
    <row r="1779" spans="2:5" x14ac:dyDescent="0.2">
      <c r="B1779" s="1"/>
      <c r="E1779" s="38" t="str">
        <f>IFERROR(AVERAGEIFS('Picarro Output'!G:G, 'Picarro Output'!$B:$B, 'Uncalibrated Data'!$C1779, 'Picarro Output'!$I:$I, 0, 'Picarro Output'!$J:$J, 1), "")</f>
        <v/>
      </c>
    </row>
    <row r="1780" spans="2:5" x14ac:dyDescent="0.2">
      <c r="B1780" s="1"/>
      <c r="E1780" s="38" t="str">
        <f>IFERROR(AVERAGEIFS('Picarro Output'!G:G, 'Picarro Output'!$B:$B, 'Uncalibrated Data'!$C1780, 'Picarro Output'!$I:$I, 0, 'Picarro Output'!$J:$J, 1), "")</f>
        <v/>
      </c>
    </row>
    <row r="1781" spans="2:5" x14ac:dyDescent="0.2">
      <c r="B1781" s="1"/>
      <c r="E1781" s="38" t="str">
        <f>IFERROR(AVERAGEIFS('Picarro Output'!G:G, 'Picarro Output'!$B:$B, 'Uncalibrated Data'!$C1781, 'Picarro Output'!$I:$I, 0, 'Picarro Output'!$J:$J, 1), "")</f>
        <v/>
      </c>
    </row>
    <row r="1782" spans="2:5" x14ac:dyDescent="0.2">
      <c r="B1782" s="1"/>
      <c r="E1782" s="38" t="str">
        <f>IFERROR(AVERAGEIFS('Picarro Output'!G:G, 'Picarro Output'!$B:$B, 'Uncalibrated Data'!$C1782, 'Picarro Output'!$I:$I, 0, 'Picarro Output'!$J:$J, 1), "")</f>
        <v/>
      </c>
    </row>
    <row r="1783" spans="2:5" x14ac:dyDescent="0.2">
      <c r="B1783" s="1"/>
      <c r="E1783" s="38" t="str">
        <f>IFERROR(AVERAGEIFS('Picarro Output'!G:G, 'Picarro Output'!$B:$B, 'Uncalibrated Data'!$C1783, 'Picarro Output'!$I:$I, 0, 'Picarro Output'!$J:$J, 1), "")</f>
        <v/>
      </c>
    </row>
    <row r="1784" spans="2:5" x14ac:dyDescent="0.2">
      <c r="B1784" s="1"/>
      <c r="E1784" s="38" t="str">
        <f>IFERROR(AVERAGEIFS('Picarro Output'!G:G, 'Picarro Output'!$B:$B, 'Uncalibrated Data'!$C1784, 'Picarro Output'!$I:$I, 0, 'Picarro Output'!$J:$J, 1), "")</f>
        <v/>
      </c>
    </row>
    <row r="1785" spans="2:5" x14ac:dyDescent="0.2">
      <c r="B1785" s="1"/>
      <c r="E1785" s="38" t="str">
        <f>IFERROR(AVERAGEIFS('Picarro Output'!G:G, 'Picarro Output'!$B:$B, 'Uncalibrated Data'!$C1785, 'Picarro Output'!$I:$I, 0, 'Picarro Output'!$J:$J, 1), "")</f>
        <v/>
      </c>
    </row>
    <row r="1786" spans="2:5" x14ac:dyDescent="0.2">
      <c r="B1786" s="1"/>
      <c r="E1786" s="38" t="str">
        <f>IFERROR(AVERAGEIFS('Picarro Output'!G:G, 'Picarro Output'!$B:$B, 'Uncalibrated Data'!$C1786, 'Picarro Output'!$I:$I, 0, 'Picarro Output'!$J:$J, 1), "")</f>
        <v/>
      </c>
    </row>
    <row r="1787" spans="2:5" x14ac:dyDescent="0.2">
      <c r="B1787" s="1"/>
      <c r="E1787" s="38" t="str">
        <f>IFERROR(AVERAGEIFS('Picarro Output'!G:G, 'Picarro Output'!$B:$B, 'Uncalibrated Data'!$C1787, 'Picarro Output'!$I:$I, 0, 'Picarro Output'!$J:$J, 1), "")</f>
        <v/>
      </c>
    </row>
    <row r="1788" spans="2:5" x14ac:dyDescent="0.2">
      <c r="B1788" s="1"/>
      <c r="E1788" s="38" t="str">
        <f>IFERROR(AVERAGEIFS('Picarro Output'!G:G, 'Picarro Output'!$B:$B, 'Uncalibrated Data'!$C1788, 'Picarro Output'!$I:$I, 0, 'Picarro Output'!$J:$J, 1), "")</f>
        <v/>
      </c>
    </row>
    <row r="1789" spans="2:5" x14ac:dyDescent="0.2">
      <c r="B1789" s="1"/>
      <c r="E1789" s="38" t="str">
        <f>IFERROR(AVERAGEIFS('Picarro Output'!G:G, 'Picarro Output'!$B:$B, 'Uncalibrated Data'!$C1789, 'Picarro Output'!$I:$I, 0, 'Picarro Output'!$J:$J, 1), "")</f>
        <v/>
      </c>
    </row>
    <row r="1790" spans="2:5" x14ac:dyDescent="0.2">
      <c r="B1790" s="1"/>
      <c r="E1790" s="38" t="str">
        <f>IFERROR(AVERAGEIFS('Picarro Output'!G:G, 'Picarro Output'!$B:$B, 'Uncalibrated Data'!$C1790, 'Picarro Output'!$I:$I, 0, 'Picarro Output'!$J:$J, 1), "")</f>
        <v/>
      </c>
    </row>
    <row r="1791" spans="2:5" x14ac:dyDescent="0.2">
      <c r="B1791" s="1"/>
      <c r="E1791" s="38" t="str">
        <f>IFERROR(AVERAGEIFS('Picarro Output'!G:G, 'Picarro Output'!$B:$B, 'Uncalibrated Data'!$C1791, 'Picarro Output'!$I:$I, 0, 'Picarro Output'!$J:$J, 1), "")</f>
        <v/>
      </c>
    </row>
    <row r="1792" spans="2:5" x14ac:dyDescent="0.2">
      <c r="B1792" s="1"/>
      <c r="E1792" s="38" t="str">
        <f>IFERROR(AVERAGEIFS('Picarro Output'!G:G, 'Picarro Output'!$B:$B, 'Uncalibrated Data'!$C1792, 'Picarro Output'!$I:$I, 0, 'Picarro Output'!$J:$J, 1), "")</f>
        <v/>
      </c>
    </row>
    <row r="1793" spans="2:5" x14ac:dyDescent="0.2">
      <c r="B1793" s="1"/>
      <c r="E1793" s="38" t="str">
        <f>IFERROR(AVERAGEIFS('Picarro Output'!G:G, 'Picarro Output'!$B:$B, 'Uncalibrated Data'!$C1793, 'Picarro Output'!$I:$I, 0, 'Picarro Output'!$J:$J, 1), "")</f>
        <v/>
      </c>
    </row>
    <row r="1794" spans="2:5" x14ac:dyDescent="0.2">
      <c r="B1794" s="1"/>
      <c r="E1794" s="38" t="str">
        <f>IFERROR(AVERAGEIFS('Picarro Output'!G:G, 'Picarro Output'!$B:$B, 'Uncalibrated Data'!$C1794, 'Picarro Output'!$I:$I, 0, 'Picarro Output'!$J:$J, 1), "")</f>
        <v/>
      </c>
    </row>
    <row r="1795" spans="2:5" x14ac:dyDescent="0.2">
      <c r="B1795" s="1"/>
      <c r="E1795" s="38" t="str">
        <f>IFERROR(AVERAGEIFS('Picarro Output'!G:G, 'Picarro Output'!$B:$B, 'Uncalibrated Data'!$C1795, 'Picarro Output'!$I:$I, 0, 'Picarro Output'!$J:$J, 1), "")</f>
        <v/>
      </c>
    </row>
    <row r="1796" spans="2:5" x14ac:dyDescent="0.2">
      <c r="B1796" s="1"/>
      <c r="E1796" s="38" t="str">
        <f>IFERROR(AVERAGEIFS('Picarro Output'!G:G, 'Picarro Output'!$B:$B, 'Uncalibrated Data'!$C1796, 'Picarro Output'!$I:$I, 0, 'Picarro Output'!$J:$J, 1), "")</f>
        <v/>
      </c>
    </row>
    <row r="1797" spans="2:5" x14ac:dyDescent="0.2">
      <c r="B1797" s="1"/>
      <c r="E1797" s="38" t="str">
        <f>IFERROR(AVERAGEIFS('Picarro Output'!G:G, 'Picarro Output'!$B:$B, 'Uncalibrated Data'!$C1797, 'Picarro Output'!$I:$I, 0, 'Picarro Output'!$J:$J, 1), "")</f>
        <v/>
      </c>
    </row>
    <row r="1798" spans="2:5" x14ac:dyDescent="0.2">
      <c r="B1798" s="1"/>
      <c r="E1798" s="38" t="str">
        <f>IFERROR(AVERAGEIFS('Picarro Output'!G:G, 'Picarro Output'!$B:$B, 'Uncalibrated Data'!$C1798, 'Picarro Output'!$I:$I, 0, 'Picarro Output'!$J:$J, 1), "")</f>
        <v/>
      </c>
    </row>
    <row r="1799" spans="2:5" x14ac:dyDescent="0.2">
      <c r="B1799" s="1"/>
      <c r="E1799" s="38" t="str">
        <f>IFERROR(AVERAGEIFS('Picarro Output'!G:G, 'Picarro Output'!$B:$B, 'Uncalibrated Data'!$C1799, 'Picarro Output'!$I:$I, 0, 'Picarro Output'!$J:$J, 1), "")</f>
        <v/>
      </c>
    </row>
    <row r="1800" spans="2:5" x14ac:dyDescent="0.2">
      <c r="B1800" s="1"/>
      <c r="E1800" s="38" t="str">
        <f>IFERROR(AVERAGEIFS('Picarro Output'!G:G, 'Picarro Output'!$B:$B, 'Uncalibrated Data'!$C1800, 'Picarro Output'!$I:$I, 0, 'Picarro Output'!$J:$J, 1), "")</f>
        <v/>
      </c>
    </row>
    <row r="1801" spans="2:5" x14ac:dyDescent="0.2">
      <c r="B1801" s="1"/>
      <c r="E1801" s="38" t="str">
        <f>IFERROR(AVERAGEIFS('Picarro Output'!G:G, 'Picarro Output'!$B:$B, 'Uncalibrated Data'!$C1801, 'Picarro Output'!$I:$I, 0, 'Picarro Output'!$J:$J, 1), "")</f>
        <v/>
      </c>
    </row>
    <row r="1802" spans="2:5" x14ac:dyDescent="0.2">
      <c r="B1802" s="1"/>
      <c r="E1802" s="38" t="str">
        <f>IFERROR(AVERAGEIFS('Picarro Output'!G:G, 'Picarro Output'!$B:$B, 'Uncalibrated Data'!$C1802, 'Picarro Output'!$I:$I, 0, 'Picarro Output'!$J:$J, 1), "")</f>
        <v/>
      </c>
    </row>
    <row r="1803" spans="2:5" x14ac:dyDescent="0.2">
      <c r="B1803" s="1"/>
      <c r="E1803" s="38" t="str">
        <f>IFERROR(AVERAGEIFS('Picarro Output'!G:G, 'Picarro Output'!$B:$B, 'Uncalibrated Data'!$C1803, 'Picarro Output'!$I:$I, 0, 'Picarro Output'!$J:$J, 1), "")</f>
        <v/>
      </c>
    </row>
    <row r="1804" spans="2:5" x14ac:dyDescent="0.2">
      <c r="B1804" s="1"/>
      <c r="E1804" s="38" t="str">
        <f>IFERROR(AVERAGEIFS('Picarro Output'!G:G, 'Picarro Output'!$B:$B, 'Uncalibrated Data'!$C1804, 'Picarro Output'!$I:$I, 0, 'Picarro Output'!$J:$J, 1), "")</f>
        <v/>
      </c>
    </row>
    <row r="1805" spans="2:5" x14ac:dyDescent="0.2">
      <c r="B1805" s="1"/>
      <c r="E1805" s="38" t="str">
        <f>IFERROR(AVERAGEIFS('Picarro Output'!G:G, 'Picarro Output'!$B:$B, 'Uncalibrated Data'!$C1805, 'Picarro Output'!$I:$I, 0, 'Picarro Output'!$J:$J, 1), "")</f>
        <v/>
      </c>
    </row>
    <row r="1806" spans="2:5" x14ac:dyDescent="0.2">
      <c r="B1806" s="1"/>
      <c r="E1806" s="38" t="str">
        <f>IFERROR(AVERAGEIFS('Picarro Output'!G:G, 'Picarro Output'!$B:$B, 'Uncalibrated Data'!$C1806, 'Picarro Output'!$I:$I, 0, 'Picarro Output'!$J:$J, 1), "")</f>
        <v/>
      </c>
    </row>
    <row r="1807" spans="2:5" x14ac:dyDescent="0.2">
      <c r="B1807" s="1"/>
      <c r="E1807" s="38" t="str">
        <f>IFERROR(AVERAGEIFS('Picarro Output'!G:G, 'Picarro Output'!$B:$B, 'Uncalibrated Data'!$C1807, 'Picarro Output'!$I:$I, 0, 'Picarro Output'!$J:$J, 1), "")</f>
        <v/>
      </c>
    </row>
    <row r="1808" spans="2:5" x14ac:dyDescent="0.2">
      <c r="B1808" s="1"/>
      <c r="E1808" s="38" t="str">
        <f>IFERROR(AVERAGEIFS('Picarro Output'!G:G, 'Picarro Output'!$B:$B, 'Uncalibrated Data'!$C1808, 'Picarro Output'!$I:$I, 0, 'Picarro Output'!$J:$J, 1), "")</f>
        <v/>
      </c>
    </row>
    <row r="1809" spans="2:5" x14ac:dyDescent="0.2">
      <c r="B1809" s="1"/>
      <c r="E1809" s="38" t="str">
        <f>IFERROR(AVERAGEIFS('Picarro Output'!G:G, 'Picarro Output'!$B:$B, 'Uncalibrated Data'!$C1809, 'Picarro Output'!$I:$I, 0, 'Picarro Output'!$J:$J, 1), "")</f>
        <v/>
      </c>
    </row>
    <row r="1810" spans="2:5" x14ac:dyDescent="0.2">
      <c r="B1810" s="1"/>
      <c r="E1810" s="38" t="str">
        <f>IFERROR(AVERAGEIFS('Picarro Output'!G:G, 'Picarro Output'!$B:$B, 'Uncalibrated Data'!$C1810, 'Picarro Output'!$I:$I, 0, 'Picarro Output'!$J:$J, 1), "")</f>
        <v/>
      </c>
    </row>
    <row r="1811" spans="2:5" x14ac:dyDescent="0.2">
      <c r="B1811" s="1"/>
      <c r="E1811" s="38" t="str">
        <f>IFERROR(AVERAGEIFS('Picarro Output'!G:G, 'Picarro Output'!$B:$B, 'Uncalibrated Data'!$C1811, 'Picarro Output'!$I:$I, 0, 'Picarro Output'!$J:$J, 1), "")</f>
        <v/>
      </c>
    </row>
    <row r="1812" spans="2:5" x14ac:dyDescent="0.2">
      <c r="B1812" s="1"/>
      <c r="E1812" s="38" t="str">
        <f>IFERROR(AVERAGEIFS('Picarro Output'!G:G, 'Picarro Output'!$B:$B, 'Uncalibrated Data'!$C1812, 'Picarro Output'!$I:$I, 0, 'Picarro Output'!$J:$J, 1), "")</f>
        <v/>
      </c>
    </row>
    <row r="1813" spans="2:5" x14ac:dyDescent="0.2">
      <c r="B1813" s="1"/>
      <c r="E1813" s="38" t="str">
        <f>IFERROR(AVERAGEIFS('Picarro Output'!G:G, 'Picarro Output'!$B:$B, 'Uncalibrated Data'!$C1813, 'Picarro Output'!$I:$I, 0, 'Picarro Output'!$J:$J, 1), "")</f>
        <v/>
      </c>
    </row>
    <row r="1814" spans="2:5" x14ac:dyDescent="0.2">
      <c r="B1814" s="1"/>
      <c r="E1814" s="38" t="str">
        <f>IFERROR(AVERAGEIFS('Picarro Output'!G:G, 'Picarro Output'!$B:$B, 'Uncalibrated Data'!$C1814, 'Picarro Output'!$I:$I, 0, 'Picarro Output'!$J:$J, 1), "")</f>
        <v/>
      </c>
    </row>
    <row r="1815" spans="2:5" x14ac:dyDescent="0.2">
      <c r="B1815" s="1"/>
      <c r="E1815" s="38" t="str">
        <f>IFERROR(AVERAGEIFS('Picarro Output'!G:G, 'Picarro Output'!$B:$B, 'Uncalibrated Data'!$C1815, 'Picarro Output'!$I:$I, 0, 'Picarro Output'!$J:$J, 1), "")</f>
        <v/>
      </c>
    </row>
    <row r="1816" spans="2:5" x14ac:dyDescent="0.2">
      <c r="B1816" s="1"/>
      <c r="E1816" s="38" t="str">
        <f>IFERROR(AVERAGEIFS('Picarro Output'!G:G, 'Picarro Output'!$B:$B, 'Uncalibrated Data'!$C1816, 'Picarro Output'!$I:$I, 0, 'Picarro Output'!$J:$J, 1), "")</f>
        <v/>
      </c>
    </row>
    <row r="1817" spans="2:5" x14ac:dyDescent="0.2">
      <c r="B1817" s="1"/>
      <c r="E1817" s="38" t="str">
        <f>IFERROR(AVERAGEIFS('Picarro Output'!G:G, 'Picarro Output'!$B:$B, 'Uncalibrated Data'!$C1817, 'Picarro Output'!$I:$I, 0, 'Picarro Output'!$J:$J, 1), "")</f>
        <v/>
      </c>
    </row>
    <row r="1818" spans="2:5" x14ac:dyDescent="0.2">
      <c r="B1818" s="1"/>
      <c r="E1818" s="38" t="str">
        <f>IFERROR(AVERAGEIFS('Picarro Output'!G:G, 'Picarro Output'!$B:$B, 'Uncalibrated Data'!$C1818, 'Picarro Output'!$I:$I, 0, 'Picarro Output'!$J:$J, 1), "")</f>
        <v/>
      </c>
    </row>
    <row r="1819" spans="2:5" x14ac:dyDescent="0.2">
      <c r="B1819" s="1"/>
      <c r="E1819" s="38" t="str">
        <f>IFERROR(AVERAGEIFS('Picarro Output'!G:G, 'Picarro Output'!$B:$B, 'Uncalibrated Data'!$C1819, 'Picarro Output'!$I:$I, 0, 'Picarro Output'!$J:$J, 1), "")</f>
        <v/>
      </c>
    </row>
    <row r="1820" spans="2:5" x14ac:dyDescent="0.2">
      <c r="B1820" s="1"/>
      <c r="E1820" s="38" t="str">
        <f>IFERROR(AVERAGEIFS('Picarro Output'!G:G, 'Picarro Output'!$B:$B, 'Uncalibrated Data'!$C1820, 'Picarro Output'!$I:$I, 0, 'Picarro Output'!$J:$J, 1), "")</f>
        <v/>
      </c>
    </row>
    <row r="1821" spans="2:5" x14ac:dyDescent="0.2">
      <c r="B1821" s="1"/>
      <c r="E1821" s="38" t="str">
        <f>IFERROR(AVERAGEIFS('Picarro Output'!G:G, 'Picarro Output'!$B:$B, 'Uncalibrated Data'!$C1821, 'Picarro Output'!$I:$I, 0, 'Picarro Output'!$J:$J, 1), "")</f>
        <v/>
      </c>
    </row>
    <row r="1822" spans="2:5" x14ac:dyDescent="0.2">
      <c r="B1822" s="1"/>
      <c r="E1822" s="38" t="str">
        <f>IFERROR(AVERAGEIFS('Picarro Output'!G:G, 'Picarro Output'!$B:$B, 'Uncalibrated Data'!$C1822, 'Picarro Output'!$I:$I, 0, 'Picarro Output'!$J:$J, 1), "")</f>
        <v/>
      </c>
    </row>
    <row r="1823" spans="2:5" x14ac:dyDescent="0.2">
      <c r="B1823" s="1"/>
      <c r="E1823" s="38" t="str">
        <f>IFERROR(AVERAGEIFS('Picarro Output'!G:G, 'Picarro Output'!$B:$B, 'Uncalibrated Data'!$C1823, 'Picarro Output'!$I:$I, 0, 'Picarro Output'!$J:$J, 1), "")</f>
        <v/>
      </c>
    </row>
    <row r="1824" spans="2:5" x14ac:dyDescent="0.2">
      <c r="B1824" s="1"/>
      <c r="E1824" s="38" t="str">
        <f>IFERROR(AVERAGEIFS('Picarro Output'!G:G, 'Picarro Output'!$B:$B, 'Uncalibrated Data'!$C1824, 'Picarro Output'!$I:$I, 0, 'Picarro Output'!$J:$J, 1), "")</f>
        <v/>
      </c>
    </row>
    <row r="1825" spans="2:5" x14ac:dyDescent="0.2">
      <c r="B1825" s="1"/>
      <c r="E1825" s="38" t="str">
        <f>IFERROR(AVERAGEIFS('Picarro Output'!G:G, 'Picarro Output'!$B:$B, 'Uncalibrated Data'!$C1825, 'Picarro Output'!$I:$I, 0, 'Picarro Output'!$J:$J, 1), "")</f>
        <v/>
      </c>
    </row>
    <row r="1826" spans="2:5" x14ac:dyDescent="0.2">
      <c r="B1826" s="1"/>
      <c r="E1826" s="38" t="str">
        <f>IFERROR(AVERAGEIFS('Picarro Output'!G:G, 'Picarro Output'!$B:$B, 'Uncalibrated Data'!$C1826, 'Picarro Output'!$I:$I, 0, 'Picarro Output'!$J:$J, 1), "")</f>
        <v/>
      </c>
    </row>
    <row r="1827" spans="2:5" x14ac:dyDescent="0.2">
      <c r="B1827" s="1"/>
      <c r="E1827" s="38" t="str">
        <f>IFERROR(AVERAGEIFS('Picarro Output'!G:G, 'Picarro Output'!$B:$B, 'Uncalibrated Data'!$C1827, 'Picarro Output'!$I:$I, 0, 'Picarro Output'!$J:$J, 1), "")</f>
        <v/>
      </c>
    </row>
    <row r="1828" spans="2:5" x14ac:dyDescent="0.2">
      <c r="B1828" s="1"/>
      <c r="E1828" s="38" t="str">
        <f>IFERROR(AVERAGEIFS('Picarro Output'!G:G, 'Picarro Output'!$B:$B, 'Uncalibrated Data'!$C1828, 'Picarro Output'!$I:$I, 0, 'Picarro Output'!$J:$J, 1), "")</f>
        <v/>
      </c>
    </row>
    <row r="1829" spans="2:5" x14ac:dyDescent="0.2">
      <c r="B1829" s="1"/>
      <c r="E1829" s="38" t="str">
        <f>IFERROR(AVERAGEIFS('Picarro Output'!G:G, 'Picarro Output'!$B:$B, 'Uncalibrated Data'!$C1829, 'Picarro Output'!$I:$I, 0, 'Picarro Output'!$J:$J, 1), "")</f>
        <v/>
      </c>
    </row>
    <row r="1830" spans="2:5" x14ac:dyDescent="0.2">
      <c r="B1830" s="1"/>
      <c r="E1830" s="38" t="str">
        <f>IFERROR(AVERAGEIFS('Picarro Output'!G:G, 'Picarro Output'!$B:$B, 'Uncalibrated Data'!$C1830, 'Picarro Output'!$I:$I, 0, 'Picarro Output'!$J:$J, 1), "")</f>
        <v/>
      </c>
    </row>
    <row r="1831" spans="2:5" x14ac:dyDescent="0.2">
      <c r="B1831" s="1"/>
      <c r="E1831" s="38" t="str">
        <f>IFERROR(AVERAGEIFS('Picarro Output'!G:G, 'Picarro Output'!$B:$B, 'Uncalibrated Data'!$C1831, 'Picarro Output'!$I:$I, 0, 'Picarro Output'!$J:$J, 1), "")</f>
        <v/>
      </c>
    </row>
    <row r="1832" spans="2:5" x14ac:dyDescent="0.2">
      <c r="B1832" s="1"/>
      <c r="E1832" s="38" t="str">
        <f>IFERROR(AVERAGEIFS('Picarro Output'!G:G, 'Picarro Output'!$B:$B, 'Uncalibrated Data'!$C1832, 'Picarro Output'!$I:$I, 0, 'Picarro Output'!$J:$J, 1), "")</f>
        <v/>
      </c>
    </row>
    <row r="1833" spans="2:5" x14ac:dyDescent="0.2">
      <c r="B1833" s="1"/>
      <c r="E1833" s="38" t="str">
        <f>IFERROR(AVERAGEIFS('Picarro Output'!G:G, 'Picarro Output'!$B:$B, 'Uncalibrated Data'!$C1833, 'Picarro Output'!$I:$I, 0, 'Picarro Output'!$J:$J, 1), "")</f>
        <v/>
      </c>
    </row>
    <row r="1834" spans="2:5" x14ac:dyDescent="0.2">
      <c r="B1834" s="1"/>
      <c r="E1834" s="38" t="str">
        <f>IFERROR(AVERAGEIFS('Picarro Output'!G:G, 'Picarro Output'!$B:$B, 'Uncalibrated Data'!$C1834, 'Picarro Output'!$I:$I, 0, 'Picarro Output'!$J:$J, 1), "")</f>
        <v/>
      </c>
    </row>
    <row r="1835" spans="2:5" x14ac:dyDescent="0.2">
      <c r="B1835" s="1"/>
      <c r="E1835" s="38" t="str">
        <f>IFERROR(AVERAGEIFS('Picarro Output'!G:G, 'Picarro Output'!$B:$B, 'Uncalibrated Data'!$C1835, 'Picarro Output'!$I:$I, 0, 'Picarro Output'!$J:$J, 1), "")</f>
        <v/>
      </c>
    </row>
    <row r="1836" spans="2:5" x14ac:dyDescent="0.2">
      <c r="B1836" s="1"/>
      <c r="E1836" s="38" t="str">
        <f>IFERROR(AVERAGEIFS('Picarro Output'!G:G, 'Picarro Output'!$B:$B, 'Uncalibrated Data'!$C1836, 'Picarro Output'!$I:$I, 0, 'Picarro Output'!$J:$J, 1), "")</f>
        <v/>
      </c>
    </row>
    <row r="1837" spans="2:5" x14ac:dyDescent="0.2">
      <c r="B1837" s="1"/>
      <c r="E1837" s="38" t="str">
        <f>IFERROR(AVERAGEIFS('Picarro Output'!G:G, 'Picarro Output'!$B:$B, 'Uncalibrated Data'!$C1837, 'Picarro Output'!$I:$I, 0, 'Picarro Output'!$J:$J, 1), "")</f>
        <v/>
      </c>
    </row>
    <row r="1838" spans="2:5" x14ac:dyDescent="0.2">
      <c r="B1838" s="1"/>
      <c r="E1838" s="38" t="str">
        <f>IFERROR(AVERAGEIFS('Picarro Output'!G:G, 'Picarro Output'!$B:$B, 'Uncalibrated Data'!$C1838, 'Picarro Output'!$I:$I, 0, 'Picarro Output'!$J:$J, 1), "")</f>
        <v/>
      </c>
    </row>
    <row r="1839" spans="2:5" x14ac:dyDescent="0.2">
      <c r="B1839" s="1"/>
      <c r="E1839" s="38" t="str">
        <f>IFERROR(AVERAGEIFS('Picarro Output'!G:G, 'Picarro Output'!$B:$B, 'Uncalibrated Data'!$C1839, 'Picarro Output'!$I:$I, 0, 'Picarro Output'!$J:$J, 1), "")</f>
        <v/>
      </c>
    </row>
    <row r="1840" spans="2:5" x14ac:dyDescent="0.2">
      <c r="B1840" s="1"/>
      <c r="E1840" s="38" t="str">
        <f>IFERROR(AVERAGEIFS('Picarro Output'!G:G, 'Picarro Output'!$B:$B, 'Uncalibrated Data'!$C1840, 'Picarro Output'!$I:$I, 0, 'Picarro Output'!$J:$J, 1), "")</f>
        <v/>
      </c>
    </row>
    <row r="1841" spans="2:5" x14ac:dyDescent="0.2">
      <c r="B1841" s="1"/>
      <c r="E1841" s="38" t="str">
        <f>IFERROR(AVERAGEIFS('Picarro Output'!G:G, 'Picarro Output'!$B:$B, 'Uncalibrated Data'!$C1841, 'Picarro Output'!$I:$I, 0, 'Picarro Output'!$J:$J, 1), "")</f>
        <v/>
      </c>
    </row>
    <row r="1842" spans="2:5" x14ac:dyDescent="0.2">
      <c r="B1842" s="1"/>
      <c r="E1842" s="38" t="str">
        <f>IFERROR(AVERAGEIFS('Picarro Output'!G:G, 'Picarro Output'!$B:$B, 'Uncalibrated Data'!$C1842, 'Picarro Output'!$I:$I, 0, 'Picarro Output'!$J:$J, 1), "")</f>
        <v/>
      </c>
    </row>
    <row r="1843" spans="2:5" x14ac:dyDescent="0.2">
      <c r="B1843" s="1"/>
      <c r="E1843" s="38" t="str">
        <f>IFERROR(AVERAGEIFS('Picarro Output'!G:G, 'Picarro Output'!$B:$B, 'Uncalibrated Data'!$C1843, 'Picarro Output'!$I:$I, 0, 'Picarro Output'!$J:$J, 1), "")</f>
        <v/>
      </c>
    </row>
    <row r="1844" spans="2:5" x14ac:dyDescent="0.2">
      <c r="B1844" s="1"/>
      <c r="E1844" s="38" t="str">
        <f>IFERROR(AVERAGEIFS('Picarro Output'!G:G, 'Picarro Output'!$B:$B, 'Uncalibrated Data'!$C1844, 'Picarro Output'!$I:$I, 0, 'Picarro Output'!$J:$J, 1), "")</f>
        <v/>
      </c>
    </row>
    <row r="1845" spans="2:5" x14ac:dyDescent="0.2">
      <c r="B1845" s="1"/>
      <c r="E1845" s="38" t="str">
        <f>IFERROR(AVERAGEIFS('Picarro Output'!G:G, 'Picarro Output'!$B:$B, 'Uncalibrated Data'!$C1845, 'Picarro Output'!$I:$I, 0, 'Picarro Output'!$J:$J, 1), "")</f>
        <v/>
      </c>
    </row>
    <row r="1846" spans="2:5" x14ac:dyDescent="0.2">
      <c r="B1846" s="1"/>
      <c r="E1846" s="38" t="str">
        <f>IFERROR(AVERAGEIFS('Picarro Output'!G:G, 'Picarro Output'!$B:$B, 'Uncalibrated Data'!$C1846, 'Picarro Output'!$I:$I, 0, 'Picarro Output'!$J:$J, 1), "")</f>
        <v/>
      </c>
    </row>
    <row r="1847" spans="2:5" x14ac:dyDescent="0.2">
      <c r="B1847" s="1"/>
      <c r="E1847" s="38" t="str">
        <f>IFERROR(AVERAGEIFS('Picarro Output'!G:G, 'Picarro Output'!$B:$B, 'Uncalibrated Data'!$C1847, 'Picarro Output'!$I:$I, 0, 'Picarro Output'!$J:$J, 1), "")</f>
        <v/>
      </c>
    </row>
    <row r="1848" spans="2:5" x14ac:dyDescent="0.2">
      <c r="B1848" s="1"/>
      <c r="E1848" s="38" t="str">
        <f>IFERROR(AVERAGEIFS('Picarro Output'!G:G, 'Picarro Output'!$B:$B, 'Uncalibrated Data'!$C1848, 'Picarro Output'!$I:$I, 0, 'Picarro Output'!$J:$J, 1), "")</f>
        <v/>
      </c>
    </row>
    <row r="1849" spans="2:5" x14ac:dyDescent="0.2">
      <c r="B1849" s="1"/>
      <c r="E1849" s="38" t="str">
        <f>IFERROR(AVERAGEIFS('Picarro Output'!G:G, 'Picarro Output'!$B:$B, 'Uncalibrated Data'!$C1849, 'Picarro Output'!$I:$I, 0, 'Picarro Output'!$J:$J, 1), "")</f>
        <v/>
      </c>
    </row>
    <row r="1850" spans="2:5" x14ac:dyDescent="0.2">
      <c r="B1850" s="1"/>
      <c r="E1850" s="38" t="str">
        <f>IFERROR(AVERAGEIFS('Picarro Output'!G:G, 'Picarro Output'!$B:$B, 'Uncalibrated Data'!$C1850, 'Picarro Output'!$I:$I, 0, 'Picarro Output'!$J:$J, 1), "")</f>
        <v/>
      </c>
    </row>
    <row r="1851" spans="2:5" x14ac:dyDescent="0.2">
      <c r="B1851" s="1"/>
      <c r="E1851" s="38" t="str">
        <f>IFERROR(AVERAGEIFS('Picarro Output'!G:G, 'Picarro Output'!$B:$B, 'Uncalibrated Data'!$C1851, 'Picarro Output'!$I:$I, 0, 'Picarro Output'!$J:$J, 1), "")</f>
        <v/>
      </c>
    </row>
    <row r="1852" spans="2:5" x14ac:dyDescent="0.2">
      <c r="B1852" s="1"/>
      <c r="E1852" s="38" t="str">
        <f>IFERROR(AVERAGEIFS('Picarro Output'!G:G, 'Picarro Output'!$B:$B, 'Uncalibrated Data'!$C1852, 'Picarro Output'!$I:$I, 0, 'Picarro Output'!$J:$J, 1), "")</f>
        <v/>
      </c>
    </row>
    <row r="1853" spans="2:5" x14ac:dyDescent="0.2">
      <c r="B1853" s="1"/>
      <c r="E1853" s="38" t="str">
        <f>IFERROR(AVERAGEIFS('Picarro Output'!G:G, 'Picarro Output'!$B:$B, 'Uncalibrated Data'!$C1853, 'Picarro Output'!$I:$I, 0, 'Picarro Output'!$J:$J, 1), "")</f>
        <v/>
      </c>
    </row>
    <row r="1854" spans="2:5" x14ac:dyDescent="0.2">
      <c r="B1854" s="1"/>
      <c r="E1854" s="38" t="str">
        <f>IFERROR(AVERAGEIFS('Picarro Output'!G:G, 'Picarro Output'!$B:$B, 'Uncalibrated Data'!$C1854, 'Picarro Output'!$I:$I, 0, 'Picarro Output'!$J:$J, 1), "")</f>
        <v/>
      </c>
    </row>
    <row r="1855" spans="2:5" x14ac:dyDescent="0.2">
      <c r="B1855" s="1"/>
      <c r="E1855" s="38" t="str">
        <f>IFERROR(AVERAGEIFS('Picarro Output'!G:G, 'Picarro Output'!$B:$B, 'Uncalibrated Data'!$C1855, 'Picarro Output'!$I:$I, 0, 'Picarro Output'!$J:$J, 1), "")</f>
        <v/>
      </c>
    </row>
    <row r="1856" spans="2:5" x14ac:dyDescent="0.2">
      <c r="B1856" s="1"/>
      <c r="E1856" s="38" t="str">
        <f>IFERROR(AVERAGEIFS('Picarro Output'!G:G, 'Picarro Output'!$B:$B, 'Uncalibrated Data'!$C1856, 'Picarro Output'!$I:$I, 0, 'Picarro Output'!$J:$J, 1), "")</f>
        <v/>
      </c>
    </row>
    <row r="1857" spans="2:5" x14ac:dyDescent="0.2">
      <c r="B1857" s="1"/>
      <c r="E1857" s="38" t="str">
        <f>IFERROR(AVERAGEIFS('Picarro Output'!G:G, 'Picarro Output'!$B:$B, 'Uncalibrated Data'!$C1857, 'Picarro Output'!$I:$I, 0, 'Picarro Output'!$J:$J, 1), "")</f>
        <v/>
      </c>
    </row>
    <row r="1858" spans="2:5" x14ac:dyDescent="0.2">
      <c r="B1858" s="1"/>
      <c r="E1858" s="38" t="str">
        <f>IFERROR(AVERAGEIFS('Picarro Output'!G:G, 'Picarro Output'!$B:$B, 'Uncalibrated Data'!$C1858, 'Picarro Output'!$I:$I, 0, 'Picarro Output'!$J:$J, 1), "")</f>
        <v/>
      </c>
    </row>
    <row r="1859" spans="2:5" x14ac:dyDescent="0.2">
      <c r="B1859" s="1"/>
      <c r="E1859" s="38" t="str">
        <f>IFERROR(AVERAGEIFS('Picarro Output'!G:G, 'Picarro Output'!$B:$B, 'Uncalibrated Data'!$C1859, 'Picarro Output'!$I:$I, 0, 'Picarro Output'!$J:$J, 1), "")</f>
        <v/>
      </c>
    </row>
    <row r="1860" spans="2:5" x14ac:dyDescent="0.2">
      <c r="B1860" s="1"/>
      <c r="E1860" s="38" t="str">
        <f>IFERROR(AVERAGEIFS('Picarro Output'!G:G, 'Picarro Output'!$B:$B, 'Uncalibrated Data'!$C1860, 'Picarro Output'!$I:$I, 0, 'Picarro Output'!$J:$J, 1), "")</f>
        <v/>
      </c>
    </row>
    <row r="1861" spans="2:5" x14ac:dyDescent="0.2">
      <c r="B1861" s="1"/>
      <c r="E1861" s="38" t="str">
        <f>IFERROR(AVERAGEIFS('Picarro Output'!G:G, 'Picarro Output'!$B:$B, 'Uncalibrated Data'!$C1861, 'Picarro Output'!$I:$I, 0, 'Picarro Output'!$J:$J, 1), "")</f>
        <v/>
      </c>
    </row>
    <row r="1862" spans="2:5" x14ac:dyDescent="0.2">
      <c r="B1862" s="1"/>
      <c r="E1862" s="38" t="str">
        <f>IFERROR(AVERAGEIFS('Picarro Output'!G:G, 'Picarro Output'!$B:$B, 'Uncalibrated Data'!$C1862, 'Picarro Output'!$I:$I, 0, 'Picarro Output'!$J:$J, 1), "")</f>
        <v/>
      </c>
    </row>
    <row r="1863" spans="2:5" x14ac:dyDescent="0.2">
      <c r="B1863" s="1"/>
      <c r="E1863" s="38" t="str">
        <f>IFERROR(AVERAGEIFS('Picarro Output'!G:G, 'Picarro Output'!$B:$B, 'Uncalibrated Data'!$C1863, 'Picarro Output'!$I:$I, 0, 'Picarro Output'!$J:$J, 1), "")</f>
        <v/>
      </c>
    </row>
    <row r="1864" spans="2:5" x14ac:dyDescent="0.2">
      <c r="B1864" s="1"/>
      <c r="E1864" s="38" t="str">
        <f>IFERROR(AVERAGEIFS('Picarro Output'!G:G, 'Picarro Output'!$B:$B, 'Uncalibrated Data'!$C1864, 'Picarro Output'!$I:$I, 0, 'Picarro Output'!$J:$J, 1), "")</f>
        <v/>
      </c>
    </row>
    <row r="1865" spans="2:5" x14ac:dyDescent="0.2">
      <c r="B1865" s="1"/>
      <c r="E1865" s="38" t="str">
        <f>IFERROR(AVERAGEIFS('Picarro Output'!G:G, 'Picarro Output'!$B:$B, 'Uncalibrated Data'!$C1865, 'Picarro Output'!$I:$I, 0, 'Picarro Output'!$J:$J, 1), "")</f>
        <v/>
      </c>
    </row>
    <row r="1866" spans="2:5" x14ac:dyDescent="0.2">
      <c r="B1866" s="1"/>
      <c r="E1866" s="38" t="str">
        <f>IFERROR(AVERAGEIFS('Picarro Output'!G:G, 'Picarro Output'!$B:$B, 'Uncalibrated Data'!$C1866, 'Picarro Output'!$I:$I, 0, 'Picarro Output'!$J:$J, 1), "")</f>
        <v/>
      </c>
    </row>
    <row r="1867" spans="2:5" x14ac:dyDescent="0.2">
      <c r="B1867" s="1"/>
      <c r="E1867" s="38" t="str">
        <f>IFERROR(AVERAGEIFS('Picarro Output'!G:G, 'Picarro Output'!$B:$B, 'Uncalibrated Data'!$C1867, 'Picarro Output'!$I:$I, 0, 'Picarro Output'!$J:$J, 1), "")</f>
        <v/>
      </c>
    </row>
    <row r="1868" spans="2:5" x14ac:dyDescent="0.2">
      <c r="B1868" s="1"/>
      <c r="E1868" s="38" t="str">
        <f>IFERROR(AVERAGEIFS('Picarro Output'!G:G, 'Picarro Output'!$B:$B, 'Uncalibrated Data'!$C1868, 'Picarro Output'!$I:$I, 0, 'Picarro Output'!$J:$J, 1), "")</f>
        <v/>
      </c>
    </row>
    <row r="1869" spans="2:5" x14ac:dyDescent="0.2">
      <c r="B1869" s="1"/>
      <c r="E1869" s="38" t="str">
        <f>IFERROR(AVERAGEIFS('Picarro Output'!G:G, 'Picarro Output'!$B:$B, 'Uncalibrated Data'!$C1869, 'Picarro Output'!$I:$I, 0, 'Picarro Output'!$J:$J, 1), "")</f>
        <v/>
      </c>
    </row>
    <row r="1870" spans="2:5" x14ac:dyDescent="0.2">
      <c r="B1870" s="1"/>
      <c r="E1870" s="38" t="str">
        <f>IFERROR(AVERAGEIFS('Picarro Output'!G:G, 'Picarro Output'!$B:$B, 'Uncalibrated Data'!$C1870, 'Picarro Output'!$I:$I, 0, 'Picarro Output'!$J:$J, 1), "")</f>
        <v/>
      </c>
    </row>
    <row r="1871" spans="2:5" x14ac:dyDescent="0.2">
      <c r="B1871" s="1"/>
      <c r="E1871" s="38" t="str">
        <f>IFERROR(AVERAGEIFS('Picarro Output'!G:G, 'Picarro Output'!$B:$B, 'Uncalibrated Data'!$C1871, 'Picarro Output'!$I:$I, 0, 'Picarro Output'!$J:$J, 1), "")</f>
        <v/>
      </c>
    </row>
    <row r="1872" spans="2:5" x14ac:dyDescent="0.2">
      <c r="B1872" s="1"/>
      <c r="E1872" s="38" t="str">
        <f>IFERROR(AVERAGEIFS('Picarro Output'!G:G, 'Picarro Output'!$B:$B, 'Uncalibrated Data'!$C1872, 'Picarro Output'!$I:$I, 0, 'Picarro Output'!$J:$J, 1), "")</f>
        <v/>
      </c>
    </row>
    <row r="1873" spans="2:5" x14ac:dyDescent="0.2">
      <c r="B1873" s="1"/>
      <c r="E1873" s="38" t="str">
        <f>IFERROR(AVERAGEIFS('Picarro Output'!G:G, 'Picarro Output'!$B:$B, 'Uncalibrated Data'!$C1873, 'Picarro Output'!$I:$I, 0, 'Picarro Output'!$J:$J, 1), "")</f>
        <v/>
      </c>
    </row>
    <row r="1874" spans="2:5" x14ac:dyDescent="0.2">
      <c r="B1874" s="1"/>
      <c r="E1874" s="38" t="str">
        <f>IFERROR(AVERAGEIFS('Picarro Output'!G:G, 'Picarro Output'!$B:$B, 'Uncalibrated Data'!$C1874, 'Picarro Output'!$I:$I, 0, 'Picarro Output'!$J:$J, 1), "")</f>
        <v/>
      </c>
    </row>
    <row r="1875" spans="2:5" x14ac:dyDescent="0.2">
      <c r="B1875" s="1"/>
      <c r="E1875" s="38" t="str">
        <f>IFERROR(AVERAGEIFS('Picarro Output'!G:G, 'Picarro Output'!$B:$B, 'Uncalibrated Data'!$C1875, 'Picarro Output'!$I:$I, 0, 'Picarro Output'!$J:$J, 1), "")</f>
        <v/>
      </c>
    </row>
    <row r="1876" spans="2:5" x14ac:dyDescent="0.2">
      <c r="B1876" s="1"/>
      <c r="E1876" s="38" t="str">
        <f>IFERROR(AVERAGEIFS('Picarro Output'!G:G, 'Picarro Output'!$B:$B, 'Uncalibrated Data'!$C1876, 'Picarro Output'!$I:$I, 0, 'Picarro Output'!$J:$J, 1), "")</f>
        <v/>
      </c>
    </row>
    <row r="1877" spans="2:5" x14ac:dyDescent="0.2">
      <c r="B1877" s="1"/>
      <c r="E1877" s="38" t="str">
        <f>IFERROR(AVERAGEIFS('Picarro Output'!G:G, 'Picarro Output'!$B:$B, 'Uncalibrated Data'!$C1877, 'Picarro Output'!$I:$I, 0, 'Picarro Output'!$J:$J, 1), "")</f>
        <v/>
      </c>
    </row>
    <row r="1878" spans="2:5" x14ac:dyDescent="0.2">
      <c r="B1878" s="1"/>
      <c r="E1878" s="38" t="str">
        <f>IFERROR(AVERAGEIFS('Picarro Output'!G:G, 'Picarro Output'!$B:$B, 'Uncalibrated Data'!$C1878, 'Picarro Output'!$I:$I, 0, 'Picarro Output'!$J:$J, 1), "")</f>
        <v/>
      </c>
    </row>
    <row r="1879" spans="2:5" x14ac:dyDescent="0.2">
      <c r="B1879" s="1"/>
      <c r="E1879" s="38" t="str">
        <f>IFERROR(AVERAGEIFS('Picarro Output'!G:G, 'Picarro Output'!$B:$B, 'Uncalibrated Data'!$C1879, 'Picarro Output'!$I:$I, 0, 'Picarro Output'!$J:$J, 1), "")</f>
        <v/>
      </c>
    </row>
    <row r="1880" spans="2:5" x14ac:dyDescent="0.2">
      <c r="B1880" s="1"/>
      <c r="E1880" s="38" t="str">
        <f>IFERROR(AVERAGEIFS('Picarro Output'!G:G, 'Picarro Output'!$B:$B, 'Uncalibrated Data'!$C1880, 'Picarro Output'!$I:$I, 0, 'Picarro Output'!$J:$J, 1), "")</f>
        <v/>
      </c>
    </row>
    <row r="1881" spans="2:5" x14ac:dyDescent="0.2">
      <c r="B1881" s="1"/>
      <c r="E1881" s="38" t="str">
        <f>IFERROR(AVERAGEIFS('Picarro Output'!G:G, 'Picarro Output'!$B:$B, 'Uncalibrated Data'!$C1881, 'Picarro Output'!$I:$I, 0, 'Picarro Output'!$J:$J, 1), "")</f>
        <v/>
      </c>
    </row>
    <row r="1882" spans="2:5" x14ac:dyDescent="0.2">
      <c r="B1882" s="1"/>
      <c r="E1882" s="38" t="str">
        <f>IFERROR(AVERAGEIFS('Picarro Output'!G:G, 'Picarro Output'!$B:$B, 'Uncalibrated Data'!$C1882, 'Picarro Output'!$I:$I, 0, 'Picarro Output'!$J:$J, 1), "")</f>
        <v/>
      </c>
    </row>
    <row r="1883" spans="2:5" x14ac:dyDescent="0.2">
      <c r="B1883" s="1"/>
      <c r="E1883" s="38" t="str">
        <f>IFERROR(AVERAGEIFS('Picarro Output'!G:G, 'Picarro Output'!$B:$B, 'Uncalibrated Data'!$C1883, 'Picarro Output'!$I:$I, 0, 'Picarro Output'!$J:$J, 1), "")</f>
        <v/>
      </c>
    </row>
    <row r="1884" spans="2:5" x14ac:dyDescent="0.2">
      <c r="B1884" s="1"/>
      <c r="E1884" s="38" t="str">
        <f>IFERROR(AVERAGEIFS('Picarro Output'!G:G, 'Picarro Output'!$B:$B, 'Uncalibrated Data'!$C1884, 'Picarro Output'!$I:$I, 0, 'Picarro Output'!$J:$J, 1), "")</f>
        <v/>
      </c>
    </row>
    <row r="1885" spans="2:5" x14ac:dyDescent="0.2">
      <c r="B1885" s="1"/>
      <c r="E1885" s="38" t="str">
        <f>IFERROR(AVERAGEIFS('Picarro Output'!G:G, 'Picarro Output'!$B:$B, 'Uncalibrated Data'!$C1885, 'Picarro Output'!$I:$I, 0, 'Picarro Output'!$J:$J, 1), "")</f>
        <v/>
      </c>
    </row>
    <row r="1886" spans="2:5" x14ac:dyDescent="0.2">
      <c r="B1886" s="1"/>
      <c r="E1886" s="38" t="str">
        <f>IFERROR(AVERAGEIFS('Picarro Output'!G:G, 'Picarro Output'!$B:$B, 'Uncalibrated Data'!$C1886, 'Picarro Output'!$I:$I, 0, 'Picarro Output'!$J:$J, 1), "")</f>
        <v/>
      </c>
    </row>
    <row r="1887" spans="2:5" x14ac:dyDescent="0.2">
      <c r="B1887" s="1"/>
      <c r="E1887" s="38" t="str">
        <f>IFERROR(AVERAGEIFS('Picarro Output'!G:G, 'Picarro Output'!$B:$B, 'Uncalibrated Data'!$C1887, 'Picarro Output'!$I:$I, 0, 'Picarro Output'!$J:$J, 1), "")</f>
        <v/>
      </c>
    </row>
    <row r="1888" spans="2:5" x14ac:dyDescent="0.2">
      <c r="B1888" s="1"/>
      <c r="E1888" s="38" t="str">
        <f>IFERROR(AVERAGEIFS('Picarro Output'!G:G, 'Picarro Output'!$B:$B, 'Uncalibrated Data'!$C1888, 'Picarro Output'!$I:$I, 0, 'Picarro Output'!$J:$J, 1), "")</f>
        <v/>
      </c>
    </row>
    <row r="1889" spans="2:5" x14ac:dyDescent="0.2">
      <c r="B1889" s="1"/>
      <c r="E1889" s="38" t="str">
        <f>IFERROR(AVERAGEIFS('Picarro Output'!G:G, 'Picarro Output'!$B:$B, 'Uncalibrated Data'!$C1889, 'Picarro Output'!$I:$I, 0, 'Picarro Output'!$J:$J, 1), "")</f>
        <v/>
      </c>
    </row>
    <row r="1890" spans="2:5" x14ac:dyDescent="0.2">
      <c r="B1890" s="1"/>
      <c r="E1890" s="38" t="str">
        <f>IFERROR(AVERAGEIFS('Picarro Output'!G:G, 'Picarro Output'!$B:$B, 'Uncalibrated Data'!$C1890, 'Picarro Output'!$I:$I, 0, 'Picarro Output'!$J:$J, 1), "")</f>
        <v/>
      </c>
    </row>
    <row r="1891" spans="2:5" x14ac:dyDescent="0.2">
      <c r="B1891" s="1"/>
      <c r="E1891" s="38" t="str">
        <f>IFERROR(AVERAGEIFS('Picarro Output'!G:G, 'Picarro Output'!$B:$B, 'Uncalibrated Data'!$C1891, 'Picarro Output'!$I:$I, 0, 'Picarro Output'!$J:$J, 1), "")</f>
        <v/>
      </c>
    </row>
    <row r="1892" spans="2:5" x14ac:dyDescent="0.2">
      <c r="B1892" s="1"/>
      <c r="E1892" s="38" t="str">
        <f>IFERROR(AVERAGEIFS('Picarro Output'!G:G, 'Picarro Output'!$B:$B, 'Uncalibrated Data'!$C1892, 'Picarro Output'!$I:$I, 0, 'Picarro Output'!$J:$J, 1), "")</f>
        <v/>
      </c>
    </row>
    <row r="1893" spans="2:5" x14ac:dyDescent="0.2">
      <c r="B1893" s="1"/>
      <c r="E1893" s="38" t="str">
        <f>IFERROR(AVERAGEIFS('Picarro Output'!G:G, 'Picarro Output'!$B:$B, 'Uncalibrated Data'!$C1893, 'Picarro Output'!$I:$I, 0, 'Picarro Output'!$J:$J, 1), "")</f>
        <v/>
      </c>
    </row>
    <row r="1894" spans="2:5" x14ac:dyDescent="0.2">
      <c r="B1894" s="1"/>
      <c r="E1894" s="38" t="str">
        <f>IFERROR(AVERAGEIFS('Picarro Output'!G:G, 'Picarro Output'!$B:$B, 'Uncalibrated Data'!$C1894, 'Picarro Output'!$I:$I, 0, 'Picarro Output'!$J:$J, 1), "")</f>
        <v/>
      </c>
    </row>
    <row r="1895" spans="2:5" x14ac:dyDescent="0.2">
      <c r="B1895" s="1"/>
      <c r="E1895" s="38" t="str">
        <f>IFERROR(AVERAGEIFS('Picarro Output'!G:G, 'Picarro Output'!$B:$B, 'Uncalibrated Data'!$C1895, 'Picarro Output'!$I:$I, 0, 'Picarro Output'!$J:$J, 1), "")</f>
        <v/>
      </c>
    </row>
    <row r="1896" spans="2:5" x14ac:dyDescent="0.2">
      <c r="B1896" s="1"/>
      <c r="E1896" s="38" t="str">
        <f>IFERROR(AVERAGEIFS('Picarro Output'!G:G, 'Picarro Output'!$B:$B, 'Uncalibrated Data'!$C1896, 'Picarro Output'!$I:$I, 0, 'Picarro Output'!$J:$J, 1), "")</f>
        <v/>
      </c>
    </row>
    <row r="1897" spans="2:5" x14ac:dyDescent="0.2">
      <c r="B1897" s="1"/>
      <c r="E1897" s="38" t="str">
        <f>IFERROR(AVERAGEIFS('Picarro Output'!G:G, 'Picarro Output'!$B:$B, 'Uncalibrated Data'!$C1897, 'Picarro Output'!$I:$I, 0, 'Picarro Output'!$J:$J, 1), "")</f>
        <v/>
      </c>
    </row>
    <row r="1898" spans="2:5" x14ac:dyDescent="0.2">
      <c r="B1898" s="1"/>
      <c r="E1898" s="38" t="str">
        <f>IFERROR(AVERAGEIFS('Picarro Output'!G:G, 'Picarro Output'!$B:$B, 'Uncalibrated Data'!$C1898, 'Picarro Output'!$I:$I, 0, 'Picarro Output'!$J:$J, 1), "")</f>
        <v/>
      </c>
    </row>
    <row r="1899" spans="2:5" x14ac:dyDescent="0.2">
      <c r="B1899" s="1"/>
      <c r="E1899" s="38" t="str">
        <f>IFERROR(AVERAGEIFS('Picarro Output'!G:G, 'Picarro Output'!$B:$B, 'Uncalibrated Data'!$C1899, 'Picarro Output'!$I:$I, 0, 'Picarro Output'!$J:$J, 1), "")</f>
        <v/>
      </c>
    </row>
    <row r="1900" spans="2:5" x14ac:dyDescent="0.2">
      <c r="B1900" s="1"/>
      <c r="E1900" s="38" t="str">
        <f>IFERROR(AVERAGEIFS('Picarro Output'!G:G, 'Picarro Output'!$B:$B, 'Uncalibrated Data'!$C1900, 'Picarro Output'!$I:$I, 0, 'Picarro Output'!$J:$J, 1), "")</f>
        <v/>
      </c>
    </row>
    <row r="1901" spans="2:5" x14ac:dyDescent="0.2">
      <c r="B1901" s="1"/>
      <c r="E1901" s="38" t="str">
        <f>IFERROR(AVERAGEIFS('Picarro Output'!G:G, 'Picarro Output'!$B:$B, 'Uncalibrated Data'!$C1901, 'Picarro Output'!$I:$I, 0, 'Picarro Output'!$J:$J, 1), "")</f>
        <v/>
      </c>
    </row>
    <row r="1902" spans="2:5" x14ac:dyDescent="0.2">
      <c r="B1902" s="1"/>
      <c r="E1902" s="38" t="str">
        <f>IFERROR(AVERAGEIFS('Picarro Output'!G:G, 'Picarro Output'!$B:$B, 'Uncalibrated Data'!$C1902, 'Picarro Output'!$I:$I, 0, 'Picarro Output'!$J:$J, 1), "")</f>
        <v/>
      </c>
    </row>
    <row r="1903" spans="2:5" x14ac:dyDescent="0.2">
      <c r="B1903" s="1"/>
      <c r="E1903" s="38" t="str">
        <f>IFERROR(AVERAGEIFS('Picarro Output'!G:G, 'Picarro Output'!$B:$B, 'Uncalibrated Data'!$C1903, 'Picarro Output'!$I:$I, 0, 'Picarro Output'!$J:$J, 1), "")</f>
        <v/>
      </c>
    </row>
    <row r="1904" spans="2:5" x14ac:dyDescent="0.2">
      <c r="B1904" s="1"/>
      <c r="E1904" s="38" t="str">
        <f>IFERROR(AVERAGEIFS('Picarro Output'!G:G, 'Picarro Output'!$B:$B, 'Uncalibrated Data'!$C1904, 'Picarro Output'!$I:$I, 0, 'Picarro Output'!$J:$J, 1), "")</f>
        <v/>
      </c>
    </row>
    <row r="1905" spans="2:5" x14ac:dyDescent="0.2">
      <c r="B1905" s="1"/>
      <c r="E1905" s="38" t="str">
        <f>IFERROR(AVERAGEIFS('Picarro Output'!G:G, 'Picarro Output'!$B:$B, 'Uncalibrated Data'!$C1905, 'Picarro Output'!$I:$I, 0, 'Picarro Output'!$J:$J, 1), "")</f>
        <v/>
      </c>
    </row>
    <row r="1906" spans="2:5" x14ac:dyDescent="0.2">
      <c r="B1906" s="1"/>
      <c r="E1906" s="38" t="str">
        <f>IFERROR(AVERAGEIFS('Picarro Output'!G:G, 'Picarro Output'!$B:$B, 'Uncalibrated Data'!$C1906, 'Picarro Output'!$I:$I, 0, 'Picarro Output'!$J:$J, 1), "")</f>
        <v/>
      </c>
    </row>
    <row r="1907" spans="2:5" x14ac:dyDescent="0.2">
      <c r="B1907" s="1"/>
      <c r="E1907" s="38" t="str">
        <f>IFERROR(AVERAGEIFS('Picarro Output'!G:G, 'Picarro Output'!$B:$B, 'Uncalibrated Data'!$C1907, 'Picarro Output'!$I:$I, 0, 'Picarro Output'!$J:$J, 1), "")</f>
        <v/>
      </c>
    </row>
    <row r="1908" spans="2:5" x14ac:dyDescent="0.2">
      <c r="B1908" s="1"/>
      <c r="E1908" s="38" t="str">
        <f>IFERROR(AVERAGEIFS('Picarro Output'!G:G, 'Picarro Output'!$B:$B, 'Uncalibrated Data'!$C1908, 'Picarro Output'!$I:$I, 0, 'Picarro Output'!$J:$J, 1), "")</f>
        <v/>
      </c>
    </row>
    <row r="1909" spans="2:5" x14ac:dyDescent="0.2">
      <c r="B1909" s="1"/>
      <c r="E1909" s="38" t="str">
        <f>IFERROR(AVERAGEIFS('Picarro Output'!G:G, 'Picarro Output'!$B:$B, 'Uncalibrated Data'!$C1909, 'Picarro Output'!$I:$I, 0, 'Picarro Output'!$J:$J, 1), "")</f>
        <v/>
      </c>
    </row>
    <row r="1910" spans="2:5" x14ac:dyDescent="0.2">
      <c r="B1910" s="1"/>
      <c r="E1910" s="38" t="str">
        <f>IFERROR(AVERAGEIFS('Picarro Output'!G:G, 'Picarro Output'!$B:$B, 'Uncalibrated Data'!$C1910, 'Picarro Output'!$I:$I, 0, 'Picarro Output'!$J:$J, 1), "")</f>
        <v/>
      </c>
    </row>
    <row r="1911" spans="2:5" x14ac:dyDescent="0.2">
      <c r="B1911" s="1"/>
      <c r="E1911" s="38" t="str">
        <f>IFERROR(AVERAGEIFS('Picarro Output'!G:G, 'Picarro Output'!$B:$B, 'Uncalibrated Data'!$C1911, 'Picarro Output'!$I:$I, 0, 'Picarro Output'!$J:$J, 1), "")</f>
        <v/>
      </c>
    </row>
    <row r="1912" spans="2:5" x14ac:dyDescent="0.2">
      <c r="B1912" s="1"/>
      <c r="E1912" s="38" t="str">
        <f>IFERROR(AVERAGEIFS('Picarro Output'!G:G, 'Picarro Output'!$B:$B, 'Uncalibrated Data'!$C1912, 'Picarro Output'!$I:$I, 0, 'Picarro Output'!$J:$J, 1), "")</f>
        <v/>
      </c>
    </row>
    <row r="1913" spans="2:5" x14ac:dyDescent="0.2">
      <c r="B1913" s="1"/>
      <c r="E1913" s="38" t="str">
        <f>IFERROR(AVERAGEIFS('Picarro Output'!G:G, 'Picarro Output'!$B:$B, 'Uncalibrated Data'!$C1913, 'Picarro Output'!$I:$I, 0, 'Picarro Output'!$J:$J, 1), "")</f>
        <v/>
      </c>
    </row>
    <row r="1914" spans="2:5" x14ac:dyDescent="0.2">
      <c r="B1914" s="1"/>
      <c r="E1914" s="38" t="str">
        <f>IFERROR(AVERAGEIFS('Picarro Output'!G:G, 'Picarro Output'!$B:$B, 'Uncalibrated Data'!$C1914, 'Picarro Output'!$I:$I, 0, 'Picarro Output'!$J:$J, 1), "")</f>
        <v/>
      </c>
    </row>
    <row r="1915" spans="2:5" x14ac:dyDescent="0.2">
      <c r="B1915" s="1"/>
      <c r="E1915" s="38" t="str">
        <f>IFERROR(AVERAGEIFS('Picarro Output'!G:G, 'Picarro Output'!$B:$B, 'Uncalibrated Data'!$C1915, 'Picarro Output'!$I:$I, 0, 'Picarro Output'!$J:$J, 1), "")</f>
        <v/>
      </c>
    </row>
    <row r="1916" spans="2:5" x14ac:dyDescent="0.2">
      <c r="B1916" s="1"/>
      <c r="E1916" s="38" t="str">
        <f>IFERROR(AVERAGEIFS('Picarro Output'!G:G, 'Picarro Output'!$B:$B, 'Uncalibrated Data'!$C1916, 'Picarro Output'!$I:$I, 0, 'Picarro Output'!$J:$J, 1), "")</f>
        <v/>
      </c>
    </row>
    <row r="1917" spans="2:5" x14ac:dyDescent="0.2">
      <c r="B1917" s="1"/>
      <c r="E1917" s="38" t="str">
        <f>IFERROR(AVERAGEIFS('Picarro Output'!G:G, 'Picarro Output'!$B:$B, 'Uncalibrated Data'!$C1917, 'Picarro Output'!$I:$I, 0, 'Picarro Output'!$J:$J, 1), "")</f>
        <v/>
      </c>
    </row>
    <row r="1918" spans="2:5" x14ac:dyDescent="0.2">
      <c r="B1918" s="1"/>
      <c r="E1918" s="38" t="str">
        <f>IFERROR(AVERAGEIFS('Picarro Output'!G:G, 'Picarro Output'!$B:$B, 'Uncalibrated Data'!$C1918, 'Picarro Output'!$I:$I, 0, 'Picarro Output'!$J:$J, 1), "")</f>
        <v/>
      </c>
    </row>
    <row r="1919" spans="2:5" x14ac:dyDescent="0.2">
      <c r="B1919" s="1"/>
      <c r="E1919" s="38" t="str">
        <f>IFERROR(AVERAGEIFS('Picarro Output'!G:G, 'Picarro Output'!$B:$B, 'Uncalibrated Data'!$C1919, 'Picarro Output'!$I:$I, 0, 'Picarro Output'!$J:$J, 1), "")</f>
        <v/>
      </c>
    </row>
    <row r="1920" spans="2:5" x14ac:dyDescent="0.2">
      <c r="B1920" s="1"/>
      <c r="E1920" s="38" t="str">
        <f>IFERROR(AVERAGEIFS('Picarro Output'!G:G, 'Picarro Output'!$B:$B, 'Uncalibrated Data'!$C1920, 'Picarro Output'!$I:$I, 0, 'Picarro Output'!$J:$J, 1), "")</f>
        <v/>
      </c>
    </row>
    <row r="1921" spans="2:5" x14ac:dyDescent="0.2">
      <c r="B1921" s="1"/>
      <c r="E1921" s="38" t="str">
        <f>IFERROR(AVERAGEIFS('Picarro Output'!G:G, 'Picarro Output'!$B:$B, 'Uncalibrated Data'!$C1921, 'Picarro Output'!$I:$I, 0, 'Picarro Output'!$J:$J, 1), "")</f>
        <v/>
      </c>
    </row>
    <row r="1922" spans="2:5" x14ac:dyDescent="0.2">
      <c r="B1922" s="1"/>
      <c r="E1922" s="38" t="str">
        <f>IFERROR(AVERAGEIFS('Picarro Output'!G:G, 'Picarro Output'!$B:$B, 'Uncalibrated Data'!$C1922, 'Picarro Output'!$I:$I, 0, 'Picarro Output'!$J:$J, 1), "")</f>
        <v/>
      </c>
    </row>
    <row r="1923" spans="2:5" x14ac:dyDescent="0.2">
      <c r="B1923" s="1"/>
      <c r="E1923" s="38" t="str">
        <f>IFERROR(AVERAGEIFS('Picarro Output'!G:G, 'Picarro Output'!$B:$B, 'Uncalibrated Data'!$C1923, 'Picarro Output'!$I:$I, 0, 'Picarro Output'!$J:$J, 1), "")</f>
        <v/>
      </c>
    </row>
    <row r="1924" spans="2:5" x14ac:dyDescent="0.2">
      <c r="B1924" s="1"/>
      <c r="E1924" s="38" t="str">
        <f>IFERROR(AVERAGEIFS('Picarro Output'!G:G, 'Picarro Output'!$B:$B, 'Uncalibrated Data'!$C1924, 'Picarro Output'!$I:$I, 0, 'Picarro Output'!$J:$J, 1), "")</f>
        <v/>
      </c>
    </row>
    <row r="1925" spans="2:5" x14ac:dyDescent="0.2">
      <c r="B1925" s="1"/>
      <c r="E1925" s="38" t="str">
        <f>IFERROR(AVERAGEIFS('Picarro Output'!G:G, 'Picarro Output'!$B:$B, 'Uncalibrated Data'!$C1925, 'Picarro Output'!$I:$I, 0, 'Picarro Output'!$J:$J, 1), "")</f>
        <v/>
      </c>
    </row>
    <row r="1926" spans="2:5" x14ac:dyDescent="0.2">
      <c r="B1926" s="1"/>
      <c r="E1926" s="38" t="str">
        <f>IFERROR(AVERAGEIFS('Picarro Output'!G:G, 'Picarro Output'!$B:$B, 'Uncalibrated Data'!$C1926, 'Picarro Output'!$I:$I, 0, 'Picarro Output'!$J:$J, 1), "")</f>
        <v/>
      </c>
    </row>
    <row r="1927" spans="2:5" x14ac:dyDescent="0.2">
      <c r="B1927" s="1"/>
      <c r="E1927" s="38" t="str">
        <f>IFERROR(AVERAGEIFS('Picarro Output'!G:G, 'Picarro Output'!$B:$B, 'Uncalibrated Data'!$C1927, 'Picarro Output'!$I:$I, 0, 'Picarro Output'!$J:$J, 1), "")</f>
        <v/>
      </c>
    </row>
    <row r="1928" spans="2:5" x14ac:dyDescent="0.2">
      <c r="B1928" s="1"/>
      <c r="E1928" s="38" t="str">
        <f>IFERROR(AVERAGEIFS('Picarro Output'!G:G, 'Picarro Output'!$B:$B, 'Uncalibrated Data'!$C1928, 'Picarro Output'!$I:$I, 0, 'Picarro Output'!$J:$J, 1), "")</f>
        <v/>
      </c>
    </row>
    <row r="1929" spans="2:5" x14ac:dyDescent="0.2">
      <c r="B1929" s="1"/>
      <c r="E1929" s="38" t="str">
        <f>IFERROR(AVERAGEIFS('Picarro Output'!G:G, 'Picarro Output'!$B:$B, 'Uncalibrated Data'!$C1929, 'Picarro Output'!$I:$I, 0, 'Picarro Output'!$J:$J, 1), "")</f>
        <v/>
      </c>
    </row>
    <row r="1930" spans="2:5" x14ac:dyDescent="0.2">
      <c r="B1930" s="1"/>
      <c r="E1930" s="38" t="str">
        <f>IFERROR(AVERAGEIFS('Picarro Output'!G:G, 'Picarro Output'!$B:$B, 'Uncalibrated Data'!$C1930, 'Picarro Output'!$I:$I, 0, 'Picarro Output'!$J:$J, 1), "")</f>
        <v/>
      </c>
    </row>
    <row r="1931" spans="2:5" x14ac:dyDescent="0.2">
      <c r="B1931" s="1"/>
      <c r="E1931" s="38" t="str">
        <f>IFERROR(AVERAGEIFS('Picarro Output'!G:G, 'Picarro Output'!$B:$B, 'Uncalibrated Data'!$C1931, 'Picarro Output'!$I:$I, 0, 'Picarro Output'!$J:$J, 1), "")</f>
        <v/>
      </c>
    </row>
    <row r="1932" spans="2:5" x14ac:dyDescent="0.2">
      <c r="B1932" s="1"/>
      <c r="E1932" s="38" t="str">
        <f>IFERROR(AVERAGEIFS('Picarro Output'!G:G, 'Picarro Output'!$B:$B, 'Uncalibrated Data'!$C1932, 'Picarro Output'!$I:$I, 0, 'Picarro Output'!$J:$J, 1), "")</f>
        <v/>
      </c>
    </row>
    <row r="1933" spans="2:5" x14ac:dyDescent="0.2">
      <c r="B1933" s="1"/>
      <c r="E1933" s="38" t="str">
        <f>IFERROR(AVERAGEIFS('Picarro Output'!G:G, 'Picarro Output'!$B:$B, 'Uncalibrated Data'!$C1933, 'Picarro Output'!$I:$I, 0, 'Picarro Output'!$J:$J, 1), "")</f>
        <v/>
      </c>
    </row>
    <row r="1934" spans="2:5" x14ac:dyDescent="0.2">
      <c r="B1934" s="1"/>
      <c r="E1934" s="38" t="str">
        <f>IFERROR(AVERAGEIFS('Picarro Output'!G:G, 'Picarro Output'!$B:$B, 'Uncalibrated Data'!$C1934, 'Picarro Output'!$I:$I, 0, 'Picarro Output'!$J:$J, 1), "")</f>
        <v/>
      </c>
    </row>
    <row r="1935" spans="2:5" x14ac:dyDescent="0.2">
      <c r="B1935" s="1"/>
      <c r="E1935" s="38" t="str">
        <f>IFERROR(AVERAGEIFS('Picarro Output'!G:G, 'Picarro Output'!$B:$B, 'Uncalibrated Data'!$C1935, 'Picarro Output'!$I:$I, 0, 'Picarro Output'!$J:$J, 1), "")</f>
        <v/>
      </c>
    </row>
    <row r="1936" spans="2:5" x14ac:dyDescent="0.2">
      <c r="B1936" s="1"/>
      <c r="E1936" s="38" t="str">
        <f>IFERROR(AVERAGEIFS('Picarro Output'!G:G, 'Picarro Output'!$B:$B, 'Uncalibrated Data'!$C1936, 'Picarro Output'!$I:$I, 0, 'Picarro Output'!$J:$J, 1), "")</f>
        <v/>
      </c>
    </row>
    <row r="1937" spans="2:5" x14ac:dyDescent="0.2">
      <c r="B1937" s="1"/>
      <c r="E1937" s="38" t="str">
        <f>IFERROR(AVERAGEIFS('Picarro Output'!G:G, 'Picarro Output'!$B:$B, 'Uncalibrated Data'!$C1937, 'Picarro Output'!$I:$I, 0, 'Picarro Output'!$J:$J, 1), "")</f>
        <v/>
      </c>
    </row>
    <row r="1938" spans="2:5" x14ac:dyDescent="0.2">
      <c r="B1938" s="1"/>
      <c r="E1938" s="38" t="str">
        <f>IFERROR(AVERAGEIFS('Picarro Output'!G:G, 'Picarro Output'!$B:$B, 'Uncalibrated Data'!$C1938, 'Picarro Output'!$I:$I, 0, 'Picarro Output'!$J:$J, 1), "")</f>
        <v/>
      </c>
    </row>
    <row r="1939" spans="2:5" x14ac:dyDescent="0.2">
      <c r="B1939" s="1"/>
      <c r="E1939" s="38" t="str">
        <f>IFERROR(AVERAGEIFS('Picarro Output'!G:G, 'Picarro Output'!$B:$B, 'Uncalibrated Data'!$C1939, 'Picarro Output'!$I:$I, 0, 'Picarro Output'!$J:$J, 1), "")</f>
        <v/>
      </c>
    </row>
    <row r="1940" spans="2:5" x14ac:dyDescent="0.2">
      <c r="B1940" s="1"/>
      <c r="E1940" s="38" t="str">
        <f>IFERROR(AVERAGEIFS('Picarro Output'!G:G, 'Picarro Output'!$B:$B, 'Uncalibrated Data'!$C1940, 'Picarro Output'!$I:$I, 0, 'Picarro Output'!$J:$J, 1), "")</f>
        <v/>
      </c>
    </row>
    <row r="1941" spans="2:5" x14ac:dyDescent="0.2">
      <c r="B1941" s="1"/>
      <c r="E1941" s="38" t="str">
        <f>IFERROR(AVERAGEIFS('Picarro Output'!G:G, 'Picarro Output'!$B:$B, 'Uncalibrated Data'!$C1941, 'Picarro Output'!$I:$I, 0, 'Picarro Output'!$J:$J, 1), "")</f>
        <v/>
      </c>
    </row>
    <row r="1942" spans="2:5" x14ac:dyDescent="0.2">
      <c r="B1942" s="1"/>
      <c r="E1942" s="38" t="str">
        <f>IFERROR(AVERAGEIFS('Picarro Output'!G:G, 'Picarro Output'!$B:$B, 'Uncalibrated Data'!$C1942, 'Picarro Output'!$I:$I, 0, 'Picarro Output'!$J:$J, 1), "")</f>
        <v/>
      </c>
    </row>
    <row r="1943" spans="2:5" x14ac:dyDescent="0.2">
      <c r="B1943" s="1"/>
      <c r="E1943" s="38" t="str">
        <f>IFERROR(AVERAGEIFS('Picarro Output'!G:G, 'Picarro Output'!$B:$B, 'Uncalibrated Data'!$C1943, 'Picarro Output'!$I:$I, 0, 'Picarro Output'!$J:$J, 1), "")</f>
        <v/>
      </c>
    </row>
    <row r="1944" spans="2:5" x14ac:dyDescent="0.2">
      <c r="B1944" s="1"/>
      <c r="E1944" s="38" t="str">
        <f>IFERROR(AVERAGEIFS('Picarro Output'!G:G, 'Picarro Output'!$B:$B, 'Uncalibrated Data'!$C1944, 'Picarro Output'!$I:$I, 0, 'Picarro Output'!$J:$J, 1), "")</f>
        <v/>
      </c>
    </row>
    <row r="1945" spans="2:5" x14ac:dyDescent="0.2">
      <c r="B1945" s="1"/>
      <c r="E1945" s="38" t="str">
        <f>IFERROR(AVERAGEIFS('Picarro Output'!G:G, 'Picarro Output'!$B:$B, 'Uncalibrated Data'!$C1945, 'Picarro Output'!$I:$I, 0, 'Picarro Output'!$J:$J, 1), "")</f>
        <v/>
      </c>
    </row>
    <row r="1946" spans="2:5" x14ac:dyDescent="0.2">
      <c r="B1946" s="1"/>
      <c r="E1946" s="38" t="str">
        <f>IFERROR(AVERAGEIFS('Picarro Output'!G:G, 'Picarro Output'!$B:$B, 'Uncalibrated Data'!$C1946, 'Picarro Output'!$I:$I, 0, 'Picarro Output'!$J:$J, 1), "")</f>
        <v/>
      </c>
    </row>
    <row r="1947" spans="2:5" x14ac:dyDescent="0.2">
      <c r="B1947" s="1"/>
      <c r="E1947" s="38" t="str">
        <f>IFERROR(AVERAGEIFS('Picarro Output'!G:G, 'Picarro Output'!$B:$B, 'Uncalibrated Data'!$C1947, 'Picarro Output'!$I:$I, 0, 'Picarro Output'!$J:$J, 1), "")</f>
        <v/>
      </c>
    </row>
    <row r="1948" spans="2:5" x14ac:dyDescent="0.2">
      <c r="B1948" s="1"/>
      <c r="E1948" s="38" t="str">
        <f>IFERROR(AVERAGEIFS('Picarro Output'!G:G, 'Picarro Output'!$B:$B, 'Uncalibrated Data'!$C1948, 'Picarro Output'!$I:$I, 0, 'Picarro Output'!$J:$J, 1), "")</f>
        <v/>
      </c>
    </row>
    <row r="1949" spans="2:5" x14ac:dyDescent="0.2">
      <c r="B1949" s="1"/>
      <c r="E1949" s="38" t="str">
        <f>IFERROR(AVERAGEIFS('Picarro Output'!G:G, 'Picarro Output'!$B:$B, 'Uncalibrated Data'!$C1949, 'Picarro Output'!$I:$I, 0, 'Picarro Output'!$J:$J, 1), "")</f>
        <v/>
      </c>
    </row>
    <row r="1950" spans="2:5" x14ac:dyDescent="0.2">
      <c r="B1950" s="1"/>
      <c r="E1950" s="38" t="str">
        <f>IFERROR(AVERAGEIFS('Picarro Output'!G:G, 'Picarro Output'!$B:$B, 'Uncalibrated Data'!$C1950, 'Picarro Output'!$I:$I, 0, 'Picarro Output'!$J:$J, 1), "")</f>
        <v/>
      </c>
    </row>
    <row r="1951" spans="2:5" x14ac:dyDescent="0.2">
      <c r="B1951" s="1"/>
      <c r="E1951" s="38" t="str">
        <f>IFERROR(AVERAGEIFS('Picarro Output'!G:G, 'Picarro Output'!$B:$B, 'Uncalibrated Data'!$C1951, 'Picarro Output'!$I:$I, 0, 'Picarro Output'!$J:$J, 1), "")</f>
        <v/>
      </c>
    </row>
    <row r="1952" spans="2:5" x14ac:dyDescent="0.2">
      <c r="B1952" s="1"/>
      <c r="E1952" s="38" t="str">
        <f>IFERROR(AVERAGEIFS('Picarro Output'!G:G, 'Picarro Output'!$B:$B, 'Uncalibrated Data'!$C1952, 'Picarro Output'!$I:$I, 0, 'Picarro Output'!$J:$J, 1), "")</f>
        <v/>
      </c>
    </row>
    <row r="1953" spans="2:5" x14ac:dyDescent="0.2">
      <c r="B1953" s="1"/>
      <c r="E1953" s="38" t="str">
        <f>IFERROR(AVERAGEIFS('Picarro Output'!G:G, 'Picarro Output'!$B:$B, 'Uncalibrated Data'!$C1953, 'Picarro Output'!$I:$I, 0, 'Picarro Output'!$J:$J, 1), "")</f>
        <v/>
      </c>
    </row>
    <row r="1954" spans="2:5" x14ac:dyDescent="0.2">
      <c r="B1954" s="1"/>
      <c r="E1954" s="38" t="str">
        <f>IFERROR(AVERAGEIFS('Picarro Output'!G:G, 'Picarro Output'!$B:$B, 'Uncalibrated Data'!$C1954, 'Picarro Output'!$I:$I, 0, 'Picarro Output'!$J:$J, 1), "")</f>
        <v/>
      </c>
    </row>
    <row r="1955" spans="2:5" x14ac:dyDescent="0.2">
      <c r="B1955" s="1"/>
      <c r="E1955" s="38" t="str">
        <f>IFERROR(AVERAGEIFS('Picarro Output'!G:G, 'Picarro Output'!$B:$B, 'Uncalibrated Data'!$C1955, 'Picarro Output'!$I:$I, 0, 'Picarro Output'!$J:$J, 1), "")</f>
        <v/>
      </c>
    </row>
    <row r="1956" spans="2:5" x14ac:dyDescent="0.2">
      <c r="B1956" s="1"/>
      <c r="E1956" s="38" t="str">
        <f>IFERROR(AVERAGEIFS('Picarro Output'!G:G, 'Picarro Output'!$B:$B, 'Uncalibrated Data'!$C1956, 'Picarro Output'!$I:$I, 0, 'Picarro Output'!$J:$J, 1), "")</f>
        <v/>
      </c>
    </row>
    <row r="1957" spans="2:5" x14ac:dyDescent="0.2">
      <c r="B1957" s="1"/>
      <c r="E1957" s="38" t="str">
        <f>IFERROR(AVERAGEIFS('Picarro Output'!G:G, 'Picarro Output'!$B:$B, 'Uncalibrated Data'!$C1957, 'Picarro Output'!$I:$I, 0, 'Picarro Output'!$J:$J, 1), "")</f>
        <v/>
      </c>
    </row>
    <row r="1958" spans="2:5" x14ac:dyDescent="0.2">
      <c r="B1958" s="1"/>
      <c r="E1958" s="38" t="str">
        <f>IFERROR(AVERAGEIFS('Picarro Output'!G:G, 'Picarro Output'!$B:$B, 'Uncalibrated Data'!$C1958, 'Picarro Output'!$I:$I, 0, 'Picarro Output'!$J:$J, 1), "")</f>
        <v/>
      </c>
    </row>
    <row r="1959" spans="2:5" x14ac:dyDescent="0.2">
      <c r="B1959" s="1"/>
      <c r="E1959" s="38" t="str">
        <f>IFERROR(AVERAGEIFS('Picarro Output'!G:G, 'Picarro Output'!$B:$B, 'Uncalibrated Data'!$C1959, 'Picarro Output'!$I:$I, 0, 'Picarro Output'!$J:$J, 1), "")</f>
        <v/>
      </c>
    </row>
    <row r="1960" spans="2:5" x14ac:dyDescent="0.2">
      <c r="B1960" s="1"/>
      <c r="E1960" s="38" t="str">
        <f>IFERROR(AVERAGEIFS('Picarro Output'!G:G, 'Picarro Output'!$B:$B, 'Uncalibrated Data'!$C1960, 'Picarro Output'!$I:$I, 0, 'Picarro Output'!$J:$J, 1), "")</f>
        <v/>
      </c>
    </row>
    <row r="1961" spans="2:5" x14ac:dyDescent="0.2">
      <c r="B1961" s="1"/>
      <c r="E1961" s="38" t="str">
        <f>IFERROR(AVERAGEIFS('Picarro Output'!G:G, 'Picarro Output'!$B:$B, 'Uncalibrated Data'!$C1961, 'Picarro Output'!$I:$I, 0, 'Picarro Output'!$J:$J, 1), "")</f>
        <v/>
      </c>
    </row>
    <row r="1962" spans="2:5" x14ac:dyDescent="0.2">
      <c r="B1962" s="1"/>
      <c r="E1962" s="38" t="str">
        <f>IFERROR(AVERAGEIFS('Picarro Output'!G:G, 'Picarro Output'!$B:$B, 'Uncalibrated Data'!$C1962, 'Picarro Output'!$I:$I, 0, 'Picarro Output'!$J:$J, 1), "")</f>
        <v/>
      </c>
    </row>
    <row r="1963" spans="2:5" x14ac:dyDescent="0.2">
      <c r="B1963" s="1"/>
      <c r="E1963" s="38" t="str">
        <f>IFERROR(AVERAGEIFS('Picarro Output'!G:G, 'Picarro Output'!$B:$B, 'Uncalibrated Data'!$C1963, 'Picarro Output'!$I:$I, 0, 'Picarro Output'!$J:$J, 1), "")</f>
        <v/>
      </c>
    </row>
    <row r="1964" spans="2:5" x14ac:dyDescent="0.2">
      <c r="B1964" s="1"/>
      <c r="E1964" s="38" t="str">
        <f>IFERROR(AVERAGEIFS('Picarro Output'!G:G, 'Picarro Output'!$B:$B, 'Uncalibrated Data'!$C1964, 'Picarro Output'!$I:$I, 0, 'Picarro Output'!$J:$J, 1), "")</f>
        <v/>
      </c>
    </row>
    <row r="1965" spans="2:5" x14ac:dyDescent="0.2">
      <c r="B1965" s="1"/>
      <c r="E1965" s="38" t="str">
        <f>IFERROR(AVERAGEIFS('Picarro Output'!G:G, 'Picarro Output'!$B:$B, 'Uncalibrated Data'!$C1965, 'Picarro Output'!$I:$I, 0, 'Picarro Output'!$J:$J, 1), "")</f>
        <v/>
      </c>
    </row>
    <row r="1966" spans="2:5" x14ac:dyDescent="0.2">
      <c r="B1966" s="1"/>
      <c r="E1966" s="38" t="str">
        <f>IFERROR(AVERAGEIFS('Picarro Output'!G:G, 'Picarro Output'!$B:$B, 'Uncalibrated Data'!$C1966, 'Picarro Output'!$I:$I, 0, 'Picarro Output'!$J:$J, 1), "")</f>
        <v/>
      </c>
    </row>
    <row r="1967" spans="2:5" x14ac:dyDescent="0.2">
      <c r="B1967" s="1"/>
      <c r="E1967" s="38" t="str">
        <f>IFERROR(AVERAGEIFS('Picarro Output'!G:G, 'Picarro Output'!$B:$B, 'Uncalibrated Data'!$C1967, 'Picarro Output'!$I:$I, 0, 'Picarro Output'!$J:$J, 1), "")</f>
        <v/>
      </c>
    </row>
    <row r="1968" spans="2:5" x14ac:dyDescent="0.2">
      <c r="B1968" s="1"/>
      <c r="E1968" s="38" t="str">
        <f>IFERROR(AVERAGEIFS('Picarro Output'!G:G, 'Picarro Output'!$B:$B, 'Uncalibrated Data'!$C1968, 'Picarro Output'!$I:$I, 0, 'Picarro Output'!$J:$J, 1), "")</f>
        <v/>
      </c>
    </row>
    <row r="1969" spans="2:5" x14ac:dyDescent="0.2">
      <c r="B1969" s="1"/>
      <c r="E1969" s="38" t="str">
        <f>IFERROR(AVERAGEIFS('Picarro Output'!G:G, 'Picarro Output'!$B:$B, 'Uncalibrated Data'!$C1969, 'Picarro Output'!$I:$I, 0, 'Picarro Output'!$J:$J, 1), "")</f>
        <v/>
      </c>
    </row>
    <row r="1970" spans="2:5" x14ac:dyDescent="0.2">
      <c r="B1970" s="1"/>
      <c r="E1970" s="38" t="str">
        <f>IFERROR(AVERAGEIFS('Picarro Output'!G:G, 'Picarro Output'!$B:$B, 'Uncalibrated Data'!$C1970, 'Picarro Output'!$I:$I, 0, 'Picarro Output'!$J:$J, 1), "")</f>
        <v/>
      </c>
    </row>
    <row r="1971" spans="2:5" x14ac:dyDescent="0.2">
      <c r="B1971" s="1"/>
      <c r="E1971" s="38" t="str">
        <f>IFERROR(AVERAGEIFS('Picarro Output'!G:G, 'Picarro Output'!$B:$B, 'Uncalibrated Data'!$C1971, 'Picarro Output'!$I:$I, 0, 'Picarro Output'!$J:$J, 1), "")</f>
        <v/>
      </c>
    </row>
    <row r="1972" spans="2:5" x14ac:dyDescent="0.2">
      <c r="B1972" s="1"/>
      <c r="E1972" s="38" t="str">
        <f>IFERROR(AVERAGEIFS('Picarro Output'!G:G, 'Picarro Output'!$B:$B, 'Uncalibrated Data'!$C1972, 'Picarro Output'!$I:$I, 0, 'Picarro Output'!$J:$J, 1), "")</f>
        <v/>
      </c>
    </row>
    <row r="1973" spans="2:5" x14ac:dyDescent="0.2">
      <c r="B1973" s="1"/>
      <c r="E1973" s="38" t="str">
        <f>IFERROR(AVERAGEIFS('Picarro Output'!G:G, 'Picarro Output'!$B:$B, 'Uncalibrated Data'!$C1973, 'Picarro Output'!$I:$I, 0, 'Picarro Output'!$J:$J, 1), "")</f>
        <v/>
      </c>
    </row>
    <row r="1974" spans="2:5" x14ac:dyDescent="0.2">
      <c r="B1974" s="1"/>
      <c r="E1974" s="38" t="str">
        <f>IFERROR(AVERAGEIFS('Picarro Output'!G:G, 'Picarro Output'!$B:$B, 'Uncalibrated Data'!$C1974, 'Picarro Output'!$I:$I, 0, 'Picarro Output'!$J:$J, 1), "")</f>
        <v/>
      </c>
    </row>
    <row r="1975" spans="2:5" x14ac:dyDescent="0.2">
      <c r="B1975" s="1"/>
      <c r="E1975" s="38" t="str">
        <f>IFERROR(AVERAGEIFS('Picarro Output'!G:G, 'Picarro Output'!$B:$B, 'Uncalibrated Data'!$C1975, 'Picarro Output'!$I:$I, 0, 'Picarro Output'!$J:$J, 1), "")</f>
        <v/>
      </c>
    </row>
    <row r="1976" spans="2:5" x14ac:dyDescent="0.2">
      <c r="B1976" s="1"/>
      <c r="E1976" s="38" t="str">
        <f>IFERROR(AVERAGEIFS('Picarro Output'!G:G, 'Picarro Output'!$B:$B, 'Uncalibrated Data'!$C1976, 'Picarro Output'!$I:$I, 0, 'Picarro Output'!$J:$J, 1), "")</f>
        <v/>
      </c>
    </row>
    <row r="1977" spans="2:5" x14ac:dyDescent="0.2">
      <c r="B1977" s="1"/>
      <c r="E1977" s="38" t="str">
        <f>IFERROR(AVERAGEIFS('Picarro Output'!G:G, 'Picarro Output'!$B:$B, 'Uncalibrated Data'!$C1977, 'Picarro Output'!$I:$I, 0, 'Picarro Output'!$J:$J, 1), "")</f>
        <v/>
      </c>
    </row>
    <row r="1978" spans="2:5" x14ac:dyDescent="0.2">
      <c r="B1978" s="1"/>
      <c r="E1978" s="38" t="str">
        <f>IFERROR(AVERAGEIFS('Picarro Output'!G:G, 'Picarro Output'!$B:$B, 'Uncalibrated Data'!$C1978, 'Picarro Output'!$I:$I, 0, 'Picarro Output'!$J:$J, 1), "")</f>
        <v/>
      </c>
    </row>
    <row r="1979" spans="2:5" x14ac:dyDescent="0.2">
      <c r="B1979" s="1"/>
      <c r="E1979" s="38" t="str">
        <f>IFERROR(AVERAGEIFS('Picarro Output'!G:G, 'Picarro Output'!$B:$B, 'Uncalibrated Data'!$C1979, 'Picarro Output'!$I:$I, 0, 'Picarro Output'!$J:$J, 1), "")</f>
        <v/>
      </c>
    </row>
    <row r="1980" spans="2:5" x14ac:dyDescent="0.2">
      <c r="B1980" s="1"/>
      <c r="E1980" s="38" t="str">
        <f>IFERROR(AVERAGEIFS('Picarro Output'!G:G, 'Picarro Output'!$B:$B, 'Uncalibrated Data'!$C1980, 'Picarro Output'!$I:$I, 0, 'Picarro Output'!$J:$J, 1), "")</f>
        <v/>
      </c>
    </row>
    <row r="1981" spans="2:5" x14ac:dyDescent="0.2">
      <c r="B1981" s="1"/>
      <c r="E1981" s="38" t="str">
        <f>IFERROR(AVERAGEIFS('Picarro Output'!G:G, 'Picarro Output'!$B:$B, 'Uncalibrated Data'!$C1981, 'Picarro Output'!$I:$I, 0, 'Picarro Output'!$J:$J, 1), "")</f>
        <v/>
      </c>
    </row>
    <row r="1982" spans="2:5" x14ac:dyDescent="0.2">
      <c r="B1982" s="1"/>
      <c r="E1982" s="38" t="str">
        <f>IFERROR(AVERAGEIFS('Picarro Output'!G:G, 'Picarro Output'!$B:$B, 'Uncalibrated Data'!$C1982, 'Picarro Output'!$I:$I, 0, 'Picarro Output'!$J:$J, 1), "")</f>
        <v/>
      </c>
    </row>
    <row r="1983" spans="2:5" x14ac:dyDescent="0.2">
      <c r="B1983" s="1"/>
      <c r="E1983" s="38" t="str">
        <f>IFERROR(AVERAGEIFS('Picarro Output'!G:G, 'Picarro Output'!$B:$B, 'Uncalibrated Data'!$C1983, 'Picarro Output'!$I:$I, 0, 'Picarro Output'!$J:$J, 1), "")</f>
        <v/>
      </c>
    </row>
    <row r="1984" spans="2:5" x14ac:dyDescent="0.2">
      <c r="B1984" s="1"/>
      <c r="E1984" s="38" t="str">
        <f>IFERROR(AVERAGEIFS('Picarro Output'!G:G, 'Picarro Output'!$B:$B, 'Uncalibrated Data'!$C1984, 'Picarro Output'!$I:$I, 0, 'Picarro Output'!$J:$J, 1), "")</f>
        <v/>
      </c>
    </row>
    <row r="1985" spans="2:5" x14ac:dyDescent="0.2">
      <c r="B1985" s="1"/>
      <c r="E1985" s="38" t="str">
        <f>IFERROR(AVERAGEIFS('Picarro Output'!G:G, 'Picarro Output'!$B:$B, 'Uncalibrated Data'!$C1985, 'Picarro Output'!$I:$I, 0, 'Picarro Output'!$J:$J, 1), "")</f>
        <v/>
      </c>
    </row>
    <row r="1986" spans="2:5" x14ac:dyDescent="0.2">
      <c r="B1986" s="1"/>
      <c r="E1986" s="38" t="str">
        <f>IFERROR(AVERAGEIFS('Picarro Output'!G:G, 'Picarro Output'!$B:$B, 'Uncalibrated Data'!$C1986, 'Picarro Output'!$I:$I, 0, 'Picarro Output'!$J:$J, 1), "")</f>
        <v/>
      </c>
    </row>
    <row r="1987" spans="2:5" x14ac:dyDescent="0.2">
      <c r="B1987" s="1"/>
      <c r="E1987" s="38" t="str">
        <f>IFERROR(AVERAGEIFS('Picarro Output'!G:G, 'Picarro Output'!$B:$B, 'Uncalibrated Data'!$C1987, 'Picarro Output'!$I:$I, 0, 'Picarro Output'!$J:$J, 1), "")</f>
        <v/>
      </c>
    </row>
    <row r="1988" spans="2:5" x14ac:dyDescent="0.2">
      <c r="B1988" s="1"/>
      <c r="E1988" s="38" t="str">
        <f>IFERROR(AVERAGEIFS('Picarro Output'!G:G, 'Picarro Output'!$B:$B, 'Uncalibrated Data'!$C1988, 'Picarro Output'!$I:$I, 0, 'Picarro Output'!$J:$J, 1), "")</f>
        <v/>
      </c>
    </row>
    <row r="1989" spans="2:5" x14ac:dyDescent="0.2">
      <c r="B1989" s="1"/>
      <c r="E1989" s="38" t="str">
        <f>IFERROR(AVERAGEIFS('Picarro Output'!G:G, 'Picarro Output'!$B:$B, 'Uncalibrated Data'!$C1989, 'Picarro Output'!$I:$I, 0, 'Picarro Output'!$J:$J, 1), "")</f>
        <v/>
      </c>
    </row>
    <row r="1990" spans="2:5" x14ac:dyDescent="0.2">
      <c r="B1990" s="1"/>
      <c r="E1990" s="38" t="str">
        <f>IFERROR(AVERAGEIFS('Picarro Output'!G:G, 'Picarro Output'!$B:$B, 'Uncalibrated Data'!$C1990, 'Picarro Output'!$I:$I, 0, 'Picarro Output'!$J:$J, 1), "")</f>
        <v/>
      </c>
    </row>
    <row r="1991" spans="2:5" x14ac:dyDescent="0.2">
      <c r="B1991" s="1"/>
      <c r="E1991" s="38" t="str">
        <f>IFERROR(AVERAGEIFS('Picarro Output'!G:G, 'Picarro Output'!$B:$B, 'Uncalibrated Data'!$C1991, 'Picarro Output'!$I:$I, 0, 'Picarro Output'!$J:$J, 1), "")</f>
        <v/>
      </c>
    </row>
    <row r="1992" spans="2:5" x14ac:dyDescent="0.2">
      <c r="B1992" s="1"/>
      <c r="E1992" s="38" t="str">
        <f>IFERROR(AVERAGEIFS('Picarro Output'!G:G, 'Picarro Output'!$B:$B, 'Uncalibrated Data'!$C1992, 'Picarro Output'!$I:$I, 0, 'Picarro Output'!$J:$J, 1), "")</f>
        <v/>
      </c>
    </row>
    <row r="1993" spans="2:5" x14ac:dyDescent="0.2">
      <c r="B1993" s="1"/>
      <c r="E1993" s="38" t="str">
        <f>IFERROR(AVERAGEIFS('Picarro Output'!G:G, 'Picarro Output'!$B:$B, 'Uncalibrated Data'!$C1993, 'Picarro Output'!$I:$I, 0, 'Picarro Output'!$J:$J, 1), "")</f>
        <v/>
      </c>
    </row>
    <row r="1994" spans="2:5" x14ac:dyDescent="0.2">
      <c r="B1994" s="1"/>
      <c r="E1994" s="38" t="str">
        <f>IFERROR(AVERAGEIFS('Picarro Output'!G:G, 'Picarro Output'!$B:$B, 'Uncalibrated Data'!$C1994, 'Picarro Output'!$I:$I, 0, 'Picarro Output'!$J:$J, 1), "")</f>
        <v/>
      </c>
    </row>
    <row r="1995" spans="2:5" x14ac:dyDescent="0.2">
      <c r="B1995" s="1"/>
      <c r="E1995" s="38" t="str">
        <f>IFERROR(AVERAGEIFS('Picarro Output'!G:G, 'Picarro Output'!$B:$B, 'Uncalibrated Data'!$C1995, 'Picarro Output'!$I:$I, 0, 'Picarro Output'!$J:$J, 1), "")</f>
        <v/>
      </c>
    </row>
    <row r="1996" spans="2:5" x14ac:dyDescent="0.2">
      <c r="B1996" s="1"/>
      <c r="E1996" s="38" t="str">
        <f>IFERROR(AVERAGEIFS('Picarro Output'!G:G, 'Picarro Output'!$B:$B, 'Uncalibrated Data'!$C1996, 'Picarro Output'!$I:$I, 0, 'Picarro Output'!$J:$J, 1), "")</f>
        <v/>
      </c>
    </row>
    <row r="1997" spans="2:5" x14ac:dyDescent="0.2">
      <c r="B1997" s="1"/>
      <c r="E1997" s="38" t="str">
        <f>IFERROR(AVERAGEIFS('Picarro Output'!G:G, 'Picarro Output'!$B:$B, 'Uncalibrated Data'!$C1997, 'Picarro Output'!$I:$I, 0, 'Picarro Output'!$J:$J, 1), "")</f>
        <v/>
      </c>
    </row>
    <row r="1998" spans="2:5" x14ac:dyDescent="0.2">
      <c r="B1998" s="1"/>
      <c r="E1998" s="38" t="str">
        <f>IFERROR(AVERAGEIFS('Picarro Output'!G:G, 'Picarro Output'!$B:$B, 'Uncalibrated Data'!$C1998, 'Picarro Output'!$I:$I, 0, 'Picarro Output'!$J:$J, 1), "")</f>
        <v/>
      </c>
    </row>
    <row r="1999" spans="2:5" x14ac:dyDescent="0.2">
      <c r="B1999" s="1"/>
      <c r="E1999" s="38" t="str">
        <f>IFERROR(AVERAGEIFS('Picarro Output'!G:G, 'Picarro Output'!$B:$B, 'Uncalibrated Data'!$C1999, 'Picarro Output'!$I:$I, 0, 'Picarro Output'!$J:$J, 1), "")</f>
        <v/>
      </c>
    </row>
    <row r="2000" spans="2:5" x14ac:dyDescent="0.2">
      <c r="B2000" s="1"/>
      <c r="E2000" s="38" t="str">
        <f>IFERROR(AVERAGEIFS('Picarro Output'!G:G, 'Picarro Output'!$B:$B, 'Uncalibrated Data'!$C2000, 'Picarro Output'!$I:$I, 0, 'Picarro Output'!$J:$J, 1), "")</f>
        <v/>
      </c>
    </row>
    <row r="2001" spans="2:5" x14ac:dyDescent="0.2">
      <c r="B2001" s="1"/>
      <c r="E2001" s="38" t="str">
        <f>IFERROR(AVERAGEIFS('Picarro Output'!G:G, 'Picarro Output'!$B:$B, 'Uncalibrated Data'!$C2001, 'Picarro Output'!$I:$I, 0, 'Picarro Output'!$J:$J, 1), "")</f>
        <v/>
      </c>
    </row>
    <row r="2002" spans="2:5" x14ac:dyDescent="0.2">
      <c r="B2002" s="1"/>
      <c r="E2002" s="38" t="str">
        <f>IFERROR(AVERAGEIFS('Picarro Output'!G:G, 'Picarro Output'!$B:$B, 'Uncalibrated Data'!$C2002, 'Picarro Output'!$I:$I, 0, 'Picarro Output'!$J:$J, 1), "")</f>
        <v/>
      </c>
    </row>
    <row r="2003" spans="2:5" x14ac:dyDescent="0.2">
      <c r="B2003" s="1"/>
      <c r="E2003" s="38" t="str">
        <f>IFERROR(AVERAGEIFS('Picarro Output'!G:G, 'Picarro Output'!$B:$B, 'Uncalibrated Data'!$C2003, 'Picarro Output'!$I:$I, 0, 'Picarro Output'!$J:$J, 1), "")</f>
        <v/>
      </c>
    </row>
    <row r="2004" spans="2:5" x14ac:dyDescent="0.2">
      <c r="B2004" s="1"/>
      <c r="E2004" s="38" t="str">
        <f>IFERROR(AVERAGEIFS('Picarro Output'!G:G, 'Picarro Output'!$B:$B, 'Uncalibrated Data'!$C2004, 'Picarro Output'!$I:$I, 0, 'Picarro Output'!$J:$J, 1), "")</f>
        <v/>
      </c>
    </row>
    <row r="2005" spans="2:5" x14ac:dyDescent="0.2">
      <c r="B2005" s="1"/>
      <c r="E2005" s="38" t="str">
        <f>IFERROR(AVERAGEIFS('Picarro Output'!G:G, 'Picarro Output'!$B:$B, 'Uncalibrated Data'!$C2005, 'Picarro Output'!$I:$I, 0, 'Picarro Output'!$J:$J, 1), "")</f>
        <v/>
      </c>
    </row>
    <row r="2006" spans="2:5" x14ac:dyDescent="0.2">
      <c r="B2006" s="1"/>
      <c r="E2006" s="38" t="str">
        <f>IFERROR(AVERAGEIFS('Picarro Output'!G:G, 'Picarro Output'!$B:$B, 'Uncalibrated Data'!$C2006, 'Picarro Output'!$I:$I, 0, 'Picarro Output'!$J:$J, 1), "")</f>
        <v/>
      </c>
    </row>
    <row r="2007" spans="2:5" x14ac:dyDescent="0.2">
      <c r="B2007" s="1"/>
      <c r="E2007" s="38" t="str">
        <f>IFERROR(AVERAGEIFS('Picarro Output'!G:G, 'Picarro Output'!$B:$B, 'Uncalibrated Data'!$C2007, 'Picarro Output'!$I:$I, 0, 'Picarro Output'!$J:$J, 1), "")</f>
        <v/>
      </c>
    </row>
    <row r="2008" spans="2:5" x14ac:dyDescent="0.2">
      <c r="B2008" s="1"/>
      <c r="E2008" s="38" t="str">
        <f>IFERROR(AVERAGEIFS('Picarro Output'!G:G, 'Picarro Output'!$B:$B, 'Uncalibrated Data'!$C2008, 'Picarro Output'!$I:$I, 0, 'Picarro Output'!$J:$J, 1), "")</f>
        <v/>
      </c>
    </row>
    <row r="2009" spans="2:5" x14ac:dyDescent="0.2">
      <c r="B2009" s="1"/>
      <c r="E2009" s="38" t="str">
        <f>IFERROR(AVERAGEIFS('Picarro Output'!G:G, 'Picarro Output'!$B:$B, 'Uncalibrated Data'!$C2009, 'Picarro Output'!$I:$I, 0, 'Picarro Output'!$J:$J, 1), "")</f>
        <v/>
      </c>
    </row>
    <row r="2010" spans="2:5" x14ac:dyDescent="0.2">
      <c r="B2010" s="1"/>
      <c r="E2010" s="38" t="str">
        <f>IFERROR(AVERAGEIFS('Picarro Output'!G:G, 'Picarro Output'!$B:$B, 'Uncalibrated Data'!$C2010, 'Picarro Output'!$I:$I, 0, 'Picarro Output'!$J:$J, 1), "")</f>
        <v/>
      </c>
    </row>
    <row r="2011" spans="2:5" x14ac:dyDescent="0.2">
      <c r="B2011" s="1"/>
      <c r="E2011" s="38" t="str">
        <f>IFERROR(AVERAGEIFS('Picarro Output'!G:G, 'Picarro Output'!$B:$B, 'Uncalibrated Data'!$C2011, 'Picarro Output'!$I:$I, 0, 'Picarro Output'!$J:$J, 1), "")</f>
        <v/>
      </c>
    </row>
    <row r="2012" spans="2:5" x14ac:dyDescent="0.2">
      <c r="B2012" s="1"/>
      <c r="E2012" s="38" t="str">
        <f>IFERROR(AVERAGEIFS('Picarro Output'!G:G, 'Picarro Output'!$B:$B, 'Uncalibrated Data'!$C2012, 'Picarro Output'!$I:$I, 0, 'Picarro Output'!$J:$J, 1), "")</f>
        <v/>
      </c>
    </row>
    <row r="2013" spans="2:5" x14ac:dyDescent="0.2">
      <c r="B2013" s="1"/>
      <c r="E2013" s="38" t="str">
        <f>IFERROR(AVERAGEIFS('Picarro Output'!G:G, 'Picarro Output'!$B:$B, 'Uncalibrated Data'!$C2013, 'Picarro Output'!$I:$I, 0, 'Picarro Output'!$J:$J, 1), "")</f>
        <v/>
      </c>
    </row>
    <row r="2014" spans="2:5" x14ac:dyDescent="0.2">
      <c r="B2014" s="1"/>
      <c r="E2014" s="38" t="str">
        <f>IFERROR(AVERAGEIFS('Picarro Output'!G:G, 'Picarro Output'!$B:$B, 'Uncalibrated Data'!$C2014, 'Picarro Output'!$I:$I, 0, 'Picarro Output'!$J:$J, 1), "")</f>
        <v/>
      </c>
    </row>
    <row r="2015" spans="2:5" x14ac:dyDescent="0.2">
      <c r="B2015" s="1"/>
      <c r="E2015" s="38" t="str">
        <f>IFERROR(AVERAGEIFS('Picarro Output'!G:G, 'Picarro Output'!$B:$B, 'Uncalibrated Data'!$C2015, 'Picarro Output'!$I:$I, 0, 'Picarro Output'!$J:$J, 1), "")</f>
        <v/>
      </c>
    </row>
    <row r="2016" spans="2:5" x14ac:dyDescent="0.2">
      <c r="B2016" s="1"/>
      <c r="E2016" s="38" t="str">
        <f>IFERROR(AVERAGEIFS('Picarro Output'!G:G, 'Picarro Output'!$B:$B, 'Uncalibrated Data'!$C2016, 'Picarro Output'!$I:$I, 0, 'Picarro Output'!$J:$J, 1), "")</f>
        <v/>
      </c>
    </row>
    <row r="2017" spans="2:5" x14ac:dyDescent="0.2">
      <c r="B2017" s="1"/>
      <c r="E2017" s="38" t="str">
        <f>IFERROR(AVERAGEIFS('Picarro Output'!G:G, 'Picarro Output'!$B:$B, 'Uncalibrated Data'!$C2017, 'Picarro Output'!$I:$I, 0, 'Picarro Output'!$J:$J, 1), "")</f>
        <v/>
      </c>
    </row>
    <row r="2018" spans="2:5" x14ac:dyDescent="0.2">
      <c r="B2018" s="1"/>
      <c r="E2018" s="38" t="str">
        <f>IFERROR(AVERAGEIFS('Picarro Output'!G:G, 'Picarro Output'!$B:$B, 'Uncalibrated Data'!$C2018, 'Picarro Output'!$I:$I, 0, 'Picarro Output'!$J:$J, 1), "")</f>
        <v/>
      </c>
    </row>
    <row r="2019" spans="2:5" x14ac:dyDescent="0.2">
      <c r="B2019" s="1"/>
      <c r="E2019" s="38" t="str">
        <f>IFERROR(AVERAGEIFS('Picarro Output'!G:G, 'Picarro Output'!$B:$B, 'Uncalibrated Data'!$C2019, 'Picarro Output'!$I:$I, 0, 'Picarro Output'!$J:$J, 1), "")</f>
        <v/>
      </c>
    </row>
    <row r="2020" spans="2:5" x14ac:dyDescent="0.2">
      <c r="B2020" s="1"/>
      <c r="E2020" s="38" t="str">
        <f>IFERROR(AVERAGEIFS('Picarro Output'!G:G, 'Picarro Output'!$B:$B, 'Uncalibrated Data'!$C2020, 'Picarro Output'!$I:$I, 0, 'Picarro Output'!$J:$J, 1), "")</f>
        <v/>
      </c>
    </row>
    <row r="2021" spans="2:5" x14ac:dyDescent="0.2">
      <c r="B2021" s="1"/>
      <c r="E2021" s="38" t="str">
        <f>IFERROR(AVERAGEIFS('Picarro Output'!G:G, 'Picarro Output'!$B:$B, 'Uncalibrated Data'!$C2021, 'Picarro Output'!$I:$I, 0, 'Picarro Output'!$J:$J, 1), "")</f>
        <v/>
      </c>
    </row>
    <row r="2022" spans="2:5" x14ac:dyDescent="0.2">
      <c r="B2022" s="1"/>
      <c r="E2022" s="38" t="str">
        <f>IFERROR(AVERAGEIFS('Picarro Output'!G:G, 'Picarro Output'!$B:$B, 'Uncalibrated Data'!$C2022, 'Picarro Output'!$I:$I, 0, 'Picarro Output'!$J:$J, 1), "")</f>
        <v/>
      </c>
    </row>
    <row r="2023" spans="2:5" x14ac:dyDescent="0.2">
      <c r="B2023" s="1"/>
      <c r="E2023" s="38" t="str">
        <f>IFERROR(AVERAGEIFS('Picarro Output'!G:G, 'Picarro Output'!$B:$B, 'Uncalibrated Data'!$C2023, 'Picarro Output'!$I:$I, 0, 'Picarro Output'!$J:$J, 1), "")</f>
        <v/>
      </c>
    </row>
    <row r="2024" spans="2:5" x14ac:dyDescent="0.2">
      <c r="B2024" s="1"/>
      <c r="E2024" s="38" t="str">
        <f>IFERROR(AVERAGEIFS('Picarro Output'!G:G, 'Picarro Output'!$B:$B, 'Uncalibrated Data'!$C2024, 'Picarro Output'!$I:$I, 0, 'Picarro Output'!$J:$J, 1), "")</f>
        <v/>
      </c>
    </row>
    <row r="2025" spans="2:5" x14ac:dyDescent="0.2">
      <c r="B2025" s="1"/>
      <c r="E2025" s="38" t="str">
        <f>IFERROR(AVERAGEIFS('Picarro Output'!G:G, 'Picarro Output'!$B:$B, 'Uncalibrated Data'!$C2025, 'Picarro Output'!$I:$I, 0, 'Picarro Output'!$J:$J, 1), "")</f>
        <v/>
      </c>
    </row>
    <row r="2026" spans="2:5" x14ac:dyDescent="0.2">
      <c r="B2026" s="1"/>
      <c r="E2026" s="38" t="str">
        <f>IFERROR(AVERAGEIFS('Picarro Output'!G:G, 'Picarro Output'!$B:$B, 'Uncalibrated Data'!$C2026, 'Picarro Output'!$I:$I, 0, 'Picarro Output'!$J:$J, 1), "")</f>
        <v/>
      </c>
    </row>
    <row r="2027" spans="2:5" x14ac:dyDescent="0.2">
      <c r="B2027" s="1"/>
      <c r="E2027" s="38" t="str">
        <f>IFERROR(AVERAGEIFS('Picarro Output'!G:G, 'Picarro Output'!$B:$B, 'Uncalibrated Data'!$C2027, 'Picarro Output'!$I:$I, 0, 'Picarro Output'!$J:$J, 1), "")</f>
        <v/>
      </c>
    </row>
    <row r="2028" spans="2:5" x14ac:dyDescent="0.2">
      <c r="B2028" s="1"/>
      <c r="E2028" s="38" t="str">
        <f>IFERROR(AVERAGEIFS('Picarro Output'!G:G, 'Picarro Output'!$B:$B, 'Uncalibrated Data'!$C2028, 'Picarro Output'!$I:$I, 0, 'Picarro Output'!$J:$J, 1), "")</f>
        <v/>
      </c>
    </row>
    <row r="2029" spans="2:5" x14ac:dyDescent="0.2">
      <c r="B2029" s="1"/>
      <c r="E2029" s="38" t="str">
        <f>IFERROR(AVERAGEIFS('Picarro Output'!G:G, 'Picarro Output'!$B:$B, 'Uncalibrated Data'!$C2029, 'Picarro Output'!$I:$I, 0, 'Picarro Output'!$J:$J, 1), "")</f>
        <v/>
      </c>
    </row>
    <row r="2030" spans="2:5" x14ac:dyDescent="0.2">
      <c r="B2030" s="1"/>
      <c r="E2030" s="38" t="str">
        <f>IFERROR(AVERAGEIFS('Picarro Output'!G:G, 'Picarro Output'!$B:$B, 'Uncalibrated Data'!$C2030, 'Picarro Output'!$I:$I, 0, 'Picarro Output'!$J:$J, 1), "")</f>
        <v/>
      </c>
    </row>
    <row r="2031" spans="2:5" x14ac:dyDescent="0.2">
      <c r="B2031" s="1"/>
      <c r="E2031" s="38" t="str">
        <f>IFERROR(AVERAGEIFS('Picarro Output'!G:G, 'Picarro Output'!$B:$B, 'Uncalibrated Data'!$C2031, 'Picarro Output'!$I:$I, 0, 'Picarro Output'!$J:$J, 1), "")</f>
        <v/>
      </c>
    </row>
    <row r="2032" spans="2:5" x14ac:dyDescent="0.2">
      <c r="B2032" s="1"/>
      <c r="E2032" s="38" t="str">
        <f>IFERROR(AVERAGEIFS('Picarro Output'!G:G, 'Picarro Output'!$B:$B, 'Uncalibrated Data'!$C2032, 'Picarro Output'!$I:$I, 0, 'Picarro Output'!$J:$J, 1), "")</f>
        <v/>
      </c>
    </row>
    <row r="2033" spans="2:5" x14ac:dyDescent="0.2">
      <c r="B2033" s="1"/>
      <c r="E2033" s="38" t="str">
        <f>IFERROR(AVERAGEIFS('Picarro Output'!G:G, 'Picarro Output'!$B:$B, 'Uncalibrated Data'!$C2033, 'Picarro Output'!$I:$I, 0, 'Picarro Output'!$J:$J, 1), "")</f>
        <v/>
      </c>
    </row>
    <row r="2034" spans="2:5" x14ac:dyDescent="0.2">
      <c r="B2034" s="1"/>
      <c r="E2034" s="38" t="str">
        <f>IFERROR(AVERAGEIFS('Picarro Output'!G:G, 'Picarro Output'!$B:$B, 'Uncalibrated Data'!$C2034, 'Picarro Output'!$I:$I, 0, 'Picarro Output'!$J:$J, 1), "")</f>
        <v/>
      </c>
    </row>
    <row r="2035" spans="2:5" x14ac:dyDescent="0.2">
      <c r="B2035" s="1"/>
      <c r="E2035" s="38" t="str">
        <f>IFERROR(AVERAGEIFS('Picarro Output'!G:G, 'Picarro Output'!$B:$B, 'Uncalibrated Data'!$C2035, 'Picarro Output'!$I:$I, 0, 'Picarro Output'!$J:$J, 1), "")</f>
        <v/>
      </c>
    </row>
    <row r="2036" spans="2:5" x14ac:dyDescent="0.2">
      <c r="B2036" s="1"/>
      <c r="E2036" s="38" t="str">
        <f>IFERROR(AVERAGEIFS('Picarro Output'!G:G, 'Picarro Output'!$B:$B, 'Uncalibrated Data'!$C2036, 'Picarro Output'!$I:$I, 0, 'Picarro Output'!$J:$J, 1), "")</f>
        <v/>
      </c>
    </row>
    <row r="2037" spans="2:5" x14ac:dyDescent="0.2">
      <c r="B2037" s="1"/>
      <c r="E2037" s="38" t="str">
        <f>IFERROR(AVERAGEIFS('Picarro Output'!G:G, 'Picarro Output'!$B:$B, 'Uncalibrated Data'!$C2037, 'Picarro Output'!$I:$I, 0, 'Picarro Output'!$J:$J, 1), "")</f>
        <v/>
      </c>
    </row>
    <row r="2038" spans="2:5" x14ac:dyDescent="0.2">
      <c r="B2038" s="1"/>
      <c r="E2038" s="38" t="str">
        <f>IFERROR(AVERAGEIFS('Picarro Output'!G:G, 'Picarro Output'!$B:$B, 'Uncalibrated Data'!$C2038, 'Picarro Output'!$I:$I, 0, 'Picarro Output'!$J:$J, 1), "")</f>
        <v/>
      </c>
    </row>
    <row r="2039" spans="2:5" x14ac:dyDescent="0.2">
      <c r="B2039" s="1"/>
      <c r="E2039" s="38" t="str">
        <f>IFERROR(AVERAGEIFS('Picarro Output'!G:G, 'Picarro Output'!$B:$B, 'Uncalibrated Data'!$C2039, 'Picarro Output'!$I:$I, 0, 'Picarro Output'!$J:$J, 1), "")</f>
        <v/>
      </c>
    </row>
    <row r="2040" spans="2:5" x14ac:dyDescent="0.2">
      <c r="B2040" s="1"/>
      <c r="E2040" s="38" t="str">
        <f>IFERROR(AVERAGEIFS('Picarro Output'!G:G, 'Picarro Output'!$B:$B, 'Uncalibrated Data'!$C2040, 'Picarro Output'!$I:$I, 0, 'Picarro Output'!$J:$J, 1), "")</f>
        <v/>
      </c>
    </row>
    <row r="2041" spans="2:5" x14ac:dyDescent="0.2">
      <c r="B2041" s="1"/>
      <c r="E2041" s="38" t="str">
        <f>IFERROR(AVERAGEIFS('Picarro Output'!G:G, 'Picarro Output'!$B:$B, 'Uncalibrated Data'!$C2041, 'Picarro Output'!$I:$I, 0, 'Picarro Output'!$J:$J, 1), "")</f>
        <v/>
      </c>
    </row>
    <row r="2042" spans="2:5" x14ac:dyDescent="0.2">
      <c r="B2042" s="1"/>
      <c r="E2042" s="38" t="str">
        <f>IFERROR(AVERAGEIFS('Picarro Output'!G:G, 'Picarro Output'!$B:$B, 'Uncalibrated Data'!$C2042, 'Picarro Output'!$I:$I, 0, 'Picarro Output'!$J:$J, 1), "")</f>
        <v/>
      </c>
    </row>
    <row r="2043" spans="2:5" x14ac:dyDescent="0.2">
      <c r="B2043" s="1"/>
      <c r="E2043" s="38" t="str">
        <f>IFERROR(AVERAGEIFS('Picarro Output'!G:G, 'Picarro Output'!$B:$B, 'Uncalibrated Data'!$C2043, 'Picarro Output'!$I:$I, 0, 'Picarro Output'!$J:$J, 1), "")</f>
        <v/>
      </c>
    </row>
    <row r="2044" spans="2:5" x14ac:dyDescent="0.2">
      <c r="B2044" s="1"/>
      <c r="E2044" s="38" t="str">
        <f>IFERROR(AVERAGEIFS('Picarro Output'!G:G, 'Picarro Output'!$B:$B, 'Uncalibrated Data'!$C2044, 'Picarro Output'!$I:$I, 0, 'Picarro Output'!$J:$J, 1), "")</f>
        <v/>
      </c>
    </row>
    <row r="2045" spans="2:5" x14ac:dyDescent="0.2">
      <c r="B2045" s="1"/>
      <c r="E2045" s="38" t="str">
        <f>IFERROR(AVERAGEIFS('Picarro Output'!G:G, 'Picarro Output'!$B:$B, 'Uncalibrated Data'!$C2045, 'Picarro Output'!$I:$I, 0, 'Picarro Output'!$J:$J, 1), "")</f>
        <v/>
      </c>
    </row>
    <row r="2046" spans="2:5" x14ac:dyDescent="0.2">
      <c r="B2046" s="1"/>
      <c r="E2046" s="38" t="str">
        <f>IFERROR(AVERAGEIFS('Picarro Output'!G:G, 'Picarro Output'!$B:$B, 'Uncalibrated Data'!$C2046, 'Picarro Output'!$I:$I, 0, 'Picarro Output'!$J:$J, 1), "")</f>
        <v/>
      </c>
    </row>
    <row r="2047" spans="2:5" x14ac:dyDescent="0.2">
      <c r="B2047" s="1"/>
      <c r="E2047" s="38" t="str">
        <f>IFERROR(AVERAGEIFS('Picarro Output'!G:G, 'Picarro Output'!$B:$B, 'Uncalibrated Data'!$C2047, 'Picarro Output'!$I:$I, 0, 'Picarro Output'!$J:$J, 1), "")</f>
        <v/>
      </c>
    </row>
    <row r="2048" spans="2:5" x14ac:dyDescent="0.2">
      <c r="B2048" s="1"/>
      <c r="E2048" s="38" t="str">
        <f>IFERROR(AVERAGEIFS('Picarro Output'!G:G, 'Picarro Output'!$B:$B, 'Uncalibrated Data'!$C2048, 'Picarro Output'!$I:$I, 0, 'Picarro Output'!$J:$J, 1), "")</f>
        <v/>
      </c>
    </row>
    <row r="2049" spans="2:5" x14ac:dyDescent="0.2">
      <c r="B2049" s="1"/>
      <c r="E2049" s="38" t="str">
        <f>IFERROR(AVERAGEIFS('Picarro Output'!G:G, 'Picarro Output'!$B:$B, 'Uncalibrated Data'!$C2049, 'Picarro Output'!$I:$I, 0, 'Picarro Output'!$J:$J, 1), "")</f>
        <v/>
      </c>
    </row>
    <row r="2050" spans="2:5" x14ac:dyDescent="0.2">
      <c r="B2050" s="1"/>
      <c r="E2050" s="38" t="str">
        <f>IFERROR(AVERAGEIFS('Picarro Output'!G:G, 'Picarro Output'!$B:$B, 'Uncalibrated Data'!$C2050, 'Picarro Output'!$I:$I, 0, 'Picarro Output'!$J:$J, 1), "")</f>
        <v/>
      </c>
    </row>
    <row r="2051" spans="2:5" x14ac:dyDescent="0.2">
      <c r="B2051" s="1"/>
      <c r="E2051" s="38" t="str">
        <f>IFERROR(AVERAGEIFS('Picarro Output'!G:G, 'Picarro Output'!$B:$B, 'Uncalibrated Data'!$C2051, 'Picarro Output'!$I:$I, 0, 'Picarro Output'!$J:$J, 1), "")</f>
        <v/>
      </c>
    </row>
    <row r="2052" spans="2:5" x14ac:dyDescent="0.2">
      <c r="B2052" s="1"/>
      <c r="E2052" s="38" t="str">
        <f>IFERROR(AVERAGEIFS('Picarro Output'!G:G, 'Picarro Output'!$B:$B, 'Uncalibrated Data'!$C2052, 'Picarro Output'!$I:$I, 0, 'Picarro Output'!$J:$J, 1), "")</f>
        <v/>
      </c>
    </row>
    <row r="2053" spans="2:5" x14ac:dyDescent="0.2">
      <c r="B2053" s="1"/>
      <c r="E2053" s="38" t="str">
        <f>IFERROR(AVERAGEIFS('Picarro Output'!G:G, 'Picarro Output'!$B:$B, 'Uncalibrated Data'!$C2053, 'Picarro Output'!$I:$I, 0, 'Picarro Output'!$J:$J, 1), "")</f>
        <v/>
      </c>
    </row>
    <row r="2054" spans="2:5" x14ac:dyDescent="0.2">
      <c r="B2054" s="1"/>
      <c r="E2054" s="38" t="str">
        <f>IFERROR(AVERAGEIFS('Picarro Output'!G:G, 'Picarro Output'!$B:$B, 'Uncalibrated Data'!$C2054, 'Picarro Output'!$I:$I, 0, 'Picarro Output'!$J:$J, 1), "")</f>
        <v/>
      </c>
    </row>
    <row r="2055" spans="2:5" x14ac:dyDescent="0.2">
      <c r="B2055" s="1"/>
      <c r="E2055" s="38" t="str">
        <f>IFERROR(AVERAGEIFS('Picarro Output'!G:G, 'Picarro Output'!$B:$B, 'Uncalibrated Data'!$C2055, 'Picarro Output'!$I:$I, 0, 'Picarro Output'!$J:$J, 1), "")</f>
        <v/>
      </c>
    </row>
    <row r="2056" spans="2:5" x14ac:dyDescent="0.2">
      <c r="B2056" s="1"/>
      <c r="E2056" s="38" t="str">
        <f>IFERROR(AVERAGEIFS('Picarro Output'!G:G, 'Picarro Output'!$B:$B, 'Uncalibrated Data'!$C2056, 'Picarro Output'!$I:$I, 0, 'Picarro Output'!$J:$J, 1), "")</f>
        <v/>
      </c>
    </row>
    <row r="2057" spans="2:5" x14ac:dyDescent="0.2">
      <c r="B2057" s="1"/>
      <c r="E2057" s="38" t="str">
        <f>IFERROR(AVERAGEIFS('Picarro Output'!G:G, 'Picarro Output'!$B:$B, 'Uncalibrated Data'!$C2057, 'Picarro Output'!$I:$I, 0, 'Picarro Output'!$J:$J, 1), "")</f>
        <v/>
      </c>
    </row>
    <row r="2058" spans="2:5" x14ac:dyDescent="0.2">
      <c r="B2058" s="1"/>
      <c r="E2058" s="38" t="str">
        <f>IFERROR(AVERAGEIFS('Picarro Output'!G:G, 'Picarro Output'!$B:$B, 'Uncalibrated Data'!$C2058, 'Picarro Output'!$I:$I, 0, 'Picarro Output'!$J:$J, 1), "")</f>
        <v/>
      </c>
    </row>
    <row r="2059" spans="2:5" x14ac:dyDescent="0.2">
      <c r="B2059" s="1"/>
      <c r="E2059" s="38" t="str">
        <f>IFERROR(AVERAGEIFS('Picarro Output'!G:G, 'Picarro Output'!$B:$B, 'Uncalibrated Data'!$C2059, 'Picarro Output'!$I:$I, 0, 'Picarro Output'!$J:$J, 1), "")</f>
        <v/>
      </c>
    </row>
    <row r="2060" spans="2:5" x14ac:dyDescent="0.2">
      <c r="B2060" s="1"/>
      <c r="E2060" s="38" t="str">
        <f>IFERROR(AVERAGEIFS('Picarro Output'!G:G, 'Picarro Output'!$B:$B, 'Uncalibrated Data'!$C2060, 'Picarro Output'!$I:$I, 0, 'Picarro Output'!$J:$J, 1), "")</f>
        <v/>
      </c>
    </row>
    <row r="2061" spans="2:5" x14ac:dyDescent="0.2">
      <c r="B2061" s="1"/>
      <c r="E2061" s="38" t="str">
        <f>IFERROR(AVERAGEIFS('Picarro Output'!G:G, 'Picarro Output'!$B:$B, 'Uncalibrated Data'!$C2061, 'Picarro Output'!$I:$I, 0, 'Picarro Output'!$J:$J, 1), "")</f>
        <v/>
      </c>
    </row>
    <row r="2062" spans="2:5" x14ac:dyDescent="0.2">
      <c r="B2062" s="1"/>
      <c r="E2062" s="38" t="str">
        <f>IFERROR(AVERAGEIFS('Picarro Output'!G:G, 'Picarro Output'!$B:$B, 'Uncalibrated Data'!$C2062, 'Picarro Output'!$I:$I, 0, 'Picarro Output'!$J:$J, 1), "")</f>
        <v/>
      </c>
    </row>
    <row r="2063" spans="2:5" x14ac:dyDescent="0.2">
      <c r="B2063" s="1"/>
      <c r="E2063" s="38" t="str">
        <f>IFERROR(AVERAGEIFS('Picarro Output'!G:G, 'Picarro Output'!$B:$B, 'Uncalibrated Data'!$C2063, 'Picarro Output'!$I:$I, 0, 'Picarro Output'!$J:$J, 1), "")</f>
        <v/>
      </c>
    </row>
    <row r="2064" spans="2:5" x14ac:dyDescent="0.2">
      <c r="B2064" s="1"/>
      <c r="E2064" s="38" t="str">
        <f>IFERROR(AVERAGEIFS('Picarro Output'!G:G, 'Picarro Output'!$B:$B, 'Uncalibrated Data'!$C2064, 'Picarro Output'!$I:$I, 0, 'Picarro Output'!$J:$J, 1), "")</f>
        <v/>
      </c>
    </row>
    <row r="2065" spans="2:5" x14ac:dyDescent="0.2">
      <c r="B2065" s="1"/>
      <c r="E2065" s="38" t="str">
        <f>IFERROR(AVERAGEIFS('Picarro Output'!G:G, 'Picarro Output'!$B:$B, 'Uncalibrated Data'!$C2065, 'Picarro Output'!$I:$I, 0, 'Picarro Output'!$J:$J, 1), "")</f>
        <v/>
      </c>
    </row>
    <row r="2066" spans="2:5" x14ac:dyDescent="0.2">
      <c r="B2066" s="1"/>
      <c r="E2066" s="38" t="str">
        <f>IFERROR(AVERAGEIFS('Picarro Output'!G:G, 'Picarro Output'!$B:$B, 'Uncalibrated Data'!$C2066, 'Picarro Output'!$I:$I, 0, 'Picarro Output'!$J:$J, 1), "")</f>
        <v/>
      </c>
    </row>
    <row r="2067" spans="2:5" x14ac:dyDescent="0.2">
      <c r="B2067" s="1"/>
      <c r="E2067" s="38" t="str">
        <f>IFERROR(AVERAGEIFS('Picarro Output'!G:G, 'Picarro Output'!$B:$B, 'Uncalibrated Data'!$C2067, 'Picarro Output'!$I:$I, 0, 'Picarro Output'!$J:$J, 1), "")</f>
        <v/>
      </c>
    </row>
    <row r="2068" spans="2:5" x14ac:dyDescent="0.2">
      <c r="B2068" s="1"/>
      <c r="E2068" s="38" t="str">
        <f>IFERROR(AVERAGEIFS('Picarro Output'!G:G, 'Picarro Output'!$B:$B, 'Uncalibrated Data'!$C2068, 'Picarro Output'!$I:$I, 0, 'Picarro Output'!$J:$J, 1), "")</f>
        <v/>
      </c>
    </row>
    <row r="2069" spans="2:5" x14ac:dyDescent="0.2">
      <c r="B2069" s="1"/>
      <c r="E2069" s="38" t="str">
        <f>IFERROR(AVERAGEIFS('Picarro Output'!G:G, 'Picarro Output'!$B:$B, 'Uncalibrated Data'!$C2069, 'Picarro Output'!$I:$I, 0, 'Picarro Output'!$J:$J, 1), "")</f>
        <v/>
      </c>
    </row>
    <row r="2070" spans="2:5" x14ac:dyDescent="0.2">
      <c r="B2070" s="1"/>
      <c r="E2070" s="38" t="str">
        <f>IFERROR(AVERAGEIFS('Picarro Output'!G:G, 'Picarro Output'!$B:$B, 'Uncalibrated Data'!$C2070, 'Picarro Output'!$I:$I, 0, 'Picarro Output'!$J:$J, 1), "")</f>
        <v/>
      </c>
    </row>
    <row r="2071" spans="2:5" x14ac:dyDescent="0.2">
      <c r="B2071" s="1"/>
      <c r="E2071" s="38" t="str">
        <f>IFERROR(AVERAGEIFS('Picarro Output'!G:G, 'Picarro Output'!$B:$B, 'Uncalibrated Data'!$C2071, 'Picarro Output'!$I:$I, 0, 'Picarro Output'!$J:$J, 1), "")</f>
        <v/>
      </c>
    </row>
    <row r="2072" spans="2:5" x14ac:dyDescent="0.2">
      <c r="B2072" s="1"/>
      <c r="E2072" s="38" t="str">
        <f>IFERROR(AVERAGEIFS('Picarro Output'!G:G, 'Picarro Output'!$B:$B, 'Uncalibrated Data'!$C2072, 'Picarro Output'!$I:$I, 0, 'Picarro Output'!$J:$J, 1), "")</f>
        <v/>
      </c>
    </row>
    <row r="2073" spans="2:5" x14ac:dyDescent="0.2">
      <c r="B2073" s="1"/>
      <c r="E2073" s="38" t="str">
        <f>IFERROR(AVERAGEIFS('Picarro Output'!G:G, 'Picarro Output'!$B:$B, 'Uncalibrated Data'!$C2073, 'Picarro Output'!$I:$I, 0, 'Picarro Output'!$J:$J, 1), "")</f>
        <v/>
      </c>
    </row>
    <row r="2074" spans="2:5" x14ac:dyDescent="0.2">
      <c r="B2074" s="1"/>
      <c r="E2074" s="38" t="str">
        <f>IFERROR(AVERAGEIFS('Picarro Output'!G:G, 'Picarro Output'!$B:$B, 'Uncalibrated Data'!$C2074, 'Picarro Output'!$I:$I, 0, 'Picarro Output'!$J:$J, 1), "")</f>
        <v/>
      </c>
    </row>
    <row r="2075" spans="2:5" x14ac:dyDescent="0.2">
      <c r="B2075" s="1"/>
      <c r="E2075" s="38" t="str">
        <f>IFERROR(AVERAGEIFS('Picarro Output'!G:G, 'Picarro Output'!$B:$B, 'Uncalibrated Data'!$C2075, 'Picarro Output'!$I:$I, 0, 'Picarro Output'!$J:$J, 1), "")</f>
        <v/>
      </c>
    </row>
    <row r="2076" spans="2:5" x14ac:dyDescent="0.2">
      <c r="B2076" s="1"/>
      <c r="E2076" s="38" t="str">
        <f>IFERROR(AVERAGEIFS('Picarro Output'!G:G, 'Picarro Output'!$B:$B, 'Uncalibrated Data'!$C2076, 'Picarro Output'!$I:$I, 0, 'Picarro Output'!$J:$J, 1), "")</f>
        <v/>
      </c>
    </row>
    <row r="2077" spans="2:5" x14ac:dyDescent="0.2">
      <c r="B2077" s="1"/>
      <c r="E2077" s="38" t="str">
        <f>IFERROR(AVERAGEIFS('Picarro Output'!G:G, 'Picarro Output'!$B:$B, 'Uncalibrated Data'!$C2077, 'Picarro Output'!$I:$I, 0, 'Picarro Output'!$J:$J, 1), "")</f>
        <v/>
      </c>
    </row>
    <row r="2078" spans="2:5" x14ac:dyDescent="0.2">
      <c r="B2078" s="1"/>
      <c r="E2078" s="38" t="str">
        <f>IFERROR(AVERAGEIFS('Picarro Output'!G:G, 'Picarro Output'!$B:$B, 'Uncalibrated Data'!$C2078, 'Picarro Output'!$I:$I, 0, 'Picarro Output'!$J:$J, 1), "")</f>
        <v/>
      </c>
    </row>
    <row r="2079" spans="2:5" x14ac:dyDescent="0.2">
      <c r="B2079" s="1"/>
      <c r="E2079" s="38" t="str">
        <f>IFERROR(AVERAGEIFS('Picarro Output'!G:G, 'Picarro Output'!$B:$B, 'Uncalibrated Data'!$C2079, 'Picarro Output'!$I:$I, 0, 'Picarro Output'!$J:$J, 1), "")</f>
        <v/>
      </c>
    </row>
    <row r="2080" spans="2:5" x14ac:dyDescent="0.2">
      <c r="B2080" s="1"/>
      <c r="E2080" s="38" t="str">
        <f>IFERROR(AVERAGEIFS('Picarro Output'!G:G, 'Picarro Output'!$B:$B, 'Uncalibrated Data'!$C2080, 'Picarro Output'!$I:$I, 0, 'Picarro Output'!$J:$J, 1), "")</f>
        <v/>
      </c>
    </row>
    <row r="2081" spans="2:5" x14ac:dyDescent="0.2">
      <c r="B2081" s="1"/>
      <c r="E2081" s="38" t="str">
        <f>IFERROR(AVERAGEIFS('Picarro Output'!G:G, 'Picarro Output'!$B:$B, 'Uncalibrated Data'!$C2081, 'Picarro Output'!$I:$I, 0, 'Picarro Output'!$J:$J, 1), "")</f>
        <v/>
      </c>
    </row>
    <row r="2082" spans="2:5" x14ac:dyDescent="0.2">
      <c r="B2082" s="1"/>
      <c r="E2082" s="38" t="str">
        <f>IFERROR(AVERAGEIFS('Picarro Output'!G:G, 'Picarro Output'!$B:$B, 'Uncalibrated Data'!$C2082, 'Picarro Output'!$I:$I, 0, 'Picarro Output'!$J:$J, 1), "")</f>
        <v/>
      </c>
    </row>
    <row r="2083" spans="2:5" x14ac:dyDescent="0.2">
      <c r="B2083" s="1"/>
      <c r="E2083" s="38" t="str">
        <f>IFERROR(AVERAGEIFS('Picarro Output'!G:G, 'Picarro Output'!$B:$B, 'Uncalibrated Data'!$C2083, 'Picarro Output'!$I:$I, 0, 'Picarro Output'!$J:$J, 1), "")</f>
        <v/>
      </c>
    </row>
    <row r="2084" spans="2:5" x14ac:dyDescent="0.2">
      <c r="B2084" s="1"/>
      <c r="E2084" s="38" t="str">
        <f>IFERROR(AVERAGEIFS('Picarro Output'!G:G, 'Picarro Output'!$B:$B, 'Uncalibrated Data'!$C2084, 'Picarro Output'!$I:$I, 0, 'Picarro Output'!$J:$J, 1), "")</f>
        <v/>
      </c>
    </row>
    <row r="2085" spans="2:5" x14ac:dyDescent="0.2">
      <c r="B2085" s="1"/>
      <c r="E2085" s="38" t="str">
        <f>IFERROR(AVERAGEIFS('Picarro Output'!G:G, 'Picarro Output'!$B:$B, 'Uncalibrated Data'!$C2085, 'Picarro Output'!$I:$I, 0, 'Picarro Output'!$J:$J, 1), "")</f>
        <v/>
      </c>
    </row>
    <row r="2086" spans="2:5" x14ac:dyDescent="0.2">
      <c r="B2086" s="1"/>
      <c r="E2086" s="38" t="str">
        <f>IFERROR(AVERAGEIFS('Picarro Output'!G:G, 'Picarro Output'!$B:$B, 'Uncalibrated Data'!$C2086, 'Picarro Output'!$I:$I, 0, 'Picarro Output'!$J:$J, 1), "")</f>
        <v/>
      </c>
    </row>
    <row r="2087" spans="2:5" x14ac:dyDescent="0.2">
      <c r="B2087" s="1"/>
      <c r="E2087" s="38" t="str">
        <f>IFERROR(AVERAGEIFS('Picarro Output'!G:G, 'Picarro Output'!$B:$B, 'Uncalibrated Data'!$C2087, 'Picarro Output'!$I:$I, 0, 'Picarro Output'!$J:$J, 1), "")</f>
        <v/>
      </c>
    </row>
    <row r="2088" spans="2:5" x14ac:dyDescent="0.2">
      <c r="B2088" s="1"/>
      <c r="E2088" s="38" t="str">
        <f>IFERROR(AVERAGEIFS('Picarro Output'!G:G, 'Picarro Output'!$B:$B, 'Uncalibrated Data'!$C2088, 'Picarro Output'!$I:$I, 0, 'Picarro Output'!$J:$J, 1), "")</f>
        <v/>
      </c>
    </row>
    <row r="2089" spans="2:5" x14ac:dyDescent="0.2">
      <c r="B2089" s="1"/>
      <c r="E2089" s="38" t="str">
        <f>IFERROR(AVERAGEIFS('Picarro Output'!G:G, 'Picarro Output'!$B:$B, 'Uncalibrated Data'!$C2089, 'Picarro Output'!$I:$I, 0, 'Picarro Output'!$J:$J, 1), "")</f>
        <v/>
      </c>
    </row>
    <row r="2090" spans="2:5" x14ac:dyDescent="0.2">
      <c r="B2090" s="1"/>
      <c r="E2090" s="38" t="str">
        <f>IFERROR(AVERAGEIFS('Picarro Output'!G:G, 'Picarro Output'!$B:$B, 'Uncalibrated Data'!$C2090, 'Picarro Output'!$I:$I, 0, 'Picarro Output'!$J:$J, 1), "")</f>
        <v/>
      </c>
    </row>
    <row r="2091" spans="2:5" x14ac:dyDescent="0.2">
      <c r="B2091" s="1"/>
      <c r="E2091" s="38" t="str">
        <f>IFERROR(AVERAGEIFS('Picarro Output'!G:G, 'Picarro Output'!$B:$B, 'Uncalibrated Data'!$C2091, 'Picarro Output'!$I:$I, 0, 'Picarro Output'!$J:$J, 1), "")</f>
        <v/>
      </c>
    </row>
    <row r="2092" spans="2:5" x14ac:dyDescent="0.2">
      <c r="B2092" s="1"/>
      <c r="E2092" s="38" t="str">
        <f>IFERROR(AVERAGEIFS('Picarro Output'!G:G, 'Picarro Output'!$B:$B, 'Uncalibrated Data'!$C2092, 'Picarro Output'!$I:$I, 0, 'Picarro Output'!$J:$J, 1), "")</f>
        <v/>
      </c>
    </row>
    <row r="2093" spans="2:5" x14ac:dyDescent="0.2">
      <c r="B2093" s="1"/>
      <c r="E2093" s="38" t="str">
        <f>IFERROR(AVERAGEIFS('Picarro Output'!G:G, 'Picarro Output'!$B:$B, 'Uncalibrated Data'!$C2093, 'Picarro Output'!$I:$I, 0, 'Picarro Output'!$J:$J, 1), "")</f>
        <v/>
      </c>
    </row>
    <row r="2094" spans="2:5" x14ac:dyDescent="0.2">
      <c r="B2094" s="1"/>
      <c r="E2094" s="38" t="str">
        <f>IFERROR(AVERAGEIFS('Picarro Output'!G:G, 'Picarro Output'!$B:$B, 'Uncalibrated Data'!$C2094, 'Picarro Output'!$I:$I, 0, 'Picarro Output'!$J:$J, 1), "")</f>
        <v/>
      </c>
    </row>
    <row r="2095" spans="2:5" x14ac:dyDescent="0.2">
      <c r="B2095" s="1"/>
      <c r="E2095" s="38" t="str">
        <f>IFERROR(AVERAGEIFS('Picarro Output'!G:G, 'Picarro Output'!$B:$B, 'Uncalibrated Data'!$C2095, 'Picarro Output'!$I:$I, 0, 'Picarro Output'!$J:$J, 1), "")</f>
        <v/>
      </c>
    </row>
    <row r="2096" spans="2:5" x14ac:dyDescent="0.2">
      <c r="B2096" s="1"/>
      <c r="E2096" s="38" t="str">
        <f>IFERROR(AVERAGEIFS('Picarro Output'!G:G, 'Picarro Output'!$B:$B, 'Uncalibrated Data'!$C2096, 'Picarro Output'!$I:$I, 0, 'Picarro Output'!$J:$J, 1), "")</f>
        <v/>
      </c>
    </row>
    <row r="2097" spans="2:5" x14ac:dyDescent="0.2">
      <c r="B2097" s="1"/>
      <c r="E2097" s="38" t="str">
        <f>IFERROR(AVERAGEIFS('Picarro Output'!G:G, 'Picarro Output'!$B:$B, 'Uncalibrated Data'!$C2097, 'Picarro Output'!$I:$I, 0, 'Picarro Output'!$J:$J, 1), "")</f>
        <v/>
      </c>
    </row>
    <row r="2098" spans="2:5" x14ac:dyDescent="0.2">
      <c r="B2098" s="1"/>
      <c r="E2098" s="38" t="str">
        <f>IFERROR(AVERAGEIFS('Picarro Output'!G:G, 'Picarro Output'!$B:$B, 'Uncalibrated Data'!$C2098, 'Picarro Output'!$I:$I, 0, 'Picarro Output'!$J:$J, 1), "")</f>
        <v/>
      </c>
    </row>
    <row r="2099" spans="2:5" x14ac:dyDescent="0.2">
      <c r="B2099" s="1"/>
      <c r="E2099" s="38" t="str">
        <f>IFERROR(AVERAGEIFS('Picarro Output'!G:G, 'Picarro Output'!$B:$B, 'Uncalibrated Data'!$C2099, 'Picarro Output'!$I:$I, 0, 'Picarro Output'!$J:$J, 1), "")</f>
        <v/>
      </c>
    </row>
    <row r="2100" spans="2:5" x14ac:dyDescent="0.2">
      <c r="B2100" s="1"/>
      <c r="E2100" s="38" t="str">
        <f>IFERROR(AVERAGEIFS('Picarro Output'!G:G, 'Picarro Output'!$B:$B, 'Uncalibrated Data'!$C2100, 'Picarro Output'!$I:$I, 0, 'Picarro Output'!$J:$J, 1), "")</f>
        <v/>
      </c>
    </row>
    <row r="2101" spans="2:5" x14ac:dyDescent="0.2">
      <c r="B2101" s="1"/>
      <c r="E2101" s="38" t="str">
        <f>IFERROR(AVERAGEIFS('Picarro Output'!G:G, 'Picarro Output'!$B:$B, 'Uncalibrated Data'!$C2101, 'Picarro Output'!$I:$I, 0, 'Picarro Output'!$J:$J, 1), "")</f>
        <v/>
      </c>
    </row>
    <row r="2102" spans="2:5" x14ac:dyDescent="0.2">
      <c r="B2102" s="1"/>
      <c r="E2102" s="38" t="str">
        <f>IFERROR(AVERAGEIFS('Picarro Output'!G:G, 'Picarro Output'!$B:$B, 'Uncalibrated Data'!$C2102, 'Picarro Output'!$I:$I, 0, 'Picarro Output'!$J:$J, 1), "")</f>
        <v/>
      </c>
    </row>
    <row r="2103" spans="2:5" x14ac:dyDescent="0.2">
      <c r="B2103" s="1"/>
      <c r="E2103" s="38" t="str">
        <f>IFERROR(AVERAGEIFS('Picarro Output'!G:G, 'Picarro Output'!$B:$B, 'Uncalibrated Data'!$C2103, 'Picarro Output'!$I:$I, 0, 'Picarro Output'!$J:$J, 1), "")</f>
        <v/>
      </c>
    </row>
    <row r="2104" spans="2:5" x14ac:dyDescent="0.2">
      <c r="B2104" s="1"/>
      <c r="E2104" s="38" t="str">
        <f>IFERROR(AVERAGEIFS('Picarro Output'!G:G, 'Picarro Output'!$B:$B, 'Uncalibrated Data'!$C2104, 'Picarro Output'!$I:$I, 0, 'Picarro Output'!$J:$J, 1), "")</f>
        <v/>
      </c>
    </row>
    <row r="2105" spans="2:5" x14ac:dyDescent="0.2">
      <c r="B2105" s="1"/>
      <c r="E2105" s="38" t="str">
        <f>IFERROR(AVERAGEIFS('Picarro Output'!G:G, 'Picarro Output'!$B:$B, 'Uncalibrated Data'!$C2105, 'Picarro Output'!$I:$I, 0, 'Picarro Output'!$J:$J, 1), "")</f>
        <v/>
      </c>
    </row>
    <row r="2106" spans="2:5" x14ac:dyDescent="0.2">
      <c r="B2106" s="1"/>
      <c r="E2106" s="38" t="str">
        <f>IFERROR(AVERAGEIFS('Picarro Output'!G:G, 'Picarro Output'!$B:$B, 'Uncalibrated Data'!$C2106, 'Picarro Output'!$I:$I, 0, 'Picarro Output'!$J:$J, 1), "")</f>
        <v/>
      </c>
    </row>
    <row r="2107" spans="2:5" x14ac:dyDescent="0.2">
      <c r="B2107" s="1"/>
      <c r="E2107" s="38" t="str">
        <f>IFERROR(AVERAGEIFS('Picarro Output'!G:G, 'Picarro Output'!$B:$B, 'Uncalibrated Data'!$C2107, 'Picarro Output'!$I:$I, 0, 'Picarro Output'!$J:$J, 1), "")</f>
        <v/>
      </c>
    </row>
    <row r="2108" spans="2:5" x14ac:dyDescent="0.2">
      <c r="B2108" s="1"/>
      <c r="E2108" s="38" t="str">
        <f>IFERROR(AVERAGEIFS('Picarro Output'!G:G, 'Picarro Output'!$B:$B, 'Uncalibrated Data'!$C2108, 'Picarro Output'!$I:$I, 0, 'Picarro Output'!$J:$J, 1), "")</f>
        <v/>
      </c>
    </row>
    <row r="2109" spans="2:5" x14ac:dyDescent="0.2">
      <c r="B2109" s="1"/>
      <c r="E2109" s="38" t="str">
        <f>IFERROR(AVERAGEIFS('Picarro Output'!G:G, 'Picarro Output'!$B:$B, 'Uncalibrated Data'!$C2109, 'Picarro Output'!$I:$I, 0, 'Picarro Output'!$J:$J, 1), "")</f>
        <v/>
      </c>
    </row>
    <row r="2110" spans="2:5" x14ac:dyDescent="0.2">
      <c r="B2110" s="1"/>
      <c r="E2110" s="38" t="str">
        <f>IFERROR(AVERAGEIFS('Picarro Output'!G:G, 'Picarro Output'!$B:$B, 'Uncalibrated Data'!$C2110, 'Picarro Output'!$I:$I, 0, 'Picarro Output'!$J:$J, 1), "")</f>
        <v/>
      </c>
    </row>
    <row r="2111" spans="2:5" x14ac:dyDescent="0.2">
      <c r="B2111" s="1"/>
      <c r="E2111" s="38" t="str">
        <f>IFERROR(AVERAGEIFS('Picarro Output'!G:G, 'Picarro Output'!$B:$B, 'Uncalibrated Data'!$C2111, 'Picarro Output'!$I:$I, 0, 'Picarro Output'!$J:$J, 1), "")</f>
        <v/>
      </c>
    </row>
    <row r="2112" spans="2:5" x14ac:dyDescent="0.2">
      <c r="B2112" s="1"/>
      <c r="E2112" s="38" t="str">
        <f>IFERROR(AVERAGEIFS('Picarro Output'!G:G, 'Picarro Output'!$B:$B, 'Uncalibrated Data'!$C2112, 'Picarro Output'!$I:$I, 0, 'Picarro Output'!$J:$J, 1), "")</f>
        <v/>
      </c>
    </row>
    <row r="2113" spans="2:5" x14ac:dyDescent="0.2">
      <c r="B2113" s="1"/>
      <c r="E2113" s="38" t="str">
        <f>IFERROR(AVERAGEIFS('Picarro Output'!G:G, 'Picarro Output'!$B:$B, 'Uncalibrated Data'!$C2113, 'Picarro Output'!$I:$I, 0, 'Picarro Output'!$J:$J, 1), "")</f>
        <v/>
      </c>
    </row>
    <row r="2114" spans="2:5" x14ac:dyDescent="0.2">
      <c r="B2114" s="1"/>
      <c r="E2114" s="38" t="str">
        <f>IFERROR(AVERAGEIFS('Picarro Output'!G:G, 'Picarro Output'!$B:$B, 'Uncalibrated Data'!$C2114, 'Picarro Output'!$I:$I, 0, 'Picarro Output'!$J:$J, 1), "")</f>
        <v/>
      </c>
    </row>
    <row r="2115" spans="2:5" x14ac:dyDescent="0.2">
      <c r="B2115" s="1"/>
      <c r="E2115" s="38" t="str">
        <f>IFERROR(AVERAGEIFS('Picarro Output'!G:G, 'Picarro Output'!$B:$B, 'Uncalibrated Data'!$C2115, 'Picarro Output'!$I:$I, 0, 'Picarro Output'!$J:$J, 1), "")</f>
        <v/>
      </c>
    </row>
    <row r="2116" spans="2:5" x14ac:dyDescent="0.2">
      <c r="B2116" s="1"/>
      <c r="E2116" s="38" t="str">
        <f>IFERROR(AVERAGEIFS('Picarro Output'!G:G, 'Picarro Output'!$B:$B, 'Uncalibrated Data'!$C2116, 'Picarro Output'!$I:$I, 0, 'Picarro Output'!$J:$J, 1), "")</f>
        <v/>
      </c>
    </row>
    <row r="2117" spans="2:5" x14ac:dyDescent="0.2">
      <c r="B2117" s="1"/>
      <c r="E2117" s="38" t="str">
        <f>IFERROR(AVERAGEIFS('Picarro Output'!G:G, 'Picarro Output'!$B:$B, 'Uncalibrated Data'!$C2117, 'Picarro Output'!$I:$I, 0, 'Picarro Output'!$J:$J, 1), "")</f>
        <v/>
      </c>
    </row>
    <row r="2118" spans="2:5" x14ac:dyDescent="0.2">
      <c r="B2118" s="1"/>
      <c r="E2118" s="38" t="str">
        <f>IFERROR(AVERAGEIFS('Picarro Output'!G:G, 'Picarro Output'!$B:$B, 'Uncalibrated Data'!$C2118, 'Picarro Output'!$I:$I, 0, 'Picarro Output'!$J:$J, 1), "")</f>
        <v/>
      </c>
    </row>
    <row r="2119" spans="2:5" x14ac:dyDescent="0.2">
      <c r="B2119" s="1"/>
      <c r="E2119" s="38" t="str">
        <f>IFERROR(AVERAGEIFS('Picarro Output'!G:G, 'Picarro Output'!$B:$B, 'Uncalibrated Data'!$C2119, 'Picarro Output'!$I:$I, 0, 'Picarro Output'!$J:$J, 1), "")</f>
        <v/>
      </c>
    </row>
    <row r="2120" spans="2:5" x14ac:dyDescent="0.2">
      <c r="B2120" s="1"/>
      <c r="E2120" s="38" t="str">
        <f>IFERROR(AVERAGEIFS('Picarro Output'!G:G, 'Picarro Output'!$B:$B, 'Uncalibrated Data'!$C2120, 'Picarro Output'!$I:$I, 0, 'Picarro Output'!$J:$J, 1), "")</f>
        <v/>
      </c>
    </row>
    <row r="2121" spans="2:5" x14ac:dyDescent="0.2">
      <c r="B2121" s="1"/>
      <c r="E2121" s="38" t="str">
        <f>IFERROR(AVERAGEIFS('Picarro Output'!G:G, 'Picarro Output'!$B:$B, 'Uncalibrated Data'!$C2121, 'Picarro Output'!$I:$I, 0, 'Picarro Output'!$J:$J, 1), "")</f>
        <v/>
      </c>
    </row>
    <row r="2122" spans="2:5" x14ac:dyDescent="0.2">
      <c r="B2122" s="1"/>
      <c r="E2122" s="38" t="str">
        <f>IFERROR(AVERAGEIFS('Picarro Output'!G:G, 'Picarro Output'!$B:$B, 'Uncalibrated Data'!$C2122, 'Picarro Output'!$I:$I, 0, 'Picarro Output'!$J:$J, 1), "")</f>
        <v/>
      </c>
    </row>
    <row r="2123" spans="2:5" x14ac:dyDescent="0.2">
      <c r="B2123" s="1"/>
      <c r="E2123" s="38" t="str">
        <f>IFERROR(AVERAGEIFS('Picarro Output'!G:G, 'Picarro Output'!$B:$B, 'Uncalibrated Data'!$C2123, 'Picarro Output'!$I:$I, 0, 'Picarro Output'!$J:$J, 1), "")</f>
        <v/>
      </c>
    </row>
    <row r="2124" spans="2:5" x14ac:dyDescent="0.2">
      <c r="B2124" s="1"/>
      <c r="E2124" s="38" t="str">
        <f>IFERROR(AVERAGEIFS('Picarro Output'!G:G, 'Picarro Output'!$B:$B, 'Uncalibrated Data'!$C2124, 'Picarro Output'!$I:$I, 0, 'Picarro Output'!$J:$J, 1), "")</f>
        <v/>
      </c>
    </row>
    <row r="2125" spans="2:5" x14ac:dyDescent="0.2">
      <c r="B2125" s="1"/>
      <c r="E2125" s="38" t="str">
        <f>IFERROR(AVERAGEIFS('Picarro Output'!G:G, 'Picarro Output'!$B:$B, 'Uncalibrated Data'!$C2125, 'Picarro Output'!$I:$I, 0, 'Picarro Output'!$J:$J, 1), "")</f>
        <v/>
      </c>
    </row>
    <row r="2126" spans="2:5" x14ac:dyDescent="0.2">
      <c r="B2126" s="1"/>
      <c r="E2126" s="38" t="str">
        <f>IFERROR(AVERAGEIFS('Picarro Output'!G:G, 'Picarro Output'!$B:$B, 'Uncalibrated Data'!$C2126, 'Picarro Output'!$I:$I, 0, 'Picarro Output'!$J:$J, 1), "")</f>
        <v/>
      </c>
    </row>
    <row r="2127" spans="2:5" x14ac:dyDescent="0.2">
      <c r="B2127" s="1"/>
      <c r="E2127" s="38" t="str">
        <f>IFERROR(AVERAGEIFS('Picarro Output'!G:G, 'Picarro Output'!$B:$B, 'Uncalibrated Data'!$C2127, 'Picarro Output'!$I:$I, 0, 'Picarro Output'!$J:$J, 1), "")</f>
        <v/>
      </c>
    </row>
    <row r="2128" spans="2:5" x14ac:dyDescent="0.2">
      <c r="B2128" s="1"/>
      <c r="E2128" s="38" t="str">
        <f>IFERROR(AVERAGEIFS('Picarro Output'!G:G, 'Picarro Output'!$B:$B, 'Uncalibrated Data'!$C2128, 'Picarro Output'!$I:$I, 0, 'Picarro Output'!$J:$J, 1), "")</f>
        <v/>
      </c>
    </row>
    <row r="2129" spans="2:5" x14ac:dyDescent="0.2">
      <c r="B2129" s="1"/>
      <c r="E2129" s="38" t="str">
        <f>IFERROR(AVERAGEIFS('Picarro Output'!G:G, 'Picarro Output'!$B:$B, 'Uncalibrated Data'!$C2129, 'Picarro Output'!$I:$I, 0, 'Picarro Output'!$J:$J, 1), "")</f>
        <v/>
      </c>
    </row>
    <row r="2130" spans="2:5" x14ac:dyDescent="0.2">
      <c r="B2130" s="1"/>
      <c r="E2130" s="38" t="str">
        <f>IFERROR(AVERAGEIFS('Picarro Output'!G:G, 'Picarro Output'!$B:$B, 'Uncalibrated Data'!$C2130, 'Picarro Output'!$I:$I, 0, 'Picarro Output'!$J:$J, 1), "")</f>
        <v/>
      </c>
    </row>
    <row r="2131" spans="2:5" x14ac:dyDescent="0.2">
      <c r="B2131" s="1"/>
      <c r="E2131" s="38" t="str">
        <f>IFERROR(AVERAGEIFS('Picarro Output'!G:G, 'Picarro Output'!$B:$B, 'Uncalibrated Data'!$C2131, 'Picarro Output'!$I:$I, 0, 'Picarro Output'!$J:$J, 1), "")</f>
        <v/>
      </c>
    </row>
    <row r="2132" spans="2:5" x14ac:dyDescent="0.2">
      <c r="B2132" s="1"/>
      <c r="E2132" s="38" t="str">
        <f>IFERROR(AVERAGEIFS('Picarro Output'!G:G, 'Picarro Output'!$B:$B, 'Uncalibrated Data'!$C2132, 'Picarro Output'!$I:$I, 0, 'Picarro Output'!$J:$J, 1), "")</f>
        <v/>
      </c>
    </row>
    <row r="2133" spans="2:5" x14ac:dyDescent="0.2">
      <c r="B2133" s="1"/>
      <c r="E2133" s="38" t="str">
        <f>IFERROR(AVERAGEIFS('Picarro Output'!G:G, 'Picarro Output'!$B:$B, 'Uncalibrated Data'!$C2133, 'Picarro Output'!$I:$I, 0, 'Picarro Output'!$J:$J, 1), "")</f>
        <v/>
      </c>
    </row>
    <row r="2134" spans="2:5" x14ac:dyDescent="0.2">
      <c r="B2134" s="1"/>
      <c r="E2134" s="38" t="str">
        <f>IFERROR(AVERAGEIFS('Picarro Output'!G:G, 'Picarro Output'!$B:$B, 'Uncalibrated Data'!$C2134, 'Picarro Output'!$I:$I, 0, 'Picarro Output'!$J:$J, 1), "")</f>
        <v/>
      </c>
    </row>
    <row r="2135" spans="2:5" x14ac:dyDescent="0.2">
      <c r="B2135" s="1"/>
      <c r="E2135" s="38" t="str">
        <f>IFERROR(AVERAGEIFS('Picarro Output'!G:G, 'Picarro Output'!$B:$B, 'Uncalibrated Data'!$C2135, 'Picarro Output'!$I:$I, 0, 'Picarro Output'!$J:$J, 1), "")</f>
        <v/>
      </c>
    </row>
    <row r="2136" spans="2:5" x14ac:dyDescent="0.2">
      <c r="B2136" s="1"/>
      <c r="E2136" s="38" t="str">
        <f>IFERROR(AVERAGEIFS('Picarro Output'!G:G, 'Picarro Output'!$B:$B, 'Uncalibrated Data'!$C2136, 'Picarro Output'!$I:$I, 0, 'Picarro Output'!$J:$J, 1), "")</f>
        <v/>
      </c>
    </row>
    <row r="2137" spans="2:5" x14ac:dyDescent="0.2">
      <c r="B2137" s="1"/>
      <c r="E2137" s="38" t="str">
        <f>IFERROR(AVERAGEIFS('Picarro Output'!G:G, 'Picarro Output'!$B:$B, 'Uncalibrated Data'!$C2137, 'Picarro Output'!$I:$I, 0, 'Picarro Output'!$J:$J, 1), "")</f>
        <v/>
      </c>
    </row>
    <row r="2138" spans="2:5" x14ac:dyDescent="0.2">
      <c r="B2138" s="1"/>
      <c r="E2138" s="38" t="str">
        <f>IFERROR(AVERAGEIFS('Picarro Output'!G:G, 'Picarro Output'!$B:$B, 'Uncalibrated Data'!$C2138, 'Picarro Output'!$I:$I, 0, 'Picarro Output'!$J:$J, 1), "")</f>
        <v/>
      </c>
    </row>
    <row r="2139" spans="2:5" x14ac:dyDescent="0.2">
      <c r="B2139" s="1"/>
      <c r="E2139" s="38" t="str">
        <f>IFERROR(AVERAGEIFS('Picarro Output'!G:G, 'Picarro Output'!$B:$B, 'Uncalibrated Data'!$C2139, 'Picarro Output'!$I:$I, 0, 'Picarro Output'!$J:$J, 1), "")</f>
        <v/>
      </c>
    </row>
    <row r="2140" spans="2:5" x14ac:dyDescent="0.2">
      <c r="B2140" s="1"/>
      <c r="E2140" s="38" t="str">
        <f>IFERROR(AVERAGEIFS('Picarro Output'!G:G, 'Picarro Output'!$B:$B, 'Uncalibrated Data'!$C2140, 'Picarro Output'!$I:$I, 0, 'Picarro Output'!$J:$J, 1), "")</f>
        <v/>
      </c>
    </row>
    <row r="2141" spans="2:5" x14ac:dyDescent="0.2">
      <c r="B2141" s="1"/>
      <c r="E2141" s="38" t="str">
        <f>IFERROR(AVERAGEIFS('Picarro Output'!G:G, 'Picarro Output'!$B:$B, 'Uncalibrated Data'!$C2141, 'Picarro Output'!$I:$I, 0, 'Picarro Output'!$J:$J, 1), "")</f>
        <v/>
      </c>
    </row>
    <row r="2142" spans="2:5" x14ac:dyDescent="0.2">
      <c r="B2142" s="1"/>
      <c r="E2142" s="38" t="str">
        <f>IFERROR(AVERAGEIFS('Picarro Output'!G:G, 'Picarro Output'!$B:$B, 'Uncalibrated Data'!$C2142, 'Picarro Output'!$I:$I, 0, 'Picarro Output'!$J:$J, 1), "")</f>
        <v/>
      </c>
    </row>
    <row r="2143" spans="2:5" x14ac:dyDescent="0.2">
      <c r="B2143" s="1"/>
      <c r="E2143" s="38" t="str">
        <f>IFERROR(AVERAGEIFS('Picarro Output'!G:G, 'Picarro Output'!$B:$B, 'Uncalibrated Data'!$C2143, 'Picarro Output'!$I:$I, 0, 'Picarro Output'!$J:$J, 1), "")</f>
        <v/>
      </c>
    </row>
    <row r="2144" spans="2:5" x14ac:dyDescent="0.2">
      <c r="B2144" s="1"/>
      <c r="E2144" s="38" t="str">
        <f>IFERROR(AVERAGEIFS('Picarro Output'!G:G, 'Picarro Output'!$B:$B, 'Uncalibrated Data'!$C2144, 'Picarro Output'!$I:$I, 0, 'Picarro Output'!$J:$J, 1), "")</f>
        <v/>
      </c>
    </row>
    <row r="2145" spans="2:5" x14ac:dyDescent="0.2">
      <c r="B2145" s="1"/>
      <c r="E2145" s="38" t="str">
        <f>IFERROR(AVERAGEIFS('Picarro Output'!G:G, 'Picarro Output'!$B:$B, 'Uncalibrated Data'!$C2145, 'Picarro Output'!$I:$I, 0, 'Picarro Output'!$J:$J, 1), "")</f>
        <v/>
      </c>
    </row>
    <row r="2146" spans="2:5" x14ac:dyDescent="0.2">
      <c r="B2146" s="1"/>
      <c r="E2146" s="38" t="str">
        <f>IFERROR(AVERAGEIFS('Picarro Output'!G:G, 'Picarro Output'!$B:$B, 'Uncalibrated Data'!$C2146, 'Picarro Output'!$I:$I, 0, 'Picarro Output'!$J:$J, 1), "")</f>
        <v/>
      </c>
    </row>
    <row r="2147" spans="2:5" x14ac:dyDescent="0.2">
      <c r="B2147" s="1"/>
      <c r="E2147" s="38" t="str">
        <f>IFERROR(AVERAGEIFS('Picarro Output'!G:G, 'Picarro Output'!$B:$B, 'Uncalibrated Data'!$C2147, 'Picarro Output'!$I:$I, 0, 'Picarro Output'!$J:$J, 1), "")</f>
        <v/>
      </c>
    </row>
    <row r="2148" spans="2:5" x14ac:dyDescent="0.2">
      <c r="B2148" s="1"/>
      <c r="E2148" s="38" t="str">
        <f>IFERROR(AVERAGEIFS('Picarro Output'!G:G, 'Picarro Output'!$B:$B, 'Uncalibrated Data'!$C2148, 'Picarro Output'!$I:$I, 0, 'Picarro Output'!$J:$J, 1), "")</f>
        <v/>
      </c>
    </row>
    <row r="2149" spans="2:5" x14ac:dyDescent="0.2">
      <c r="B2149" s="1"/>
      <c r="E2149" s="38" t="str">
        <f>IFERROR(AVERAGEIFS('Picarro Output'!G:G, 'Picarro Output'!$B:$B, 'Uncalibrated Data'!$C2149, 'Picarro Output'!$I:$I, 0, 'Picarro Output'!$J:$J, 1), "")</f>
        <v/>
      </c>
    </row>
    <row r="2150" spans="2:5" x14ac:dyDescent="0.2">
      <c r="B2150" s="1"/>
      <c r="E2150" s="38" t="str">
        <f>IFERROR(AVERAGEIFS('Picarro Output'!G:G, 'Picarro Output'!$B:$B, 'Uncalibrated Data'!$C2150, 'Picarro Output'!$I:$I, 0, 'Picarro Output'!$J:$J, 1), "")</f>
        <v/>
      </c>
    </row>
    <row r="2151" spans="2:5" x14ac:dyDescent="0.2">
      <c r="B2151" s="1"/>
      <c r="E2151" s="38" t="str">
        <f>IFERROR(AVERAGEIFS('Picarro Output'!G:G, 'Picarro Output'!$B:$B, 'Uncalibrated Data'!$C2151, 'Picarro Output'!$I:$I, 0, 'Picarro Output'!$J:$J, 1), "")</f>
        <v/>
      </c>
    </row>
    <row r="2152" spans="2:5" x14ac:dyDescent="0.2">
      <c r="B2152" s="1"/>
      <c r="E2152" s="38" t="str">
        <f>IFERROR(AVERAGEIFS('Picarro Output'!G:G, 'Picarro Output'!$B:$B, 'Uncalibrated Data'!$C2152, 'Picarro Output'!$I:$I, 0, 'Picarro Output'!$J:$J, 1), "")</f>
        <v/>
      </c>
    </row>
    <row r="2153" spans="2:5" x14ac:dyDescent="0.2">
      <c r="B2153" s="1"/>
      <c r="E2153" s="38" t="str">
        <f>IFERROR(AVERAGEIFS('Picarro Output'!G:G, 'Picarro Output'!$B:$B, 'Uncalibrated Data'!$C2153, 'Picarro Output'!$I:$I, 0, 'Picarro Output'!$J:$J, 1), "")</f>
        <v/>
      </c>
    </row>
    <row r="2154" spans="2:5" x14ac:dyDescent="0.2">
      <c r="B2154" s="1"/>
      <c r="E2154" s="38" t="str">
        <f>IFERROR(AVERAGEIFS('Picarro Output'!G:G, 'Picarro Output'!$B:$B, 'Uncalibrated Data'!$C2154, 'Picarro Output'!$I:$I, 0, 'Picarro Output'!$J:$J, 1), "")</f>
        <v/>
      </c>
    </row>
    <row r="2155" spans="2:5" x14ac:dyDescent="0.2">
      <c r="B2155" s="1"/>
      <c r="E2155" s="38" t="str">
        <f>IFERROR(AVERAGEIFS('Picarro Output'!G:G, 'Picarro Output'!$B:$B, 'Uncalibrated Data'!$C2155, 'Picarro Output'!$I:$I, 0, 'Picarro Output'!$J:$J, 1), "")</f>
        <v/>
      </c>
    </row>
    <row r="2156" spans="2:5" x14ac:dyDescent="0.2">
      <c r="B2156" s="1"/>
      <c r="E2156" s="38" t="str">
        <f>IFERROR(AVERAGEIFS('Picarro Output'!G:G, 'Picarro Output'!$B:$B, 'Uncalibrated Data'!$C2156, 'Picarro Output'!$I:$I, 0, 'Picarro Output'!$J:$J, 1), "")</f>
        <v/>
      </c>
    </row>
    <row r="2157" spans="2:5" x14ac:dyDescent="0.2">
      <c r="B2157" s="1"/>
      <c r="E2157" s="38" t="str">
        <f>IFERROR(AVERAGEIFS('Picarro Output'!G:G, 'Picarro Output'!$B:$B, 'Uncalibrated Data'!$C2157, 'Picarro Output'!$I:$I, 0, 'Picarro Output'!$J:$J, 1), "")</f>
        <v/>
      </c>
    </row>
    <row r="2158" spans="2:5" x14ac:dyDescent="0.2">
      <c r="B2158" s="1"/>
      <c r="E2158" s="38" t="str">
        <f>IFERROR(AVERAGEIFS('Picarro Output'!G:G, 'Picarro Output'!$B:$B, 'Uncalibrated Data'!$C2158, 'Picarro Output'!$I:$I, 0, 'Picarro Output'!$J:$J, 1), "")</f>
        <v/>
      </c>
    </row>
    <row r="2159" spans="2:5" x14ac:dyDescent="0.2">
      <c r="B2159" s="1"/>
      <c r="E2159" s="38" t="str">
        <f>IFERROR(AVERAGEIFS('Picarro Output'!G:G, 'Picarro Output'!$B:$B, 'Uncalibrated Data'!$C2159, 'Picarro Output'!$I:$I, 0, 'Picarro Output'!$J:$J, 1), "")</f>
        <v/>
      </c>
    </row>
    <row r="2160" spans="2:5" x14ac:dyDescent="0.2">
      <c r="B2160" s="1"/>
      <c r="E2160" s="38" t="str">
        <f>IFERROR(AVERAGEIFS('Picarro Output'!G:G, 'Picarro Output'!$B:$B, 'Uncalibrated Data'!$C2160, 'Picarro Output'!$I:$I, 0, 'Picarro Output'!$J:$J, 1), "")</f>
        <v/>
      </c>
    </row>
    <row r="2161" spans="2:5" x14ac:dyDescent="0.2">
      <c r="B2161" s="1"/>
      <c r="E2161" s="38" t="str">
        <f>IFERROR(AVERAGEIFS('Picarro Output'!G:G, 'Picarro Output'!$B:$B, 'Uncalibrated Data'!$C2161, 'Picarro Output'!$I:$I, 0, 'Picarro Output'!$J:$J, 1), "")</f>
        <v/>
      </c>
    </row>
    <row r="2162" spans="2:5" x14ac:dyDescent="0.2">
      <c r="B2162" s="1"/>
      <c r="E2162" s="38" t="str">
        <f>IFERROR(AVERAGEIFS('Picarro Output'!G:G, 'Picarro Output'!$B:$B, 'Uncalibrated Data'!$C2162, 'Picarro Output'!$I:$I, 0, 'Picarro Output'!$J:$J, 1), "")</f>
        <v/>
      </c>
    </row>
    <row r="2163" spans="2:5" x14ac:dyDescent="0.2">
      <c r="B2163" s="1"/>
      <c r="E2163" s="38" t="str">
        <f>IFERROR(AVERAGEIFS('Picarro Output'!G:G, 'Picarro Output'!$B:$B, 'Uncalibrated Data'!$C2163, 'Picarro Output'!$I:$I, 0, 'Picarro Output'!$J:$J, 1), "")</f>
        <v/>
      </c>
    </row>
    <row r="2164" spans="2:5" x14ac:dyDescent="0.2">
      <c r="B2164" s="1"/>
      <c r="E2164" s="38" t="str">
        <f>IFERROR(AVERAGEIFS('Picarro Output'!G:G, 'Picarro Output'!$B:$B, 'Uncalibrated Data'!$C2164, 'Picarro Output'!$I:$I, 0, 'Picarro Output'!$J:$J, 1), "")</f>
        <v/>
      </c>
    </row>
    <row r="2165" spans="2:5" x14ac:dyDescent="0.2">
      <c r="B2165" s="1"/>
      <c r="E2165" s="38" t="str">
        <f>IFERROR(AVERAGEIFS('Picarro Output'!G:G, 'Picarro Output'!$B:$B, 'Uncalibrated Data'!$C2165, 'Picarro Output'!$I:$I, 0, 'Picarro Output'!$J:$J, 1), "")</f>
        <v/>
      </c>
    </row>
    <row r="2166" spans="2:5" x14ac:dyDescent="0.2">
      <c r="B2166" s="1"/>
      <c r="E2166" s="38" t="str">
        <f>IFERROR(AVERAGEIFS('Picarro Output'!G:G, 'Picarro Output'!$B:$B, 'Uncalibrated Data'!$C2166, 'Picarro Output'!$I:$I, 0, 'Picarro Output'!$J:$J, 1), "")</f>
        <v/>
      </c>
    </row>
    <row r="2167" spans="2:5" x14ac:dyDescent="0.2">
      <c r="B2167" s="1"/>
      <c r="E2167" s="38" t="str">
        <f>IFERROR(AVERAGEIFS('Picarro Output'!G:G, 'Picarro Output'!$B:$B, 'Uncalibrated Data'!$C2167, 'Picarro Output'!$I:$I, 0, 'Picarro Output'!$J:$J, 1), "")</f>
        <v/>
      </c>
    </row>
    <row r="2168" spans="2:5" x14ac:dyDescent="0.2">
      <c r="B2168" s="1"/>
      <c r="E2168" s="38" t="str">
        <f>IFERROR(AVERAGEIFS('Picarro Output'!G:G, 'Picarro Output'!$B:$B, 'Uncalibrated Data'!$C2168, 'Picarro Output'!$I:$I, 0, 'Picarro Output'!$J:$J, 1), "")</f>
        <v/>
      </c>
    </row>
    <row r="2169" spans="2:5" x14ac:dyDescent="0.2">
      <c r="B2169" s="1"/>
      <c r="E2169" s="38" t="str">
        <f>IFERROR(AVERAGEIFS('Picarro Output'!G:G, 'Picarro Output'!$B:$B, 'Uncalibrated Data'!$C2169, 'Picarro Output'!$I:$I, 0, 'Picarro Output'!$J:$J, 1), "")</f>
        <v/>
      </c>
    </row>
    <row r="2170" spans="2:5" x14ac:dyDescent="0.2">
      <c r="B2170" s="1"/>
      <c r="E2170" s="38" t="str">
        <f>IFERROR(AVERAGEIFS('Picarro Output'!G:G, 'Picarro Output'!$B:$B, 'Uncalibrated Data'!$C2170, 'Picarro Output'!$I:$I, 0, 'Picarro Output'!$J:$J, 1), "")</f>
        <v/>
      </c>
    </row>
    <row r="2171" spans="2:5" x14ac:dyDescent="0.2">
      <c r="B2171" s="1"/>
      <c r="E2171" s="38" t="str">
        <f>IFERROR(AVERAGEIFS('Picarro Output'!G:G, 'Picarro Output'!$B:$B, 'Uncalibrated Data'!$C2171, 'Picarro Output'!$I:$I, 0, 'Picarro Output'!$J:$J, 1), "")</f>
        <v/>
      </c>
    </row>
    <row r="2172" spans="2:5" x14ac:dyDescent="0.2">
      <c r="B2172" s="1"/>
      <c r="E2172" s="38" t="str">
        <f>IFERROR(AVERAGEIFS('Picarro Output'!G:G, 'Picarro Output'!$B:$B, 'Uncalibrated Data'!$C2172, 'Picarro Output'!$I:$I, 0, 'Picarro Output'!$J:$J, 1), "")</f>
        <v/>
      </c>
    </row>
    <row r="2173" spans="2:5" x14ac:dyDescent="0.2">
      <c r="B2173" s="1"/>
      <c r="E2173" s="38" t="str">
        <f>IFERROR(AVERAGEIFS('Picarro Output'!G:G, 'Picarro Output'!$B:$B, 'Uncalibrated Data'!$C2173, 'Picarro Output'!$I:$I, 0, 'Picarro Output'!$J:$J, 1), "")</f>
        <v/>
      </c>
    </row>
    <row r="2174" spans="2:5" x14ac:dyDescent="0.2">
      <c r="B2174" s="1"/>
      <c r="E2174" s="38" t="str">
        <f>IFERROR(AVERAGEIFS('Picarro Output'!G:G, 'Picarro Output'!$B:$B, 'Uncalibrated Data'!$C2174, 'Picarro Output'!$I:$I, 0, 'Picarro Output'!$J:$J, 1), "")</f>
        <v/>
      </c>
    </row>
    <row r="2175" spans="2:5" x14ac:dyDescent="0.2">
      <c r="B2175" s="1"/>
      <c r="E2175" s="38" t="str">
        <f>IFERROR(AVERAGEIFS('Picarro Output'!G:G, 'Picarro Output'!$B:$B, 'Uncalibrated Data'!$C2175, 'Picarro Output'!$I:$I, 0, 'Picarro Output'!$J:$J, 1), "")</f>
        <v/>
      </c>
    </row>
    <row r="2176" spans="2:5" x14ac:dyDescent="0.2">
      <c r="B2176" s="1"/>
      <c r="E2176" s="38" t="str">
        <f>IFERROR(AVERAGEIFS('Picarro Output'!G:G, 'Picarro Output'!$B:$B, 'Uncalibrated Data'!$C2176, 'Picarro Output'!$I:$I, 0, 'Picarro Output'!$J:$J, 1), "")</f>
        <v/>
      </c>
    </row>
    <row r="2177" spans="2:5" x14ac:dyDescent="0.2">
      <c r="B2177" s="1"/>
      <c r="E2177" s="38" t="str">
        <f>IFERROR(AVERAGEIFS('Picarro Output'!G:G, 'Picarro Output'!$B:$B, 'Uncalibrated Data'!$C2177, 'Picarro Output'!$I:$I, 0, 'Picarro Output'!$J:$J, 1), "")</f>
        <v/>
      </c>
    </row>
    <row r="2178" spans="2:5" x14ac:dyDescent="0.2">
      <c r="B2178" s="1"/>
      <c r="E2178" s="38" t="str">
        <f>IFERROR(AVERAGEIFS('Picarro Output'!G:G, 'Picarro Output'!$B:$B, 'Uncalibrated Data'!$C2178, 'Picarro Output'!$I:$I, 0, 'Picarro Output'!$J:$J, 1), "")</f>
        <v/>
      </c>
    </row>
    <row r="2179" spans="2:5" x14ac:dyDescent="0.2">
      <c r="B2179" s="1"/>
      <c r="E2179" s="38" t="str">
        <f>IFERROR(AVERAGEIFS('Picarro Output'!G:G, 'Picarro Output'!$B:$B, 'Uncalibrated Data'!$C2179, 'Picarro Output'!$I:$I, 0, 'Picarro Output'!$J:$J, 1), "")</f>
        <v/>
      </c>
    </row>
    <row r="2180" spans="2:5" x14ac:dyDescent="0.2">
      <c r="B2180" s="1"/>
      <c r="E2180" s="38" t="str">
        <f>IFERROR(AVERAGEIFS('Picarro Output'!G:G, 'Picarro Output'!$B:$B, 'Uncalibrated Data'!$C2180, 'Picarro Output'!$I:$I, 0, 'Picarro Output'!$J:$J, 1), "")</f>
        <v/>
      </c>
    </row>
    <row r="2181" spans="2:5" x14ac:dyDescent="0.2">
      <c r="B2181" s="1"/>
      <c r="E2181" s="38" t="str">
        <f>IFERROR(AVERAGEIFS('Picarro Output'!G:G, 'Picarro Output'!$B:$B, 'Uncalibrated Data'!$C2181, 'Picarro Output'!$I:$I, 0, 'Picarro Output'!$J:$J, 1), "")</f>
        <v/>
      </c>
    </row>
    <row r="2182" spans="2:5" x14ac:dyDescent="0.2">
      <c r="B2182" s="1"/>
      <c r="E2182" s="38" t="str">
        <f>IFERROR(AVERAGEIFS('Picarro Output'!G:G, 'Picarro Output'!$B:$B, 'Uncalibrated Data'!$C2182, 'Picarro Output'!$I:$I, 0, 'Picarro Output'!$J:$J, 1), "")</f>
        <v/>
      </c>
    </row>
    <row r="2183" spans="2:5" x14ac:dyDescent="0.2">
      <c r="B2183" s="1"/>
      <c r="E2183" s="38" t="str">
        <f>IFERROR(AVERAGEIFS('Picarro Output'!G:G, 'Picarro Output'!$B:$B, 'Uncalibrated Data'!$C2183, 'Picarro Output'!$I:$I, 0, 'Picarro Output'!$J:$J, 1), "")</f>
        <v/>
      </c>
    </row>
    <row r="2184" spans="2:5" x14ac:dyDescent="0.2">
      <c r="B2184" s="1"/>
      <c r="E2184" s="38" t="str">
        <f>IFERROR(AVERAGEIFS('Picarro Output'!G:G, 'Picarro Output'!$B:$B, 'Uncalibrated Data'!$C2184, 'Picarro Output'!$I:$I, 0, 'Picarro Output'!$J:$J, 1), "")</f>
        <v/>
      </c>
    </row>
    <row r="2185" spans="2:5" x14ac:dyDescent="0.2">
      <c r="B2185" s="1"/>
      <c r="E2185" s="38" t="str">
        <f>IFERROR(AVERAGEIFS('Picarro Output'!G:G, 'Picarro Output'!$B:$B, 'Uncalibrated Data'!$C2185, 'Picarro Output'!$I:$I, 0, 'Picarro Output'!$J:$J, 1), "")</f>
        <v/>
      </c>
    </row>
    <row r="2186" spans="2:5" x14ac:dyDescent="0.2">
      <c r="B2186" s="1"/>
      <c r="E2186" s="38" t="str">
        <f>IFERROR(AVERAGEIFS('Picarro Output'!G:G, 'Picarro Output'!$B:$B, 'Uncalibrated Data'!$C2186, 'Picarro Output'!$I:$I, 0, 'Picarro Output'!$J:$J, 1), "")</f>
        <v/>
      </c>
    </row>
    <row r="2187" spans="2:5" x14ac:dyDescent="0.2">
      <c r="B2187" s="1"/>
      <c r="E2187" s="38" t="str">
        <f>IFERROR(AVERAGEIFS('Picarro Output'!G:G, 'Picarro Output'!$B:$B, 'Uncalibrated Data'!$C2187, 'Picarro Output'!$I:$I, 0, 'Picarro Output'!$J:$J, 1), "")</f>
        <v/>
      </c>
    </row>
    <row r="2188" spans="2:5" x14ac:dyDescent="0.2">
      <c r="B2188" s="1"/>
      <c r="E2188" s="38" t="str">
        <f>IFERROR(AVERAGEIFS('Picarro Output'!G:G, 'Picarro Output'!$B:$B, 'Uncalibrated Data'!$C2188, 'Picarro Output'!$I:$I, 0, 'Picarro Output'!$J:$J, 1), "")</f>
        <v/>
      </c>
    </row>
    <row r="2189" spans="2:5" x14ac:dyDescent="0.2">
      <c r="B2189" s="1"/>
      <c r="E2189" s="38" t="str">
        <f>IFERROR(AVERAGEIFS('Picarro Output'!G:G, 'Picarro Output'!$B:$B, 'Uncalibrated Data'!$C2189, 'Picarro Output'!$I:$I, 0, 'Picarro Output'!$J:$J, 1), "")</f>
        <v/>
      </c>
    </row>
    <row r="2190" spans="2:5" x14ac:dyDescent="0.2">
      <c r="B2190" s="1"/>
      <c r="E2190" s="38" t="str">
        <f>IFERROR(AVERAGEIFS('Picarro Output'!G:G, 'Picarro Output'!$B:$B, 'Uncalibrated Data'!$C2190, 'Picarro Output'!$I:$I, 0, 'Picarro Output'!$J:$J, 1), "")</f>
        <v/>
      </c>
    </row>
    <row r="2191" spans="2:5" x14ac:dyDescent="0.2">
      <c r="B2191" s="1"/>
      <c r="E2191" s="38" t="str">
        <f>IFERROR(AVERAGEIFS('Picarro Output'!G:G, 'Picarro Output'!$B:$B, 'Uncalibrated Data'!$C2191, 'Picarro Output'!$I:$I, 0, 'Picarro Output'!$J:$J, 1), "")</f>
        <v/>
      </c>
    </row>
    <row r="2192" spans="2:5" x14ac:dyDescent="0.2">
      <c r="B2192" s="1"/>
      <c r="E2192" s="38" t="str">
        <f>IFERROR(AVERAGEIFS('Picarro Output'!G:G, 'Picarro Output'!$B:$B, 'Uncalibrated Data'!$C2192, 'Picarro Output'!$I:$I, 0, 'Picarro Output'!$J:$J, 1), "")</f>
        <v/>
      </c>
    </row>
    <row r="2193" spans="2:5" x14ac:dyDescent="0.2">
      <c r="B2193" s="1"/>
      <c r="E2193" s="38" t="str">
        <f>IFERROR(AVERAGEIFS('Picarro Output'!G:G, 'Picarro Output'!$B:$B, 'Uncalibrated Data'!$C2193, 'Picarro Output'!$I:$I, 0, 'Picarro Output'!$J:$J, 1), "")</f>
        <v/>
      </c>
    </row>
    <row r="2194" spans="2:5" x14ac:dyDescent="0.2">
      <c r="B2194" s="1"/>
      <c r="E2194" s="38" t="str">
        <f>IFERROR(AVERAGEIFS('Picarro Output'!G:G, 'Picarro Output'!$B:$B, 'Uncalibrated Data'!$C2194, 'Picarro Output'!$I:$I, 0, 'Picarro Output'!$J:$J, 1), "")</f>
        <v/>
      </c>
    </row>
    <row r="2195" spans="2:5" x14ac:dyDescent="0.2">
      <c r="B2195" s="1"/>
      <c r="E2195" s="38" t="str">
        <f>IFERROR(AVERAGEIFS('Picarro Output'!G:G, 'Picarro Output'!$B:$B, 'Uncalibrated Data'!$C2195, 'Picarro Output'!$I:$I, 0, 'Picarro Output'!$J:$J, 1), "")</f>
        <v/>
      </c>
    </row>
    <row r="2196" spans="2:5" x14ac:dyDescent="0.2">
      <c r="B2196" s="1"/>
      <c r="E2196" s="38" t="str">
        <f>IFERROR(AVERAGEIFS('Picarro Output'!G:G, 'Picarro Output'!$B:$B, 'Uncalibrated Data'!$C2196, 'Picarro Output'!$I:$I, 0, 'Picarro Output'!$J:$J, 1), "")</f>
        <v/>
      </c>
    </row>
    <row r="2197" spans="2:5" x14ac:dyDescent="0.2">
      <c r="B2197" s="1"/>
      <c r="E2197" s="38" t="str">
        <f>IFERROR(AVERAGEIFS('Picarro Output'!G:G, 'Picarro Output'!$B:$B, 'Uncalibrated Data'!$C2197, 'Picarro Output'!$I:$I, 0, 'Picarro Output'!$J:$J, 1), "")</f>
        <v/>
      </c>
    </row>
    <row r="2198" spans="2:5" x14ac:dyDescent="0.2">
      <c r="B2198" s="1"/>
      <c r="E2198" s="38" t="str">
        <f>IFERROR(AVERAGEIFS('Picarro Output'!G:G, 'Picarro Output'!$B:$B, 'Uncalibrated Data'!$C2198, 'Picarro Output'!$I:$I, 0, 'Picarro Output'!$J:$J, 1), "")</f>
        <v/>
      </c>
    </row>
    <row r="2199" spans="2:5" x14ac:dyDescent="0.2">
      <c r="B2199" s="1"/>
      <c r="E2199" s="38" t="str">
        <f>IFERROR(AVERAGEIFS('Picarro Output'!G:G, 'Picarro Output'!$B:$B, 'Uncalibrated Data'!$C2199, 'Picarro Output'!$I:$I, 0, 'Picarro Output'!$J:$J, 1), "")</f>
        <v/>
      </c>
    </row>
    <row r="2200" spans="2:5" x14ac:dyDescent="0.2">
      <c r="B2200" s="1"/>
      <c r="E2200" s="38" t="str">
        <f>IFERROR(AVERAGEIFS('Picarro Output'!G:G, 'Picarro Output'!$B:$B, 'Uncalibrated Data'!$C2200, 'Picarro Output'!$I:$I, 0, 'Picarro Output'!$J:$J, 1), "")</f>
        <v/>
      </c>
    </row>
    <row r="2201" spans="2:5" x14ac:dyDescent="0.2">
      <c r="B2201" s="1"/>
      <c r="E2201" s="38" t="str">
        <f>IFERROR(AVERAGEIFS('Picarro Output'!G:G, 'Picarro Output'!$B:$B, 'Uncalibrated Data'!$C2201, 'Picarro Output'!$I:$I, 0, 'Picarro Output'!$J:$J, 1), "")</f>
        <v/>
      </c>
    </row>
    <row r="2202" spans="2:5" x14ac:dyDescent="0.2">
      <c r="B2202" s="1"/>
      <c r="E2202" s="38" t="str">
        <f>IFERROR(AVERAGEIFS('Picarro Output'!G:G, 'Picarro Output'!$B:$B, 'Uncalibrated Data'!$C2202, 'Picarro Output'!$I:$I, 0, 'Picarro Output'!$J:$J, 1), "")</f>
        <v/>
      </c>
    </row>
    <row r="2203" spans="2:5" x14ac:dyDescent="0.2">
      <c r="B2203" s="1"/>
      <c r="E2203" s="38" t="str">
        <f>IFERROR(AVERAGEIFS('Picarro Output'!G:G, 'Picarro Output'!$B:$B, 'Uncalibrated Data'!$C2203, 'Picarro Output'!$I:$I, 0, 'Picarro Output'!$J:$J, 1), "")</f>
        <v/>
      </c>
    </row>
    <row r="2204" spans="2:5" x14ac:dyDescent="0.2">
      <c r="B2204" s="1"/>
      <c r="E2204" s="38" t="str">
        <f>IFERROR(AVERAGEIFS('Picarro Output'!G:G, 'Picarro Output'!$B:$B, 'Uncalibrated Data'!$C2204, 'Picarro Output'!$I:$I, 0, 'Picarro Output'!$J:$J, 1), "")</f>
        <v/>
      </c>
    </row>
    <row r="2205" spans="2:5" x14ac:dyDescent="0.2">
      <c r="B2205" s="1"/>
      <c r="E2205" s="38" t="str">
        <f>IFERROR(AVERAGEIFS('Picarro Output'!G:G, 'Picarro Output'!$B:$B, 'Uncalibrated Data'!$C2205, 'Picarro Output'!$I:$I, 0, 'Picarro Output'!$J:$J, 1), "")</f>
        <v/>
      </c>
    </row>
    <row r="2206" spans="2:5" x14ac:dyDescent="0.2">
      <c r="B2206" s="1"/>
      <c r="E2206" s="38" t="str">
        <f>IFERROR(AVERAGEIFS('Picarro Output'!G:G, 'Picarro Output'!$B:$B, 'Uncalibrated Data'!$C2206, 'Picarro Output'!$I:$I, 0, 'Picarro Output'!$J:$J, 1), "")</f>
        <v/>
      </c>
    </row>
    <row r="2207" spans="2:5" x14ac:dyDescent="0.2">
      <c r="B2207" s="1"/>
      <c r="E2207" s="38" t="str">
        <f>IFERROR(AVERAGEIFS('Picarro Output'!G:G, 'Picarro Output'!$B:$B, 'Uncalibrated Data'!$C2207, 'Picarro Output'!$I:$I, 0, 'Picarro Output'!$J:$J, 1), "")</f>
        <v/>
      </c>
    </row>
    <row r="2208" spans="2:5" x14ac:dyDescent="0.2">
      <c r="B2208" s="1"/>
      <c r="E2208" s="38" t="str">
        <f>IFERROR(AVERAGEIFS('Picarro Output'!G:G, 'Picarro Output'!$B:$B, 'Uncalibrated Data'!$C2208, 'Picarro Output'!$I:$I, 0, 'Picarro Output'!$J:$J, 1), "")</f>
        <v/>
      </c>
    </row>
    <row r="2209" spans="2:5" x14ac:dyDescent="0.2">
      <c r="B2209" s="1"/>
      <c r="E2209" s="38" t="str">
        <f>IFERROR(AVERAGEIFS('Picarro Output'!G:G, 'Picarro Output'!$B:$B, 'Uncalibrated Data'!$C2209, 'Picarro Output'!$I:$I, 0, 'Picarro Output'!$J:$J, 1), "")</f>
        <v/>
      </c>
    </row>
    <row r="2210" spans="2:5" x14ac:dyDescent="0.2">
      <c r="B2210" s="1"/>
      <c r="E2210" s="38" t="str">
        <f>IFERROR(AVERAGEIFS('Picarro Output'!G:G, 'Picarro Output'!$B:$B, 'Uncalibrated Data'!$C2210, 'Picarro Output'!$I:$I, 0, 'Picarro Output'!$J:$J, 1), "")</f>
        <v/>
      </c>
    </row>
    <row r="2211" spans="2:5" x14ac:dyDescent="0.2">
      <c r="B2211" s="1"/>
      <c r="E2211" s="38" t="str">
        <f>IFERROR(AVERAGEIFS('Picarro Output'!G:G, 'Picarro Output'!$B:$B, 'Uncalibrated Data'!$C2211, 'Picarro Output'!$I:$I, 0, 'Picarro Output'!$J:$J, 1), "")</f>
        <v/>
      </c>
    </row>
    <row r="2212" spans="2:5" x14ac:dyDescent="0.2">
      <c r="B2212" s="1"/>
      <c r="E2212" s="38" t="str">
        <f>IFERROR(AVERAGEIFS('Picarro Output'!G:G, 'Picarro Output'!$B:$B, 'Uncalibrated Data'!$C2212, 'Picarro Output'!$I:$I, 0, 'Picarro Output'!$J:$J, 1), "")</f>
        <v/>
      </c>
    </row>
    <row r="2213" spans="2:5" x14ac:dyDescent="0.2">
      <c r="B2213" s="1"/>
      <c r="E2213" s="38" t="str">
        <f>IFERROR(AVERAGEIFS('Picarro Output'!G:G, 'Picarro Output'!$B:$B, 'Uncalibrated Data'!$C2213, 'Picarro Output'!$I:$I, 0, 'Picarro Output'!$J:$J, 1), "")</f>
        <v/>
      </c>
    </row>
    <row r="2214" spans="2:5" x14ac:dyDescent="0.2">
      <c r="B2214" s="1"/>
      <c r="E2214" s="38" t="str">
        <f>IFERROR(AVERAGEIFS('Picarro Output'!G:G, 'Picarro Output'!$B:$B, 'Uncalibrated Data'!$C2214, 'Picarro Output'!$I:$I, 0, 'Picarro Output'!$J:$J, 1), "")</f>
        <v/>
      </c>
    </row>
    <row r="2215" spans="2:5" x14ac:dyDescent="0.2">
      <c r="B2215" s="1"/>
      <c r="E2215" s="38" t="str">
        <f>IFERROR(AVERAGEIFS('Picarro Output'!G:G, 'Picarro Output'!$B:$B, 'Uncalibrated Data'!$C2215, 'Picarro Output'!$I:$I, 0, 'Picarro Output'!$J:$J, 1), "")</f>
        <v/>
      </c>
    </row>
    <row r="2216" spans="2:5" x14ac:dyDescent="0.2">
      <c r="B2216" s="1"/>
      <c r="E2216" s="38" t="str">
        <f>IFERROR(AVERAGEIFS('Picarro Output'!G:G, 'Picarro Output'!$B:$B, 'Uncalibrated Data'!$C2216, 'Picarro Output'!$I:$I, 0, 'Picarro Output'!$J:$J, 1), "")</f>
        <v/>
      </c>
    </row>
    <row r="2217" spans="2:5" x14ac:dyDescent="0.2">
      <c r="B2217" s="1"/>
      <c r="E2217" s="38" t="str">
        <f>IFERROR(AVERAGEIFS('Picarro Output'!G:G, 'Picarro Output'!$B:$B, 'Uncalibrated Data'!$C2217, 'Picarro Output'!$I:$I, 0, 'Picarro Output'!$J:$J, 1), "")</f>
        <v/>
      </c>
    </row>
    <row r="2218" spans="2:5" x14ac:dyDescent="0.2">
      <c r="B2218" s="1"/>
      <c r="E2218" s="38" t="str">
        <f>IFERROR(AVERAGEIFS('Picarro Output'!G:G, 'Picarro Output'!$B:$B, 'Uncalibrated Data'!$C2218, 'Picarro Output'!$I:$I, 0, 'Picarro Output'!$J:$J, 1), "")</f>
        <v/>
      </c>
    </row>
    <row r="2219" spans="2:5" x14ac:dyDescent="0.2">
      <c r="B2219" s="1"/>
      <c r="E2219" s="38" t="str">
        <f>IFERROR(AVERAGEIFS('Picarro Output'!G:G, 'Picarro Output'!$B:$B, 'Uncalibrated Data'!$C2219, 'Picarro Output'!$I:$I, 0, 'Picarro Output'!$J:$J, 1), "")</f>
        <v/>
      </c>
    </row>
    <row r="2220" spans="2:5" x14ac:dyDescent="0.2">
      <c r="B2220" s="1"/>
      <c r="E2220" s="38" t="str">
        <f>IFERROR(AVERAGEIFS('Picarro Output'!G:G, 'Picarro Output'!$B:$B, 'Uncalibrated Data'!$C2220, 'Picarro Output'!$I:$I, 0, 'Picarro Output'!$J:$J, 1), "")</f>
        <v/>
      </c>
    </row>
    <row r="2221" spans="2:5" x14ac:dyDescent="0.2">
      <c r="B2221" s="1"/>
      <c r="E2221" s="38" t="str">
        <f>IFERROR(AVERAGEIFS('Picarro Output'!G:G, 'Picarro Output'!$B:$B, 'Uncalibrated Data'!$C2221, 'Picarro Output'!$I:$I, 0, 'Picarro Output'!$J:$J, 1), "")</f>
        <v/>
      </c>
    </row>
    <row r="2222" spans="2:5" x14ac:dyDescent="0.2">
      <c r="B2222" s="1"/>
      <c r="E2222" s="38" t="str">
        <f>IFERROR(AVERAGEIFS('Picarro Output'!G:G, 'Picarro Output'!$B:$B, 'Uncalibrated Data'!$C2222, 'Picarro Output'!$I:$I, 0, 'Picarro Output'!$J:$J, 1), "")</f>
        <v/>
      </c>
    </row>
    <row r="2223" spans="2:5" x14ac:dyDescent="0.2">
      <c r="B2223" s="1"/>
      <c r="E2223" s="38" t="str">
        <f>IFERROR(AVERAGEIFS('Picarro Output'!G:G, 'Picarro Output'!$B:$B, 'Uncalibrated Data'!$C2223, 'Picarro Output'!$I:$I, 0, 'Picarro Output'!$J:$J, 1), "")</f>
        <v/>
      </c>
    </row>
    <row r="2224" spans="2:5" x14ac:dyDescent="0.2">
      <c r="B2224" s="1"/>
      <c r="E2224" s="38" t="str">
        <f>IFERROR(AVERAGEIFS('Picarro Output'!G:G, 'Picarro Output'!$B:$B, 'Uncalibrated Data'!$C2224, 'Picarro Output'!$I:$I, 0, 'Picarro Output'!$J:$J, 1), "")</f>
        <v/>
      </c>
    </row>
    <row r="2225" spans="2:5" x14ac:dyDescent="0.2">
      <c r="B2225" s="1"/>
      <c r="E2225" s="38" t="str">
        <f>IFERROR(AVERAGEIFS('Picarro Output'!G:G, 'Picarro Output'!$B:$B, 'Uncalibrated Data'!$C2225, 'Picarro Output'!$I:$I, 0, 'Picarro Output'!$J:$J, 1), "")</f>
        <v/>
      </c>
    </row>
    <row r="2226" spans="2:5" x14ac:dyDescent="0.2">
      <c r="B2226" s="1"/>
      <c r="E2226" s="38" t="str">
        <f>IFERROR(AVERAGEIFS('Picarro Output'!G:G, 'Picarro Output'!$B:$B, 'Uncalibrated Data'!$C2226, 'Picarro Output'!$I:$I, 0, 'Picarro Output'!$J:$J, 1), "")</f>
        <v/>
      </c>
    </row>
    <row r="2227" spans="2:5" x14ac:dyDescent="0.2">
      <c r="B2227" s="1"/>
      <c r="E2227" s="38" t="str">
        <f>IFERROR(AVERAGEIFS('Picarro Output'!G:G, 'Picarro Output'!$B:$B, 'Uncalibrated Data'!$C2227, 'Picarro Output'!$I:$I, 0, 'Picarro Output'!$J:$J, 1), "")</f>
        <v/>
      </c>
    </row>
    <row r="2228" spans="2:5" x14ac:dyDescent="0.2">
      <c r="B2228" s="1"/>
      <c r="E2228" s="38" t="str">
        <f>IFERROR(AVERAGEIFS('Picarro Output'!G:G, 'Picarro Output'!$B:$B, 'Uncalibrated Data'!$C2228, 'Picarro Output'!$I:$I, 0, 'Picarro Output'!$J:$J, 1), "")</f>
        <v/>
      </c>
    </row>
    <row r="2229" spans="2:5" x14ac:dyDescent="0.2">
      <c r="B2229" s="1"/>
      <c r="E2229" s="38" t="str">
        <f>IFERROR(AVERAGEIFS('Picarro Output'!G:G, 'Picarro Output'!$B:$B, 'Uncalibrated Data'!$C2229, 'Picarro Output'!$I:$I, 0, 'Picarro Output'!$J:$J, 1), "")</f>
        <v/>
      </c>
    </row>
    <row r="2230" spans="2:5" x14ac:dyDescent="0.2">
      <c r="B2230" s="1"/>
      <c r="E2230" s="38" t="str">
        <f>IFERROR(AVERAGEIFS('Picarro Output'!G:G, 'Picarro Output'!$B:$B, 'Uncalibrated Data'!$C2230, 'Picarro Output'!$I:$I, 0, 'Picarro Output'!$J:$J, 1), "")</f>
        <v/>
      </c>
    </row>
    <row r="2231" spans="2:5" x14ac:dyDescent="0.2">
      <c r="B2231" s="1"/>
      <c r="E2231" s="38" t="str">
        <f>IFERROR(AVERAGEIFS('Picarro Output'!G:G, 'Picarro Output'!$B:$B, 'Uncalibrated Data'!$C2231, 'Picarro Output'!$I:$I, 0, 'Picarro Output'!$J:$J, 1), "")</f>
        <v/>
      </c>
    </row>
    <row r="2232" spans="2:5" x14ac:dyDescent="0.2">
      <c r="B2232" s="1"/>
      <c r="E2232" s="38" t="str">
        <f>IFERROR(AVERAGEIFS('Picarro Output'!G:G, 'Picarro Output'!$B:$B, 'Uncalibrated Data'!$C2232, 'Picarro Output'!$I:$I, 0, 'Picarro Output'!$J:$J, 1), "")</f>
        <v/>
      </c>
    </row>
    <row r="2233" spans="2:5" x14ac:dyDescent="0.2">
      <c r="B2233" s="1"/>
      <c r="E2233" s="38" t="str">
        <f>IFERROR(AVERAGEIFS('Picarro Output'!G:G, 'Picarro Output'!$B:$B, 'Uncalibrated Data'!$C2233, 'Picarro Output'!$I:$I, 0, 'Picarro Output'!$J:$J, 1), "")</f>
        <v/>
      </c>
    </row>
    <row r="2234" spans="2:5" x14ac:dyDescent="0.2">
      <c r="B2234" s="1"/>
      <c r="E2234" s="38" t="str">
        <f>IFERROR(AVERAGEIFS('Picarro Output'!G:G, 'Picarro Output'!$B:$B, 'Uncalibrated Data'!$C2234, 'Picarro Output'!$I:$I, 0, 'Picarro Output'!$J:$J, 1), "")</f>
        <v/>
      </c>
    </row>
    <row r="2235" spans="2:5" x14ac:dyDescent="0.2">
      <c r="B2235" s="1"/>
      <c r="E2235" s="38" t="str">
        <f>IFERROR(AVERAGEIFS('Picarro Output'!G:G, 'Picarro Output'!$B:$B, 'Uncalibrated Data'!$C2235, 'Picarro Output'!$I:$I, 0, 'Picarro Output'!$J:$J, 1), "")</f>
        <v/>
      </c>
    </row>
    <row r="2236" spans="2:5" x14ac:dyDescent="0.2">
      <c r="B2236" s="1"/>
      <c r="E2236" s="38" t="str">
        <f>IFERROR(AVERAGEIFS('Picarro Output'!G:G, 'Picarro Output'!$B:$B, 'Uncalibrated Data'!$C2236, 'Picarro Output'!$I:$I, 0, 'Picarro Output'!$J:$J, 1), "")</f>
        <v/>
      </c>
    </row>
    <row r="2237" spans="2:5" x14ac:dyDescent="0.2">
      <c r="B2237" s="1"/>
      <c r="E2237" s="38" t="str">
        <f>IFERROR(AVERAGEIFS('Picarro Output'!G:G, 'Picarro Output'!$B:$B, 'Uncalibrated Data'!$C2237, 'Picarro Output'!$I:$I, 0, 'Picarro Output'!$J:$J, 1), "")</f>
        <v/>
      </c>
    </row>
    <row r="2238" spans="2:5" x14ac:dyDescent="0.2">
      <c r="B2238" s="1"/>
      <c r="E2238" s="38" t="str">
        <f>IFERROR(AVERAGEIFS('Picarro Output'!G:G, 'Picarro Output'!$B:$B, 'Uncalibrated Data'!$C2238, 'Picarro Output'!$I:$I, 0, 'Picarro Output'!$J:$J, 1), "")</f>
        <v/>
      </c>
    </row>
    <row r="2239" spans="2:5" x14ac:dyDescent="0.2">
      <c r="B2239" s="1"/>
      <c r="E2239" s="38" t="str">
        <f>IFERROR(AVERAGEIFS('Picarro Output'!G:G, 'Picarro Output'!$B:$B, 'Uncalibrated Data'!$C2239, 'Picarro Output'!$I:$I, 0, 'Picarro Output'!$J:$J, 1), "")</f>
        <v/>
      </c>
    </row>
    <row r="2240" spans="2:5" x14ac:dyDescent="0.2">
      <c r="B2240" s="1"/>
      <c r="E2240" s="38" t="str">
        <f>IFERROR(AVERAGEIFS('Picarro Output'!G:G, 'Picarro Output'!$B:$B, 'Uncalibrated Data'!$C2240, 'Picarro Output'!$I:$I, 0, 'Picarro Output'!$J:$J, 1), "")</f>
        <v/>
      </c>
    </row>
    <row r="2241" spans="2:5" x14ac:dyDescent="0.2">
      <c r="B2241" s="1"/>
      <c r="E2241" s="38" t="str">
        <f>IFERROR(AVERAGEIFS('Picarro Output'!G:G, 'Picarro Output'!$B:$B, 'Uncalibrated Data'!$C2241, 'Picarro Output'!$I:$I, 0, 'Picarro Output'!$J:$J, 1), "")</f>
        <v/>
      </c>
    </row>
    <row r="2242" spans="2:5" x14ac:dyDescent="0.2">
      <c r="B2242" s="1"/>
      <c r="E2242" s="38" t="str">
        <f>IFERROR(AVERAGEIFS('Picarro Output'!G:G, 'Picarro Output'!$B:$B, 'Uncalibrated Data'!$C2242, 'Picarro Output'!$I:$I, 0, 'Picarro Output'!$J:$J, 1), "")</f>
        <v/>
      </c>
    </row>
    <row r="2243" spans="2:5" x14ac:dyDescent="0.2">
      <c r="B2243" s="1"/>
      <c r="E2243" s="38" t="str">
        <f>IFERROR(AVERAGEIFS('Picarro Output'!G:G, 'Picarro Output'!$B:$B, 'Uncalibrated Data'!$C2243, 'Picarro Output'!$I:$I, 0, 'Picarro Output'!$J:$J, 1), "")</f>
        <v/>
      </c>
    </row>
    <row r="2244" spans="2:5" x14ac:dyDescent="0.2">
      <c r="B2244" s="1"/>
      <c r="E2244" s="38" t="str">
        <f>IFERROR(AVERAGEIFS('Picarro Output'!G:G, 'Picarro Output'!$B:$B, 'Uncalibrated Data'!$C2244, 'Picarro Output'!$I:$I, 0, 'Picarro Output'!$J:$J, 1), "")</f>
        <v/>
      </c>
    </row>
    <row r="2245" spans="2:5" x14ac:dyDescent="0.2">
      <c r="B2245" s="1"/>
      <c r="E2245" s="38" t="str">
        <f>IFERROR(AVERAGEIFS('Picarro Output'!G:G, 'Picarro Output'!$B:$B, 'Uncalibrated Data'!$C2245, 'Picarro Output'!$I:$I, 0, 'Picarro Output'!$J:$J, 1), "")</f>
        <v/>
      </c>
    </row>
    <row r="2246" spans="2:5" x14ac:dyDescent="0.2">
      <c r="B2246" s="1"/>
      <c r="E2246" s="38" t="str">
        <f>IFERROR(AVERAGEIFS('Picarro Output'!G:G, 'Picarro Output'!$B:$B, 'Uncalibrated Data'!$C2246, 'Picarro Output'!$I:$I, 0, 'Picarro Output'!$J:$J, 1), "")</f>
        <v/>
      </c>
    </row>
    <row r="2247" spans="2:5" x14ac:dyDescent="0.2">
      <c r="B2247" s="1"/>
      <c r="E2247" s="38" t="str">
        <f>IFERROR(AVERAGEIFS('Picarro Output'!G:G, 'Picarro Output'!$B:$B, 'Uncalibrated Data'!$C2247, 'Picarro Output'!$I:$I, 0, 'Picarro Output'!$J:$J, 1), "")</f>
        <v/>
      </c>
    </row>
    <row r="2248" spans="2:5" x14ac:dyDescent="0.2">
      <c r="B2248" s="1"/>
      <c r="E2248" s="38" t="str">
        <f>IFERROR(AVERAGEIFS('Picarro Output'!G:G, 'Picarro Output'!$B:$B, 'Uncalibrated Data'!$C2248, 'Picarro Output'!$I:$I, 0, 'Picarro Output'!$J:$J, 1), "")</f>
        <v/>
      </c>
    </row>
    <row r="2249" spans="2:5" x14ac:dyDescent="0.2">
      <c r="B2249" s="1"/>
      <c r="E2249" s="38" t="str">
        <f>IFERROR(AVERAGEIFS('Picarro Output'!G:G, 'Picarro Output'!$B:$B, 'Uncalibrated Data'!$C2249, 'Picarro Output'!$I:$I, 0, 'Picarro Output'!$J:$J, 1), "")</f>
        <v/>
      </c>
    </row>
    <row r="2250" spans="2:5" x14ac:dyDescent="0.2">
      <c r="B2250" s="1"/>
      <c r="E2250" s="38" t="str">
        <f>IFERROR(AVERAGEIFS('Picarro Output'!G:G, 'Picarro Output'!$B:$B, 'Uncalibrated Data'!$C2250, 'Picarro Output'!$I:$I, 0, 'Picarro Output'!$J:$J, 1), "")</f>
        <v/>
      </c>
    </row>
    <row r="2251" spans="2:5" x14ac:dyDescent="0.2">
      <c r="B2251" s="1"/>
      <c r="E2251" s="38" t="str">
        <f>IFERROR(AVERAGEIFS('Picarro Output'!G:G, 'Picarro Output'!$B:$B, 'Uncalibrated Data'!$C2251, 'Picarro Output'!$I:$I, 0, 'Picarro Output'!$J:$J, 1), "")</f>
        <v/>
      </c>
    </row>
    <row r="2252" spans="2:5" x14ac:dyDescent="0.2">
      <c r="B2252" s="1"/>
      <c r="E2252" s="38" t="str">
        <f>IFERROR(AVERAGEIFS('Picarro Output'!G:G, 'Picarro Output'!$B:$B, 'Uncalibrated Data'!$C2252, 'Picarro Output'!$I:$I, 0, 'Picarro Output'!$J:$J, 1), "")</f>
        <v/>
      </c>
    </row>
    <row r="2253" spans="2:5" x14ac:dyDescent="0.2">
      <c r="B2253" s="1"/>
      <c r="E2253" s="38" t="str">
        <f>IFERROR(AVERAGEIFS('Picarro Output'!G:G, 'Picarro Output'!$B:$B, 'Uncalibrated Data'!$C2253, 'Picarro Output'!$I:$I, 0, 'Picarro Output'!$J:$J, 1), "")</f>
        <v/>
      </c>
    </row>
    <row r="2254" spans="2:5" x14ac:dyDescent="0.2">
      <c r="B2254" s="1"/>
      <c r="E2254" s="38" t="str">
        <f>IFERROR(AVERAGEIFS('Picarro Output'!G:G, 'Picarro Output'!$B:$B, 'Uncalibrated Data'!$C2254, 'Picarro Output'!$I:$I, 0, 'Picarro Output'!$J:$J, 1), "")</f>
        <v/>
      </c>
    </row>
    <row r="2255" spans="2:5" x14ac:dyDescent="0.2">
      <c r="B2255" s="1"/>
      <c r="E2255" s="38" t="str">
        <f>IFERROR(AVERAGEIFS('Picarro Output'!G:G, 'Picarro Output'!$B:$B, 'Uncalibrated Data'!$C2255, 'Picarro Output'!$I:$I, 0, 'Picarro Output'!$J:$J, 1), "")</f>
        <v/>
      </c>
    </row>
    <row r="2256" spans="2:5" x14ac:dyDescent="0.2">
      <c r="B2256" s="1"/>
      <c r="E2256" s="38" t="str">
        <f>IFERROR(AVERAGEIFS('Picarro Output'!G:G, 'Picarro Output'!$B:$B, 'Uncalibrated Data'!$C2256, 'Picarro Output'!$I:$I, 0, 'Picarro Output'!$J:$J, 1), "")</f>
        <v/>
      </c>
    </row>
    <row r="2257" spans="2:5" x14ac:dyDescent="0.2">
      <c r="B2257" s="1"/>
      <c r="E2257" s="38" t="str">
        <f>IFERROR(AVERAGEIFS('Picarro Output'!G:G, 'Picarro Output'!$B:$B, 'Uncalibrated Data'!$C2257, 'Picarro Output'!$I:$I, 0, 'Picarro Output'!$J:$J, 1), "")</f>
        <v/>
      </c>
    </row>
    <row r="2258" spans="2:5" x14ac:dyDescent="0.2">
      <c r="B2258" s="1"/>
      <c r="E2258" s="38" t="str">
        <f>IFERROR(AVERAGEIFS('Picarro Output'!G:G, 'Picarro Output'!$B:$B, 'Uncalibrated Data'!$C2258, 'Picarro Output'!$I:$I, 0, 'Picarro Output'!$J:$J, 1), "")</f>
        <v/>
      </c>
    </row>
    <row r="2259" spans="2:5" x14ac:dyDescent="0.2">
      <c r="B2259" s="1"/>
      <c r="E2259" s="38" t="str">
        <f>IFERROR(AVERAGEIFS('Picarro Output'!G:G, 'Picarro Output'!$B:$B, 'Uncalibrated Data'!$C2259, 'Picarro Output'!$I:$I, 0, 'Picarro Output'!$J:$J, 1), "")</f>
        <v/>
      </c>
    </row>
    <row r="2260" spans="2:5" x14ac:dyDescent="0.2">
      <c r="B2260" s="1"/>
      <c r="E2260" s="38" t="str">
        <f>IFERROR(AVERAGEIFS('Picarro Output'!G:G, 'Picarro Output'!$B:$B, 'Uncalibrated Data'!$C2260, 'Picarro Output'!$I:$I, 0, 'Picarro Output'!$J:$J, 1), "")</f>
        <v/>
      </c>
    </row>
    <row r="2261" spans="2:5" x14ac:dyDescent="0.2">
      <c r="B2261" s="1"/>
      <c r="E2261" s="38" t="str">
        <f>IFERROR(AVERAGEIFS('Picarro Output'!G:G, 'Picarro Output'!$B:$B, 'Uncalibrated Data'!$C2261, 'Picarro Output'!$I:$I, 0, 'Picarro Output'!$J:$J, 1), "")</f>
        <v/>
      </c>
    </row>
    <row r="2262" spans="2:5" x14ac:dyDescent="0.2">
      <c r="B2262" s="1"/>
      <c r="E2262" s="38" t="str">
        <f>IFERROR(AVERAGEIFS('Picarro Output'!G:G, 'Picarro Output'!$B:$B, 'Uncalibrated Data'!$C2262, 'Picarro Output'!$I:$I, 0, 'Picarro Output'!$J:$J, 1), "")</f>
        <v/>
      </c>
    </row>
    <row r="2263" spans="2:5" x14ac:dyDescent="0.2">
      <c r="B2263" s="1"/>
      <c r="E2263" s="38" t="str">
        <f>IFERROR(AVERAGEIFS('Picarro Output'!G:G, 'Picarro Output'!$B:$B, 'Uncalibrated Data'!$C2263, 'Picarro Output'!$I:$I, 0, 'Picarro Output'!$J:$J, 1), "")</f>
        <v/>
      </c>
    </row>
    <row r="2264" spans="2:5" x14ac:dyDescent="0.2">
      <c r="B2264" s="1"/>
      <c r="E2264" s="38" t="str">
        <f>IFERROR(AVERAGEIFS('Picarro Output'!G:G, 'Picarro Output'!$B:$B, 'Uncalibrated Data'!$C2264, 'Picarro Output'!$I:$I, 0, 'Picarro Output'!$J:$J, 1), "")</f>
        <v/>
      </c>
    </row>
    <row r="2265" spans="2:5" x14ac:dyDescent="0.2">
      <c r="B2265" s="1"/>
      <c r="E2265" s="38" t="str">
        <f>IFERROR(AVERAGEIFS('Picarro Output'!G:G, 'Picarro Output'!$B:$B, 'Uncalibrated Data'!$C2265, 'Picarro Output'!$I:$I, 0, 'Picarro Output'!$J:$J, 1), "")</f>
        <v/>
      </c>
    </row>
    <row r="2266" spans="2:5" x14ac:dyDescent="0.2">
      <c r="B2266" s="1"/>
      <c r="E2266" s="38" t="str">
        <f>IFERROR(AVERAGEIFS('Picarro Output'!G:G, 'Picarro Output'!$B:$B, 'Uncalibrated Data'!$C2266, 'Picarro Output'!$I:$I, 0, 'Picarro Output'!$J:$J, 1), "")</f>
        <v/>
      </c>
    </row>
    <row r="2267" spans="2:5" x14ac:dyDescent="0.2">
      <c r="B2267" s="1"/>
      <c r="E2267" s="38" t="str">
        <f>IFERROR(AVERAGEIFS('Picarro Output'!G:G, 'Picarro Output'!$B:$B, 'Uncalibrated Data'!$C2267, 'Picarro Output'!$I:$I, 0, 'Picarro Output'!$J:$J, 1), "")</f>
        <v/>
      </c>
    </row>
    <row r="2268" spans="2:5" x14ac:dyDescent="0.2">
      <c r="B2268" s="1"/>
      <c r="E2268" s="38" t="str">
        <f>IFERROR(AVERAGEIFS('Picarro Output'!G:G, 'Picarro Output'!$B:$B, 'Uncalibrated Data'!$C2268, 'Picarro Output'!$I:$I, 0, 'Picarro Output'!$J:$J, 1), "")</f>
        <v/>
      </c>
    </row>
    <row r="2269" spans="2:5" x14ac:dyDescent="0.2">
      <c r="B2269" s="1"/>
      <c r="E2269" s="38" t="str">
        <f>IFERROR(AVERAGEIFS('Picarro Output'!G:G, 'Picarro Output'!$B:$B, 'Uncalibrated Data'!$C2269, 'Picarro Output'!$I:$I, 0, 'Picarro Output'!$J:$J, 1), "")</f>
        <v/>
      </c>
    </row>
    <row r="2270" spans="2:5" x14ac:dyDescent="0.2">
      <c r="B2270" s="1"/>
      <c r="E2270" s="38" t="str">
        <f>IFERROR(AVERAGEIFS('Picarro Output'!G:G, 'Picarro Output'!$B:$B, 'Uncalibrated Data'!$C2270, 'Picarro Output'!$I:$I, 0, 'Picarro Output'!$J:$J, 1), "")</f>
        <v/>
      </c>
    </row>
    <row r="2271" spans="2:5" x14ac:dyDescent="0.2">
      <c r="B2271" s="1"/>
      <c r="E2271" s="38" t="str">
        <f>IFERROR(AVERAGEIFS('Picarro Output'!G:G, 'Picarro Output'!$B:$B, 'Uncalibrated Data'!$C2271, 'Picarro Output'!$I:$I, 0, 'Picarro Output'!$J:$J, 1), "")</f>
        <v/>
      </c>
    </row>
    <row r="2272" spans="2:5" x14ac:dyDescent="0.2">
      <c r="B2272" s="1"/>
      <c r="E2272" s="38" t="str">
        <f>IFERROR(AVERAGEIFS('Picarro Output'!G:G, 'Picarro Output'!$B:$B, 'Uncalibrated Data'!$C2272, 'Picarro Output'!$I:$I, 0, 'Picarro Output'!$J:$J, 1), "")</f>
        <v/>
      </c>
    </row>
    <row r="2273" spans="2:5" x14ac:dyDescent="0.2">
      <c r="B2273" s="1"/>
      <c r="E2273" s="38" t="str">
        <f>IFERROR(AVERAGEIFS('Picarro Output'!G:G, 'Picarro Output'!$B:$B, 'Uncalibrated Data'!$C2273, 'Picarro Output'!$I:$I, 0, 'Picarro Output'!$J:$J, 1), "")</f>
        <v/>
      </c>
    </row>
    <row r="2274" spans="2:5" x14ac:dyDescent="0.2">
      <c r="B2274" s="1"/>
      <c r="E2274" s="38" t="str">
        <f>IFERROR(AVERAGEIFS('Picarro Output'!G:G, 'Picarro Output'!$B:$B, 'Uncalibrated Data'!$C2274, 'Picarro Output'!$I:$I, 0, 'Picarro Output'!$J:$J, 1), "")</f>
        <v/>
      </c>
    </row>
    <row r="2275" spans="2:5" x14ac:dyDescent="0.2">
      <c r="B2275" s="1"/>
      <c r="E2275" s="38" t="str">
        <f>IFERROR(AVERAGEIFS('Picarro Output'!G:G, 'Picarro Output'!$B:$B, 'Uncalibrated Data'!$C2275, 'Picarro Output'!$I:$I, 0, 'Picarro Output'!$J:$J, 1), "")</f>
        <v/>
      </c>
    </row>
    <row r="2276" spans="2:5" x14ac:dyDescent="0.2">
      <c r="B2276" s="1"/>
      <c r="E2276" s="38" t="str">
        <f>IFERROR(AVERAGEIFS('Picarro Output'!G:G, 'Picarro Output'!$B:$B, 'Uncalibrated Data'!$C2276, 'Picarro Output'!$I:$I, 0, 'Picarro Output'!$J:$J, 1), "")</f>
        <v/>
      </c>
    </row>
    <row r="2277" spans="2:5" x14ac:dyDescent="0.2">
      <c r="B2277" s="1"/>
      <c r="E2277" s="38" t="str">
        <f>IFERROR(AVERAGEIFS('Picarro Output'!G:G, 'Picarro Output'!$B:$B, 'Uncalibrated Data'!$C2277, 'Picarro Output'!$I:$I, 0, 'Picarro Output'!$J:$J, 1), "")</f>
        <v/>
      </c>
    </row>
    <row r="2278" spans="2:5" x14ac:dyDescent="0.2">
      <c r="B2278" s="1"/>
      <c r="E2278" s="38" t="str">
        <f>IFERROR(AVERAGEIFS('Picarro Output'!G:G, 'Picarro Output'!$B:$B, 'Uncalibrated Data'!$C2278, 'Picarro Output'!$I:$I, 0, 'Picarro Output'!$J:$J, 1), "")</f>
        <v/>
      </c>
    </row>
    <row r="2279" spans="2:5" x14ac:dyDescent="0.2">
      <c r="B2279" s="1"/>
      <c r="E2279" s="38" t="str">
        <f>IFERROR(AVERAGEIFS('Picarro Output'!G:G, 'Picarro Output'!$B:$B, 'Uncalibrated Data'!$C2279, 'Picarro Output'!$I:$I, 0, 'Picarro Output'!$J:$J, 1), "")</f>
        <v/>
      </c>
    </row>
    <row r="2280" spans="2:5" x14ac:dyDescent="0.2">
      <c r="B2280" s="1"/>
      <c r="E2280" s="38" t="str">
        <f>IFERROR(AVERAGEIFS('Picarro Output'!G:G, 'Picarro Output'!$B:$B, 'Uncalibrated Data'!$C2280, 'Picarro Output'!$I:$I, 0, 'Picarro Output'!$J:$J, 1), "")</f>
        <v/>
      </c>
    </row>
    <row r="2281" spans="2:5" x14ac:dyDescent="0.2">
      <c r="B2281" s="1"/>
      <c r="E2281" s="38" t="str">
        <f>IFERROR(AVERAGEIFS('Picarro Output'!G:G, 'Picarro Output'!$B:$B, 'Uncalibrated Data'!$C2281, 'Picarro Output'!$I:$I, 0, 'Picarro Output'!$J:$J, 1), "")</f>
        <v/>
      </c>
    </row>
    <row r="2282" spans="2:5" x14ac:dyDescent="0.2">
      <c r="B2282" s="1"/>
      <c r="E2282" s="38" t="str">
        <f>IFERROR(AVERAGEIFS('Picarro Output'!G:G, 'Picarro Output'!$B:$B, 'Uncalibrated Data'!$C2282, 'Picarro Output'!$I:$I, 0, 'Picarro Output'!$J:$J, 1), "")</f>
        <v/>
      </c>
    </row>
    <row r="2283" spans="2:5" x14ac:dyDescent="0.2">
      <c r="B2283" s="1"/>
      <c r="E2283" s="38" t="str">
        <f>IFERROR(AVERAGEIFS('Picarro Output'!G:G, 'Picarro Output'!$B:$B, 'Uncalibrated Data'!$C2283, 'Picarro Output'!$I:$I, 0, 'Picarro Output'!$J:$J, 1), "")</f>
        <v/>
      </c>
    </row>
    <row r="2284" spans="2:5" x14ac:dyDescent="0.2">
      <c r="B2284" s="1"/>
      <c r="E2284" s="38" t="str">
        <f>IFERROR(AVERAGEIFS('Picarro Output'!G:G, 'Picarro Output'!$B:$B, 'Uncalibrated Data'!$C2284, 'Picarro Output'!$I:$I, 0, 'Picarro Output'!$J:$J, 1), "")</f>
        <v/>
      </c>
    </row>
    <row r="2285" spans="2:5" x14ac:dyDescent="0.2">
      <c r="B2285" s="1"/>
      <c r="E2285" s="38" t="str">
        <f>IFERROR(AVERAGEIFS('Picarro Output'!G:G, 'Picarro Output'!$B:$B, 'Uncalibrated Data'!$C2285, 'Picarro Output'!$I:$I, 0, 'Picarro Output'!$J:$J, 1), "")</f>
        <v/>
      </c>
    </row>
    <row r="2286" spans="2:5" x14ac:dyDescent="0.2">
      <c r="B2286" s="1"/>
      <c r="E2286" s="38" t="str">
        <f>IFERROR(AVERAGEIFS('Picarro Output'!G:G, 'Picarro Output'!$B:$B, 'Uncalibrated Data'!$C2286, 'Picarro Output'!$I:$I, 0, 'Picarro Output'!$J:$J, 1), "")</f>
        <v/>
      </c>
    </row>
    <row r="2287" spans="2:5" x14ac:dyDescent="0.2">
      <c r="B2287" s="1"/>
      <c r="E2287" s="38" t="str">
        <f>IFERROR(AVERAGEIFS('Picarro Output'!G:G, 'Picarro Output'!$B:$B, 'Uncalibrated Data'!$C2287, 'Picarro Output'!$I:$I, 0, 'Picarro Output'!$J:$J, 1), "")</f>
        <v/>
      </c>
    </row>
    <row r="2288" spans="2:5" x14ac:dyDescent="0.2">
      <c r="B2288" s="1"/>
      <c r="E2288" s="38" t="str">
        <f>IFERROR(AVERAGEIFS('Picarro Output'!G:G, 'Picarro Output'!$B:$B, 'Uncalibrated Data'!$C2288, 'Picarro Output'!$I:$I, 0, 'Picarro Output'!$J:$J, 1), "")</f>
        <v/>
      </c>
    </row>
    <row r="2289" spans="2:5" x14ac:dyDescent="0.2">
      <c r="B2289" s="1"/>
      <c r="E2289" s="38" t="str">
        <f>IFERROR(AVERAGEIFS('Picarro Output'!G:G, 'Picarro Output'!$B:$B, 'Uncalibrated Data'!$C2289, 'Picarro Output'!$I:$I, 0, 'Picarro Output'!$J:$J, 1), "")</f>
        <v/>
      </c>
    </row>
    <row r="2290" spans="2:5" x14ac:dyDescent="0.2">
      <c r="B2290" s="1"/>
      <c r="E2290" s="38" t="str">
        <f>IFERROR(AVERAGEIFS('Picarro Output'!G:G, 'Picarro Output'!$B:$B, 'Uncalibrated Data'!$C2290, 'Picarro Output'!$I:$I, 0, 'Picarro Output'!$J:$J, 1), "")</f>
        <v/>
      </c>
    </row>
    <row r="2291" spans="2:5" x14ac:dyDescent="0.2">
      <c r="B2291" s="1"/>
      <c r="E2291" s="38" t="str">
        <f>IFERROR(AVERAGEIFS('Picarro Output'!G:G, 'Picarro Output'!$B:$B, 'Uncalibrated Data'!$C2291, 'Picarro Output'!$I:$I, 0, 'Picarro Output'!$J:$J, 1), "")</f>
        <v/>
      </c>
    </row>
    <row r="2292" spans="2:5" x14ac:dyDescent="0.2">
      <c r="B2292" s="1"/>
      <c r="E2292" s="38" t="str">
        <f>IFERROR(AVERAGEIFS('Picarro Output'!G:G, 'Picarro Output'!$B:$B, 'Uncalibrated Data'!$C2292, 'Picarro Output'!$I:$I, 0, 'Picarro Output'!$J:$J, 1), "")</f>
        <v/>
      </c>
    </row>
    <row r="2293" spans="2:5" x14ac:dyDescent="0.2">
      <c r="B2293" s="1"/>
      <c r="E2293" s="38" t="str">
        <f>IFERROR(AVERAGEIFS('Picarro Output'!G:G, 'Picarro Output'!$B:$B, 'Uncalibrated Data'!$C2293, 'Picarro Output'!$I:$I, 0, 'Picarro Output'!$J:$J, 1), "")</f>
        <v/>
      </c>
    </row>
    <row r="2294" spans="2:5" x14ac:dyDescent="0.2">
      <c r="B2294" s="1"/>
      <c r="E2294" s="38" t="str">
        <f>IFERROR(AVERAGEIFS('Picarro Output'!G:G, 'Picarro Output'!$B:$B, 'Uncalibrated Data'!$C2294, 'Picarro Output'!$I:$I, 0, 'Picarro Output'!$J:$J, 1), "")</f>
        <v/>
      </c>
    </row>
    <row r="2295" spans="2:5" x14ac:dyDescent="0.2">
      <c r="B2295" s="1"/>
      <c r="E2295" s="38" t="str">
        <f>IFERROR(AVERAGEIFS('Picarro Output'!G:G, 'Picarro Output'!$B:$B, 'Uncalibrated Data'!$C2295, 'Picarro Output'!$I:$I, 0, 'Picarro Output'!$J:$J, 1), "")</f>
        <v/>
      </c>
    </row>
    <row r="2296" spans="2:5" x14ac:dyDescent="0.2">
      <c r="B2296" s="1"/>
      <c r="E2296" s="38" t="str">
        <f>IFERROR(AVERAGEIFS('Picarro Output'!G:G, 'Picarro Output'!$B:$B, 'Uncalibrated Data'!$C2296, 'Picarro Output'!$I:$I, 0, 'Picarro Output'!$J:$J, 1), "")</f>
        <v/>
      </c>
    </row>
    <row r="2297" spans="2:5" x14ac:dyDescent="0.2">
      <c r="B2297" s="1"/>
      <c r="E2297" s="38" t="str">
        <f>IFERROR(AVERAGEIFS('Picarro Output'!G:G, 'Picarro Output'!$B:$B, 'Uncalibrated Data'!$C2297, 'Picarro Output'!$I:$I, 0, 'Picarro Output'!$J:$J, 1), "")</f>
        <v/>
      </c>
    </row>
    <row r="2298" spans="2:5" x14ac:dyDescent="0.2">
      <c r="B2298" s="1"/>
      <c r="E2298" s="38" t="str">
        <f>IFERROR(AVERAGEIFS('Picarro Output'!G:G, 'Picarro Output'!$B:$B, 'Uncalibrated Data'!$C2298, 'Picarro Output'!$I:$I, 0, 'Picarro Output'!$J:$J, 1), "")</f>
        <v/>
      </c>
    </row>
    <row r="2299" spans="2:5" x14ac:dyDescent="0.2">
      <c r="B2299" s="1"/>
      <c r="E2299" s="38" t="str">
        <f>IFERROR(AVERAGEIFS('Picarro Output'!G:G, 'Picarro Output'!$B:$B, 'Uncalibrated Data'!$C2299, 'Picarro Output'!$I:$I, 0, 'Picarro Output'!$J:$J, 1), "")</f>
        <v/>
      </c>
    </row>
    <row r="2300" spans="2:5" x14ac:dyDescent="0.2">
      <c r="B2300" s="1"/>
      <c r="E2300" s="38" t="str">
        <f>IFERROR(AVERAGEIFS('Picarro Output'!G:G, 'Picarro Output'!$B:$B, 'Uncalibrated Data'!$C2300, 'Picarro Output'!$I:$I, 0, 'Picarro Output'!$J:$J, 1), "")</f>
        <v/>
      </c>
    </row>
    <row r="2301" spans="2:5" x14ac:dyDescent="0.2">
      <c r="B2301" s="1"/>
      <c r="E2301" s="38" t="str">
        <f>IFERROR(AVERAGEIFS('Picarro Output'!G:G, 'Picarro Output'!$B:$B, 'Uncalibrated Data'!$C2301, 'Picarro Output'!$I:$I, 0, 'Picarro Output'!$J:$J, 1), "")</f>
        <v/>
      </c>
    </row>
    <row r="2302" spans="2:5" x14ac:dyDescent="0.2">
      <c r="B2302" s="1"/>
      <c r="E2302" s="38" t="str">
        <f>IFERROR(AVERAGEIFS('Picarro Output'!G:G, 'Picarro Output'!$B:$B, 'Uncalibrated Data'!$C2302, 'Picarro Output'!$I:$I, 0, 'Picarro Output'!$J:$J, 1), "")</f>
        <v/>
      </c>
    </row>
    <row r="2303" spans="2:5" x14ac:dyDescent="0.2">
      <c r="B2303" s="1"/>
      <c r="E2303" s="38" t="str">
        <f>IFERROR(AVERAGEIFS('Picarro Output'!G:G, 'Picarro Output'!$B:$B, 'Uncalibrated Data'!$C2303, 'Picarro Output'!$I:$I, 0, 'Picarro Output'!$J:$J, 1), "")</f>
        <v/>
      </c>
    </row>
    <row r="2304" spans="2:5" x14ac:dyDescent="0.2">
      <c r="B2304" s="1"/>
      <c r="E2304" s="38" t="str">
        <f>IFERROR(AVERAGEIFS('Picarro Output'!G:G, 'Picarro Output'!$B:$B, 'Uncalibrated Data'!$C2304, 'Picarro Output'!$I:$I, 0, 'Picarro Output'!$J:$J, 1), "")</f>
        <v/>
      </c>
    </row>
    <row r="2305" spans="2:5" x14ac:dyDescent="0.2">
      <c r="B2305" s="1"/>
      <c r="E2305" s="38" t="str">
        <f>IFERROR(AVERAGEIFS('Picarro Output'!G:G, 'Picarro Output'!$B:$B, 'Uncalibrated Data'!$C2305, 'Picarro Output'!$I:$I, 0, 'Picarro Output'!$J:$J, 1), "")</f>
        <v/>
      </c>
    </row>
    <row r="2306" spans="2:5" x14ac:dyDescent="0.2">
      <c r="B2306" s="1"/>
      <c r="E2306" s="38" t="str">
        <f>IFERROR(AVERAGEIFS('Picarro Output'!G:G, 'Picarro Output'!$B:$B, 'Uncalibrated Data'!$C2306, 'Picarro Output'!$I:$I, 0, 'Picarro Output'!$J:$J, 1), "")</f>
        <v/>
      </c>
    </row>
    <row r="2307" spans="2:5" x14ac:dyDescent="0.2">
      <c r="B2307" s="1"/>
      <c r="E2307" s="38" t="str">
        <f>IFERROR(AVERAGEIFS('Picarro Output'!G:G, 'Picarro Output'!$B:$B, 'Uncalibrated Data'!$C2307, 'Picarro Output'!$I:$I, 0, 'Picarro Output'!$J:$J, 1), "")</f>
        <v/>
      </c>
    </row>
    <row r="2308" spans="2:5" x14ac:dyDescent="0.2">
      <c r="B2308" s="1"/>
      <c r="E2308" s="38" t="str">
        <f>IFERROR(AVERAGEIFS('Picarro Output'!G:G, 'Picarro Output'!$B:$B, 'Uncalibrated Data'!$C2308, 'Picarro Output'!$I:$I, 0, 'Picarro Output'!$J:$J, 1), "")</f>
        <v/>
      </c>
    </row>
    <row r="2309" spans="2:5" x14ac:dyDescent="0.2">
      <c r="B2309" s="1"/>
      <c r="E2309" s="38" t="str">
        <f>IFERROR(AVERAGEIFS('Picarro Output'!G:G, 'Picarro Output'!$B:$B, 'Uncalibrated Data'!$C2309, 'Picarro Output'!$I:$I, 0, 'Picarro Output'!$J:$J, 1), "")</f>
        <v/>
      </c>
    </row>
    <row r="2310" spans="2:5" x14ac:dyDescent="0.2">
      <c r="B2310" s="1"/>
      <c r="E2310" s="38" t="str">
        <f>IFERROR(AVERAGEIFS('Picarro Output'!G:G, 'Picarro Output'!$B:$B, 'Uncalibrated Data'!$C2310, 'Picarro Output'!$I:$I, 0, 'Picarro Output'!$J:$J, 1), "")</f>
        <v/>
      </c>
    </row>
    <row r="2311" spans="2:5" x14ac:dyDescent="0.2">
      <c r="B2311" s="1"/>
      <c r="E2311" s="38" t="str">
        <f>IFERROR(AVERAGEIFS('Picarro Output'!G:G, 'Picarro Output'!$B:$B, 'Uncalibrated Data'!$C2311, 'Picarro Output'!$I:$I, 0, 'Picarro Output'!$J:$J, 1), "")</f>
        <v/>
      </c>
    </row>
    <row r="2312" spans="2:5" x14ac:dyDescent="0.2">
      <c r="B2312" s="1"/>
      <c r="E2312" s="38" t="str">
        <f>IFERROR(AVERAGEIFS('Picarro Output'!G:G, 'Picarro Output'!$B:$B, 'Uncalibrated Data'!$C2312, 'Picarro Output'!$I:$I, 0, 'Picarro Output'!$J:$J, 1), "")</f>
        <v/>
      </c>
    </row>
    <row r="2313" spans="2:5" x14ac:dyDescent="0.2">
      <c r="B2313" s="1"/>
      <c r="E2313" s="38" t="str">
        <f>IFERROR(AVERAGEIFS('Picarro Output'!G:G, 'Picarro Output'!$B:$B, 'Uncalibrated Data'!$C2313, 'Picarro Output'!$I:$I, 0, 'Picarro Output'!$J:$J, 1), "")</f>
        <v/>
      </c>
    </row>
    <row r="2314" spans="2:5" x14ac:dyDescent="0.2">
      <c r="B2314" s="1"/>
      <c r="E2314" s="38" t="str">
        <f>IFERROR(AVERAGEIFS('Picarro Output'!G:G, 'Picarro Output'!$B:$B, 'Uncalibrated Data'!$C2314, 'Picarro Output'!$I:$I, 0, 'Picarro Output'!$J:$J, 1), "")</f>
        <v/>
      </c>
    </row>
    <row r="2315" spans="2:5" x14ac:dyDescent="0.2">
      <c r="B2315" s="1"/>
      <c r="E2315" s="38" t="str">
        <f>IFERROR(AVERAGEIFS('Picarro Output'!G:G, 'Picarro Output'!$B:$B, 'Uncalibrated Data'!$C2315, 'Picarro Output'!$I:$I, 0, 'Picarro Output'!$J:$J, 1), "")</f>
        <v/>
      </c>
    </row>
    <row r="2316" spans="2:5" x14ac:dyDescent="0.2">
      <c r="B2316" s="1"/>
      <c r="E2316" s="38" t="str">
        <f>IFERROR(AVERAGEIFS('Picarro Output'!G:G, 'Picarro Output'!$B:$B, 'Uncalibrated Data'!$C2316, 'Picarro Output'!$I:$I, 0, 'Picarro Output'!$J:$J, 1), "")</f>
        <v/>
      </c>
    </row>
    <row r="2317" spans="2:5" x14ac:dyDescent="0.2">
      <c r="B2317" s="1"/>
      <c r="E2317" s="38" t="str">
        <f>IFERROR(AVERAGEIFS('Picarro Output'!G:G, 'Picarro Output'!$B:$B, 'Uncalibrated Data'!$C2317, 'Picarro Output'!$I:$I, 0, 'Picarro Output'!$J:$J, 1), "")</f>
        <v/>
      </c>
    </row>
    <row r="2318" spans="2:5" x14ac:dyDescent="0.2">
      <c r="B2318" s="1"/>
      <c r="E2318" s="38" t="str">
        <f>IFERROR(AVERAGEIFS('Picarro Output'!G:G, 'Picarro Output'!$B:$B, 'Uncalibrated Data'!$C2318, 'Picarro Output'!$I:$I, 0, 'Picarro Output'!$J:$J, 1), "")</f>
        <v/>
      </c>
    </row>
    <row r="2319" spans="2:5" x14ac:dyDescent="0.2">
      <c r="B2319" s="1"/>
      <c r="E2319" s="38" t="str">
        <f>IFERROR(AVERAGEIFS('Picarro Output'!G:G, 'Picarro Output'!$B:$B, 'Uncalibrated Data'!$C2319, 'Picarro Output'!$I:$I, 0, 'Picarro Output'!$J:$J, 1), "")</f>
        <v/>
      </c>
    </row>
    <row r="2320" spans="2:5" x14ac:dyDescent="0.2">
      <c r="B2320" s="1"/>
      <c r="E2320" s="38" t="str">
        <f>IFERROR(AVERAGEIFS('Picarro Output'!G:G, 'Picarro Output'!$B:$B, 'Uncalibrated Data'!$C2320, 'Picarro Output'!$I:$I, 0, 'Picarro Output'!$J:$J, 1), "")</f>
        <v/>
      </c>
    </row>
    <row r="2321" spans="2:5" x14ac:dyDescent="0.2">
      <c r="B2321" s="1"/>
      <c r="E2321" s="38" t="str">
        <f>IFERROR(AVERAGEIFS('Picarro Output'!G:G, 'Picarro Output'!$B:$B, 'Uncalibrated Data'!$C2321, 'Picarro Output'!$I:$I, 0, 'Picarro Output'!$J:$J, 1), "")</f>
        <v/>
      </c>
    </row>
    <row r="2322" spans="2:5" x14ac:dyDescent="0.2">
      <c r="B2322" s="1"/>
      <c r="E2322" s="38" t="str">
        <f>IFERROR(AVERAGEIFS('Picarro Output'!G:G, 'Picarro Output'!$B:$B, 'Uncalibrated Data'!$C2322, 'Picarro Output'!$I:$I, 0, 'Picarro Output'!$J:$J, 1), "")</f>
        <v/>
      </c>
    </row>
    <row r="2323" spans="2:5" x14ac:dyDescent="0.2">
      <c r="B2323" s="1"/>
      <c r="E2323" s="38" t="str">
        <f>IFERROR(AVERAGEIFS('Picarro Output'!G:G, 'Picarro Output'!$B:$B, 'Uncalibrated Data'!$C2323, 'Picarro Output'!$I:$I, 0, 'Picarro Output'!$J:$J, 1), "")</f>
        <v/>
      </c>
    </row>
    <row r="2324" spans="2:5" x14ac:dyDescent="0.2">
      <c r="B2324" s="1"/>
      <c r="E2324" s="38" t="str">
        <f>IFERROR(AVERAGEIFS('Picarro Output'!G:G, 'Picarro Output'!$B:$B, 'Uncalibrated Data'!$C2324, 'Picarro Output'!$I:$I, 0, 'Picarro Output'!$J:$J, 1), "")</f>
        <v/>
      </c>
    </row>
    <row r="2325" spans="2:5" x14ac:dyDescent="0.2">
      <c r="B2325" s="1"/>
      <c r="E2325" s="38" t="str">
        <f>IFERROR(AVERAGEIFS('Picarro Output'!G:G, 'Picarro Output'!$B:$B, 'Uncalibrated Data'!$C2325, 'Picarro Output'!$I:$I, 0, 'Picarro Output'!$J:$J, 1), "")</f>
        <v/>
      </c>
    </row>
    <row r="2326" spans="2:5" x14ac:dyDescent="0.2">
      <c r="B2326" s="1"/>
      <c r="E2326" s="38" t="str">
        <f>IFERROR(AVERAGEIFS('Picarro Output'!G:G, 'Picarro Output'!$B:$B, 'Uncalibrated Data'!$C2326, 'Picarro Output'!$I:$I, 0, 'Picarro Output'!$J:$J, 1), "")</f>
        <v/>
      </c>
    </row>
    <row r="2327" spans="2:5" x14ac:dyDescent="0.2">
      <c r="B2327" s="1"/>
      <c r="E2327" s="38" t="str">
        <f>IFERROR(AVERAGEIFS('Picarro Output'!G:G, 'Picarro Output'!$B:$B, 'Uncalibrated Data'!$C2327, 'Picarro Output'!$I:$I, 0, 'Picarro Output'!$J:$J, 1), "")</f>
        <v/>
      </c>
    </row>
    <row r="2328" spans="2:5" x14ac:dyDescent="0.2">
      <c r="B2328" s="1"/>
      <c r="E2328" s="38" t="str">
        <f>IFERROR(AVERAGEIFS('Picarro Output'!G:G, 'Picarro Output'!$B:$B, 'Uncalibrated Data'!$C2328, 'Picarro Output'!$I:$I, 0, 'Picarro Output'!$J:$J, 1), "")</f>
        <v/>
      </c>
    </row>
    <row r="2329" spans="2:5" x14ac:dyDescent="0.2">
      <c r="B2329" s="1"/>
      <c r="E2329" s="38" t="str">
        <f>IFERROR(AVERAGEIFS('Picarro Output'!G:G, 'Picarro Output'!$B:$B, 'Uncalibrated Data'!$C2329, 'Picarro Output'!$I:$I, 0, 'Picarro Output'!$J:$J, 1), "")</f>
        <v/>
      </c>
    </row>
    <row r="2330" spans="2:5" x14ac:dyDescent="0.2">
      <c r="B2330" s="1"/>
      <c r="E2330" s="38" t="str">
        <f>IFERROR(AVERAGEIFS('Picarro Output'!G:G, 'Picarro Output'!$B:$B, 'Uncalibrated Data'!$C2330, 'Picarro Output'!$I:$I, 0, 'Picarro Output'!$J:$J, 1), "")</f>
        <v/>
      </c>
    </row>
    <row r="2331" spans="2:5" x14ac:dyDescent="0.2">
      <c r="B2331" s="1"/>
      <c r="E2331" s="38" t="str">
        <f>IFERROR(AVERAGEIFS('Picarro Output'!G:G, 'Picarro Output'!$B:$B, 'Uncalibrated Data'!$C2331, 'Picarro Output'!$I:$I, 0, 'Picarro Output'!$J:$J, 1), "")</f>
        <v/>
      </c>
    </row>
    <row r="2332" spans="2:5" x14ac:dyDescent="0.2">
      <c r="B2332" s="1"/>
      <c r="E2332" s="38" t="str">
        <f>IFERROR(AVERAGEIFS('Picarro Output'!G:G, 'Picarro Output'!$B:$B, 'Uncalibrated Data'!$C2332, 'Picarro Output'!$I:$I, 0, 'Picarro Output'!$J:$J, 1), "")</f>
        <v/>
      </c>
    </row>
    <row r="2333" spans="2:5" x14ac:dyDescent="0.2">
      <c r="B2333" s="1"/>
      <c r="E2333" s="38" t="str">
        <f>IFERROR(AVERAGEIFS('Picarro Output'!G:G, 'Picarro Output'!$B:$B, 'Uncalibrated Data'!$C2333, 'Picarro Output'!$I:$I, 0, 'Picarro Output'!$J:$J, 1), "")</f>
        <v/>
      </c>
    </row>
    <row r="2334" spans="2:5" x14ac:dyDescent="0.2">
      <c r="B2334" s="1"/>
      <c r="E2334" s="38" t="str">
        <f>IFERROR(AVERAGEIFS('Picarro Output'!G:G, 'Picarro Output'!$B:$B, 'Uncalibrated Data'!$C2334, 'Picarro Output'!$I:$I, 0, 'Picarro Output'!$J:$J, 1), "")</f>
        <v/>
      </c>
    </row>
    <row r="2335" spans="2:5" x14ac:dyDescent="0.2">
      <c r="B2335" s="1"/>
      <c r="E2335" s="38" t="str">
        <f>IFERROR(AVERAGEIFS('Picarro Output'!G:G, 'Picarro Output'!$B:$B, 'Uncalibrated Data'!$C2335, 'Picarro Output'!$I:$I, 0, 'Picarro Output'!$J:$J, 1), "")</f>
        <v/>
      </c>
    </row>
    <row r="2336" spans="2:5" x14ac:dyDescent="0.2">
      <c r="B2336" s="1"/>
      <c r="E2336" s="38" t="str">
        <f>IFERROR(AVERAGEIFS('Picarro Output'!G:G, 'Picarro Output'!$B:$B, 'Uncalibrated Data'!$C2336, 'Picarro Output'!$I:$I, 0, 'Picarro Output'!$J:$J, 1), "")</f>
        <v/>
      </c>
    </row>
    <row r="2337" spans="2:5" x14ac:dyDescent="0.2">
      <c r="B2337" s="1"/>
      <c r="E2337" s="38" t="str">
        <f>IFERROR(AVERAGEIFS('Picarro Output'!G:G, 'Picarro Output'!$B:$B, 'Uncalibrated Data'!$C2337, 'Picarro Output'!$I:$I, 0, 'Picarro Output'!$J:$J, 1), "")</f>
        <v/>
      </c>
    </row>
    <row r="2338" spans="2:5" x14ac:dyDescent="0.2">
      <c r="B2338" s="1"/>
      <c r="E2338" s="38" t="str">
        <f>IFERROR(AVERAGEIFS('Picarro Output'!G:G, 'Picarro Output'!$B:$B, 'Uncalibrated Data'!$C2338, 'Picarro Output'!$I:$I, 0, 'Picarro Output'!$J:$J, 1), "")</f>
        <v/>
      </c>
    </row>
    <row r="2339" spans="2:5" x14ac:dyDescent="0.2">
      <c r="B2339" s="1"/>
      <c r="E2339" s="38" t="str">
        <f>IFERROR(AVERAGEIFS('Picarro Output'!G:G, 'Picarro Output'!$B:$B, 'Uncalibrated Data'!$C2339, 'Picarro Output'!$I:$I, 0, 'Picarro Output'!$J:$J, 1), "")</f>
        <v/>
      </c>
    </row>
    <row r="2340" spans="2:5" x14ac:dyDescent="0.2">
      <c r="B2340" s="1"/>
      <c r="E2340" s="38" t="str">
        <f>IFERROR(AVERAGEIFS('Picarro Output'!G:G, 'Picarro Output'!$B:$B, 'Uncalibrated Data'!$C2340, 'Picarro Output'!$I:$I, 0, 'Picarro Output'!$J:$J, 1), "")</f>
        <v/>
      </c>
    </row>
    <row r="2341" spans="2:5" x14ac:dyDescent="0.2">
      <c r="B2341" s="1"/>
      <c r="E2341" s="38" t="str">
        <f>IFERROR(AVERAGEIFS('Picarro Output'!G:G, 'Picarro Output'!$B:$B, 'Uncalibrated Data'!$C2341, 'Picarro Output'!$I:$I, 0, 'Picarro Output'!$J:$J, 1), "")</f>
        <v/>
      </c>
    </row>
    <row r="2342" spans="2:5" x14ac:dyDescent="0.2">
      <c r="B2342" s="1"/>
      <c r="E2342" s="38" t="str">
        <f>IFERROR(AVERAGEIFS('Picarro Output'!G:G, 'Picarro Output'!$B:$B, 'Uncalibrated Data'!$C2342, 'Picarro Output'!$I:$I, 0, 'Picarro Output'!$J:$J, 1), "")</f>
        <v/>
      </c>
    </row>
    <row r="2343" spans="2:5" x14ac:dyDescent="0.2">
      <c r="B2343" s="1"/>
      <c r="E2343" s="38" t="str">
        <f>IFERROR(AVERAGEIFS('Picarro Output'!G:G, 'Picarro Output'!$B:$B, 'Uncalibrated Data'!$C2343, 'Picarro Output'!$I:$I, 0, 'Picarro Output'!$J:$J, 1), "")</f>
        <v/>
      </c>
    </row>
    <row r="2344" spans="2:5" x14ac:dyDescent="0.2">
      <c r="B2344" s="1"/>
      <c r="E2344" s="38" t="str">
        <f>IFERROR(AVERAGEIFS('Picarro Output'!G:G, 'Picarro Output'!$B:$B, 'Uncalibrated Data'!$C2344, 'Picarro Output'!$I:$I, 0, 'Picarro Output'!$J:$J, 1), "")</f>
        <v/>
      </c>
    </row>
    <row r="2345" spans="2:5" x14ac:dyDescent="0.2">
      <c r="B2345" s="1"/>
      <c r="E2345" s="38" t="str">
        <f>IFERROR(AVERAGEIFS('Picarro Output'!G:G, 'Picarro Output'!$B:$B, 'Uncalibrated Data'!$C2345, 'Picarro Output'!$I:$I, 0, 'Picarro Output'!$J:$J, 1), "")</f>
        <v/>
      </c>
    </row>
    <row r="2346" spans="2:5" x14ac:dyDescent="0.2">
      <c r="B2346" s="1"/>
      <c r="E2346" s="38" t="str">
        <f>IFERROR(AVERAGEIFS('Picarro Output'!G:G, 'Picarro Output'!$B:$B, 'Uncalibrated Data'!$C2346, 'Picarro Output'!$I:$I, 0, 'Picarro Output'!$J:$J, 1), "")</f>
        <v/>
      </c>
    </row>
    <row r="2347" spans="2:5" x14ac:dyDescent="0.2">
      <c r="B2347" s="1"/>
      <c r="E2347" s="38" t="str">
        <f>IFERROR(AVERAGEIFS('Picarro Output'!G:G, 'Picarro Output'!$B:$B, 'Uncalibrated Data'!$C2347, 'Picarro Output'!$I:$I, 0, 'Picarro Output'!$J:$J, 1), "")</f>
        <v/>
      </c>
    </row>
    <row r="2348" spans="2:5" x14ac:dyDescent="0.2">
      <c r="B2348" s="1"/>
      <c r="E2348" s="38" t="str">
        <f>IFERROR(AVERAGEIFS('Picarro Output'!G:G, 'Picarro Output'!$B:$B, 'Uncalibrated Data'!$C2348, 'Picarro Output'!$I:$I, 0, 'Picarro Output'!$J:$J, 1), "")</f>
        <v/>
      </c>
    </row>
    <row r="2349" spans="2:5" x14ac:dyDescent="0.2">
      <c r="B2349" s="1"/>
      <c r="E2349" s="38" t="str">
        <f>IFERROR(AVERAGEIFS('Picarro Output'!G:G, 'Picarro Output'!$B:$B, 'Uncalibrated Data'!$C2349, 'Picarro Output'!$I:$I, 0, 'Picarro Output'!$J:$J, 1), "")</f>
        <v/>
      </c>
    </row>
    <row r="2350" spans="2:5" x14ac:dyDescent="0.2">
      <c r="B2350" s="1"/>
      <c r="E2350" s="38" t="str">
        <f>IFERROR(AVERAGEIFS('Picarro Output'!G:G, 'Picarro Output'!$B:$B, 'Uncalibrated Data'!$C2350, 'Picarro Output'!$I:$I, 0, 'Picarro Output'!$J:$J, 1), "")</f>
        <v/>
      </c>
    </row>
    <row r="2351" spans="2:5" x14ac:dyDescent="0.2">
      <c r="B2351" s="1"/>
      <c r="E2351" s="38" t="str">
        <f>IFERROR(AVERAGEIFS('Picarro Output'!G:G, 'Picarro Output'!$B:$B, 'Uncalibrated Data'!$C2351, 'Picarro Output'!$I:$I, 0, 'Picarro Output'!$J:$J, 1), "")</f>
        <v/>
      </c>
    </row>
    <row r="2352" spans="2:5" x14ac:dyDescent="0.2">
      <c r="B2352" s="1"/>
      <c r="E2352" s="38" t="str">
        <f>IFERROR(AVERAGEIFS('Picarro Output'!G:G, 'Picarro Output'!$B:$B, 'Uncalibrated Data'!$C2352, 'Picarro Output'!$I:$I, 0, 'Picarro Output'!$J:$J, 1), "")</f>
        <v/>
      </c>
    </row>
    <row r="2353" spans="2:5" x14ac:dyDescent="0.2">
      <c r="B2353" s="1"/>
      <c r="E2353" s="38" t="str">
        <f>IFERROR(AVERAGEIFS('Picarro Output'!G:G, 'Picarro Output'!$B:$B, 'Uncalibrated Data'!$C2353, 'Picarro Output'!$I:$I, 0, 'Picarro Output'!$J:$J, 1), "")</f>
        <v/>
      </c>
    </row>
    <row r="2354" spans="2:5" x14ac:dyDescent="0.2">
      <c r="B2354" s="1"/>
      <c r="E2354" s="38" t="str">
        <f>IFERROR(AVERAGEIFS('Picarro Output'!G:G, 'Picarro Output'!$B:$B, 'Uncalibrated Data'!$C2354, 'Picarro Output'!$I:$I, 0, 'Picarro Output'!$J:$J, 1), "")</f>
        <v/>
      </c>
    </row>
    <row r="2355" spans="2:5" x14ac:dyDescent="0.2">
      <c r="B2355" s="1"/>
      <c r="E2355" s="38" t="str">
        <f>IFERROR(AVERAGEIFS('Picarro Output'!G:G, 'Picarro Output'!$B:$B, 'Uncalibrated Data'!$C2355, 'Picarro Output'!$I:$I, 0, 'Picarro Output'!$J:$J, 1), "")</f>
        <v/>
      </c>
    </row>
    <row r="2356" spans="2:5" x14ac:dyDescent="0.2">
      <c r="B2356" s="1"/>
      <c r="E2356" s="38" t="str">
        <f>IFERROR(AVERAGEIFS('Picarro Output'!G:G, 'Picarro Output'!$B:$B, 'Uncalibrated Data'!$C2356, 'Picarro Output'!$I:$I, 0, 'Picarro Output'!$J:$J, 1), "")</f>
        <v/>
      </c>
    </row>
    <row r="2357" spans="2:5" x14ac:dyDescent="0.2">
      <c r="B2357" s="1"/>
      <c r="E2357" s="38" t="str">
        <f>IFERROR(AVERAGEIFS('Picarro Output'!G:G, 'Picarro Output'!$B:$B, 'Uncalibrated Data'!$C2357, 'Picarro Output'!$I:$I, 0, 'Picarro Output'!$J:$J, 1), "")</f>
        <v/>
      </c>
    </row>
    <row r="2358" spans="2:5" x14ac:dyDescent="0.2">
      <c r="B2358" s="1"/>
      <c r="E2358" s="38" t="str">
        <f>IFERROR(AVERAGEIFS('Picarro Output'!G:G, 'Picarro Output'!$B:$B, 'Uncalibrated Data'!$C2358, 'Picarro Output'!$I:$I, 0, 'Picarro Output'!$J:$J, 1), "")</f>
        <v/>
      </c>
    </row>
    <row r="2359" spans="2:5" x14ac:dyDescent="0.2">
      <c r="B2359" s="1"/>
      <c r="E2359" s="38" t="str">
        <f>IFERROR(AVERAGEIFS('Picarro Output'!G:G, 'Picarro Output'!$B:$B, 'Uncalibrated Data'!$C2359, 'Picarro Output'!$I:$I, 0, 'Picarro Output'!$J:$J, 1), "")</f>
        <v/>
      </c>
    </row>
    <row r="2360" spans="2:5" x14ac:dyDescent="0.2">
      <c r="B2360" s="1"/>
      <c r="E2360" s="38" t="str">
        <f>IFERROR(AVERAGEIFS('Picarro Output'!G:G, 'Picarro Output'!$B:$B, 'Uncalibrated Data'!$C2360, 'Picarro Output'!$I:$I, 0, 'Picarro Output'!$J:$J, 1), "")</f>
        <v/>
      </c>
    </row>
    <row r="2361" spans="2:5" x14ac:dyDescent="0.2">
      <c r="B2361" s="1"/>
      <c r="E2361" s="38" t="str">
        <f>IFERROR(AVERAGEIFS('Picarro Output'!G:G, 'Picarro Output'!$B:$B, 'Uncalibrated Data'!$C2361, 'Picarro Output'!$I:$I, 0, 'Picarro Output'!$J:$J, 1), "")</f>
        <v/>
      </c>
    </row>
    <row r="2362" spans="2:5" x14ac:dyDescent="0.2">
      <c r="B2362" s="1"/>
      <c r="E2362" s="38" t="str">
        <f>IFERROR(AVERAGEIFS('Picarro Output'!G:G, 'Picarro Output'!$B:$B, 'Uncalibrated Data'!$C2362, 'Picarro Output'!$I:$I, 0, 'Picarro Output'!$J:$J, 1), "")</f>
        <v/>
      </c>
    </row>
    <row r="2363" spans="2:5" x14ac:dyDescent="0.2">
      <c r="B2363" s="1"/>
      <c r="E2363" s="38" t="str">
        <f>IFERROR(AVERAGEIFS('Picarro Output'!G:G, 'Picarro Output'!$B:$B, 'Uncalibrated Data'!$C2363, 'Picarro Output'!$I:$I, 0, 'Picarro Output'!$J:$J, 1), "")</f>
        <v/>
      </c>
    </row>
    <row r="2364" spans="2:5" x14ac:dyDescent="0.2">
      <c r="B2364" s="1"/>
      <c r="E2364" s="38" t="str">
        <f>IFERROR(AVERAGEIFS('Picarro Output'!G:G, 'Picarro Output'!$B:$B, 'Uncalibrated Data'!$C2364, 'Picarro Output'!$I:$I, 0, 'Picarro Output'!$J:$J, 1), "")</f>
        <v/>
      </c>
    </row>
    <row r="2365" spans="2:5" x14ac:dyDescent="0.2">
      <c r="B2365" s="1"/>
      <c r="E2365" s="38" t="str">
        <f>IFERROR(AVERAGEIFS('Picarro Output'!G:G, 'Picarro Output'!$B:$B, 'Uncalibrated Data'!$C2365, 'Picarro Output'!$I:$I, 0, 'Picarro Output'!$J:$J, 1), "")</f>
        <v/>
      </c>
    </row>
    <row r="2366" spans="2:5" x14ac:dyDescent="0.2">
      <c r="B2366" s="1"/>
      <c r="E2366" s="38" t="str">
        <f>IFERROR(AVERAGEIFS('Picarro Output'!G:G, 'Picarro Output'!$B:$B, 'Uncalibrated Data'!$C2366, 'Picarro Output'!$I:$I, 0, 'Picarro Output'!$J:$J, 1), "")</f>
        <v/>
      </c>
    </row>
    <row r="2367" spans="2:5" x14ac:dyDescent="0.2">
      <c r="B2367" s="1"/>
      <c r="E2367" s="38" t="str">
        <f>IFERROR(AVERAGEIFS('Picarro Output'!G:G, 'Picarro Output'!$B:$B, 'Uncalibrated Data'!$C2367, 'Picarro Output'!$I:$I, 0, 'Picarro Output'!$J:$J, 1), "")</f>
        <v/>
      </c>
    </row>
    <row r="2368" spans="2:5" x14ac:dyDescent="0.2">
      <c r="B2368" s="1"/>
      <c r="E2368" s="38" t="str">
        <f>IFERROR(AVERAGEIFS('Picarro Output'!G:G, 'Picarro Output'!$B:$B, 'Uncalibrated Data'!$C2368, 'Picarro Output'!$I:$I, 0, 'Picarro Output'!$J:$J, 1), "")</f>
        <v/>
      </c>
    </row>
    <row r="2369" spans="2:5" x14ac:dyDescent="0.2">
      <c r="B2369" s="1"/>
      <c r="E2369" s="38" t="str">
        <f>IFERROR(AVERAGEIFS('Picarro Output'!G:G, 'Picarro Output'!$B:$B, 'Uncalibrated Data'!$C2369, 'Picarro Output'!$I:$I, 0, 'Picarro Output'!$J:$J, 1), "")</f>
        <v/>
      </c>
    </row>
    <row r="2370" spans="2:5" x14ac:dyDescent="0.2">
      <c r="B2370" s="1"/>
      <c r="E2370" s="38" t="str">
        <f>IFERROR(AVERAGEIFS('Picarro Output'!G:G, 'Picarro Output'!$B:$B, 'Uncalibrated Data'!$C2370, 'Picarro Output'!$I:$I, 0, 'Picarro Output'!$J:$J, 1), "")</f>
        <v/>
      </c>
    </row>
    <row r="2371" spans="2:5" x14ac:dyDescent="0.2">
      <c r="B2371" s="1"/>
      <c r="E2371" s="38" t="str">
        <f>IFERROR(AVERAGEIFS('Picarro Output'!G:G, 'Picarro Output'!$B:$B, 'Uncalibrated Data'!$C2371, 'Picarro Output'!$I:$I, 0, 'Picarro Output'!$J:$J, 1), "")</f>
        <v/>
      </c>
    </row>
    <row r="2372" spans="2:5" x14ac:dyDescent="0.2">
      <c r="B2372" s="1"/>
      <c r="E2372" s="38" t="str">
        <f>IFERROR(AVERAGEIFS('Picarro Output'!G:G, 'Picarro Output'!$B:$B, 'Uncalibrated Data'!$C2372, 'Picarro Output'!$I:$I, 0, 'Picarro Output'!$J:$J, 1), "")</f>
        <v/>
      </c>
    </row>
    <row r="2373" spans="2:5" x14ac:dyDescent="0.2">
      <c r="B2373" s="1"/>
      <c r="E2373" s="38" t="str">
        <f>IFERROR(AVERAGEIFS('Picarro Output'!G:G, 'Picarro Output'!$B:$B, 'Uncalibrated Data'!$C2373, 'Picarro Output'!$I:$I, 0, 'Picarro Output'!$J:$J, 1), "")</f>
        <v/>
      </c>
    </row>
    <row r="2374" spans="2:5" x14ac:dyDescent="0.2">
      <c r="B2374" s="1"/>
      <c r="E2374" s="38" t="str">
        <f>IFERROR(AVERAGEIFS('Picarro Output'!G:G, 'Picarro Output'!$B:$B, 'Uncalibrated Data'!$C2374, 'Picarro Output'!$I:$I, 0, 'Picarro Output'!$J:$J, 1), "")</f>
        <v/>
      </c>
    </row>
    <row r="2375" spans="2:5" x14ac:dyDescent="0.2">
      <c r="B2375" s="1"/>
      <c r="E2375" s="38" t="str">
        <f>IFERROR(AVERAGEIFS('Picarro Output'!G:G, 'Picarro Output'!$B:$B, 'Uncalibrated Data'!$C2375, 'Picarro Output'!$I:$I, 0, 'Picarro Output'!$J:$J, 1), "")</f>
        <v/>
      </c>
    </row>
    <row r="2376" spans="2:5" x14ac:dyDescent="0.2">
      <c r="B2376" s="1"/>
      <c r="E2376" s="38" t="str">
        <f>IFERROR(AVERAGEIFS('Picarro Output'!G:G, 'Picarro Output'!$B:$B, 'Uncalibrated Data'!$C2376, 'Picarro Output'!$I:$I, 0, 'Picarro Output'!$J:$J, 1), "")</f>
        <v/>
      </c>
    </row>
    <row r="2377" spans="2:5" x14ac:dyDescent="0.2">
      <c r="B2377" s="1"/>
      <c r="E2377" s="38" t="str">
        <f>IFERROR(AVERAGEIFS('Picarro Output'!G:G, 'Picarro Output'!$B:$B, 'Uncalibrated Data'!$C2377, 'Picarro Output'!$I:$I, 0, 'Picarro Output'!$J:$J, 1), "")</f>
        <v/>
      </c>
    </row>
    <row r="2378" spans="2:5" x14ac:dyDescent="0.2">
      <c r="B2378" s="1"/>
      <c r="E2378" s="38" t="str">
        <f>IFERROR(AVERAGEIFS('Picarro Output'!G:G, 'Picarro Output'!$B:$B, 'Uncalibrated Data'!$C2378, 'Picarro Output'!$I:$I, 0, 'Picarro Output'!$J:$J, 1), "")</f>
        <v/>
      </c>
    </row>
    <row r="2379" spans="2:5" x14ac:dyDescent="0.2">
      <c r="B2379" s="1"/>
      <c r="E2379" s="38" t="str">
        <f>IFERROR(AVERAGEIFS('Picarro Output'!G:G, 'Picarro Output'!$B:$B, 'Uncalibrated Data'!$C2379, 'Picarro Output'!$I:$I, 0, 'Picarro Output'!$J:$J, 1), "")</f>
        <v/>
      </c>
    </row>
    <row r="2380" spans="2:5" x14ac:dyDescent="0.2">
      <c r="B2380" s="1"/>
      <c r="E2380" s="38" t="str">
        <f>IFERROR(AVERAGEIFS('Picarro Output'!G:G, 'Picarro Output'!$B:$B, 'Uncalibrated Data'!$C2380, 'Picarro Output'!$I:$I, 0, 'Picarro Output'!$J:$J, 1), "")</f>
        <v/>
      </c>
    </row>
    <row r="2381" spans="2:5" x14ac:dyDescent="0.2">
      <c r="B2381" s="1"/>
      <c r="E2381" s="38" t="str">
        <f>IFERROR(AVERAGEIFS('Picarro Output'!G:G, 'Picarro Output'!$B:$B, 'Uncalibrated Data'!$C2381, 'Picarro Output'!$I:$I, 0, 'Picarro Output'!$J:$J, 1), "")</f>
        <v/>
      </c>
    </row>
    <row r="2382" spans="2:5" x14ac:dyDescent="0.2">
      <c r="B2382" s="1"/>
      <c r="E2382" s="38" t="str">
        <f>IFERROR(AVERAGEIFS('Picarro Output'!G:G, 'Picarro Output'!$B:$B, 'Uncalibrated Data'!$C2382, 'Picarro Output'!$I:$I, 0, 'Picarro Output'!$J:$J, 1), "")</f>
        <v/>
      </c>
    </row>
    <row r="2383" spans="2:5" x14ac:dyDescent="0.2">
      <c r="B2383" s="1"/>
      <c r="E2383" s="38" t="str">
        <f>IFERROR(AVERAGEIFS('Picarro Output'!G:G, 'Picarro Output'!$B:$B, 'Uncalibrated Data'!$C2383, 'Picarro Output'!$I:$I, 0, 'Picarro Output'!$J:$J, 1), "")</f>
        <v/>
      </c>
    </row>
    <row r="2384" spans="2:5" x14ac:dyDescent="0.2">
      <c r="B2384" s="1"/>
      <c r="E2384" s="38" t="str">
        <f>IFERROR(AVERAGEIFS('Picarro Output'!G:G, 'Picarro Output'!$B:$B, 'Uncalibrated Data'!$C2384, 'Picarro Output'!$I:$I, 0, 'Picarro Output'!$J:$J, 1), "")</f>
        <v/>
      </c>
    </row>
    <row r="2385" spans="2:5" x14ac:dyDescent="0.2">
      <c r="B2385" s="1"/>
      <c r="E2385" s="38" t="str">
        <f>IFERROR(AVERAGEIFS('Picarro Output'!G:G, 'Picarro Output'!$B:$B, 'Uncalibrated Data'!$C2385, 'Picarro Output'!$I:$I, 0, 'Picarro Output'!$J:$J, 1), "")</f>
        <v/>
      </c>
    </row>
    <row r="2386" spans="2:5" x14ac:dyDescent="0.2">
      <c r="B2386" s="1"/>
      <c r="E2386" s="38" t="str">
        <f>IFERROR(AVERAGEIFS('Picarro Output'!G:G, 'Picarro Output'!$B:$B, 'Uncalibrated Data'!$C2386, 'Picarro Output'!$I:$I, 0, 'Picarro Output'!$J:$J, 1), "")</f>
        <v/>
      </c>
    </row>
    <row r="2387" spans="2:5" x14ac:dyDescent="0.2">
      <c r="B2387" s="1"/>
      <c r="E2387" s="38" t="str">
        <f>IFERROR(AVERAGEIFS('Picarro Output'!G:G, 'Picarro Output'!$B:$B, 'Uncalibrated Data'!$C2387, 'Picarro Output'!$I:$I, 0, 'Picarro Output'!$J:$J, 1), "")</f>
        <v/>
      </c>
    </row>
    <row r="2388" spans="2:5" x14ac:dyDescent="0.2">
      <c r="B2388" s="1"/>
      <c r="E2388" s="38" t="str">
        <f>IFERROR(AVERAGEIFS('Picarro Output'!G:G, 'Picarro Output'!$B:$B, 'Uncalibrated Data'!$C2388, 'Picarro Output'!$I:$I, 0, 'Picarro Output'!$J:$J, 1), "")</f>
        <v/>
      </c>
    </row>
    <row r="2389" spans="2:5" x14ac:dyDescent="0.2">
      <c r="B2389" s="1"/>
      <c r="E2389" s="38" t="str">
        <f>IFERROR(AVERAGEIFS('Picarro Output'!G:G, 'Picarro Output'!$B:$B, 'Uncalibrated Data'!$C2389, 'Picarro Output'!$I:$I, 0, 'Picarro Output'!$J:$J, 1), "")</f>
        <v/>
      </c>
    </row>
    <row r="2390" spans="2:5" x14ac:dyDescent="0.2">
      <c r="B2390" s="1"/>
      <c r="E2390" s="38" t="str">
        <f>IFERROR(AVERAGEIFS('Picarro Output'!G:G, 'Picarro Output'!$B:$B, 'Uncalibrated Data'!$C2390, 'Picarro Output'!$I:$I, 0, 'Picarro Output'!$J:$J, 1), "")</f>
        <v/>
      </c>
    </row>
    <row r="2391" spans="2:5" x14ac:dyDescent="0.2">
      <c r="B2391" s="1"/>
      <c r="E2391" s="38" t="str">
        <f>IFERROR(AVERAGEIFS('Picarro Output'!G:G, 'Picarro Output'!$B:$B, 'Uncalibrated Data'!$C2391, 'Picarro Output'!$I:$I, 0, 'Picarro Output'!$J:$J, 1), "")</f>
        <v/>
      </c>
    </row>
    <row r="2392" spans="2:5" x14ac:dyDescent="0.2">
      <c r="B2392" s="1"/>
      <c r="E2392" s="38" t="str">
        <f>IFERROR(AVERAGEIFS('Picarro Output'!G:G, 'Picarro Output'!$B:$B, 'Uncalibrated Data'!$C2392, 'Picarro Output'!$I:$I, 0, 'Picarro Output'!$J:$J, 1), "")</f>
        <v/>
      </c>
    </row>
    <row r="2393" spans="2:5" x14ac:dyDescent="0.2">
      <c r="B2393" s="1"/>
      <c r="E2393" s="38" t="str">
        <f>IFERROR(AVERAGEIFS('Picarro Output'!G:G, 'Picarro Output'!$B:$B, 'Uncalibrated Data'!$C2393, 'Picarro Output'!$I:$I, 0, 'Picarro Output'!$J:$J, 1), "")</f>
        <v/>
      </c>
    </row>
    <row r="2394" spans="2:5" x14ac:dyDescent="0.2">
      <c r="B2394" s="1"/>
      <c r="E2394" s="38" t="str">
        <f>IFERROR(AVERAGEIFS('Picarro Output'!G:G, 'Picarro Output'!$B:$B, 'Uncalibrated Data'!$C2394, 'Picarro Output'!$I:$I, 0, 'Picarro Output'!$J:$J, 1), "")</f>
        <v/>
      </c>
    </row>
    <row r="2395" spans="2:5" x14ac:dyDescent="0.2">
      <c r="B2395" s="1"/>
      <c r="E2395" s="38" t="str">
        <f>IFERROR(AVERAGEIFS('Picarro Output'!G:G, 'Picarro Output'!$B:$B, 'Uncalibrated Data'!$C2395, 'Picarro Output'!$I:$I, 0, 'Picarro Output'!$J:$J, 1), "")</f>
        <v/>
      </c>
    </row>
    <row r="2396" spans="2:5" x14ac:dyDescent="0.2">
      <c r="B2396" s="1"/>
      <c r="E2396" s="38" t="str">
        <f>IFERROR(AVERAGEIFS('Picarro Output'!G:G, 'Picarro Output'!$B:$B, 'Uncalibrated Data'!$C2396, 'Picarro Output'!$I:$I, 0, 'Picarro Output'!$J:$J, 1), "")</f>
        <v/>
      </c>
    </row>
    <row r="2397" spans="2:5" x14ac:dyDescent="0.2">
      <c r="B2397" s="1"/>
      <c r="E2397" s="38" t="str">
        <f>IFERROR(AVERAGEIFS('Picarro Output'!G:G, 'Picarro Output'!$B:$B, 'Uncalibrated Data'!$C2397, 'Picarro Output'!$I:$I, 0, 'Picarro Output'!$J:$J, 1), "")</f>
        <v/>
      </c>
    </row>
    <row r="2398" spans="2:5" x14ac:dyDescent="0.2">
      <c r="B2398" s="1"/>
      <c r="E2398" s="38" t="str">
        <f>IFERROR(AVERAGEIFS('Picarro Output'!G:G, 'Picarro Output'!$B:$B, 'Uncalibrated Data'!$C2398, 'Picarro Output'!$I:$I, 0, 'Picarro Output'!$J:$J, 1), "")</f>
        <v/>
      </c>
    </row>
    <row r="2399" spans="2:5" x14ac:dyDescent="0.2">
      <c r="B2399" s="1"/>
      <c r="E2399" s="38" t="str">
        <f>IFERROR(AVERAGEIFS('Picarro Output'!G:G, 'Picarro Output'!$B:$B, 'Uncalibrated Data'!$C2399, 'Picarro Output'!$I:$I, 0, 'Picarro Output'!$J:$J, 1), "")</f>
        <v/>
      </c>
    </row>
    <row r="2400" spans="2:5" x14ac:dyDescent="0.2">
      <c r="B2400" s="1"/>
      <c r="E2400" s="38" t="str">
        <f>IFERROR(AVERAGEIFS('Picarro Output'!G:G, 'Picarro Output'!$B:$B, 'Uncalibrated Data'!$C2400, 'Picarro Output'!$I:$I, 0, 'Picarro Output'!$J:$J, 1), "")</f>
        <v/>
      </c>
    </row>
    <row r="2401" spans="2:5" x14ac:dyDescent="0.2">
      <c r="B2401" s="1"/>
      <c r="E2401" s="38" t="str">
        <f>IFERROR(AVERAGEIFS('Picarro Output'!G:G, 'Picarro Output'!$B:$B, 'Uncalibrated Data'!$C2401, 'Picarro Output'!$I:$I, 0, 'Picarro Output'!$J:$J, 1), "")</f>
        <v/>
      </c>
    </row>
    <row r="2402" spans="2:5" x14ac:dyDescent="0.2">
      <c r="B2402" s="1"/>
      <c r="E2402" s="38" t="str">
        <f>IFERROR(AVERAGEIFS('Picarro Output'!G:G, 'Picarro Output'!$B:$B, 'Uncalibrated Data'!$C2402, 'Picarro Output'!$I:$I, 0, 'Picarro Output'!$J:$J, 1), "")</f>
        <v/>
      </c>
    </row>
    <row r="2403" spans="2:5" x14ac:dyDescent="0.2">
      <c r="B2403" s="1"/>
      <c r="E2403" s="38" t="str">
        <f>IFERROR(AVERAGEIFS('Picarro Output'!G:G, 'Picarro Output'!$B:$B, 'Uncalibrated Data'!$C2403, 'Picarro Output'!$I:$I, 0, 'Picarro Output'!$J:$J, 1), "")</f>
        <v/>
      </c>
    </row>
    <row r="2404" spans="2:5" x14ac:dyDescent="0.2">
      <c r="B2404" s="1"/>
      <c r="E2404" s="38" t="str">
        <f>IFERROR(AVERAGEIFS('Picarro Output'!G:G, 'Picarro Output'!$B:$B, 'Uncalibrated Data'!$C2404, 'Picarro Output'!$I:$I, 0, 'Picarro Output'!$J:$J, 1), "")</f>
        <v/>
      </c>
    </row>
    <row r="2405" spans="2:5" x14ac:dyDescent="0.2">
      <c r="B2405" s="1"/>
      <c r="E2405" s="38" t="str">
        <f>IFERROR(AVERAGEIFS('Picarro Output'!G:G, 'Picarro Output'!$B:$B, 'Uncalibrated Data'!$C2405, 'Picarro Output'!$I:$I, 0, 'Picarro Output'!$J:$J, 1), "")</f>
        <v/>
      </c>
    </row>
    <row r="2406" spans="2:5" x14ac:dyDescent="0.2">
      <c r="B2406" s="1"/>
      <c r="E2406" s="38" t="str">
        <f>IFERROR(AVERAGEIFS('Picarro Output'!G:G, 'Picarro Output'!$B:$B, 'Uncalibrated Data'!$C2406, 'Picarro Output'!$I:$I, 0, 'Picarro Output'!$J:$J, 1), "")</f>
        <v/>
      </c>
    </row>
    <row r="2407" spans="2:5" x14ac:dyDescent="0.2">
      <c r="B2407" s="1"/>
      <c r="E2407" s="38" t="str">
        <f>IFERROR(AVERAGEIFS('Picarro Output'!G:G, 'Picarro Output'!$B:$B, 'Uncalibrated Data'!$C2407, 'Picarro Output'!$I:$I, 0, 'Picarro Output'!$J:$J, 1), "")</f>
        <v/>
      </c>
    </row>
    <row r="2408" spans="2:5" x14ac:dyDescent="0.2">
      <c r="B2408" s="1"/>
      <c r="E2408" s="38" t="str">
        <f>IFERROR(AVERAGEIFS('Picarro Output'!G:G, 'Picarro Output'!$B:$B, 'Uncalibrated Data'!$C2408, 'Picarro Output'!$I:$I, 0, 'Picarro Output'!$J:$J, 1), "")</f>
        <v/>
      </c>
    </row>
    <row r="2409" spans="2:5" x14ac:dyDescent="0.2">
      <c r="B2409" s="1"/>
      <c r="E2409" s="38" t="str">
        <f>IFERROR(AVERAGEIFS('Picarro Output'!G:G, 'Picarro Output'!$B:$B, 'Uncalibrated Data'!$C2409, 'Picarro Output'!$I:$I, 0, 'Picarro Output'!$J:$J, 1), "")</f>
        <v/>
      </c>
    </row>
    <row r="2410" spans="2:5" x14ac:dyDescent="0.2">
      <c r="B2410" s="1"/>
      <c r="E2410" s="38" t="str">
        <f>IFERROR(AVERAGEIFS('Picarro Output'!G:G, 'Picarro Output'!$B:$B, 'Uncalibrated Data'!$C2410, 'Picarro Output'!$I:$I, 0, 'Picarro Output'!$J:$J, 1), "")</f>
        <v/>
      </c>
    </row>
    <row r="2411" spans="2:5" x14ac:dyDescent="0.2">
      <c r="B2411" s="1"/>
      <c r="E2411" s="38" t="str">
        <f>IFERROR(AVERAGEIFS('Picarro Output'!G:G, 'Picarro Output'!$B:$B, 'Uncalibrated Data'!$C2411, 'Picarro Output'!$I:$I, 0, 'Picarro Output'!$J:$J, 1), "")</f>
        <v/>
      </c>
    </row>
    <row r="2412" spans="2:5" x14ac:dyDescent="0.2">
      <c r="B2412" s="1"/>
      <c r="E2412" s="38" t="str">
        <f>IFERROR(AVERAGEIFS('Picarro Output'!G:G, 'Picarro Output'!$B:$B, 'Uncalibrated Data'!$C2412, 'Picarro Output'!$I:$I, 0, 'Picarro Output'!$J:$J, 1), "")</f>
        <v/>
      </c>
    </row>
    <row r="2413" spans="2:5" x14ac:dyDescent="0.2">
      <c r="B2413" s="1"/>
      <c r="E2413" s="38" t="str">
        <f>IFERROR(AVERAGEIFS('Picarro Output'!G:G, 'Picarro Output'!$B:$B, 'Uncalibrated Data'!$C2413, 'Picarro Output'!$I:$I, 0, 'Picarro Output'!$J:$J, 1), "")</f>
        <v/>
      </c>
    </row>
    <row r="2414" spans="2:5" x14ac:dyDescent="0.2">
      <c r="B2414" s="1"/>
      <c r="E2414" s="38" t="str">
        <f>IFERROR(AVERAGEIFS('Picarro Output'!G:G, 'Picarro Output'!$B:$B, 'Uncalibrated Data'!$C2414, 'Picarro Output'!$I:$I, 0, 'Picarro Output'!$J:$J, 1), "")</f>
        <v/>
      </c>
    </row>
    <row r="2415" spans="2:5" x14ac:dyDescent="0.2">
      <c r="B2415" s="1"/>
      <c r="E2415" s="38" t="str">
        <f>IFERROR(AVERAGEIFS('Picarro Output'!G:G, 'Picarro Output'!$B:$B, 'Uncalibrated Data'!$C2415, 'Picarro Output'!$I:$I, 0, 'Picarro Output'!$J:$J, 1), "")</f>
        <v/>
      </c>
    </row>
    <row r="2416" spans="2:5" x14ac:dyDescent="0.2">
      <c r="B2416" s="1"/>
      <c r="E2416" s="38" t="str">
        <f>IFERROR(AVERAGEIFS('Picarro Output'!G:G, 'Picarro Output'!$B:$B, 'Uncalibrated Data'!$C2416, 'Picarro Output'!$I:$I, 0, 'Picarro Output'!$J:$J, 1), "")</f>
        <v/>
      </c>
    </row>
    <row r="2417" spans="2:5" x14ac:dyDescent="0.2">
      <c r="B2417" s="1"/>
      <c r="E2417" s="38" t="str">
        <f>IFERROR(AVERAGEIFS('Picarro Output'!G:G, 'Picarro Output'!$B:$B, 'Uncalibrated Data'!$C2417, 'Picarro Output'!$I:$I, 0, 'Picarro Output'!$J:$J, 1), "")</f>
        <v/>
      </c>
    </row>
    <row r="2418" spans="2:5" x14ac:dyDescent="0.2">
      <c r="B2418" s="1"/>
      <c r="E2418" s="38" t="str">
        <f>IFERROR(AVERAGEIFS('Picarro Output'!G:G, 'Picarro Output'!$B:$B, 'Uncalibrated Data'!$C2418, 'Picarro Output'!$I:$I, 0, 'Picarro Output'!$J:$J, 1), "")</f>
        <v/>
      </c>
    </row>
    <row r="2419" spans="2:5" x14ac:dyDescent="0.2">
      <c r="B2419" s="1"/>
      <c r="E2419" s="38" t="str">
        <f>IFERROR(AVERAGEIFS('Picarro Output'!G:G, 'Picarro Output'!$B:$B, 'Uncalibrated Data'!$C2419, 'Picarro Output'!$I:$I, 0, 'Picarro Output'!$J:$J, 1), "")</f>
        <v/>
      </c>
    </row>
    <row r="2420" spans="2:5" x14ac:dyDescent="0.2">
      <c r="B2420" s="1"/>
      <c r="E2420" s="38" t="str">
        <f>IFERROR(AVERAGEIFS('Picarro Output'!G:G, 'Picarro Output'!$B:$B, 'Uncalibrated Data'!$C2420, 'Picarro Output'!$I:$I, 0, 'Picarro Output'!$J:$J, 1), "")</f>
        <v/>
      </c>
    </row>
    <row r="2421" spans="2:5" x14ac:dyDescent="0.2">
      <c r="B2421" s="1"/>
      <c r="E2421" s="38" t="str">
        <f>IFERROR(AVERAGEIFS('Picarro Output'!G:G, 'Picarro Output'!$B:$B, 'Uncalibrated Data'!$C2421, 'Picarro Output'!$I:$I, 0, 'Picarro Output'!$J:$J, 1), "")</f>
        <v/>
      </c>
    </row>
    <row r="2422" spans="2:5" x14ac:dyDescent="0.2">
      <c r="B2422" s="1"/>
      <c r="E2422" s="38" t="str">
        <f>IFERROR(AVERAGEIFS('Picarro Output'!G:G, 'Picarro Output'!$B:$B, 'Uncalibrated Data'!$C2422, 'Picarro Output'!$I:$I, 0, 'Picarro Output'!$J:$J, 1), "")</f>
        <v/>
      </c>
    </row>
    <row r="2423" spans="2:5" x14ac:dyDescent="0.2">
      <c r="B2423" s="1"/>
      <c r="E2423" s="38" t="str">
        <f>IFERROR(AVERAGEIFS('Picarro Output'!G:G, 'Picarro Output'!$B:$B, 'Uncalibrated Data'!$C2423, 'Picarro Output'!$I:$I, 0, 'Picarro Output'!$J:$J, 1), "")</f>
        <v/>
      </c>
    </row>
    <row r="2424" spans="2:5" x14ac:dyDescent="0.2">
      <c r="B2424" s="1"/>
      <c r="E2424" s="38" t="str">
        <f>IFERROR(AVERAGEIFS('Picarro Output'!G:G, 'Picarro Output'!$B:$B, 'Uncalibrated Data'!$C2424, 'Picarro Output'!$I:$I, 0, 'Picarro Output'!$J:$J, 1), "")</f>
        <v/>
      </c>
    </row>
    <row r="2425" spans="2:5" x14ac:dyDescent="0.2">
      <c r="B2425" s="1"/>
      <c r="E2425" s="38" t="str">
        <f>IFERROR(AVERAGEIFS('Picarro Output'!G:G, 'Picarro Output'!$B:$B, 'Uncalibrated Data'!$C2425, 'Picarro Output'!$I:$I, 0, 'Picarro Output'!$J:$J, 1), "")</f>
        <v/>
      </c>
    </row>
    <row r="2426" spans="2:5" x14ac:dyDescent="0.2">
      <c r="B2426" s="1"/>
      <c r="E2426" s="38" t="str">
        <f>IFERROR(AVERAGEIFS('Picarro Output'!G:G, 'Picarro Output'!$B:$B, 'Uncalibrated Data'!$C2426, 'Picarro Output'!$I:$I, 0, 'Picarro Output'!$J:$J, 1), "")</f>
        <v/>
      </c>
    </row>
    <row r="2427" spans="2:5" x14ac:dyDescent="0.2">
      <c r="B2427" s="1"/>
      <c r="E2427" s="38" t="str">
        <f>IFERROR(AVERAGEIFS('Picarro Output'!G:G, 'Picarro Output'!$B:$B, 'Uncalibrated Data'!$C2427, 'Picarro Output'!$I:$I, 0, 'Picarro Output'!$J:$J, 1), "")</f>
        <v/>
      </c>
    </row>
    <row r="2428" spans="2:5" x14ac:dyDescent="0.2">
      <c r="B2428" s="1"/>
      <c r="E2428" s="38" t="str">
        <f>IFERROR(AVERAGEIFS('Picarro Output'!G:G, 'Picarro Output'!$B:$B, 'Uncalibrated Data'!$C2428, 'Picarro Output'!$I:$I, 0, 'Picarro Output'!$J:$J, 1), "")</f>
        <v/>
      </c>
    </row>
    <row r="2429" spans="2:5" x14ac:dyDescent="0.2">
      <c r="B2429" s="1"/>
      <c r="E2429" s="38" t="str">
        <f>IFERROR(AVERAGEIFS('Picarro Output'!G:G, 'Picarro Output'!$B:$B, 'Uncalibrated Data'!$C2429, 'Picarro Output'!$I:$I, 0, 'Picarro Output'!$J:$J, 1), "")</f>
        <v/>
      </c>
    </row>
    <row r="2430" spans="2:5" x14ac:dyDescent="0.2">
      <c r="B2430" s="1"/>
      <c r="E2430" s="38" t="str">
        <f>IFERROR(AVERAGEIFS('Picarro Output'!G:G, 'Picarro Output'!$B:$B, 'Uncalibrated Data'!$C2430, 'Picarro Output'!$I:$I, 0, 'Picarro Output'!$J:$J, 1), "")</f>
        <v/>
      </c>
    </row>
    <row r="2431" spans="2:5" x14ac:dyDescent="0.2">
      <c r="B2431" s="1"/>
      <c r="E2431" s="38" t="str">
        <f>IFERROR(AVERAGEIFS('Picarro Output'!G:G, 'Picarro Output'!$B:$B, 'Uncalibrated Data'!$C2431, 'Picarro Output'!$I:$I, 0, 'Picarro Output'!$J:$J, 1), "")</f>
        <v/>
      </c>
    </row>
    <row r="2432" spans="2:5" x14ac:dyDescent="0.2">
      <c r="B2432" s="1"/>
      <c r="E2432" s="38" t="str">
        <f>IFERROR(AVERAGEIFS('Picarro Output'!G:G, 'Picarro Output'!$B:$B, 'Uncalibrated Data'!$C2432, 'Picarro Output'!$I:$I, 0, 'Picarro Output'!$J:$J, 1), "")</f>
        <v/>
      </c>
    </row>
    <row r="2433" spans="2:5" x14ac:dyDescent="0.2">
      <c r="B2433" s="1"/>
      <c r="E2433" s="38" t="str">
        <f>IFERROR(AVERAGEIFS('Picarro Output'!G:G, 'Picarro Output'!$B:$B, 'Uncalibrated Data'!$C2433, 'Picarro Output'!$I:$I, 0, 'Picarro Output'!$J:$J, 1), "")</f>
        <v/>
      </c>
    </row>
    <row r="2434" spans="2:5" x14ac:dyDescent="0.2">
      <c r="B2434" s="1"/>
      <c r="E2434" s="38" t="str">
        <f>IFERROR(AVERAGEIFS('Picarro Output'!G:G, 'Picarro Output'!$B:$B, 'Uncalibrated Data'!$C2434, 'Picarro Output'!$I:$I, 0, 'Picarro Output'!$J:$J, 1), "")</f>
        <v/>
      </c>
    </row>
    <row r="2435" spans="2:5" x14ac:dyDescent="0.2">
      <c r="B2435" s="1"/>
      <c r="E2435" s="38" t="str">
        <f>IFERROR(AVERAGEIFS('Picarro Output'!G:G, 'Picarro Output'!$B:$B, 'Uncalibrated Data'!$C2435, 'Picarro Output'!$I:$I, 0, 'Picarro Output'!$J:$J, 1), "")</f>
        <v/>
      </c>
    </row>
    <row r="2436" spans="2:5" x14ac:dyDescent="0.2">
      <c r="B2436" s="1"/>
      <c r="E2436" s="38" t="str">
        <f>IFERROR(AVERAGEIFS('Picarro Output'!G:G, 'Picarro Output'!$B:$B, 'Uncalibrated Data'!$C2436, 'Picarro Output'!$I:$I, 0, 'Picarro Output'!$J:$J, 1), "")</f>
        <v/>
      </c>
    </row>
    <row r="2437" spans="2:5" x14ac:dyDescent="0.2">
      <c r="B2437" s="1"/>
      <c r="E2437" s="38" t="str">
        <f>IFERROR(AVERAGEIFS('Picarro Output'!G:G, 'Picarro Output'!$B:$B, 'Uncalibrated Data'!$C2437, 'Picarro Output'!$I:$I, 0, 'Picarro Output'!$J:$J, 1), "")</f>
        <v/>
      </c>
    </row>
    <row r="2438" spans="2:5" x14ac:dyDescent="0.2">
      <c r="B2438" s="1"/>
      <c r="E2438" s="38" t="str">
        <f>IFERROR(AVERAGEIFS('Picarro Output'!G:G, 'Picarro Output'!$B:$B, 'Uncalibrated Data'!$C2438, 'Picarro Output'!$I:$I, 0, 'Picarro Output'!$J:$J, 1), "")</f>
        <v/>
      </c>
    </row>
    <row r="2439" spans="2:5" x14ac:dyDescent="0.2">
      <c r="B2439" s="1"/>
      <c r="E2439" s="38" t="str">
        <f>IFERROR(AVERAGEIFS('Picarro Output'!G:G, 'Picarro Output'!$B:$B, 'Uncalibrated Data'!$C2439, 'Picarro Output'!$I:$I, 0, 'Picarro Output'!$J:$J, 1), "")</f>
        <v/>
      </c>
    </row>
    <row r="2440" spans="2:5" x14ac:dyDescent="0.2">
      <c r="B2440" s="1"/>
      <c r="E2440" s="38" t="str">
        <f>IFERROR(AVERAGEIFS('Picarro Output'!G:G, 'Picarro Output'!$B:$B, 'Uncalibrated Data'!$C2440, 'Picarro Output'!$I:$I, 0, 'Picarro Output'!$J:$J, 1), "")</f>
        <v/>
      </c>
    </row>
    <row r="2441" spans="2:5" x14ac:dyDescent="0.2">
      <c r="B2441" s="1"/>
      <c r="E2441" s="38" t="str">
        <f>IFERROR(AVERAGEIFS('Picarro Output'!G:G, 'Picarro Output'!$B:$B, 'Uncalibrated Data'!$C2441, 'Picarro Output'!$I:$I, 0, 'Picarro Output'!$J:$J, 1), "")</f>
        <v/>
      </c>
    </row>
    <row r="2442" spans="2:5" x14ac:dyDescent="0.2">
      <c r="B2442" s="1"/>
      <c r="E2442" s="38" t="str">
        <f>IFERROR(AVERAGEIFS('Picarro Output'!G:G, 'Picarro Output'!$B:$B, 'Uncalibrated Data'!$C2442, 'Picarro Output'!$I:$I, 0, 'Picarro Output'!$J:$J, 1), "")</f>
        <v/>
      </c>
    </row>
    <row r="2443" spans="2:5" x14ac:dyDescent="0.2">
      <c r="B2443" s="1"/>
      <c r="E2443" s="38" t="str">
        <f>IFERROR(AVERAGEIFS('Picarro Output'!G:G, 'Picarro Output'!$B:$B, 'Uncalibrated Data'!$C2443, 'Picarro Output'!$I:$I, 0, 'Picarro Output'!$J:$J, 1), "")</f>
        <v/>
      </c>
    </row>
    <row r="2444" spans="2:5" x14ac:dyDescent="0.2">
      <c r="B2444" s="1"/>
      <c r="E2444" s="38" t="str">
        <f>IFERROR(AVERAGEIFS('Picarro Output'!G:G, 'Picarro Output'!$B:$B, 'Uncalibrated Data'!$C2444, 'Picarro Output'!$I:$I, 0, 'Picarro Output'!$J:$J, 1), "")</f>
        <v/>
      </c>
    </row>
    <row r="2445" spans="2:5" x14ac:dyDescent="0.2">
      <c r="B2445" s="1"/>
      <c r="E2445" s="38" t="str">
        <f>IFERROR(AVERAGEIFS('Picarro Output'!G:G, 'Picarro Output'!$B:$B, 'Uncalibrated Data'!$C2445, 'Picarro Output'!$I:$I, 0, 'Picarro Output'!$J:$J, 1), "")</f>
        <v/>
      </c>
    </row>
    <row r="2446" spans="2:5" x14ac:dyDescent="0.2">
      <c r="B2446" s="1"/>
      <c r="E2446" s="38" t="str">
        <f>IFERROR(AVERAGEIFS('Picarro Output'!G:G, 'Picarro Output'!$B:$B, 'Uncalibrated Data'!$C2446, 'Picarro Output'!$I:$I, 0, 'Picarro Output'!$J:$J, 1), "")</f>
        <v/>
      </c>
    </row>
    <row r="2447" spans="2:5" x14ac:dyDescent="0.2">
      <c r="B2447" s="1"/>
      <c r="E2447" s="38" t="str">
        <f>IFERROR(AVERAGEIFS('Picarro Output'!G:G, 'Picarro Output'!$B:$B, 'Uncalibrated Data'!$C2447, 'Picarro Output'!$I:$I, 0, 'Picarro Output'!$J:$J, 1), "")</f>
        <v/>
      </c>
    </row>
    <row r="2448" spans="2:5" x14ac:dyDescent="0.2">
      <c r="B2448" s="1"/>
      <c r="E2448" s="38" t="str">
        <f>IFERROR(AVERAGEIFS('Picarro Output'!G:G, 'Picarro Output'!$B:$B, 'Uncalibrated Data'!$C2448, 'Picarro Output'!$I:$I, 0, 'Picarro Output'!$J:$J, 1), "")</f>
        <v/>
      </c>
    </row>
    <row r="2449" spans="2:5" x14ac:dyDescent="0.2">
      <c r="B2449" s="1"/>
      <c r="E2449" s="38" t="str">
        <f>IFERROR(AVERAGEIFS('Picarro Output'!G:G, 'Picarro Output'!$B:$B, 'Uncalibrated Data'!$C2449, 'Picarro Output'!$I:$I, 0, 'Picarro Output'!$J:$J, 1), "")</f>
        <v/>
      </c>
    </row>
    <row r="2450" spans="2:5" x14ac:dyDescent="0.2">
      <c r="B2450" s="1"/>
      <c r="E2450" s="38" t="str">
        <f>IFERROR(AVERAGEIFS('Picarro Output'!G:G, 'Picarro Output'!$B:$B, 'Uncalibrated Data'!$C2450, 'Picarro Output'!$I:$I, 0, 'Picarro Output'!$J:$J, 1), "")</f>
        <v/>
      </c>
    </row>
    <row r="2451" spans="2:5" x14ac:dyDescent="0.2">
      <c r="B2451" s="1"/>
      <c r="E2451" s="38" t="str">
        <f>IFERROR(AVERAGEIFS('Picarro Output'!G:G, 'Picarro Output'!$B:$B, 'Uncalibrated Data'!$C2451, 'Picarro Output'!$I:$I, 0, 'Picarro Output'!$J:$J, 1), "")</f>
        <v/>
      </c>
    </row>
    <row r="2452" spans="2:5" x14ac:dyDescent="0.2">
      <c r="B2452" s="1"/>
      <c r="E2452" s="38" t="str">
        <f>IFERROR(AVERAGEIFS('Picarro Output'!G:G, 'Picarro Output'!$B:$B, 'Uncalibrated Data'!$C2452, 'Picarro Output'!$I:$I, 0, 'Picarro Output'!$J:$J, 1), "")</f>
        <v/>
      </c>
    </row>
    <row r="2453" spans="2:5" x14ac:dyDescent="0.2">
      <c r="B2453" s="1"/>
      <c r="E2453" s="38" t="str">
        <f>IFERROR(AVERAGEIFS('Picarro Output'!G:G, 'Picarro Output'!$B:$B, 'Uncalibrated Data'!$C2453, 'Picarro Output'!$I:$I, 0, 'Picarro Output'!$J:$J, 1), "")</f>
        <v/>
      </c>
    </row>
    <row r="2454" spans="2:5" x14ac:dyDescent="0.2">
      <c r="B2454" s="1"/>
      <c r="E2454" s="38" t="str">
        <f>IFERROR(AVERAGEIFS('Picarro Output'!G:G, 'Picarro Output'!$B:$B, 'Uncalibrated Data'!$C2454, 'Picarro Output'!$I:$I, 0, 'Picarro Output'!$J:$J, 1), "")</f>
        <v/>
      </c>
    </row>
    <row r="2455" spans="2:5" x14ac:dyDescent="0.2">
      <c r="B2455" s="1"/>
      <c r="E2455" s="38" t="str">
        <f>IFERROR(AVERAGEIFS('Picarro Output'!G:G, 'Picarro Output'!$B:$B, 'Uncalibrated Data'!$C2455, 'Picarro Output'!$I:$I, 0, 'Picarro Output'!$J:$J, 1), "")</f>
        <v/>
      </c>
    </row>
    <row r="2456" spans="2:5" x14ac:dyDescent="0.2">
      <c r="B2456" s="1"/>
      <c r="E2456" s="38" t="str">
        <f>IFERROR(AVERAGEIFS('Picarro Output'!G:G, 'Picarro Output'!$B:$B, 'Uncalibrated Data'!$C2456, 'Picarro Output'!$I:$I, 0, 'Picarro Output'!$J:$J, 1), "")</f>
        <v/>
      </c>
    </row>
    <row r="2457" spans="2:5" x14ac:dyDescent="0.2">
      <c r="B2457" s="1"/>
      <c r="E2457" s="38" t="str">
        <f>IFERROR(AVERAGEIFS('Picarro Output'!G:G, 'Picarro Output'!$B:$B, 'Uncalibrated Data'!$C2457, 'Picarro Output'!$I:$I, 0, 'Picarro Output'!$J:$J, 1), "")</f>
        <v/>
      </c>
    </row>
    <row r="2458" spans="2:5" x14ac:dyDescent="0.2">
      <c r="B2458" s="1"/>
      <c r="E2458" s="38" t="str">
        <f>IFERROR(AVERAGEIFS('Picarro Output'!G:G, 'Picarro Output'!$B:$B, 'Uncalibrated Data'!$C2458, 'Picarro Output'!$I:$I, 0, 'Picarro Output'!$J:$J, 1), "")</f>
        <v/>
      </c>
    </row>
    <row r="2459" spans="2:5" x14ac:dyDescent="0.2">
      <c r="B2459" s="1"/>
      <c r="E2459" s="38" t="str">
        <f>IFERROR(AVERAGEIFS('Picarro Output'!G:G, 'Picarro Output'!$B:$B, 'Uncalibrated Data'!$C2459, 'Picarro Output'!$I:$I, 0, 'Picarro Output'!$J:$J, 1), "")</f>
        <v/>
      </c>
    </row>
    <row r="2460" spans="2:5" x14ac:dyDescent="0.2">
      <c r="B2460" s="1"/>
      <c r="E2460" s="38" t="str">
        <f>IFERROR(AVERAGEIFS('Picarro Output'!G:G, 'Picarro Output'!$B:$B, 'Uncalibrated Data'!$C2460, 'Picarro Output'!$I:$I, 0, 'Picarro Output'!$J:$J, 1), "")</f>
        <v/>
      </c>
    </row>
    <row r="2461" spans="2:5" x14ac:dyDescent="0.2">
      <c r="B2461" s="1"/>
      <c r="E2461" s="38" t="str">
        <f>IFERROR(AVERAGEIFS('Picarro Output'!G:G, 'Picarro Output'!$B:$B, 'Uncalibrated Data'!$C2461, 'Picarro Output'!$I:$I, 0, 'Picarro Output'!$J:$J, 1), "")</f>
        <v/>
      </c>
    </row>
    <row r="2462" spans="2:5" x14ac:dyDescent="0.2">
      <c r="B2462" s="1"/>
      <c r="E2462" s="38" t="str">
        <f>IFERROR(AVERAGEIFS('Picarro Output'!G:G, 'Picarro Output'!$B:$B, 'Uncalibrated Data'!$C2462, 'Picarro Output'!$I:$I, 0, 'Picarro Output'!$J:$J, 1), "")</f>
        <v/>
      </c>
    </row>
    <row r="2463" spans="2:5" x14ac:dyDescent="0.2">
      <c r="B2463" s="1"/>
      <c r="E2463" s="38" t="str">
        <f>IFERROR(AVERAGEIFS('Picarro Output'!G:G, 'Picarro Output'!$B:$B, 'Uncalibrated Data'!$C2463, 'Picarro Output'!$I:$I, 0, 'Picarro Output'!$J:$J, 1), "")</f>
        <v/>
      </c>
    </row>
    <row r="2464" spans="2:5" x14ac:dyDescent="0.2">
      <c r="B2464" s="1"/>
      <c r="E2464" s="38" t="str">
        <f>IFERROR(AVERAGEIFS('Picarro Output'!G:G, 'Picarro Output'!$B:$B, 'Uncalibrated Data'!$C2464, 'Picarro Output'!$I:$I, 0, 'Picarro Output'!$J:$J, 1), "")</f>
        <v/>
      </c>
    </row>
    <row r="2465" spans="2:5" x14ac:dyDescent="0.2">
      <c r="B2465" s="1"/>
      <c r="E2465" s="38" t="str">
        <f>IFERROR(AVERAGEIFS('Picarro Output'!G:G, 'Picarro Output'!$B:$B, 'Uncalibrated Data'!$C2465, 'Picarro Output'!$I:$I, 0, 'Picarro Output'!$J:$J, 1), "")</f>
        <v/>
      </c>
    </row>
    <row r="2466" spans="2:5" x14ac:dyDescent="0.2">
      <c r="B2466" s="1"/>
      <c r="E2466" s="38" t="str">
        <f>IFERROR(AVERAGEIFS('Picarro Output'!G:G, 'Picarro Output'!$B:$B, 'Uncalibrated Data'!$C2466, 'Picarro Output'!$I:$I, 0, 'Picarro Output'!$J:$J, 1), "")</f>
        <v/>
      </c>
    </row>
    <row r="2467" spans="2:5" x14ac:dyDescent="0.2">
      <c r="B2467" s="1"/>
      <c r="E2467" s="38" t="str">
        <f>IFERROR(AVERAGEIFS('Picarro Output'!G:G, 'Picarro Output'!$B:$B, 'Uncalibrated Data'!$C2467, 'Picarro Output'!$I:$I, 0, 'Picarro Output'!$J:$J, 1), "")</f>
        <v/>
      </c>
    </row>
    <row r="2468" spans="2:5" x14ac:dyDescent="0.2">
      <c r="B2468" s="1"/>
      <c r="E2468" s="38" t="str">
        <f>IFERROR(AVERAGEIFS('Picarro Output'!G:G, 'Picarro Output'!$B:$B, 'Uncalibrated Data'!$C2468, 'Picarro Output'!$I:$I, 0, 'Picarro Output'!$J:$J, 1), "")</f>
        <v/>
      </c>
    </row>
    <row r="2469" spans="2:5" x14ac:dyDescent="0.2">
      <c r="B2469" s="1"/>
      <c r="E2469" s="38" t="str">
        <f>IFERROR(AVERAGEIFS('Picarro Output'!G:G, 'Picarro Output'!$B:$B, 'Uncalibrated Data'!$C2469, 'Picarro Output'!$I:$I, 0, 'Picarro Output'!$J:$J, 1), "")</f>
        <v/>
      </c>
    </row>
    <row r="2470" spans="2:5" x14ac:dyDescent="0.2">
      <c r="B2470" s="1"/>
      <c r="E2470" s="38" t="str">
        <f>IFERROR(AVERAGEIFS('Picarro Output'!G:G, 'Picarro Output'!$B:$B, 'Uncalibrated Data'!$C2470, 'Picarro Output'!$I:$I, 0, 'Picarro Output'!$J:$J, 1), "")</f>
        <v/>
      </c>
    </row>
    <row r="2471" spans="2:5" x14ac:dyDescent="0.2">
      <c r="B2471" s="1"/>
      <c r="E2471" s="38" t="str">
        <f>IFERROR(AVERAGEIFS('Picarro Output'!G:G, 'Picarro Output'!$B:$B, 'Uncalibrated Data'!$C2471, 'Picarro Output'!$I:$I, 0, 'Picarro Output'!$J:$J, 1), "")</f>
        <v/>
      </c>
    </row>
    <row r="2472" spans="2:5" x14ac:dyDescent="0.2">
      <c r="B2472" s="1"/>
      <c r="E2472" s="38" t="str">
        <f>IFERROR(AVERAGEIFS('Picarro Output'!G:G, 'Picarro Output'!$B:$B, 'Uncalibrated Data'!$C2472, 'Picarro Output'!$I:$I, 0, 'Picarro Output'!$J:$J, 1), "")</f>
        <v/>
      </c>
    </row>
    <row r="2473" spans="2:5" x14ac:dyDescent="0.2">
      <c r="B2473" s="1"/>
      <c r="E2473" s="38" t="str">
        <f>IFERROR(AVERAGEIFS('Picarro Output'!G:G, 'Picarro Output'!$B:$B, 'Uncalibrated Data'!$C2473, 'Picarro Output'!$I:$I, 0, 'Picarro Output'!$J:$J, 1), "")</f>
        <v/>
      </c>
    </row>
    <row r="2474" spans="2:5" x14ac:dyDescent="0.2">
      <c r="B2474" s="1"/>
      <c r="E2474" s="38" t="str">
        <f>IFERROR(AVERAGEIFS('Picarro Output'!G:G, 'Picarro Output'!$B:$B, 'Uncalibrated Data'!$C2474, 'Picarro Output'!$I:$I, 0, 'Picarro Output'!$J:$J, 1), "")</f>
        <v/>
      </c>
    </row>
    <row r="2475" spans="2:5" x14ac:dyDescent="0.2">
      <c r="B2475" s="1"/>
      <c r="E2475" s="38" t="str">
        <f>IFERROR(AVERAGEIFS('Picarro Output'!G:G, 'Picarro Output'!$B:$B, 'Uncalibrated Data'!$C2475, 'Picarro Output'!$I:$I, 0, 'Picarro Output'!$J:$J, 1), "")</f>
        <v/>
      </c>
    </row>
    <row r="2476" spans="2:5" x14ac:dyDescent="0.2">
      <c r="B2476" s="1"/>
      <c r="E2476" s="38" t="str">
        <f>IFERROR(AVERAGEIFS('Picarro Output'!G:G, 'Picarro Output'!$B:$B, 'Uncalibrated Data'!$C2476, 'Picarro Output'!$I:$I, 0, 'Picarro Output'!$J:$J, 1), "")</f>
        <v/>
      </c>
    </row>
    <row r="2477" spans="2:5" x14ac:dyDescent="0.2">
      <c r="B2477" s="1"/>
      <c r="E2477" s="38" t="str">
        <f>IFERROR(AVERAGEIFS('Picarro Output'!G:G, 'Picarro Output'!$B:$B, 'Uncalibrated Data'!$C2477, 'Picarro Output'!$I:$I, 0, 'Picarro Output'!$J:$J, 1), "")</f>
        <v/>
      </c>
    </row>
    <row r="2478" spans="2:5" x14ac:dyDescent="0.2">
      <c r="B2478" s="1"/>
      <c r="E2478" s="38" t="str">
        <f>IFERROR(AVERAGEIFS('Picarro Output'!G:G, 'Picarro Output'!$B:$B, 'Uncalibrated Data'!$C2478, 'Picarro Output'!$I:$I, 0, 'Picarro Output'!$J:$J, 1), "")</f>
        <v/>
      </c>
    </row>
    <row r="2479" spans="2:5" x14ac:dyDescent="0.2">
      <c r="B2479" s="1"/>
      <c r="E2479" s="38" t="str">
        <f>IFERROR(AVERAGEIFS('Picarro Output'!G:G, 'Picarro Output'!$B:$B, 'Uncalibrated Data'!$C2479, 'Picarro Output'!$I:$I, 0, 'Picarro Output'!$J:$J, 1), "")</f>
        <v/>
      </c>
    </row>
    <row r="2480" spans="2:5" x14ac:dyDescent="0.2">
      <c r="B2480" s="1"/>
      <c r="E2480" s="38" t="str">
        <f>IFERROR(AVERAGEIFS('Picarro Output'!G:G, 'Picarro Output'!$B:$B, 'Uncalibrated Data'!$C2480, 'Picarro Output'!$I:$I, 0, 'Picarro Output'!$J:$J, 1), "")</f>
        <v/>
      </c>
    </row>
    <row r="2481" spans="2:5" x14ac:dyDescent="0.2">
      <c r="B2481" s="1"/>
      <c r="E2481" s="38" t="str">
        <f>IFERROR(AVERAGEIFS('Picarro Output'!G:G, 'Picarro Output'!$B:$B, 'Uncalibrated Data'!$C2481, 'Picarro Output'!$I:$I, 0, 'Picarro Output'!$J:$J, 1), "")</f>
        <v/>
      </c>
    </row>
    <row r="2482" spans="2:5" x14ac:dyDescent="0.2">
      <c r="B2482" s="1"/>
      <c r="E2482" s="38" t="str">
        <f>IFERROR(AVERAGEIFS('Picarro Output'!G:G, 'Picarro Output'!$B:$B, 'Uncalibrated Data'!$C2482, 'Picarro Output'!$I:$I, 0, 'Picarro Output'!$J:$J, 1), "")</f>
        <v/>
      </c>
    </row>
    <row r="2483" spans="2:5" x14ac:dyDescent="0.2">
      <c r="B2483" s="1"/>
      <c r="E2483" s="38" t="str">
        <f>IFERROR(AVERAGEIFS('Picarro Output'!G:G, 'Picarro Output'!$B:$B, 'Uncalibrated Data'!$C2483, 'Picarro Output'!$I:$I, 0, 'Picarro Output'!$J:$J, 1), "")</f>
        <v/>
      </c>
    </row>
    <row r="2484" spans="2:5" x14ac:dyDescent="0.2">
      <c r="B2484" s="1"/>
      <c r="E2484" s="38" t="str">
        <f>IFERROR(AVERAGEIFS('Picarro Output'!G:G, 'Picarro Output'!$B:$B, 'Uncalibrated Data'!$C2484, 'Picarro Output'!$I:$I, 0, 'Picarro Output'!$J:$J, 1), "")</f>
        <v/>
      </c>
    </row>
    <row r="2485" spans="2:5" x14ac:dyDescent="0.2">
      <c r="B2485" s="1"/>
      <c r="E2485" s="38" t="str">
        <f>IFERROR(AVERAGEIFS('Picarro Output'!G:G, 'Picarro Output'!$B:$B, 'Uncalibrated Data'!$C2485, 'Picarro Output'!$I:$I, 0, 'Picarro Output'!$J:$J, 1), "")</f>
        <v/>
      </c>
    </row>
    <row r="2486" spans="2:5" x14ac:dyDescent="0.2">
      <c r="B2486" s="1"/>
      <c r="E2486" s="38" t="str">
        <f>IFERROR(AVERAGEIFS('Picarro Output'!G:G, 'Picarro Output'!$B:$B, 'Uncalibrated Data'!$C2486, 'Picarro Output'!$I:$I, 0, 'Picarro Output'!$J:$J, 1), "")</f>
        <v/>
      </c>
    </row>
    <row r="2487" spans="2:5" x14ac:dyDescent="0.2">
      <c r="B2487" s="1"/>
      <c r="E2487" s="38" t="str">
        <f>IFERROR(AVERAGEIFS('Picarro Output'!G:G, 'Picarro Output'!$B:$B, 'Uncalibrated Data'!$C2487, 'Picarro Output'!$I:$I, 0, 'Picarro Output'!$J:$J, 1), "")</f>
        <v/>
      </c>
    </row>
    <row r="2488" spans="2:5" x14ac:dyDescent="0.2">
      <c r="B2488" s="1"/>
      <c r="E2488" s="38" t="str">
        <f>IFERROR(AVERAGEIFS('Picarro Output'!G:G, 'Picarro Output'!$B:$B, 'Uncalibrated Data'!$C2488, 'Picarro Output'!$I:$I, 0, 'Picarro Output'!$J:$J, 1), "")</f>
        <v/>
      </c>
    </row>
    <row r="2489" spans="2:5" x14ac:dyDescent="0.2">
      <c r="B2489" s="1"/>
      <c r="E2489" s="38" t="str">
        <f>IFERROR(AVERAGEIFS('Picarro Output'!G:G, 'Picarro Output'!$B:$B, 'Uncalibrated Data'!$C2489, 'Picarro Output'!$I:$I, 0, 'Picarro Output'!$J:$J, 1), "")</f>
        <v/>
      </c>
    </row>
    <row r="2490" spans="2:5" x14ac:dyDescent="0.2">
      <c r="B2490" s="1"/>
      <c r="E2490" s="38" t="str">
        <f>IFERROR(AVERAGEIFS('Picarro Output'!G:G, 'Picarro Output'!$B:$B, 'Uncalibrated Data'!$C2490, 'Picarro Output'!$I:$I, 0, 'Picarro Output'!$J:$J, 1), "")</f>
        <v/>
      </c>
    </row>
    <row r="2491" spans="2:5" x14ac:dyDescent="0.2">
      <c r="B2491" s="1"/>
      <c r="E2491" s="38" t="str">
        <f>IFERROR(AVERAGEIFS('Picarro Output'!G:G, 'Picarro Output'!$B:$B, 'Uncalibrated Data'!$C2491, 'Picarro Output'!$I:$I, 0, 'Picarro Output'!$J:$J, 1), "")</f>
        <v/>
      </c>
    </row>
    <row r="2492" spans="2:5" x14ac:dyDescent="0.2">
      <c r="B2492" s="1"/>
      <c r="E2492" s="38" t="str">
        <f>IFERROR(AVERAGEIFS('Picarro Output'!G:G, 'Picarro Output'!$B:$B, 'Uncalibrated Data'!$C2492, 'Picarro Output'!$I:$I, 0, 'Picarro Output'!$J:$J, 1), "")</f>
        <v/>
      </c>
    </row>
    <row r="2493" spans="2:5" x14ac:dyDescent="0.2">
      <c r="B2493" s="1"/>
      <c r="E2493" s="38" t="str">
        <f>IFERROR(AVERAGEIFS('Picarro Output'!G:G, 'Picarro Output'!$B:$B, 'Uncalibrated Data'!$C2493, 'Picarro Output'!$I:$I, 0, 'Picarro Output'!$J:$J, 1), "")</f>
        <v/>
      </c>
    </row>
    <row r="2494" spans="2:5" x14ac:dyDescent="0.2">
      <c r="B2494" s="1"/>
      <c r="E2494" s="38" t="str">
        <f>IFERROR(AVERAGEIFS('Picarro Output'!G:G, 'Picarro Output'!$B:$B, 'Uncalibrated Data'!$C2494, 'Picarro Output'!$I:$I, 0, 'Picarro Output'!$J:$J, 1), "")</f>
        <v/>
      </c>
    </row>
    <row r="2495" spans="2:5" x14ac:dyDescent="0.2">
      <c r="B2495" s="1"/>
      <c r="E2495" s="38" t="str">
        <f>IFERROR(AVERAGEIFS('Picarro Output'!G:G, 'Picarro Output'!$B:$B, 'Uncalibrated Data'!$C2495, 'Picarro Output'!$I:$I, 0, 'Picarro Output'!$J:$J, 1), "")</f>
        <v/>
      </c>
    </row>
    <row r="2496" spans="2:5" x14ac:dyDescent="0.2">
      <c r="B2496" s="1"/>
      <c r="E2496" s="38" t="str">
        <f>IFERROR(AVERAGEIFS('Picarro Output'!G:G, 'Picarro Output'!$B:$B, 'Uncalibrated Data'!$C2496, 'Picarro Output'!$I:$I, 0, 'Picarro Output'!$J:$J, 1), "")</f>
        <v/>
      </c>
    </row>
    <row r="2497" spans="2:5" x14ac:dyDescent="0.2">
      <c r="B2497" s="1"/>
      <c r="E2497" s="38" t="str">
        <f>IFERROR(AVERAGEIFS('Picarro Output'!G:G, 'Picarro Output'!$B:$B, 'Uncalibrated Data'!$C2497, 'Picarro Output'!$I:$I, 0, 'Picarro Output'!$J:$J, 1), "")</f>
        <v/>
      </c>
    </row>
    <row r="2498" spans="2:5" x14ac:dyDescent="0.2">
      <c r="B2498" s="1"/>
      <c r="E2498" s="38" t="str">
        <f>IFERROR(AVERAGEIFS('Picarro Output'!G:G, 'Picarro Output'!$B:$B, 'Uncalibrated Data'!$C2498, 'Picarro Output'!$I:$I, 0, 'Picarro Output'!$J:$J, 1), "")</f>
        <v/>
      </c>
    </row>
    <row r="2499" spans="2:5" x14ac:dyDescent="0.2">
      <c r="B2499" s="1"/>
      <c r="E2499" s="38" t="str">
        <f>IFERROR(AVERAGEIFS('Picarro Output'!G:G, 'Picarro Output'!$B:$B, 'Uncalibrated Data'!$C2499, 'Picarro Output'!$I:$I, 0, 'Picarro Output'!$J:$J, 1), "")</f>
        <v/>
      </c>
    </row>
    <row r="2500" spans="2:5" x14ac:dyDescent="0.2">
      <c r="B2500" s="1"/>
      <c r="E2500" s="38" t="str">
        <f>IFERROR(AVERAGEIFS('Picarro Output'!G:G, 'Picarro Output'!$B:$B, 'Uncalibrated Data'!$C2500, 'Picarro Output'!$I:$I, 0, 'Picarro Output'!$J:$J, 1), "")</f>
        <v/>
      </c>
    </row>
    <row r="2501" spans="2:5" x14ac:dyDescent="0.2">
      <c r="B2501" s="1"/>
      <c r="E2501" s="38" t="str">
        <f>IFERROR(AVERAGEIFS('Picarro Output'!G:G, 'Picarro Output'!$B:$B, 'Uncalibrated Data'!$C2501, 'Picarro Output'!$I:$I, 0, 'Picarro Output'!$J:$J, 1), "")</f>
        <v/>
      </c>
    </row>
    <row r="2502" spans="2:5" x14ac:dyDescent="0.2">
      <c r="B2502" s="1"/>
      <c r="E2502" s="38" t="str">
        <f>IFERROR(AVERAGEIFS('Picarro Output'!G:G, 'Picarro Output'!$B:$B, 'Uncalibrated Data'!$C2502, 'Picarro Output'!$I:$I, 0, 'Picarro Output'!$J:$J, 1), "")</f>
        <v/>
      </c>
    </row>
    <row r="2503" spans="2:5" x14ac:dyDescent="0.2">
      <c r="B2503" s="1"/>
      <c r="E2503" s="38" t="str">
        <f>IFERROR(AVERAGEIFS('Picarro Output'!G:G, 'Picarro Output'!$B:$B, 'Uncalibrated Data'!$C2503, 'Picarro Output'!$I:$I, 0, 'Picarro Output'!$J:$J, 1), "")</f>
        <v/>
      </c>
    </row>
    <row r="2504" spans="2:5" x14ac:dyDescent="0.2">
      <c r="B2504" s="1"/>
      <c r="E2504" s="38" t="str">
        <f>IFERROR(AVERAGEIFS('Picarro Output'!G:G, 'Picarro Output'!$B:$B, 'Uncalibrated Data'!$C2504, 'Picarro Output'!$I:$I, 0, 'Picarro Output'!$J:$J, 1), "")</f>
        <v/>
      </c>
    </row>
    <row r="2505" spans="2:5" x14ac:dyDescent="0.2">
      <c r="B2505" s="1"/>
      <c r="E2505" s="38" t="str">
        <f>IFERROR(AVERAGEIFS('Picarro Output'!G:G, 'Picarro Output'!$B:$B, 'Uncalibrated Data'!$C2505, 'Picarro Output'!$I:$I, 0, 'Picarro Output'!$J:$J, 1), "")</f>
        <v/>
      </c>
    </row>
    <row r="2506" spans="2:5" x14ac:dyDescent="0.2">
      <c r="B2506" s="1"/>
      <c r="E2506" s="38" t="str">
        <f>IFERROR(AVERAGEIFS('Picarro Output'!G:G, 'Picarro Output'!$B:$B, 'Uncalibrated Data'!$C2506, 'Picarro Output'!$I:$I, 0, 'Picarro Output'!$J:$J, 1), "")</f>
        <v/>
      </c>
    </row>
    <row r="2507" spans="2:5" x14ac:dyDescent="0.2">
      <c r="B2507" s="1"/>
      <c r="E2507" s="38" t="str">
        <f>IFERROR(AVERAGEIFS('Picarro Output'!G:G, 'Picarro Output'!$B:$B, 'Uncalibrated Data'!$C2507, 'Picarro Output'!$I:$I, 0, 'Picarro Output'!$J:$J, 1), "")</f>
        <v/>
      </c>
    </row>
    <row r="2508" spans="2:5" x14ac:dyDescent="0.2">
      <c r="B2508" s="1"/>
      <c r="E2508" s="38" t="str">
        <f>IFERROR(AVERAGEIFS('Picarro Output'!G:G, 'Picarro Output'!$B:$B, 'Uncalibrated Data'!$C2508, 'Picarro Output'!$I:$I, 0, 'Picarro Output'!$J:$J, 1), "")</f>
        <v/>
      </c>
    </row>
    <row r="2509" spans="2:5" x14ac:dyDescent="0.2">
      <c r="B2509" s="1"/>
      <c r="E2509" s="38" t="str">
        <f>IFERROR(AVERAGEIFS('Picarro Output'!G:G, 'Picarro Output'!$B:$B, 'Uncalibrated Data'!$C2509, 'Picarro Output'!$I:$I, 0, 'Picarro Output'!$J:$J, 1), "")</f>
        <v/>
      </c>
    </row>
    <row r="2510" spans="2:5" x14ac:dyDescent="0.2">
      <c r="B2510" s="1"/>
      <c r="E2510" s="38" t="str">
        <f>IFERROR(AVERAGEIFS('Picarro Output'!G:G, 'Picarro Output'!$B:$B, 'Uncalibrated Data'!$C2510, 'Picarro Output'!$I:$I, 0, 'Picarro Output'!$J:$J, 1), "")</f>
        <v/>
      </c>
    </row>
    <row r="2511" spans="2:5" x14ac:dyDescent="0.2">
      <c r="B2511" s="1"/>
      <c r="E2511" s="38" t="str">
        <f>IFERROR(AVERAGEIFS('Picarro Output'!G:G, 'Picarro Output'!$B:$B, 'Uncalibrated Data'!$C2511, 'Picarro Output'!$I:$I, 0, 'Picarro Output'!$J:$J, 1), "")</f>
        <v/>
      </c>
    </row>
    <row r="2512" spans="2:5" x14ac:dyDescent="0.2">
      <c r="B2512" s="1"/>
      <c r="E2512" s="38" t="str">
        <f>IFERROR(AVERAGEIFS('Picarro Output'!G:G, 'Picarro Output'!$B:$B, 'Uncalibrated Data'!$C2512, 'Picarro Output'!$I:$I, 0, 'Picarro Output'!$J:$J, 1), "")</f>
        <v/>
      </c>
    </row>
    <row r="2513" spans="2:5" x14ac:dyDescent="0.2">
      <c r="B2513" s="1"/>
      <c r="E2513" s="38" t="str">
        <f>IFERROR(AVERAGEIFS('Picarro Output'!G:G, 'Picarro Output'!$B:$B, 'Uncalibrated Data'!$C2513, 'Picarro Output'!$I:$I, 0, 'Picarro Output'!$J:$J, 1), "")</f>
        <v/>
      </c>
    </row>
    <row r="2514" spans="2:5" x14ac:dyDescent="0.2">
      <c r="B2514" s="1"/>
      <c r="E2514" s="38" t="str">
        <f>IFERROR(AVERAGEIFS('Picarro Output'!G:G, 'Picarro Output'!$B:$B, 'Uncalibrated Data'!$C2514, 'Picarro Output'!$I:$I, 0, 'Picarro Output'!$J:$J, 1), "")</f>
        <v/>
      </c>
    </row>
    <row r="2515" spans="2:5" x14ac:dyDescent="0.2">
      <c r="B2515" s="1"/>
      <c r="E2515" s="38" t="str">
        <f>IFERROR(AVERAGEIFS('Picarro Output'!G:G, 'Picarro Output'!$B:$B, 'Uncalibrated Data'!$C2515, 'Picarro Output'!$I:$I, 0, 'Picarro Output'!$J:$J, 1), "")</f>
        <v/>
      </c>
    </row>
    <row r="2516" spans="2:5" x14ac:dyDescent="0.2">
      <c r="B2516" s="1"/>
      <c r="E2516" s="38" t="str">
        <f>IFERROR(AVERAGEIFS('Picarro Output'!G:G, 'Picarro Output'!$B:$B, 'Uncalibrated Data'!$C2516, 'Picarro Output'!$I:$I, 0, 'Picarro Output'!$J:$J, 1), "")</f>
        <v/>
      </c>
    </row>
    <row r="2517" spans="2:5" x14ac:dyDescent="0.2">
      <c r="B2517" s="1"/>
      <c r="E2517" s="38" t="str">
        <f>IFERROR(AVERAGEIFS('Picarro Output'!G:G, 'Picarro Output'!$B:$B, 'Uncalibrated Data'!$C2517, 'Picarro Output'!$I:$I, 0, 'Picarro Output'!$J:$J, 1), "")</f>
        <v/>
      </c>
    </row>
    <row r="2518" spans="2:5" x14ac:dyDescent="0.2">
      <c r="B2518" s="1"/>
      <c r="E2518" s="38" t="str">
        <f>IFERROR(AVERAGEIFS('Picarro Output'!G:G, 'Picarro Output'!$B:$B, 'Uncalibrated Data'!$C2518, 'Picarro Output'!$I:$I, 0, 'Picarro Output'!$J:$J, 1), "")</f>
        <v/>
      </c>
    </row>
    <row r="2519" spans="2:5" x14ac:dyDescent="0.2">
      <c r="B2519" s="1"/>
      <c r="E2519" s="38" t="str">
        <f>IFERROR(AVERAGEIFS('Picarro Output'!G:G, 'Picarro Output'!$B:$B, 'Uncalibrated Data'!$C2519, 'Picarro Output'!$I:$I, 0, 'Picarro Output'!$J:$J, 1), "")</f>
        <v/>
      </c>
    </row>
    <row r="2520" spans="2:5" x14ac:dyDescent="0.2">
      <c r="B2520" s="1"/>
      <c r="E2520" s="38" t="str">
        <f>IFERROR(AVERAGEIFS('Picarro Output'!G:G, 'Picarro Output'!$B:$B, 'Uncalibrated Data'!$C2520, 'Picarro Output'!$I:$I, 0, 'Picarro Output'!$J:$J, 1), "")</f>
        <v/>
      </c>
    </row>
    <row r="2521" spans="2:5" x14ac:dyDescent="0.2">
      <c r="B2521" s="1"/>
      <c r="E2521" s="38" t="str">
        <f>IFERROR(AVERAGEIFS('Picarro Output'!G:G, 'Picarro Output'!$B:$B, 'Uncalibrated Data'!$C2521, 'Picarro Output'!$I:$I, 0, 'Picarro Output'!$J:$J, 1), "")</f>
        <v/>
      </c>
    </row>
    <row r="2522" spans="2:5" x14ac:dyDescent="0.2">
      <c r="B2522" s="1"/>
      <c r="E2522" s="38" t="str">
        <f>IFERROR(AVERAGEIFS('Picarro Output'!G:G, 'Picarro Output'!$B:$B, 'Uncalibrated Data'!$C2522, 'Picarro Output'!$I:$I, 0, 'Picarro Output'!$J:$J, 1), "")</f>
        <v/>
      </c>
    </row>
    <row r="2523" spans="2:5" x14ac:dyDescent="0.2">
      <c r="B2523" s="1"/>
      <c r="E2523" s="38" t="str">
        <f>IFERROR(AVERAGEIFS('Picarro Output'!G:G, 'Picarro Output'!$B:$B, 'Uncalibrated Data'!$C2523, 'Picarro Output'!$I:$I, 0, 'Picarro Output'!$J:$J, 1), "")</f>
        <v/>
      </c>
    </row>
    <row r="2524" spans="2:5" x14ac:dyDescent="0.2">
      <c r="B2524" s="1"/>
      <c r="E2524" s="38" t="str">
        <f>IFERROR(AVERAGEIFS('Picarro Output'!G:G, 'Picarro Output'!$B:$B, 'Uncalibrated Data'!$C2524, 'Picarro Output'!$I:$I, 0, 'Picarro Output'!$J:$J, 1), "")</f>
        <v/>
      </c>
    </row>
    <row r="2525" spans="2:5" x14ac:dyDescent="0.2">
      <c r="B2525" s="1"/>
      <c r="E2525" s="38" t="str">
        <f>IFERROR(AVERAGEIFS('Picarro Output'!G:G, 'Picarro Output'!$B:$B, 'Uncalibrated Data'!$C2525, 'Picarro Output'!$I:$I, 0, 'Picarro Output'!$J:$J, 1), "")</f>
        <v/>
      </c>
    </row>
    <row r="2526" spans="2:5" x14ac:dyDescent="0.2">
      <c r="B2526" s="1"/>
      <c r="E2526" s="38" t="str">
        <f>IFERROR(AVERAGEIFS('Picarro Output'!G:G, 'Picarro Output'!$B:$B, 'Uncalibrated Data'!$C2526, 'Picarro Output'!$I:$I, 0, 'Picarro Output'!$J:$J, 1), "")</f>
        <v/>
      </c>
    </row>
    <row r="2527" spans="2:5" x14ac:dyDescent="0.2">
      <c r="B2527" s="1"/>
      <c r="E2527" s="38" t="str">
        <f>IFERROR(AVERAGEIFS('Picarro Output'!G:G, 'Picarro Output'!$B:$B, 'Uncalibrated Data'!$C2527, 'Picarro Output'!$I:$I, 0, 'Picarro Output'!$J:$J, 1), "")</f>
        <v/>
      </c>
    </row>
    <row r="2528" spans="2:5" x14ac:dyDescent="0.2">
      <c r="B2528" s="1"/>
      <c r="E2528" s="38" t="str">
        <f>IFERROR(AVERAGEIFS('Picarro Output'!G:G, 'Picarro Output'!$B:$B, 'Uncalibrated Data'!$C2528, 'Picarro Output'!$I:$I, 0, 'Picarro Output'!$J:$J, 1), "")</f>
        <v/>
      </c>
    </row>
    <row r="2529" spans="2:5" x14ac:dyDescent="0.2">
      <c r="B2529" s="1"/>
      <c r="E2529" s="38" t="str">
        <f>IFERROR(AVERAGEIFS('Picarro Output'!G:G, 'Picarro Output'!$B:$B, 'Uncalibrated Data'!$C2529, 'Picarro Output'!$I:$I, 0, 'Picarro Output'!$J:$J, 1), "")</f>
        <v/>
      </c>
    </row>
    <row r="2530" spans="2:5" x14ac:dyDescent="0.2">
      <c r="B2530" s="1"/>
      <c r="E2530" s="38" t="str">
        <f>IFERROR(AVERAGEIFS('Picarro Output'!G:G, 'Picarro Output'!$B:$B, 'Uncalibrated Data'!$C2530, 'Picarro Output'!$I:$I, 0, 'Picarro Output'!$J:$J, 1), "")</f>
        <v/>
      </c>
    </row>
    <row r="2531" spans="2:5" x14ac:dyDescent="0.2">
      <c r="B2531" s="1"/>
      <c r="E2531" s="38" t="str">
        <f>IFERROR(AVERAGEIFS('Picarro Output'!G:G, 'Picarro Output'!$B:$B, 'Uncalibrated Data'!$C2531, 'Picarro Output'!$I:$I, 0, 'Picarro Output'!$J:$J, 1), "")</f>
        <v/>
      </c>
    </row>
    <row r="2532" spans="2:5" x14ac:dyDescent="0.2">
      <c r="B2532" s="1"/>
      <c r="E2532" s="38" t="str">
        <f>IFERROR(AVERAGEIFS('Picarro Output'!G:G, 'Picarro Output'!$B:$B, 'Uncalibrated Data'!$C2532, 'Picarro Output'!$I:$I, 0, 'Picarro Output'!$J:$J, 1), "")</f>
        <v/>
      </c>
    </row>
    <row r="2533" spans="2:5" x14ac:dyDescent="0.2">
      <c r="B2533" s="1"/>
      <c r="E2533" s="38" t="str">
        <f>IFERROR(AVERAGEIFS('Picarro Output'!G:G, 'Picarro Output'!$B:$B, 'Uncalibrated Data'!$C2533, 'Picarro Output'!$I:$I, 0, 'Picarro Output'!$J:$J, 1), "")</f>
        <v/>
      </c>
    </row>
    <row r="2534" spans="2:5" x14ac:dyDescent="0.2">
      <c r="B2534" s="1"/>
      <c r="E2534" s="38" t="str">
        <f>IFERROR(AVERAGEIFS('Picarro Output'!G:G, 'Picarro Output'!$B:$B, 'Uncalibrated Data'!$C2534, 'Picarro Output'!$I:$I, 0, 'Picarro Output'!$J:$J, 1), "")</f>
        <v/>
      </c>
    </row>
    <row r="2535" spans="2:5" x14ac:dyDescent="0.2">
      <c r="B2535" s="1"/>
      <c r="E2535" s="38" t="str">
        <f>IFERROR(AVERAGEIFS('Picarro Output'!G:G, 'Picarro Output'!$B:$B, 'Uncalibrated Data'!$C2535, 'Picarro Output'!$I:$I, 0, 'Picarro Output'!$J:$J, 1), "")</f>
        <v/>
      </c>
    </row>
    <row r="2536" spans="2:5" x14ac:dyDescent="0.2">
      <c r="B2536" s="1"/>
      <c r="E2536" s="38" t="str">
        <f>IFERROR(AVERAGEIFS('Picarro Output'!G:G, 'Picarro Output'!$B:$B, 'Uncalibrated Data'!$C2536, 'Picarro Output'!$I:$I, 0, 'Picarro Output'!$J:$J, 1), "")</f>
        <v/>
      </c>
    </row>
    <row r="2537" spans="2:5" x14ac:dyDescent="0.2">
      <c r="B2537" s="1"/>
      <c r="E2537" s="38" t="str">
        <f>IFERROR(AVERAGEIFS('Picarro Output'!G:G, 'Picarro Output'!$B:$B, 'Uncalibrated Data'!$C2537, 'Picarro Output'!$I:$I, 0, 'Picarro Output'!$J:$J, 1), "")</f>
        <v/>
      </c>
    </row>
    <row r="2538" spans="2:5" x14ac:dyDescent="0.2">
      <c r="B2538" s="1"/>
      <c r="E2538" s="38" t="str">
        <f>IFERROR(AVERAGEIFS('Picarro Output'!G:G, 'Picarro Output'!$B:$B, 'Uncalibrated Data'!$C2538, 'Picarro Output'!$I:$I, 0, 'Picarro Output'!$J:$J, 1), "")</f>
        <v/>
      </c>
    </row>
    <row r="2539" spans="2:5" x14ac:dyDescent="0.2">
      <c r="B2539" s="1"/>
      <c r="E2539" s="38" t="str">
        <f>IFERROR(AVERAGEIFS('Picarro Output'!G:G, 'Picarro Output'!$B:$B, 'Uncalibrated Data'!$C2539, 'Picarro Output'!$I:$I, 0, 'Picarro Output'!$J:$J, 1), "")</f>
        <v/>
      </c>
    </row>
    <row r="2540" spans="2:5" x14ac:dyDescent="0.2">
      <c r="B2540" s="1"/>
      <c r="E2540" s="38" t="str">
        <f>IFERROR(AVERAGEIFS('Picarro Output'!G:G, 'Picarro Output'!$B:$B, 'Uncalibrated Data'!$C2540, 'Picarro Output'!$I:$I, 0, 'Picarro Output'!$J:$J, 1), "")</f>
        <v/>
      </c>
    </row>
    <row r="2541" spans="2:5" x14ac:dyDescent="0.2">
      <c r="B2541" s="1"/>
      <c r="E2541" s="38" t="str">
        <f>IFERROR(AVERAGEIFS('Picarro Output'!G:G, 'Picarro Output'!$B:$B, 'Uncalibrated Data'!$C2541, 'Picarro Output'!$I:$I, 0, 'Picarro Output'!$J:$J, 1), "")</f>
        <v/>
      </c>
    </row>
    <row r="2542" spans="2:5" x14ac:dyDescent="0.2">
      <c r="B2542" s="1"/>
      <c r="E2542" s="38" t="str">
        <f>IFERROR(AVERAGEIFS('Picarro Output'!G:G, 'Picarro Output'!$B:$B, 'Uncalibrated Data'!$C2542, 'Picarro Output'!$I:$I, 0, 'Picarro Output'!$J:$J, 1), "")</f>
        <v/>
      </c>
    </row>
    <row r="2543" spans="2:5" x14ac:dyDescent="0.2">
      <c r="B2543" s="1"/>
      <c r="E2543" s="38" t="str">
        <f>IFERROR(AVERAGEIFS('Picarro Output'!G:G, 'Picarro Output'!$B:$B, 'Uncalibrated Data'!$C2543, 'Picarro Output'!$I:$I, 0, 'Picarro Output'!$J:$J, 1), "")</f>
        <v/>
      </c>
    </row>
    <row r="2544" spans="2:5" x14ac:dyDescent="0.2">
      <c r="B2544" s="1"/>
      <c r="E2544" s="38" t="str">
        <f>IFERROR(AVERAGEIFS('Picarro Output'!G:G, 'Picarro Output'!$B:$B, 'Uncalibrated Data'!$C2544, 'Picarro Output'!$I:$I, 0, 'Picarro Output'!$J:$J, 1), "")</f>
        <v/>
      </c>
    </row>
    <row r="2545" spans="2:5" x14ac:dyDescent="0.2">
      <c r="B2545" s="1"/>
      <c r="E2545" s="38" t="str">
        <f>IFERROR(AVERAGEIFS('Picarro Output'!G:G, 'Picarro Output'!$B:$B, 'Uncalibrated Data'!$C2545, 'Picarro Output'!$I:$I, 0, 'Picarro Output'!$J:$J, 1), "")</f>
        <v/>
      </c>
    </row>
    <row r="2546" spans="2:5" x14ac:dyDescent="0.2">
      <c r="B2546" s="1"/>
      <c r="E2546" s="38" t="str">
        <f>IFERROR(AVERAGEIFS('Picarro Output'!G:G, 'Picarro Output'!$B:$B, 'Uncalibrated Data'!$C2546, 'Picarro Output'!$I:$I, 0, 'Picarro Output'!$J:$J, 1), "")</f>
        <v/>
      </c>
    </row>
    <row r="2547" spans="2:5" x14ac:dyDescent="0.2">
      <c r="B2547" s="1"/>
      <c r="E2547" s="38" t="str">
        <f>IFERROR(AVERAGEIFS('Picarro Output'!G:G, 'Picarro Output'!$B:$B, 'Uncalibrated Data'!$C2547, 'Picarro Output'!$I:$I, 0, 'Picarro Output'!$J:$J, 1), "")</f>
        <v/>
      </c>
    </row>
    <row r="2548" spans="2:5" x14ac:dyDescent="0.2">
      <c r="B2548" s="1"/>
      <c r="E2548" s="38" t="str">
        <f>IFERROR(AVERAGEIFS('Picarro Output'!G:G, 'Picarro Output'!$B:$B, 'Uncalibrated Data'!$C2548, 'Picarro Output'!$I:$I, 0, 'Picarro Output'!$J:$J, 1), "")</f>
        <v/>
      </c>
    </row>
    <row r="2549" spans="2:5" x14ac:dyDescent="0.2">
      <c r="B2549" s="1"/>
      <c r="E2549" s="38" t="str">
        <f>IFERROR(AVERAGEIFS('Picarro Output'!G:G, 'Picarro Output'!$B:$B, 'Uncalibrated Data'!$C2549, 'Picarro Output'!$I:$I, 0, 'Picarro Output'!$J:$J, 1), "")</f>
        <v/>
      </c>
    </row>
    <row r="2550" spans="2:5" x14ac:dyDescent="0.2">
      <c r="B2550" s="1"/>
      <c r="E2550" s="38" t="str">
        <f>IFERROR(AVERAGEIFS('Picarro Output'!G:G, 'Picarro Output'!$B:$B, 'Uncalibrated Data'!$C2550, 'Picarro Output'!$I:$I, 0, 'Picarro Output'!$J:$J, 1), "")</f>
        <v/>
      </c>
    </row>
    <row r="2551" spans="2:5" x14ac:dyDescent="0.2">
      <c r="B2551" s="1"/>
      <c r="E2551" s="38" t="str">
        <f>IFERROR(AVERAGEIFS('Picarro Output'!G:G, 'Picarro Output'!$B:$B, 'Uncalibrated Data'!$C2551, 'Picarro Output'!$I:$I, 0, 'Picarro Output'!$J:$J, 1), "")</f>
        <v/>
      </c>
    </row>
    <row r="2552" spans="2:5" x14ac:dyDescent="0.2">
      <c r="B2552" s="1"/>
      <c r="E2552" s="38" t="str">
        <f>IFERROR(AVERAGEIFS('Picarro Output'!G:G, 'Picarro Output'!$B:$B, 'Uncalibrated Data'!$C2552, 'Picarro Output'!$I:$I, 0, 'Picarro Output'!$J:$J, 1), "")</f>
        <v/>
      </c>
    </row>
    <row r="2553" spans="2:5" x14ac:dyDescent="0.2">
      <c r="B2553" s="1"/>
      <c r="E2553" s="38" t="str">
        <f>IFERROR(AVERAGEIFS('Picarro Output'!G:G, 'Picarro Output'!$B:$B, 'Uncalibrated Data'!$C2553, 'Picarro Output'!$I:$I, 0, 'Picarro Output'!$J:$J, 1), "")</f>
        <v/>
      </c>
    </row>
    <row r="2554" spans="2:5" x14ac:dyDescent="0.2">
      <c r="B2554" s="1"/>
      <c r="E2554" s="38" t="str">
        <f>IFERROR(AVERAGEIFS('Picarro Output'!G:G, 'Picarro Output'!$B:$B, 'Uncalibrated Data'!$C2554, 'Picarro Output'!$I:$I, 0, 'Picarro Output'!$J:$J, 1), "")</f>
        <v/>
      </c>
    </row>
    <row r="2555" spans="2:5" x14ac:dyDescent="0.2">
      <c r="B2555" s="1"/>
      <c r="E2555" s="38" t="str">
        <f>IFERROR(AVERAGEIFS('Picarro Output'!G:G, 'Picarro Output'!$B:$B, 'Uncalibrated Data'!$C2555, 'Picarro Output'!$I:$I, 0, 'Picarro Output'!$J:$J, 1), "")</f>
        <v/>
      </c>
    </row>
    <row r="2556" spans="2:5" x14ac:dyDescent="0.2">
      <c r="B2556" s="1"/>
      <c r="E2556" s="38" t="str">
        <f>IFERROR(AVERAGEIFS('Picarro Output'!G:G, 'Picarro Output'!$B:$B, 'Uncalibrated Data'!$C2556, 'Picarro Output'!$I:$I, 0, 'Picarro Output'!$J:$J, 1), "")</f>
        <v/>
      </c>
    </row>
    <row r="2557" spans="2:5" x14ac:dyDescent="0.2">
      <c r="B2557" s="1"/>
      <c r="E2557" s="38" t="str">
        <f>IFERROR(AVERAGEIFS('Picarro Output'!G:G, 'Picarro Output'!$B:$B, 'Uncalibrated Data'!$C2557, 'Picarro Output'!$I:$I, 0, 'Picarro Output'!$J:$J, 1), "")</f>
        <v/>
      </c>
    </row>
    <row r="2558" spans="2:5" x14ac:dyDescent="0.2">
      <c r="B2558" s="1"/>
      <c r="E2558" s="38" t="str">
        <f>IFERROR(AVERAGEIFS('Picarro Output'!G:G, 'Picarro Output'!$B:$B, 'Uncalibrated Data'!$C2558, 'Picarro Output'!$I:$I, 0, 'Picarro Output'!$J:$J, 1), "")</f>
        <v/>
      </c>
    </row>
    <row r="2559" spans="2:5" x14ac:dyDescent="0.2">
      <c r="B2559" s="1"/>
      <c r="E2559" s="38" t="str">
        <f>IFERROR(AVERAGEIFS('Picarro Output'!G:G, 'Picarro Output'!$B:$B, 'Uncalibrated Data'!$C2559, 'Picarro Output'!$I:$I, 0, 'Picarro Output'!$J:$J, 1), "")</f>
        <v/>
      </c>
    </row>
    <row r="2560" spans="2:5" x14ac:dyDescent="0.2">
      <c r="B2560" s="1"/>
      <c r="E2560" s="38" t="str">
        <f>IFERROR(AVERAGEIFS('Picarro Output'!G:G, 'Picarro Output'!$B:$B, 'Uncalibrated Data'!$C2560, 'Picarro Output'!$I:$I, 0, 'Picarro Output'!$J:$J, 1), "")</f>
        <v/>
      </c>
    </row>
    <row r="2561" spans="2:5" x14ac:dyDescent="0.2">
      <c r="B2561" s="1"/>
      <c r="E2561" s="38" t="str">
        <f>IFERROR(AVERAGEIFS('Picarro Output'!G:G, 'Picarro Output'!$B:$B, 'Uncalibrated Data'!$C2561, 'Picarro Output'!$I:$I, 0, 'Picarro Output'!$J:$J, 1), "")</f>
        <v/>
      </c>
    </row>
    <row r="2562" spans="2:5" x14ac:dyDescent="0.2">
      <c r="B2562" s="1"/>
      <c r="E2562" s="38" t="str">
        <f>IFERROR(AVERAGEIFS('Picarro Output'!G:G, 'Picarro Output'!$B:$B, 'Uncalibrated Data'!$C2562, 'Picarro Output'!$I:$I, 0, 'Picarro Output'!$J:$J, 1), "")</f>
        <v/>
      </c>
    </row>
    <row r="2563" spans="2:5" x14ac:dyDescent="0.2">
      <c r="B2563" s="1"/>
      <c r="E2563" s="38" t="str">
        <f>IFERROR(AVERAGEIFS('Picarro Output'!G:G, 'Picarro Output'!$B:$B, 'Uncalibrated Data'!$C2563, 'Picarro Output'!$I:$I, 0, 'Picarro Output'!$J:$J, 1), "")</f>
        <v/>
      </c>
    </row>
    <row r="2564" spans="2:5" x14ac:dyDescent="0.2">
      <c r="B2564" s="1"/>
      <c r="E2564" s="38" t="str">
        <f>IFERROR(AVERAGEIFS('Picarro Output'!G:G, 'Picarro Output'!$B:$B, 'Uncalibrated Data'!$C2564, 'Picarro Output'!$I:$I, 0, 'Picarro Output'!$J:$J, 1), "")</f>
        <v/>
      </c>
    </row>
    <row r="2565" spans="2:5" x14ac:dyDescent="0.2">
      <c r="B2565" s="1"/>
      <c r="E2565" s="38" t="str">
        <f>IFERROR(AVERAGEIFS('Picarro Output'!G:G, 'Picarro Output'!$B:$B, 'Uncalibrated Data'!$C2565, 'Picarro Output'!$I:$I, 0, 'Picarro Output'!$J:$J, 1), "")</f>
        <v/>
      </c>
    </row>
    <row r="2566" spans="2:5" x14ac:dyDescent="0.2">
      <c r="B2566" s="1"/>
      <c r="E2566" s="38" t="str">
        <f>IFERROR(AVERAGEIFS('Picarro Output'!G:G, 'Picarro Output'!$B:$B, 'Uncalibrated Data'!$C2566, 'Picarro Output'!$I:$I, 0, 'Picarro Output'!$J:$J, 1), "")</f>
        <v/>
      </c>
    </row>
    <row r="2567" spans="2:5" x14ac:dyDescent="0.2">
      <c r="B2567" s="1"/>
      <c r="E2567" s="38" t="str">
        <f>IFERROR(AVERAGEIFS('Picarro Output'!G:G, 'Picarro Output'!$B:$B, 'Uncalibrated Data'!$C2567, 'Picarro Output'!$I:$I, 0, 'Picarro Output'!$J:$J, 1), "")</f>
        <v/>
      </c>
    </row>
    <row r="2568" spans="2:5" x14ac:dyDescent="0.2">
      <c r="B2568" s="1"/>
      <c r="E2568" s="38" t="str">
        <f>IFERROR(AVERAGEIFS('Picarro Output'!G:G, 'Picarro Output'!$B:$B, 'Uncalibrated Data'!$C2568, 'Picarro Output'!$I:$I, 0, 'Picarro Output'!$J:$J, 1), "")</f>
        <v/>
      </c>
    </row>
    <row r="2569" spans="2:5" x14ac:dyDescent="0.2">
      <c r="B2569" s="1"/>
      <c r="E2569" s="38" t="str">
        <f>IFERROR(AVERAGEIFS('Picarro Output'!G:G, 'Picarro Output'!$B:$B, 'Uncalibrated Data'!$C2569, 'Picarro Output'!$I:$I, 0, 'Picarro Output'!$J:$J, 1), "")</f>
        <v/>
      </c>
    </row>
    <row r="2570" spans="2:5" x14ac:dyDescent="0.2">
      <c r="B2570" s="1"/>
      <c r="E2570" s="38" t="str">
        <f>IFERROR(AVERAGEIFS('Picarro Output'!G:G, 'Picarro Output'!$B:$B, 'Uncalibrated Data'!$C2570, 'Picarro Output'!$I:$I, 0, 'Picarro Output'!$J:$J, 1), "")</f>
        <v/>
      </c>
    </row>
    <row r="2571" spans="2:5" x14ac:dyDescent="0.2">
      <c r="B2571" s="1"/>
      <c r="E2571" s="38" t="str">
        <f>IFERROR(AVERAGEIFS('Picarro Output'!G:G, 'Picarro Output'!$B:$B, 'Uncalibrated Data'!$C2571, 'Picarro Output'!$I:$I, 0, 'Picarro Output'!$J:$J, 1), "")</f>
        <v/>
      </c>
    </row>
    <row r="2572" spans="2:5" x14ac:dyDescent="0.2">
      <c r="B2572" s="1"/>
      <c r="E2572" s="38" t="str">
        <f>IFERROR(AVERAGEIFS('Picarro Output'!G:G, 'Picarro Output'!$B:$B, 'Uncalibrated Data'!$C2572, 'Picarro Output'!$I:$I, 0, 'Picarro Output'!$J:$J, 1), "")</f>
        <v/>
      </c>
    </row>
    <row r="2573" spans="2:5" x14ac:dyDescent="0.2">
      <c r="B2573" s="1"/>
      <c r="E2573" s="38" t="str">
        <f>IFERROR(AVERAGEIFS('Picarro Output'!G:G, 'Picarro Output'!$B:$B, 'Uncalibrated Data'!$C2573, 'Picarro Output'!$I:$I, 0, 'Picarro Output'!$J:$J, 1), "")</f>
        <v/>
      </c>
    </row>
    <row r="2574" spans="2:5" x14ac:dyDescent="0.2">
      <c r="B2574" s="1"/>
      <c r="E2574" s="38" t="str">
        <f>IFERROR(AVERAGEIFS('Picarro Output'!G:G, 'Picarro Output'!$B:$B, 'Uncalibrated Data'!$C2574, 'Picarro Output'!$I:$I, 0, 'Picarro Output'!$J:$J, 1), "")</f>
        <v/>
      </c>
    </row>
    <row r="2575" spans="2:5" x14ac:dyDescent="0.2">
      <c r="B2575" s="1"/>
      <c r="E2575" s="38" t="str">
        <f>IFERROR(AVERAGEIFS('Picarro Output'!G:G, 'Picarro Output'!$B:$B, 'Uncalibrated Data'!$C2575, 'Picarro Output'!$I:$I, 0, 'Picarro Output'!$J:$J, 1), "")</f>
        <v/>
      </c>
    </row>
    <row r="2576" spans="2:5" x14ac:dyDescent="0.2">
      <c r="B2576" s="1"/>
      <c r="E2576" s="38" t="str">
        <f>IFERROR(AVERAGEIFS('Picarro Output'!G:G, 'Picarro Output'!$B:$B, 'Uncalibrated Data'!$C2576, 'Picarro Output'!$I:$I, 0, 'Picarro Output'!$J:$J, 1), "")</f>
        <v/>
      </c>
    </row>
    <row r="2577" spans="2:5" x14ac:dyDescent="0.2">
      <c r="B2577" s="1"/>
      <c r="E2577" s="38" t="str">
        <f>IFERROR(AVERAGEIFS('Picarro Output'!G:G, 'Picarro Output'!$B:$B, 'Uncalibrated Data'!$C2577, 'Picarro Output'!$I:$I, 0, 'Picarro Output'!$J:$J, 1), "")</f>
        <v/>
      </c>
    </row>
    <row r="2578" spans="2:5" x14ac:dyDescent="0.2">
      <c r="B2578" s="1"/>
      <c r="E2578" s="38" t="str">
        <f>IFERROR(AVERAGEIFS('Picarro Output'!G:G, 'Picarro Output'!$B:$B, 'Uncalibrated Data'!$C2578, 'Picarro Output'!$I:$I, 0, 'Picarro Output'!$J:$J, 1), "")</f>
        <v/>
      </c>
    </row>
    <row r="2579" spans="2:5" x14ac:dyDescent="0.2">
      <c r="B2579" s="1"/>
      <c r="E2579" s="38" t="str">
        <f>IFERROR(AVERAGEIFS('Picarro Output'!G:G, 'Picarro Output'!$B:$B, 'Uncalibrated Data'!$C2579, 'Picarro Output'!$I:$I, 0, 'Picarro Output'!$J:$J, 1), "")</f>
        <v/>
      </c>
    </row>
    <row r="2580" spans="2:5" x14ac:dyDescent="0.2">
      <c r="B2580" s="1"/>
      <c r="E2580" s="38" t="str">
        <f>IFERROR(AVERAGEIFS('Picarro Output'!G:G, 'Picarro Output'!$B:$B, 'Uncalibrated Data'!$C2580, 'Picarro Output'!$I:$I, 0, 'Picarro Output'!$J:$J, 1), "")</f>
        <v/>
      </c>
    </row>
    <row r="2581" spans="2:5" x14ac:dyDescent="0.2">
      <c r="B2581" s="1"/>
      <c r="E2581" s="38" t="str">
        <f>IFERROR(AVERAGEIFS('Picarro Output'!G:G, 'Picarro Output'!$B:$B, 'Uncalibrated Data'!$C2581, 'Picarro Output'!$I:$I, 0, 'Picarro Output'!$J:$J, 1), "")</f>
        <v/>
      </c>
    </row>
    <row r="2582" spans="2:5" x14ac:dyDescent="0.2">
      <c r="B2582" s="1"/>
      <c r="E2582" s="38" t="str">
        <f>IFERROR(AVERAGEIFS('Picarro Output'!G:G, 'Picarro Output'!$B:$B, 'Uncalibrated Data'!$C2582, 'Picarro Output'!$I:$I, 0, 'Picarro Output'!$J:$J, 1), "")</f>
        <v/>
      </c>
    </row>
    <row r="2583" spans="2:5" x14ac:dyDescent="0.2">
      <c r="B2583" s="1"/>
      <c r="E2583" s="38" t="str">
        <f>IFERROR(AVERAGEIFS('Picarro Output'!G:G, 'Picarro Output'!$B:$B, 'Uncalibrated Data'!$C2583, 'Picarro Output'!$I:$I, 0, 'Picarro Output'!$J:$J, 1), "")</f>
        <v/>
      </c>
    </row>
    <row r="2584" spans="2:5" x14ac:dyDescent="0.2">
      <c r="B2584" s="1"/>
      <c r="E2584" s="38" t="str">
        <f>IFERROR(AVERAGEIFS('Picarro Output'!G:G, 'Picarro Output'!$B:$B, 'Uncalibrated Data'!$C2584, 'Picarro Output'!$I:$I, 0, 'Picarro Output'!$J:$J, 1), "")</f>
        <v/>
      </c>
    </row>
    <row r="2585" spans="2:5" x14ac:dyDescent="0.2">
      <c r="B2585" s="1"/>
      <c r="E2585" s="38" t="str">
        <f>IFERROR(AVERAGEIFS('Picarro Output'!G:G, 'Picarro Output'!$B:$B, 'Uncalibrated Data'!$C2585, 'Picarro Output'!$I:$I, 0, 'Picarro Output'!$J:$J, 1), "")</f>
        <v/>
      </c>
    </row>
    <row r="2586" spans="2:5" x14ac:dyDescent="0.2">
      <c r="B2586" s="1"/>
      <c r="E2586" s="38" t="str">
        <f>IFERROR(AVERAGEIFS('Picarro Output'!G:G, 'Picarro Output'!$B:$B, 'Uncalibrated Data'!$C2586, 'Picarro Output'!$I:$I, 0, 'Picarro Output'!$J:$J, 1), "")</f>
        <v/>
      </c>
    </row>
    <row r="2587" spans="2:5" x14ac:dyDescent="0.2">
      <c r="B2587" s="1"/>
      <c r="E2587" s="38" t="str">
        <f>IFERROR(AVERAGEIFS('Picarro Output'!G:G, 'Picarro Output'!$B:$B, 'Uncalibrated Data'!$C2587, 'Picarro Output'!$I:$I, 0, 'Picarro Output'!$J:$J, 1), "")</f>
        <v/>
      </c>
    </row>
    <row r="2588" spans="2:5" x14ac:dyDescent="0.2">
      <c r="B2588" s="1"/>
      <c r="E2588" s="38" t="str">
        <f>IFERROR(AVERAGEIFS('Picarro Output'!G:G, 'Picarro Output'!$B:$B, 'Uncalibrated Data'!$C2588, 'Picarro Output'!$I:$I, 0, 'Picarro Output'!$J:$J, 1), "")</f>
        <v/>
      </c>
    </row>
    <row r="2589" spans="2:5" x14ac:dyDescent="0.2">
      <c r="B2589" s="1"/>
      <c r="E2589" s="38" t="str">
        <f>IFERROR(AVERAGEIFS('Picarro Output'!G:G, 'Picarro Output'!$B:$B, 'Uncalibrated Data'!$C2589, 'Picarro Output'!$I:$I, 0, 'Picarro Output'!$J:$J, 1), "")</f>
        <v/>
      </c>
    </row>
    <row r="2590" spans="2:5" x14ac:dyDescent="0.2">
      <c r="B2590" s="1"/>
      <c r="E2590" s="38" t="str">
        <f>IFERROR(AVERAGEIFS('Picarro Output'!G:G, 'Picarro Output'!$B:$B, 'Uncalibrated Data'!$C2590, 'Picarro Output'!$I:$I, 0, 'Picarro Output'!$J:$J, 1), "")</f>
        <v/>
      </c>
    </row>
    <row r="2591" spans="2:5" x14ac:dyDescent="0.2">
      <c r="B2591" s="1"/>
      <c r="E2591" s="38" t="str">
        <f>IFERROR(AVERAGEIFS('Picarro Output'!G:G, 'Picarro Output'!$B:$B, 'Uncalibrated Data'!$C2591, 'Picarro Output'!$I:$I, 0, 'Picarro Output'!$J:$J, 1), "")</f>
        <v/>
      </c>
    </row>
    <row r="2592" spans="2:5" x14ac:dyDescent="0.2">
      <c r="B2592" s="1"/>
      <c r="E2592" s="38" t="str">
        <f>IFERROR(AVERAGEIFS('Picarro Output'!G:G, 'Picarro Output'!$B:$B, 'Uncalibrated Data'!$C2592, 'Picarro Output'!$I:$I, 0, 'Picarro Output'!$J:$J, 1), "")</f>
        <v/>
      </c>
    </row>
    <row r="2593" spans="2:5" x14ac:dyDescent="0.2">
      <c r="B2593" s="1"/>
      <c r="E2593" s="38" t="str">
        <f>IFERROR(AVERAGEIFS('Picarro Output'!G:G, 'Picarro Output'!$B:$B, 'Uncalibrated Data'!$C2593, 'Picarro Output'!$I:$I, 0, 'Picarro Output'!$J:$J, 1), "")</f>
        <v/>
      </c>
    </row>
    <row r="2594" spans="2:5" x14ac:dyDescent="0.2">
      <c r="B2594" s="1"/>
      <c r="E2594" s="38" t="str">
        <f>IFERROR(AVERAGEIFS('Picarro Output'!G:G, 'Picarro Output'!$B:$B, 'Uncalibrated Data'!$C2594, 'Picarro Output'!$I:$I, 0, 'Picarro Output'!$J:$J, 1), "")</f>
        <v/>
      </c>
    </row>
    <row r="2595" spans="2:5" x14ac:dyDescent="0.2">
      <c r="B2595" s="1"/>
      <c r="E2595" s="38" t="str">
        <f>IFERROR(AVERAGEIFS('Picarro Output'!G:G, 'Picarro Output'!$B:$B, 'Uncalibrated Data'!$C2595, 'Picarro Output'!$I:$I, 0, 'Picarro Output'!$J:$J, 1), "")</f>
        <v/>
      </c>
    </row>
    <row r="2596" spans="2:5" x14ac:dyDescent="0.2">
      <c r="B2596" s="1"/>
      <c r="E2596" s="38" t="str">
        <f>IFERROR(AVERAGEIFS('Picarro Output'!G:G, 'Picarro Output'!$B:$B, 'Uncalibrated Data'!$C2596, 'Picarro Output'!$I:$I, 0, 'Picarro Output'!$J:$J, 1), "")</f>
        <v/>
      </c>
    </row>
    <row r="2597" spans="2:5" x14ac:dyDescent="0.2">
      <c r="B2597" s="1"/>
      <c r="E2597" s="38" t="str">
        <f>IFERROR(AVERAGEIFS('Picarro Output'!G:G, 'Picarro Output'!$B:$B, 'Uncalibrated Data'!$C2597, 'Picarro Output'!$I:$I, 0, 'Picarro Output'!$J:$J, 1), "")</f>
        <v/>
      </c>
    </row>
    <row r="2598" spans="2:5" x14ac:dyDescent="0.2">
      <c r="B2598" s="1"/>
      <c r="E2598" s="38" t="str">
        <f>IFERROR(AVERAGEIFS('Picarro Output'!G:G, 'Picarro Output'!$B:$B, 'Uncalibrated Data'!$C2598, 'Picarro Output'!$I:$I, 0, 'Picarro Output'!$J:$J, 1), "")</f>
        <v/>
      </c>
    </row>
    <row r="2599" spans="2:5" x14ac:dyDescent="0.2">
      <c r="B2599" s="1"/>
      <c r="E2599" s="38" t="str">
        <f>IFERROR(AVERAGEIFS('Picarro Output'!G:G, 'Picarro Output'!$B:$B, 'Uncalibrated Data'!$C2599, 'Picarro Output'!$I:$I, 0, 'Picarro Output'!$J:$J, 1), "")</f>
        <v/>
      </c>
    </row>
    <row r="2600" spans="2:5" x14ac:dyDescent="0.2">
      <c r="B2600" s="1"/>
      <c r="E2600" s="38" t="str">
        <f>IFERROR(AVERAGEIFS('Picarro Output'!G:G, 'Picarro Output'!$B:$B, 'Uncalibrated Data'!$C2600, 'Picarro Output'!$I:$I, 0, 'Picarro Output'!$J:$J, 1), "")</f>
        <v/>
      </c>
    </row>
    <row r="2601" spans="2:5" x14ac:dyDescent="0.2">
      <c r="B2601" s="1"/>
      <c r="E2601" s="38" t="str">
        <f>IFERROR(AVERAGEIFS('Picarro Output'!G:G, 'Picarro Output'!$B:$B, 'Uncalibrated Data'!$C2601, 'Picarro Output'!$I:$I, 0, 'Picarro Output'!$J:$J, 1), "")</f>
        <v/>
      </c>
    </row>
    <row r="2602" spans="2:5" x14ac:dyDescent="0.2">
      <c r="B2602" s="1"/>
      <c r="E2602" s="38" t="str">
        <f>IFERROR(AVERAGEIFS('Picarro Output'!G:G, 'Picarro Output'!$B:$B, 'Uncalibrated Data'!$C2602, 'Picarro Output'!$I:$I, 0, 'Picarro Output'!$J:$J, 1), "")</f>
        <v/>
      </c>
    </row>
    <row r="2603" spans="2:5" x14ac:dyDescent="0.2">
      <c r="B2603" s="1"/>
      <c r="E2603" s="38" t="str">
        <f>IFERROR(AVERAGEIFS('Picarro Output'!G:G, 'Picarro Output'!$B:$B, 'Uncalibrated Data'!$C2603, 'Picarro Output'!$I:$I, 0, 'Picarro Output'!$J:$J, 1), "")</f>
        <v/>
      </c>
    </row>
    <row r="2604" spans="2:5" x14ac:dyDescent="0.2">
      <c r="B2604" s="1"/>
      <c r="E2604" s="38" t="str">
        <f>IFERROR(AVERAGEIFS('Picarro Output'!G:G, 'Picarro Output'!$B:$B, 'Uncalibrated Data'!$C2604, 'Picarro Output'!$I:$I, 0, 'Picarro Output'!$J:$J, 1), "")</f>
        <v/>
      </c>
    </row>
    <row r="2605" spans="2:5" x14ac:dyDescent="0.2">
      <c r="B2605" s="1"/>
      <c r="E2605" s="38" t="str">
        <f>IFERROR(AVERAGEIFS('Picarro Output'!G:G, 'Picarro Output'!$B:$B, 'Uncalibrated Data'!$C2605, 'Picarro Output'!$I:$I, 0, 'Picarro Output'!$J:$J, 1), "")</f>
        <v/>
      </c>
    </row>
    <row r="2606" spans="2:5" x14ac:dyDescent="0.2">
      <c r="B2606" s="1"/>
      <c r="E2606" s="38" t="str">
        <f>IFERROR(AVERAGEIFS('Picarro Output'!G:G, 'Picarro Output'!$B:$B, 'Uncalibrated Data'!$C2606, 'Picarro Output'!$I:$I, 0, 'Picarro Output'!$J:$J, 1), "")</f>
        <v/>
      </c>
    </row>
    <row r="2607" spans="2:5" x14ac:dyDescent="0.2">
      <c r="B2607" s="1"/>
      <c r="E2607" s="38" t="str">
        <f>IFERROR(AVERAGEIFS('Picarro Output'!G:G, 'Picarro Output'!$B:$B, 'Uncalibrated Data'!$C2607, 'Picarro Output'!$I:$I, 0, 'Picarro Output'!$J:$J, 1), "")</f>
        <v/>
      </c>
    </row>
    <row r="2608" spans="2:5" x14ac:dyDescent="0.2">
      <c r="B2608" s="1"/>
      <c r="E2608" s="38" t="str">
        <f>IFERROR(AVERAGEIFS('Picarro Output'!G:G, 'Picarro Output'!$B:$B, 'Uncalibrated Data'!$C2608, 'Picarro Output'!$I:$I, 0, 'Picarro Output'!$J:$J, 1), "")</f>
        <v/>
      </c>
    </row>
    <row r="2609" spans="2:5" x14ac:dyDescent="0.2">
      <c r="B2609" s="1"/>
      <c r="E2609" s="38" t="str">
        <f>IFERROR(AVERAGEIFS('Picarro Output'!G:G, 'Picarro Output'!$B:$B, 'Uncalibrated Data'!$C2609, 'Picarro Output'!$I:$I, 0, 'Picarro Output'!$J:$J, 1), "")</f>
        <v/>
      </c>
    </row>
    <row r="2610" spans="2:5" x14ac:dyDescent="0.2">
      <c r="B2610" s="1"/>
      <c r="E2610" s="38" t="str">
        <f>IFERROR(AVERAGEIFS('Picarro Output'!G:G, 'Picarro Output'!$B:$B, 'Uncalibrated Data'!$C2610, 'Picarro Output'!$I:$I, 0, 'Picarro Output'!$J:$J, 1), "")</f>
        <v/>
      </c>
    </row>
    <row r="2611" spans="2:5" x14ac:dyDescent="0.2">
      <c r="B2611" s="1"/>
      <c r="E2611" s="38" t="str">
        <f>IFERROR(AVERAGEIFS('Picarro Output'!G:G, 'Picarro Output'!$B:$B, 'Uncalibrated Data'!$C2611, 'Picarro Output'!$I:$I, 0, 'Picarro Output'!$J:$J, 1), "")</f>
        <v/>
      </c>
    </row>
    <row r="2612" spans="2:5" x14ac:dyDescent="0.2">
      <c r="B2612" s="1"/>
      <c r="E2612" s="38" t="str">
        <f>IFERROR(AVERAGEIFS('Picarro Output'!G:G, 'Picarro Output'!$B:$B, 'Uncalibrated Data'!$C2612, 'Picarro Output'!$I:$I, 0, 'Picarro Output'!$J:$J, 1), "")</f>
        <v/>
      </c>
    </row>
    <row r="2613" spans="2:5" x14ac:dyDescent="0.2">
      <c r="B2613" s="1"/>
      <c r="E2613" s="38" t="str">
        <f>IFERROR(AVERAGEIFS('Picarro Output'!G:G, 'Picarro Output'!$B:$B, 'Uncalibrated Data'!$C2613, 'Picarro Output'!$I:$I, 0, 'Picarro Output'!$J:$J, 1), "")</f>
        <v/>
      </c>
    </row>
    <row r="2614" spans="2:5" x14ac:dyDescent="0.2">
      <c r="B2614" s="1"/>
      <c r="E2614" s="38" t="str">
        <f>IFERROR(AVERAGEIFS('Picarro Output'!G:G, 'Picarro Output'!$B:$B, 'Uncalibrated Data'!$C2614, 'Picarro Output'!$I:$I, 0, 'Picarro Output'!$J:$J, 1), "")</f>
        <v/>
      </c>
    </row>
    <row r="2615" spans="2:5" x14ac:dyDescent="0.2">
      <c r="B2615" s="1"/>
      <c r="E2615" s="38" t="str">
        <f>IFERROR(AVERAGEIFS('Picarro Output'!G:G, 'Picarro Output'!$B:$B, 'Uncalibrated Data'!$C2615, 'Picarro Output'!$I:$I, 0, 'Picarro Output'!$J:$J, 1), "")</f>
        <v/>
      </c>
    </row>
    <row r="2616" spans="2:5" x14ac:dyDescent="0.2">
      <c r="B2616" s="1"/>
      <c r="E2616" s="38" t="str">
        <f>IFERROR(AVERAGEIFS('Picarro Output'!G:G, 'Picarro Output'!$B:$B, 'Uncalibrated Data'!$C2616, 'Picarro Output'!$I:$I, 0, 'Picarro Output'!$J:$J, 1), "")</f>
        <v/>
      </c>
    </row>
    <row r="2617" spans="2:5" x14ac:dyDescent="0.2">
      <c r="B2617" s="1"/>
      <c r="E2617" s="38" t="str">
        <f>IFERROR(AVERAGEIFS('Picarro Output'!G:G, 'Picarro Output'!$B:$B, 'Uncalibrated Data'!$C2617, 'Picarro Output'!$I:$I, 0, 'Picarro Output'!$J:$J, 1), "")</f>
        <v/>
      </c>
    </row>
    <row r="2618" spans="2:5" x14ac:dyDescent="0.2">
      <c r="B2618" s="1"/>
      <c r="E2618" s="38" t="str">
        <f>IFERROR(AVERAGEIFS('Picarro Output'!G:G, 'Picarro Output'!$B:$B, 'Uncalibrated Data'!$C2618, 'Picarro Output'!$I:$I, 0, 'Picarro Output'!$J:$J, 1), "")</f>
        <v/>
      </c>
    </row>
    <row r="2619" spans="2:5" x14ac:dyDescent="0.2">
      <c r="B2619" s="1"/>
      <c r="E2619" s="38" t="str">
        <f>IFERROR(AVERAGEIFS('Picarro Output'!G:G, 'Picarro Output'!$B:$B, 'Uncalibrated Data'!$C2619, 'Picarro Output'!$I:$I, 0, 'Picarro Output'!$J:$J, 1), "")</f>
        <v/>
      </c>
    </row>
    <row r="2620" spans="2:5" x14ac:dyDescent="0.2">
      <c r="B2620" s="1"/>
      <c r="E2620" s="38" t="str">
        <f>IFERROR(AVERAGEIFS('Picarro Output'!G:G, 'Picarro Output'!$B:$B, 'Uncalibrated Data'!$C2620, 'Picarro Output'!$I:$I, 0, 'Picarro Output'!$J:$J, 1), "")</f>
        <v/>
      </c>
    </row>
    <row r="2621" spans="2:5" x14ac:dyDescent="0.2">
      <c r="B2621" s="1"/>
      <c r="E2621" s="38" t="str">
        <f>IFERROR(AVERAGEIFS('Picarro Output'!G:G, 'Picarro Output'!$B:$B, 'Uncalibrated Data'!$C2621, 'Picarro Output'!$I:$I, 0, 'Picarro Output'!$J:$J, 1), "")</f>
        <v/>
      </c>
    </row>
    <row r="2622" spans="2:5" x14ac:dyDescent="0.2">
      <c r="B2622" s="1"/>
      <c r="E2622" s="38" t="str">
        <f>IFERROR(AVERAGEIFS('Picarro Output'!G:G, 'Picarro Output'!$B:$B, 'Uncalibrated Data'!$C2622, 'Picarro Output'!$I:$I, 0, 'Picarro Output'!$J:$J, 1), "")</f>
        <v/>
      </c>
    </row>
    <row r="2623" spans="2:5" x14ac:dyDescent="0.2">
      <c r="B2623" s="1"/>
      <c r="E2623" s="38" t="str">
        <f>IFERROR(AVERAGEIFS('Picarro Output'!G:G, 'Picarro Output'!$B:$B, 'Uncalibrated Data'!$C2623, 'Picarro Output'!$I:$I, 0, 'Picarro Output'!$J:$J, 1), "")</f>
        <v/>
      </c>
    </row>
    <row r="2624" spans="2:5" x14ac:dyDescent="0.2">
      <c r="B2624" s="1"/>
      <c r="E2624" s="38" t="str">
        <f>IFERROR(AVERAGEIFS('Picarro Output'!G:G, 'Picarro Output'!$B:$B, 'Uncalibrated Data'!$C2624, 'Picarro Output'!$I:$I, 0, 'Picarro Output'!$J:$J, 1), "")</f>
        <v/>
      </c>
    </row>
    <row r="2625" spans="2:5" x14ac:dyDescent="0.2">
      <c r="B2625" s="1"/>
      <c r="E2625" s="38" t="str">
        <f>IFERROR(AVERAGEIFS('Picarro Output'!G:G, 'Picarro Output'!$B:$B, 'Uncalibrated Data'!$C2625, 'Picarro Output'!$I:$I, 0, 'Picarro Output'!$J:$J, 1), "")</f>
        <v/>
      </c>
    </row>
    <row r="2626" spans="2:5" x14ac:dyDescent="0.2">
      <c r="B2626" s="1"/>
      <c r="E2626" s="38" t="str">
        <f>IFERROR(AVERAGEIFS('Picarro Output'!G:G, 'Picarro Output'!$B:$B, 'Uncalibrated Data'!$C2626, 'Picarro Output'!$I:$I, 0, 'Picarro Output'!$J:$J, 1), "")</f>
        <v/>
      </c>
    </row>
    <row r="2627" spans="2:5" x14ac:dyDescent="0.2">
      <c r="B2627" s="1"/>
      <c r="E2627" s="38" t="str">
        <f>IFERROR(AVERAGEIFS('Picarro Output'!G:G, 'Picarro Output'!$B:$B, 'Uncalibrated Data'!$C2627, 'Picarro Output'!$I:$I, 0, 'Picarro Output'!$J:$J, 1), "")</f>
        <v/>
      </c>
    </row>
    <row r="2628" spans="2:5" x14ac:dyDescent="0.2">
      <c r="B2628" s="1"/>
      <c r="E2628" s="38" t="str">
        <f>IFERROR(AVERAGEIFS('Picarro Output'!G:G, 'Picarro Output'!$B:$B, 'Uncalibrated Data'!$C2628, 'Picarro Output'!$I:$I, 0, 'Picarro Output'!$J:$J, 1), "")</f>
        <v/>
      </c>
    </row>
    <row r="2629" spans="2:5" x14ac:dyDescent="0.2">
      <c r="B2629" s="1"/>
      <c r="E2629" s="38" t="str">
        <f>IFERROR(AVERAGEIFS('Picarro Output'!G:G, 'Picarro Output'!$B:$B, 'Uncalibrated Data'!$C2629, 'Picarro Output'!$I:$I, 0, 'Picarro Output'!$J:$J, 1), "")</f>
        <v/>
      </c>
    </row>
    <row r="2630" spans="2:5" x14ac:dyDescent="0.2">
      <c r="B2630" s="1"/>
      <c r="E2630" s="38" t="str">
        <f>IFERROR(AVERAGEIFS('Picarro Output'!G:G, 'Picarro Output'!$B:$B, 'Uncalibrated Data'!$C2630, 'Picarro Output'!$I:$I, 0, 'Picarro Output'!$J:$J, 1), "")</f>
        <v/>
      </c>
    </row>
    <row r="2631" spans="2:5" x14ac:dyDescent="0.2">
      <c r="B2631" s="1"/>
      <c r="E2631" s="38" t="str">
        <f>IFERROR(AVERAGEIFS('Picarro Output'!G:G, 'Picarro Output'!$B:$B, 'Uncalibrated Data'!$C2631, 'Picarro Output'!$I:$I, 0, 'Picarro Output'!$J:$J, 1), "")</f>
        <v/>
      </c>
    </row>
    <row r="2632" spans="2:5" x14ac:dyDescent="0.2">
      <c r="B2632" s="1"/>
      <c r="E2632" s="38" t="str">
        <f>IFERROR(AVERAGEIFS('Picarro Output'!G:G, 'Picarro Output'!$B:$B, 'Uncalibrated Data'!$C2632, 'Picarro Output'!$I:$I, 0, 'Picarro Output'!$J:$J, 1), "")</f>
        <v/>
      </c>
    </row>
    <row r="2633" spans="2:5" x14ac:dyDescent="0.2">
      <c r="B2633" s="1"/>
      <c r="E2633" s="38" t="str">
        <f>IFERROR(AVERAGEIFS('Picarro Output'!G:G, 'Picarro Output'!$B:$B, 'Uncalibrated Data'!$C2633, 'Picarro Output'!$I:$I, 0, 'Picarro Output'!$J:$J, 1), "")</f>
        <v/>
      </c>
    </row>
    <row r="2634" spans="2:5" x14ac:dyDescent="0.2">
      <c r="B2634" s="1"/>
      <c r="E2634" s="38" t="str">
        <f>IFERROR(AVERAGEIFS('Picarro Output'!G:G, 'Picarro Output'!$B:$B, 'Uncalibrated Data'!$C2634, 'Picarro Output'!$I:$I, 0, 'Picarro Output'!$J:$J, 1), "")</f>
        <v/>
      </c>
    </row>
    <row r="2635" spans="2:5" x14ac:dyDescent="0.2">
      <c r="B2635" s="1"/>
      <c r="E2635" s="38" t="str">
        <f>IFERROR(AVERAGEIFS('Picarro Output'!G:G, 'Picarro Output'!$B:$B, 'Uncalibrated Data'!$C2635, 'Picarro Output'!$I:$I, 0, 'Picarro Output'!$J:$J, 1), "")</f>
        <v/>
      </c>
    </row>
    <row r="2636" spans="2:5" x14ac:dyDescent="0.2">
      <c r="B2636" s="1"/>
      <c r="E2636" s="38" t="str">
        <f>IFERROR(AVERAGEIFS('Picarro Output'!G:G, 'Picarro Output'!$B:$B, 'Uncalibrated Data'!$C2636, 'Picarro Output'!$I:$I, 0, 'Picarro Output'!$J:$J, 1), "")</f>
        <v/>
      </c>
    </row>
    <row r="2637" spans="2:5" x14ac:dyDescent="0.2">
      <c r="B2637" s="1"/>
      <c r="E2637" s="38" t="str">
        <f>IFERROR(AVERAGEIFS('Picarro Output'!G:G, 'Picarro Output'!$B:$B, 'Uncalibrated Data'!$C2637, 'Picarro Output'!$I:$I, 0, 'Picarro Output'!$J:$J, 1), "")</f>
        <v/>
      </c>
    </row>
    <row r="2638" spans="2:5" x14ac:dyDescent="0.2">
      <c r="B2638" s="1"/>
      <c r="E2638" s="38" t="str">
        <f>IFERROR(AVERAGEIFS('Picarro Output'!G:G, 'Picarro Output'!$B:$B, 'Uncalibrated Data'!$C2638, 'Picarro Output'!$I:$I, 0, 'Picarro Output'!$J:$J, 1), "")</f>
        <v/>
      </c>
    </row>
    <row r="2639" spans="2:5" x14ac:dyDescent="0.2">
      <c r="B2639" s="1"/>
      <c r="E2639" s="38" t="str">
        <f>IFERROR(AVERAGEIFS('Picarro Output'!G:G, 'Picarro Output'!$B:$B, 'Uncalibrated Data'!$C2639, 'Picarro Output'!$I:$I, 0, 'Picarro Output'!$J:$J, 1), "")</f>
        <v/>
      </c>
    </row>
    <row r="2640" spans="2:5" x14ac:dyDescent="0.2">
      <c r="B2640" s="1"/>
      <c r="E2640" s="38" t="str">
        <f>IFERROR(AVERAGEIFS('Picarro Output'!G:G, 'Picarro Output'!$B:$B, 'Uncalibrated Data'!$C2640, 'Picarro Output'!$I:$I, 0, 'Picarro Output'!$J:$J, 1), "")</f>
        <v/>
      </c>
    </row>
    <row r="2641" spans="2:5" x14ac:dyDescent="0.2">
      <c r="B2641" s="1"/>
      <c r="E2641" s="38" t="str">
        <f>IFERROR(AVERAGEIFS('Picarro Output'!G:G, 'Picarro Output'!$B:$B, 'Uncalibrated Data'!$C2641, 'Picarro Output'!$I:$I, 0, 'Picarro Output'!$J:$J, 1), "")</f>
        <v/>
      </c>
    </row>
    <row r="2642" spans="2:5" x14ac:dyDescent="0.2">
      <c r="B2642" s="1"/>
      <c r="E2642" s="38" t="str">
        <f>IFERROR(AVERAGEIFS('Picarro Output'!G:G, 'Picarro Output'!$B:$B, 'Uncalibrated Data'!$C2642, 'Picarro Output'!$I:$I, 0, 'Picarro Output'!$J:$J, 1), "")</f>
        <v/>
      </c>
    </row>
    <row r="2643" spans="2:5" x14ac:dyDescent="0.2">
      <c r="B2643" s="1"/>
      <c r="E2643" s="38" t="str">
        <f>IFERROR(AVERAGEIFS('Picarro Output'!G:G, 'Picarro Output'!$B:$B, 'Uncalibrated Data'!$C2643, 'Picarro Output'!$I:$I, 0, 'Picarro Output'!$J:$J, 1), "")</f>
        <v/>
      </c>
    </row>
    <row r="2644" spans="2:5" x14ac:dyDescent="0.2">
      <c r="B2644" s="1"/>
      <c r="E2644" s="38" t="str">
        <f>IFERROR(AVERAGEIFS('Picarro Output'!G:G, 'Picarro Output'!$B:$B, 'Uncalibrated Data'!$C2644, 'Picarro Output'!$I:$I, 0, 'Picarro Output'!$J:$J, 1), "")</f>
        <v/>
      </c>
    </row>
    <row r="2645" spans="2:5" x14ac:dyDescent="0.2">
      <c r="B2645" s="1"/>
      <c r="E2645" s="38" t="str">
        <f>IFERROR(AVERAGEIFS('Picarro Output'!G:G, 'Picarro Output'!$B:$B, 'Uncalibrated Data'!$C2645, 'Picarro Output'!$I:$I, 0, 'Picarro Output'!$J:$J, 1), "")</f>
        <v/>
      </c>
    </row>
    <row r="2646" spans="2:5" x14ac:dyDescent="0.2">
      <c r="B2646" s="1"/>
      <c r="E2646" s="38" t="str">
        <f>IFERROR(AVERAGEIFS('Picarro Output'!G:G, 'Picarro Output'!$B:$B, 'Uncalibrated Data'!$C2646, 'Picarro Output'!$I:$I, 0, 'Picarro Output'!$J:$J, 1), "")</f>
        <v/>
      </c>
    </row>
    <row r="2647" spans="2:5" x14ac:dyDescent="0.2">
      <c r="B2647" s="1"/>
      <c r="E2647" s="38" t="str">
        <f>IFERROR(AVERAGEIFS('Picarro Output'!G:G, 'Picarro Output'!$B:$B, 'Uncalibrated Data'!$C2647, 'Picarro Output'!$I:$I, 0, 'Picarro Output'!$J:$J, 1), "")</f>
        <v/>
      </c>
    </row>
    <row r="2648" spans="2:5" x14ac:dyDescent="0.2">
      <c r="B2648" s="1"/>
      <c r="E2648" s="38" t="str">
        <f>IFERROR(AVERAGEIFS('Picarro Output'!G:G, 'Picarro Output'!$B:$B, 'Uncalibrated Data'!$C2648, 'Picarro Output'!$I:$I, 0, 'Picarro Output'!$J:$J, 1), "")</f>
        <v/>
      </c>
    </row>
    <row r="2649" spans="2:5" x14ac:dyDescent="0.2">
      <c r="B2649" s="1"/>
      <c r="E2649" s="38" t="str">
        <f>IFERROR(AVERAGEIFS('Picarro Output'!G:G, 'Picarro Output'!$B:$B, 'Uncalibrated Data'!$C2649, 'Picarro Output'!$I:$I, 0, 'Picarro Output'!$J:$J, 1), "")</f>
        <v/>
      </c>
    </row>
    <row r="2650" spans="2:5" x14ac:dyDescent="0.2">
      <c r="B2650" s="1"/>
      <c r="E2650" s="38" t="str">
        <f>IFERROR(AVERAGEIFS('Picarro Output'!G:G, 'Picarro Output'!$B:$B, 'Uncalibrated Data'!$C2650, 'Picarro Output'!$I:$I, 0, 'Picarro Output'!$J:$J, 1), "")</f>
        <v/>
      </c>
    </row>
    <row r="2651" spans="2:5" x14ac:dyDescent="0.2">
      <c r="B2651" s="1"/>
      <c r="E2651" s="38" t="str">
        <f>IFERROR(AVERAGEIFS('Picarro Output'!G:G, 'Picarro Output'!$B:$B, 'Uncalibrated Data'!$C2651, 'Picarro Output'!$I:$I, 0, 'Picarro Output'!$J:$J, 1), "")</f>
        <v/>
      </c>
    </row>
    <row r="2652" spans="2:5" x14ac:dyDescent="0.2">
      <c r="B2652" s="1"/>
      <c r="E2652" s="38" t="str">
        <f>IFERROR(AVERAGEIFS('Picarro Output'!G:G, 'Picarro Output'!$B:$B, 'Uncalibrated Data'!$C2652, 'Picarro Output'!$I:$I, 0, 'Picarro Output'!$J:$J, 1), "")</f>
        <v/>
      </c>
    </row>
    <row r="2653" spans="2:5" x14ac:dyDescent="0.2">
      <c r="B2653" s="1"/>
      <c r="E2653" s="38" t="str">
        <f>IFERROR(AVERAGEIFS('Picarro Output'!G:G, 'Picarro Output'!$B:$B, 'Uncalibrated Data'!$C2653, 'Picarro Output'!$I:$I, 0, 'Picarro Output'!$J:$J, 1), "")</f>
        <v/>
      </c>
    </row>
    <row r="2654" spans="2:5" x14ac:dyDescent="0.2">
      <c r="B2654" s="1"/>
      <c r="E2654" s="38" t="str">
        <f>IFERROR(AVERAGEIFS('Picarro Output'!G:G, 'Picarro Output'!$B:$B, 'Uncalibrated Data'!$C2654, 'Picarro Output'!$I:$I, 0, 'Picarro Output'!$J:$J, 1), "")</f>
        <v/>
      </c>
    </row>
    <row r="2655" spans="2:5" x14ac:dyDescent="0.2">
      <c r="B2655" s="1"/>
      <c r="E2655" s="38" t="str">
        <f>IFERROR(AVERAGEIFS('Picarro Output'!G:G, 'Picarro Output'!$B:$B, 'Uncalibrated Data'!$C2655, 'Picarro Output'!$I:$I, 0, 'Picarro Output'!$J:$J, 1), "")</f>
        <v/>
      </c>
    </row>
    <row r="2656" spans="2:5" x14ac:dyDescent="0.2">
      <c r="B2656" s="1"/>
      <c r="E2656" s="38" t="str">
        <f>IFERROR(AVERAGEIFS('Picarro Output'!G:G, 'Picarro Output'!$B:$B, 'Uncalibrated Data'!$C2656, 'Picarro Output'!$I:$I, 0, 'Picarro Output'!$J:$J, 1), "")</f>
        <v/>
      </c>
    </row>
    <row r="2657" spans="2:5" x14ac:dyDescent="0.2">
      <c r="B2657" s="1"/>
      <c r="E2657" s="38" t="str">
        <f>IFERROR(AVERAGEIFS('Picarro Output'!G:G, 'Picarro Output'!$B:$B, 'Uncalibrated Data'!$C2657, 'Picarro Output'!$I:$I, 0, 'Picarro Output'!$J:$J, 1), "")</f>
        <v/>
      </c>
    </row>
    <row r="2658" spans="2:5" x14ac:dyDescent="0.2">
      <c r="B2658" s="1"/>
      <c r="E2658" s="38" t="str">
        <f>IFERROR(AVERAGEIFS('Picarro Output'!G:G, 'Picarro Output'!$B:$B, 'Uncalibrated Data'!$C2658, 'Picarro Output'!$I:$I, 0, 'Picarro Output'!$J:$J, 1), "")</f>
        <v/>
      </c>
    </row>
    <row r="2659" spans="2:5" x14ac:dyDescent="0.2">
      <c r="B2659" s="1"/>
      <c r="E2659" s="38" t="str">
        <f>IFERROR(AVERAGEIFS('Picarro Output'!G:G, 'Picarro Output'!$B:$B, 'Uncalibrated Data'!$C2659, 'Picarro Output'!$I:$I, 0, 'Picarro Output'!$J:$J, 1), "")</f>
        <v/>
      </c>
    </row>
    <row r="2660" spans="2:5" x14ac:dyDescent="0.2">
      <c r="B2660" s="1"/>
      <c r="E2660" s="38" t="str">
        <f>IFERROR(AVERAGEIFS('Picarro Output'!G:G, 'Picarro Output'!$B:$B, 'Uncalibrated Data'!$C2660, 'Picarro Output'!$I:$I, 0, 'Picarro Output'!$J:$J, 1), "")</f>
        <v/>
      </c>
    </row>
    <row r="2661" spans="2:5" x14ac:dyDescent="0.2">
      <c r="B2661" s="1"/>
      <c r="E2661" s="38" t="str">
        <f>IFERROR(AVERAGEIFS('Picarro Output'!G:G, 'Picarro Output'!$B:$B, 'Uncalibrated Data'!$C2661, 'Picarro Output'!$I:$I, 0, 'Picarro Output'!$J:$J, 1), "")</f>
        <v/>
      </c>
    </row>
    <row r="2662" spans="2:5" x14ac:dyDescent="0.2">
      <c r="B2662" s="1"/>
      <c r="E2662" s="38" t="str">
        <f>IFERROR(AVERAGEIFS('Picarro Output'!G:G, 'Picarro Output'!$B:$B, 'Uncalibrated Data'!$C2662, 'Picarro Output'!$I:$I, 0, 'Picarro Output'!$J:$J, 1), "")</f>
        <v/>
      </c>
    </row>
    <row r="2663" spans="2:5" x14ac:dyDescent="0.2">
      <c r="B2663" s="1"/>
      <c r="E2663" s="38" t="str">
        <f>IFERROR(AVERAGEIFS('Picarro Output'!G:G, 'Picarro Output'!$B:$B, 'Uncalibrated Data'!$C2663, 'Picarro Output'!$I:$I, 0, 'Picarro Output'!$J:$J, 1), "")</f>
        <v/>
      </c>
    </row>
    <row r="2664" spans="2:5" x14ac:dyDescent="0.2">
      <c r="B2664" s="1"/>
      <c r="E2664" s="38" t="str">
        <f>IFERROR(AVERAGEIFS('Picarro Output'!G:G, 'Picarro Output'!$B:$B, 'Uncalibrated Data'!$C2664, 'Picarro Output'!$I:$I, 0, 'Picarro Output'!$J:$J, 1), "")</f>
        <v/>
      </c>
    </row>
    <row r="2665" spans="2:5" x14ac:dyDescent="0.2">
      <c r="B2665" s="1"/>
      <c r="E2665" s="38" t="str">
        <f>IFERROR(AVERAGEIFS('Picarro Output'!G:G, 'Picarro Output'!$B:$B, 'Uncalibrated Data'!$C2665, 'Picarro Output'!$I:$I, 0, 'Picarro Output'!$J:$J, 1), "")</f>
        <v/>
      </c>
    </row>
    <row r="2666" spans="2:5" x14ac:dyDescent="0.2">
      <c r="B2666" s="1"/>
      <c r="E2666" s="38" t="str">
        <f>IFERROR(AVERAGEIFS('Picarro Output'!G:G, 'Picarro Output'!$B:$B, 'Uncalibrated Data'!$C2666, 'Picarro Output'!$I:$I, 0, 'Picarro Output'!$J:$J, 1), "")</f>
        <v/>
      </c>
    </row>
    <row r="2667" spans="2:5" x14ac:dyDescent="0.2">
      <c r="B2667" s="1"/>
      <c r="E2667" s="38" t="str">
        <f>IFERROR(AVERAGEIFS('Picarro Output'!G:G, 'Picarro Output'!$B:$B, 'Uncalibrated Data'!$C2667, 'Picarro Output'!$I:$I, 0, 'Picarro Output'!$J:$J, 1), "")</f>
        <v/>
      </c>
    </row>
    <row r="2668" spans="2:5" x14ac:dyDescent="0.2">
      <c r="B2668" s="1"/>
      <c r="E2668" s="38" t="str">
        <f>IFERROR(AVERAGEIFS('Picarro Output'!G:G, 'Picarro Output'!$B:$B, 'Uncalibrated Data'!$C2668, 'Picarro Output'!$I:$I, 0, 'Picarro Output'!$J:$J, 1), "")</f>
        <v/>
      </c>
    </row>
    <row r="2669" spans="2:5" x14ac:dyDescent="0.2">
      <c r="B2669" s="1"/>
      <c r="E2669" s="38" t="str">
        <f>IFERROR(AVERAGEIFS('Picarro Output'!G:G, 'Picarro Output'!$B:$B, 'Uncalibrated Data'!$C2669, 'Picarro Output'!$I:$I, 0, 'Picarro Output'!$J:$J, 1), "")</f>
        <v/>
      </c>
    </row>
    <row r="2670" spans="2:5" x14ac:dyDescent="0.2">
      <c r="B2670" s="1"/>
      <c r="E2670" s="38" t="str">
        <f>IFERROR(AVERAGEIFS('Picarro Output'!G:G, 'Picarro Output'!$B:$B, 'Uncalibrated Data'!$C2670, 'Picarro Output'!$I:$I, 0, 'Picarro Output'!$J:$J, 1), "")</f>
        <v/>
      </c>
    </row>
    <row r="2671" spans="2:5" x14ac:dyDescent="0.2">
      <c r="B2671" s="1"/>
      <c r="E2671" s="38" t="str">
        <f>IFERROR(AVERAGEIFS('Picarro Output'!G:G, 'Picarro Output'!$B:$B, 'Uncalibrated Data'!$C2671, 'Picarro Output'!$I:$I, 0, 'Picarro Output'!$J:$J, 1), "")</f>
        <v/>
      </c>
    </row>
    <row r="2672" spans="2:5" x14ac:dyDescent="0.2">
      <c r="B2672" s="1"/>
      <c r="E2672" s="38" t="str">
        <f>IFERROR(AVERAGEIFS('Picarro Output'!G:G, 'Picarro Output'!$B:$B, 'Uncalibrated Data'!$C2672, 'Picarro Output'!$I:$I, 0, 'Picarro Output'!$J:$J, 1), "")</f>
        <v/>
      </c>
    </row>
    <row r="2673" spans="2:5" x14ac:dyDescent="0.2">
      <c r="B2673" s="1"/>
      <c r="E2673" s="38" t="str">
        <f>IFERROR(AVERAGEIFS('Picarro Output'!G:G, 'Picarro Output'!$B:$B, 'Uncalibrated Data'!$C2673, 'Picarro Output'!$I:$I, 0, 'Picarro Output'!$J:$J, 1), "")</f>
        <v/>
      </c>
    </row>
    <row r="2674" spans="2:5" x14ac:dyDescent="0.2">
      <c r="B2674" s="1"/>
      <c r="E2674" s="38" t="str">
        <f>IFERROR(AVERAGEIFS('Picarro Output'!G:G, 'Picarro Output'!$B:$B, 'Uncalibrated Data'!$C2674, 'Picarro Output'!$I:$I, 0, 'Picarro Output'!$J:$J, 1), "")</f>
        <v/>
      </c>
    </row>
    <row r="2675" spans="2:5" x14ac:dyDescent="0.2">
      <c r="B2675" s="1"/>
      <c r="E2675" s="38" t="str">
        <f>IFERROR(AVERAGEIFS('Picarro Output'!G:G, 'Picarro Output'!$B:$B, 'Uncalibrated Data'!$C2675, 'Picarro Output'!$I:$I, 0, 'Picarro Output'!$J:$J, 1), "")</f>
        <v/>
      </c>
    </row>
    <row r="2676" spans="2:5" x14ac:dyDescent="0.2">
      <c r="B2676" s="1"/>
      <c r="E2676" s="38" t="str">
        <f>IFERROR(AVERAGEIFS('Picarro Output'!G:G, 'Picarro Output'!$B:$B, 'Uncalibrated Data'!$C2676, 'Picarro Output'!$I:$I, 0, 'Picarro Output'!$J:$J, 1), "")</f>
        <v/>
      </c>
    </row>
    <row r="2677" spans="2:5" x14ac:dyDescent="0.2">
      <c r="B2677" s="1"/>
      <c r="E2677" s="38" t="str">
        <f>IFERROR(AVERAGEIFS('Picarro Output'!G:G, 'Picarro Output'!$B:$B, 'Uncalibrated Data'!$C2677, 'Picarro Output'!$I:$I, 0, 'Picarro Output'!$J:$J, 1), "")</f>
        <v/>
      </c>
    </row>
    <row r="2678" spans="2:5" x14ac:dyDescent="0.2">
      <c r="B2678" s="1"/>
      <c r="E2678" s="38" t="str">
        <f>IFERROR(AVERAGEIFS('Picarro Output'!G:G, 'Picarro Output'!$B:$B, 'Uncalibrated Data'!$C2678, 'Picarro Output'!$I:$I, 0, 'Picarro Output'!$J:$J, 1), "")</f>
        <v/>
      </c>
    </row>
    <row r="2679" spans="2:5" x14ac:dyDescent="0.2">
      <c r="B2679" s="1"/>
      <c r="E2679" s="38" t="str">
        <f>IFERROR(AVERAGEIFS('Picarro Output'!G:G, 'Picarro Output'!$B:$B, 'Uncalibrated Data'!$C2679, 'Picarro Output'!$I:$I, 0, 'Picarro Output'!$J:$J, 1), "")</f>
        <v/>
      </c>
    </row>
    <row r="2680" spans="2:5" x14ac:dyDescent="0.2">
      <c r="B2680" s="1"/>
      <c r="E2680" s="38" t="str">
        <f>IFERROR(AVERAGEIFS('Picarro Output'!G:G, 'Picarro Output'!$B:$B, 'Uncalibrated Data'!$C2680, 'Picarro Output'!$I:$I, 0, 'Picarro Output'!$J:$J, 1), "")</f>
        <v/>
      </c>
    </row>
    <row r="2681" spans="2:5" x14ac:dyDescent="0.2">
      <c r="B2681" s="1"/>
      <c r="E2681" s="38" t="str">
        <f>IFERROR(AVERAGEIFS('Picarro Output'!G:G, 'Picarro Output'!$B:$B, 'Uncalibrated Data'!$C2681, 'Picarro Output'!$I:$I, 0, 'Picarro Output'!$J:$J, 1), "")</f>
        <v/>
      </c>
    </row>
    <row r="2682" spans="2:5" x14ac:dyDescent="0.2">
      <c r="B2682" s="1"/>
      <c r="E2682" s="38" t="str">
        <f>IFERROR(AVERAGEIFS('Picarro Output'!G:G, 'Picarro Output'!$B:$B, 'Uncalibrated Data'!$C2682, 'Picarro Output'!$I:$I, 0, 'Picarro Output'!$J:$J, 1), "")</f>
        <v/>
      </c>
    </row>
    <row r="2683" spans="2:5" x14ac:dyDescent="0.2">
      <c r="B2683" s="1"/>
      <c r="E2683" s="38" t="str">
        <f>IFERROR(AVERAGEIFS('Picarro Output'!G:G, 'Picarro Output'!$B:$B, 'Uncalibrated Data'!$C2683, 'Picarro Output'!$I:$I, 0, 'Picarro Output'!$J:$J, 1), "")</f>
        <v/>
      </c>
    </row>
    <row r="2684" spans="2:5" x14ac:dyDescent="0.2">
      <c r="B2684" s="1"/>
      <c r="E2684" s="38" t="str">
        <f>IFERROR(AVERAGEIFS('Picarro Output'!G:G, 'Picarro Output'!$B:$B, 'Uncalibrated Data'!$C2684, 'Picarro Output'!$I:$I, 0, 'Picarro Output'!$J:$J, 1), "")</f>
        <v/>
      </c>
    </row>
    <row r="2685" spans="2:5" x14ac:dyDescent="0.2">
      <c r="B2685" s="1"/>
      <c r="E2685" s="38" t="str">
        <f>IFERROR(AVERAGEIFS('Picarro Output'!G:G, 'Picarro Output'!$B:$B, 'Uncalibrated Data'!$C2685, 'Picarro Output'!$I:$I, 0, 'Picarro Output'!$J:$J, 1), "")</f>
        <v/>
      </c>
    </row>
    <row r="2686" spans="2:5" x14ac:dyDescent="0.2">
      <c r="B2686" s="1"/>
      <c r="E2686" s="38" t="str">
        <f>IFERROR(AVERAGEIFS('Picarro Output'!G:G, 'Picarro Output'!$B:$B, 'Uncalibrated Data'!$C2686, 'Picarro Output'!$I:$I, 0, 'Picarro Output'!$J:$J, 1), "")</f>
        <v/>
      </c>
    </row>
    <row r="2687" spans="2:5" x14ac:dyDescent="0.2">
      <c r="B2687" s="1"/>
      <c r="E2687" s="38" t="str">
        <f>IFERROR(AVERAGEIFS('Picarro Output'!G:G, 'Picarro Output'!$B:$B, 'Uncalibrated Data'!$C2687, 'Picarro Output'!$I:$I, 0, 'Picarro Output'!$J:$J, 1), "")</f>
        <v/>
      </c>
    </row>
    <row r="2688" spans="2:5" x14ac:dyDescent="0.2">
      <c r="B2688" s="1"/>
      <c r="E2688" s="38" t="str">
        <f>IFERROR(AVERAGEIFS('Picarro Output'!G:G, 'Picarro Output'!$B:$B, 'Uncalibrated Data'!$C2688, 'Picarro Output'!$I:$I, 0, 'Picarro Output'!$J:$J, 1), "")</f>
        <v/>
      </c>
    </row>
    <row r="2689" spans="2:5" x14ac:dyDescent="0.2">
      <c r="B2689" s="1"/>
      <c r="E2689" s="38" t="str">
        <f>IFERROR(AVERAGEIFS('Picarro Output'!G:G, 'Picarro Output'!$B:$B, 'Uncalibrated Data'!$C2689, 'Picarro Output'!$I:$I, 0, 'Picarro Output'!$J:$J, 1), "")</f>
        <v/>
      </c>
    </row>
    <row r="2690" spans="2:5" x14ac:dyDescent="0.2">
      <c r="B2690" s="1"/>
      <c r="E2690" s="38" t="str">
        <f>IFERROR(AVERAGEIFS('Picarro Output'!G:G, 'Picarro Output'!$B:$B, 'Uncalibrated Data'!$C2690, 'Picarro Output'!$I:$I, 0, 'Picarro Output'!$J:$J, 1), "")</f>
        <v/>
      </c>
    </row>
    <row r="2691" spans="2:5" x14ac:dyDescent="0.2">
      <c r="B2691" s="1"/>
      <c r="E2691" s="38" t="str">
        <f>IFERROR(AVERAGEIFS('Picarro Output'!G:G, 'Picarro Output'!$B:$B, 'Uncalibrated Data'!$C2691, 'Picarro Output'!$I:$I, 0, 'Picarro Output'!$J:$J, 1), "")</f>
        <v/>
      </c>
    </row>
    <row r="2692" spans="2:5" x14ac:dyDescent="0.2">
      <c r="B2692" s="1"/>
      <c r="E2692" s="38" t="str">
        <f>IFERROR(AVERAGEIFS('Picarro Output'!G:G, 'Picarro Output'!$B:$B, 'Uncalibrated Data'!$C2692, 'Picarro Output'!$I:$I, 0, 'Picarro Output'!$J:$J, 1), "")</f>
        <v/>
      </c>
    </row>
    <row r="2693" spans="2:5" x14ac:dyDescent="0.2">
      <c r="B2693" s="1"/>
      <c r="E2693" s="38" t="str">
        <f>IFERROR(AVERAGEIFS('Picarro Output'!G:G, 'Picarro Output'!$B:$B, 'Uncalibrated Data'!$C2693, 'Picarro Output'!$I:$I, 0, 'Picarro Output'!$J:$J, 1), "")</f>
        <v/>
      </c>
    </row>
    <row r="2694" spans="2:5" x14ac:dyDescent="0.2">
      <c r="B2694" s="1"/>
      <c r="E2694" s="38" t="str">
        <f>IFERROR(AVERAGEIFS('Picarro Output'!G:G, 'Picarro Output'!$B:$B, 'Uncalibrated Data'!$C2694, 'Picarro Output'!$I:$I, 0, 'Picarro Output'!$J:$J, 1), "")</f>
        <v/>
      </c>
    </row>
    <row r="2695" spans="2:5" x14ac:dyDescent="0.2">
      <c r="B2695" s="1"/>
      <c r="E2695" s="38" t="str">
        <f>IFERROR(AVERAGEIFS('Picarro Output'!G:G, 'Picarro Output'!$B:$B, 'Uncalibrated Data'!$C2695, 'Picarro Output'!$I:$I, 0, 'Picarro Output'!$J:$J, 1), "")</f>
        <v/>
      </c>
    </row>
    <row r="2696" spans="2:5" x14ac:dyDescent="0.2">
      <c r="B2696" s="1"/>
      <c r="E2696" s="38" t="str">
        <f>IFERROR(AVERAGEIFS('Picarro Output'!G:G, 'Picarro Output'!$B:$B, 'Uncalibrated Data'!$C2696, 'Picarro Output'!$I:$I, 0, 'Picarro Output'!$J:$J, 1), "")</f>
        <v/>
      </c>
    </row>
    <row r="2697" spans="2:5" x14ac:dyDescent="0.2">
      <c r="B2697" s="1"/>
      <c r="E2697" s="38" t="str">
        <f>IFERROR(AVERAGEIFS('Picarro Output'!G:G, 'Picarro Output'!$B:$B, 'Uncalibrated Data'!$C2697, 'Picarro Output'!$I:$I, 0, 'Picarro Output'!$J:$J, 1), "")</f>
        <v/>
      </c>
    </row>
    <row r="2698" spans="2:5" x14ac:dyDescent="0.2">
      <c r="B2698" s="1"/>
      <c r="E2698" s="38" t="str">
        <f>IFERROR(AVERAGEIFS('Picarro Output'!G:G, 'Picarro Output'!$B:$B, 'Uncalibrated Data'!$C2698, 'Picarro Output'!$I:$I, 0, 'Picarro Output'!$J:$J, 1), "")</f>
        <v/>
      </c>
    </row>
    <row r="2699" spans="2:5" x14ac:dyDescent="0.2">
      <c r="B2699" s="1"/>
      <c r="E2699" s="38" t="str">
        <f>IFERROR(AVERAGEIFS('Picarro Output'!G:G, 'Picarro Output'!$B:$B, 'Uncalibrated Data'!$C2699, 'Picarro Output'!$I:$I, 0, 'Picarro Output'!$J:$J, 1), "")</f>
        <v/>
      </c>
    </row>
    <row r="2700" spans="2:5" x14ac:dyDescent="0.2">
      <c r="B2700" s="1"/>
      <c r="E2700" s="38" t="str">
        <f>IFERROR(AVERAGEIFS('Picarro Output'!G:G, 'Picarro Output'!$B:$B, 'Uncalibrated Data'!$C2700, 'Picarro Output'!$I:$I, 0, 'Picarro Output'!$J:$J, 1), "")</f>
        <v/>
      </c>
    </row>
    <row r="2701" spans="2:5" x14ac:dyDescent="0.2">
      <c r="B2701" s="1"/>
      <c r="E2701" s="38" t="str">
        <f>IFERROR(AVERAGEIFS('Picarro Output'!G:G, 'Picarro Output'!$B:$B, 'Uncalibrated Data'!$C2701, 'Picarro Output'!$I:$I, 0, 'Picarro Output'!$J:$J, 1), "")</f>
        <v/>
      </c>
    </row>
    <row r="2702" spans="2:5" x14ac:dyDescent="0.2">
      <c r="B2702" s="1"/>
      <c r="E2702" s="38" t="str">
        <f>IFERROR(AVERAGEIFS('Picarro Output'!G:G, 'Picarro Output'!$B:$B, 'Uncalibrated Data'!$C2702, 'Picarro Output'!$I:$I, 0, 'Picarro Output'!$J:$J, 1), "")</f>
        <v/>
      </c>
    </row>
    <row r="2703" spans="2:5" x14ac:dyDescent="0.2">
      <c r="B2703" s="1"/>
      <c r="E2703" s="38" t="str">
        <f>IFERROR(AVERAGEIFS('Picarro Output'!G:G, 'Picarro Output'!$B:$B, 'Uncalibrated Data'!$C2703, 'Picarro Output'!$I:$I, 0, 'Picarro Output'!$J:$J, 1), "")</f>
        <v/>
      </c>
    </row>
    <row r="2704" spans="2:5" x14ac:dyDescent="0.2">
      <c r="B2704" s="1"/>
      <c r="E2704" s="38" t="str">
        <f>IFERROR(AVERAGEIFS('Picarro Output'!G:G, 'Picarro Output'!$B:$B, 'Uncalibrated Data'!$C2704, 'Picarro Output'!$I:$I, 0, 'Picarro Output'!$J:$J, 1), "")</f>
        <v/>
      </c>
    </row>
    <row r="2705" spans="2:5" x14ac:dyDescent="0.2">
      <c r="B2705" s="1"/>
      <c r="E2705" s="38" t="str">
        <f>IFERROR(AVERAGEIFS('Picarro Output'!G:G, 'Picarro Output'!$B:$B, 'Uncalibrated Data'!$C2705, 'Picarro Output'!$I:$I, 0, 'Picarro Output'!$J:$J, 1), "")</f>
        <v/>
      </c>
    </row>
    <row r="2706" spans="2:5" x14ac:dyDescent="0.2">
      <c r="B2706" s="1"/>
      <c r="E2706" s="38" t="str">
        <f>IFERROR(AVERAGEIFS('Picarro Output'!G:G, 'Picarro Output'!$B:$B, 'Uncalibrated Data'!$C2706, 'Picarro Output'!$I:$I, 0, 'Picarro Output'!$J:$J, 1), "")</f>
        <v/>
      </c>
    </row>
    <row r="2707" spans="2:5" x14ac:dyDescent="0.2">
      <c r="B2707" s="1"/>
      <c r="E2707" s="38" t="str">
        <f>IFERROR(AVERAGEIFS('Picarro Output'!G:G, 'Picarro Output'!$B:$B, 'Uncalibrated Data'!$C2707, 'Picarro Output'!$I:$I, 0, 'Picarro Output'!$J:$J, 1), "")</f>
        <v/>
      </c>
    </row>
    <row r="2708" spans="2:5" x14ac:dyDescent="0.2">
      <c r="B2708" s="1"/>
      <c r="E2708" s="38" t="str">
        <f>IFERROR(AVERAGEIFS('Picarro Output'!G:G, 'Picarro Output'!$B:$B, 'Uncalibrated Data'!$C2708, 'Picarro Output'!$I:$I, 0, 'Picarro Output'!$J:$J, 1), "")</f>
        <v/>
      </c>
    </row>
    <row r="2709" spans="2:5" x14ac:dyDescent="0.2">
      <c r="B2709" s="1"/>
      <c r="E2709" s="38" t="str">
        <f>IFERROR(AVERAGEIFS('Picarro Output'!G:G, 'Picarro Output'!$B:$B, 'Uncalibrated Data'!$C2709, 'Picarro Output'!$I:$I, 0, 'Picarro Output'!$J:$J, 1), "")</f>
        <v/>
      </c>
    </row>
    <row r="2710" spans="2:5" x14ac:dyDescent="0.2">
      <c r="B2710" s="1"/>
      <c r="E2710" s="38" t="str">
        <f>IFERROR(AVERAGEIFS('Picarro Output'!G:G, 'Picarro Output'!$B:$B, 'Uncalibrated Data'!$C2710, 'Picarro Output'!$I:$I, 0, 'Picarro Output'!$J:$J, 1), "")</f>
        <v/>
      </c>
    </row>
    <row r="2711" spans="2:5" x14ac:dyDescent="0.2">
      <c r="B2711" s="1"/>
      <c r="E2711" s="38" t="str">
        <f>IFERROR(AVERAGEIFS('Picarro Output'!G:G, 'Picarro Output'!$B:$B, 'Uncalibrated Data'!$C2711, 'Picarro Output'!$I:$I, 0, 'Picarro Output'!$J:$J, 1), "")</f>
        <v/>
      </c>
    </row>
    <row r="2712" spans="2:5" x14ac:dyDescent="0.2">
      <c r="B2712" s="1"/>
      <c r="E2712" s="38" t="str">
        <f>IFERROR(AVERAGEIFS('Picarro Output'!G:G, 'Picarro Output'!$B:$B, 'Uncalibrated Data'!$C2712, 'Picarro Output'!$I:$I, 0, 'Picarro Output'!$J:$J, 1), "")</f>
        <v/>
      </c>
    </row>
    <row r="2713" spans="2:5" x14ac:dyDescent="0.2">
      <c r="B2713" s="1"/>
      <c r="E2713" s="38" t="str">
        <f>IFERROR(AVERAGEIFS('Picarro Output'!G:G, 'Picarro Output'!$B:$B, 'Uncalibrated Data'!$C2713, 'Picarro Output'!$I:$I, 0, 'Picarro Output'!$J:$J, 1), "")</f>
        <v/>
      </c>
    </row>
    <row r="2714" spans="2:5" x14ac:dyDescent="0.2">
      <c r="B2714" s="1"/>
      <c r="E2714" s="38" t="str">
        <f>IFERROR(AVERAGEIFS('Picarro Output'!G:G, 'Picarro Output'!$B:$B, 'Uncalibrated Data'!$C2714, 'Picarro Output'!$I:$I, 0, 'Picarro Output'!$J:$J, 1), "")</f>
        <v/>
      </c>
    </row>
    <row r="2715" spans="2:5" x14ac:dyDescent="0.2">
      <c r="B2715" s="1"/>
      <c r="E2715" s="38" t="str">
        <f>IFERROR(AVERAGEIFS('Picarro Output'!G:G, 'Picarro Output'!$B:$B, 'Uncalibrated Data'!$C2715, 'Picarro Output'!$I:$I, 0, 'Picarro Output'!$J:$J, 1), "")</f>
        <v/>
      </c>
    </row>
    <row r="2716" spans="2:5" x14ac:dyDescent="0.2">
      <c r="B2716" s="1"/>
      <c r="E2716" s="38" t="str">
        <f>IFERROR(AVERAGEIFS('Picarro Output'!G:G, 'Picarro Output'!$B:$B, 'Uncalibrated Data'!$C2716, 'Picarro Output'!$I:$I, 0, 'Picarro Output'!$J:$J, 1), "")</f>
        <v/>
      </c>
    </row>
    <row r="2717" spans="2:5" x14ac:dyDescent="0.2">
      <c r="B2717" s="1"/>
      <c r="E2717" s="38" t="str">
        <f>IFERROR(AVERAGEIFS('Picarro Output'!G:G, 'Picarro Output'!$B:$B, 'Uncalibrated Data'!$C2717, 'Picarro Output'!$I:$I, 0, 'Picarro Output'!$J:$J, 1), "")</f>
        <v/>
      </c>
    </row>
    <row r="2718" spans="2:5" x14ac:dyDescent="0.2">
      <c r="B2718" s="1"/>
      <c r="E2718" s="38" t="str">
        <f>IFERROR(AVERAGEIFS('Picarro Output'!G:G, 'Picarro Output'!$B:$B, 'Uncalibrated Data'!$C2718, 'Picarro Output'!$I:$I, 0, 'Picarro Output'!$J:$J, 1), "")</f>
        <v/>
      </c>
    </row>
    <row r="2719" spans="2:5" x14ac:dyDescent="0.2">
      <c r="B2719" s="1"/>
      <c r="E2719" s="38" t="str">
        <f>IFERROR(AVERAGEIFS('Picarro Output'!G:G, 'Picarro Output'!$B:$B, 'Uncalibrated Data'!$C2719, 'Picarro Output'!$I:$I, 0, 'Picarro Output'!$J:$J, 1), "")</f>
        <v/>
      </c>
    </row>
    <row r="2720" spans="2:5" x14ac:dyDescent="0.2">
      <c r="B2720" s="1"/>
      <c r="E2720" s="38" t="str">
        <f>IFERROR(AVERAGEIFS('Picarro Output'!G:G, 'Picarro Output'!$B:$B, 'Uncalibrated Data'!$C2720, 'Picarro Output'!$I:$I, 0, 'Picarro Output'!$J:$J, 1), "")</f>
        <v/>
      </c>
    </row>
    <row r="2721" spans="2:5" x14ac:dyDescent="0.2">
      <c r="B2721" s="1"/>
      <c r="E2721" s="38" t="str">
        <f>IFERROR(AVERAGEIFS('Picarro Output'!G:G, 'Picarro Output'!$B:$B, 'Uncalibrated Data'!$C2721, 'Picarro Output'!$I:$I, 0, 'Picarro Output'!$J:$J, 1), "")</f>
        <v/>
      </c>
    </row>
    <row r="2722" spans="2:5" x14ac:dyDescent="0.2">
      <c r="B2722" s="1"/>
      <c r="E2722" s="38" t="str">
        <f>IFERROR(AVERAGEIFS('Picarro Output'!G:G, 'Picarro Output'!$B:$B, 'Uncalibrated Data'!$C2722, 'Picarro Output'!$I:$I, 0, 'Picarro Output'!$J:$J, 1), "")</f>
        <v/>
      </c>
    </row>
    <row r="2723" spans="2:5" x14ac:dyDescent="0.2">
      <c r="B2723" s="1"/>
      <c r="E2723" s="38" t="str">
        <f>IFERROR(AVERAGEIFS('Picarro Output'!G:G, 'Picarro Output'!$B:$B, 'Uncalibrated Data'!$C2723, 'Picarro Output'!$I:$I, 0, 'Picarro Output'!$J:$J, 1), "")</f>
        <v/>
      </c>
    </row>
    <row r="2724" spans="2:5" x14ac:dyDescent="0.2">
      <c r="B2724" s="1"/>
      <c r="E2724" s="38" t="str">
        <f>IFERROR(AVERAGEIFS('Picarro Output'!G:G, 'Picarro Output'!$B:$B, 'Uncalibrated Data'!$C2724, 'Picarro Output'!$I:$I, 0, 'Picarro Output'!$J:$J, 1), "")</f>
        <v/>
      </c>
    </row>
    <row r="2725" spans="2:5" x14ac:dyDescent="0.2">
      <c r="B2725" s="1"/>
      <c r="E2725" s="38" t="str">
        <f>IFERROR(AVERAGEIFS('Picarro Output'!G:G, 'Picarro Output'!$B:$B, 'Uncalibrated Data'!$C2725, 'Picarro Output'!$I:$I, 0, 'Picarro Output'!$J:$J, 1), "")</f>
        <v/>
      </c>
    </row>
    <row r="2726" spans="2:5" x14ac:dyDescent="0.2">
      <c r="B2726" s="1"/>
      <c r="E2726" s="38" t="str">
        <f>IFERROR(AVERAGEIFS('Picarro Output'!G:G, 'Picarro Output'!$B:$B, 'Uncalibrated Data'!$C2726, 'Picarro Output'!$I:$I, 0, 'Picarro Output'!$J:$J, 1), "")</f>
        <v/>
      </c>
    </row>
    <row r="2727" spans="2:5" x14ac:dyDescent="0.2">
      <c r="B2727" s="1"/>
      <c r="E2727" s="38" t="str">
        <f>IFERROR(AVERAGEIFS('Picarro Output'!G:G, 'Picarro Output'!$B:$B, 'Uncalibrated Data'!$C2727, 'Picarro Output'!$I:$I, 0, 'Picarro Output'!$J:$J, 1), "")</f>
        <v/>
      </c>
    </row>
    <row r="2728" spans="2:5" x14ac:dyDescent="0.2">
      <c r="B2728" s="1"/>
      <c r="E2728" s="38" t="str">
        <f>IFERROR(AVERAGEIFS('Picarro Output'!G:G, 'Picarro Output'!$B:$B, 'Uncalibrated Data'!$C2728, 'Picarro Output'!$I:$I, 0, 'Picarro Output'!$J:$J, 1), "")</f>
        <v/>
      </c>
    </row>
    <row r="2729" spans="2:5" x14ac:dyDescent="0.2">
      <c r="B2729" s="1"/>
      <c r="E2729" s="38" t="str">
        <f>IFERROR(AVERAGEIFS('Picarro Output'!G:G, 'Picarro Output'!$B:$B, 'Uncalibrated Data'!$C2729, 'Picarro Output'!$I:$I, 0, 'Picarro Output'!$J:$J, 1), "")</f>
        <v/>
      </c>
    </row>
    <row r="2730" spans="2:5" x14ac:dyDescent="0.2">
      <c r="B2730" s="1"/>
      <c r="E2730" s="38" t="str">
        <f>IFERROR(AVERAGEIFS('Picarro Output'!G:G, 'Picarro Output'!$B:$B, 'Uncalibrated Data'!$C2730, 'Picarro Output'!$I:$I, 0, 'Picarro Output'!$J:$J, 1), "")</f>
        <v/>
      </c>
    </row>
    <row r="2731" spans="2:5" x14ac:dyDescent="0.2">
      <c r="B2731" s="1"/>
      <c r="E2731" s="38" t="str">
        <f>IFERROR(AVERAGEIFS('Picarro Output'!G:G, 'Picarro Output'!$B:$B, 'Uncalibrated Data'!$C2731, 'Picarro Output'!$I:$I, 0, 'Picarro Output'!$J:$J, 1), "")</f>
        <v/>
      </c>
    </row>
    <row r="2732" spans="2:5" x14ac:dyDescent="0.2">
      <c r="B2732" s="1"/>
      <c r="E2732" s="38" t="str">
        <f>IFERROR(AVERAGEIFS('Picarro Output'!G:G, 'Picarro Output'!$B:$B, 'Uncalibrated Data'!$C2732, 'Picarro Output'!$I:$I, 0, 'Picarro Output'!$J:$J, 1), "")</f>
        <v/>
      </c>
    </row>
    <row r="2733" spans="2:5" x14ac:dyDescent="0.2">
      <c r="B2733" s="1"/>
      <c r="E2733" s="38" t="str">
        <f>IFERROR(AVERAGEIFS('Picarro Output'!G:G, 'Picarro Output'!$B:$B, 'Uncalibrated Data'!$C2733, 'Picarro Output'!$I:$I, 0, 'Picarro Output'!$J:$J, 1), "")</f>
        <v/>
      </c>
    </row>
    <row r="2734" spans="2:5" x14ac:dyDescent="0.2">
      <c r="B2734" s="1"/>
      <c r="E2734" s="38" t="str">
        <f>IFERROR(AVERAGEIFS('Picarro Output'!G:G, 'Picarro Output'!$B:$B, 'Uncalibrated Data'!$C2734, 'Picarro Output'!$I:$I, 0, 'Picarro Output'!$J:$J, 1), "")</f>
        <v/>
      </c>
    </row>
    <row r="2735" spans="2:5" x14ac:dyDescent="0.2">
      <c r="B2735" s="1"/>
      <c r="E2735" s="38" t="str">
        <f>IFERROR(AVERAGEIFS('Picarro Output'!G:G, 'Picarro Output'!$B:$B, 'Uncalibrated Data'!$C2735, 'Picarro Output'!$I:$I, 0, 'Picarro Output'!$J:$J, 1), "")</f>
        <v/>
      </c>
    </row>
    <row r="2736" spans="2:5" x14ac:dyDescent="0.2">
      <c r="B2736" s="1"/>
      <c r="E2736" s="38" t="str">
        <f>IFERROR(AVERAGEIFS('Picarro Output'!G:G, 'Picarro Output'!$B:$B, 'Uncalibrated Data'!$C2736, 'Picarro Output'!$I:$I, 0, 'Picarro Output'!$J:$J, 1), "")</f>
        <v/>
      </c>
    </row>
    <row r="2737" spans="2:5" x14ac:dyDescent="0.2">
      <c r="B2737" s="1"/>
      <c r="E2737" s="38" t="str">
        <f>IFERROR(AVERAGEIFS('Picarro Output'!G:G, 'Picarro Output'!$B:$B, 'Uncalibrated Data'!$C2737, 'Picarro Output'!$I:$I, 0, 'Picarro Output'!$J:$J, 1), "")</f>
        <v/>
      </c>
    </row>
    <row r="2738" spans="2:5" x14ac:dyDescent="0.2">
      <c r="B2738" s="1"/>
      <c r="E2738" s="38" t="str">
        <f>IFERROR(AVERAGEIFS('Picarro Output'!G:G, 'Picarro Output'!$B:$B, 'Uncalibrated Data'!$C2738, 'Picarro Output'!$I:$I, 0, 'Picarro Output'!$J:$J, 1), "")</f>
        <v/>
      </c>
    </row>
    <row r="2739" spans="2:5" x14ac:dyDescent="0.2">
      <c r="B2739" s="1"/>
      <c r="E2739" s="38" t="str">
        <f>IFERROR(AVERAGEIFS('Picarro Output'!G:G, 'Picarro Output'!$B:$B, 'Uncalibrated Data'!$C2739, 'Picarro Output'!$I:$I, 0, 'Picarro Output'!$J:$J, 1), "")</f>
        <v/>
      </c>
    </row>
    <row r="2740" spans="2:5" x14ac:dyDescent="0.2">
      <c r="B2740" s="1"/>
      <c r="E2740" s="38" t="str">
        <f>IFERROR(AVERAGEIFS('Picarro Output'!G:G, 'Picarro Output'!$B:$B, 'Uncalibrated Data'!$C2740, 'Picarro Output'!$I:$I, 0, 'Picarro Output'!$J:$J, 1), "")</f>
        <v/>
      </c>
    </row>
    <row r="2741" spans="2:5" x14ac:dyDescent="0.2">
      <c r="B2741" s="1"/>
      <c r="E2741" s="38" t="str">
        <f>IFERROR(AVERAGEIFS('Picarro Output'!G:G, 'Picarro Output'!$B:$B, 'Uncalibrated Data'!$C2741, 'Picarro Output'!$I:$I, 0, 'Picarro Output'!$J:$J, 1), "")</f>
        <v/>
      </c>
    </row>
    <row r="2742" spans="2:5" x14ac:dyDescent="0.2">
      <c r="B2742" s="1"/>
      <c r="E2742" s="38" t="str">
        <f>IFERROR(AVERAGEIFS('Picarro Output'!G:G, 'Picarro Output'!$B:$B, 'Uncalibrated Data'!$C2742, 'Picarro Output'!$I:$I, 0, 'Picarro Output'!$J:$J, 1), "")</f>
        <v/>
      </c>
    </row>
    <row r="2743" spans="2:5" x14ac:dyDescent="0.2">
      <c r="B2743" s="1"/>
      <c r="E2743" s="38" t="str">
        <f>IFERROR(AVERAGEIFS('Picarro Output'!G:G, 'Picarro Output'!$B:$B, 'Uncalibrated Data'!$C2743, 'Picarro Output'!$I:$I, 0, 'Picarro Output'!$J:$J, 1), "")</f>
        <v/>
      </c>
    </row>
    <row r="2744" spans="2:5" x14ac:dyDescent="0.2">
      <c r="B2744" s="1"/>
      <c r="E2744" s="38" t="str">
        <f>IFERROR(AVERAGEIFS('Picarro Output'!G:G, 'Picarro Output'!$B:$B, 'Uncalibrated Data'!$C2744, 'Picarro Output'!$I:$I, 0, 'Picarro Output'!$J:$J, 1), "")</f>
        <v/>
      </c>
    </row>
    <row r="2745" spans="2:5" x14ac:dyDescent="0.2">
      <c r="B2745" s="1"/>
      <c r="E2745" s="38" t="str">
        <f>IFERROR(AVERAGEIFS('Picarro Output'!G:G, 'Picarro Output'!$B:$B, 'Uncalibrated Data'!$C2745, 'Picarro Output'!$I:$I, 0, 'Picarro Output'!$J:$J, 1), "")</f>
        <v/>
      </c>
    </row>
    <row r="2746" spans="2:5" x14ac:dyDescent="0.2">
      <c r="B2746" s="1"/>
      <c r="E2746" s="38" t="str">
        <f>IFERROR(AVERAGEIFS('Picarro Output'!G:G, 'Picarro Output'!$B:$B, 'Uncalibrated Data'!$C2746, 'Picarro Output'!$I:$I, 0, 'Picarro Output'!$J:$J, 1), "")</f>
        <v/>
      </c>
    </row>
    <row r="2747" spans="2:5" x14ac:dyDescent="0.2">
      <c r="B2747" s="1"/>
      <c r="E2747" s="38" t="str">
        <f>IFERROR(AVERAGEIFS('Picarro Output'!G:G, 'Picarro Output'!$B:$B, 'Uncalibrated Data'!$C2747, 'Picarro Output'!$I:$I, 0, 'Picarro Output'!$J:$J, 1), "")</f>
        <v/>
      </c>
    </row>
    <row r="2748" spans="2:5" x14ac:dyDescent="0.2">
      <c r="B2748" s="1"/>
      <c r="E2748" s="38" t="str">
        <f>IFERROR(AVERAGEIFS('Picarro Output'!G:G, 'Picarro Output'!$B:$B, 'Uncalibrated Data'!$C2748, 'Picarro Output'!$I:$I, 0, 'Picarro Output'!$J:$J, 1), "")</f>
        <v/>
      </c>
    </row>
    <row r="2749" spans="2:5" x14ac:dyDescent="0.2">
      <c r="B2749" s="1"/>
      <c r="E2749" s="38" t="str">
        <f>IFERROR(AVERAGEIFS('Picarro Output'!G:G, 'Picarro Output'!$B:$B, 'Uncalibrated Data'!$C2749, 'Picarro Output'!$I:$I, 0, 'Picarro Output'!$J:$J, 1), "")</f>
        <v/>
      </c>
    </row>
    <row r="2750" spans="2:5" x14ac:dyDescent="0.2">
      <c r="B2750" s="1"/>
      <c r="E2750" s="38" t="str">
        <f>IFERROR(AVERAGEIFS('Picarro Output'!G:G, 'Picarro Output'!$B:$B, 'Uncalibrated Data'!$C2750, 'Picarro Output'!$I:$I, 0, 'Picarro Output'!$J:$J, 1), "")</f>
        <v/>
      </c>
    </row>
    <row r="2751" spans="2:5" x14ac:dyDescent="0.2">
      <c r="B2751" s="1"/>
      <c r="E2751" s="38" t="str">
        <f>IFERROR(AVERAGEIFS('Picarro Output'!G:G, 'Picarro Output'!$B:$B, 'Uncalibrated Data'!$C2751, 'Picarro Output'!$I:$I, 0, 'Picarro Output'!$J:$J, 1), "")</f>
        <v/>
      </c>
    </row>
    <row r="2752" spans="2:5" x14ac:dyDescent="0.2">
      <c r="B2752" s="1"/>
      <c r="E2752" s="38" t="str">
        <f>IFERROR(AVERAGEIFS('Picarro Output'!G:G, 'Picarro Output'!$B:$B, 'Uncalibrated Data'!$C2752, 'Picarro Output'!$I:$I, 0, 'Picarro Output'!$J:$J, 1), "")</f>
        <v/>
      </c>
    </row>
    <row r="2753" spans="2:5" x14ac:dyDescent="0.2">
      <c r="B2753" s="1"/>
      <c r="E2753" s="38" t="str">
        <f>IFERROR(AVERAGEIFS('Picarro Output'!G:G, 'Picarro Output'!$B:$B, 'Uncalibrated Data'!$C2753, 'Picarro Output'!$I:$I, 0, 'Picarro Output'!$J:$J, 1), "")</f>
        <v/>
      </c>
    </row>
    <row r="2754" spans="2:5" x14ac:dyDescent="0.2">
      <c r="B2754" s="1"/>
      <c r="E2754" s="38" t="str">
        <f>IFERROR(AVERAGEIFS('Picarro Output'!G:G, 'Picarro Output'!$B:$B, 'Uncalibrated Data'!$C2754, 'Picarro Output'!$I:$I, 0, 'Picarro Output'!$J:$J, 1), "")</f>
        <v/>
      </c>
    </row>
    <row r="2755" spans="2:5" x14ac:dyDescent="0.2">
      <c r="B2755" s="1"/>
      <c r="E2755" s="38" t="str">
        <f>IFERROR(AVERAGEIFS('Picarro Output'!G:G, 'Picarro Output'!$B:$B, 'Uncalibrated Data'!$C2755, 'Picarro Output'!$I:$I, 0, 'Picarro Output'!$J:$J, 1), "")</f>
        <v/>
      </c>
    </row>
    <row r="2756" spans="2:5" x14ac:dyDescent="0.2">
      <c r="B2756" s="1"/>
      <c r="E2756" s="38" t="str">
        <f>IFERROR(AVERAGEIFS('Picarro Output'!G:G, 'Picarro Output'!$B:$B, 'Uncalibrated Data'!$C2756, 'Picarro Output'!$I:$I, 0, 'Picarro Output'!$J:$J, 1), "")</f>
        <v/>
      </c>
    </row>
    <row r="2757" spans="2:5" x14ac:dyDescent="0.2">
      <c r="B2757" s="1"/>
      <c r="E2757" s="38" t="str">
        <f>IFERROR(AVERAGEIFS('Picarro Output'!G:G, 'Picarro Output'!$B:$B, 'Uncalibrated Data'!$C2757, 'Picarro Output'!$I:$I, 0, 'Picarro Output'!$J:$J, 1), "")</f>
        <v/>
      </c>
    </row>
    <row r="2758" spans="2:5" x14ac:dyDescent="0.2">
      <c r="B2758" s="1"/>
      <c r="E2758" s="38" t="str">
        <f>IFERROR(AVERAGEIFS('Picarro Output'!G:G, 'Picarro Output'!$B:$B, 'Uncalibrated Data'!$C2758, 'Picarro Output'!$I:$I, 0, 'Picarro Output'!$J:$J, 1), "")</f>
        <v/>
      </c>
    </row>
    <row r="2759" spans="2:5" x14ac:dyDescent="0.2">
      <c r="B2759" s="1"/>
      <c r="E2759" s="38" t="str">
        <f>IFERROR(AVERAGEIFS('Picarro Output'!G:G, 'Picarro Output'!$B:$B, 'Uncalibrated Data'!$C2759, 'Picarro Output'!$I:$I, 0, 'Picarro Output'!$J:$J, 1), "")</f>
        <v/>
      </c>
    </row>
    <row r="2760" spans="2:5" x14ac:dyDescent="0.2">
      <c r="B2760" s="1"/>
      <c r="E2760" s="38" t="str">
        <f>IFERROR(AVERAGEIFS('Picarro Output'!G:G, 'Picarro Output'!$B:$B, 'Uncalibrated Data'!$C2760, 'Picarro Output'!$I:$I, 0, 'Picarro Output'!$J:$J, 1), "")</f>
        <v/>
      </c>
    </row>
    <row r="2761" spans="2:5" x14ac:dyDescent="0.2">
      <c r="B2761" s="1"/>
      <c r="E2761" s="38" t="str">
        <f>IFERROR(AVERAGEIFS('Picarro Output'!G:G, 'Picarro Output'!$B:$B, 'Uncalibrated Data'!$C2761, 'Picarro Output'!$I:$I, 0, 'Picarro Output'!$J:$J, 1), "")</f>
        <v/>
      </c>
    </row>
    <row r="2762" spans="2:5" x14ac:dyDescent="0.2">
      <c r="B2762" s="1"/>
      <c r="E2762" s="38" t="str">
        <f>IFERROR(AVERAGEIFS('Picarro Output'!G:G, 'Picarro Output'!$B:$B, 'Uncalibrated Data'!$C2762, 'Picarro Output'!$I:$I, 0, 'Picarro Output'!$J:$J, 1), "")</f>
        <v/>
      </c>
    </row>
    <row r="2763" spans="2:5" x14ac:dyDescent="0.2">
      <c r="B2763" s="1"/>
      <c r="E2763" s="38" t="str">
        <f>IFERROR(AVERAGEIFS('Picarro Output'!G:G, 'Picarro Output'!$B:$B, 'Uncalibrated Data'!$C2763, 'Picarro Output'!$I:$I, 0, 'Picarro Output'!$J:$J, 1), "")</f>
        <v/>
      </c>
    </row>
    <row r="2764" spans="2:5" x14ac:dyDescent="0.2">
      <c r="B2764" s="1"/>
      <c r="E2764" s="38" t="str">
        <f>IFERROR(AVERAGEIFS('Picarro Output'!G:G, 'Picarro Output'!$B:$B, 'Uncalibrated Data'!$C2764, 'Picarro Output'!$I:$I, 0, 'Picarro Output'!$J:$J, 1), "")</f>
        <v/>
      </c>
    </row>
    <row r="2765" spans="2:5" x14ac:dyDescent="0.2">
      <c r="B2765" s="1"/>
      <c r="E2765" s="38" t="str">
        <f>IFERROR(AVERAGEIFS('Picarro Output'!G:G, 'Picarro Output'!$B:$B, 'Uncalibrated Data'!$C2765, 'Picarro Output'!$I:$I, 0, 'Picarro Output'!$J:$J, 1), "")</f>
        <v/>
      </c>
    </row>
    <row r="2766" spans="2:5" x14ac:dyDescent="0.2">
      <c r="B2766" s="1"/>
      <c r="E2766" s="38" t="str">
        <f>IFERROR(AVERAGEIFS('Picarro Output'!G:G, 'Picarro Output'!$B:$B, 'Uncalibrated Data'!$C2766, 'Picarro Output'!$I:$I, 0, 'Picarro Output'!$J:$J, 1), "")</f>
        <v/>
      </c>
    </row>
    <row r="2767" spans="2:5" x14ac:dyDescent="0.2">
      <c r="B2767" s="1"/>
      <c r="E2767" s="38" t="str">
        <f>IFERROR(AVERAGEIFS('Picarro Output'!G:G, 'Picarro Output'!$B:$B, 'Uncalibrated Data'!$C2767, 'Picarro Output'!$I:$I, 0, 'Picarro Output'!$J:$J, 1), "")</f>
        <v/>
      </c>
    </row>
    <row r="2768" spans="2:5" x14ac:dyDescent="0.2">
      <c r="B2768" s="1"/>
      <c r="E2768" s="38" t="str">
        <f>IFERROR(AVERAGEIFS('Picarro Output'!G:G, 'Picarro Output'!$B:$B, 'Uncalibrated Data'!$C2768, 'Picarro Output'!$I:$I, 0, 'Picarro Output'!$J:$J, 1), "")</f>
        <v/>
      </c>
    </row>
    <row r="2769" spans="2:5" x14ac:dyDescent="0.2">
      <c r="B2769" s="1"/>
      <c r="E2769" s="38" t="str">
        <f>IFERROR(AVERAGEIFS('Picarro Output'!G:G, 'Picarro Output'!$B:$B, 'Uncalibrated Data'!$C2769, 'Picarro Output'!$I:$I, 0, 'Picarro Output'!$J:$J, 1), "")</f>
        <v/>
      </c>
    </row>
    <row r="2770" spans="2:5" x14ac:dyDescent="0.2">
      <c r="B2770" s="1"/>
      <c r="E2770" s="38" t="str">
        <f>IFERROR(AVERAGEIFS('Picarro Output'!G:G, 'Picarro Output'!$B:$B, 'Uncalibrated Data'!$C2770, 'Picarro Output'!$I:$I, 0, 'Picarro Output'!$J:$J, 1), "")</f>
        <v/>
      </c>
    </row>
    <row r="2771" spans="2:5" x14ac:dyDescent="0.2">
      <c r="B2771" s="1"/>
      <c r="E2771" s="38" t="str">
        <f>IFERROR(AVERAGEIFS('Picarro Output'!G:G, 'Picarro Output'!$B:$B, 'Uncalibrated Data'!$C2771, 'Picarro Output'!$I:$I, 0, 'Picarro Output'!$J:$J, 1), "")</f>
        <v/>
      </c>
    </row>
    <row r="2772" spans="2:5" x14ac:dyDescent="0.2">
      <c r="B2772" s="1"/>
      <c r="E2772" s="38" t="str">
        <f>IFERROR(AVERAGEIFS('Picarro Output'!G:G, 'Picarro Output'!$B:$B, 'Uncalibrated Data'!$C2772, 'Picarro Output'!$I:$I, 0, 'Picarro Output'!$J:$J, 1), "")</f>
        <v/>
      </c>
    </row>
    <row r="2773" spans="2:5" x14ac:dyDescent="0.2">
      <c r="B2773" s="1"/>
      <c r="E2773" s="38" t="str">
        <f>IFERROR(AVERAGEIFS('Picarro Output'!G:G, 'Picarro Output'!$B:$B, 'Uncalibrated Data'!$C2773, 'Picarro Output'!$I:$I, 0, 'Picarro Output'!$J:$J, 1), "")</f>
        <v/>
      </c>
    </row>
    <row r="2774" spans="2:5" x14ac:dyDescent="0.2">
      <c r="B2774" s="1"/>
      <c r="E2774" s="38" t="str">
        <f>IFERROR(AVERAGEIFS('Picarro Output'!G:G, 'Picarro Output'!$B:$B, 'Uncalibrated Data'!$C2774, 'Picarro Output'!$I:$I, 0, 'Picarro Output'!$J:$J, 1), "")</f>
        <v/>
      </c>
    </row>
    <row r="2775" spans="2:5" x14ac:dyDescent="0.2">
      <c r="B2775" s="1"/>
      <c r="E2775" s="38" t="str">
        <f>IFERROR(AVERAGEIFS('Picarro Output'!G:G, 'Picarro Output'!$B:$B, 'Uncalibrated Data'!$C2775, 'Picarro Output'!$I:$I, 0, 'Picarro Output'!$J:$J, 1), "")</f>
        <v/>
      </c>
    </row>
    <row r="2776" spans="2:5" x14ac:dyDescent="0.2">
      <c r="B2776" s="1"/>
      <c r="E2776" s="38" t="str">
        <f>IFERROR(AVERAGEIFS('Picarro Output'!G:G, 'Picarro Output'!$B:$B, 'Uncalibrated Data'!$C2776, 'Picarro Output'!$I:$I, 0, 'Picarro Output'!$J:$J, 1), "")</f>
        <v/>
      </c>
    </row>
    <row r="2777" spans="2:5" x14ac:dyDescent="0.2">
      <c r="B2777" s="1"/>
      <c r="E2777" s="38" t="str">
        <f>IFERROR(AVERAGEIFS('Picarro Output'!G:G, 'Picarro Output'!$B:$B, 'Uncalibrated Data'!$C2777, 'Picarro Output'!$I:$I, 0, 'Picarro Output'!$J:$J, 1), "")</f>
        <v/>
      </c>
    </row>
    <row r="2778" spans="2:5" x14ac:dyDescent="0.2">
      <c r="B2778" s="1"/>
      <c r="E2778" s="38" t="str">
        <f>IFERROR(AVERAGEIFS('Picarro Output'!G:G, 'Picarro Output'!$B:$B, 'Uncalibrated Data'!$C2778, 'Picarro Output'!$I:$I, 0, 'Picarro Output'!$J:$J, 1), "")</f>
        <v/>
      </c>
    </row>
    <row r="2779" spans="2:5" x14ac:dyDescent="0.2">
      <c r="B2779" s="1"/>
      <c r="E2779" s="38" t="str">
        <f>IFERROR(AVERAGEIFS('Picarro Output'!G:G, 'Picarro Output'!$B:$B, 'Uncalibrated Data'!$C2779, 'Picarro Output'!$I:$I, 0, 'Picarro Output'!$J:$J, 1), "")</f>
        <v/>
      </c>
    </row>
    <row r="2780" spans="2:5" x14ac:dyDescent="0.2">
      <c r="B2780" s="1"/>
      <c r="E2780" s="38" t="str">
        <f>IFERROR(AVERAGEIFS('Picarro Output'!G:G, 'Picarro Output'!$B:$B, 'Uncalibrated Data'!$C2780, 'Picarro Output'!$I:$I, 0, 'Picarro Output'!$J:$J, 1), "")</f>
        <v/>
      </c>
    </row>
    <row r="2781" spans="2:5" x14ac:dyDescent="0.2">
      <c r="B2781" s="1"/>
      <c r="E2781" s="38" t="str">
        <f>IFERROR(AVERAGEIFS('Picarro Output'!G:G, 'Picarro Output'!$B:$B, 'Uncalibrated Data'!$C2781, 'Picarro Output'!$I:$I, 0, 'Picarro Output'!$J:$J, 1), "")</f>
        <v/>
      </c>
    </row>
    <row r="2782" spans="2:5" x14ac:dyDescent="0.2">
      <c r="B2782" s="1"/>
      <c r="E2782" s="38" t="str">
        <f>IFERROR(AVERAGEIFS('Picarro Output'!G:G, 'Picarro Output'!$B:$B, 'Uncalibrated Data'!$C2782, 'Picarro Output'!$I:$I, 0, 'Picarro Output'!$J:$J, 1), "")</f>
        <v/>
      </c>
    </row>
    <row r="2783" spans="2:5" x14ac:dyDescent="0.2">
      <c r="B2783" s="1"/>
      <c r="E2783" s="38" t="str">
        <f>IFERROR(AVERAGEIFS('Picarro Output'!G:G, 'Picarro Output'!$B:$B, 'Uncalibrated Data'!$C2783, 'Picarro Output'!$I:$I, 0, 'Picarro Output'!$J:$J, 1), "")</f>
        <v/>
      </c>
    </row>
    <row r="2784" spans="2:5" x14ac:dyDescent="0.2">
      <c r="B2784" s="1"/>
      <c r="E2784" s="38" t="str">
        <f>IFERROR(AVERAGEIFS('Picarro Output'!G:G, 'Picarro Output'!$B:$B, 'Uncalibrated Data'!$C2784, 'Picarro Output'!$I:$I, 0, 'Picarro Output'!$J:$J, 1), "")</f>
        <v/>
      </c>
    </row>
    <row r="2785" spans="2:5" x14ac:dyDescent="0.2">
      <c r="B2785" s="1"/>
      <c r="E2785" s="38" t="str">
        <f>IFERROR(AVERAGEIFS('Picarro Output'!G:G, 'Picarro Output'!$B:$B, 'Uncalibrated Data'!$C2785, 'Picarro Output'!$I:$I, 0, 'Picarro Output'!$J:$J, 1), "")</f>
        <v/>
      </c>
    </row>
    <row r="2786" spans="2:5" x14ac:dyDescent="0.2">
      <c r="B2786" s="1"/>
      <c r="E2786" s="38" t="str">
        <f>IFERROR(AVERAGEIFS('Picarro Output'!G:G, 'Picarro Output'!$B:$B, 'Uncalibrated Data'!$C2786, 'Picarro Output'!$I:$I, 0, 'Picarro Output'!$J:$J, 1), "")</f>
        <v/>
      </c>
    </row>
    <row r="2787" spans="2:5" x14ac:dyDescent="0.2">
      <c r="B2787" s="1"/>
      <c r="E2787" s="38" t="str">
        <f>IFERROR(AVERAGEIFS('Picarro Output'!G:G, 'Picarro Output'!$B:$B, 'Uncalibrated Data'!$C2787, 'Picarro Output'!$I:$I, 0, 'Picarro Output'!$J:$J, 1), "")</f>
        <v/>
      </c>
    </row>
    <row r="2788" spans="2:5" x14ac:dyDescent="0.2">
      <c r="B2788" s="1"/>
      <c r="E2788" s="38" t="str">
        <f>IFERROR(AVERAGEIFS('Picarro Output'!G:G, 'Picarro Output'!$B:$B, 'Uncalibrated Data'!$C2788, 'Picarro Output'!$I:$I, 0, 'Picarro Output'!$J:$J, 1), "")</f>
        <v/>
      </c>
    </row>
    <row r="2789" spans="2:5" x14ac:dyDescent="0.2">
      <c r="B2789" s="1"/>
      <c r="E2789" s="38" t="str">
        <f>IFERROR(AVERAGEIFS('Picarro Output'!G:G, 'Picarro Output'!$B:$B, 'Uncalibrated Data'!$C2789, 'Picarro Output'!$I:$I, 0, 'Picarro Output'!$J:$J, 1), "")</f>
        <v/>
      </c>
    </row>
    <row r="2790" spans="2:5" x14ac:dyDescent="0.2">
      <c r="B2790" s="1"/>
      <c r="E2790" s="38" t="str">
        <f>IFERROR(AVERAGEIFS('Picarro Output'!G:G, 'Picarro Output'!$B:$B, 'Uncalibrated Data'!$C2790, 'Picarro Output'!$I:$I, 0, 'Picarro Output'!$J:$J, 1), "")</f>
        <v/>
      </c>
    </row>
    <row r="2791" spans="2:5" x14ac:dyDescent="0.2">
      <c r="B2791" s="1"/>
      <c r="E2791" s="38" t="str">
        <f>IFERROR(AVERAGEIFS('Picarro Output'!G:G, 'Picarro Output'!$B:$B, 'Uncalibrated Data'!$C2791, 'Picarro Output'!$I:$I, 0, 'Picarro Output'!$J:$J, 1), "")</f>
        <v/>
      </c>
    </row>
    <row r="2792" spans="2:5" x14ac:dyDescent="0.2">
      <c r="B2792" s="1"/>
      <c r="E2792" s="38" t="str">
        <f>IFERROR(AVERAGEIFS('Picarro Output'!G:G, 'Picarro Output'!$B:$B, 'Uncalibrated Data'!$C2792, 'Picarro Output'!$I:$I, 0, 'Picarro Output'!$J:$J, 1), "")</f>
        <v/>
      </c>
    </row>
    <row r="2793" spans="2:5" x14ac:dyDescent="0.2">
      <c r="B2793" s="1"/>
      <c r="E2793" s="38" t="str">
        <f>IFERROR(AVERAGEIFS('Picarro Output'!G:G, 'Picarro Output'!$B:$B, 'Uncalibrated Data'!$C2793, 'Picarro Output'!$I:$I, 0, 'Picarro Output'!$J:$J, 1), "")</f>
        <v/>
      </c>
    </row>
    <row r="2794" spans="2:5" x14ac:dyDescent="0.2">
      <c r="B2794" s="1"/>
      <c r="E2794" s="38" t="str">
        <f>IFERROR(AVERAGEIFS('Picarro Output'!G:G, 'Picarro Output'!$B:$B, 'Uncalibrated Data'!$C2794, 'Picarro Output'!$I:$I, 0, 'Picarro Output'!$J:$J, 1), "")</f>
        <v/>
      </c>
    </row>
    <row r="2795" spans="2:5" x14ac:dyDescent="0.2">
      <c r="B2795" s="1"/>
      <c r="E2795" s="38" t="str">
        <f>IFERROR(AVERAGEIFS('Picarro Output'!G:G, 'Picarro Output'!$B:$B, 'Uncalibrated Data'!$C2795, 'Picarro Output'!$I:$I, 0, 'Picarro Output'!$J:$J, 1), "")</f>
        <v/>
      </c>
    </row>
    <row r="2796" spans="2:5" x14ac:dyDescent="0.2">
      <c r="B2796" s="1"/>
      <c r="E2796" s="38" t="str">
        <f>IFERROR(AVERAGEIFS('Picarro Output'!G:G, 'Picarro Output'!$B:$B, 'Uncalibrated Data'!$C2796, 'Picarro Output'!$I:$I, 0, 'Picarro Output'!$J:$J, 1), "")</f>
        <v/>
      </c>
    </row>
    <row r="2797" spans="2:5" x14ac:dyDescent="0.2">
      <c r="B2797" s="1"/>
      <c r="E2797" s="38" t="str">
        <f>IFERROR(AVERAGEIFS('Picarro Output'!G:G, 'Picarro Output'!$B:$B, 'Uncalibrated Data'!$C2797, 'Picarro Output'!$I:$I, 0, 'Picarro Output'!$J:$J, 1), "")</f>
        <v/>
      </c>
    </row>
    <row r="2798" spans="2:5" x14ac:dyDescent="0.2">
      <c r="B2798" s="1"/>
      <c r="E2798" s="38" t="str">
        <f>IFERROR(AVERAGEIFS('Picarro Output'!G:G, 'Picarro Output'!$B:$B, 'Uncalibrated Data'!$C2798, 'Picarro Output'!$I:$I, 0, 'Picarro Output'!$J:$J, 1), "")</f>
        <v/>
      </c>
    </row>
    <row r="2799" spans="2:5" x14ac:dyDescent="0.2">
      <c r="B2799" s="1"/>
      <c r="E2799" s="38" t="str">
        <f>IFERROR(AVERAGEIFS('Picarro Output'!G:G, 'Picarro Output'!$B:$B, 'Uncalibrated Data'!$C2799, 'Picarro Output'!$I:$I, 0, 'Picarro Output'!$J:$J, 1), "")</f>
        <v/>
      </c>
    </row>
    <row r="2800" spans="2:5" x14ac:dyDescent="0.2">
      <c r="B2800" s="1"/>
      <c r="E2800" s="38" t="str">
        <f>IFERROR(AVERAGEIFS('Picarro Output'!G:G, 'Picarro Output'!$B:$B, 'Uncalibrated Data'!$C2800, 'Picarro Output'!$I:$I, 0, 'Picarro Output'!$J:$J, 1), "")</f>
        <v/>
      </c>
    </row>
    <row r="2801" spans="2:5" x14ac:dyDescent="0.2">
      <c r="B2801" s="1"/>
      <c r="E2801" s="38" t="str">
        <f>IFERROR(AVERAGEIFS('Picarro Output'!G:G, 'Picarro Output'!$B:$B, 'Uncalibrated Data'!$C2801, 'Picarro Output'!$I:$I, 0, 'Picarro Output'!$J:$J, 1), "")</f>
        <v/>
      </c>
    </row>
    <row r="2802" spans="2:5" x14ac:dyDescent="0.2">
      <c r="B2802" s="1"/>
      <c r="E2802" s="38" t="str">
        <f>IFERROR(AVERAGEIFS('Picarro Output'!G:G, 'Picarro Output'!$B:$B, 'Uncalibrated Data'!$C2802, 'Picarro Output'!$I:$I, 0, 'Picarro Output'!$J:$J, 1), "")</f>
        <v/>
      </c>
    </row>
    <row r="2803" spans="2:5" x14ac:dyDescent="0.2">
      <c r="B2803" s="1"/>
      <c r="E2803" s="38" t="str">
        <f>IFERROR(AVERAGEIFS('Picarro Output'!G:G, 'Picarro Output'!$B:$B, 'Uncalibrated Data'!$C2803, 'Picarro Output'!$I:$I, 0, 'Picarro Output'!$J:$J, 1), "")</f>
        <v/>
      </c>
    </row>
    <row r="2804" spans="2:5" x14ac:dyDescent="0.2">
      <c r="B2804" s="1"/>
      <c r="E2804" s="38" t="str">
        <f>IFERROR(AVERAGEIFS('Picarro Output'!G:G, 'Picarro Output'!$B:$B, 'Uncalibrated Data'!$C2804, 'Picarro Output'!$I:$I, 0, 'Picarro Output'!$J:$J, 1), "")</f>
        <v/>
      </c>
    </row>
    <row r="2805" spans="2:5" x14ac:dyDescent="0.2">
      <c r="B2805" s="1"/>
      <c r="E2805" s="38" t="str">
        <f>IFERROR(AVERAGEIFS('Picarro Output'!G:G, 'Picarro Output'!$B:$B, 'Uncalibrated Data'!$C2805, 'Picarro Output'!$I:$I, 0, 'Picarro Output'!$J:$J, 1), "")</f>
        <v/>
      </c>
    </row>
    <row r="2806" spans="2:5" x14ac:dyDescent="0.2">
      <c r="B2806" s="1"/>
      <c r="E2806" s="38" t="str">
        <f>IFERROR(AVERAGEIFS('Picarro Output'!G:G, 'Picarro Output'!$B:$B, 'Uncalibrated Data'!$C2806, 'Picarro Output'!$I:$I, 0, 'Picarro Output'!$J:$J, 1), "")</f>
        <v/>
      </c>
    </row>
    <row r="2807" spans="2:5" x14ac:dyDescent="0.2">
      <c r="B2807" s="1"/>
      <c r="E2807" s="38" t="str">
        <f>IFERROR(AVERAGEIFS('Picarro Output'!G:G, 'Picarro Output'!$B:$B, 'Uncalibrated Data'!$C2807, 'Picarro Output'!$I:$I, 0, 'Picarro Output'!$J:$J, 1), "")</f>
        <v/>
      </c>
    </row>
    <row r="2808" spans="2:5" x14ac:dyDescent="0.2">
      <c r="B2808" s="1"/>
      <c r="E2808" s="38" t="str">
        <f>IFERROR(AVERAGEIFS('Picarro Output'!G:G, 'Picarro Output'!$B:$B, 'Uncalibrated Data'!$C2808, 'Picarro Output'!$I:$I, 0, 'Picarro Output'!$J:$J, 1), "")</f>
        <v/>
      </c>
    </row>
    <row r="2809" spans="2:5" x14ac:dyDescent="0.2">
      <c r="B2809" s="1"/>
      <c r="E2809" s="38" t="str">
        <f>IFERROR(AVERAGEIFS('Picarro Output'!G:G, 'Picarro Output'!$B:$B, 'Uncalibrated Data'!$C2809, 'Picarro Output'!$I:$I, 0, 'Picarro Output'!$J:$J, 1), "")</f>
        <v/>
      </c>
    </row>
    <row r="2810" spans="2:5" x14ac:dyDescent="0.2">
      <c r="B2810" s="1"/>
      <c r="E2810" s="38" t="str">
        <f>IFERROR(AVERAGEIFS('Picarro Output'!G:G, 'Picarro Output'!$B:$B, 'Uncalibrated Data'!$C2810, 'Picarro Output'!$I:$I, 0, 'Picarro Output'!$J:$J, 1), "")</f>
        <v/>
      </c>
    </row>
    <row r="2811" spans="2:5" x14ac:dyDescent="0.2">
      <c r="B2811" s="1"/>
      <c r="E2811" s="38" t="str">
        <f>IFERROR(AVERAGEIFS('Picarro Output'!G:G, 'Picarro Output'!$B:$B, 'Uncalibrated Data'!$C2811, 'Picarro Output'!$I:$I, 0, 'Picarro Output'!$J:$J, 1), "")</f>
        <v/>
      </c>
    </row>
    <row r="2812" spans="2:5" x14ac:dyDescent="0.2">
      <c r="B2812" s="1"/>
      <c r="E2812" s="38" t="str">
        <f>IFERROR(AVERAGEIFS('Picarro Output'!G:G, 'Picarro Output'!$B:$B, 'Uncalibrated Data'!$C2812, 'Picarro Output'!$I:$I, 0, 'Picarro Output'!$J:$J, 1), "")</f>
        <v/>
      </c>
    </row>
    <row r="2813" spans="2:5" x14ac:dyDescent="0.2">
      <c r="B2813" s="1"/>
      <c r="E2813" s="38" t="str">
        <f>IFERROR(AVERAGEIFS('Picarro Output'!G:G, 'Picarro Output'!$B:$B, 'Uncalibrated Data'!$C2813, 'Picarro Output'!$I:$I, 0, 'Picarro Output'!$J:$J, 1), "")</f>
        <v/>
      </c>
    </row>
    <row r="2814" spans="2:5" x14ac:dyDescent="0.2">
      <c r="B2814" s="1"/>
      <c r="E2814" s="38" t="str">
        <f>IFERROR(AVERAGEIFS('Picarro Output'!G:G, 'Picarro Output'!$B:$B, 'Uncalibrated Data'!$C2814, 'Picarro Output'!$I:$I, 0, 'Picarro Output'!$J:$J, 1), "")</f>
        <v/>
      </c>
    </row>
    <row r="2815" spans="2:5" x14ac:dyDescent="0.2">
      <c r="B2815" s="1"/>
      <c r="E2815" s="38" t="str">
        <f>IFERROR(AVERAGEIFS('Picarro Output'!G:G, 'Picarro Output'!$B:$B, 'Uncalibrated Data'!$C2815, 'Picarro Output'!$I:$I, 0, 'Picarro Output'!$J:$J, 1), "")</f>
        <v/>
      </c>
    </row>
    <row r="2816" spans="2:5" x14ac:dyDescent="0.2">
      <c r="B2816" s="1"/>
      <c r="E2816" s="38" t="str">
        <f>IFERROR(AVERAGEIFS('Picarro Output'!G:G, 'Picarro Output'!$B:$B, 'Uncalibrated Data'!$C2816, 'Picarro Output'!$I:$I, 0, 'Picarro Output'!$J:$J, 1), "")</f>
        <v/>
      </c>
    </row>
    <row r="2817" spans="2:5" x14ac:dyDescent="0.2">
      <c r="B2817" s="1"/>
      <c r="E2817" s="38" t="str">
        <f>IFERROR(AVERAGEIFS('Picarro Output'!G:G, 'Picarro Output'!$B:$B, 'Uncalibrated Data'!$C2817, 'Picarro Output'!$I:$I, 0, 'Picarro Output'!$J:$J, 1), "")</f>
        <v/>
      </c>
    </row>
    <row r="2818" spans="2:5" x14ac:dyDescent="0.2">
      <c r="B2818" s="1"/>
      <c r="E2818" s="38" t="str">
        <f>IFERROR(AVERAGEIFS('Picarro Output'!G:G, 'Picarro Output'!$B:$B, 'Uncalibrated Data'!$C2818, 'Picarro Output'!$I:$I, 0, 'Picarro Output'!$J:$J, 1), "")</f>
        <v/>
      </c>
    </row>
    <row r="2819" spans="2:5" x14ac:dyDescent="0.2">
      <c r="B2819" s="1"/>
      <c r="E2819" s="38" t="str">
        <f>IFERROR(AVERAGEIFS('Picarro Output'!G:G, 'Picarro Output'!$B:$B, 'Uncalibrated Data'!$C2819, 'Picarro Output'!$I:$I, 0, 'Picarro Output'!$J:$J, 1), "")</f>
        <v/>
      </c>
    </row>
    <row r="2820" spans="2:5" x14ac:dyDescent="0.2">
      <c r="B2820" s="1"/>
      <c r="E2820" s="38" t="str">
        <f>IFERROR(AVERAGEIFS('Picarro Output'!G:G, 'Picarro Output'!$B:$B, 'Uncalibrated Data'!$C2820, 'Picarro Output'!$I:$I, 0, 'Picarro Output'!$J:$J, 1), "")</f>
        <v/>
      </c>
    </row>
    <row r="2821" spans="2:5" x14ac:dyDescent="0.2">
      <c r="B2821" s="1"/>
      <c r="E2821" s="38" t="str">
        <f>IFERROR(AVERAGEIFS('Picarro Output'!G:G, 'Picarro Output'!$B:$B, 'Uncalibrated Data'!$C2821, 'Picarro Output'!$I:$I, 0, 'Picarro Output'!$J:$J, 1), "")</f>
        <v/>
      </c>
    </row>
    <row r="2822" spans="2:5" x14ac:dyDescent="0.2">
      <c r="B2822" s="1"/>
      <c r="E2822" s="38" t="str">
        <f>IFERROR(AVERAGEIFS('Picarro Output'!G:G, 'Picarro Output'!$B:$B, 'Uncalibrated Data'!$C2822, 'Picarro Output'!$I:$I, 0, 'Picarro Output'!$J:$J, 1), "")</f>
        <v/>
      </c>
    </row>
    <row r="2823" spans="2:5" x14ac:dyDescent="0.2">
      <c r="B2823" s="1"/>
      <c r="E2823" s="38" t="str">
        <f>IFERROR(AVERAGEIFS('Picarro Output'!G:G, 'Picarro Output'!$B:$B, 'Uncalibrated Data'!$C2823, 'Picarro Output'!$I:$I, 0, 'Picarro Output'!$J:$J, 1), "")</f>
        <v/>
      </c>
    </row>
    <row r="2824" spans="2:5" x14ac:dyDescent="0.2">
      <c r="B2824" s="1"/>
      <c r="E2824" s="38" t="str">
        <f>IFERROR(AVERAGEIFS('Picarro Output'!G:G, 'Picarro Output'!$B:$B, 'Uncalibrated Data'!$C2824, 'Picarro Output'!$I:$I, 0, 'Picarro Output'!$J:$J, 1), "")</f>
        <v/>
      </c>
    </row>
    <row r="2825" spans="2:5" x14ac:dyDescent="0.2">
      <c r="B2825" s="1"/>
      <c r="E2825" s="38" t="str">
        <f>IFERROR(AVERAGEIFS('Picarro Output'!G:G, 'Picarro Output'!$B:$B, 'Uncalibrated Data'!$C2825, 'Picarro Output'!$I:$I, 0, 'Picarro Output'!$J:$J, 1), "")</f>
        <v/>
      </c>
    </row>
    <row r="2826" spans="2:5" x14ac:dyDescent="0.2">
      <c r="B2826" s="1"/>
      <c r="E2826" s="38" t="str">
        <f>IFERROR(AVERAGEIFS('Picarro Output'!G:G, 'Picarro Output'!$B:$B, 'Uncalibrated Data'!$C2826, 'Picarro Output'!$I:$I, 0, 'Picarro Output'!$J:$J, 1), "")</f>
        <v/>
      </c>
    </row>
    <row r="2827" spans="2:5" x14ac:dyDescent="0.2">
      <c r="B2827" s="1"/>
      <c r="E2827" s="38" t="str">
        <f>IFERROR(AVERAGEIFS('Picarro Output'!G:G, 'Picarro Output'!$B:$B, 'Uncalibrated Data'!$C2827, 'Picarro Output'!$I:$I, 0, 'Picarro Output'!$J:$J, 1), "")</f>
        <v/>
      </c>
    </row>
    <row r="2828" spans="2:5" x14ac:dyDescent="0.2">
      <c r="B2828" s="1"/>
      <c r="E2828" s="38" t="str">
        <f>IFERROR(AVERAGEIFS('Picarro Output'!G:G, 'Picarro Output'!$B:$B, 'Uncalibrated Data'!$C2828, 'Picarro Output'!$I:$I, 0, 'Picarro Output'!$J:$J, 1), "")</f>
        <v/>
      </c>
    </row>
    <row r="2829" spans="2:5" x14ac:dyDescent="0.2">
      <c r="B2829" s="1"/>
      <c r="E2829" s="38" t="str">
        <f>IFERROR(AVERAGEIFS('Picarro Output'!G:G, 'Picarro Output'!$B:$B, 'Uncalibrated Data'!$C2829, 'Picarro Output'!$I:$I, 0, 'Picarro Output'!$J:$J, 1), "")</f>
        <v/>
      </c>
    </row>
    <row r="2830" spans="2:5" x14ac:dyDescent="0.2">
      <c r="B2830" s="1"/>
      <c r="E2830" s="38" t="str">
        <f>IFERROR(AVERAGEIFS('Picarro Output'!G:G, 'Picarro Output'!$B:$B, 'Uncalibrated Data'!$C2830, 'Picarro Output'!$I:$I, 0, 'Picarro Output'!$J:$J, 1), "")</f>
        <v/>
      </c>
    </row>
    <row r="2831" spans="2:5" x14ac:dyDescent="0.2">
      <c r="B2831" s="1"/>
      <c r="E2831" s="38" t="str">
        <f>IFERROR(AVERAGEIFS('Picarro Output'!G:G, 'Picarro Output'!$B:$B, 'Uncalibrated Data'!$C2831, 'Picarro Output'!$I:$I, 0, 'Picarro Output'!$J:$J, 1), "")</f>
        <v/>
      </c>
    </row>
    <row r="2832" spans="2:5" x14ac:dyDescent="0.2">
      <c r="B2832" s="1"/>
      <c r="E2832" s="38" t="str">
        <f>IFERROR(AVERAGEIFS('Picarro Output'!G:G, 'Picarro Output'!$B:$B, 'Uncalibrated Data'!$C2832, 'Picarro Output'!$I:$I, 0, 'Picarro Output'!$J:$J, 1), "")</f>
        <v/>
      </c>
    </row>
    <row r="2833" spans="2:5" x14ac:dyDescent="0.2">
      <c r="B2833" s="1"/>
      <c r="E2833" s="38" t="str">
        <f>IFERROR(AVERAGEIFS('Picarro Output'!G:G, 'Picarro Output'!$B:$B, 'Uncalibrated Data'!$C2833, 'Picarro Output'!$I:$I, 0, 'Picarro Output'!$J:$J, 1), "")</f>
        <v/>
      </c>
    </row>
    <row r="2834" spans="2:5" x14ac:dyDescent="0.2">
      <c r="B2834" s="1"/>
      <c r="E2834" s="38" t="str">
        <f>IFERROR(AVERAGEIFS('Picarro Output'!G:G, 'Picarro Output'!$B:$B, 'Uncalibrated Data'!$C2834, 'Picarro Output'!$I:$I, 0, 'Picarro Output'!$J:$J, 1), "")</f>
        <v/>
      </c>
    </row>
    <row r="2835" spans="2:5" x14ac:dyDescent="0.2">
      <c r="B2835" s="1"/>
      <c r="E2835" s="38" t="str">
        <f>IFERROR(AVERAGEIFS('Picarro Output'!G:G, 'Picarro Output'!$B:$B, 'Uncalibrated Data'!$C2835, 'Picarro Output'!$I:$I, 0, 'Picarro Output'!$J:$J, 1), "")</f>
        <v/>
      </c>
    </row>
    <row r="2836" spans="2:5" x14ac:dyDescent="0.2">
      <c r="B2836" s="1"/>
      <c r="E2836" s="38" t="str">
        <f>IFERROR(AVERAGEIFS('Picarro Output'!G:G, 'Picarro Output'!$B:$B, 'Uncalibrated Data'!$C2836, 'Picarro Output'!$I:$I, 0, 'Picarro Output'!$J:$J, 1), "")</f>
        <v/>
      </c>
    </row>
    <row r="2837" spans="2:5" x14ac:dyDescent="0.2">
      <c r="B2837" s="1"/>
      <c r="E2837" s="38" t="str">
        <f>IFERROR(AVERAGEIFS('Picarro Output'!G:G, 'Picarro Output'!$B:$B, 'Uncalibrated Data'!$C2837, 'Picarro Output'!$I:$I, 0, 'Picarro Output'!$J:$J, 1), "")</f>
        <v/>
      </c>
    </row>
    <row r="2838" spans="2:5" x14ac:dyDescent="0.2">
      <c r="B2838" s="1"/>
      <c r="E2838" s="38" t="str">
        <f>IFERROR(AVERAGEIFS('Picarro Output'!G:G, 'Picarro Output'!$B:$B, 'Uncalibrated Data'!$C2838, 'Picarro Output'!$I:$I, 0, 'Picarro Output'!$J:$J, 1), "")</f>
        <v/>
      </c>
    </row>
    <row r="2839" spans="2:5" x14ac:dyDescent="0.2">
      <c r="B2839" s="1"/>
      <c r="E2839" s="38" t="str">
        <f>IFERROR(AVERAGEIFS('Picarro Output'!G:G, 'Picarro Output'!$B:$B, 'Uncalibrated Data'!$C2839, 'Picarro Output'!$I:$I, 0, 'Picarro Output'!$J:$J, 1), "")</f>
        <v/>
      </c>
    </row>
    <row r="2840" spans="2:5" x14ac:dyDescent="0.2">
      <c r="B2840" s="1"/>
      <c r="E2840" s="38" t="str">
        <f>IFERROR(AVERAGEIFS('Picarro Output'!G:G, 'Picarro Output'!$B:$B, 'Uncalibrated Data'!$C2840, 'Picarro Output'!$I:$I, 0, 'Picarro Output'!$J:$J, 1), "")</f>
        <v/>
      </c>
    </row>
    <row r="2841" spans="2:5" x14ac:dyDescent="0.2">
      <c r="B2841" s="1"/>
      <c r="E2841" s="38" t="str">
        <f>IFERROR(AVERAGEIFS('Picarro Output'!G:G, 'Picarro Output'!$B:$B, 'Uncalibrated Data'!$C2841, 'Picarro Output'!$I:$I, 0, 'Picarro Output'!$J:$J, 1), "")</f>
        <v/>
      </c>
    </row>
    <row r="2842" spans="2:5" x14ac:dyDescent="0.2">
      <c r="B2842" s="1"/>
      <c r="E2842" s="38" t="str">
        <f>IFERROR(AVERAGEIFS('Picarro Output'!G:G, 'Picarro Output'!$B:$B, 'Uncalibrated Data'!$C2842, 'Picarro Output'!$I:$I, 0, 'Picarro Output'!$J:$J, 1), "")</f>
        <v/>
      </c>
    </row>
    <row r="2843" spans="2:5" x14ac:dyDescent="0.2">
      <c r="B2843" s="1"/>
      <c r="E2843" s="38" t="str">
        <f>IFERROR(AVERAGEIFS('Picarro Output'!G:G, 'Picarro Output'!$B:$B, 'Uncalibrated Data'!$C2843, 'Picarro Output'!$I:$I, 0, 'Picarro Output'!$J:$J, 1), "")</f>
        <v/>
      </c>
    </row>
    <row r="2844" spans="2:5" x14ac:dyDescent="0.2">
      <c r="B2844" s="1"/>
      <c r="E2844" s="38" t="str">
        <f>IFERROR(AVERAGEIFS('Picarro Output'!G:G, 'Picarro Output'!$B:$B, 'Uncalibrated Data'!$C2844, 'Picarro Output'!$I:$I, 0, 'Picarro Output'!$J:$J, 1), "")</f>
        <v/>
      </c>
    </row>
    <row r="2845" spans="2:5" x14ac:dyDescent="0.2">
      <c r="B2845" s="1"/>
      <c r="E2845" s="38" t="str">
        <f>IFERROR(AVERAGEIFS('Picarro Output'!G:G, 'Picarro Output'!$B:$B, 'Uncalibrated Data'!$C2845, 'Picarro Output'!$I:$I, 0, 'Picarro Output'!$J:$J, 1), "")</f>
        <v/>
      </c>
    </row>
    <row r="2846" spans="2:5" x14ac:dyDescent="0.2">
      <c r="B2846" s="1"/>
      <c r="E2846" s="38" t="str">
        <f>IFERROR(AVERAGEIFS('Picarro Output'!G:G, 'Picarro Output'!$B:$B, 'Uncalibrated Data'!$C2846, 'Picarro Output'!$I:$I, 0, 'Picarro Output'!$J:$J, 1), "")</f>
        <v/>
      </c>
    </row>
    <row r="2847" spans="2:5" x14ac:dyDescent="0.2">
      <c r="B2847" s="1"/>
      <c r="E2847" s="38" t="str">
        <f>IFERROR(AVERAGEIFS('Picarro Output'!G:G, 'Picarro Output'!$B:$B, 'Uncalibrated Data'!$C2847, 'Picarro Output'!$I:$I, 0, 'Picarro Output'!$J:$J, 1), "")</f>
        <v/>
      </c>
    </row>
    <row r="2848" spans="2:5" x14ac:dyDescent="0.2">
      <c r="B2848" s="1"/>
      <c r="E2848" s="38" t="str">
        <f>IFERROR(AVERAGEIFS('Picarro Output'!G:G, 'Picarro Output'!$B:$B, 'Uncalibrated Data'!$C2848, 'Picarro Output'!$I:$I, 0, 'Picarro Output'!$J:$J, 1), "")</f>
        <v/>
      </c>
    </row>
    <row r="2849" spans="2:5" x14ac:dyDescent="0.2">
      <c r="B2849" s="1"/>
      <c r="E2849" s="38" t="str">
        <f>IFERROR(AVERAGEIFS('Picarro Output'!G:G, 'Picarro Output'!$B:$B, 'Uncalibrated Data'!$C2849, 'Picarro Output'!$I:$I, 0, 'Picarro Output'!$J:$J, 1), "")</f>
        <v/>
      </c>
    </row>
    <row r="2850" spans="2:5" x14ac:dyDescent="0.2">
      <c r="B2850" s="1"/>
      <c r="E2850" s="38" t="str">
        <f>IFERROR(AVERAGEIFS('Picarro Output'!G:G, 'Picarro Output'!$B:$B, 'Uncalibrated Data'!$C2850, 'Picarro Output'!$I:$I, 0, 'Picarro Output'!$J:$J, 1), "")</f>
        <v/>
      </c>
    </row>
    <row r="2851" spans="2:5" x14ac:dyDescent="0.2">
      <c r="B2851" s="1"/>
      <c r="E2851" s="38" t="str">
        <f>IFERROR(AVERAGEIFS('Picarro Output'!G:G, 'Picarro Output'!$B:$B, 'Uncalibrated Data'!$C2851, 'Picarro Output'!$I:$I, 0, 'Picarro Output'!$J:$J, 1), "")</f>
        <v/>
      </c>
    </row>
    <row r="2852" spans="2:5" x14ac:dyDescent="0.2">
      <c r="B2852" s="1"/>
      <c r="E2852" s="38" t="str">
        <f>IFERROR(AVERAGEIFS('Picarro Output'!G:G, 'Picarro Output'!$B:$B, 'Uncalibrated Data'!$C2852, 'Picarro Output'!$I:$I, 0, 'Picarro Output'!$J:$J, 1), "")</f>
        <v/>
      </c>
    </row>
    <row r="2853" spans="2:5" x14ac:dyDescent="0.2">
      <c r="B2853" s="1"/>
      <c r="E2853" s="38" t="str">
        <f>IFERROR(AVERAGEIFS('Picarro Output'!G:G, 'Picarro Output'!$B:$B, 'Uncalibrated Data'!$C2853, 'Picarro Output'!$I:$I, 0, 'Picarro Output'!$J:$J, 1), "")</f>
        <v/>
      </c>
    </row>
    <row r="2854" spans="2:5" x14ac:dyDescent="0.2">
      <c r="B2854" s="1"/>
      <c r="E2854" s="38" t="str">
        <f>IFERROR(AVERAGEIFS('Picarro Output'!G:G, 'Picarro Output'!$B:$B, 'Uncalibrated Data'!$C2854, 'Picarro Output'!$I:$I, 0, 'Picarro Output'!$J:$J, 1), "")</f>
        <v/>
      </c>
    </row>
    <row r="2855" spans="2:5" x14ac:dyDescent="0.2">
      <c r="B2855" s="1"/>
      <c r="E2855" s="38" t="str">
        <f>IFERROR(AVERAGEIFS('Picarro Output'!G:G, 'Picarro Output'!$B:$B, 'Uncalibrated Data'!$C2855, 'Picarro Output'!$I:$I, 0, 'Picarro Output'!$J:$J, 1), "")</f>
        <v/>
      </c>
    </row>
    <row r="2856" spans="2:5" x14ac:dyDescent="0.2">
      <c r="B2856" s="1"/>
      <c r="E2856" s="38" t="str">
        <f>IFERROR(AVERAGEIFS('Picarro Output'!G:G, 'Picarro Output'!$B:$B, 'Uncalibrated Data'!$C2856, 'Picarro Output'!$I:$I, 0, 'Picarro Output'!$J:$J, 1), "")</f>
        <v/>
      </c>
    </row>
    <row r="2857" spans="2:5" x14ac:dyDescent="0.2">
      <c r="B2857" s="1"/>
      <c r="E2857" s="38" t="str">
        <f>IFERROR(AVERAGEIFS('Picarro Output'!G:G, 'Picarro Output'!$B:$B, 'Uncalibrated Data'!$C2857, 'Picarro Output'!$I:$I, 0, 'Picarro Output'!$J:$J, 1), "")</f>
        <v/>
      </c>
    </row>
    <row r="2858" spans="2:5" x14ac:dyDescent="0.2">
      <c r="B2858" s="1"/>
      <c r="E2858" s="38" t="str">
        <f>IFERROR(AVERAGEIFS('Picarro Output'!G:G, 'Picarro Output'!$B:$B, 'Uncalibrated Data'!$C2858, 'Picarro Output'!$I:$I, 0, 'Picarro Output'!$J:$J, 1), "")</f>
        <v/>
      </c>
    </row>
    <row r="2859" spans="2:5" x14ac:dyDescent="0.2">
      <c r="B2859" s="1"/>
      <c r="E2859" s="38" t="str">
        <f>IFERROR(AVERAGEIFS('Picarro Output'!G:G, 'Picarro Output'!$B:$B, 'Uncalibrated Data'!$C2859, 'Picarro Output'!$I:$I, 0, 'Picarro Output'!$J:$J, 1), "")</f>
        <v/>
      </c>
    </row>
    <row r="2860" spans="2:5" x14ac:dyDescent="0.2">
      <c r="B2860" s="1"/>
      <c r="E2860" s="38" t="str">
        <f>IFERROR(AVERAGEIFS('Picarro Output'!G:G, 'Picarro Output'!$B:$B, 'Uncalibrated Data'!$C2860, 'Picarro Output'!$I:$I, 0, 'Picarro Output'!$J:$J, 1), "")</f>
        <v/>
      </c>
    </row>
    <row r="2861" spans="2:5" x14ac:dyDescent="0.2">
      <c r="B2861" s="1"/>
      <c r="E2861" s="38" t="str">
        <f>IFERROR(AVERAGEIFS('Picarro Output'!G:G, 'Picarro Output'!$B:$B, 'Uncalibrated Data'!$C2861, 'Picarro Output'!$I:$I, 0, 'Picarro Output'!$J:$J, 1), "")</f>
        <v/>
      </c>
    </row>
    <row r="2862" spans="2:5" x14ac:dyDescent="0.2">
      <c r="B2862" s="1"/>
      <c r="E2862" s="38" t="str">
        <f>IFERROR(AVERAGEIFS('Picarro Output'!G:G, 'Picarro Output'!$B:$B, 'Uncalibrated Data'!$C2862, 'Picarro Output'!$I:$I, 0, 'Picarro Output'!$J:$J, 1), "")</f>
        <v/>
      </c>
    </row>
    <row r="2863" spans="2:5" x14ac:dyDescent="0.2">
      <c r="B2863" s="1"/>
      <c r="E2863" s="38" t="str">
        <f>IFERROR(AVERAGEIFS('Picarro Output'!G:G, 'Picarro Output'!$B:$B, 'Uncalibrated Data'!$C2863, 'Picarro Output'!$I:$I, 0, 'Picarro Output'!$J:$J, 1), "")</f>
        <v/>
      </c>
    </row>
    <row r="2864" spans="2:5" x14ac:dyDescent="0.2">
      <c r="B2864" s="1"/>
      <c r="E2864" s="38" t="str">
        <f>IFERROR(AVERAGEIFS('Picarro Output'!G:G, 'Picarro Output'!$B:$B, 'Uncalibrated Data'!$C2864, 'Picarro Output'!$I:$I, 0, 'Picarro Output'!$J:$J, 1), "")</f>
        <v/>
      </c>
    </row>
    <row r="2865" spans="2:5" x14ac:dyDescent="0.2">
      <c r="B2865" s="1"/>
      <c r="E2865" s="38" t="str">
        <f>IFERROR(AVERAGEIFS('Picarro Output'!G:G, 'Picarro Output'!$B:$B, 'Uncalibrated Data'!$C2865, 'Picarro Output'!$I:$I, 0, 'Picarro Output'!$J:$J, 1), "")</f>
        <v/>
      </c>
    </row>
    <row r="2866" spans="2:5" x14ac:dyDescent="0.2">
      <c r="B2866" s="1"/>
      <c r="E2866" s="38" t="str">
        <f>IFERROR(AVERAGEIFS('Picarro Output'!G:G, 'Picarro Output'!$B:$B, 'Uncalibrated Data'!$C2866, 'Picarro Output'!$I:$I, 0, 'Picarro Output'!$J:$J, 1), "")</f>
        <v/>
      </c>
    </row>
    <row r="2867" spans="2:5" x14ac:dyDescent="0.2">
      <c r="B2867" s="1"/>
      <c r="E2867" s="38" t="str">
        <f>IFERROR(AVERAGEIFS('Picarro Output'!G:G, 'Picarro Output'!$B:$B, 'Uncalibrated Data'!$C2867, 'Picarro Output'!$I:$I, 0, 'Picarro Output'!$J:$J, 1), "")</f>
        <v/>
      </c>
    </row>
    <row r="2868" spans="2:5" x14ac:dyDescent="0.2">
      <c r="B2868" s="1"/>
      <c r="E2868" s="38" t="str">
        <f>IFERROR(AVERAGEIFS('Picarro Output'!G:G, 'Picarro Output'!$B:$B, 'Uncalibrated Data'!$C2868, 'Picarro Output'!$I:$I, 0, 'Picarro Output'!$J:$J, 1), "")</f>
        <v/>
      </c>
    </row>
    <row r="2869" spans="2:5" x14ac:dyDescent="0.2">
      <c r="B2869" s="1"/>
      <c r="E2869" s="38" t="str">
        <f>IFERROR(AVERAGEIFS('Picarro Output'!G:G, 'Picarro Output'!$B:$B, 'Uncalibrated Data'!$C2869, 'Picarro Output'!$I:$I, 0, 'Picarro Output'!$J:$J, 1), "")</f>
        <v/>
      </c>
    </row>
    <row r="2870" spans="2:5" x14ac:dyDescent="0.2">
      <c r="B2870" s="1"/>
      <c r="E2870" s="38" t="str">
        <f>IFERROR(AVERAGEIFS('Picarro Output'!G:G, 'Picarro Output'!$B:$B, 'Uncalibrated Data'!$C2870, 'Picarro Output'!$I:$I, 0, 'Picarro Output'!$J:$J, 1), "")</f>
        <v/>
      </c>
    </row>
    <row r="2871" spans="2:5" x14ac:dyDescent="0.2">
      <c r="B2871" s="1"/>
      <c r="E2871" s="38" t="str">
        <f>IFERROR(AVERAGEIFS('Picarro Output'!G:G, 'Picarro Output'!$B:$B, 'Uncalibrated Data'!$C2871, 'Picarro Output'!$I:$I, 0, 'Picarro Output'!$J:$J, 1), "")</f>
        <v/>
      </c>
    </row>
    <row r="2872" spans="2:5" x14ac:dyDescent="0.2">
      <c r="B2872" s="1"/>
      <c r="E2872" s="38" t="str">
        <f>IFERROR(AVERAGEIFS('Picarro Output'!G:G, 'Picarro Output'!$B:$B, 'Uncalibrated Data'!$C2872, 'Picarro Output'!$I:$I, 0, 'Picarro Output'!$J:$J, 1), "")</f>
        <v/>
      </c>
    </row>
    <row r="2873" spans="2:5" x14ac:dyDescent="0.2">
      <c r="B2873" s="1"/>
      <c r="E2873" s="38" t="str">
        <f>IFERROR(AVERAGEIFS('Picarro Output'!G:G, 'Picarro Output'!$B:$B, 'Uncalibrated Data'!$C2873, 'Picarro Output'!$I:$I, 0, 'Picarro Output'!$J:$J, 1), "")</f>
        <v/>
      </c>
    </row>
    <row r="2874" spans="2:5" x14ac:dyDescent="0.2">
      <c r="B2874" s="1"/>
      <c r="E2874" s="38" t="str">
        <f>IFERROR(AVERAGEIFS('Picarro Output'!G:G, 'Picarro Output'!$B:$B, 'Uncalibrated Data'!$C2874, 'Picarro Output'!$I:$I, 0, 'Picarro Output'!$J:$J, 1), "")</f>
        <v/>
      </c>
    </row>
    <row r="2875" spans="2:5" x14ac:dyDescent="0.2">
      <c r="B2875" s="1"/>
      <c r="E2875" s="38" t="str">
        <f>IFERROR(AVERAGEIFS('Picarro Output'!G:G, 'Picarro Output'!$B:$B, 'Uncalibrated Data'!$C2875, 'Picarro Output'!$I:$I, 0, 'Picarro Output'!$J:$J, 1), "")</f>
        <v/>
      </c>
    </row>
    <row r="2876" spans="2:5" x14ac:dyDescent="0.2">
      <c r="B2876" s="1"/>
      <c r="E2876" s="38" t="str">
        <f>IFERROR(AVERAGEIFS('Picarro Output'!G:G, 'Picarro Output'!$B:$B, 'Uncalibrated Data'!$C2876, 'Picarro Output'!$I:$I, 0, 'Picarro Output'!$J:$J, 1), "")</f>
        <v/>
      </c>
    </row>
    <row r="2877" spans="2:5" x14ac:dyDescent="0.2">
      <c r="B2877" s="1"/>
      <c r="E2877" s="38" t="str">
        <f>IFERROR(AVERAGEIFS('Picarro Output'!G:G, 'Picarro Output'!$B:$B, 'Uncalibrated Data'!$C2877, 'Picarro Output'!$I:$I, 0, 'Picarro Output'!$J:$J, 1), "")</f>
        <v/>
      </c>
    </row>
    <row r="2878" spans="2:5" x14ac:dyDescent="0.2">
      <c r="B2878" s="1"/>
      <c r="E2878" s="38" t="str">
        <f>IFERROR(AVERAGEIFS('Picarro Output'!G:G, 'Picarro Output'!$B:$B, 'Uncalibrated Data'!$C2878, 'Picarro Output'!$I:$I, 0, 'Picarro Output'!$J:$J, 1), "")</f>
        <v/>
      </c>
    </row>
    <row r="2879" spans="2:5" x14ac:dyDescent="0.2">
      <c r="B2879" s="1"/>
      <c r="E2879" s="38" t="str">
        <f>IFERROR(AVERAGEIFS('Picarro Output'!G:G, 'Picarro Output'!$B:$B, 'Uncalibrated Data'!$C2879, 'Picarro Output'!$I:$I, 0, 'Picarro Output'!$J:$J, 1), "")</f>
        <v/>
      </c>
    </row>
    <row r="2880" spans="2:5" x14ac:dyDescent="0.2">
      <c r="B2880" s="1"/>
      <c r="E2880" s="38" t="str">
        <f>IFERROR(AVERAGEIFS('Picarro Output'!G:G, 'Picarro Output'!$B:$B, 'Uncalibrated Data'!$C2880, 'Picarro Output'!$I:$I, 0, 'Picarro Output'!$J:$J, 1), "")</f>
        <v/>
      </c>
    </row>
    <row r="2881" spans="2:5" x14ac:dyDescent="0.2">
      <c r="B2881" s="1"/>
      <c r="E2881" s="38" t="str">
        <f>IFERROR(AVERAGEIFS('Picarro Output'!G:G, 'Picarro Output'!$B:$B, 'Uncalibrated Data'!$C2881, 'Picarro Output'!$I:$I, 0, 'Picarro Output'!$J:$J, 1), "")</f>
        <v/>
      </c>
    </row>
    <row r="2882" spans="2:5" x14ac:dyDescent="0.2">
      <c r="B2882" s="1"/>
      <c r="E2882" s="38" t="str">
        <f>IFERROR(AVERAGEIFS('Picarro Output'!G:G, 'Picarro Output'!$B:$B, 'Uncalibrated Data'!$C2882, 'Picarro Output'!$I:$I, 0, 'Picarro Output'!$J:$J, 1), "")</f>
        <v/>
      </c>
    </row>
    <row r="2883" spans="2:5" x14ac:dyDescent="0.2">
      <c r="B2883" s="1"/>
      <c r="E2883" s="38" t="str">
        <f>IFERROR(AVERAGEIFS('Picarro Output'!G:G, 'Picarro Output'!$B:$B, 'Uncalibrated Data'!$C2883, 'Picarro Output'!$I:$I, 0, 'Picarro Output'!$J:$J, 1), "")</f>
        <v/>
      </c>
    </row>
    <row r="2884" spans="2:5" x14ac:dyDescent="0.2">
      <c r="B2884" s="1"/>
      <c r="E2884" s="38" t="str">
        <f>IFERROR(AVERAGEIFS('Picarro Output'!G:G, 'Picarro Output'!$B:$B, 'Uncalibrated Data'!$C2884, 'Picarro Output'!$I:$I, 0, 'Picarro Output'!$J:$J, 1), "")</f>
        <v/>
      </c>
    </row>
    <row r="2885" spans="2:5" x14ac:dyDescent="0.2">
      <c r="B2885" s="1"/>
      <c r="E2885" s="38" t="str">
        <f>IFERROR(AVERAGEIFS('Picarro Output'!G:G, 'Picarro Output'!$B:$B, 'Uncalibrated Data'!$C2885, 'Picarro Output'!$I:$I, 0, 'Picarro Output'!$J:$J, 1), "")</f>
        <v/>
      </c>
    </row>
    <row r="2886" spans="2:5" x14ac:dyDescent="0.2">
      <c r="B2886" s="1"/>
      <c r="E2886" s="38" t="str">
        <f>IFERROR(AVERAGEIFS('Picarro Output'!G:G, 'Picarro Output'!$B:$B, 'Uncalibrated Data'!$C2886, 'Picarro Output'!$I:$I, 0, 'Picarro Output'!$J:$J, 1), "")</f>
        <v/>
      </c>
    </row>
    <row r="2887" spans="2:5" x14ac:dyDescent="0.2">
      <c r="B2887" s="1"/>
      <c r="E2887" s="38" t="str">
        <f>IFERROR(AVERAGEIFS('Picarro Output'!G:G, 'Picarro Output'!$B:$B, 'Uncalibrated Data'!$C2887, 'Picarro Output'!$I:$I, 0, 'Picarro Output'!$J:$J, 1), "")</f>
        <v/>
      </c>
    </row>
    <row r="2888" spans="2:5" x14ac:dyDescent="0.2">
      <c r="B2888" s="1"/>
      <c r="E2888" s="38" t="str">
        <f>IFERROR(AVERAGEIFS('Picarro Output'!G:G, 'Picarro Output'!$B:$B, 'Uncalibrated Data'!$C2888, 'Picarro Output'!$I:$I, 0, 'Picarro Output'!$J:$J, 1), "")</f>
        <v/>
      </c>
    </row>
    <row r="2889" spans="2:5" x14ac:dyDescent="0.2">
      <c r="B2889" s="1"/>
      <c r="E2889" s="38" t="str">
        <f>IFERROR(AVERAGEIFS('Picarro Output'!G:G, 'Picarro Output'!$B:$B, 'Uncalibrated Data'!$C2889, 'Picarro Output'!$I:$I, 0, 'Picarro Output'!$J:$J, 1), "")</f>
        <v/>
      </c>
    </row>
    <row r="2890" spans="2:5" x14ac:dyDescent="0.2">
      <c r="B2890" s="1"/>
      <c r="E2890" s="38" t="str">
        <f>IFERROR(AVERAGEIFS('Picarro Output'!G:G, 'Picarro Output'!$B:$B, 'Uncalibrated Data'!$C2890, 'Picarro Output'!$I:$I, 0, 'Picarro Output'!$J:$J, 1), "")</f>
        <v/>
      </c>
    </row>
    <row r="2891" spans="2:5" x14ac:dyDescent="0.2">
      <c r="B2891" s="1"/>
      <c r="E2891" s="38" t="str">
        <f>IFERROR(AVERAGEIFS('Picarro Output'!G:G, 'Picarro Output'!$B:$B, 'Uncalibrated Data'!$C2891, 'Picarro Output'!$I:$I, 0, 'Picarro Output'!$J:$J, 1), "")</f>
        <v/>
      </c>
    </row>
    <row r="2892" spans="2:5" x14ac:dyDescent="0.2">
      <c r="B2892" s="1"/>
      <c r="E2892" s="38" t="str">
        <f>IFERROR(AVERAGEIFS('Picarro Output'!G:G, 'Picarro Output'!$B:$B, 'Uncalibrated Data'!$C2892, 'Picarro Output'!$I:$I, 0, 'Picarro Output'!$J:$J, 1), "")</f>
        <v/>
      </c>
    </row>
    <row r="2893" spans="2:5" x14ac:dyDescent="0.2">
      <c r="B2893" s="1"/>
      <c r="E2893" s="38" t="str">
        <f>IFERROR(AVERAGEIFS('Picarro Output'!G:G, 'Picarro Output'!$B:$B, 'Uncalibrated Data'!$C2893, 'Picarro Output'!$I:$I, 0, 'Picarro Output'!$J:$J, 1), "")</f>
        <v/>
      </c>
    </row>
    <row r="2894" spans="2:5" x14ac:dyDescent="0.2">
      <c r="B2894" s="1"/>
      <c r="E2894" s="38" t="str">
        <f>IFERROR(AVERAGEIFS('Picarro Output'!G:G, 'Picarro Output'!$B:$B, 'Uncalibrated Data'!$C2894, 'Picarro Output'!$I:$I, 0, 'Picarro Output'!$J:$J, 1), "")</f>
        <v/>
      </c>
    </row>
    <row r="2895" spans="2:5" x14ac:dyDescent="0.2">
      <c r="B2895" s="1"/>
      <c r="E2895" s="38" t="str">
        <f>IFERROR(AVERAGEIFS('Picarro Output'!G:G, 'Picarro Output'!$B:$B, 'Uncalibrated Data'!$C2895, 'Picarro Output'!$I:$I, 0, 'Picarro Output'!$J:$J, 1), "")</f>
        <v/>
      </c>
    </row>
    <row r="2896" spans="2:5" x14ac:dyDescent="0.2">
      <c r="B2896" s="1"/>
      <c r="E2896" s="38" t="str">
        <f>IFERROR(AVERAGEIFS('Picarro Output'!G:G, 'Picarro Output'!$B:$B, 'Uncalibrated Data'!$C2896, 'Picarro Output'!$I:$I, 0, 'Picarro Output'!$J:$J, 1), "")</f>
        <v/>
      </c>
    </row>
    <row r="2897" spans="2:5" x14ac:dyDescent="0.2">
      <c r="B2897" s="1"/>
      <c r="E2897" s="38" t="str">
        <f>IFERROR(AVERAGEIFS('Picarro Output'!G:G, 'Picarro Output'!$B:$B, 'Uncalibrated Data'!$C2897, 'Picarro Output'!$I:$I, 0, 'Picarro Output'!$J:$J, 1), "")</f>
        <v/>
      </c>
    </row>
    <row r="2898" spans="2:5" x14ac:dyDescent="0.2">
      <c r="B2898" s="1"/>
      <c r="E2898" s="38" t="str">
        <f>IFERROR(AVERAGEIFS('Picarro Output'!G:G, 'Picarro Output'!$B:$B, 'Uncalibrated Data'!$C2898, 'Picarro Output'!$I:$I, 0, 'Picarro Output'!$J:$J, 1), "")</f>
        <v/>
      </c>
    </row>
    <row r="2899" spans="2:5" x14ac:dyDescent="0.2">
      <c r="B2899" s="1"/>
      <c r="E2899" s="38" t="str">
        <f>IFERROR(AVERAGEIFS('Picarro Output'!G:G, 'Picarro Output'!$B:$B, 'Uncalibrated Data'!$C2899, 'Picarro Output'!$I:$I, 0, 'Picarro Output'!$J:$J, 1), "")</f>
        <v/>
      </c>
    </row>
    <row r="2900" spans="2:5" x14ac:dyDescent="0.2">
      <c r="B2900" s="1"/>
      <c r="E2900" s="38" t="str">
        <f>IFERROR(AVERAGEIFS('Picarro Output'!G:G, 'Picarro Output'!$B:$B, 'Uncalibrated Data'!$C2900, 'Picarro Output'!$I:$I, 0, 'Picarro Output'!$J:$J, 1), "")</f>
        <v/>
      </c>
    </row>
    <row r="2901" spans="2:5" x14ac:dyDescent="0.2">
      <c r="B2901" s="1"/>
      <c r="E2901" s="38" t="str">
        <f>IFERROR(AVERAGEIFS('Picarro Output'!G:G, 'Picarro Output'!$B:$B, 'Uncalibrated Data'!$C2901, 'Picarro Output'!$I:$I, 0, 'Picarro Output'!$J:$J, 1), "")</f>
        <v/>
      </c>
    </row>
    <row r="2902" spans="2:5" x14ac:dyDescent="0.2">
      <c r="B2902" s="1"/>
      <c r="E2902" s="38" t="str">
        <f>IFERROR(AVERAGEIFS('Picarro Output'!G:G, 'Picarro Output'!$B:$B, 'Uncalibrated Data'!$C2902, 'Picarro Output'!$I:$I, 0, 'Picarro Output'!$J:$J, 1), "")</f>
        <v/>
      </c>
    </row>
    <row r="2903" spans="2:5" x14ac:dyDescent="0.2">
      <c r="B2903" s="1"/>
      <c r="E2903" s="38" t="str">
        <f>IFERROR(AVERAGEIFS('Picarro Output'!G:G, 'Picarro Output'!$B:$B, 'Uncalibrated Data'!$C2903, 'Picarro Output'!$I:$I, 0, 'Picarro Output'!$J:$J, 1), "")</f>
        <v/>
      </c>
    </row>
    <row r="2904" spans="2:5" x14ac:dyDescent="0.2">
      <c r="B2904" s="1"/>
      <c r="E2904" s="38" t="str">
        <f>IFERROR(AVERAGEIFS('Picarro Output'!G:G, 'Picarro Output'!$B:$B, 'Uncalibrated Data'!$C2904, 'Picarro Output'!$I:$I, 0, 'Picarro Output'!$J:$J, 1), "")</f>
        <v/>
      </c>
    </row>
    <row r="2905" spans="2:5" x14ac:dyDescent="0.2">
      <c r="B2905" s="1"/>
      <c r="E2905" s="38" t="str">
        <f>IFERROR(AVERAGEIFS('Picarro Output'!G:G, 'Picarro Output'!$B:$B, 'Uncalibrated Data'!$C2905, 'Picarro Output'!$I:$I, 0, 'Picarro Output'!$J:$J, 1), "")</f>
        <v/>
      </c>
    </row>
    <row r="2906" spans="2:5" x14ac:dyDescent="0.2">
      <c r="B2906" s="1"/>
      <c r="E2906" s="38" t="str">
        <f>IFERROR(AVERAGEIFS('Picarro Output'!G:G, 'Picarro Output'!$B:$B, 'Uncalibrated Data'!$C2906, 'Picarro Output'!$I:$I, 0, 'Picarro Output'!$J:$J, 1), "")</f>
        <v/>
      </c>
    </row>
    <row r="2907" spans="2:5" x14ac:dyDescent="0.2">
      <c r="B2907" s="1"/>
      <c r="E2907" s="38" t="str">
        <f>IFERROR(AVERAGEIFS('Picarro Output'!G:G, 'Picarro Output'!$B:$B, 'Uncalibrated Data'!$C2907, 'Picarro Output'!$I:$I, 0, 'Picarro Output'!$J:$J, 1), "")</f>
        <v/>
      </c>
    </row>
    <row r="2908" spans="2:5" x14ac:dyDescent="0.2">
      <c r="B2908" s="1"/>
      <c r="E2908" s="38" t="str">
        <f>IFERROR(AVERAGEIFS('Picarro Output'!G:G, 'Picarro Output'!$B:$B, 'Uncalibrated Data'!$C2908, 'Picarro Output'!$I:$I, 0, 'Picarro Output'!$J:$J, 1), "")</f>
        <v/>
      </c>
    </row>
    <row r="2909" spans="2:5" x14ac:dyDescent="0.2">
      <c r="B2909" s="1"/>
      <c r="E2909" s="38" t="str">
        <f>IFERROR(AVERAGEIFS('Picarro Output'!G:G, 'Picarro Output'!$B:$B, 'Uncalibrated Data'!$C2909, 'Picarro Output'!$I:$I, 0, 'Picarro Output'!$J:$J, 1), "")</f>
        <v/>
      </c>
    </row>
    <row r="2910" spans="2:5" x14ac:dyDescent="0.2">
      <c r="B2910" s="1"/>
      <c r="E2910" s="38" t="str">
        <f>IFERROR(AVERAGEIFS('Picarro Output'!G:G, 'Picarro Output'!$B:$B, 'Uncalibrated Data'!$C2910, 'Picarro Output'!$I:$I, 0, 'Picarro Output'!$J:$J, 1), "")</f>
        <v/>
      </c>
    </row>
    <row r="2911" spans="2:5" x14ac:dyDescent="0.2">
      <c r="B2911" s="1"/>
      <c r="E2911" s="38" t="str">
        <f>IFERROR(AVERAGEIFS('Picarro Output'!G:G, 'Picarro Output'!$B:$B, 'Uncalibrated Data'!$C2911, 'Picarro Output'!$I:$I, 0, 'Picarro Output'!$J:$J, 1), "")</f>
        <v/>
      </c>
    </row>
    <row r="2912" spans="2:5" x14ac:dyDescent="0.2">
      <c r="B2912" s="1"/>
      <c r="E2912" s="38" t="str">
        <f>IFERROR(AVERAGEIFS('Picarro Output'!G:G, 'Picarro Output'!$B:$B, 'Uncalibrated Data'!$C2912, 'Picarro Output'!$I:$I, 0, 'Picarro Output'!$J:$J, 1), "")</f>
        <v/>
      </c>
    </row>
    <row r="2913" spans="2:5" x14ac:dyDescent="0.2">
      <c r="B2913" s="1"/>
      <c r="E2913" s="38" t="str">
        <f>IFERROR(AVERAGEIFS('Picarro Output'!G:G, 'Picarro Output'!$B:$B, 'Uncalibrated Data'!$C2913, 'Picarro Output'!$I:$I, 0, 'Picarro Output'!$J:$J, 1), "")</f>
        <v/>
      </c>
    </row>
    <row r="2914" spans="2:5" x14ac:dyDescent="0.2">
      <c r="B2914" s="1"/>
      <c r="E2914" s="38" t="str">
        <f>IFERROR(AVERAGEIFS('Picarro Output'!G:G, 'Picarro Output'!$B:$B, 'Uncalibrated Data'!$C2914, 'Picarro Output'!$I:$I, 0, 'Picarro Output'!$J:$J, 1), "")</f>
        <v/>
      </c>
    </row>
    <row r="2915" spans="2:5" x14ac:dyDescent="0.2">
      <c r="B2915" s="1"/>
      <c r="E2915" s="38" t="str">
        <f>IFERROR(AVERAGEIFS('Picarro Output'!G:G, 'Picarro Output'!$B:$B, 'Uncalibrated Data'!$C2915, 'Picarro Output'!$I:$I, 0, 'Picarro Output'!$J:$J, 1), "")</f>
        <v/>
      </c>
    </row>
    <row r="2916" spans="2:5" x14ac:dyDescent="0.2">
      <c r="B2916" s="1"/>
      <c r="E2916" s="38" t="str">
        <f>IFERROR(AVERAGEIFS('Picarro Output'!G:G, 'Picarro Output'!$B:$B, 'Uncalibrated Data'!$C2916, 'Picarro Output'!$I:$I, 0, 'Picarro Output'!$J:$J, 1), "")</f>
        <v/>
      </c>
    </row>
    <row r="2917" spans="2:5" x14ac:dyDescent="0.2">
      <c r="B2917" s="1"/>
      <c r="E2917" s="38" t="str">
        <f>IFERROR(AVERAGEIFS('Picarro Output'!G:G, 'Picarro Output'!$B:$B, 'Uncalibrated Data'!$C2917, 'Picarro Output'!$I:$I, 0, 'Picarro Output'!$J:$J, 1), "")</f>
        <v/>
      </c>
    </row>
    <row r="2918" spans="2:5" x14ac:dyDescent="0.2">
      <c r="B2918" s="1"/>
      <c r="E2918" s="38" t="str">
        <f>IFERROR(AVERAGEIFS('Picarro Output'!G:G, 'Picarro Output'!$B:$B, 'Uncalibrated Data'!$C2918, 'Picarro Output'!$I:$I, 0, 'Picarro Output'!$J:$J, 1), "")</f>
        <v/>
      </c>
    </row>
    <row r="2919" spans="2:5" x14ac:dyDescent="0.2">
      <c r="B2919" s="1"/>
      <c r="E2919" s="38" t="str">
        <f>IFERROR(AVERAGEIFS('Picarro Output'!G:G, 'Picarro Output'!$B:$B, 'Uncalibrated Data'!$C2919, 'Picarro Output'!$I:$I, 0, 'Picarro Output'!$J:$J, 1), "")</f>
        <v/>
      </c>
    </row>
    <row r="2920" spans="2:5" x14ac:dyDescent="0.2">
      <c r="B2920" s="1"/>
      <c r="E2920" s="38" t="str">
        <f>IFERROR(AVERAGEIFS('Picarro Output'!G:G, 'Picarro Output'!$B:$B, 'Uncalibrated Data'!$C2920, 'Picarro Output'!$I:$I, 0, 'Picarro Output'!$J:$J, 1), "")</f>
        <v/>
      </c>
    </row>
    <row r="2921" spans="2:5" x14ac:dyDescent="0.2">
      <c r="B2921" s="1"/>
      <c r="E2921" s="38" t="str">
        <f>IFERROR(AVERAGEIFS('Picarro Output'!G:G, 'Picarro Output'!$B:$B, 'Uncalibrated Data'!$C2921, 'Picarro Output'!$I:$I, 0, 'Picarro Output'!$J:$J, 1), "")</f>
        <v/>
      </c>
    </row>
    <row r="2922" spans="2:5" x14ac:dyDescent="0.2">
      <c r="B2922" s="1"/>
      <c r="E2922" s="38" t="str">
        <f>IFERROR(AVERAGEIFS('Picarro Output'!G:G, 'Picarro Output'!$B:$B, 'Uncalibrated Data'!$C2922, 'Picarro Output'!$I:$I, 0, 'Picarro Output'!$J:$J, 1), "")</f>
        <v/>
      </c>
    </row>
    <row r="2923" spans="2:5" x14ac:dyDescent="0.2">
      <c r="B2923" s="1"/>
      <c r="E2923" s="38" t="str">
        <f>IFERROR(AVERAGEIFS('Picarro Output'!G:G, 'Picarro Output'!$B:$B, 'Uncalibrated Data'!$C2923, 'Picarro Output'!$I:$I, 0, 'Picarro Output'!$J:$J, 1), "")</f>
        <v/>
      </c>
    </row>
    <row r="2924" spans="2:5" x14ac:dyDescent="0.2">
      <c r="B2924" s="1"/>
      <c r="E2924" s="38" t="str">
        <f>IFERROR(AVERAGEIFS('Picarro Output'!G:G, 'Picarro Output'!$B:$B, 'Uncalibrated Data'!$C2924, 'Picarro Output'!$I:$I, 0, 'Picarro Output'!$J:$J, 1), "")</f>
        <v/>
      </c>
    </row>
    <row r="2925" spans="2:5" x14ac:dyDescent="0.2">
      <c r="B2925" s="1"/>
      <c r="E2925" s="38" t="str">
        <f>IFERROR(AVERAGEIFS('Picarro Output'!G:G, 'Picarro Output'!$B:$B, 'Uncalibrated Data'!$C2925, 'Picarro Output'!$I:$I, 0, 'Picarro Output'!$J:$J, 1), "")</f>
        <v/>
      </c>
    </row>
    <row r="2926" spans="2:5" x14ac:dyDescent="0.2">
      <c r="B2926" s="1"/>
      <c r="E2926" s="38" t="str">
        <f>IFERROR(AVERAGEIFS('Picarro Output'!G:G, 'Picarro Output'!$B:$B, 'Uncalibrated Data'!$C2926, 'Picarro Output'!$I:$I, 0, 'Picarro Output'!$J:$J, 1), "")</f>
        <v/>
      </c>
    </row>
    <row r="2927" spans="2:5" x14ac:dyDescent="0.2">
      <c r="B2927" s="1"/>
      <c r="E2927" s="38" t="str">
        <f>IFERROR(AVERAGEIFS('Picarro Output'!G:G, 'Picarro Output'!$B:$B, 'Uncalibrated Data'!$C2927, 'Picarro Output'!$I:$I, 0, 'Picarro Output'!$J:$J, 1), "")</f>
        <v/>
      </c>
    </row>
    <row r="2928" spans="2:5" x14ac:dyDescent="0.2">
      <c r="B2928" s="1"/>
      <c r="E2928" s="38" t="str">
        <f>IFERROR(AVERAGEIFS('Picarro Output'!G:G, 'Picarro Output'!$B:$B, 'Uncalibrated Data'!$C2928, 'Picarro Output'!$I:$I, 0, 'Picarro Output'!$J:$J, 1), "")</f>
        <v/>
      </c>
    </row>
    <row r="2929" spans="2:5" x14ac:dyDescent="0.2">
      <c r="B2929" s="1"/>
      <c r="E2929" s="38" t="str">
        <f>IFERROR(AVERAGEIFS('Picarro Output'!G:G, 'Picarro Output'!$B:$B, 'Uncalibrated Data'!$C2929, 'Picarro Output'!$I:$I, 0, 'Picarro Output'!$J:$J, 1), "")</f>
        <v/>
      </c>
    </row>
    <row r="2930" spans="2:5" x14ac:dyDescent="0.2">
      <c r="B2930" s="1"/>
      <c r="E2930" s="38" t="str">
        <f>IFERROR(AVERAGEIFS('Picarro Output'!G:G, 'Picarro Output'!$B:$B, 'Uncalibrated Data'!$C2930, 'Picarro Output'!$I:$I, 0, 'Picarro Output'!$J:$J, 1), "")</f>
        <v/>
      </c>
    </row>
    <row r="2931" spans="2:5" x14ac:dyDescent="0.2">
      <c r="B2931" s="1"/>
      <c r="E2931" s="38" t="str">
        <f>IFERROR(AVERAGEIFS('Picarro Output'!G:G, 'Picarro Output'!$B:$B, 'Uncalibrated Data'!$C2931, 'Picarro Output'!$I:$I, 0, 'Picarro Output'!$J:$J, 1), "")</f>
        <v/>
      </c>
    </row>
    <row r="2932" spans="2:5" x14ac:dyDescent="0.2">
      <c r="B2932" s="1"/>
      <c r="E2932" s="38" t="str">
        <f>IFERROR(AVERAGEIFS('Picarro Output'!G:G, 'Picarro Output'!$B:$B, 'Uncalibrated Data'!$C2932, 'Picarro Output'!$I:$I, 0, 'Picarro Output'!$J:$J, 1), "")</f>
        <v/>
      </c>
    </row>
    <row r="2933" spans="2:5" x14ac:dyDescent="0.2">
      <c r="B2933" s="1"/>
      <c r="E2933" s="38" t="str">
        <f>IFERROR(AVERAGEIFS('Picarro Output'!G:G, 'Picarro Output'!$B:$B, 'Uncalibrated Data'!$C2933, 'Picarro Output'!$I:$I, 0, 'Picarro Output'!$J:$J, 1), "")</f>
        <v/>
      </c>
    </row>
    <row r="2934" spans="2:5" x14ac:dyDescent="0.2">
      <c r="B2934" s="1"/>
      <c r="E2934" s="38" t="str">
        <f>IFERROR(AVERAGEIFS('Picarro Output'!G:G, 'Picarro Output'!$B:$B, 'Uncalibrated Data'!$C2934, 'Picarro Output'!$I:$I, 0, 'Picarro Output'!$J:$J, 1), "")</f>
        <v/>
      </c>
    </row>
    <row r="2935" spans="2:5" x14ac:dyDescent="0.2">
      <c r="B2935" s="1"/>
      <c r="E2935" s="38" t="str">
        <f>IFERROR(AVERAGEIFS('Picarro Output'!G:G, 'Picarro Output'!$B:$B, 'Uncalibrated Data'!$C2935, 'Picarro Output'!$I:$I, 0, 'Picarro Output'!$J:$J, 1), "")</f>
        <v/>
      </c>
    </row>
    <row r="2936" spans="2:5" x14ac:dyDescent="0.2">
      <c r="B2936" s="1"/>
      <c r="E2936" s="38" t="str">
        <f>IFERROR(AVERAGEIFS('Picarro Output'!G:G, 'Picarro Output'!$B:$B, 'Uncalibrated Data'!$C2936, 'Picarro Output'!$I:$I, 0, 'Picarro Output'!$J:$J, 1), "")</f>
        <v/>
      </c>
    </row>
    <row r="2937" spans="2:5" x14ac:dyDescent="0.2">
      <c r="B2937" s="1"/>
      <c r="E2937" s="38" t="str">
        <f>IFERROR(AVERAGEIFS('Picarro Output'!G:G, 'Picarro Output'!$B:$B, 'Uncalibrated Data'!$C2937, 'Picarro Output'!$I:$I, 0, 'Picarro Output'!$J:$J, 1), "")</f>
        <v/>
      </c>
    </row>
    <row r="2938" spans="2:5" x14ac:dyDescent="0.2">
      <c r="B2938" s="1"/>
      <c r="E2938" s="38" t="str">
        <f>IFERROR(AVERAGEIFS('Picarro Output'!G:G, 'Picarro Output'!$B:$B, 'Uncalibrated Data'!$C2938, 'Picarro Output'!$I:$I, 0, 'Picarro Output'!$J:$J, 1), "")</f>
        <v/>
      </c>
    </row>
    <row r="2939" spans="2:5" x14ac:dyDescent="0.2">
      <c r="B2939" s="1"/>
      <c r="E2939" s="38" t="str">
        <f>IFERROR(AVERAGEIFS('Picarro Output'!G:G, 'Picarro Output'!$B:$B, 'Uncalibrated Data'!$C2939, 'Picarro Output'!$I:$I, 0, 'Picarro Output'!$J:$J, 1), "")</f>
        <v/>
      </c>
    </row>
    <row r="2940" spans="2:5" x14ac:dyDescent="0.2">
      <c r="B2940" s="1"/>
      <c r="E2940" s="38" t="str">
        <f>IFERROR(AVERAGEIFS('Picarro Output'!G:G, 'Picarro Output'!$B:$B, 'Uncalibrated Data'!$C2940, 'Picarro Output'!$I:$I, 0, 'Picarro Output'!$J:$J, 1), "")</f>
        <v/>
      </c>
    </row>
    <row r="2941" spans="2:5" x14ac:dyDescent="0.2">
      <c r="B2941" s="1"/>
      <c r="E2941" s="38" t="str">
        <f>IFERROR(AVERAGEIFS('Picarro Output'!G:G, 'Picarro Output'!$B:$B, 'Uncalibrated Data'!$C2941, 'Picarro Output'!$I:$I, 0, 'Picarro Output'!$J:$J, 1), "")</f>
        <v/>
      </c>
    </row>
    <row r="2942" spans="2:5" x14ac:dyDescent="0.2">
      <c r="B2942" s="1"/>
      <c r="E2942" s="38" t="str">
        <f>IFERROR(AVERAGEIFS('Picarro Output'!G:G, 'Picarro Output'!$B:$B, 'Uncalibrated Data'!$C2942, 'Picarro Output'!$I:$I, 0, 'Picarro Output'!$J:$J, 1), "")</f>
        <v/>
      </c>
    </row>
    <row r="2943" spans="2:5" x14ac:dyDescent="0.2">
      <c r="B2943" s="1"/>
      <c r="E2943" s="38" t="str">
        <f>IFERROR(AVERAGEIFS('Picarro Output'!G:G, 'Picarro Output'!$B:$B, 'Uncalibrated Data'!$C2943, 'Picarro Output'!$I:$I, 0, 'Picarro Output'!$J:$J, 1), "")</f>
        <v/>
      </c>
    </row>
    <row r="2944" spans="2:5" x14ac:dyDescent="0.2">
      <c r="B2944" s="1"/>
      <c r="E2944" s="38" t="str">
        <f>IFERROR(AVERAGEIFS('Picarro Output'!G:G, 'Picarro Output'!$B:$B, 'Uncalibrated Data'!$C2944, 'Picarro Output'!$I:$I, 0, 'Picarro Output'!$J:$J, 1), "")</f>
        <v/>
      </c>
    </row>
    <row r="2945" spans="2:5" x14ac:dyDescent="0.2">
      <c r="B2945" s="1"/>
      <c r="E2945" s="38" t="str">
        <f>IFERROR(AVERAGEIFS('Picarro Output'!G:G, 'Picarro Output'!$B:$B, 'Uncalibrated Data'!$C2945, 'Picarro Output'!$I:$I, 0, 'Picarro Output'!$J:$J, 1), "")</f>
        <v/>
      </c>
    </row>
    <row r="2946" spans="2:5" x14ac:dyDescent="0.2">
      <c r="B2946" s="1"/>
      <c r="E2946" s="38" t="str">
        <f>IFERROR(AVERAGEIFS('Picarro Output'!G:G, 'Picarro Output'!$B:$B, 'Uncalibrated Data'!$C2946, 'Picarro Output'!$I:$I, 0, 'Picarro Output'!$J:$J, 1), "")</f>
        <v/>
      </c>
    </row>
    <row r="2947" spans="2:5" x14ac:dyDescent="0.2">
      <c r="B2947" s="1"/>
      <c r="E2947" s="38" t="str">
        <f>IFERROR(AVERAGEIFS('Picarro Output'!G:G, 'Picarro Output'!$B:$B, 'Uncalibrated Data'!$C2947, 'Picarro Output'!$I:$I, 0, 'Picarro Output'!$J:$J, 1), "")</f>
        <v/>
      </c>
    </row>
    <row r="2948" spans="2:5" x14ac:dyDescent="0.2">
      <c r="B2948" s="1"/>
      <c r="E2948" s="38" t="str">
        <f>IFERROR(AVERAGEIFS('Picarro Output'!G:G, 'Picarro Output'!$B:$B, 'Uncalibrated Data'!$C2948, 'Picarro Output'!$I:$I, 0, 'Picarro Output'!$J:$J, 1), "")</f>
        <v/>
      </c>
    </row>
    <row r="2949" spans="2:5" x14ac:dyDescent="0.2">
      <c r="B2949" s="1"/>
      <c r="E2949" s="38" t="str">
        <f>IFERROR(AVERAGEIFS('Picarro Output'!G:G, 'Picarro Output'!$B:$B, 'Uncalibrated Data'!$C2949, 'Picarro Output'!$I:$I, 0, 'Picarro Output'!$J:$J, 1), "")</f>
        <v/>
      </c>
    </row>
    <row r="2950" spans="2:5" x14ac:dyDescent="0.2">
      <c r="B2950" s="1"/>
      <c r="E2950" s="38" t="str">
        <f>IFERROR(AVERAGEIFS('Picarro Output'!G:G, 'Picarro Output'!$B:$B, 'Uncalibrated Data'!$C2950, 'Picarro Output'!$I:$I, 0, 'Picarro Output'!$J:$J, 1), "")</f>
        <v/>
      </c>
    </row>
    <row r="2951" spans="2:5" x14ac:dyDescent="0.2">
      <c r="B2951" s="1"/>
      <c r="E2951" s="38" t="str">
        <f>IFERROR(AVERAGEIFS('Picarro Output'!G:G, 'Picarro Output'!$B:$B, 'Uncalibrated Data'!$C2951, 'Picarro Output'!$I:$I, 0, 'Picarro Output'!$J:$J, 1), "")</f>
        <v/>
      </c>
    </row>
    <row r="2952" spans="2:5" x14ac:dyDescent="0.2">
      <c r="B2952" s="1"/>
      <c r="E2952" s="38" t="str">
        <f>IFERROR(AVERAGEIFS('Picarro Output'!G:G, 'Picarro Output'!$B:$B, 'Uncalibrated Data'!$C2952, 'Picarro Output'!$I:$I, 0, 'Picarro Output'!$J:$J, 1), "")</f>
        <v/>
      </c>
    </row>
    <row r="2953" spans="2:5" x14ac:dyDescent="0.2">
      <c r="B2953" s="1"/>
      <c r="E2953" s="38" t="str">
        <f>IFERROR(AVERAGEIFS('Picarro Output'!G:G, 'Picarro Output'!$B:$B, 'Uncalibrated Data'!$C2953, 'Picarro Output'!$I:$I, 0, 'Picarro Output'!$J:$J, 1), "")</f>
        <v/>
      </c>
    </row>
    <row r="2954" spans="2:5" x14ac:dyDescent="0.2">
      <c r="B2954" s="1"/>
      <c r="E2954" s="38" t="str">
        <f>IFERROR(AVERAGEIFS('Picarro Output'!G:G, 'Picarro Output'!$B:$B, 'Uncalibrated Data'!$C2954, 'Picarro Output'!$I:$I, 0, 'Picarro Output'!$J:$J, 1), "")</f>
        <v/>
      </c>
    </row>
    <row r="2955" spans="2:5" x14ac:dyDescent="0.2">
      <c r="B2955" s="1"/>
      <c r="E2955" s="38" t="str">
        <f>IFERROR(AVERAGEIFS('Picarro Output'!G:G, 'Picarro Output'!$B:$B, 'Uncalibrated Data'!$C2955, 'Picarro Output'!$I:$I, 0, 'Picarro Output'!$J:$J, 1), "")</f>
        <v/>
      </c>
    </row>
    <row r="2956" spans="2:5" x14ac:dyDescent="0.2">
      <c r="B2956" s="1"/>
      <c r="E2956" s="38" t="str">
        <f>IFERROR(AVERAGEIFS('Picarro Output'!G:G, 'Picarro Output'!$B:$B, 'Uncalibrated Data'!$C2956, 'Picarro Output'!$I:$I, 0, 'Picarro Output'!$J:$J, 1), "")</f>
        <v/>
      </c>
    </row>
    <row r="2957" spans="2:5" x14ac:dyDescent="0.2">
      <c r="B2957" s="1"/>
      <c r="E2957" s="38" t="str">
        <f>IFERROR(AVERAGEIFS('Picarro Output'!G:G, 'Picarro Output'!$B:$B, 'Uncalibrated Data'!$C2957, 'Picarro Output'!$I:$I, 0, 'Picarro Output'!$J:$J, 1), "")</f>
        <v/>
      </c>
    </row>
    <row r="2958" spans="2:5" x14ac:dyDescent="0.2">
      <c r="B2958" s="1"/>
      <c r="E2958" s="38" t="str">
        <f>IFERROR(AVERAGEIFS('Picarro Output'!G:G, 'Picarro Output'!$B:$B, 'Uncalibrated Data'!$C2958, 'Picarro Output'!$I:$I, 0, 'Picarro Output'!$J:$J, 1), "")</f>
        <v/>
      </c>
    </row>
    <row r="2959" spans="2:5" x14ac:dyDescent="0.2">
      <c r="B2959" s="1"/>
      <c r="E2959" s="38" t="str">
        <f>IFERROR(AVERAGEIFS('Picarro Output'!G:G, 'Picarro Output'!$B:$B, 'Uncalibrated Data'!$C2959, 'Picarro Output'!$I:$I, 0, 'Picarro Output'!$J:$J, 1), "")</f>
        <v/>
      </c>
    </row>
    <row r="2960" spans="2:5" x14ac:dyDescent="0.2">
      <c r="B2960" s="1"/>
      <c r="E2960" s="38" t="str">
        <f>IFERROR(AVERAGEIFS('Picarro Output'!G:G, 'Picarro Output'!$B:$B, 'Uncalibrated Data'!$C2960, 'Picarro Output'!$I:$I, 0, 'Picarro Output'!$J:$J, 1), "")</f>
        <v/>
      </c>
    </row>
    <row r="2961" spans="2:5" x14ac:dyDescent="0.2">
      <c r="B2961" s="1"/>
      <c r="E2961" s="38" t="str">
        <f>IFERROR(AVERAGEIFS('Picarro Output'!G:G, 'Picarro Output'!$B:$B, 'Uncalibrated Data'!$C2961, 'Picarro Output'!$I:$I, 0, 'Picarro Output'!$J:$J, 1), "")</f>
        <v/>
      </c>
    </row>
    <row r="2962" spans="2:5" x14ac:dyDescent="0.2">
      <c r="B2962" s="1"/>
      <c r="E2962" s="38" t="str">
        <f>IFERROR(AVERAGEIFS('Picarro Output'!G:G, 'Picarro Output'!$B:$B, 'Uncalibrated Data'!$C2962, 'Picarro Output'!$I:$I, 0, 'Picarro Output'!$J:$J, 1), "")</f>
        <v/>
      </c>
    </row>
    <row r="2963" spans="2:5" x14ac:dyDescent="0.2">
      <c r="B2963" s="1"/>
      <c r="E2963" s="38" t="str">
        <f>IFERROR(AVERAGEIFS('Picarro Output'!G:G, 'Picarro Output'!$B:$B, 'Uncalibrated Data'!$C2963, 'Picarro Output'!$I:$I, 0, 'Picarro Output'!$J:$J, 1), "")</f>
        <v/>
      </c>
    </row>
    <row r="2964" spans="2:5" x14ac:dyDescent="0.2">
      <c r="B2964" s="1"/>
      <c r="E2964" s="38" t="str">
        <f>IFERROR(AVERAGEIFS('Picarro Output'!G:G, 'Picarro Output'!$B:$B, 'Uncalibrated Data'!$C2964, 'Picarro Output'!$I:$I, 0, 'Picarro Output'!$J:$J, 1), "")</f>
        <v/>
      </c>
    </row>
    <row r="2965" spans="2:5" x14ac:dyDescent="0.2">
      <c r="B2965" s="1"/>
      <c r="E2965" s="38" t="str">
        <f>IFERROR(AVERAGEIFS('Picarro Output'!G:G, 'Picarro Output'!$B:$B, 'Uncalibrated Data'!$C2965, 'Picarro Output'!$I:$I, 0, 'Picarro Output'!$J:$J, 1), "")</f>
        <v/>
      </c>
    </row>
    <row r="2966" spans="2:5" x14ac:dyDescent="0.2">
      <c r="B2966" s="1"/>
      <c r="E2966" s="38" t="str">
        <f>IFERROR(AVERAGEIFS('Picarro Output'!G:G, 'Picarro Output'!$B:$B, 'Uncalibrated Data'!$C2966, 'Picarro Output'!$I:$I, 0, 'Picarro Output'!$J:$J, 1), "")</f>
        <v/>
      </c>
    </row>
    <row r="2967" spans="2:5" x14ac:dyDescent="0.2">
      <c r="B2967" s="1"/>
      <c r="E2967" s="38" t="str">
        <f>IFERROR(AVERAGEIFS('Picarro Output'!G:G, 'Picarro Output'!$B:$B, 'Uncalibrated Data'!$C2967, 'Picarro Output'!$I:$I, 0, 'Picarro Output'!$J:$J, 1), "")</f>
        <v/>
      </c>
    </row>
    <row r="2968" spans="2:5" x14ac:dyDescent="0.2">
      <c r="B2968" s="1"/>
      <c r="E2968" s="38" t="str">
        <f>IFERROR(AVERAGEIFS('Picarro Output'!G:G, 'Picarro Output'!$B:$B, 'Uncalibrated Data'!$C2968, 'Picarro Output'!$I:$I, 0, 'Picarro Output'!$J:$J, 1), "")</f>
        <v/>
      </c>
    </row>
    <row r="2969" spans="2:5" x14ac:dyDescent="0.2">
      <c r="B2969" s="1"/>
      <c r="E2969" s="38" t="str">
        <f>IFERROR(AVERAGEIFS('Picarro Output'!G:G, 'Picarro Output'!$B:$B, 'Uncalibrated Data'!$C2969, 'Picarro Output'!$I:$I, 0, 'Picarro Output'!$J:$J, 1), "")</f>
        <v/>
      </c>
    </row>
    <row r="2970" spans="2:5" x14ac:dyDescent="0.2">
      <c r="B2970" s="1"/>
      <c r="E2970" s="38" t="str">
        <f>IFERROR(AVERAGEIFS('Picarro Output'!G:G, 'Picarro Output'!$B:$B, 'Uncalibrated Data'!$C2970, 'Picarro Output'!$I:$I, 0, 'Picarro Output'!$J:$J, 1), "")</f>
        <v/>
      </c>
    </row>
    <row r="2971" spans="2:5" x14ac:dyDescent="0.2">
      <c r="B2971" s="1"/>
      <c r="E2971" s="38" t="str">
        <f>IFERROR(AVERAGEIFS('Picarro Output'!G:G, 'Picarro Output'!$B:$B, 'Uncalibrated Data'!$C2971, 'Picarro Output'!$I:$I, 0, 'Picarro Output'!$J:$J, 1), "")</f>
        <v/>
      </c>
    </row>
    <row r="2972" spans="2:5" x14ac:dyDescent="0.2">
      <c r="B2972" s="1"/>
      <c r="E2972" s="38" t="str">
        <f>IFERROR(AVERAGEIFS('Picarro Output'!G:G, 'Picarro Output'!$B:$B, 'Uncalibrated Data'!$C2972, 'Picarro Output'!$I:$I, 0, 'Picarro Output'!$J:$J, 1), "")</f>
        <v/>
      </c>
    </row>
    <row r="2973" spans="2:5" x14ac:dyDescent="0.2">
      <c r="B2973" s="1"/>
      <c r="E2973" s="38" t="str">
        <f>IFERROR(AVERAGEIFS('Picarro Output'!G:G, 'Picarro Output'!$B:$B, 'Uncalibrated Data'!$C2973, 'Picarro Output'!$I:$I, 0, 'Picarro Output'!$J:$J, 1), "")</f>
        <v/>
      </c>
    </row>
    <row r="2974" spans="2:5" x14ac:dyDescent="0.2">
      <c r="B2974" s="1"/>
      <c r="E2974" s="38" t="str">
        <f>IFERROR(AVERAGEIFS('Picarro Output'!G:G, 'Picarro Output'!$B:$B, 'Uncalibrated Data'!$C2974, 'Picarro Output'!$I:$I, 0, 'Picarro Output'!$J:$J, 1), "")</f>
        <v/>
      </c>
    </row>
    <row r="2975" spans="2:5" x14ac:dyDescent="0.2">
      <c r="B2975" s="1"/>
      <c r="E2975" s="38" t="str">
        <f>IFERROR(AVERAGEIFS('Picarro Output'!G:G, 'Picarro Output'!$B:$B, 'Uncalibrated Data'!$C2975, 'Picarro Output'!$I:$I, 0, 'Picarro Output'!$J:$J, 1), "")</f>
        <v/>
      </c>
    </row>
    <row r="2976" spans="2:5" x14ac:dyDescent="0.2">
      <c r="B2976" s="1"/>
      <c r="E2976" s="38" t="str">
        <f>IFERROR(AVERAGEIFS('Picarro Output'!G:G, 'Picarro Output'!$B:$B, 'Uncalibrated Data'!$C2976, 'Picarro Output'!$I:$I, 0, 'Picarro Output'!$J:$J, 1), "")</f>
        <v/>
      </c>
    </row>
    <row r="2977" spans="2:5" x14ac:dyDescent="0.2">
      <c r="B2977" s="1"/>
      <c r="E2977" s="38" t="str">
        <f>IFERROR(AVERAGEIFS('Picarro Output'!G:G, 'Picarro Output'!$B:$B, 'Uncalibrated Data'!$C2977, 'Picarro Output'!$I:$I, 0, 'Picarro Output'!$J:$J, 1), "")</f>
        <v/>
      </c>
    </row>
    <row r="2978" spans="2:5" x14ac:dyDescent="0.2">
      <c r="B2978" s="1"/>
      <c r="E2978" s="38" t="str">
        <f>IFERROR(AVERAGEIFS('Picarro Output'!G:G, 'Picarro Output'!$B:$B, 'Uncalibrated Data'!$C2978, 'Picarro Output'!$I:$I, 0, 'Picarro Output'!$J:$J, 1), "")</f>
        <v/>
      </c>
    </row>
    <row r="2979" spans="2:5" x14ac:dyDescent="0.2">
      <c r="B2979" s="1"/>
      <c r="E2979" s="38" t="str">
        <f>IFERROR(AVERAGEIFS('Picarro Output'!G:G, 'Picarro Output'!$B:$B, 'Uncalibrated Data'!$C2979, 'Picarro Output'!$I:$I, 0, 'Picarro Output'!$J:$J, 1), "")</f>
        <v/>
      </c>
    </row>
    <row r="2980" spans="2:5" x14ac:dyDescent="0.2">
      <c r="B2980" s="1"/>
      <c r="E2980" s="38" t="str">
        <f>IFERROR(AVERAGEIFS('Picarro Output'!G:G, 'Picarro Output'!$B:$B, 'Uncalibrated Data'!$C2980, 'Picarro Output'!$I:$I, 0, 'Picarro Output'!$J:$J, 1), "")</f>
        <v/>
      </c>
    </row>
    <row r="2981" spans="2:5" x14ac:dyDescent="0.2">
      <c r="B2981" s="1"/>
      <c r="E2981" s="38" t="str">
        <f>IFERROR(AVERAGEIFS('Picarro Output'!G:G, 'Picarro Output'!$B:$B, 'Uncalibrated Data'!$C2981, 'Picarro Output'!$I:$I, 0, 'Picarro Output'!$J:$J, 1), "")</f>
        <v/>
      </c>
    </row>
    <row r="2982" spans="2:5" x14ac:dyDescent="0.2">
      <c r="B2982" s="1"/>
      <c r="E2982" s="38" t="str">
        <f>IFERROR(AVERAGEIFS('Picarro Output'!G:G, 'Picarro Output'!$B:$B, 'Uncalibrated Data'!$C2982, 'Picarro Output'!$I:$I, 0, 'Picarro Output'!$J:$J, 1), "")</f>
        <v/>
      </c>
    </row>
    <row r="2983" spans="2:5" x14ac:dyDescent="0.2">
      <c r="B2983" s="1"/>
      <c r="E2983" s="38" t="str">
        <f>IFERROR(AVERAGEIFS('Picarro Output'!G:G, 'Picarro Output'!$B:$B, 'Uncalibrated Data'!$C2983, 'Picarro Output'!$I:$I, 0, 'Picarro Output'!$J:$J, 1), "")</f>
        <v/>
      </c>
    </row>
    <row r="2984" spans="2:5" x14ac:dyDescent="0.2">
      <c r="B2984" s="1"/>
      <c r="E2984" s="38" t="str">
        <f>IFERROR(AVERAGEIFS('Picarro Output'!G:G, 'Picarro Output'!$B:$B, 'Uncalibrated Data'!$C2984, 'Picarro Output'!$I:$I, 0, 'Picarro Output'!$J:$J, 1), "")</f>
        <v/>
      </c>
    </row>
    <row r="2985" spans="2:5" x14ac:dyDescent="0.2">
      <c r="B2985" s="1"/>
      <c r="E2985" s="38" t="str">
        <f>IFERROR(AVERAGEIFS('Picarro Output'!G:G, 'Picarro Output'!$B:$B, 'Uncalibrated Data'!$C2985, 'Picarro Output'!$I:$I, 0, 'Picarro Output'!$J:$J, 1), "")</f>
        <v/>
      </c>
    </row>
    <row r="2986" spans="2:5" x14ac:dyDescent="0.2">
      <c r="B2986" s="1"/>
      <c r="E2986" s="38" t="str">
        <f>IFERROR(AVERAGEIFS('Picarro Output'!G:G, 'Picarro Output'!$B:$B, 'Uncalibrated Data'!$C2986, 'Picarro Output'!$I:$I, 0, 'Picarro Output'!$J:$J, 1), "")</f>
        <v/>
      </c>
    </row>
    <row r="2987" spans="2:5" x14ac:dyDescent="0.2">
      <c r="B2987" s="1"/>
      <c r="E2987" s="38" t="str">
        <f>IFERROR(AVERAGEIFS('Picarro Output'!G:G, 'Picarro Output'!$B:$B, 'Uncalibrated Data'!$C2987, 'Picarro Output'!$I:$I, 0, 'Picarro Output'!$J:$J, 1), "")</f>
        <v/>
      </c>
    </row>
    <row r="2988" spans="2:5" x14ac:dyDescent="0.2">
      <c r="B2988" s="1"/>
      <c r="E2988" s="38" t="str">
        <f>IFERROR(AVERAGEIFS('Picarro Output'!G:G, 'Picarro Output'!$B:$B, 'Uncalibrated Data'!$C2988, 'Picarro Output'!$I:$I, 0, 'Picarro Output'!$J:$J, 1), "")</f>
        <v/>
      </c>
    </row>
    <row r="2989" spans="2:5" x14ac:dyDescent="0.2">
      <c r="B2989" s="1"/>
      <c r="E2989" s="38" t="str">
        <f>IFERROR(AVERAGEIFS('Picarro Output'!G:G, 'Picarro Output'!$B:$B, 'Uncalibrated Data'!$C2989, 'Picarro Output'!$I:$I, 0, 'Picarro Output'!$J:$J, 1), "")</f>
        <v/>
      </c>
    </row>
    <row r="2990" spans="2:5" x14ac:dyDescent="0.2">
      <c r="B2990" s="1"/>
      <c r="E2990" s="38" t="str">
        <f>IFERROR(AVERAGEIFS('Picarro Output'!G:G, 'Picarro Output'!$B:$B, 'Uncalibrated Data'!$C2990, 'Picarro Output'!$I:$I, 0, 'Picarro Output'!$J:$J, 1), "")</f>
        <v/>
      </c>
    </row>
    <row r="2991" spans="2:5" x14ac:dyDescent="0.2">
      <c r="B2991" s="1"/>
      <c r="E2991" s="38" t="str">
        <f>IFERROR(AVERAGEIFS('Picarro Output'!G:G, 'Picarro Output'!$B:$B, 'Uncalibrated Data'!$C2991, 'Picarro Output'!$I:$I, 0, 'Picarro Output'!$J:$J, 1), "")</f>
        <v/>
      </c>
    </row>
    <row r="2992" spans="2:5" x14ac:dyDescent="0.2">
      <c r="B2992" s="1"/>
      <c r="E2992" s="38" t="str">
        <f>IFERROR(AVERAGEIFS('Picarro Output'!G:G, 'Picarro Output'!$B:$B, 'Uncalibrated Data'!$C2992, 'Picarro Output'!$I:$I, 0, 'Picarro Output'!$J:$J, 1), "")</f>
        <v/>
      </c>
    </row>
    <row r="2993" spans="2:5" x14ac:dyDescent="0.2">
      <c r="B2993" s="1"/>
      <c r="E2993" s="38" t="str">
        <f>IFERROR(AVERAGEIFS('Picarro Output'!G:G, 'Picarro Output'!$B:$B, 'Uncalibrated Data'!$C2993, 'Picarro Output'!$I:$I, 0, 'Picarro Output'!$J:$J, 1), "")</f>
        <v/>
      </c>
    </row>
    <row r="2994" spans="2:5" x14ac:dyDescent="0.2">
      <c r="B2994" s="1"/>
      <c r="E2994" s="38" t="str">
        <f>IFERROR(AVERAGEIFS('Picarro Output'!G:G, 'Picarro Output'!$B:$B, 'Uncalibrated Data'!$C2994, 'Picarro Output'!$I:$I, 0, 'Picarro Output'!$J:$J, 1), "")</f>
        <v/>
      </c>
    </row>
    <row r="2995" spans="2:5" x14ac:dyDescent="0.2">
      <c r="B2995" s="1"/>
      <c r="E2995" s="38" t="str">
        <f>IFERROR(AVERAGEIFS('Picarro Output'!G:G, 'Picarro Output'!$B:$B, 'Uncalibrated Data'!$C2995, 'Picarro Output'!$I:$I, 0, 'Picarro Output'!$J:$J, 1), "")</f>
        <v/>
      </c>
    </row>
    <row r="2996" spans="2:5" x14ac:dyDescent="0.2">
      <c r="B2996" s="1"/>
      <c r="E2996" s="38" t="str">
        <f>IFERROR(AVERAGEIFS('Picarro Output'!G:G, 'Picarro Output'!$B:$B, 'Uncalibrated Data'!$C2996, 'Picarro Output'!$I:$I, 0, 'Picarro Output'!$J:$J, 1), "")</f>
        <v/>
      </c>
    </row>
    <row r="2997" spans="2:5" x14ac:dyDescent="0.2">
      <c r="B2997" s="1"/>
      <c r="E2997" s="38" t="str">
        <f>IFERROR(AVERAGEIFS('Picarro Output'!G:G, 'Picarro Output'!$B:$B, 'Uncalibrated Data'!$C2997, 'Picarro Output'!$I:$I, 0, 'Picarro Output'!$J:$J, 1), "")</f>
        <v/>
      </c>
    </row>
    <row r="2998" spans="2:5" x14ac:dyDescent="0.2">
      <c r="B2998" s="1"/>
      <c r="E2998" s="38" t="str">
        <f>IFERROR(AVERAGEIFS('Picarro Output'!G:G, 'Picarro Output'!$B:$B, 'Uncalibrated Data'!$C2998, 'Picarro Output'!$I:$I, 0, 'Picarro Output'!$J:$J, 1), "")</f>
        <v/>
      </c>
    </row>
    <row r="2999" spans="2:5" x14ac:dyDescent="0.2">
      <c r="B2999" s="1"/>
      <c r="E2999" s="38" t="str">
        <f>IFERROR(AVERAGEIFS('Picarro Output'!G:G, 'Picarro Output'!$B:$B, 'Uncalibrated Data'!$C2999, 'Picarro Output'!$I:$I, 0, 'Picarro Output'!$J:$J, 1), "")</f>
        <v/>
      </c>
    </row>
    <row r="3000" spans="2:5" x14ac:dyDescent="0.2">
      <c r="B3000" s="1"/>
      <c r="E3000" s="38" t="str">
        <f>IFERROR(AVERAGEIFS('Picarro Output'!G:G, 'Picarro Output'!$B:$B, 'Uncalibrated Data'!$C3000, 'Picarro Output'!$I:$I, 0, 'Picarro Output'!$J:$J, 1), "")</f>
        <v/>
      </c>
    </row>
    <row r="3001" spans="2:5" x14ac:dyDescent="0.2">
      <c r="B3001" s="1"/>
      <c r="E3001" s="38" t="str">
        <f>IFERROR(AVERAGEIFS('Picarro Output'!G:G, 'Picarro Output'!$B:$B, 'Uncalibrated Data'!$C3001, 'Picarro Output'!$I:$I, 0, 'Picarro Output'!$J:$J, 1), "")</f>
        <v/>
      </c>
    </row>
    <row r="3002" spans="2:5" x14ac:dyDescent="0.2">
      <c r="B3002" s="1"/>
      <c r="E3002" s="38" t="str">
        <f>IFERROR(AVERAGEIFS('Picarro Output'!G:G, 'Picarro Output'!$B:$B, 'Uncalibrated Data'!$C3002, 'Picarro Output'!$I:$I, 0, 'Picarro Output'!$J:$J, 1), "")</f>
        <v/>
      </c>
    </row>
    <row r="3003" spans="2:5" x14ac:dyDescent="0.2">
      <c r="B3003" s="1"/>
      <c r="E3003" s="38" t="str">
        <f>IFERROR(AVERAGEIFS('Picarro Output'!G:G, 'Picarro Output'!$B:$B, 'Uncalibrated Data'!$C3003, 'Picarro Output'!$I:$I, 0, 'Picarro Output'!$J:$J, 1), "")</f>
        <v/>
      </c>
    </row>
    <row r="3004" spans="2:5" x14ac:dyDescent="0.2">
      <c r="B3004" s="1"/>
      <c r="E3004" s="38" t="str">
        <f>IFERROR(AVERAGEIFS('Picarro Output'!G:G, 'Picarro Output'!$B:$B, 'Uncalibrated Data'!$C3004, 'Picarro Output'!$I:$I, 0, 'Picarro Output'!$J:$J, 1), "")</f>
        <v/>
      </c>
    </row>
    <row r="3005" spans="2:5" x14ac:dyDescent="0.2">
      <c r="B3005" s="1"/>
      <c r="E3005" s="38" t="str">
        <f>IFERROR(AVERAGEIFS('Picarro Output'!G:G, 'Picarro Output'!$B:$B, 'Uncalibrated Data'!$C3005, 'Picarro Output'!$I:$I, 0, 'Picarro Output'!$J:$J, 1), "")</f>
        <v/>
      </c>
    </row>
    <row r="3006" spans="2:5" x14ac:dyDescent="0.2">
      <c r="B3006" s="1"/>
      <c r="E3006" s="38" t="str">
        <f>IFERROR(AVERAGEIFS('Picarro Output'!G:G, 'Picarro Output'!$B:$B, 'Uncalibrated Data'!$C3006, 'Picarro Output'!$I:$I, 0, 'Picarro Output'!$J:$J, 1), "")</f>
        <v/>
      </c>
    </row>
    <row r="3007" spans="2:5" x14ac:dyDescent="0.2">
      <c r="B3007" s="1"/>
      <c r="E3007" s="38" t="str">
        <f>IFERROR(AVERAGEIFS('Picarro Output'!G:G, 'Picarro Output'!$B:$B, 'Uncalibrated Data'!$C3007, 'Picarro Output'!$I:$I, 0, 'Picarro Output'!$J:$J, 1), "")</f>
        <v/>
      </c>
    </row>
    <row r="3008" spans="2:5" x14ac:dyDescent="0.2">
      <c r="B3008" s="1"/>
      <c r="E3008" s="38" t="str">
        <f>IFERROR(AVERAGEIFS('Picarro Output'!G:G, 'Picarro Output'!$B:$B, 'Uncalibrated Data'!$C3008, 'Picarro Output'!$I:$I, 0, 'Picarro Output'!$J:$J, 1), "")</f>
        <v/>
      </c>
    </row>
    <row r="3009" spans="2:5" x14ac:dyDescent="0.2">
      <c r="B3009" s="1"/>
      <c r="E3009" s="38" t="str">
        <f>IFERROR(AVERAGEIFS('Picarro Output'!G:G, 'Picarro Output'!$B:$B, 'Uncalibrated Data'!$C3009, 'Picarro Output'!$I:$I, 0, 'Picarro Output'!$J:$J, 1), "")</f>
        <v/>
      </c>
    </row>
    <row r="3010" spans="2:5" x14ac:dyDescent="0.2">
      <c r="B3010" s="1"/>
      <c r="E3010" s="38" t="str">
        <f>IFERROR(AVERAGEIFS('Picarro Output'!G:G, 'Picarro Output'!$B:$B, 'Uncalibrated Data'!$C3010, 'Picarro Output'!$I:$I, 0, 'Picarro Output'!$J:$J, 1), "")</f>
        <v/>
      </c>
    </row>
    <row r="3011" spans="2:5" x14ac:dyDescent="0.2">
      <c r="B3011" s="1"/>
      <c r="E3011" s="38" t="str">
        <f>IFERROR(AVERAGEIFS('Picarro Output'!G:G, 'Picarro Output'!$B:$B, 'Uncalibrated Data'!$C3011, 'Picarro Output'!$I:$I, 0, 'Picarro Output'!$J:$J, 1), "")</f>
        <v/>
      </c>
    </row>
    <row r="3012" spans="2:5" x14ac:dyDescent="0.2">
      <c r="B3012" s="1"/>
      <c r="E3012" s="38" t="str">
        <f>IFERROR(AVERAGEIFS('Picarro Output'!G:G, 'Picarro Output'!$B:$B, 'Uncalibrated Data'!$C3012, 'Picarro Output'!$I:$I, 0, 'Picarro Output'!$J:$J, 1), "")</f>
        <v/>
      </c>
    </row>
    <row r="3013" spans="2:5" x14ac:dyDescent="0.2">
      <c r="B3013" s="1"/>
      <c r="E3013" s="38" t="str">
        <f>IFERROR(AVERAGEIFS('Picarro Output'!G:G, 'Picarro Output'!$B:$B, 'Uncalibrated Data'!$C3013, 'Picarro Output'!$I:$I, 0, 'Picarro Output'!$J:$J, 1), "")</f>
        <v/>
      </c>
    </row>
    <row r="3014" spans="2:5" x14ac:dyDescent="0.2">
      <c r="B3014" s="1"/>
      <c r="E3014" s="38" t="str">
        <f>IFERROR(AVERAGEIFS('Picarro Output'!G:G, 'Picarro Output'!$B:$B, 'Uncalibrated Data'!$C3014, 'Picarro Output'!$I:$I, 0, 'Picarro Output'!$J:$J, 1), "")</f>
        <v/>
      </c>
    </row>
    <row r="3015" spans="2:5" x14ac:dyDescent="0.2">
      <c r="B3015" s="1"/>
      <c r="E3015" s="38" t="str">
        <f>IFERROR(AVERAGEIFS('Picarro Output'!G:G, 'Picarro Output'!$B:$B, 'Uncalibrated Data'!$C3015, 'Picarro Output'!$I:$I, 0, 'Picarro Output'!$J:$J, 1), "")</f>
        <v/>
      </c>
    </row>
    <row r="3016" spans="2:5" x14ac:dyDescent="0.2">
      <c r="B3016" s="1"/>
      <c r="E3016" s="38" t="str">
        <f>IFERROR(AVERAGEIFS('Picarro Output'!G:G, 'Picarro Output'!$B:$B, 'Uncalibrated Data'!$C3016, 'Picarro Output'!$I:$I, 0, 'Picarro Output'!$J:$J, 1), "")</f>
        <v/>
      </c>
    </row>
    <row r="3017" spans="2:5" x14ac:dyDescent="0.2">
      <c r="B3017" s="1"/>
      <c r="E3017" s="38" t="str">
        <f>IFERROR(AVERAGEIFS('Picarro Output'!G:G, 'Picarro Output'!$B:$B, 'Uncalibrated Data'!$C3017, 'Picarro Output'!$I:$I, 0, 'Picarro Output'!$J:$J, 1), "")</f>
        <v/>
      </c>
    </row>
    <row r="3018" spans="2:5" x14ac:dyDescent="0.2">
      <c r="B3018" s="1"/>
      <c r="E3018" s="38" t="str">
        <f>IFERROR(AVERAGEIFS('Picarro Output'!G:G, 'Picarro Output'!$B:$B, 'Uncalibrated Data'!$C3018, 'Picarro Output'!$I:$I, 0, 'Picarro Output'!$J:$J, 1), "")</f>
        <v/>
      </c>
    </row>
    <row r="3019" spans="2:5" x14ac:dyDescent="0.2">
      <c r="B3019" s="1"/>
      <c r="E3019" s="38" t="str">
        <f>IFERROR(AVERAGEIFS('Picarro Output'!G:G, 'Picarro Output'!$B:$B, 'Uncalibrated Data'!$C3019, 'Picarro Output'!$I:$I, 0, 'Picarro Output'!$J:$J, 1), "")</f>
        <v/>
      </c>
    </row>
    <row r="3020" spans="2:5" x14ac:dyDescent="0.2">
      <c r="B3020" s="1"/>
      <c r="E3020" s="38" t="str">
        <f>IFERROR(AVERAGEIFS('Picarro Output'!G:G, 'Picarro Output'!$B:$B, 'Uncalibrated Data'!$C3020, 'Picarro Output'!$I:$I, 0, 'Picarro Output'!$J:$J, 1), "")</f>
        <v/>
      </c>
    </row>
    <row r="3021" spans="2:5" x14ac:dyDescent="0.2">
      <c r="B3021" s="1"/>
      <c r="E3021" s="38" t="str">
        <f>IFERROR(AVERAGEIFS('Picarro Output'!G:G, 'Picarro Output'!$B:$B, 'Uncalibrated Data'!$C3021, 'Picarro Output'!$I:$I, 0, 'Picarro Output'!$J:$J, 1), "")</f>
        <v/>
      </c>
    </row>
    <row r="3022" spans="2:5" x14ac:dyDescent="0.2">
      <c r="B3022" s="1"/>
      <c r="E3022" s="38" t="str">
        <f>IFERROR(AVERAGEIFS('Picarro Output'!G:G, 'Picarro Output'!$B:$B, 'Uncalibrated Data'!$C3022, 'Picarro Output'!$I:$I, 0, 'Picarro Output'!$J:$J, 1), "")</f>
        <v/>
      </c>
    </row>
    <row r="3023" spans="2:5" x14ac:dyDescent="0.2">
      <c r="B3023" s="1"/>
      <c r="E3023" s="38" t="str">
        <f>IFERROR(AVERAGEIFS('Picarro Output'!G:G, 'Picarro Output'!$B:$B, 'Uncalibrated Data'!$C3023, 'Picarro Output'!$I:$I, 0, 'Picarro Output'!$J:$J, 1), "")</f>
        <v/>
      </c>
    </row>
    <row r="3024" spans="2:5" x14ac:dyDescent="0.2">
      <c r="B3024" s="1"/>
      <c r="E3024" s="38" t="str">
        <f>IFERROR(AVERAGEIFS('Picarro Output'!G:G, 'Picarro Output'!$B:$B, 'Uncalibrated Data'!$C3024, 'Picarro Output'!$I:$I, 0, 'Picarro Output'!$J:$J, 1), "")</f>
        <v/>
      </c>
    </row>
    <row r="3025" spans="2:5" x14ac:dyDescent="0.2">
      <c r="B3025" s="1"/>
      <c r="E3025" s="38" t="str">
        <f>IFERROR(AVERAGEIFS('Picarro Output'!G:G, 'Picarro Output'!$B:$B, 'Uncalibrated Data'!$C3025, 'Picarro Output'!$I:$I, 0, 'Picarro Output'!$J:$J, 1), "")</f>
        <v/>
      </c>
    </row>
    <row r="3026" spans="2:5" x14ac:dyDescent="0.2">
      <c r="B3026" s="1"/>
      <c r="E3026" s="38" t="str">
        <f>IFERROR(AVERAGEIFS('Picarro Output'!G:G, 'Picarro Output'!$B:$B, 'Uncalibrated Data'!$C3026, 'Picarro Output'!$I:$I, 0, 'Picarro Output'!$J:$J, 1), "")</f>
        <v/>
      </c>
    </row>
    <row r="3027" spans="2:5" x14ac:dyDescent="0.2">
      <c r="B3027" s="1"/>
      <c r="E3027" s="38" t="str">
        <f>IFERROR(AVERAGEIFS('Picarro Output'!G:G, 'Picarro Output'!$B:$B, 'Uncalibrated Data'!$C3027, 'Picarro Output'!$I:$I, 0, 'Picarro Output'!$J:$J, 1), "")</f>
        <v/>
      </c>
    </row>
    <row r="3028" spans="2:5" x14ac:dyDescent="0.2">
      <c r="B3028" s="1"/>
      <c r="E3028" s="38" t="str">
        <f>IFERROR(AVERAGEIFS('Picarro Output'!G:G, 'Picarro Output'!$B:$B, 'Uncalibrated Data'!$C3028, 'Picarro Output'!$I:$I, 0, 'Picarro Output'!$J:$J, 1), "")</f>
        <v/>
      </c>
    </row>
    <row r="3029" spans="2:5" x14ac:dyDescent="0.2">
      <c r="B3029" s="1"/>
      <c r="E3029" s="38" t="str">
        <f>IFERROR(AVERAGEIFS('Picarro Output'!G:G, 'Picarro Output'!$B:$B, 'Uncalibrated Data'!$C3029, 'Picarro Output'!$I:$I, 0, 'Picarro Output'!$J:$J, 1), "")</f>
        <v/>
      </c>
    </row>
    <row r="3030" spans="2:5" x14ac:dyDescent="0.2">
      <c r="B3030" s="1"/>
      <c r="E3030" s="38" t="str">
        <f>IFERROR(AVERAGEIFS('Picarro Output'!G:G, 'Picarro Output'!$B:$B, 'Uncalibrated Data'!$C3030, 'Picarro Output'!$I:$I, 0, 'Picarro Output'!$J:$J, 1), "")</f>
        <v/>
      </c>
    </row>
    <row r="3031" spans="2:5" x14ac:dyDescent="0.2">
      <c r="B3031" s="1"/>
      <c r="E3031" s="38" t="str">
        <f>IFERROR(AVERAGEIFS('Picarro Output'!G:G, 'Picarro Output'!$B:$B, 'Uncalibrated Data'!$C3031, 'Picarro Output'!$I:$I, 0, 'Picarro Output'!$J:$J, 1), "")</f>
        <v/>
      </c>
    </row>
    <row r="3032" spans="2:5" x14ac:dyDescent="0.2">
      <c r="B3032" s="1"/>
      <c r="E3032" s="38" t="str">
        <f>IFERROR(AVERAGEIFS('Picarro Output'!G:G, 'Picarro Output'!$B:$B, 'Uncalibrated Data'!$C3032, 'Picarro Output'!$I:$I, 0, 'Picarro Output'!$J:$J, 1), "")</f>
        <v/>
      </c>
    </row>
    <row r="3033" spans="2:5" x14ac:dyDescent="0.2">
      <c r="B3033" s="1"/>
      <c r="E3033" s="38" t="str">
        <f>IFERROR(AVERAGEIFS('Picarro Output'!G:G, 'Picarro Output'!$B:$B, 'Uncalibrated Data'!$C3033, 'Picarro Output'!$I:$I, 0, 'Picarro Output'!$J:$J, 1), "")</f>
        <v/>
      </c>
    </row>
    <row r="3034" spans="2:5" x14ac:dyDescent="0.2">
      <c r="B3034" s="1"/>
      <c r="E3034" s="38" t="str">
        <f>IFERROR(AVERAGEIFS('Picarro Output'!G:G, 'Picarro Output'!$B:$B, 'Uncalibrated Data'!$C3034, 'Picarro Output'!$I:$I, 0, 'Picarro Output'!$J:$J, 1), "")</f>
        <v/>
      </c>
    </row>
    <row r="3035" spans="2:5" x14ac:dyDescent="0.2">
      <c r="B3035" s="1"/>
      <c r="E3035" s="38" t="str">
        <f>IFERROR(AVERAGEIFS('Picarro Output'!G:G, 'Picarro Output'!$B:$B, 'Uncalibrated Data'!$C3035, 'Picarro Output'!$I:$I, 0, 'Picarro Output'!$J:$J, 1), "")</f>
        <v/>
      </c>
    </row>
    <row r="3036" spans="2:5" x14ac:dyDescent="0.2">
      <c r="B3036" s="1"/>
      <c r="E3036" s="38" t="str">
        <f>IFERROR(AVERAGEIFS('Picarro Output'!G:G, 'Picarro Output'!$B:$B, 'Uncalibrated Data'!$C3036, 'Picarro Output'!$I:$I, 0, 'Picarro Output'!$J:$J, 1), "")</f>
        <v/>
      </c>
    </row>
    <row r="3037" spans="2:5" x14ac:dyDescent="0.2">
      <c r="B3037" s="1"/>
      <c r="E3037" s="38" t="str">
        <f>IFERROR(AVERAGEIFS('Picarro Output'!G:G, 'Picarro Output'!$B:$B, 'Uncalibrated Data'!$C3037, 'Picarro Output'!$I:$I, 0, 'Picarro Output'!$J:$J, 1), "")</f>
        <v/>
      </c>
    </row>
    <row r="3038" spans="2:5" x14ac:dyDescent="0.2">
      <c r="B3038" s="1"/>
      <c r="E3038" s="38" t="str">
        <f>IFERROR(AVERAGEIFS('Picarro Output'!G:G, 'Picarro Output'!$B:$B, 'Uncalibrated Data'!$C3038, 'Picarro Output'!$I:$I, 0, 'Picarro Output'!$J:$J, 1), "")</f>
        <v/>
      </c>
    </row>
    <row r="3039" spans="2:5" x14ac:dyDescent="0.2">
      <c r="B3039" s="1"/>
      <c r="E3039" s="38" t="str">
        <f>IFERROR(AVERAGEIFS('Picarro Output'!G:G, 'Picarro Output'!$B:$B, 'Uncalibrated Data'!$C3039, 'Picarro Output'!$I:$I, 0, 'Picarro Output'!$J:$J, 1), "")</f>
        <v/>
      </c>
    </row>
    <row r="3040" spans="2:5" x14ac:dyDescent="0.2">
      <c r="B3040" s="1"/>
      <c r="E3040" s="38" t="str">
        <f>IFERROR(AVERAGEIFS('Picarro Output'!G:G, 'Picarro Output'!$B:$B, 'Uncalibrated Data'!$C3040, 'Picarro Output'!$I:$I, 0, 'Picarro Output'!$J:$J, 1), "")</f>
        <v/>
      </c>
    </row>
    <row r="3041" spans="2:5" x14ac:dyDescent="0.2">
      <c r="B3041" s="1"/>
      <c r="E3041" s="38" t="str">
        <f>IFERROR(AVERAGEIFS('Picarro Output'!G:G, 'Picarro Output'!$B:$B, 'Uncalibrated Data'!$C3041, 'Picarro Output'!$I:$I, 0, 'Picarro Output'!$J:$J, 1), "")</f>
        <v/>
      </c>
    </row>
    <row r="3042" spans="2:5" x14ac:dyDescent="0.2">
      <c r="B3042" s="1"/>
      <c r="E3042" s="38" t="str">
        <f>IFERROR(AVERAGEIFS('Picarro Output'!G:G, 'Picarro Output'!$B:$B, 'Uncalibrated Data'!$C3042, 'Picarro Output'!$I:$I, 0, 'Picarro Output'!$J:$J, 1), "")</f>
        <v/>
      </c>
    </row>
    <row r="3043" spans="2:5" x14ac:dyDescent="0.2">
      <c r="B3043" s="1"/>
      <c r="E3043" s="38" t="str">
        <f>IFERROR(AVERAGEIFS('Picarro Output'!G:G, 'Picarro Output'!$B:$B, 'Uncalibrated Data'!$C3043, 'Picarro Output'!$I:$I, 0, 'Picarro Output'!$J:$J, 1), "")</f>
        <v/>
      </c>
    </row>
    <row r="3044" spans="2:5" x14ac:dyDescent="0.2">
      <c r="B3044" s="1"/>
      <c r="E3044" s="38" t="str">
        <f>IFERROR(AVERAGEIFS('Picarro Output'!G:G, 'Picarro Output'!$B:$B, 'Uncalibrated Data'!$C3044, 'Picarro Output'!$I:$I, 0, 'Picarro Output'!$J:$J, 1), "")</f>
        <v/>
      </c>
    </row>
    <row r="3045" spans="2:5" x14ac:dyDescent="0.2">
      <c r="B3045" s="1"/>
      <c r="E3045" s="38" t="str">
        <f>IFERROR(AVERAGEIFS('Picarro Output'!G:G, 'Picarro Output'!$B:$B, 'Uncalibrated Data'!$C3045, 'Picarro Output'!$I:$I, 0, 'Picarro Output'!$J:$J, 1), "")</f>
        <v/>
      </c>
    </row>
    <row r="3046" spans="2:5" x14ac:dyDescent="0.2">
      <c r="B3046" s="1"/>
      <c r="E3046" s="38" t="str">
        <f>IFERROR(AVERAGEIFS('Picarro Output'!G:G, 'Picarro Output'!$B:$B, 'Uncalibrated Data'!$C3046, 'Picarro Output'!$I:$I, 0, 'Picarro Output'!$J:$J, 1), "")</f>
        <v/>
      </c>
    </row>
    <row r="3047" spans="2:5" x14ac:dyDescent="0.2">
      <c r="B3047" s="1"/>
      <c r="E3047" s="38" t="str">
        <f>IFERROR(AVERAGEIFS('Picarro Output'!G:G, 'Picarro Output'!$B:$B, 'Uncalibrated Data'!$C3047, 'Picarro Output'!$I:$I, 0, 'Picarro Output'!$J:$J, 1), "")</f>
        <v/>
      </c>
    </row>
    <row r="3048" spans="2:5" x14ac:dyDescent="0.2">
      <c r="B3048" s="1"/>
      <c r="E3048" s="38" t="str">
        <f>IFERROR(AVERAGEIFS('Picarro Output'!G:G, 'Picarro Output'!$B:$B, 'Uncalibrated Data'!$C3048, 'Picarro Output'!$I:$I, 0, 'Picarro Output'!$J:$J, 1), "")</f>
        <v/>
      </c>
    </row>
    <row r="3049" spans="2:5" x14ac:dyDescent="0.2">
      <c r="B3049" s="1"/>
      <c r="E3049" s="38" t="str">
        <f>IFERROR(AVERAGEIFS('Picarro Output'!G:G, 'Picarro Output'!$B:$B, 'Uncalibrated Data'!$C3049, 'Picarro Output'!$I:$I, 0, 'Picarro Output'!$J:$J, 1), "")</f>
        <v/>
      </c>
    </row>
    <row r="3050" spans="2:5" x14ac:dyDescent="0.2">
      <c r="B3050" s="1"/>
      <c r="E3050" s="38" t="str">
        <f>IFERROR(AVERAGEIFS('Picarro Output'!G:G, 'Picarro Output'!$B:$B, 'Uncalibrated Data'!$C3050, 'Picarro Output'!$I:$I, 0, 'Picarro Output'!$J:$J, 1), "")</f>
        <v/>
      </c>
    </row>
    <row r="3051" spans="2:5" x14ac:dyDescent="0.2">
      <c r="B3051" s="1"/>
      <c r="E3051" s="38" t="str">
        <f>IFERROR(AVERAGEIFS('Picarro Output'!G:G, 'Picarro Output'!$B:$B, 'Uncalibrated Data'!$C3051, 'Picarro Output'!$I:$I, 0, 'Picarro Output'!$J:$J, 1), "")</f>
        <v/>
      </c>
    </row>
    <row r="3052" spans="2:5" x14ac:dyDescent="0.2">
      <c r="B3052" s="1"/>
      <c r="E3052" s="38" t="str">
        <f>IFERROR(AVERAGEIFS('Picarro Output'!G:G, 'Picarro Output'!$B:$B, 'Uncalibrated Data'!$C3052, 'Picarro Output'!$I:$I, 0, 'Picarro Output'!$J:$J, 1), "")</f>
        <v/>
      </c>
    </row>
    <row r="3053" spans="2:5" x14ac:dyDescent="0.2">
      <c r="B3053" s="1"/>
      <c r="E3053" s="38" t="str">
        <f>IFERROR(AVERAGEIFS('Picarro Output'!G:G, 'Picarro Output'!$B:$B, 'Uncalibrated Data'!$C3053, 'Picarro Output'!$I:$I, 0, 'Picarro Output'!$J:$J, 1), "")</f>
        <v/>
      </c>
    </row>
    <row r="3054" spans="2:5" x14ac:dyDescent="0.2">
      <c r="B3054" s="1"/>
      <c r="E3054" s="38" t="str">
        <f>IFERROR(AVERAGEIFS('Picarro Output'!G:G, 'Picarro Output'!$B:$B, 'Uncalibrated Data'!$C3054, 'Picarro Output'!$I:$I, 0, 'Picarro Output'!$J:$J, 1), "")</f>
        <v/>
      </c>
    </row>
    <row r="3055" spans="2:5" x14ac:dyDescent="0.2">
      <c r="B3055" s="1"/>
      <c r="E3055" s="38" t="str">
        <f>IFERROR(AVERAGEIFS('Picarro Output'!G:G, 'Picarro Output'!$B:$B, 'Uncalibrated Data'!$C3055, 'Picarro Output'!$I:$I, 0, 'Picarro Output'!$J:$J, 1), "")</f>
        <v/>
      </c>
    </row>
    <row r="3056" spans="2:5" x14ac:dyDescent="0.2">
      <c r="B3056" s="1"/>
      <c r="E3056" s="38" t="str">
        <f>IFERROR(AVERAGEIFS('Picarro Output'!G:G, 'Picarro Output'!$B:$B, 'Uncalibrated Data'!$C3056, 'Picarro Output'!$I:$I, 0, 'Picarro Output'!$J:$J, 1), "")</f>
        <v/>
      </c>
    </row>
    <row r="3057" spans="2:5" x14ac:dyDescent="0.2">
      <c r="B3057" s="1"/>
      <c r="E3057" s="38" t="str">
        <f>IFERROR(AVERAGEIFS('Picarro Output'!G:G, 'Picarro Output'!$B:$B, 'Uncalibrated Data'!$C3057, 'Picarro Output'!$I:$I, 0, 'Picarro Output'!$J:$J, 1), "")</f>
        <v/>
      </c>
    </row>
    <row r="3058" spans="2:5" x14ac:dyDescent="0.2">
      <c r="B3058" s="1"/>
      <c r="E3058" s="38" t="str">
        <f>IFERROR(AVERAGEIFS('Picarro Output'!G:G, 'Picarro Output'!$B:$B, 'Uncalibrated Data'!$C3058, 'Picarro Output'!$I:$I, 0, 'Picarro Output'!$J:$J, 1), "")</f>
        <v/>
      </c>
    </row>
    <row r="3059" spans="2:5" x14ac:dyDescent="0.2">
      <c r="B3059" s="1"/>
      <c r="E3059" s="38" t="str">
        <f>IFERROR(AVERAGEIFS('Picarro Output'!G:G, 'Picarro Output'!$B:$B, 'Uncalibrated Data'!$C3059, 'Picarro Output'!$I:$I, 0, 'Picarro Output'!$J:$J, 1), "")</f>
        <v/>
      </c>
    </row>
    <row r="3060" spans="2:5" x14ac:dyDescent="0.2">
      <c r="B3060" s="1"/>
      <c r="E3060" s="38" t="str">
        <f>IFERROR(AVERAGEIFS('Picarro Output'!G:G, 'Picarro Output'!$B:$B, 'Uncalibrated Data'!$C3060, 'Picarro Output'!$I:$I, 0, 'Picarro Output'!$J:$J, 1), "")</f>
        <v/>
      </c>
    </row>
    <row r="3061" spans="2:5" x14ac:dyDescent="0.2">
      <c r="B3061" s="1"/>
      <c r="E3061" s="38" t="str">
        <f>IFERROR(AVERAGEIFS('Picarro Output'!G:G, 'Picarro Output'!$B:$B, 'Uncalibrated Data'!$C3061, 'Picarro Output'!$I:$I, 0, 'Picarro Output'!$J:$J, 1), "")</f>
        <v/>
      </c>
    </row>
    <row r="3062" spans="2:5" x14ac:dyDescent="0.2">
      <c r="B3062" s="1"/>
      <c r="E3062" s="38" t="str">
        <f>IFERROR(AVERAGEIFS('Picarro Output'!G:G, 'Picarro Output'!$B:$B, 'Uncalibrated Data'!$C3062, 'Picarro Output'!$I:$I, 0, 'Picarro Output'!$J:$J, 1), "")</f>
        <v/>
      </c>
    </row>
    <row r="3063" spans="2:5" x14ac:dyDescent="0.2">
      <c r="B3063" s="1"/>
      <c r="E3063" s="38" t="str">
        <f>IFERROR(AVERAGEIFS('Picarro Output'!G:G, 'Picarro Output'!$B:$B, 'Uncalibrated Data'!$C3063, 'Picarro Output'!$I:$I, 0, 'Picarro Output'!$J:$J, 1), "")</f>
        <v/>
      </c>
    </row>
    <row r="3064" spans="2:5" x14ac:dyDescent="0.2">
      <c r="B3064" s="1"/>
      <c r="E3064" s="38" t="str">
        <f>IFERROR(AVERAGEIFS('Picarro Output'!G:G, 'Picarro Output'!$B:$B, 'Uncalibrated Data'!$C3064, 'Picarro Output'!$I:$I, 0, 'Picarro Output'!$J:$J, 1), "")</f>
        <v/>
      </c>
    </row>
    <row r="3065" spans="2:5" x14ac:dyDescent="0.2">
      <c r="B3065" s="1"/>
      <c r="E3065" s="38" t="str">
        <f>IFERROR(AVERAGEIFS('Picarro Output'!G:G, 'Picarro Output'!$B:$B, 'Uncalibrated Data'!$C3065, 'Picarro Output'!$I:$I, 0, 'Picarro Output'!$J:$J, 1), "")</f>
        <v/>
      </c>
    </row>
    <row r="3066" spans="2:5" x14ac:dyDescent="0.2">
      <c r="B3066" s="1"/>
      <c r="E3066" s="38" t="str">
        <f>IFERROR(AVERAGEIFS('Picarro Output'!G:G, 'Picarro Output'!$B:$B, 'Uncalibrated Data'!$C3066, 'Picarro Output'!$I:$I, 0, 'Picarro Output'!$J:$J, 1), "")</f>
        <v/>
      </c>
    </row>
    <row r="3067" spans="2:5" x14ac:dyDescent="0.2">
      <c r="B3067" s="1"/>
      <c r="E3067" s="38" t="str">
        <f>IFERROR(AVERAGEIFS('Picarro Output'!G:G, 'Picarro Output'!$B:$B, 'Uncalibrated Data'!$C3067, 'Picarro Output'!$I:$I, 0, 'Picarro Output'!$J:$J, 1), "")</f>
        <v/>
      </c>
    </row>
    <row r="3068" spans="2:5" x14ac:dyDescent="0.2">
      <c r="B3068" s="1"/>
      <c r="E3068" s="38" t="str">
        <f>IFERROR(AVERAGEIFS('Picarro Output'!G:G, 'Picarro Output'!$B:$B, 'Uncalibrated Data'!$C3068, 'Picarro Output'!$I:$I, 0, 'Picarro Output'!$J:$J, 1), "")</f>
        <v/>
      </c>
    </row>
    <row r="3069" spans="2:5" x14ac:dyDescent="0.2">
      <c r="B3069" s="1"/>
      <c r="E3069" s="38" t="str">
        <f>IFERROR(AVERAGEIFS('Picarro Output'!G:G, 'Picarro Output'!$B:$B, 'Uncalibrated Data'!$C3069, 'Picarro Output'!$I:$I, 0, 'Picarro Output'!$J:$J, 1), "")</f>
        <v/>
      </c>
    </row>
    <row r="3070" spans="2:5" x14ac:dyDescent="0.2">
      <c r="B3070" s="1"/>
      <c r="E3070" s="38" t="str">
        <f>IFERROR(AVERAGEIFS('Picarro Output'!G:G, 'Picarro Output'!$B:$B, 'Uncalibrated Data'!$C3070, 'Picarro Output'!$I:$I, 0, 'Picarro Output'!$J:$J, 1), "")</f>
        <v/>
      </c>
    </row>
    <row r="3071" spans="2:5" x14ac:dyDescent="0.2">
      <c r="B3071" s="1"/>
      <c r="E3071" s="38" t="str">
        <f>IFERROR(AVERAGEIFS('Picarro Output'!G:G, 'Picarro Output'!$B:$B, 'Uncalibrated Data'!$C3071, 'Picarro Output'!$I:$I, 0, 'Picarro Output'!$J:$J, 1), "")</f>
        <v/>
      </c>
    </row>
    <row r="3072" spans="2:5" x14ac:dyDescent="0.2">
      <c r="B3072" s="1"/>
      <c r="E3072" s="38" t="str">
        <f>IFERROR(AVERAGEIFS('Picarro Output'!G:G, 'Picarro Output'!$B:$B, 'Uncalibrated Data'!$C3072, 'Picarro Output'!$I:$I, 0, 'Picarro Output'!$J:$J, 1), "")</f>
        <v/>
      </c>
    </row>
    <row r="3073" spans="2:5" x14ac:dyDescent="0.2">
      <c r="B3073" s="1"/>
      <c r="E3073" s="38" t="str">
        <f>IFERROR(AVERAGEIFS('Picarro Output'!G:G, 'Picarro Output'!$B:$B, 'Uncalibrated Data'!$C3073, 'Picarro Output'!$I:$I, 0, 'Picarro Output'!$J:$J, 1), "")</f>
        <v/>
      </c>
    </row>
    <row r="3074" spans="2:5" x14ac:dyDescent="0.2">
      <c r="B3074" s="1"/>
      <c r="E3074" s="38" t="str">
        <f>IFERROR(AVERAGEIFS('Picarro Output'!G:G, 'Picarro Output'!$B:$B, 'Uncalibrated Data'!$C3074, 'Picarro Output'!$I:$I, 0, 'Picarro Output'!$J:$J, 1), "")</f>
        <v/>
      </c>
    </row>
    <row r="3075" spans="2:5" x14ac:dyDescent="0.2">
      <c r="B3075" s="1"/>
      <c r="E3075" s="38" t="str">
        <f>IFERROR(AVERAGEIFS('Picarro Output'!G:G, 'Picarro Output'!$B:$B, 'Uncalibrated Data'!$C3075, 'Picarro Output'!$I:$I, 0, 'Picarro Output'!$J:$J, 1), "")</f>
        <v/>
      </c>
    </row>
    <row r="3076" spans="2:5" x14ac:dyDescent="0.2">
      <c r="B3076" s="1"/>
      <c r="E3076" s="38" t="str">
        <f>IFERROR(AVERAGEIFS('Picarro Output'!G:G, 'Picarro Output'!$B:$B, 'Uncalibrated Data'!$C3076, 'Picarro Output'!$I:$I, 0, 'Picarro Output'!$J:$J, 1), "")</f>
        <v/>
      </c>
    </row>
    <row r="3077" spans="2:5" x14ac:dyDescent="0.2">
      <c r="B3077" s="1"/>
      <c r="E3077" s="38" t="str">
        <f>IFERROR(AVERAGEIFS('Picarro Output'!G:G, 'Picarro Output'!$B:$B, 'Uncalibrated Data'!$C3077, 'Picarro Output'!$I:$I, 0, 'Picarro Output'!$J:$J, 1), "")</f>
        <v/>
      </c>
    </row>
    <row r="3078" spans="2:5" x14ac:dyDescent="0.2">
      <c r="B3078" s="1"/>
      <c r="E3078" s="38" t="str">
        <f>IFERROR(AVERAGEIFS('Picarro Output'!G:G, 'Picarro Output'!$B:$B, 'Uncalibrated Data'!$C3078, 'Picarro Output'!$I:$I, 0, 'Picarro Output'!$J:$J, 1), "")</f>
        <v/>
      </c>
    </row>
    <row r="3079" spans="2:5" x14ac:dyDescent="0.2">
      <c r="B3079" s="1"/>
      <c r="E3079" s="38" t="str">
        <f>IFERROR(AVERAGEIFS('Picarro Output'!G:G, 'Picarro Output'!$B:$B, 'Uncalibrated Data'!$C3079, 'Picarro Output'!$I:$I, 0, 'Picarro Output'!$J:$J, 1), "")</f>
        <v/>
      </c>
    </row>
    <row r="3080" spans="2:5" x14ac:dyDescent="0.2">
      <c r="B3080" s="1"/>
      <c r="E3080" s="38" t="str">
        <f>IFERROR(AVERAGEIFS('Picarro Output'!G:G, 'Picarro Output'!$B:$B, 'Uncalibrated Data'!$C3080, 'Picarro Output'!$I:$I, 0, 'Picarro Output'!$J:$J, 1), "")</f>
        <v/>
      </c>
    </row>
    <row r="3081" spans="2:5" x14ac:dyDescent="0.2">
      <c r="B3081" s="1"/>
      <c r="E3081" s="38" t="str">
        <f>IFERROR(AVERAGEIFS('Picarro Output'!G:G, 'Picarro Output'!$B:$B, 'Uncalibrated Data'!$C3081, 'Picarro Output'!$I:$I, 0, 'Picarro Output'!$J:$J, 1), "")</f>
        <v/>
      </c>
    </row>
    <row r="3082" spans="2:5" x14ac:dyDescent="0.2">
      <c r="B3082" s="1"/>
      <c r="E3082" s="38" t="str">
        <f>IFERROR(AVERAGEIFS('Picarro Output'!G:G, 'Picarro Output'!$B:$B, 'Uncalibrated Data'!$C3082, 'Picarro Output'!$I:$I, 0, 'Picarro Output'!$J:$J, 1), "")</f>
        <v/>
      </c>
    </row>
    <row r="3083" spans="2:5" x14ac:dyDescent="0.2">
      <c r="B3083" s="1"/>
      <c r="E3083" s="38" t="str">
        <f>IFERROR(AVERAGEIFS('Picarro Output'!G:G, 'Picarro Output'!$B:$B, 'Uncalibrated Data'!$C3083, 'Picarro Output'!$I:$I, 0, 'Picarro Output'!$J:$J, 1), "")</f>
        <v/>
      </c>
    </row>
    <row r="3084" spans="2:5" x14ac:dyDescent="0.2">
      <c r="B3084" s="1"/>
      <c r="E3084" s="38" t="str">
        <f>IFERROR(AVERAGEIFS('Picarro Output'!G:G, 'Picarro Output'!$B:$B, 'Uncalibrated Data'!$C3084, 'Picarro Output'!$I:$I, 0, 'Picarro Output'!$J:$J, 1), "")</f>
        <v/>
      </c>
    </row>
    <row r="3085" spans="2:5" x14ac:dyDescent="0.2">
      <c r="B3085" s="1"/>
      <c r="E3085" s="38" t="str">
        <f>IFERROR(AVERAGEIFS('Picarro Output'!G:G, 'Picarro Output'!$B:$B, 'Uncalibrated Data'!$C3085, 'Picarro Output'!$I:$I, 0, 'Picarro Output'!$J:$J, 1), "")</f>
        <v/>
      </c>
    </row>
    <row r="3086" spans="2:5" x14ac:dyDescent="0.2">
      <c r="B3086" s="1"/>
      <c r="E3086" s="38" t="str">
        <f>IFERROR(AVERAGEIFS('Picarro Output'!G:G, 'Picarro Output'!$B:$B, 'Uncalibrated Data'!$C3086, 'Picarro Output'!$I:$I, 0, 'Picarro Output'!$J:$J, 1), "")</f>
        <v/>
      </c>
    </row>
    <row r="3087" spans="2:5" x14ac:dyDescent="0.2">
      <c r="B3087" s="1"/>
      <c r="E3087" s="38" t="str">
        <f>IFERROR(AVERAGEIFS('Picarro Output'!G:G, 'Picarro Output'!$B:$B, 'Uncalibrated Data'!$C3087, 'Picarro Output'!$I:$I, 0, 'Picarro Output'!$J:$J, 1), "")</f>
        <v/>
      </c>
    </row>
    <row r="3088" spans="2:5" x14ac:dyDescent="0.2">
      <c r="B3088" s="1"/>
      <c r="E3088" s="38" t="str">
        <f>IFERROR(AVERAGEIFS('Picarro Output'!G:G, 'Picarro Output'!$B:$B, 'Uncalibrated Data'!$C3088, 'Picarro Output'!$I:$I, 0, 'Picarro Output'!$J:$J, 1), "")</f>
        <v/>
      </c>
    </row>
    <row r="3089" spans="2:5" x14ac:dyDescent="0.2">
      <c r="B3089" s="1"/>
      <c r="E3089" s="38" t="str">
        <f>IFERROR(AVERAGEIFS('Picarro Output'!G:G, 'Picarro Output'!$B:$B, 'Uncalibrated Data'!$C3089, 'Picarro Output'!$I:$I, 0, 'Picarro Output'!$J:$J, 1), "")</f>
        <v/>
      </c>
    </row>
    <row r="3090" spans="2:5" x14ac:dyDescent="0.2">
      <c r="B3090" s="1"/>
      <c r="E3090" s="38" t="str">
        <f>IFERROR(AVERAGEIFS('Picarro Output'!G:G, 'Picarro Output'!$B:$B, 'Uncalibrated Data'!$C3090, 'Picarro Output'!$I:$I, 0, 'Picarro Output'!$J:$J, 1), "")</f>
        <v/>
      </c>
    </row>
    <row r="3091" spans="2:5" x14ac:dyDescent="0.2">
      <c r="B3091" s="1"/>
      <c r="E3091" s="38" t="str">
        <f>IFERROR(AVERAGEIFS('Picarro Output'!G:G, 'Picarro Output'!$B:$B, 'Uncalibrated Data'!$C3091, 'Picarro Output'!$I:$I, 0, 'Picarro Output'!$J:$J, 1), "")</f>
        <v/>
      </c>
    </row>
    <row r="3092" spans="2:5" x14ac:dyDescent="0.2">
      <c r="B3092" s="1"/>
      <c r="E3092" s="38" t="str">
        <f>IFERROR(AVERAGEIFS('Picarro Output'!G:G, 'Picarro Output'!$B:$B, 'Uncalibrated Data'!$C3092, 'Picarro Output'!$I:$I, 0, 'Picarro Output'!$J:$J, 1), "")</f>
        <v/>
      </c>
    </row>
    <row r="3093" spans="2:5" x14ac:dyDescent="0.2">
      <c r="B3093" s="1"/>
      <c r="E3093" s="38" t="str">
        <f>IFERROR(AVERAGEIFS('Picarro Output'!G:G, 'Picarro Output'!$B:$B, 'Uncalibrated Data'!$C3093, 'Picarro Output'!$I:$I, 0, 'Picarro Output'!$J:$J, 1), "")</f>
        <v/>
      </c>
    </row>
    <row r="3094" spans="2:5" x14ac:dyDescent="0.2">
      <c r="B3094" s="1"/>
      <c r="E3094" s="38" t="str">
        <f>IFERROR(AVERAGEIFS('Picarro Output'!G:G, 'Picarro Output'!$B:$B, 'Uncalibrated Data'!$C3094, 'Picarro Output'!$I:$I, 0, 'Picarro Output'!$J:$J, 1), "")</f>
        <v/>
      </c>
    </row>
    <row r="3095" spans="2:5" x14ac:dyDescent="0.2">
      <c r="B3095" s="1"/>
      <c r="E3095" s="38" t="str">
        <f>IFERROR(AVERAGEIFS('Picarro Output'!G:G, 'Picarro Output'!$B:$B, 'Uncalibrated Data'!$C3095, 'Picarro Output'!$I:$I, 0, 'Picarro Output'!$J:$J, 1), "")</f>
        <v/>
      </c>
    </row>
    <row r="3096" spans="2:5" x14ac:dyDescent="0.2">
      <c r="B3096" s="1"/>
      <c r="E3096" s="38" t="str">
        <f>IFERROR(AVERAGEIFS('Picarro Output'!G:G, 'Picarro Output'!$B:$B, 'Uncalibrated Data'!$C3096, 'Picarro Output'!$I:$I, 0, 'Picarro Output'!$J:$J, 1), "")</f>
        <v/>
      </c>
    </row>
    <row r="3097" spans="2:5" x14ac:dyDescent="0.2">
      <c r="B3097" s="1"/>
      <c r="E3097" s="38" t="str">
        <f>IFERROR(AVERAGEIFS('Picarro Output'!G:G, 'Picarro Output'!$B:$B, 'Uncalibrated Data'!$C3097, 'Picarro Output'!$I:$I, 0, 'Picarro Output'!$J:$J, 1), "")</f>
        <v/>
      </c>
    </row>
    <row r="3098" spans="2:5" x14ac:dyDescent="0.2">
      <c r="B3098" s="1"/>
      <c r="E3098" s="38" t="str">
        <f>IFERROR(AVERAGEIFS('Picarro Output'!G:G, 'Picarro Output'!$B:$B, 'Uncalibrated Data'!$C3098, 'Picarro Output'!$I:$I, 0, 'Picarro Output'!$J:$J, 1), "")</f>
        <v/>
      </c>
    </row>
    <row r="3099" spans="2:5" x14ac:dyDescent="0.2">
      <c r="B3099" s="1"/>
      <c r="E3099" s="38" t="str">
        <f>IFERROR(AVERAGEIFS('Picarro Output'!G:G, 'Picarro Output'!$B:$B, 'Uncalibrated Data'!$C3099, 'Picarro Output'!$I:$I, 0, 'Picarro Output'!$J:$J, 1), "")</f>
        <v/>
      </c>
    </row>
    <row r="3100" spans="2:5" x14ac:dyDescent="0.2">
      <c r="B3100" s="1"/>
      <c r="E3100" s="38" t="str">
        <f>IFERROR(AVERAGEIFS('Picarro Output'!G:G, 'Picarro Output'!$B:$B, 'Uncalibrated Data'!$C3100, 'Picarro Output'!$I:$I, 0, 'Picarro Output'!$J:$J, 1), "")</f>
        <v/>
      </c>
    </row>
    <row r="3101" spans="2:5" x14ac:dyDescent="0.2">
      <c r="B3101" s="1"/>
      <c r="E3101" s="38" t="str">
        <f>IFERROR(AVERAGEIFS('Picarro Output'!G:G, 'Picarro Output'!$B:$B, 'Uncalibrated Data'!$C3101, 'Picarro Output'!$I:$I, 0, 'Picarro Output'!$J:$J, 1), "")</f>
        <v/>
      </c>
    </row>
    <row r="3102" spans="2:5" x14ac:dyDescent="0.2">
      <c r="B3102" s="1"/>
      <c r="E3102" s="38" t="str">
        <f>IFERROR(AVERAGEIFS('Picarro Output'!G:G, 'Picarro Output'!$B:$B, 'Uncalibrated Data'!$C3102, 'Picarro Output'!$I:$I, 0, 'Picarro Output'!$J:$J, 1), "")</f>
        <v/>
      </c>
    </row>
    <row r="3103" spans="2:5" x14ac:dyDescent="0.2">
      <c r="B3103" s="1"/>
      <c r="E3103" s="38" t="str">
        <f>IFERROR(AVERAGEIFS('Picarro Output'!G:G, 'Picarro Output'!$B:$B, 'Uncalibrated Data'!$C3103, 'Picarro Output'!$I:$I, 0, 'Picarro Output'!$J:$J, 1), "")</f>
        <v/>
      </c>
    </row>
    <row r="3104" spans="2:5" x14ac:dyDescent="0.2">
      <c r="B3104" s="1"/>
      <c r="E3104" s="38" t="str">
        <f>IFERROR(AVERAGEIFS('Picarro Output'!G:G, 'Picarro Output'!$B:$B, 'Uncalibrated Data'!$C3104, 'Picarro Output'!$I:$I, 0, 'Picarro Output'!$J:$J, 1), "")</f>
        <v/>
      </c>
    </row>
    <row r="3105" spans="2:5" x14ac:dyDescent="0.2">
      <c r="B3105" s="1"/>
      <c r="E3105" s="38" t="str">
        <f>IFERROR(AVERAGEIFS('Picarro Output'!G:G, 'Picarro Output'!$B:$B, 'Uncalibrated Data'!$C3105, 'Picarro Output'!$I:$I, 0, 'Picarro Output'!$J:$J, 1), "")</f>
        <v/>
      </c>
    </row>
    <row r="3106" spans="2:5" x14ac:dyDescent="0.2">
      <c r="B3106" s="1"/>
      <c r="E3106" s="38" t="str">
        <f>IFERROR(AVERAGEIFS('Picarro Output'!G:G, 'Picarro Output'!$B:$B, 'Uncalibrated Data'!$C3106, 'Picarro Output'!$I:$I, 0, 'Picarro Output'!$J:$J, 1), "")</f>
        <v/>
      </c>
    </row>
    <row r="3107" spans="2:5" x14ac:dyDescent="0.2">
      <c r="B3107" s="1"/>
      <c r="E3107" s="38" t="str">
        <f>IFERROR(AVERAGEIFS('Picarro Output'!G:G, 'Picarro Output'!$B:$B, 'Uncalibrated Data'!$C3107, 'Picarro Output'!$I:$I, 0, 'Picarro Output'!$J:$J, 1), "")</f>
        <v/>
      </c>
    </row>
    <row r="3108" spans="2:5" x14ac:dyDescent="0.2">
      <c r="B3108" s="1"/>
      <c r="E3108" s="38" t="str">
        <f>IFERROR(AVERAGEIFS('Picarro Output'!G:G, 'Picarro Output'!$B:$B, 'Uncalibrated Data'!$C3108, 'Picarro Output'!$I:$I, 0, 'Picarro Output'!$J:$J, 1), "")</f>
        <v/>
      </c>
    </row>
    <row r="3109" spans="2:5" x14ac:dyDescent="0.2">
      <c r="B3109" s="1"/>
      <c r="E3109" s="38" t="str">
        <f>IFERROR(AVERAGEIFS('Picarro Output'!G:G, 'Picarro Output'!$B:$B, 'Uncalibrated Data'!$C3109, 'Picarro Output'!$I:$I, 0, 'Picarro Output'!$J:$J, 1), "")</f>
        <v/>
      </c>
    </row>
    <row r="3110" spans="2:5" x14ac:dyDescent="0.2">
      <c r="B3110" s="1"/>
      <c r="E3110" s="38" t="str">
        <f>IFERROR(AVERAGEIFS('Picarro Output'!G:G, 'Picarro Output'!$B:$B, 'Uncalibrated Data'!$C3110, 'Picarro Output'!$I:$I, 0, 'Picarro Output'!$J:$J, 1), "")</f>
        <v/>
      </c>
    </row>
    <row r="3111" spans="2:5" x14ac:dyDescent="0.2">
      <c r="B3111" s="1"/>
      <c r="E3111" s="38" t="str">
        <f>IFERROR(AVERAGEIFS('Picarro Output'!G:G, 'Picarro Output'!$B:$B, 'Uncalibrated Data'!$C3111, 'Picarro Output'!$I:$I, 0, 'Picarro Output'!$J:$J, 1), "")</f>
        <v/>
      </c>
    </row>
    <row r="3112" spans="2:5" x14ac:dyDescent="0.2">
      <c r="B3112" s="1"/>
      <c r="E3112" s="38" t="str">
        <f>IFERROR(AVERAGEIFS('Picarro Output'!G:G, 'Picarro Output'!$B:$B, 'Uncalibrated Data'!$C3112, 'Picarro Output'!$I:$I, 0, 'Picarro Output'!$J:$J, 1), "")</f>
        <v/>
      </c>
    </row>
    <row r="3113" spans="2:5" x14ac:dyDescent="0.2">
      <c r="B3113" s="1"/>
      <c r="E3113" s="38" t="str">
        <f>IFERROR(AVERAGEIFS('Picarro Output'!G:G, 'Picarro Output'!$B:$B, 'Uncalibrated Data'!$C3113, 'Picarro Output'!$I:$I, 0, 'Picarro Output'!$J:$J, 1), "")</f>
        <v/>
      </c>
    </row>
    <row r="3114" spans="2:5" x14ac:dyDescent="0.2">
      <c r="B3114" s="1"/>
      <c r="E3114" s="38" t="str">
        <f>IFERROR(AVERAGEIFS('Picarro Output'!G:G, 'Picarro Output'!$B:$B, 'Uncalibrated Data'!$C3114, 'Picarro Output'!$I:$I, 0, 'Picarro Output'!$J:$J, 1), "")</f>
        <v/>
      </c>
    </row>
    <row r="3115" spans="2:5" x14ac:dyDescent="0.2">
      <c r="B3115" s="1"/>
      <c r="E3115" s="38" t="str">
        <f>IFERROR(AVERAGEIFS('Picarro Output'!G:G, 'Picarro Output'!$B:$B, 'Uncalibrated Data'!$C3115, 'Picarro Output'!$I:$I, 0, 'Picarro Output'!$J:$J, 1), "")</f>
        <v/>
      </c>
    </row>
    <row r="3116" spans="2:5" x14ac:dyDescent="0.2">
      <c r="B3116" s="1"/>
      <c r="E3116" s="38" t="str">
        <f>IFERROR(AVERAGEIFS('Picarro Output'!G:G, 'Picarro Output'!$B:$B, 'Uncalibrated Data'!$C3116, 'Picarro Output'!$I:$I, 0, 'Picarro Output'!$J:$J, 1), "")</f>
        <v/>
      </c>
    </row>
    <row r="3117" spans="2:5" x14ac:dyDescent="0.2">
      <c r="B3117" s="1"/>
      <c r="E3117" s="38" t="str">
        <f>IFERROR(AVERAGEIFS('Picarro Output'!G:G, 'Picarro Output'!$B:$B, 'Uncalibrated Data'!$C3117, 'Picarro Output'!$I:$I, 0, 'Picarro Output'!$J:$J, 1), "")</f>
        <v/>
      </c>
    </row>
    <row r="3118" spans="2:5" x14ac:dyDescent="0.2">
      <c r="B3118" s="1"/>
      <c r="E3118" s="38" t="str">
        <f>IFERROR(AVERAGEIFS('Picarro Output'!G:G, 'Picarro Output'!$B:$B, 'Uncalibrated Data'!$C3118, 'Picarro Output'!$I:$I, 0, 'Picarro Output'!$J:$J, 1), "")</f>
        <v/>
      </c>
    </row>
    <row r="3119" spans="2:5" x14ac:dyDescent="0.2">
      <c r="B3119" s="1"/>
      <c r="E3119" s="38" t="str">
        <f>IFERROR(AVERAGEIFS('Picarro Output'!G:G, 'Picarro Output'!$B:$B, 'Uncalibrated Data'!$C3119, 'Picarro Output'!$I:$I, 0, 'Picarro Output'!$J:$J, 1), "")</f>
        <v/>
      </c>
    </row>
    <row r="3120" spans="2:5" x14ac:dyDescent="0.2">
      <c r="B3120" s="1"/>
      <c r="E3120" s="38" t="str">
        <f>IFERROR(AVERAGEIFS('Picarro Output'!G:G, 'Picarro Output'!$B:$B, 'Uncalibrated Data'!$C3120, 'Picarro Output'!$I:$I, 0, 'Picarro Output'!$J:$J, 1), "")</f>
        <v/>
      </c>
    </row>
    <row r="3121" spans="2:5" x14ac:dyDescent="0.2">
      <c r="B3121" s="1"/>
      <c r="E3121" s="38" t="str">
        <f>IFERROR(AVERAGEIFS('Picarro Output'!G:G, 'Picarro Output'!$B:$B, 'Uncalibrated Data'!$C3121, 'Picarro Output'!$I:$I, 0, 'Picarro Output'!$J:$J, 1), "")</f>
        <v/>
      </c>
    </row>
    <row r="3122" spans="2:5" x14ac:dyDescent="0.2">
      <c r="B3122" s="1"/>
      <c r="E3122" s="38" t="str">
        <f>IFERROR(AVERAGEIFS('Picarro Output'!G:G, 'Picarro Output'!$B:$B, 'Uncalibrated Data'!$C3122, 'Picarro Output'!$I:$I, 0, 'Picarro Output'!$J:$J, 1), "")</f>
        <v/>
      </c>
    </row>
    <row r="3123" spans="2:5" x14ac:dyDescent="0.2">
      <c r="B3123" s="1"/>
      <c r="E3123" s="38" t="str">
        <f>IFERROR(AVERAGEIFS('Picarro Output'!G:G, 'Picarro Output'!$B:$B, 'Uncalibrated Data'!$C3123, 'Picarro Output'!$I:$I, 0, 'Picarro Output'!$J:$J, 1), "")</f>
        <v/>
      </c>
    </row>
    <row r="3124" spans="2:5" x14ac:dyDescent="0.2">
      <c r="B3124" s="1"/>
      <c r="E3124" s="38" t="str">
        <f>IFERROR(AVERAGEIFS('Picarro Output'!G:G, 'Picarro Output'!$B:$B, 'Uncalibrated Data'!$C3124, 'Picarro Output'!$I:$I, 0, 'Picarro Output'!$J:$J, 1), "")</f>
        <v/>
      </c>
    </row>
    <row r="3125" spans="2:5" x14ac:dyDescent="0.2">
      <c r="B3125" s="1"/>
      <c r="E3125" s="38" t="str">
        <f>IFERROR(AVERAGEIFS('Picarro Output'!G:G, 'Picarro Output'!$B:$B, 'Uncalibrated Data'!$C3125, 'Picarro Output'!$I:$I, 0, 'Picarro Output'!$J:$J, 1), "")</f>
        <v/>
      </c>
    </row>
    <row r="3126" spans="2:5" x14ac:dyDescent="0.2">
      <c r="B3126" s="1"/>
      <c r="E3126" s="38" t="str">
        <f>IFERROR(AVERAGEIFS('Picarro Output'!G:G, 'Picarro Output'!$B:$B, 'Uncalibrated Data'!$C3126, 'Picarro Output'!$I:$I, 0, 'Picarro Output'!$J:$J, 1), "")</f>
        <v/>
      </c>
    </row>
    <row r="3127" spans="2:5" x14ac:dyDescent="0.2">
      <c r="B3127" s="1"/>
      <c r="E3127" s="38" t="str">
        <f>IFERROR(AVERAGEIFS('Picarro Output'!G:G, 'Picarro Output'!$B:$B, 'Uncalibrated Data'!$C3127, 'Picarro Output'!$I:$I, 0, 'Picarro Output'!$J:$J, 1), "")</f>
        <v/>
      </c>
    </row>
    <row r="3128" spans="2:5" x14ac:dyDescent="0.2">
      <c r="B3128" s="1"/>
      <c r="E3128" s="38" t="str">
        <f>IFERROR(AVERAGEIFS('Picarro Output'!G:G, 'Picarro Output'!$B:$B, 'Uncalibrated Data'!$C3128, 'Picarro Output'!$I:$I, 0, 'Picarro Output'!$J:$J, 1), "")</f>
        <v/>
      </c>
    </row>
    <row r="3129" spans="2:5" x14ac:dyDescent="0.2">
      <c r="B3129" s="1"/>
      <c r="E3129" s="38" t="str">
        <f>IFERROR(AVERAGEIFS('Picarro Output'!G:G, 'Picarro Output'!$B:$B, 'Uncalibrated Data'!$C3129, 'Picarro Output'!$I:$I, 0, 'Picarro Output'!$J:$J, 1), "")</f>
        <v/>
      </c>
    </row>
    <row r="3130" spans="2:5" x14ac:dyDescent="0.2">
      <c r="B3130" s="1"/>
      <c r="E3130" s="38" t="str">
        <f>IFERROR(AVERAGEIFS('Picarro Output'!G:G, 'Picarro Output'!$B:$B, 'Uncalibrated Data'!$C3130, 'Picarro Output'!$I:$I, 0, 'Picarro Output'!$J:$J, 1), "")</f>
        <v/>
      </c>
    </row>
    <row r="3131" spans="2:5" x14ac:dyDescent="0.2">
      <c r="B3131" s="1"/>
      <c r="E3131" s="38" t="str">
        <f>IFERROR(AVERAGEIFS('Picarro Output'!G:G, 'Picarro Output'!$B:$B, 'Uncalibrated Data'!$C3131, 'Picarro Output'!$I:$I, 0, 'Picarro Output'!$J:$J, 1), "")</f>
        <v/>
      </c>
    </row>
    <row r="3132" spans="2:5" x14ac:dyDescent="0.2">
      <c r="B3132" s="1"/>
      <c r="E3132" s="38" t="str">
        <f>IFERROR(AVERAGEIFS('Picarro Output'!G:G, 'Picarro Output'!$B:$B, 'Uncalibrated Data'!$C3132, 'Picarro Output'!$I:$I, 0, 'Picarro Output'!$J:$J, 1), "")</f>
        <v/>
      </c>
    </row>
    <row r="3133" spans="2:5" x14ac:dyDescent="0.2">
      <c r="B3133" s="1"/>
      <c r="E3133" s="38" t="str">
        <f>IFERROR(AVERAGEIFS('Picarro Output'!G:G, 'Picarro Output'!$B:$B, 'Uncalibrated Data'!$C3133, 'Picarro Output'!$I:$I, 0, 'Picarro Output'!$J:$J, 1), "")</f>
        <v/>
      </c>
    </row>
    <row r="3134" spans="2:5" x14ac:dyDescent="0.2">
      <c r="B3134" s="1"/>
      <c r="E3134" s="38" t="str">
        <f>IFERROR(AVERAGEIFS('Picarro Output'!G:G, 'Picarro Output'!$B:$B, 'Uncalibrated Data'!$C3134, 'Picarro Output'!$I:$I, 0, 'Picarro Output'!$J:$J, 1), "")</f>
        <v/>
      </c>
    </row>
    <row r="3135" spans="2:5" x14ac:dyDescent="0.2">
      <c r="B3135" s="1"/>
      <c r="E3135" s="38" t="str">
        <f>IFERROR(AVERAGEIFS('Picarro Output'!G:G, 'Picarro Output'!$B:$B, 'Uncalibrated Data'!$C3135, 'Picarro Output'!$I:$I, 0, 'Picarro Output'!$J:$J, 1), "")</f>
        <v/>
      </c>
    </row>
    <row r="3136" spans="2:5" x14ac:dyDescent="0.2">
      <c r="B3136" s="1"/>
      <c r="E3136" s="38" t="str">
        <f>IFERROR(AVERAGEIFS('Picarro Output'!G:G, 'Picarro Output'!$B:$B, 'Uncalibrated Data'!$C3136, 'Picarro Output'!$I:$I, 0, 'Picarro Output'!$J:$J, 1), "")</f>
        <v/>
      </c>
    </row>
    <row r="3137" spans="2:5" x14ac:dyDescent="0.2">
      <c r="B3137" s="1"/>
      <c r="E3137" s="38" t="str">
        <f>IFERROR(AVERAGEIFS('Picarro Output'!G:G, 'Picarro Output'!$B:$B, 'Uncalibrated Data'!$C3137, 'Picarro Output'!$I:$I, 0, 'Picarro Output'!$J:$J, 1), "")</f>
        <v/>
      </c>
    </row>
    <row r="3138" spans="2:5" x14ac:dyDescent="0.2">
      <c r="B3138" s="1"/>
      <c r="E3138" s="38" t="str">
        <f>IFERROR(AVERAGEIFS('Picarro Output'!G:G, 'Picarro Output'!$B:$B, 'Uncalibrated Data'!$C3138, 'Picarro Output'!$I:$I, 0, 'Picarro Output'!$J:$J, 1), "")</f>
        <v/>
      </c>
    </row>
    <row r="3139" spans="2:5" x14ac:dyDescent="0.2">
      <c r="B3139" s="1"/>
      <c r="E3139" s="38" t="str">
        <f>IFERROR(AVERAGEIFS('Picarro Output'!G:G, 'Picarro Output'!$B:$B, 'Uncalibrated Data'!$C3139, 'Picarro Output'!$I:$I, 0, 'Picarro Output'!$J:$J, 1), "")</f>
        <v/>
      </c>
    </row>
    <row r="3140" spans="2:5" x14ac:dyDescent="0.2">
      <c r="B3140" s="1"/>
      <c r="E3140" s="38" t="str">
        <f>IFERROR(AVERAGEIFS('Picarro Output'!G:G, 'Picarro Output'!$B:$B, 'Uncalibrated Data'!$C3140, 'Picarro Output'!$I:$I, 0, 'Picarro Output'!$J:$J, 1), "")</f>
        <v/>
      </c>
    </row>
    <row r="3141" spans="2:5" x14ac:dyDescent="0.2">
      <c r="B3141" s="1"/>
      <c r="E3141" s="38" t="str">
        <f>IFERROR(AVERAGEIFS('Picarro Output'!G:G, 'Picarro Output'!$B:$B, 'Uncalibrated Data'!$C3141, 'Picarro Output'!$I:$I, 0, 'Picarro Output'!$J:$J, 1), "")</f>
        <v/>
      </c>
    </row>
    <row r="3142" spans="2:5" x14ac:dyDescent="0.2">
      <c r="B3142" s="1"/>
      <c r="E3142" s="38" t="str">
        <f>IFERROR(AVERAGEIFS('Picarro Output'!G:G, 'Picarro Output'!$B:$B, 'Uncalibrated Data'!$C3142, 'Picarro Output'!$I:$I, 0, 'Picarro Output'!$J:$J, 1), "")</f>
        <v/>
      </c>
    </row>
    <row r="3143" spans="2:5" x14ac:dyDescent="0.2">
      <c r="B3143" s="1"/>
      <c r="E3143" s="38" t="str">
        <f>IFERROR(AVERAGEIFS('Picarro Output'!G:G, 'Picarro Output'!$B:$B, 'Uncalibrated Data'!$C3143, 'Picarro Output'!$I:$I, 0, 'Picarro Output'!$J:$J, 1), "")</f>
        <v/>
      </c>
    </row>
    <row r="3144" spans="2:5" x14ac:dyDescent="0.2">
      <c r="B3144" s="1"/>
      <c r="E3144" s="38" t="str">
        <f>IFERROR(AVERAGEIFS('Picarro Output'!G:G, 'Picarro Output'!$B:$B, 'Uncalibrated Data'!$C3144, 'Picarro Output'!$I:$I, 0, 'Picarro Output'!$J:$J, 1), "")</f>
        <v/>
      </c>
    </row>
    <row r="3145" spans="2:5" x14ac:dyDescent="0.2">
      <c r="B3145" s="1"/>
      <c r="E3145" s="38" t="str">
        <f>IFERROR(AVERAGEIFS('Picarro Output'!G:G, 'Picarro Output'!$B:$B, 'Uncalibrated Data'!$C3145, 'Picarro Output'!$I:$I, 0, 'Picarro Output'!$J:$J, 1), "")</f>
        <v/>
      </c>
    </row>
    <row r="3146" spans="2:5" x14ac:dyDescent="0.2">
      <c r="B3146" s="1"/>
      <c r="E3146" s="38" t="str">
        <f>IFERROR(AVERAGEIFS('Picarro Output'!G:G, 'Picarro Output'!$B:$B, 'Uncalibrated Data'!$C3146, 'Picarro Output'!$I:$I, 0, 'Picarro Output'!$J:$J, 1), "")</f>
        <v/>
      </c>
    </row>
    <row r="3147" spans="2:5" x14ac:dyDescent="0.2">
      <c r="B3147" s="1"/>
      <c r="E3147" s="38" t="str">
        <f>IFERROR(AVERAGEIFS('Picarro Output'!G:G, 'Picarro Output'!$B:$B, 'Uncalibrated Data'!$C3147, 'Picarro Output'!$I:$I, 0, 'Picarro Output'!$J:$J, 1), "")</f>
        <v/>
      </c>
    </row>
    <row r="3148" spans="2:5" x14ac:dyDescent="0.2">
      <c r="B3148" s="1"/>
      <c r="E3148" s="38" t="str">
        <f>IFERROR(AVERAGEIFS('Picarro Output'!G:G, 'Picarro Output'!$B:$B, 'Uncalibrated Data'!$C3148, 'Picarro Output'!$I:$I, 0, 'Picarro Output'!$J:$J, 1), "")</f>
        <v/>
      </c>
    </row>
    <row r="3149" spans="2:5" x14ac:dyDescent="0.2">
      <c r="B3149" s="1"/>
      <c r="E3149" s="38" t="str">
        <f>IFERROR(AVERAGEIFS('Picarro Output'!G:G, 'Picarro Output'!$B:$B, 'Uncalibrated Data'!$C3149, 'Picarro Output'!$I:$I, 0, 'Picarro Output'!$J:$J, 1), "")</f>
        <v/>
      </c>
    </row>
    <row r="3150" spans="2:5" x14ac:dyDescent="0.2">
      <c r="B3150" s="1"/>
      <c r="E3150" s="38" t="str">
        <f>IFERROR(AVERAGEIFS('Picarro Output'!G:G, 'Picarro Output'!$B:$B, 'Uncalibrated Data'!$C3150, 'Picarro Output'!$I:$I, 0, 'Picarro Output'!$J:$J, 1), "")</f>
        <v/>
      </c>
    </row>
    <row r="3151" spans="2:5" x14ac:dyDescent="0.2">
      <c r="B3151" s="1"/>
      <c r="E3151" s="38" t="str">
        <f>IFERROR(AVERAGEIFS('Picarro Output'!G:G, 'Picarro Output'!$B:$B, 'Uncalibrated Data'!$C3151, 'Picarro Output'!$I:$I, 0, 'Picarro Output'!$J:$J, 1), "")</f>
        <v/>
      </c>
    </row>
    <row r="3152" spans="2:5" x14ac:dyDescent="0.2">
      <c r="B3152" s="1"/>
      <c r="E3152" s="38" t="str">
        <f>IFERROR(AVERAGEIFS('Picarro Output'!G:G, 'Picarro Output'!$B:$B, 'Uncalibrated Data'!$C3152, 'Picarro Output'!$I:$I, 0, 'Picarro Output'!$J:$J, 1), "")</f>
        <v/>
      </c>
    </row>
    <row r="3153" spans="2:5" x14ac:dyDescent="0.2">
      <c r="B3153" s="1"/>
      <c r="E3153" s="38" t="str">
        <f>IFERROR(AVERAGEIFS('Picarro Output'!G:G, 'Picarro Output'!$B:$B, 'Uncalibrated Data'!$C3153, 'Picarro Output'!$I:$I, 0, 'Picarro Output'!$J:$J, 1), "")</f>
        <v/>
      </c>
    </row>
    <row r="3154" spans="2:5" x14ac:dyDescent="0.2">
      <c r="B3154" s="1"/>
      <c r="E3154" s="38" t="str">
        <f>IFERROR(AVERAGEIFS('Picarro Output'!G:G, 'Picarro Output'!$B:$B, 'Uncalibrated Data'!$C3154, 'Picarro Output'!$I:$I, 0, 'Picarro Output'!$J:$J, 1), "")</f>
        <v/>
      </c>
    </row>
    <row r="3155" spans="2:5" x14ac:dyDescent="0.2">
      <c r="B3155" s="1"/>
      <c r="E3155" s="38" t="str">
        <f>IFERROR(AVERAGEIFS('Picarro Output'!G:G, 'Picarro Output'!$B:$B, 'Uncalibrated Data'!$C3155, 'Picarro Output'!$I:$I, 0, 'Picarro Output'!$J:$J, 1), "")</f>
        <v/>
      </c>
    </row>
    <row r="3156" spans="2:5" x14ac:dyDescent="0.2">
      <c r="B3156" s="1"/>
      <c r="E3156" s="38" t="str">
        <f>IFERROR(AVERAGEIFS('Picarro Output'!G:G, 'Picarro Output'!$B:$B, 'Uncalibrated Data'!$C3156, 'Picarro Output'!$I:$I, 0, 'Picarro Output'!$J:$J, 1), "")</f>
        <v/>
      </c>
    </row>
    <row r="3157" spans="2:5" x14ac:dyDescent="0.2">
      <c r="B3157" s="1"/>
      <c r="E3157" s="38" t="str">
        <f>IFERROR(AVERAGEIFS('Picarro Output'!G:G, 'Picarro Output'!$B:$B, 'Uncalibrated Data'!$C3157, 'Picarro Output'!$I:$I, 0, 'Picarro Output'!$J:$J, 1), "")</f>
        <v/>
      </c>
    </row>
    <row r="3158" spans="2:5" x14ac:dyDescent="0.2">
      <c r="B3158" s="1"/>
      <c r="E3158" s="38" t="str">
        <f>IFERROR(AVERAGEIFS('Picarro Output'!G:G, 'Picarro Output'!$B:$B, 'Uncalibrated Data'!$C3158, 'Picarro Output'!$I:$I, 0, 'Picarro Output'!$J:$J, 1), "")</f>
        <v/>
      </c>
    </row>
    <row r="3159" spans="2:5" x14ac:dyDescent="0.2">
      <c r="B3159" s="1"/>
      <c r="E3159" s="38" t="str">
        <f>IFERROR(AVERAGEIFS('Picarro Output'!G:G, 'Picarro Output'!$B:$B, 'Uncalibrated Data'!$C3159, 'Picarro Output'!$I:$I, 0, 'Picarro Output'!$J:$J, 1), "")</f>
        <v/>
      </c>
    </row>
    <row r="3160" spans="2:5" x14ac:dyDescent="0.2">
      <c r="B3160" s="1"/>
      <c r="E3160" s="38" t="str">
        <f>IFERROR(AVERAGEIFS('Picarro Output'!G:G, 'Picarro Output'!$B:$B, 'Uncalibrated Data'!$C3160, 'Picarro Output'!$I:$I, 0, 'Picarro Output'!$J:$J, 1), "")</f>
        <v/>
      </c>
    </row>
    <row r="3161" spans="2:5" x14ac:dyDescent="0.2">
      <c r="B3161" s="1"/>
      <c r="E3161" s="38" t="str">
        <f>IFERROR(AVERAGEIFS('Picarro Output'!G:G, 'Picarro Output'!$B:$B, 'Uncalibrated Data'!$C3161, 'Picarro Output'!$I:$I, 0, 'Picarro Output'!$J:$J, 1), "")</f>
        <v/>
      </c>
    </row>
    <row r="3162" spans="2:5" x14ac:dyDescent="0.2">
      <c r="B3162" s="1"/>
      <c r="E3162" s="38" t="str">
        <f>IFERROR(AVERAGEIFS('Picarro Output'!G:G, 'Picarro Output'!$B:$B, 'Uncalibrated Data'!$C3162, 'Picarro Output'!$I:$I, 0, 'Picarro Output'!$J:$J, 1), "")</f>
        <v/>
      </c>
    </row>
    <row r="3163" spans="2:5" x14ac:dyDescent="0.2">
      <c r="B3163" s="1"/>
      <c r="E3163" s="38" t="str">
        <f>IFERROR(AVERAGEIFS('Picarro Output'!G:G, 'Picarro Output'!$B:$B, 'Uncalibrated Data'!$C3163, 'Picarro Output'!$I:$I, 0, 'Picarro Output'!$J:$J, 1), "")</f>
        <v/>
      </c>
    </row>
    <row r="3164" spans="2:5" x14ac:dyDescent="0.2">
      <c r="B3164" s="1"/>
      <c r="E3164" s="38" t="str">
        <f>IFERROR(AVERAGEIFS('Picarro Output'!G:G, 'Picarro Output'!$B:$B, 'Uncalibrated Data'!$C3164, 'Picarro Output'!$I:$I, 0, 'Picarro Output'!$J:$J, 1), "")</f>
        <v/>
      </c>
    </row>
    <row r="3165" spans="2:5" x14ac:dyDescent="0.2">
      <c r="B3165" s="1"/>
      <c r="E3165" s="38" t="str">
        <f>IFERROR(AVERAGEIFS('Picarro Output'!G:G, 'Picarro Output'!$B:$B, 'Uncalibrated Data'!$C3165, 'Picarro Output'!$I:$I, 0, 'Picarro Output'!$J:$J, 1), "")</f>
        <v/>
      </c>
    </row>
    <row r="3166" spans="2:5" x14ac:dyDescent="0.2">
      <c r="B3166" s="1"/>
      <c r="E3166" s="38" t="str">
        <f>IFERROR(AVERAGEIFS('Picarro Output'!G:G, 'Picarro Output'!$B:$B, 'Uncalibrated Data'!$C3166, 'Picarro Output'!$I:$I, 0, 'Picarro Output'!$J:$J, 1), "")</f>
        <v/>
      </c>
    </row>
    <row r="3167" spans="2:5" x14ac:dyDescent="0.2">
      <c r="B3167" s="1"/>
      <c r="E3167" s="38" t="str">
        <f>IFERROR(AVERAGEIFS('Picarro Output'!G:G, 'Picarro Output'!$B:$B, 'Uncalibrated Data'!$C3167, 'Picarro Output'!$I:$I, 0, 'Picarro Output'!$J:$J, 1), "")</f>
        <v/>
      </c>
    </row>
    <row r="3168" spans="2:5" x14ac:dyDescent="0.2">
      <c r="B3168" s="1"/>
      <c r="E3168" s="38" t="str">
        <f>IFERROR(AVERAGEIFS('Picarro Output'!G:G, 'Picarro Output'!$B:$B, 'Uncalibrated Data'!$C3168, 'Picarro Output'!$I:$I, 0, 'Picarro Output'!$J:$J, 1), "")</f>
        <v/>
      </c>
    </row>
    <row r="3169" spans="2:5" x14ac:dyDescent="0.2">
      <c r="B3169" s="1"/>
      <c r="E3169" s="38" t="str">
        <f>IFERROR(AVERAGEIFS('Picarro Output'!G:G, 'Picarro Output'!$B:$B, 'Uncalibrated Data'!$C3169, 'Picarro Output'!$I:$I, 0, 'Picarro Output'!$J:$J, 1), "")</f>
        <v/>
      </c>
    </row>
    <row r="3170" spans="2:5" x14ac:dyDescent="0.2">
      <c r="B3170" s="1"/>
      <c r="E3170" s="38" t="str">
        <f>IFERROR(AVERAGEIFS('Picarro Output'!G:G, 'Picarro Output'!$B:$B, 'Uncalibrated Data'!$C3170, 'Picarro Output'!$I:$I, 0, 'Picarro Output'!$J:$J, 1), "")</f>
        <v/>
      </c>
    </row>
    <row r="3171" spans="2:5" x14ac:dyDescent="0.2">
      <c r="B3171" s="1"/>
      <c r="E3171" s="38" t="str">
        <f>IFERROR(AVERAGEIFS('Picarro Output'!G:G, 'Picarro Output'!$B:$B, 'Uncalibrated Data'!$C3171, 'Picarro Output'!$I:$I, 0, 'Picarro Output'!$J:$J, 1), "")</f>
        <v/>
      </c>
    </row>
    <row r="3172" spans="2:5" x14ac:dyDescent="0.2">
      <c r="B3172" s="1"/>
      <c r="E3172" s="38" t="str">
        <f>IFERROR(AVERAGEIFS('Picarro Output'!G:G, 'Picarro Output'!$B:$B, 'Uncalibrated Data'!$C3172, 'Picarro Output'!$I:$I, 0, 'Picarro Output'!$J:$J, 1), "")</f>
        <v/>
      </c>
    </row>
    <row r="3173" spans="2:5" x14ac:dyDescent="0.2">
      <c r="B3173" s="1"/>
      <c r="E3173" s="38" t="str">
        <f>IFERROR(AVERAGEIFS('Picarro Output'!G:G, 'Picarro Output'!$B:$B, 'Uncalibrated Data'!$C3173, 'Picarro Output'!$I:$I, 0, 'Picarro Output'!$J:$J, 1), "")</f>
        <v/>
      </c>
    </row>
    <row r="3174" spans="2:5" x14ac:dyDescent="0.2">
      <c r="B3174" s="1"/>
      <c r="E3174" s="38" t="str">
        <f>IFERROR(AVERAGEIFS('Picarro Output'!G:G, 'Picarro Output'!$B:$B, 'Uncalibrated Data'!$C3174, 'Picarro Output'!$I:$I, 0, 'Picarro Output'!$J:$J, 1), "")</f>
        <v/>
      </c>
    </row>
    <row r="3175" spans="2:5" x14ac:dyDescent="0.2">
      <c r="B3175" s="1"/>
      <c r="E3175" s="38" t="str">
        <f>IFERROR(AVERAGEIFS('Picarro Output'!G:G, 'Picarro Output'!$B:$B, 'Uncalibrated Data'!$C3175, 'Picarro Output'!$I:$I, 0, 'Picarro Output'!$J:$J, 1), "")</f>
        <v/>
      </c>
    </row>
    <row r="3176" spans="2:5" x14ac:dyDescent="0.2">
      <c r="B3176" s="1"/>
      <c r="E3176" s="38" t="str">
        <f>IFERROR(AVERAGEIFS('Picarro Output'!G:G, 'Picarro Output'!$B:$B, 'Uncalibrated Data'!$C3176, 'Picarro Output'!$I:$I, 0, 'Picarro Output'!$J:$J, 1), "")</f>
        <v/>
      </c>
    </row>
    <row r="3177" spans="2:5" x14ac:dyDescent="0.2">
      <c r="B3177" s="1"/>
      <c r="E3177" s="38" t="str">
        <f>IFERROR(AVERAGEIFS('Picarro Output'!G:G, 'Picarro Output'!$B:$B, 'Uncalibrated Data'!$C3177, 'Picarro Output'!$I:$I, 0, 'Picarro Output'!$J:$J, 1), "")</f>
        <v/>
      </c>
    </row>
    <row r="3178" spans="2:5" x14ac:dyDescent="0.2">
      <c r="B3178" s="1"/>
      <c r="E3178" s="38" t="str">
        <f>IFERROR(AVERAGEIFS('Picarro Output'!G:G, 'Picarro Output'!$B:$B, 'Uncalibrated Data'!$C3178, 'Picarro Output'!$I:$I, 0, 'Picarro Output'!$J:$J, 1), "")</f>
        <v/>
      </c>
    </row>
    <row r="3179" spans="2:5" x14ac:dyDescent="0.2">
      <c r="B3179" s="1"/>
      <c r="E3179" s="38" t="str">
        <f>IFERROR(AVERAGEIFS('Picarro Output'!G:G, 'Picarro Output'!$B:$B, 'Uncalibrated Data'!$C3179, 'Picarro Output'!$I:$I, 0, 'Picarro Output'!$J:$J, 1), "")</f>
        <v/>
      </c>
    </row>
    <row r="3180" spans="2:5" x14ac:dyDescent="0.2">
      <c r="B3180" s="1"/>
      <c r="E3180" s="38" t="str">
        <f>IFERROR(AVERAGEIFS('Picarro Output'!G:G, 'Picarro Output'!$B:$B, 'Uncalibrated Data'!$C3180, 'Picarro Output'!$I:$I, 0, 'Picarro Output'!$J:$J, 1), "")</f>
        <v/>
      </c>
    </row>
    <row r="3181" spans="2:5" x14ac:dyDescent="0.2">
      <c r="B3181" s="1"/>
      <c r="E3181" s="38" t="str">
        <f>IFERROR(AVERAGEIFS('Picarro Output'!G:G, 'Picarro Output'!$B:$B, 'Uncalibrated Data'!$C3181, 'Picarro Output'!$I:$I, 0, 'Picarro Output'!$J:$J, 1), "")</f>
        <v/>
      </c>
    </row>
    <row r="3182" spans="2:5" x14ac:dyDescent="0.2">
      <c r="B3182" s="1"/>
      <c r="E3182" s="38" t="str">
        <f>IFERROR(AVERAGEIFS('Picarro Output'!G:G, 'Picarro Output'!$B:$B, 'Uncalibrated Data'!$C3182, 'Picarro Output'!$I:$I, 0, 'Picarro Output'!$J:$J, 1), "")</f>
        <v/>
      </c>
    </row>
    <row r="3183" spans="2:5" x14ac:dyDescent="0.2">
      <c r="B3183" s="1"/>
      <c r="E3183" s="38" t="str">
        <f>IFERROR(AVERAGEIFS('Picarro Output'!G:G, 'Picarro Output'!$B:$B, 'Uncalibrated Data'!$C3183, 'Picarro Output'!$I:$I, 0, 'Picarro Output'!$J:$J, 1), "")</f>
        <v/>
      </c>
    </row>
    <row r="3184" spans="2:5" x14ac:dyDescent="0.2">
      <c r="B3184" s="1"/>
      <c r="E3184" s="38" t="str">
        <f>IFERROR(AVERAGEIFS('Picarro Output'!G:G, 'Picarro Output'!$B:$B, 'Uncalibrated Data'!$C3184, 'Picarro Output'!$I:$I, 0, 'Picarro Output'!$J:$J, 1), "")</f>
        <v/>
      </c>
    </row>
    <row r="3185" spans="2:5" x14ac:dyDescent="0.2">
      <c r="B3185" s="1"/>
      <c r="E3185" s="38" t="str">
        <f>IFERROR(AVERAGEIFS('Picarro Output'!G:G, 'Picarro Output'!$B:$B, 'Uncalibrated Data'!$C3185, 'Picarro Output'!$I:$I, 0, 'Picarro Output'!$J:$J, 1), "")</f>
        <v/>
      </c>
    </row>
    <row r="3186" spans="2:5" x14ac:dyDescent="0.2">
      <c r="B3186" s="1"/>
      <c r="E3186" s="38" t="str">
        <f>IFERROR(AVERAGEIFS('Picarro Output'!G:G, 'Picarro Output'!$B:$B, 'Uncalibrated Data'!$C3186, 'Picarro Output'!$I:$I, 0, 'Picarro Output'!$J:$J, 1), "")</f>
        <v/>
      </c>
    </row>
    <row r="3187" spans="2:5" x14ac:dyDescent="0.2">
      <c r="B3187" s="1"/>
      <c r="E3187" s="38" t="str">
        <f>IFERROR(AVERAGEIFS('Picarro Output'!G:G, 'Picarro Output'!$B:$B, 'Uncalibrated Data'!$C3187, 'Picarro Output'!$I:$I, 0, 'Picarro Output'!$J:$J, 1), "")</f>
        <v/>
      </c>
    </row>
    <row r="3188" spans="2:5" x14ac:dyDescent="0.2">
      <c r="B3188" s="1"/>
      <c r="E3188" s="38" t="str">
        <f>IFERROR(AVERAGEIFS('Picarro Output'!G:G, 'Picarro Output'!$B:$B, 'Uncalibrated Data'!$C3188, 'Picarro Output'!$I:$I, 0, 'Picarro Output'!$J:$J, 1), "")</f>
        <v/>
      </c>
    </row>
    <row r="3189" spans="2:5" x14ac:dyDescent="0.2">
      <c r="B3189" s="1"/>
      <c r="E3189" s="38" t="str">
        <f>IFERROR(AVERAGEIFS('Picarro Output'!G:G, 'Picarro Output'!$B:$B, 'Uncalibrated Data'!$C3189, 'Picarro Output'!$I:$I, 0, 'Picarro Output'!$J:$J, 1), "")</f>
        <v/>
      </c>
    </row>
    <row r="3190" spans="2:5" x14ac:dyDescent="0.2">
      <c r="B3190" s="1"/>
      <c r="E3190" s="38" t="str">
        <f>IFERROR(AVERAGEIFS('Picarro Output'!G:G, 'Picarro Output'!$B:$B, 'Uncalibrated Data'!$C3190, 'Picarro Output'!$I:$I, 0, 'Picarro Output'!$J:$J, 1), "")</f>
        <v/>
      </c>
    </row>
    <row r="3191" spans="2:5" x14ac:dyDescent="0.2">
      <c r="B3191" s="1"/>
      <c r="E3191" s="38" t="str">
        <f>IFERROR(AVERAGEIFS('Picarro Output'!G:G, 'Picarro Output'!$B:$B, 'Uncalibrated Data'!$C3191, 'Picarro Output'!$I:$I, 0, 'Picarro Output'!$J:$J, 1), "")</f>
        <v/>
      </c>
    </row>
    <row r="3192" spans="2:5" x14ac:dyDescent="0.2">
      <c r="B3192" s="1"/>
      <c r="E3192" s="38" t="str">
        <f>IFERROR(AVERAGEIFS('Picarro Output'!G:G, 'Picarro Output'!$B:$B, 'Uncalibrated Data'!$C3192, 'Picarro Output'!$I:$I, 0, 'Picarro Output'!$J:$J, 1), "")</f>
        <v/>
      </c>
    </row>
    <row r="3193" spans="2:5" x14ac:dyDescent="0.2">
      <c r="B3193" s="1"/>
      <c r="E3193" s="38" t="str">
        <f>IFERROR(AVERAGEIFS('Picarro Output'!G:G, 'Picarro Output'!$B:$B, 'Uncalibrated Data'!$C3193, 'Picarro Output'!$I:$I, 0, 'Picarro Output'!$J:$J, 1), "")</f>
        <v/>
      </c>
    </row>
    <row r="3194" spans="2:5" x14ac:dyDescent="0.2">
      <c r="B3194" s="1"/>
      <c r="E3194" s="38" t="str">
        <f>IFERROR(AVERAGEIFS('Picarro Output'!G:G, 'Picarro Output'!$B:$B, 'Uncalibrated Data'!$C3194, 'Picarro Output'!$I:$I, 0, 'Picarro Output'!$J:$J, 1), "")</f>
        <v/>
      </c>
    </row>
    <row r="3195" spans="2:5" x14ac:dyDescent="0.2">
      <c r="B3195" s="1"/>
      <c r="E3195" s="38" t="str">
        <f>IFERROR(AVERAGEIFS('Picarro Output'!G:G, 'Picarro Output'!$B:$B, 'Uncalibrated Data'!$C3195, 'Picarro Output'!$I:$I, 0, 'Picarro Output'!$J:$J, 1), "")</f>
        <v/>
      </c>
    </row>
    <row r="3196" spans="2:5" x14ac:dyDescent="0.2">
      <c r="B3196" s="1"/>
      <c r="E3196" s="38" t="str">
        <f>IFERROR(AVERAGEIFS('Picarro Output'!G:G, 'Picarro Output'!$B:$B, 'Uncalibrated Data'!$C3196, 'Picarro Output'!$I:$I, 0, 'Picarro Output'!$J:$J, 1), "")</f>
        <v/>
      </c>
    </row>
    <row r="3197" spans="2:5" x14ac:dyDescent="0.2">
      <c r="B3197" s="1"/>
      <c r="E3197" s="38" t="str">
        <f>IFERROR(AVERAGEIFS('Picarro Output'!G:G, 'Picarro Output'!$B:$B, 'Uncalibrated Data'!$C3197, 'Picarro Output'!$I:$I, 0, 'Picarro Output'!$J:$J, 1), "")</f>
        <v/>
      </c>
    </row>
    <row r="3198" spans="2:5" x14ac:dyDescent="0.2">
      <c r="B3198" s="1"/>
      <c r="E3198" s="38" t="str">
        <f>IFERROR(AVERAGEIFS('Picarro Output'!G:G, 'Picarro Output'!$B:$B, 'Uncalibrated Data'!$C3198, 'Picarro Output'!$I:$I, 0, 'Picarro Output'!$J:$J, 1), "")</f>
        <v/>
      </c>
    </row>
    <row r="3199" spans="2:5" x14ac:dyDescent="0.2">
      <c r="B3199" s="1"/>
      <c r="E3199" s="38" t="str">
        <f>IFERROR(AVERAGEIFS('Picarro Output'!G:G, 'Picarro Output'!$B:$B, 'Uncalibrated Data'!$C3199, 'Picarro Output'!$I:$I, 0, 'Picarro Output'!$J:$J, 1), "")</f>
        <v/>
      </c>
    </row>
    <row r="3200" spans="2:5" x14ac:dyDescent="0.2">
      <c r="B3200" s="1"/>
      <c r="E3200" s="38" t="str">
        <f>IFERROR(AVERAGEIFS('Picarro Output'!G:G, 'Picarro Output'!$B:$B, 'Uncalibrated Data'!$C3200, 'Picarro Output'!$I:$I, 0, 'Picarro Output'!$J:$J, 1), "")</f>
        <v/>
      </c>
    </row>
    <row r="3201" spans="2:5" x14ac:dyDescent="0.2">
      <c r="B3201" s="1"/>
      <c r="E3201" s="38" t="str">
        <f>IFERROR(AVERAGEIFS('Picarro Output'!G:G, 'Picarro Output'!$B:$B, 'Uncalibrated Data'!$C3201, 'Picarro Output'!$I:$I, 0, 'Picarro Output'!$J:$J, 1), "")</f>
        <v/>
      </c>
    </row>
    <row r="3202" spans="2:5" x14ac:dyDescent="0.2">
      <c r="B3202" s="1"/>
      <c r="E3202" s="38" t="str">
        <f>IFERROR(AVERAGEIFS('Picarro Output'!G:G, 'Picarro Output'!$B:$B, 'Uncalibrated Data'!$C3202, 'Picarro Output'!$I:$I, 0, 'Picarro Output'!$J:$J, 1), "")</f>
        <v/>
      </c>
    </row>
    <row r="3203" spans="2:5" x14ac:dyDescent="0.2">
      <c r="B3203" s="1"/>
      <c r="E3203" s="38" t="str">
        <f>IFERROR(AVERAGEIFS('Picarro Output'!G:G, 'Picarro Output'!$B:$B, 'Uncalibrated Data'!$C3203, 'Picarro Output'!$I:$I, 0, 'Picarro Output'!$J:$J, 1), "")</f>
        <v/>
      </c>
    </row>
    <row r="3204" spans="2:5" x14ac:dyDescent="0.2">
      <c r="B3204" s="1"/>
      <c r="E3204" s="38" t="str">
        <f>IFERROR(AVERAGEIFS('Picarro Output'!G:G, 'Picarro Output'!$B:$B, 'Uncalibrated Data'!$C3204, 'Picarro Output'!$I:$I, 0, 'Picarro Output'!$J:$J, 1), "")</f>
        <v/>
      </c>
    </row>
    <row r="3205" spans="2:5" x14ac:dyDescent="0.2">
      <c r="B3205" s="1"/>
      <c r="E3205" s="38" t="str">
        <f>IFERROR(AVERAGEIFS('Picarro Output'!G:G, 'Picarro Output'!$B:$B, 'Uncalibrated Data'!$C3205, 'Picarro Output'!$I:$I, 0, 'Picarro Output'!$J:$J, 1), "")</f>
        <v/>
      </c>
    </row>
    <row r="3206" spans="2:5" x14ac:dyDescent="0.2">
      <c r="B3206" s="1"/>
      <c r="E3206" s="38" t="str">
        <f>IFERROR(AVERAGEIFS('Picarro Output'!G:G, 'Picarro Output'!$B:$B, 'Uncalibrated Data'!$C3206, 'Picarro Output'!$I:$I, 0, 'Picarro Output'!$J:$J, 1), "")</f>
        <v/>
      </c>
    </row>
    <row r="3207" spans="2:5" x14ac:dyDescent="0.2">
      <c r="B3207" s="1"/>
      <c r="E3207" s="38" t="str">
        <f>IFERROR(AVERAGEIFS('Picarro Output'!G:G, 'Picarro Output'!$B:$B, 'Uncalibrated Data'!$C3207, 'Picarro Output'!$I:$I, 0, 'Picarro Output'!$J:$J, 1), "")</f>
        <v/>
      </c>
    </row>
    <row r="3208" spans="2:5" x14ac:dyDescent="0.2">
      <c r="B3208" s="1"/>
      <c r="E3208" s="38" t="str">
        <f>IFERROR(AVERAGEIFS('Picarro Output'!G:G, 'Picarro Output'!$B:$B, 'Uncalibrated Data'!$C3208, 'Picarro Output'!$I:$I, 0, 'Picarro Output'!$J:$J, 1), "")</f>
        <v/>
      </c>
    </row>
    <row r="3209" spans="2:5" x14ac:dyDescent="0.2">
      <c r="B3209" s="1"/>
      <c r="E3209" s="38" t="str">
        <f>IFERROR(AVERAGEIFS('Picarro Output'!G:G, 'Picarro Output'!$B:$B, 'Uncalibrated Data'!$C3209, 'Picarro Output'!$I:$I, 0, 'Picarro Output'!$J:$J, 1), "")</f>
        <v/>
      </c>
    </row>
    <row r="3210" spans="2:5" x14ac:dyDescent="0.2">
      <c r="B3210" s="1"/>
      <c r="E3210" s="38" t="str">
        <f>IFERROR(AVERAGEIFS('Picarro Output'!G:G, 'Picarro Output'!$B:$B, 'Uncalibrated Data'!$C3210, 'Picarro Output'!$I:$I, 0, 'Picarro Output'!$J:$J, 1), "")</f>
        <v/>
      </c>
    </row>
    <row r="3211" spans="2:5" x14ac:dyDescent="0.2">
      <c r="B3211" s="1"/>
      <c r="E3211" s="38" t="str">
        <f>IFERROR(AVERAGEIFS('Picarro Output'!G:G, 'Picarro Output'!$B:$B, 'Uncalibrated Data'!$C3211, 'Picarro Output'!$I:$I, 0, 'Picarro Output'!$J:$J, 1), "")</f>
        <v/>
      </c>
    </row>
    <row r="3212" spans="2:5" x14ac:dyDescent="0.2">
      <c r="B3212" s="1"/>
      <c r="E3212" s="38" t="str">
        <f>IFERROR(AVERAGEIFS('Picarro Output'!G:G, 'Picarro Output'!$B:$B, 'Uncalibrated Data'!$C3212, 'Picarro Output'!$I:$I, 0, 'Picarro Output'!$J:$J, 1), "")</f>
        <v/>
      </c>
    </row>
    <row r="3213" spans="2:5" x14ac:dyDescent="0.2">
      <c r="B3213" s="1"/>
      <c r="E3213" s="38" t="str">
        <f>IFERROR(AVERAGEIFS('Picarro Output'!G:G, 'Picarro Output'!$B:$B, 'Uncalibrated Data'!$C3213, 'Picarro Output'!$I:$I, 0, 'Picarro Output'!$J:$J, 1), "")</f>
        <v/>
      </c>
    </row>
    <row r="3214" spans="2:5" x14ac:dyDescent="0.2">
      <c r="B3214" s="1"/>
      <c r="E3214" s="38" t="str">
        <f>IFERROR(AVERAGEIFS('Picarro Output'!G:G, 'Picarro Output'!$B:$B, 'Uncalibrated Data'!$C3214, 'Picarro Output'!$I:$I, 0, 'Picarro Output'!$J:$J, 1), "")</f>
        <v/>
      </c>
    </row>
    <row r="3215" spans="2:5" x14ac:dyDescent="0.2">
      <c r="B3215" s="1"/>
      <c r="E3215" s="38" t="str">
        <f>IFERROR(AVERAGEIFS('Picarro Output'!G:G, 'Picarro Output'!$B:$B, 'Uncalibrated Data'!$C3215, 'Picarro Output'!$I:$I, 0, 'Picarro Output'!$J:$J, 1), "")</f>
        <v/>
      </c>
    </row>
    <row r="3216" spans="2:5" x14ac:dyDescent="0.2">
      <c r="B3216" s="1"/>
      <c r="E3216" s="38" t="str">
        <f>IFERROR(AVERAGEIFS('Picarro Output'!G:G, 'Picarro Output'!$B:$B, 'Uncalibrated Data'!$C3216, 'Picarro Output'!$I:$I, 0, 'Picarro Output'!$J:$J, 1), "")</f>
        <v/>
      </c>
    </row>
    <row r="3217" spans="2:5" x14ac:dyDescent="0.2">
      <c r="B3217" s="1"/>
      <c r="E3217" s="38" t="str">
        <f>IFERROR(AVERAGEIFS('Picarro Output'!G:G, 'Picarro Output'!$B:$B, 'Uncalibrated Data'!$C3217, 'Picarro Output'!$I:$I, 0, 'Picarro Output'!$J:$J, 1), "")</f>
        <v/>
      </c>
    </row>
    <row r="3218" spans="2:5" x14ac:dyDescent="0.2">
      <c r="B3218" s="1"/>
      <c r="E3218" s="38" t="str">
        <f>IFERROR(AVERAGEIFS('Picarro Output'!G:G, 'Picarro Output'!$B:$B, 'Uncalibrated Data'!$C3218, 'Picarro Output'!$I:$I, 0, 'Picarro Output'!$J:$J, 1), "")</f>
        <v/>
      </c>
    </row>
    <row r="3219" spans="2:5" x14ac:dyDescent="0.2">
      <c r="B3219" s="1"/>
      <c r="E3219" s="38" t="str">
        <f>IFERROR(AVERAGEIFS('Picarro Output'!G:G, 'Picarro Output'!$B:$B, 'Uncalibrated Data'!$C3219, 'Picarro Output'!$I:$I, 0, 'Picarro Output'!$J:$J, 1), "")</f>
        <v/>
      </c>
    </row>
    <row r="3220" spans="2:5" x14ac:dyDescent="0.2">
      <c r="B3220" s="1"/>
      <c r="E3220" s="38" t="str">
        <f>IFERROR(AVERAGEIFS('Picarro Output'!G:G, 'Picarro Output'!$B:$B, 'Uncalibrated Data'!$C3220, 'Picarro Output'!$I:$I, 0, 'Picarro Output'!$J:$J, 1), "")</f>
        <v/>
      </c>
    </row>
    <row r="3221" spans="2:5" x14ac:dyDescent="0.2">
      <c r="B3221" s="1"/>
      <c r="E3221" s="38" t="str">
        <f>IFERROR(AVERAGEIFS('Picarro Output'!G:G, 'Picarro Output'!$B:$B, 'Uncalibrated Data'!$C3221, 'Picarro Output'!$I:$I, 0, 'Picarro Output'!$J:$J, 1), "")</f>
        <v/>
      </c>
    </row>
    <row r="3222" spans="2:5" x14ac:dyDescent="0.2">
      <c r="B3222" s="1"/>
      <c r="E3222" s="38" t="str">
        <f>IFERROR(AVERAGEIFS('Picarro Output'!G:G, 'Picarro Output'!$B:$B, 'Uncalibrated Data'!$C3222, 'Picarro Output'!$I:$I, 0, 'Picarro Output'!$J:$J, 1), "")</f>
        <v/>
      </c>
    </row>
    <row r="3223" spans="2:5" x14ac:dyDescent="0.2">
      <c r="B3223" s="1"/>
      <c r="E3223" s="38" t="str">
        <f>IFERROR(AVERAGEIFS('Picarro Output'!G:G, 'Picarro Output'!$B:$B, 'Uncalibrated Data'!$C3223, 'Picarro Output'!$I:$I, 0, 'Picarro Output'!$J:$J, 1), "")</f>
        <v/>
      </c>
    </row>
    <row r="3224" spans="2:5" x14ac:dyDescent="0.2">
      <c r="B3224" s="1"/>
      <c r="E3224" s="38" t="str">
        <f>IFERROR(AVERAGEIFS('Picarro Output'!G:G, 'Picarro Output'!$B:$B, 'Uncalibrated Data'!$C3224, 'Picarro Output'!$I:$I, 0, 'Picarro Output'!$J:$J, 1), "")</f>
        <v/>
      </c>
    </row>
    <row r="3225" spans="2:5" x14ac:dyDescent="0.2">
      <c r="B3225" s="1"/>
      <c r="E3225" s="38" t="str">
        <f>IFERROR(AVERAGEIFS('Picarro Output'!G:G, 'Picarro Output'!$B:$B, 'Uncalibrated Data'!$C3225, 'Picarro Output'!$I:$I, 0, 'Picarro Output'!$J:$J, 1), "")</f>
        <v/>
      </c>
    </row>
    <row r="3226" spans="2:5" x14ac:dyDescent="0.2">
      <c r="B3226" s="1"/>
      <c r="E3226" s="38" t="str">
        <f>IFERROR(AVERAGEIFS('Picarro Output'!G:G, 'Picarro Output'!$B:$B, 'Uncalibrated Data'!$C3226, 'Picarro Output'!$I:$I, 0, 'Picarro Output'!$J:$J, 1), "")</f>
        <v/>
      </c>
    </row>
    <row r="3227" spans="2:5" x14ac:dyDescent="0.2">
      <c r="B3227" s="1"/>
      <c r="E3227" s="38" t="str">
        <f>IFERROR(AVERAGEIFS('Picarro Output'!G:G, 'Picarro Output'!$B:$B, 'Uncalibrated Data'!$C3227, 'Picarro Output'!$I:$I, 0, 'Picarro Output'!$J:$J, 1), "")</f>
        <v/>
      </c>
    </row>
    <row r="3228" spans="2:5" x14ac:dyDescent="0.2">
      <c r="B3228" s="1"/>
      <c r="E3228" s="38" t="str">
        <f>IFERROR(AVERAGEIFS('Picarro Output'!G:G, 'Picarro Output'!$B:$B, 'Uncalibrated Data'!$C3228, 'Picarro Output'!$I:$I, 0, 'Picarro Output'!$J:$J, 1), "")</f>
        <v/>
      </c>
    </row>
    <row r="3229" spans="2:5" x14ac:dyDescent="0.2">
      <c r="B3229" s="1"/>
      <c r="E3229" s="38" t="str">
        <f>IFERROR(AVERAGEIFS('Picarro Output'!G:G, 'Picarro Output'!$B:$B, 'Uncalibrated Data'!$C3229, 'Picarro Output'!$I:$I, 0, 'Picarro Output'!$J:$J, 1), "")</f>
        <v/>
      </c>
    </row>
    <row r="3230" spans="2:5" x14ac:dyDescent="0.2">
      <c r="B3230" s="1"/>
      <c r="E3230" s="38" t="str">
        <f>IFERROR(AVERAGEIFS('Picarro Output'!G:G, 'Picarro Output'!$B:$B, 'Uncalibrated Data'!$C3230, 'Picarro Output'!$I:$I, 0, 'Picarro Output'!$J:$J, 1), "")</f>
        <v/>
      </c>
    </row>
    <row r="3231" spans="2:5" x14ac:dyDescent="0.2">
      <c r="B3231" s="1"/>
      <c r="E3231" s="38" t="str">
        <f>IFERROR(AVERAGEIFS('Picarro Output'!G:G, 'Picarro Output'!$B:$B, 'Uncalibrated Data'!$C3231, 'Picarro Output'!$I:$I, 0, 'Picarro Output'!$J:$J, 1), "")</f>
        <v/>
      </c>
    </row>
    <row r="3232" spans="2:5" x14ac:dyDescent="0.2">
      <c r="B3232" s="1"/>
      <c r="E3232" s="38" t="str">
        <f>IFERROR(AVERAGEIFS('Picarro Output'!G:G, 'Picarro Output'!$B:$B, 'Uncalibrated Data'!$C3232, 'Picarro Output'!$I:$I, 0, 'Picarro Output'!$J:$J, 1), "")</f>
        <v/>
      </c>
    </row>
    <row r="3233" spans="2:5" x14ac:dyDescent="0.2">
      <c r="B3233" s="1"/>
      <c r="E3233" s="38" t="str">
        <f>IFERROR(AVERAGEIFS('Picarro Output'!G:G, 'Picarro Output'!$B:$B, 'Uncalibrated Data'!$C3233, 'Picarro Output'!$I:$I, 0, 'Picarro Output'!$J:$J, 1), "")</f>
        <v/>
      </c>
    </row>
    <row r="3234" spans="2:5" x14ac:dyDescent="0.2">
      <c r="B3234" s="1"/>
      <c r="E3234" s="38" t="str">
        <f>IFERROR(AVERAGEIFS('Picarro Output'!G:G, 'Picarro Output'!$B:$B, 'Uncalibrated Data'!$C3234, 'Picarro Output'!$I:$I, 0, 'Picarro Output'!$J:$J, 1), "")</f>
        <v/>
      </c>
    </row>
    <row r="3235" spans="2:5" x14ac:dyDescent="0.2">
      <c r="B3235" s="1"/>
      <c r="E3235" s="38" t="str">
        <f>IFERROR(AVERAGEIFS('Picarro Output'!G:G, 'Picarro Output'!$B:$B, 'Uncalibrated Data'!$C3235, 'Picarro Output'!$I:$I, 0, 'Picarro Output'!$J:$J, 1), "")</f>
        <v/>
      </c>
    </row>
    <row r="3236" spans="2:5" x14ac:dyDescent="0.2">
      <c r="B3236" s="1"/>
      <c r="E3236" s="38" t="str">
        <f>IFERROR(AVERAGEIFS('Picarro Output'!G:G, 'Picarro Output'!$B:$B, 'Uncalibrated Data'!$C3236, 'Picarro Output'!$I:$I, 0, 'Picarro Output'!$J:$J, 1), "")</f>
        <v/>
      </c>
    </row>
    <row r="3237" spans="2:5" x14ac:dyDescent="0.2">
      <c r="B3237" s="1"/>
      <c r="E3237" s="38" t="str">
        <f>IFERROR(AVERAGEIFS('Picarro Output'!G:G, 'Picarro Output'!$B:$B, 'Uncalibrated Data'!$C3237, 'Picarro Output'!$I:$I, 0, 'Picarro Output'!$J:$J, 1), "")</f>
        <v/>
      </c>
    </row>
    <row r="3238" spans="2:5" x14ac:dyDescent="0.2">
      <c r="B3238" s="1"/>
      <c r="E3238" s="38" t="str">
        <f>IFERROR(AVERAGEIFS('Picarro Output'!G:G, 'Picarro Output'!$B:$B, 'Uncalibrated Data'!$C3238, 'Picarro Output'!$I:$I, 0, 'Picarro Output'!$J:$J, 1), "")</f>
        <v/>
      </c>
    </row>
    <row r="3239" spans="2:5" x14ac:dyDescent="0.2">
      <c r="B3239" s="1"/>
      <c r="E3239" s="38" t="str">
        <f>IFERROR(AVERAGEIFS('Picarro Output'!G:G, 'Picarro Output'!$B:$B, 'Uncalibrated Data'!$C3239, 'Picarro Output'!$I:$I, 0, 'Picarro Output'!$J:$J, 1), "")</f>
        <v/>
      </c>
    </row>
    <row r="3240" spans="2:5" x14ac:dyDescent="0.2">
      <c r="B3240" s="1"/>
      <c r="E3240" s="38" t="str">
        <f>IFERROR(AVERAGEIFS('Picarro Output'!G:G, 'Picarro Output'!$B:$B, 'Uncalibrated Data'!$C3240, 'Picarro Output'!$I:$I, 0, 'Picarro Output'!$J:$J, 1), "")</f>
        <v/>
      </c>
    </row>
    <row r="3241" spans="2:5" x14ac:dyDescent="0.2">
      <c r="B3241" s="1"/>
      <c r="E3241" s="38" t="str">
        <f>IFERROR(AVERAGEIFS('Picarro Output'!G:G, 'Picarro Output'!$B:$B, 'Uncalibrated Data'!$C3241, 'Picarro Output'!$I:$I, 0, 'Picarro Output'!$J:$J, 1), "")</f>
        <v/>
      </c>
    </row>
    <row r="3242" spans="2:5" x14ac:dyDescent="0.2">
      <c r="B3242" s="1"/>
      <c r="E3242" s="38" t="str">
        <f>IFERROR(AVERAGEIFS('Picarro Output'!G:G, 'Picarro Output'!$B:$B, 'Uncalibrated Data'!$C3242, 'Picarro Output'!$I:$I, 0, 'Picarro Output'!$J:$J, 1), "")</f>
        <v/>
      </c>
    </row>
    <row r="3243" spans="2:5" x14ac:dyDescent="0.2">
      <c r="B3243" s="1"/>
      <c r="E3243" s="38" t="str">
        <f>IFERROR(AVERAGEIFS('Picarro Output'!G:G, 'Picarro Output'!$B:$B, 'Uncalibrated Data'!$C3243, 'Picarro Output'!$I:$I, 0, 'Picarro Output'!$J:$J, 1), "")</f>
        <v/>
      </c>
    </row>
    <row r="3244" spans="2:5" x14ac:dyDescent="0.2">
      <c r="B3244" s="1"/>
      <c r="E3244" s="38" t="str">
        <f>IFERROR(AVERAGEIFS('Picarro Output'!G:G, 'Picarro Output'!$B:$B, 'Uncalibrated Data'!$C3244, 'Picarro Output'!$I:$I, 0, 'Picarro Output'!$J:$J, 1), "")</f>
        <v/>
      </c>
    </row>
    <row r="3245" spans="2:5" x14ac:dyDescent="0.2">
      <c r="B3245" s="1"/>
      <c r="E3245" s="38" t="str">
        <f>IFERROR(AVERAGEIFS('Picarro Output'!G:G, 'Picarro Output'!$B:$B, 'Uncalibrated Data'!$C3245, 'Picarro Output'!$I:$I, 0, 'Picarro Output'!$J:$J, 1), "")</f>
        <v/>
      </c>
    </row>
    <row r="3246" spans="2:5" x14ac:dyDescent="0.2">
      <c r="B3246" s="1"/>
      <c r="E3246" s="38" t="str">
        <f>IFERROR(AVERAGEIFS('Picarro Output'!G:G, 'Picarro Output'!$B:$B, 'Uncalibrated Data'!$C3246, 'Picarro Output'!$I:$I, 0, 'Picarro Output'!$J:$J, 1), "")</f>
        <v/>
      </c>
    </row>
    <row r="3247" spans="2:5" x14ac:dyDescent="0.2">
      <c r="B3247" s="1"/>
      <c r="E3247" s="38" t="str">
        <f>IFERROR(AVERAGEIFS('Picarro Output'!G:G, 'Picarro Output'!$B:$B, 'Uncalibrated Data'!$C3247, 'Picarro Output'!$I:$I, 0, 'Picarro Output'!$J:$J, 1), "")</f>
        <v/>
      </c>
    </row>
    <row r="3248" spans="2:5" x14ac:dyDescent="0.2">
      <c r="B3248" s="1"/>
      <c r="E3248" s="38" t="str">
        <f>IFERROR(AVERAGEIFS('Picarro Output'!G:G, 'Picarro Output'!$B:$B, 'Uncalibrated Data'!$C3248, 'Picarro Output'!$I:$I, 0, 'Picarro Output'!$J:$J, 1), "")</f>
        <v/>
      </c>
    </row>
    <row r="3249" spans="2:5" x14ac:dyDescent="0.2">
      <c r="B3249" s="1"/>
      <c r="E3249" s="38" t="str">
        <f>IFERROR(AVERAGEIFS('Picarro Output'!G:G, 'Picarro Output'!$B:$B, 'Uncalibrated Data'!$C3249, 'Picarro Output'!$I:$I, 0, 'Picarro Output'!$J:$J, 1), "")</f>
        <v/>
      </c>
    </row>
    <row r="3250" spans="2:5" x14ac:dyDescent="0.2">
      <c r="B3250" s="1"/>
      <c r="E3250" s="38" t="str">
        <f>IFERROR(AVERAGEIFS('Picarro Output'!G:G, 'Picarro Output'!$B:$B, 'Uncalibrated Data'!$C3250, 'Picarro Output'!$I:$I, 0, 'Picarro Output'!$J:$J, 1), "")</f>
        <v/>
      </c>
    </row>
    <row r="3251" spans="2:5" x14ac:dyDescent="0.2">
      <c r="B3251" s="1"/>
      <c r="E3251" s="38" t="str">
        <f>IFERROR(AVERAGEIFS('Picarro Output'!G:G, 'Picarro Output'!$B:$B, 'Uncalibrated Data'!$C3251, 'Picarro Output'!$I:$I, 0, 'Picarro Output'!$J:$J, 1), "")</f>
        <v/>
      </c>
    </row>
    <row r="3252" spans="2:5" x14ac:dyDescent="0.2">
      <c r="B3252" s="1"/>
      <c r="E3252" s="38" t="str">
        <f>IFERROR(AVERAGEIFS('Picarro Output'!G:G, 'Picarro Output'!$B:$B, 'Uncalibrated Data'!$C3252, 'Picarro Output'!$I:$I, 0, 'Picarro Output'!$J:$J, 1), "")</f>
        <v/>
      </c>
    </row>
    <row r="3253" spans="2:5" x14ac:dyDescent="0.2">
      <c r="B3253" s="1"/>
      <c r="E3253" s="38" t="str">
        <f>IFERROR(AVERAGEIFS('Picarro Output'!G:G, 'Picarro Output'!$B:$B, 'Uncalibrated Data'!$C3253, 'Picarro Output'!$I:$I, 0, 'Picarro Output'!$J:$J, 1), "")</f>
        <v/>
      </c>
    </row>
    <row r="3254" spans="2:5" x14ac:dyDescent="0.2">
      <c r="B3254" s="1"/>
      <c r="E3254" s="38" t="str">
        <f>IFERROR(AVERAGEIFS('Picarro Output'!G:G, 'Picarro Output'!$B:$B, 'Uncalibrated Data'!$C3254, 'Picarro Output'!$I:$I, 0, 'Picarro Output'!$J:$J, 1), "")</f>
        <v/>
      </c>
    </row>
    <row r="3255" spans="2:5" x14ac:dyDescent="0.2">
      <c r="B3255" s="1"/>
      <c r="E3255" s="38" t="str">
        <f>IFERROR(AVERAGEIFS('Picarro Output'!G:G, 'Picarro Output'!$B:$B, 'Uncalibrated Data'!$C3255, 'Picarro Output'!$I:$I, 0, 'Picarro Output'!$J:$J, 1), "")</f>
        <v/>
      </c>
    </row>
    <row r="3256" spans="2:5" x14ac:dyDescent="0.2">
      <c r="B3256" s="1"/>
      <c r="E3256" s="38" t="str">
        <f>IFERROR(AVERAGEIFS('Picarro Output'!G:G, 'Picarro Output'!$B:$B, 'Uncalibrated Data'!$C3256, 'Picarro Output'!$I:$I, 0, 'Picarro Output'!$J:$J, 1), "")</f>
        <v/>
      </c>
    </row>
    <row r="3257" spans="2:5" x14ac:dyDescent="0.2">
      <c r="B3257" s="1"/>
      <c r="E3257" s="38" t="str">
        <f>IFERROR(AVERAGEIFS('Picarro Output'!G:G, 'Picarro Output'!$B:$B, 'Uncalibrated Data'!$C3257, 'Picarro Output'!$I:$I, 0, 'Picarro Output'!$J:$J, 1), "")</f>
        <v/>
      </c>
    </row>
    <row r="3258" spans="2:5" x14ac:dyDescent="0.2">
      <c r="B3258" s="1"/>
      <c r="E3258" s="38" t="str">
        <f>IFERROR(AVERAGEIFS('Picarro Output'!G:G, 'Picarro Output'!$B:$B, 'Uncalibrated Data'!$C3258, 'Picarro Output'!$I:$I, 0, 'Picarro Output'!$J:$J, 1), "")</f>
        <v/>
      </c>
    </row>
    <row r="3259" spans="2:5" x14ac:dyDescent="0.2">
      <c r="B3259" s="1"/>
      <c r="E3259" s="38" t="str">
        <f>IFERROR(AVERAGEIFS('Picarro Output'!G:G, 'Picarro Output'!$B:$B, 'Uncalibrated Data'!$C3259, 'Picarro Output'!$I:$I, 0, 'Picarro Output'!$J:$J, 1), "")</f>
        <v/>
      </c>
    </row>
    <row r="3260" spans="2:5" x14ac:dyDescent="0.2">
      <c r="B3260" s="1"/>
      <c r="E3260" s="38" t="str">
        <f>IFERROR(AVERAGEIFS('Picarro Output'!G:G, 'Picarro Output'!$B:$B, 'Uncalibrated Data'!$C3260, 'Picarro Output'!$I:$I, 0, 'Picarro Output'!$J:$J, 1), "")</f>
        <v/>
      </c>
    </row>
    <row r="3261" spans="2:5" x14ac:dyDescent="0.2">
      <c r="B3261" s="1"/>
      <c r="E3261" s="38" t="str">
        <f>IFERROR(AVERAGEIFS('Picarro Output'!G:G, 'Picarro Output'!$B:$B, 'Uncalibrated Data'!$C3261, 'Picarro Output'!$I:$I, 0, 'Picarro Output'!$J:$J, 1), "")</f>
        <v/>
      </c>
    </row>
    <row r="3262" spans="2:5" x14ac:dyDescent="0.2">
      <c r="B3262" s="1"/>
      <c r="E3262" s="38" t="str">
        <f>IFERROR(AVERAGEIFS('Picarro Output'!G:G, 'Picarro Output'!$B:$B, 'Uncalibrated Data'!$C3262, 'Picarro Output'!$I:$I, 0, 'Picarro Output'!$J:$J, 1), "")</f>
        <v/>
      </c>
    </row>
    <row r="3263" spans="2:5" x14ac:dyDescent="0.2">
      <c r="B3263" s="1"/>
      <c r="E3263" s="38" t="str">
        <f>IFERROR(AVERAGEIFS('Picarro Output'!G:G, 'Picarro Output'!$B:$B, 'Uncalibrated Data'!$C3263, 'Picarro Output'!$I:$I, 0, 'Picarro Output'!$J:$J, 1), "")</f>
        <v/>
      </c>
    </row>
    <row r="3264" spans="2:5" x14ac:dyDescent="0.2">
      <c r="B3264" s="1"/>
      <c r="E3264" s="38" t="str">
        <f>IFERROR(AVERAGEIFS('Picarro Output'!G:G, 'Picarro Output'!$B:$B, 'Uncalibrated Data'!$C3264, 'Picarro Output'!$I:$I, 0, 'Picarro Output'!$J:$J, 1), "")</f>
        <v/>
      </c>
    </row>
    <row r="3265" spans="2:5" x14ac:dyDescent="0.2">
      <c r="B3265" s="1"/>
      <c r="E3265" s="38" t="str">
        <f>IFERROR(AVERAGEIFS('Picarro Output'!G:G, 'Picarro Output'!$B:$B, 'Uncalibrated Data'!$C3265, 'Picarro Output'!$I:$I, 0, 'Picarro Output'!$J:$J, 1), "")</f>
        <v/>
      </c>
    </row>
    <row r="3266" spans="2:5" x14ac:dyDescent="0.2">
      <c r="B3266" s="1"/>
      <c r="E3266" s="38" t="str">
        <f>IFERROR(AVERAGEIFS('Picarro Output'!G:G, 'Picarro Output'!$B:$B, 'Uncalibrated Data'!$C3266, 'Picarro Output'!$I:$I, 0, 'Picarro Output'!$J:$J, 1), "")</f>
        <v/>
      </c>
    </row>
    <row r="3267" spans="2:5" x14ac:dyDescent="0.2">
      <c r="B3267" s="1"/>
      <c r="E3267" s="38" t="str">
        <f>IFERROR(AVERAGEIFS('Picarro Output'!G:G, 'Picarro Output'!$B:$B, 'Uncalibrated Data'!$C3267, 'Picarro Output'!$I:$I, 0, 'Picarro Output'!$J:$J, 1), "")</f>
        <v/>
      </c>
    </row>
    <row r="3268" spans="2:5" x14ac:dyDescent="0.2">
      <c r="B3268" s="1"/>
      <c r="E3268" s="38" t="str">
        <f>IFERROR(AVERAGEIFS('Picarro Output'!G:G, 'Picarro Output'!$B:$B, 'Uncalibrated Data'!$C3268, 'Picarro Output'!$I:$I, 0, 'Picarro Output'!$J:$J, 1), "")</f>
        <v/>
      </c>
    </row>
    <row r="3269" spans="2:5" x14ac:dyDescent="0.2">
      <c r="B3269" s="1"/>
      <c r="E3269" s="38" t="str">
        <f>IFERROR(AVERAGEIFS('Picarro Output'!G:G, 'Picarro Output'!$B:$B, 'Uncalibrated Data'!$C3269, 'Picarro Output'!$I:$I, 0, 'Picarro Output'!$J:$J, 1), "")</f>
        <v/>
      </c>
    </row>
    <row r="3270" spans="2:5" x14ac:dyDescent="0.2">
      <c r="B3270" s="1"/>
      <c r="E3270" s="38" t="str">
        <f>IFERROR(AVERAGEIFS('Picarro Output'!G:G, 'Picarro Output'!$B:$B, 'Uncalibrated Data'!$C3270, 'Picarro Output'!$I:$I, 0, 'Picarro Output'!$J:$J, 1), "")</f>
        <v/>
      </c>
    </row>
    <row r="3271" spans="2:5" x14ac:dyDescent="0.2">
      <c r="B3271" s="1"/>
      <c r="E3271" s="38" t="str">
        <f>IFERROR(AVERAGEIFS('Picarro Output'!G:G, 'Picarro Output'!$B:$B, 'Uncalibrated Data'!$C3271, 'Picarro Output'!$I:$I, 0, 'Picarro Output'!$J:$J, 1), "")</f>
        <v/>
      </c>
    </row>
    <row r="3272" spans="2:5" x14ac:dyDescent="0.2">
      <c r="B3272" s="1"/>
      <c r="E3272" s="38" t="str">
        <f>IFERROR(AVERAGEIFS('Picarro Output'!G:G, 'Picarro Output'!$B:$B, 'Uncalibrated Data'!$C3272, 'Picarro Output'!$I:$I, 0, 'Picarro Output'!$J:$J, 1), "")</f>
        <v/>
      </c>
    </row>
    <row r="3273" spans="2:5" x14ac:dyDescent="0.2">
      <c r="B3273" s="1"/>
      <c r="E3273" s="38" t="str">
        <f>IFERROR(AVERAGEIFS('Picarro Output'!G:G, 'Picarro Output'!$B:$B, 'Uncalibrated Data'!$C3273, 'Picarro Output'!$I:$I, 0, 'Picarro Output'!$J:$J, 1), "")</f>
        <v/>
      </c>
    </row>
    <row r="3274" spans="2:5" x14ac:dyDescent="0.2">
      <c r="B3274" s="1"/>
      <c r="E3274" s="38" t="str">
        <f>IFERROR(AVERAGEIFS('Picarro Output'!G:G, 'Picarro Output'!$B:$B, 'Uncalibrated Data'!$C3274, 'Picarro Output'!$I:$I, 0, 'Picarro Output'!$J:$J, 1), "")</f>
        <v/>
      </c>
    </row>
    <row r="3275" spans="2:5" x14ac:dyDescent="0.2">
      <c r="B3275" s="1"/>
      <c r="E3275" s="38" t="str">
        <f>IFERROR(AVERAGEIFS('Picarro Output'!G:G, 'Picarro Output'!$B:$B, 'Uncalibrated Data'!$C3275, 'Picarro Output'!$I:$I, 0, 'Picarro Output'!$J:$J, 1), "")</f>
        <v/>
      </c>
    </row>
    <row r="3276" spans="2:5" x14ac:dyDescent="0.2">
      <c r="B3276" s="1"/>
      <c r="E3276" s="38" t="str">
        <f>IFERROR(AVERAGEIFS('Picarro Output'!G:G, 'Picarro Output'!$B:$B, 'Uncalibrated Data'!$C3276, 'Picarro Output'!$I:$I, 0, 'Picarro Output'!$J:$J, 1), "")</f>
        <v/>
      </c>
    </row>
    <row r="3277" spans="2:5" x14ac:dyDescent="0.2">
      <c r="B3277" s="1"/>
      <c r="E3277" s="38" t="str">
        <f>IFERROR(AVERAGEIFS('Picarro Output'!G:G, 'Picarro Output'!$B:$B, 'Uncalibrated Data'!$C3277, 'Picarro Output'!$I:$I, 0, 'Picarro Output'!$J:$J, 1), "")</f>
        <v/>
      </c>
    </row>
    <row r="3278" spans="2:5" x14ac:dyDescent="0.2">
      <c r="B3278" s="1"/>
      <c r="E3278" s="38" t="str">
        <f>IFERROR(AVERAGEIFS('Picarro Output'!G:G, 'Picarro Output'!$B:$B, 'Uncalibrated Data'!$C3278, 'Picarro Output'!$I:$I, 0, 'Picarro Output'!$J:$J, 1), "")</f>
        <v/>
      </c>
    </row>
    <row r="3279" spans="2:5" x14ac:dyDescent="0.2">
      <c r="B3279" s="1"/>
      <c r="E3279" s="38" t="str">
        <f>IFERROR(AVERAGEIFS('Picarro Output'!G:G, 'Picarro Output'!$B:$B, 'Uncalibrated Data'!$C3279, 'Picarro Output'!$I:$I, 0, 'Picarro Output'!$J:$J, 1), "")</f>
        <v/>
      </c>
    </row>
    <row r="3280" spans="2:5" x14ac:dyDescent="0.2">
      <c r="B3280" s="1"/>
      <c r="E3280" s="38" t="str">
        <f>IFERROR(AVERAGEIFS('Picarro Output'!G:G, 'Picarro Output'!$B:$B, 'Uncalibrated Data'!$C3280, 'Picarro Output'!$I:$I, 0, 'Picarro Output'!$J:$J, 1), "")</f>
        <v/>
      </c>
    </row>
    <row r="3281" spans="2:5" x14ac:dyDescent="0.2">
      <c r="B3281" s="1"/>
      <c r="E3281" s="38" t="str">
        <f>IFERROR(AVERAGEIFS('Picarro Output'!G:G, 'Picarro Output'!$B:$B, 'Uncalibrated Data'!$C3281, 'Picarro Output'!$I:$I, 0, 'Picarro Output'!$J:$J, 1), "")</f>
        <v/>
      </c>
    </row>
    <row r="3282" spans="2:5" x14ac:dyDescent="0.2">
      <c r="B3282" s="1"/>
      <c r="E3282" s="38" t="str">
        <f>IFERROR(AVERAGEIFS('Picarro Output'!G:G, 'Picarro Output'!$B:$B, 'Uncalibrated Data'!$C3282, 'Picarro Output'!$I:$I, 0, 'Picarro Output'!$J:$J, 1), "")</f>
        <v/>
      </c>
    </row>
    <row r="3283" spans="2:5" x14ac:dyDescent="0.2">
      <c r="B3283" s="1"/>
      <c r="E3283" s="38" t="str">
        <f>IFERROR(AVERAGEIFS('Picarro Output'!G:G, 'Picarro Output'!$B:$B, 'Uncalibrated Data'!$C3283, 'Picarro Output'!$I:$I, 0, 'Picarro Output'!$J:$J, 1), "")</f>
        <v/>
      </c>
    </row>
    <row r="3284" spans="2:5" x14ac:dyDescent="0.2">
      <c r="B3284" s="1"/>
      <c r="E3284" s="38" t="str">
        <f>IFERROR(AVERAGEIFS('Picarro Output'!G:G, 'Picarro Output'!$B:$B, 'Uncalibrated Data'!$C3284, 'Picarro Output'!$I:$I, 0, 'Picarro Output'!$J:$J, 1), "")</f>
        <v/>
      </c>
    </row>
    <row r="3285" spans="2:5" x14ac:dyDescent="0.2">
      <c r="B3285" s="1"/>
      <c r="E3285" s="38" t="str">
        <f>IFERROR(AVERAGEIFS('Picarro Output'!G:G, 'Picarro Output'!$B:$B, 'Uncalibrated Data'!$C3285, 'Picarro Output'!$I:$I, 0, 'Picarro Output'!$J:$J, 1), "")</f>
        <v/>
      </c>
    </row>
    <row r="3286" spans="2:5" x14ac:dyDescent="0.2">
      <c r="B3286" s="1"/>
      <c r="E3286" s="38" t="str">
        <f>IFERROR(AVERAGEIFS('Picarro Output'!G:G, 'Picarro Output'!$B:$B, 'Uncalibrated Data'!$C3286, 'Picarro Output'!$I:$I, 0, 'Picarro Output'!$J:$J, 1), "")</f>
        <v/>
      </c>
    </row>
    <row r="3287" spans="2:5" x14ac:dyDescent="0.2">
      <c r="B3287" s="1"/>
      <c r="E3287" s="38" t="str">
        <f>IFERROR(AVERAGEIFS('Picarro Output'!G:G, 'Picarro Output'!$B:$B, 'Uncalibrated Data'!$C3287, 'Picarro Output'!$I:$I, 0, 'Picarro Output'!$J:$J, 1), "")</f>
        <v/>
      </c>
    </row>
    <row r="3288" spans="2:5" x14ac:dyDescent="0.2">
      <c r="B3288" s="1"/>
      <c r="E3288" s="38" t="str">
        <f>IFERROR(AVERAGEIFS('Picarro Output'!G:G, 'Picarro Output'!$B:$B, 'Uncalibrated Data'!$C3288, 'Picarro Output'!$I:$I, 0, 'Picarro Output'!$J:$J, 1), "")</f>
        <v/>
      </c>
    </row>
    <row r="3289" spans="2:5" x14ac:dyDescent="0.2">
      <c r="B3289" s="1"/>
      <c r="E3289" s="38" t="str">
        <f>IFERROR(AVERAGEIFS('Picarro Output'!G:G, 'Picarro Output'!$B:$B, 'Uncalibrated Data'!$C3289, 'Picarro Output'!$I:$I, 0, 'Picarro Output'!$J:$J, 1), "")</f>
        <v/>
      </c>
    </row>
    <row r="3290" spans="2:5" x14ac:dyDescent="0.2">
      <c r="B3290" s="1"/>
      <c r="E3290" s="38" t="str">
        <f>IFERROR(AVERAGEIFS('Picarro Output'!G:G, 'Picarro Output'!$B:$B, 'Uncalibrated Data'!$C3290, 'Picarro Output'!$I:$I, 0, 'Picarro Output'!$J:$J, 1), "")</f>
        <v/>
      </c>
    </row>
    <row r="3291" spans="2:5" x14ac:dyDescent="0.2">
      <c r="B3291" s="1"/>
      <c r="E3291" s="38" t="str">
        <f>IFERROR(AVERAGEIFS('Picarro Output'!G:G, 'Picarro Output'!$B:$B, 'Uncalibrated Data'!$C3291, 'Picarro Output'!$I:$I, 0, 'Picarro Output'!$J:$J, 1), "")</f>
        <v/>
      </c>
    </row>
    <row r="3292" spans="2:5" x14ac:dyDescent="0.2">
      <c r="B3292" s="1"/>
      <c r="E3292" s="38" t="str">
        <f>IFERROR(AVERAGEIFS('Picarro Output'!G:G, 'Picarro Output'!$B:$B, 'Uncalibrated Data'!$C3292, 'Picarro Output'!$I:$I, 0, 'Picarro Output'!$J:$J, 1), "")</f>
        <v/>
      </c>
    </row>
    <row r="3293" spans="2:5" x14ac:dyDescent="0.2">
      <c r="B3293" s="1"/>
      <c r="E3293" s="38" t="str">
        <f>IFERROR(AVERAGEIFS('Picarro Output'!G:G, 'Picarro Output'!$B:$B, 'Uncalibrated Data'!$C3293, 'Picarro Output'!$I:$I, 0, 'Picarro Output'!$J:$J, 1), "")</f>
        <v/>
      </c>
    </row>
    <row r="3294" spans="2:5" x14ac:dyDescent="0.2">
      <c r="B3294" s="1"/>
      <c r="E3294" s="38" t="str">
        <f>IFERROR(AVERAGEIFS('Picarro Output'!G:G, 'Picarro Output'!$B:$B, 'Uncalibrated Data'!$C3294, 'Picarro Output'!$I:$I, 0, 'Picarro Output'!$J:$J, 1), "")</f>
        <v/>
      </c>
    </row>
    <row r="3295" spans="2:5" x14ac:dyDescent="0.2">
      <c r="B3295" s="1"/>
      <c r="E3295" s="38" t="str">
        <f>IFERROR(AVERAGEIFS('Picarro Output'!G:G, 'Picarro Output'!$B:$B, 'Uncalibrated Data'!$C3295, 'Picarro Output'!$I:$I, 0, 'Picarro Output'!$J:$J, 1), "")</f>
        <v/>
      </c>
    </row>
    <row r="3296" spans="2:5" x14ac:dyDescent="0.2">
      <c r="B3296" s="1"/>
      <c r="E3296" s="38" t="str">
        <f>IFERROR(AVERAGEIFS('Picarro Output'!G:G, 'Picarro Output'!$B:$B, 'Uncalibrated Data'!$C3296, 'Picarro Output'!$I:$I, 0, 'Picarro Output'!$J:$J, 1), "")</f>
        <v/>
      </c>
    </row>
    <row r="3297" spans="2:5" x14ac:dyDescent="0.2">
      <c r="B3297" s="1"/>
      <c r="E3297" s="38" t="str">
        <f>IFERROR(AVERAGEIFS('Picarro Output'!G:G, 'Picarro Output'!$B:$B, 'Uncalibrated Data'!$C3297, 'Picarro Output'!$I:$I, 0, 'Picarro Output'!$J:$J, 1), "")</f>
        <v/>
      </c>
    </row>
    <row r="3298" spans="2:5" x14ac:dyDescent="0.2">
      <c r="B3298" s="1"/>
      <c r="E3298" s="38" t="str">
        <f>IFERROR(AVERAGEIFS('Picarro Output'!G:G, 'Picarro Output'!$B:$B, 'Uncalibrated Data'!$C3298, 'Picarro Output'!$I:$I, 0, 'Picarro Output'!$J:$J, 1), "")</f>
        <v/>
      </c>
    </row>
    <row r="3299" spans="2:5" x14ac:dyDescent="0.2">
      <c r="B3299" s="1"/>
      <c r="E3299" s="38" t="str">
        <f>IFERROR(AVERAGEIFS('Picarro Output'!G:G, 'Picarro Output'!$B:$B, 'Uncalibrated Data'!$C3299, 'Picarro Output'!$I:$I, 0, 'Picarro Output'!$J:$J, 1), "")</f>
        <v/>
      </c>
    </row>
    <row r="3300" spans="2:5" x14ac:dyDescent="0.2">
      <c r="B3300" s="1"/>
      <c r="E3300" s="38" t="str">
        <f>IFERROR(AVERAGEIFS('Picarro Output'!G:G, 'Picarro Output'!$B:$B, 'Uncalibrated Data'!$C3300, 'Picarro Output'!$I:$I, 0, 'Picarro Output'!$J:$J, 1), "")</f>
        <v/>
      </c>
    </row>
    <row r="3301" spans="2:5" x14ac:dyDescent="0.2">
      <c r="B3301" s="1"/>
      <c r="E3301" s="38" t="str">
        <f>IFERROR(AVERAGEIFS('Picarro Output'!G:G, 'Picarro Output'!$B:$B, 'Uncalibrated Data'!$C3301, 'Picarro Output'!$I:$I, 0, 'Picarro Output'!$J:$J, 1), "")</f>
        <v/>
      </c>
    </row>
    <row r="3302" spans="2:5" x14ac:dyDescent="0.2">
      <c r="B3302" s="1"/>
      <c r="E3302" s="38" t="str">
        <f>IFERROR(AVERAGEIFS('Picarro Output'!G:G, 'Picarro Output'!$B:$B, 'Uncalibrated Data'!$C3302, 'Picarro Output'!$I:$I, 0, 'Picarro Output'!$J:$J, 1), "")</f>
        <v/>
      </c>
    </row>
    <row r="3303" spans="2:5" x14ac:dyDescent="0.2">
      <c r="B3303" s="1"/>
      <c r="E3303" s="38" t="str">
        <f>IFERROR(AVERAGEIFS('Picarro Output'!G:G, 'Picarro Output'!$B:$B, 'Uncalibrated Data'!$C3303, 'Picarro Output'!$I:$I, 0, 'Picarro Output'!$J:$J, 1), "")</f>
        <v/>
      </c>
    </row>
    <row r="3304" spans="2:5" x14ac:dyDescent="0.2">
      <c r="B3304" s="1"/>
      <c r="E3304" s="38" t="str">
        <f>IFERROR(AVERAGEIFS('Picarro Output'!G:G, 'Picarro Output'!$B:$B, 'Uncalibrated Data'!$C3304, 'Picarro Output'!$I:$I, 0, 'Picarro Output'!$J:$J, 1), "")</f>
        <v/>
      </c>
    </row>
    <row r="3305" spans="2:5" x14ac:dyDescent="0.2">
      <c r="B3305" s="1"/>
      <c r="E3305" s="38" t="str">
        <f>IFERROR(AVERAGEIFS('Picarro Output'!G:G, 'Picarro Output'!$B:$B, 'Uncalibrated Data'!$C3305, 'Picarro Output'!$I:$I, 0, 'Picarro Output'!$J:$J, 1), "")</f>
        <v/>
      </c>
    </row>
    <row r="3306" spans="2:5" x14ac:dyDescent="0.2">
      <c r="B3306" s="1"/>
      <c r="E3306" s="38" t="str">
        <f>IFERROR(AVERAGEIFS('Picarro Output'!G:G, 'Picarro Output'!$B:$B, 'Uncalibrated Data'!$C3306, 'Picarro Output'!$I:$I, 0, 'Picarro Output'!$J:$J, 1), "")</f>
        <v/>
      </c>
    </row>
    <row r="3307" spans="2:5" x14ac:dyDescent="0.2">
      <c r="B3307" s="1"/>
      <c r="E3307" s="38" t="str">
        <f>IFERROR(AVERAGEIFS('Picarro Output'!G:G, 'Picarro Output'!$B:$B, 'Uncalibrated Data'!$C3307, 'Picarro Output'!$I:$I, 0, 'Picarro Output'!$J:$J, 1), "")</f>
        <v/>
      </c>
    </row>
    <row r="3308" spans="2:5" x14ac:dyDescent="0.2">
      <c r="B3308" s="1"/>
      <c r="E3308" s="38" t="str">
        <f>IFERROR(AVERAGEIFS('Picarro Output'!G:G, 'Picarro Output'!$B:$B, 'Uncalibrated Data'!$C3308, 'Picarro Output'!$I:$I, 0, 'Picarro Output'!$J:$J, 1), "")</f>
        <v/>
      </c>
    </row>
    <row r="3309" spans="2:5" x14ac:dyDescent="0.2">
      <c r="B3309" s="1"/>
      <c r="E3309" s="38" t="str">
        <f>IFERROR(AVERAGEIFS('Picarro Output'!G:G, 'Picarro Output'!$B:$B, 'Uncalibrated Data'!$C3309, 'Picarro Output'!$I:$I, 0, 'Picarro Output'!$J:$J, 1), "")</f>
        <v/>
      </c>
    </row>
    <row r="3310" spans="2:5" x14ac:dyDescent="0.2">
      <c r="B3310" s="1"/>
      <c r="E3310" s="38" t="str">
        <f>IFERROR(AVERAGEIFS('Picarro Output'!G:G, 'Picarro Output'!$B:$B, 'Uncalibrated Data'!$C3310, 'Picarro Output'!$I:$I, 0, 'Picarro Output'!$J:$J, 1), "")</f>
        <v/>
      </c>
    </row>
    <row r="3311" spans="2:5" x14ac:dyDescent="0.2">
      <c r="B3311" s="1"/>
      <c r="E3311" s="38" t="str">
        <f>IFERROR(AVERAGEIFS('Picarro Output'!G:G, 'Picarro Output'!$B:$B, 'Uncalibrated Data'!$C3311, 'Picarro Output'!$I:$I, 0, 'Picarro Output'!$J:$J, 1), "")</f>
        <v/>
      </c>
    </row>
    <row r="3312" spans="2:5" x14ac:dyDescent="0.2">
      <c r="B3312" s="1"/>
      <c r="E3312" s="38" t="str">
        <f>IFERROR(AVERAGEIFS('Picarro Output'!G:G, 'Picarro Output'!$B:$B, 'Uncalibrated Data'!$C3312, 'Picarro Output'!$I:$I, 0, 'Picarro Output'!$J:$J, 1), "")</f>
        <v/>
      </c>
    </row>
    <row r="3313" spans="2:5" x14ac:dyDescent="0.2">
      <c r="B3313" s="1"/>
      <c r="E3313" s="38" t="str">
        <f>IFERROR(AVERAGEIFS('Picarro Output'!G:G, 'Picarro Output'!$B:$B, 'Uncalibrated Data'!$C3313, 'Picarro Output'!$I:$I, 0, 'Picarro Output'!$J:$J, 1), "")</f>
        <v/>
      </c>
    </row>
    <row r="3314" spans="2:5" x14ac:dyDescent="0.2">
      <c r="B3314" s="1"/>
      <c r="E3314" s="38" t="str">
        <f>IFERROR(AVERAGEIFS('Picarro Output'!G:G, 'Picarro Output'!$B:$B, 'Uncalibrated Data'!$C3314, 'Picarro Output'!$I:$I, 0, 'Picarro Output'!$J:$J, 1), "")</f>
        <v/>
      </c>
    </row>
    <row r="3315" spans="2:5" x14ac:dyDescent="0.2">
      <c r="B3315" s="1"/>
      <c r="E3315" s="38" t="str">
        <f>IFERROR(AVERAGEIFS('Picarro Output'!G:G, 'Picarro Output'!$B:$B, 'Uncalibrated Data'!$C3315, 'Picarro Output'!$I:$I, 0, 'Picarro Output'!$J:$J, 1), "")</f>
        <v/>
      </c>
    </row>
    <row r="3316" spans="2:5" x14ac:dyDescent="0.2">
      <c r="B3316" s="1"/>
      <c r="E3316" s="38" t="str">
        <f>IFERROR(AVERAGEIFS('Picarro Output'!G:G, 'Picarro Output'!$B:$B, 'Uncalibrated Data'!$C3316, 'Picarro Output'!$I:$I, 0, 'Picarro Output'!$J:$J, 1), "")</f>
        <v/>
      </c>
    </row>
    <row r="3317" spans="2:5" x14ac:dyDescent="0.2">
      <c r="B3317" s="1"/>
      <c r="E3317" s="38" t="str">
        <f>IFERROR(AVERAGEIFS('Picarro Output'!G:G, 'Picarro Output'!$B:$B, 'Uncalibrated Data'!$C3317, 'Picarro Output'!$I:$I, 0, 'Picarro Output'!$J:$J, 1), "")</f>
        <v/>
      </c>
    </row>
    <row r="3318" spans="2:5" x14ac:dyDescent="0.2">
      <c r="B3318" s="1"/>
      <c r="E3318" s="38" t="str">
        <f>IFERROR(AVERAGEIFS('Picarro Output'!G:G, 'Picarro Output'!$B:$B, 'Uncalibrated Data'!$C3318, 'Picarro Output'!$I:$I, 0, 'Picarro Output'!$J:$J, 1), "")</f>
        <v/>
      </c>
    </row>
    <row r="3319" spans="2:5" x14ac:dyDescent="0.2">
      <c r="B3319" s="1"/>
      <c r="E3319" s="38" t="str">
        <f>IFERROR(AVERAGEIFS('Picarro Output'!G:G, 'Picarro Output'!$B:$B, 'Uncalibrated Data'!$C3319, 'Picarro Output'!$I:$I, 0, 'Picarro Output'!$J:$J, 1), "")</f>
        <v/>
      </c>
    </row>
    <row r="3320" spans="2:5" x14ac:dyDescent="0.2">
      <c r="B3320" s="1"/>
      <c r="E3320" s="38" t="str">
        <f>IFERROR(AVERAGEIFS('Picarro Output'!G:G, 'Picarro Output'!$B:$B, 'Uncalibrated Data'!$C3320, 'Picarro Output'!$I:$I, 0, 'Picarro Output'!$J:$J, 1), "")</f>
        <v/>
      </c>
    </row>
    <row r="3321" spans="2:5" x14ac:dyDescent="0.2">
      <c r="B3321" s="1"/>
      <c r="E3321" s="38" t="str">
        <f>IFERROR(AVERAGEIFS('Picarro Output'!G:G, 'Picarro Output'!$B:$B, 'Uncalibrated Data'!$C3321, 'Picarro Output'!$I:$I, 0, 'Picarro Output'!$J:$J, 1), "")</f>
        <v/>
      </c>
    </row>
    <row r="3322" spans="2:5" x14ac:dyDescent="0.2">
      <c r="B3322" s="1"/>
      <c r="E3322" s="38" t="str">
        <f>IFERROR(AVERAGEIFS('Picarro Output'!G:G, 'Picarro Output'!$B:$B, 'Uncalibrated Data'!$C3322, 'Picarro Output'!$I:$I, 0, 'Picarro Output'!$J:$J, 1), "")</f>
        <v/>
      </c>
    </row>
    <row r="3323" spans="2:5" x14ac:dyDescent="0.2">
      <c r="B3323" s="1"/>
      <c r="E3323" s="38" t="str">
        <f>IFERROR(AVERAGEIFS('Picarro Output'!G:G, 'Picarro Output'!$B:$B, 'Uncalibrated Data'!$C3323, 'Picarro Output'!$I:$I, 0, 'Picarro Output'!$J:$J, 1), "")</f>
        <v/>
      </c>
    </row>
    <row r="3324" spans="2:5" x14ac:dyDescent="0.2">
      <c r="B3324" s="1"/>
      <c r="E3324" s="38" t="str">
        <f>IFERROR(AVERAGEIFS('Picarro Output'!G:G, 'Picarro Output'!$B:$B, 'Uncalibrated Data'!$C3324, 'Picarro Output'!$I:$I, 0, 'Picarro Output'!$J:$J, 1), "")</f>
        <v/>
      </c>
    </row>
    <row r="3325" spans="2:5" x14ac:dyDescent="0.2">
      <c r="B3325" s="1"/>
      <c r="E3325" s="38" t="str">
        <f>IFERROR(AVERAGEIFS('Picarro Output'!G:G, 'Picarro Output'!$B:$B, 'Uncalibrated Data'!$C3325, 'Picarro Output'!$I:$I, 0, 'Picarro Output'!$J:$J, 1), "")</f>
        <v/>
      </c>
    </row>
    <row r="3326" spans="2:5" x14ac:dyDescent="0.2">
      <c r="B3326" s="1"/>
      <c r="E3326" s="38" t="str">
        <f>IFERROR(AVERAGEIFS('Picarro Output'!G:G, 'Picarro Output'!$B:$B, 'Uncalibrated Data'!$C3326, 'Picarro Output'!$I:$I, 0, 'Picarro Output'!$J:$J, 1), "")</f>
        <v/>
      </c>
    </row>
    <row r="3327" spans="2:5" x14ac:dyDescent="0.2">
      <c r="B3327" s="1"/>
      <c r="E3327" s="38" t="str">
        <f>IFERROR(AVERAGEIFS('Picarro Output'!G:G, 'Picarro Output'!$B:$B, 'Uncalibrated Data'!$C3327, 'Picarro Output'!$I:$I, 0, 'Picarro Output'!$J:$J, 1), "")</f>
        <v/>
      </c>
    </row>
    <row r="3328" spans="2:5" x14ac:dyDescent="0.2">
      <c r="B3328" s="1"/>
      <c r="E3328" s="38" t="str">
        <f>IFERROR(AVERAGEIFS('Picarro Output'!G:G, 'Picarro Output'!$B:$B, 'Uncalibrated Data'!$C3328, 'Picarro Output'!$I:$I, 0, 'Picarro Output'!$J:$J, 1), "")</f>
        <v/>
      </c>
    </row>
    <row r="3329" spans="2:5" x14ac:dyDescent="0.2">
      <c r="B3329" s="1"/>
      <c r="E3329" s="38" t="str">
        <f>IFERROR(AVERAGEIFS('Picarro Output'!G:G, 'Picarro Output'!$B:$B, 'Uncalibrated Data'!$C3329, 'Picarro Output'!$I:$I, 0, 'Picarro Output'!$J:$J, 1), "")</f>
        <v/>
      </c>
    </row>
    <row r="3330" spans="2:5" x14ac:dyDescent="0.2">
      <c r="B3330" s="1"/>
      <c r="E3330" s="38" t="str">
        <f>IFERROR(AVERAGEIFS('Picarro Output'!G:G, 'Picarro Output'!$B:$B, 'Uncalibrated Data'!$C3330, 'Picarro Output'!$I:$I, 0, 'Picarro Output'!$J:$J, 1), "")</f>
        <v/>
      </c>
    </row>
    <row r="3331" spans="2:5" x14ac:dyDescent="0.2">
      <c r="B3331" s="1"/>
      <c r="E3331" s="38" t="str">
        <f>IFERROR(AVERAGEIFS('Picarro Output'!G:G, 'Picarro Output'!$B:$B, 'Uncalibrated Data'!$C3331, 'Picarro Output'!$I:$I, 0, 'Picarro Output'!$J:$J, 1), "")</f>
        <v/>
      </c>
    </row>
    <row r="3332" spans="2:5" x14ac:dyDescent="0.2">
      <c r="B3332" s="1"/>
      <c r="E3332" s="38" t="str">
        <f>IFERROR(AVERAGEIFS('Picarro Output'!G:G, 'Picarro Output'!$B:$B, 'Uncalibrated Data'!$C3332, 'Picarro Output'!$I:$I, 0, 'Picarro Output'!$J:$J, 1), "")</f>
        <v/>
      </c>
    </row>
    <row r="3333" spans="2:5" x14ac:dyDescent="0.2">
      <c r="B3333" s="1"/>
      <c r="E3333" s="38" t="str">
        <f>IFERROR(AVERAGEIFS('Picarro Output'!G:G, 'Picarro Output'!$B:$B, 'Uncalibrated Data'!$C3333, 'Picarro Output'!$I:$I, 0, 'Picarro Output'!$J:$J, 1), "")</f>
        <v/>
      </c>
    </row>
    <row r="3334" spans="2:5" x14ac:dyDescent="0.2">
      <c r="B3334" s="1"/>
      <c r="E3334" s="38" t="str">
        <f>IFERROR(AVERAGEIFS('Picarro Output'!G:G, 'Picarro Output'!$B:$B, 'Uncalibrated Data'!$C3334, 'Picarro Output'!$I:$I, 0, 'Picarro Output'!$J:$J, 1), "")</f>
        <v/>
      </c>
    </row>
    <row r="3335" spans="2:5" x14ac:dyDescent="0.2">
      <c r="B3335" s="1"/>
      <c r="E3335" s="38" t="str">
        <f>IFERROR(AVERAGEIFS('Picarro Output'!G:G, 'Picarro Output'!$B:$B, 'Uncalibrated Data'!$C3335, 'Picarro Output'!$I:$I, 0, 'Picarro Output'!$J:$J, 1), "")</f>
        <v/>
      </c>
    </row>
    <row r="3336" spans="2:5" x14ac:dyDescent="0.2">
      <c r="B3336" s="1"/>
      <c r="E3336" s="38" t="str">
        <f>IFERROR(AVERAGEIFS('Picarro Output'!G:G, 'Picarro Output'!$B:$B, 'Uncalibrated Data'!$C3336, 'Picarro Output'!$I:$I, 0, 'Picarro Output'!$J:$J, 1), "")</f>
        <v/>
      </c>
    </row>
    <row r="3337" spans="2:5" x14ac:dyDescent="0.2">
      <c r="B3337" s="1"/>
      <c r="E3337" s="38" t="str">
        <f>IFERROR(AVERAGEIFS('Picarro Output'!G:G, 'Picarro Output'!$B:$B, 'Uncalibrated Data'!$C3337, 'Picarro Output'!$I:$I, 0, 'Picarro Output'!$J:$J, 1), "")</f>
        <v/>
      </c>
    </row>
    <row r="3338" spans="2:5" x14ac:dyDescent="0.2">
      <c r="B3338" s="1"/>
      <c r="E3338" s="38" t="str">
        <f>IFERROR(AVERAGEIFS('Picarro Output'!G:G, 'Picarro Output'!$B:$B, 'Uncalibrated Data'!$C3338, 'Picarro Output'!$I:$I, 0, 'Picarro Output'!$J:$J, 1), "")</f>
        <v/>
      </c>
    </row>
    <row r="3339" spans="2:5" x14ac:dyDescent="0.2">
      <c r="B3339" s="1"/>
      <c r="E3339" s="38" t="str">
        <f>IFERROR(AVERAGEIFS('Picarro Output'!G:G, 'Picarro Output'!$B:$B, 'Uncalibrated Data'!$C3339, 'Picarro Output'!$I:$I, 0, 'Picarro Output'!$J:$J, 1), "")</f>
        <v/>
      </c>
    </row>
    <row r="3340" spans="2:5" x14ac:dyDescent="0.2">
      <c r="B3340" s="1"/>
      <c r="E3340" s="38" t="str">
        <f>IFERROR(AVERAGEIFS('Picarro Output'!G:G, 'Picarro Output'!$B:$B, 'Uncalibrated Data'!$C3340, 'Picarro Output'!$I:$I, 0, 'Picarro Output'!$J:$J, 1), "")</f>
        <v/>
      </c>
    </row>
    <row r="3341" spans="2:5" x14ac:dyDescent="0.2">
      <c r="B3341" s="1"/>
      <c r="E3341" s="38" t="str">
        <f>IFERROR(AVERAGEIFS('Picarro Output'!G:G, 'Picarro Output'!$B:$B, 'Uncalibrated Data'!$C3341, 'Picarro Output'!$I:$I, 0, 'Picarro Output'!$J:$J, 1), "")</f>
        <v/>
      </c>
    </row>
    <row r="3342" spans="2:5" x14ac:dyDescent="0.2">
      <c r="B3342" s="1"/>
      <c r="E3342" s="38" t="str">
        <f>IFERROR(AVERAGEIFS('Picarro Output'!G:G, 'Picarro Output'!$B:$B, 'Uncalibrated Data'!$C3342, 'Picarro Output'!$I:$I, 0, 'Picarro Output'!$J:$J, 1), "")</f>
        <v/>
      </c>
    </row>
    <row r="3343" spans="2:5" x14ac:dyDescent="0.2">
      <c r="B3343" s="1"/>
      <c r="E3343" s="38" t="str">
        <f>IFERROR(AVERAGEIFS('Picarro Output'!G:G, 'Picarro Output'!$B:$B, 'Uncalibrated Data'!$C3343, 'Picarro Output'!$I:$I, 0, 'Picarro Output'!$J:$J, 1), "")</f>
        <v/>
      </c>
    </row>
    <row r="3344" spans="2:5" x14ac:dyDescent="0.2">
      <c r="B3344" s="1"/>
      <c r="E3344" s="38" t="str">
        <f>IFERROR(AVERAGEIFS('Picarro Output'!G:G, 'Picarro Output'!$B:$B, 'Uncalibrated Data'!$C3344, 'Picarro Output'!$I:$I, 0, 'Picarro Output'!$J:$J, 1), "")</f>
        <v/>
      </c>
    </row>
    <row r="3345" spans="2:5" x14ac:dyDescent="0.2">
      <c r="B3345" s="1"/>
      <c r="E3345" s="38" t="str">
        <f>IFERROR(AVERAGEIFS('Picarro Output'!G:G, 'Picarro Output'!$B:$B, 'Uncalibrated Data'!$C3345, 'Picarro Output'!$I:$I, 0, 'Picarro Output'!$J:$J, 1), "")</f>
        <v/>
      </c>
    </row>
    <row r="3346" spans="2:5" x14ac:dyDescent="0.2">
      <c r="B3346" s="1"/>
      <c r="E3346" s="38" t="str">
        <f>IFERROR(AVERAGEIFS('Picarro Output'!G:G, 'Picarro Output'!$B:$B, 'Uncalibrated Data'!$C3346, 'Picarro Output'!$I:$I, 0, 'Picarro Output'!$J:$J, 1), "")</f>
        <v/>
      </c>
    </row>
    <row r="3347" spans="2:5" x14ac:dyDescent="0.2">
      <c r="B3347" s="1"/>
      <c r="E3347" s="38" t="str">
        <f>IFERROR(AVERAGEIFS('Picarro Output'!G:G, 'Picarro Output'!$B:$B, 'Uncalibrated Data'!$C3347, 'Picarro Output'!$I:$I, 0, 'Picarro Output'!$J:$J, 1), "")</f>
        <v/>
      </c>
    </row>
    <row r="3348" spans="2:5" x14ac:dyDescent="0.2">
      <c r="B3348" s="1"/>
      <c r="E3348" s="38" t="str">
        <f>IFERROR(AVERAGEIFS('Picarro Output'!G:G, 'Picarro Output'!$B:$B, 'Uncalibrated Data'!$C3348, 'Picarro Output'!$I:$I, 0, 'Picarro Output'!$J:$J, 1), "")</f>
        <v/>
      </c>
    </row>
    <row r="3349" spans="2:5" x14ac:dyDescent="0.2">
      <c r="B3349" s="1"/>
      <c r="E3349" s="38" t="str">
        <f>IFERROR(AVERAGEIFS('Picarro Output'!G:G, 'Picarro Output'!$B:$B, 'Uncalibrated Data'!$C3349, 'Picarro Output'!$I:$I, 0, 'Picarro Output'!$J:$J, 1), "")</f>
        <v/>
      </c>
    </row>
    <row r="3350" spans="2:5" x14ac:dyDescent="0.2">
      <c r="B3350" s="1"/>
      <c r="E3350" s="38" t="str">
        <f>IFERROR(AVERAGEIFS('Picarro Output'!G:G, 'Picarro Output'!$B:$B, 'Uncalibrated Data'!$C3350, 'Picarro Output'!$I:$I, 0, 'Picarro Output'!$J:$J, 1), "")</f>
        <v/>
      </c>
    </row>
    <row r="3351" spans="2:5" x14ac:dyDescent="0.2">
      <c r="B3351" s="1"/>
      <c r="E3351" s="38" t="str">
        <f>IFERROR(AVERAGEIFS('Picarro Output'!G:G, 'Picarro Output'!$B:$B, 'Uncalibrated Data'!$C3351, 'Picarro Output'!$I:$I, 0, 'Picarro Output'!$J:$J, 1), "")</f>
        <v/>
      </c>
    </row>
    <row r="3352" spans="2:5" x14ac:dyDescent="0.2">
      <c r="B3352" s="1"/>
      <c r="E3352" s="38" t="str">
        <f>IFERROR(AVERAGEIFS('Picarro Output'!G:G, 'Picarro Output'!$B:$B, 'Uncalibrated Data'!$C3352, 'Picarro Output'!$I:$I, 0, 'Picarro Output'!$J:$J, 1), "")</f>
        <v/>
      </c>
    </row>
    <row r="3353" spans="2:5" x14ac:dyDescent="0.2">
      <c r="B3353" s="1"/>
      <c r="E3353" s="38" t="str">
        <f>IFERROR(AVERAGEIFS('Picarro Output'!G:G, 'Picarro Output'!$B:$B, 'Uncalibrated Data'!$C3353, 'Picarro Output'!$I:$I, 0, 'Picarro Output'!$J:$J, 1), "")</f>
        <v/>
      </c>
    </row>
    <row r="3354" spans="2:5" x14ac:dyDescent="0.2">
      <c r="B3354" s="1"/>
      <c r="E3354" s="38" t="str">
        <f>IFERROR(AVERAGEIFS('Picarro Output'!G:G, 'Picarro Output'!$B:$B, 'Uncalibrated Data'!$C3354, 'Picarro Output'!$I:$I, 0, 'Picarro Output'!$J:$J, 1), "")</f>
        <v/>
      </c>
    </row>
    <row r="3355" spans="2:5" x14ac:dyDescent="0.2">
      <c r="B3355" s="1"/>
      <c r="E3355" s="38" t="str">
        <f>IFERROR(AVERAGEIFS('Picarro Output'!G:G, 'Picarro Output'!$B:$B, 'Uncalibrated Data'!$C3355, 'Picarro Output'!$I:$I, 0, 'Picarro Output'!$J:$J, 1), "")</f>
        <v/>
      </c>
    </row>
    <row r="3356" spans="2:5" x14ac:dyDescent="0.2">
      <c r="B3356" s="1"/>
      <c r="E3356" s="38" t="str">
        <f>IFERROR(AVERAGEIFS('Picarro Output'!G:G, 'Picarro Output'!$B:$B, 'Uncalibrated Data'!$C3356, 'Picarro Output'!$I:$I, 0, 'Picarro Output'!$J:$J, 1), "")</f>
        <v/>
      </c>
    </row>
    <row r="3357" spans="2:5" x14ac:dyDescent="0.2">
      <c r="B3357" s="1"/>
      <c r="E3357" s="38" t="str">
        <f>IFERROR(AVERAGEIFS('Picarro Output'!G:G, 'Picarro Output'!$B:$B, 'Uncalibrated Data'!$C3357, 'Picarro Output'!$I:$I, 0, 'Picarro Output'!$J:$J, 1), "")</f>
        <v/>
      </c>
    </row>
    <row r="3358" spans="2:5" x14ac:dyDescent="0.2">
      <c r="B3358" s="1"/>
      <c r="E3358" s="38" t="str">
        <f>IFERROR(AVERAGEIFS('Picarro Output'!G:G, 'Picarro Output'!$B:$B, 'Uncalibrated Data'!$C3358, 'Picarro Output'!$I:$I, 0, 'Picarro Output'!$J:$J, 1), "")</f>
        <v/>
      </c>
    </row>
    <row r="3359" spans="2:5" x14ac:dyDescent="0.2">
      <c r="B3359" s="1"/>
      <c r="E3359" s="38" t="str">
        <f>IFERROR(AVERAGEIFS('Picarro Output'!G:G, 'Picarro Output'!$B:$B, 'Uncalibrated Data'!$C3359, 'Picarro Output'!$I:$I, 0, 'Picarro Output'!$J:$J, 1), "")</f>
        <v/>
      </c>
    </row>
    <row r="3360" spans="2:5" x14ac:dyDescent="0.2">
      <c r="B3360" s="1"/>
      <c r="E3360" s="38" t="str">
        <f>IFERROR(AVERAGEIFS('Picarro Output'!G:G, 'Picarro Output'!$B:$B, 'Uncalibrated Data'!$C3360, 'Picarro Output'!$I:$I, 0, 'Picarro Output'!$J:$J, 1), "")</f>
        <v/>
      </c>
    </row>
    <row r="3361" spans="2:5" x14ac:dyDescent="0.2">
      <c r="B3361" s="1"/>
      <c r="E3361" s="38" t="str">
        <f>IFERROR(AVERAGEIFS('Picarro Output'!G:G, 'Picarro Output'!$B:$B, 'Uncalibrated Data'!$C3361, 'Picarro Output'!$I:$I, 0, 'Picarro Output'!$J:$J, 1), "")</f>
        <v/>
      </c>
    </row>
    <row r="3362" spans="2:5" x14ac:dyDescent="0.2">
      <c r="B3362" s="1"/>
      <c r="E3362" s="38" t="str">
        <f>IFERROR(AVERAGEIFS('Picarro Output'!G:G, 'Picarro Output'!$B:$B, 'Uncalibrated Data'!$C3362, 'Picarro Output'!$I:$I, 0, 'Picarro Output'!$J:$J, 1), "")</f>
        <v/>
      </c>
    </row>
    <row r="3363" spans="2:5" x14ac:dyDescent="0.2">
      <c r="B3363" s="1"/>
      <c r="E3363" s="38" t="str">
        <f>IFERROR(AVERAGEIFS('Picarro Output'!G:G, 'Picarro Output'!$B:$B, 'Uncalibrated Data'!$C3363, 'Picarro Output'!$I:$I, 0, 'Picarro Output'!$J:$J, 1), "")</f>
        <v/>
      </c>
    </row>
    <row r="3364" spans="2:5" x14ac:dyDescent="0.2">
      <c r="B3364" s="1"/>
      <c r="E3364" s="38" t="str">
        <f>IFERROR(AVERAGEIFS('Picarro Output'!G:G, 'Picarro Output'!$B:$B, 'Uncalibrated Data'!$C3364, 'Picarro Output'!$I:$I, 0, 'Picarro Output'!$J:$J, 1), "")</f>
        <v/>
      </c>
    </row>
    <row r="3365" spans="2:5" x14ac:dyDescent="0.2">
      <c r="B3365" s="1"/>
      <c r="E3365" s="38" t="str">
        <f>IFERROR(AVERAGEIFS('Picarro Output'!G:G, 'Picarro Output'!$B:$B, 'Uncalibrated Data'!$C3365, 'Picarro Output'!$I:$I, 0, 'Picarro Output'!$J:$J, 1), "")</f>
        <v/>
      </c>
    </row>
    <row r="3366" spans="2:5" x14ac:dyDescent="0.2">
      <c r="B3366" s="1"/>
      <c r="E3366" s="38" t="str">
        <f>IFERROR(AVERAGEIFS('Picarro Output'!G:G, 'Picarro Output'!$B:$B, 'Uncalibrated Data'!$C3366, 'Picarro Output'!$I:$I, 0, 'Picarro Output'!$J:$J, 1), "")</f>
        <v/>
      </c>
    </row>
    <row r="3367" spans="2:5" x14ac:dyDescent="0.2">
      <c r="B3367" s="1"/>
      <c r="E3367" s="38" t="str">
        <f>IFERROR(AVERAGEIFS('Picarro Output'!G:G, 'Picarro Output'!$B:$B, 'Uncalibrated Data'!$C3367, 'Picarro Output'!$I:$I, 0, 'Picarro Output'!$J:$J, 1), "")</f>
        <v/>
      </c>
    </row>
    <row r="3368" spans="2:5" x14ac:dyDescent="0.2">
      <c r="B3368" s="1"/>
      <c r="E3368" s="38" t="str">
        <f>IFERROR(AVERAGEIFS('Picarro Output'!G:G, 'Picarro Output'!$B:$B, 'Uncalibrated Data'!$C3368, 'Picarro Output'!$I:$I, 0, 'Picarro Output'!$J:$J, 1), "")</f>
        <v/>
      </c>
    </row>
    <row r="3369" spans="2:5" x14ac:dyDescent="0.2">
      <c r="B3369" s="1"/>
      <c r="E3369" s="38" t="str">
        <f>IFERROR(AVERAGEIFS('Picarro Output'!G:G, 'Picarro Output'!$B:$B, 'Uncalibrated Data'!$C3369, 'Picarro Output'!$I:$I, 0, 'Picarro Output'!$J:$J, 1), "")</f>
        <v/>
      </c>
    </row>
    <row r="3370" spans="2:5" x14ac:dyDescent="0.2">
      <c r="B3370" s="1"/>
      <c r="E3370" s="38" t="str">
        <f>IFERROR(AVERAGEIFS('Picarro Output'!G:G, 'Picarro Output'!$B:$B, 'Uncalibrated Data'!$C3370, 'Picarro Output'!$I:$I, 0, 'Picarro Output'!$J:$J, 1), "")</f>
        <v/>
      </c>
    </row>
    <row r="3371" spans="2:5" x14ac:dyDescent="0.2">
      <c r="B3371" s="1"/>
      <c r="E3371" s="38" t="str">
        <f>IFERROR(AVERAGEIFS('Picarro Output'!G:G, 'Picarro Output'!$B:$B, 'Uncalibrated Data'!$C3371, 'Picarro Output'!$I:$I, 0, 'Picarro Output'!$J:$J, 1), "")</f>
        <v/>
      </c>
    </row>
    <row r="3372" spans="2:5" x14ac:dyDescent="0.2">
      <c r="B3372" s="1"/>
      <c r="E3372" s="38" t="str">
        <f>IFERROR(AVERAGEIFS('Picarro Output'!G:G, 'Picarro Output'!$B:$B, 'Uncalibrated Data'!$C3372, 'Picarro Output'!$I:$I, 0, 'Picarro Output'!$J:$J, 1), "")</f>
        <v/>
      </c>
    </row>
    <row r="3373" spans="2:5" x14ac:dyDescent="0.2">
      <c r="B3373" s="1"/>
      <c r="E3373" s="38" t="str">
        <f>IFERROR(AVERAGEIFS('Picarro Output'!G:G, 'Picarro Output'!$B:$B, 'Uncalibrated Data'!$C3373, 'Picarro Output'!$I:$I, 0, 'Picarro Output'!$J:$J, 1), "")</f>
        <v/>
      </c>
    </row>
    <row r="3374" spans="2:5" x14ac:dyDescent="0.2">
      <c r="B3374" s="1"/>
      <c r="E3374" s="38" t="str">
        <f>IFERROR(AVERAGEIFS('Picarro Output'!G:G, 'Picarro Output'!$B:$B, 'Uncalibrated Data'!$C3374, 'Picarro Output'!$I:$I, 0, 'Picarro Output'!$J:$J, 1), "")</f>
        <v/>
      </c>
    </row>
    <row r="3375" spans="2:5" x14ac:dyDescent="0.2">
      <c r="B3375" s="1"/>
      <c r="E3375" s="38" t="str">
        <f>IFERROR(AVERAGEIFS('Picarro Output'!G:G, 'Picarro Output'!$B:$B, 'Uncalibrated Data'!$C3375, 'Picarro Output'!$I:$I, 0, 'Picarro Output'!$J:$J, 1), "")</f>
        <v/>
      </c>
    </row>
    <row r="3376" spans="2:5" x14ac:dyDescent="0.2">
      <c r="B3376" s="1"/>
      <c r="E3376" s="38" t="str">
        <f>IFERROR(AVERAGEIFS('Picarro Output'!G:G, 'Picarro Output'!$B:$B, 'Uncalibrated Data'!$C3376, 'Picarro Output'!$I:$I, 0, 'Picarro Output'!$J:$J, 1), "")</f>
        <v/>
      </c>
    </row>
    <row r="3377" spans="2:5" x14ac:dyDescent="0.2">
      <c r="B3377" s="1"/>
      <c r="E3377" s="38" t="str">
        <f>IFERROR(AVERAGEIFS('Picarro Output'!G:G, 'Picarro Output'!$B:$B, 'Uncalibrated Data'!$C3377, 'Picarro Output'!$I:$I, 0, 'Picarro Output'!$J:$J, 1), "")</f>
        <v/>
      </c>
    </row>
    <row r="3378" spans="2:5" x14ac:dyDescent="0.2">
      <c r="B3378" s="1"/>
      <c r="E3378" s="38" t="str">
        <f>IFERROR(AVERAGEIFS('Picarro Output'!G:G, 'Picarro Output'!$B:$B, 'Uncalibrated Data'!$C3378, 'Picarro Output'!$I:$I, 0, 'Picarro Output'!$J:$J, 1), "")</f>
        <v/>
      </c>
    </row>
    <row r="3379" spans="2:5" x14ac:dyDescent="0.2">
      <c r="B3379" s="1"/>
      <c r="E3379" s="38" t="str">
        <f>IFERROR(AVERAGEIFS('Picarro Output'!G:G, 'Picarro Output'!$B:$B, 'Uncalibrated Data'!$C3379, 'Picarro Output'!$I:$I, 0, 'Picarro Output'!$J:$J, 1), "")</f>
        <v/>
      </c>
    </row>
    <row r="3380" spans="2:5" x14ac:dyDescent="0.2">
      <c r="B3380" s="1"/>
      <c r="E3380" s="38" t="str">
        <f>IFERROR(AVERAGEIFS('Picarro Output'!G:G, 'Picarro Output'!$B:$B, 'Uncalibrated Data'!$C3380, 'Picarro Output'!$I:$I, 0, 'Picarro Output'!$J:$J, 1), "")</f>
        <v/>
      </c>
    </row>
    <row r="3381" spans="2:5" x14ac:dyDescent="0.2">
      <c r="B3381" s="1"/>
      <c r="E3381" s="38" t="str">
        <f>IFERROR(AVERAGEIFS('Picarro Output'!G:G, 'Picarro Output'!$B:$B, 'Uncalibrated Data'!$C3381, 'Picarro Output'!$I:$I, 0, 'Picarro Output'!$J:$J, 1), "")</f>
        <v/>
      </c>
    </row>
    <row r="3382" spans="2:5" x14ac:dyDescent="0.2">
      <c r="B3382" s="1"/>
      <c r="E3382" s="38" t="str">
        <f>IFERROR(AVERAGEIFS('Picarro Output'!G:G, 'Picarro Output'!$B:$B, 'Uncalibrated Data'!$C3382, 'Picarro Output'!$I:$I, 0, 'Picarro Output'!$J:$J, 1), "")</f>
        <v/>
      </c>
    </row>
    <row r="3383" spans="2:5" x14ac:dyDescent="0.2">
      <c r="B3383" s="1"/>
      <c r="E3383" s="38" t="str">
        <f>IFERROR(AVERAGEIFS('Picarro Output'!G:G, 'Picarro Output'!$B:$B, 'Uncalibrated Data'!$C3383, 'Picarro Output'!$I:$I, 0, 'Picarro Output'!$J:$J, 1), "")</f>
        <v/>
      </c>
    </row>
    <row r="3384" spans="2:5" x14ac:dyDescent="0.2">
      <c r="B3384" s="1"/>
      <c r="E3384" s="38" t="str">
        <f>IFERROR(AVERAGEIFS('Picarro Output'!G:G, 'Picarro Output'!$B:$B, 'Uncalibrated Data'!$C3384, 'Picarro Output'!$I:$I, 0, 'Picarro Output'!$J:$J, 1), "")</f>
        <v/>
      </c>
    </row>
    <row r="3385" spans="2:5" x14ac:dyDescent="0.2">
      <c r="B3385" s="1"/>
      <c r="E3385" s="38" t="str">
        <f>IFERROR(AVERAGEIFS('Picarro Output'!G:G, 'Picarro Output'!$B:$B, 'Uncalibrated Data'!$C3385, 'Picarro Output'!$I:$I, 0, 'Picarro Output'!$J:$J, 1), "")</f>
        <v/>
      </c>
    </row>
    <row r="3386" spans="2:5" x14ac:dyDescent="0.2">
      <c r="B3386" s="1"/>
      <c r="E3386" s="38" t="str">
        <f>IFERROR(AVERAGEIFS('Picarro Output'!G:G, 'Picarro Output'!$B:$B, 'Uncalibrated Data'!$C3386, 'Picarro Output'!$I:$I, 0, 'Picarro Output'!$J:$J, 1), "")</f>
        <v/>
      </c>
    </row>
    <row r="3387" spans="2:5" x14ac:dyDescent="0.2">
      <c r="B3387" s="1"/>
      <c r="E3387" s="38" t="str">
        <f>IFERROR(AVERAGEIFS('Picarro Output'!G:G, 'Picarro Output'!$B:$B, 'Uncalibrated Data'!$C3387, 'Picarro Output'!$I:$I, 0, 'Picarro Output'!$J:$J, 1), "")</f>
        <v/>
      </c>
    </row>
    <row r="3388" spans="2:5" x14ac:dyDescent="0.2">
      <c r="B3388" s="1"/>
      <c r="E3388" s="38" t="str">
        <f>IFERROR(AVERAGEIFS('Picarro Output'!G:G, 'Picarro Output'!$B:$B, 'Uncalibrated Data'!$C3388, 'Picarro Output'!$I:$I, 0, 'Picarro Output'!$J:$J, 1), "")</f>
        <v/>
      </c>
    </row>
    <row r="3389" spans="2:5" x14ac:dyDescent="0.2">
      <c r="B3389" s="1"/>
      <c r="E3389" s="38" t="str">
        <f>IFERROR(AVERAGEIFS('Picarro Output'!G:G, 'Picarro Output'!$B:$B, 'Uncalibrated Data'!$C3389, 'Picarro Output'!$I:$I, 0, 'Picarro Output'!$J:$J, 1), "")</f>
        <v/>
      </c>
    </row>
    <row r="3390" spans="2:5" x14ac:dyDescent="0.2">
      <c r="B3390" s="1"/>
      <c r="E3390" s="38" t="str">
        <f>IFERROR(AVERAGEIFS('Picarro Output'!G:G, 'Picarro Output'!$B:$B, 'Uncalibrated Data'!$C3390, 'Picarro Output'!$I:$I, 0, 'Picarro Output'!$J:$J, 1), "")</f>
        <v/>
      </c>
    </row>
    <row r="3391" spans="2:5" x14ac:dyDescent="0.2">
      <c r="B3391" s="1"/>
      <c r="E3391" s="38" t="str">
        <f>IFERROR(AVERAGEIFS('Picarro Output'!G:G, 'Picarro Output'!$B:$B, 'Uncalibrated Data'!$C3391, 'Picarro Output'!$I:$I, 0, 'Picarro Output'!$J:$J, 1), "")</f>
        <v/>
      </c>
    </row>
    <row r="3392" spans="2:5" x14ac:dyDescent="0.2">
      <c r="B3392" s="1"/>
      <c r="E3392" s="38" t="str">
        <f>IFERROR(AVERAGEIFS('Picarro Output'!G:G, 'Picarro Output'!$B:$B, 'Uncalibrated Data'!$C3392, 'Picarro Output'!$I:$I, 0, 'Picarro Output'!$J:$J, 1), "")</f>
        <v/>
      </c>
    </row>
    <row r="3393" spans="2:5" x14ac:dyDescent="0.2">
      <c r="B3393" s="1"/>
      <c r="E3393" s="38" t="str">
        <f>IFERROR(AVERAGEIFS('Picarro Output'!G:G, 'Picarro Output'!$B:$B, 'Uncalibrated Data'!$C3393, 'Picarro Output'!$I:$I, 0, 'Picarro Output'!$J:$J, 1), "")</f>
        <v/>
      </c>
    </row>
    <row r="3394" spans="2:5" x14ac:dyDescent="0.2">
      <c r="B3394" s="1"/>
      <c r="E3394" s="38" t="str">
        <f>IFERROR(AVERAGEIFS('Picarro Output'!G:G, 'Picarro Output'!$B:$B, 'Uncalibrated Data'!$C3394, 'Picarro Output'!$I:$I, 0, 'Picarro Output'!$J:$J, 1), "")</f>
        <v/>
      </c>
    </row>
    <row r="3395" spans="2:5" x14ac:dyDescent="0.2">
      <c r="B3395" s="1"/>
      <c r="E3395" s="38" t="str">
        <f>IFERROR(AVERAGEIFS('Picarro Output'!G:G, 'Picarro Output'!$B:$B, 'Uncalibrated Data'!$C3395, 'Picarro Output'!$I:$I, 0, 'Picarro Output'!$J:$J, 1), "")</f>
        <v/>
      </c>
    </row>
    <row r="3396" spans="2:5" x14ac:dyDescent="0.2">
      <c r="B3396" s="1"/>
      <c r="E3396" s="38" t="str">
        <f>IFERROR(AVERAGEIFS('Picarro Output'!G:G, 'Picarro Output'!$B:$B, 'Uncalibrated Data'!$C3396, 'Picarro Output'!$I:$I, 0, 'Picarro Output'!$J:$J, 1), "")</f>
        <v/>
      </c>
    </row>
    <row r="3397" spans="2:5" x14ac:dyDescent="0.2">
      <c r="B3397" s="1"/>
      <c r="E3397" s="38" t="str">
        <f>IFERROR(AVERAGEIFS('Picarro Output'!G:G, 'Picarro Output'!$B:$B, 'Uncalibrated Data'!$C3397, 'Picarro Output'!$I:$I, 0, 'Picarro Output'!$J:$J, 1), "")</f>
        <v/>
      </c>
    </row>
    <row r="3398" spans="2:5" x14ac:dyDescent="0.2">
      <c r="B3398" s="1"/>
      <c r="E3398" s="38" t="str">
        <f>IFERROR(AVERAGEIFS('Picarro Output'!G:G, 'Picarro Output'!$B:$B, 'Uncalibrated Data'!$C3398, 'Picarro Output'!$I:$I, 0, 'Picarro Output'!$J:$J, 1), "")</f>
        <v/>
      </c>
    </row>
    <row r="3399" spans="2:5" x14ac:dyDescent="0.2">
      <c r="B3399" s="1"/>
      <c r="E3399" s="38" t="str">
        <f>IFERROR(AVERAGEIFS('Picarro Output'!G:G, 'Picarro Output'!$B:$B, 'Uncalibrated Data'!$C3399, 'Picarro Output'!$I:$I, 0, 'Picarro Output'!$J:$J, 1), "")</f>
        <v/>
      </c>
    </row>
    <row r="3400" spans="2:5" x14ac:dyDescent="0.2">
      <c r="B3400" s="1"/>
      <c r="E3400" s="38" t="str">
        <f>IFERROR(AVERAGEIFS('Picarro Output'!G:G, 'Picarro Output'!$B:$B, 'Uncalibrated Data'!$C3400, 'Picarro Output'!$I:$I, 0, 'Picarro Output'!$J:$J, 1), "")</f>
        <v/>
      </c>
    </row>
    <row r="3401" spans="2:5" x14ac:dyDescent="0.2">
      <c r="B3401" s="1"/>
      <c r="E3401" s="38" t="str">
        <f>IFERROR(AVERAGEIFS('Picarro Output'!G:G, 'Picarro Output'!$B:$B, 'Uncalibrated Data'!$C3401, 'Picarro Output'!$I:$I, 0, 'Picarro Output'!$J:$J, 1), "")</f>
        <v/>
      </c>
    </row>
    <row r="3402" spans="2:5" x14ac:dyDescent="0.2">
      <c r="B3402" s="1"/>
      <c r="E3402" s="38" t="str">
        <f>IFERROR(AVERAGEIFS('Picarro Output'!G:G, 'Picarro Output'!$B:$B, 'Uncalibrated Data'!$C3402, 'Picarro Output'!$I:$I, 0, 'Picarro Output'!$J:$J, 1), "")</f>
        <v/>
      </c>
    </row>
    <row r="3403" spans="2:5" x14ac:dyDescent="0.2">
      <c r="B3403" s="1"/>
      <c r="E3403" s="38" t="str">
        <f>IFERROR(AVERAGEIFS('Picarro Output'!G:G, 'Picarro Output'!$B:$B, 'Uncalibrated Data'!$C3403, 'Picarro Output'!$I:$I, 0, 'Picarro Output'!$J:$J, 1), "")</f>
        <v/>
      </c>
    </row>
    <row r="3404" spans="2:5" x14ac:dyDescent="0.2">
      <c r="B3404" s="1"/>
      <c r="E3404" s="38" t="str">
        <f>IFERROR(AVERAGEIFS('Picarro Output'!G:G, 'Picarro Output'!$B:$B, 'Uncalibrated Data'!$C3404, 'Picarro Output'!$I:$I, 0, 'Picarro Output'!$J:$J, 1), "")</f>
        <v/>
      </c>
    </row>
    <row r="3405" spans="2:5" x14ac:dyDescent="0.2">
      <c r="B3405" s="1"/>
      <c r="E3405" s="38" t="str">
        <f>IFERROR(AVERAGEIFS('Picarro Output'!G:G, 'Picarro Output'!$B:$B, 'Uncalibrated Data'!$C3405, 'Picarro Output'!$I:$I, 0, 'Picarro Output'!$J:$J, 1), "")</f>
        <v/>
      </c>
    </row>
    <row r="3406" spans="2:5" x14ac:dyDescent="0.2">
      <c r="B3406" s="1"/>
      <c r="E3406" s="38" t="str">
        <f>IFERROR(AVERAGEIFS('Picarro Output'!G:G, 'Picarro Output'!$B:$B, 'Uncalibrated Data'!$C3406, 'Picarro Output'!$I:$I, 0, 'Picarro Output'!$J:$J, 1), "")</f>
        <v/>
      </c>
    </row>
    <row r="3407" spans="2:5" x14ac:dyDescent="0.2">
      <c r="B3407" s="1"/>
      <c r="E3407" s="38" t="str">
        <f>IFERROR(AVERAGEIFS('Picarro Output'!G:G, 'Picarro Output'!$B:$B, 'Uncalibrated Data'!$C3407, 'Picarro Output'!$I:$I, 0, 'Picarro Output'!$J:$J, 1), "")</f>
        <v/>
      </c>
    </row>
    <row r="3408" spans="2:5" x14ac:dyDescent="0.2">
      <c r="B3408" s="1"/>
      <c r="E3408" s="38" t="str">
        <f>IFERROR(AVERAGEIFS('Picarro Output'!G:G, 'Picarro Output'!$B:$B, 'Uncalibrated Data'!$C3408, 'Picarro Output'!$I:$I, 0, 'Picarro Output'!$J:$J, 1), "")</f>
        <v/>
      </c>
    </row>
    <row r="3409" spans="2:5" x14ac:dyDescent="0.2">
      <c r="B3409" s="1"/>
      <c r="E3409" s="38" t="str">
        <f>IFERROR(AVERAGEIFS('Picarro Output'!G:G, 'Picarro Output'!$B:$B, 'Uncalibrated Data'!$C3409, 'Picarro Output'!$I:$I, 0, 'Picarro Output'!$J:$J, 1), "")</f>
        <v/>
      </c>
    </row>
    <row r="3410" spans="2:5" x14ac:dyDescent="0.2">
      <c r="B3410" s="1"/>
      <c r="E3410" s="38" t="str">
        <f>IFERROR(AVERAGEIFS('Picarro Output'!G:G, 'Picarro Output'!$B:$B, 'Uncalibrated Data'!$C3410, 'Picarro Output'!$I:$I, 0, 'Picarro Output'!$J:$J, 1), "")</f>
        <v/>
      </c>
    </row>
    <row r="3411" spans="2:5" x14ac:dyDescent="0.2">
      <c r="B3411" s="1"/>
      <c r="E3411" s="38" t="str">
        <f>IFERROR(AVERAGEIFS('Picarro Output'!G:G, 'Picarro Output'!$B:$B, 'Uncalibrated Data'!$C3411, 'Picarro Output'!$I:$I, 0, 'Picarro Output'!$J:$J, 1), "")</f>
        <v/>
      </c>
    </row>
    <row r="3412" spans="2:5" x14ac:dyDescent="0.2">
      <c r="B3412" s="1"/>
      <c r="E3412" s="38" t="str">
        <f>IFERROR(AVERAGEIFS('Picarro Output'!G:G, 'Picarro Output'!$B:$B, 'Uncalibrated Data'!$C3412, 'Picarro Output'!$I:$I, 0, 'Picarro Output'!$J:$J, 1), "")</f>
        <v/>
      </c>
    </row>
    <row r="3413" spans="2:5" x14ac:dyDescent="0.2">
      <c r="B3413" s="1"/>
      <c r="E3413" s="38" t="str">
        <f>IFERROR(AVERAGEIFS('Picarro Output'!G:G, 'Picarro Output'!$B:$B, 'Uncalibrated Data'!$C3413, 'Picarro Output'!$I:$I, 0, 'Picarro Output'!$J:$J, 1), "")</f>
        <v/>
      </c>
    </row>
    <row r="3414" spans="2:5" x14ac:dyDescent="0.2">
      <c r="B3414" s="1"/>
      <c r="E3414" s="38" t="str">
        <f>IFERROR(AVERAGEIFS('Picarro Output'!G:G, 'Picarro Output'!$B:$B, 'Uncalibrated Data'!$C3414, 'Picarro Output'!$I:$I, 0, 'Picarro Output'!$J:$J, 1), "")</f>
        <v/>
      </c>
    </row>
    <row r="3415" spans="2:5" x14ac:dyDescent="0.2">
      <c r="B3415" s="1"/>
      <c r="E3415" s="38" t="str">
        <f>IFERROR(AVERAGEIFS('Picarro Output'!G:G, 'Picarro Output'!$B:$B, 'Uncalibrated Data'!$C3415, 'Picarro Output'!$I:$I, 0, 'Picarro Output'!$J:$J, 1), "")</f>
        <v/>
      </c>
    </row>
    <row r="3416" spans="2:5" x14ac:dyDescent="0.2">
      <c r="B3416" s="1"/>
      <c r="E3416" s="38" t="str">
        <f>IFERROR(AVERAGEIFS('Picarro Output'!G:G, 'Picarro Output'!$B:$B, 'Uncalibrated Data'!$C3416, 'Picarro Output'!$I:$I, 0, 'Picarro Output'!$J:$J, 1), "")</f>
        <v/>
      </c>
    </row>
    <row r="3417" spans="2:5" x14ac:dyDescent="0.2">
      <c r="B3417" s="1"/>
      <c r="E3417" s="38" t="str">
        <f>IFERROR(AVERAGEIFS('Picarro Output'!G:G, 'Picarro Output'!$B:$B, 'Uncalibrated Data'!$C3417, 'Picarro Output'!$I:$I, 0, 'Picarro Output'!$J:$J, 1), "")</f>
        <v/>
      </c>
    </row>
    <row r="3418" spans="2:5" x14ac:dyDescent="0.2">
      <c r="B3418" s="1"/>
      <c r="E3418" s="38" t="str">
        <f>IFERROR(AVERAGEIFS('Picarro Output'!G:G, 'Picarro Output'!$B:$B, 'Uncalibrated Data'!$C3418, 'Picarro Output'!$I:$I, 0, 'Picarro Output'!$J:$J, 1), "")</f>
        <v/>
      </c>
    </row>
    <row r="3419" spans="2:5" x14ac:dyDescent="0.2">
      <c r="B3419" s="1"/>
      <c r="E3419" s="38" t="str">
        <f>IFERROR(AVERAGEIFS('Picarro Output'!G:G, 'Picarro Output'!$B:$B, 'Uncalibrated Data'!$C3419, 'Picarro Output'!$I:$I, 0, 'Picarro Output'!$J:$J, 1), "")</f>
        <v/>
      </c>
    </row>
    <row r="3420" spans="2:5" x14ac:dyDescent="0.2">
      <c r="B3420" s="1"/>
      <c r="E3420" s="38" t="str">
        <f>IFERROR(AVERAGEIFS('Picarro Output'!G:G, 'Picarro Output'!$B:$B, 'Uncalibrated Data'!$C3420, 'Picarro Output'!$I:$I, 0, 'Picarro Output'!$J:$J, 1), "")</f>
        <v/>
      </c>
    </row>
    <row r="3421" spans="2:5" x14ac:dyDescent="0.2">
      <c r="B3421" s="1"/>
      <c r="E3421" s="38" t="str">
        <f>IFERROR(AVERAGEIFS('Picarro Output'!G:G, 'Picarro Output'!$B:$B, 'Uncalibrated Data'!$C3421, 'Picarro Output'!$I:$I, 0, 'Picarro Output'!$J:$J, 1), "")</f>
        <v/>
      </c>
    </row>
    <row r="3422" spans="2:5" x14ac:dyDescent="0.2">
      <c r="B3422" s="1"/>
      <c r="E3422" s="38" t="str">
        <f>IFERROR(AVERAGEIFS('Picarro Output'!G:G, 'Picarro Output'!$B:$B, 'Uncalibrated Data'!$C3422, 'Picarro Output'!$I:$I, 0, 'Picarro Output'!$J:$J, 1), "")</f>
        <v/>
      </c>
    </row>
    <row r="3423" spans="2:5" x14ac:dyDescent="0.2">
      <c r="B3423" s="1"/>
      <c r="E3423" s="38" t="str">
        <f>IFERROR(AVERAGEIFS('Picarro Output'!G:G, 'Picarro Output'!$B:$B, 'Uncalibrated Data'!$C3423, 'Picarro Output'!$I:$I, 0, 'Picarro Output'!$J:$J, 1), "")</f>
        <v/>
      </c>
    </row>
    <row r="3424" spans="2:5" x14ac:dyDescent="0.2">
      <c r="B3424" s="1"/>
      <c r="E3424" s="38" t="str">
        <f>IFERROR(AVERAGEIFS('Picarro Output'!G:G, 'Picarro Output'!$B:$B, 'Uncalibrated Data'!$C3424, 'Picarro Output'!$I:$I, 0, 'Picarro Output'!$J:$J, 1), "")</f>
        <v/>
      </c>
    </row>
    <row r="3425" spans="2:5" x14ac:dyDescent="0.2">
      <c r="B3425" s="1"/>
      <c r="E3425" s="38" t="str">
        <f>IFERROR(AVERAGEIFS('Picarro Output'!G:G, 'Picarro Output'!$B:$B, 'Uncalibrated Data'!$C3425, 'Picarro Output'!$I:$I, 0, 'Picarro Output'!$J:$J, 1), "")</f>
        <v/>
      </c>
    </row>
    <row r="3426" spans="2:5" x14ac:dyDescent="0.2">
      <c r="B3426" s="1"/>
      <c r="E3426" s="38" t="str">
        <f>IFERROR(AVERAGEIFS('Picarro Output'!G:G, 'Picarro Output'!$B:$B, 'Uncalibrated Data'!$C3426, 'Picarro Output'!$I:$I, 0, 'Picarro Output'!$J:$J, 1), "")</f>
        <v/>
      </c>
    </row>
    <row r="3427" spans="2:5" x14ac:dyDescent="0.2">
      <c r="B3427" s="1"/>
      <c r="E3427" s="38" t="str">
        <f>IFERROR(AVERAGEIFS('Picarro Output'!G:G, 'Picarro Output'!$B:$B, 'Uncalibrated Data'!$C3427, 'Picarro Output'!$I:$I, 0, 'Picarro Output'!$J:$J, 1), "")</f>
        <v/>
      </c>
    </row>
    <row r="3428" spans="2:5" x14ac:dyDescent="0.2">
      <c r="B3428" s="1"/>
      <c r="E3428" s="38" t="str">
        <f>IFERROR(AVERAGEIFS('Picarro Output'!G:G, 'Picarro Output'!$B:$B, 'Uncalibrated Data'!$C3428, 'Picarro Output'!$I:$I, 0, 'Picarro Output'!$J:$J, 1), "")</f>
        <v/>
      </c>
    </row>
    <row r="3429" spans="2:5" x14ac:dyDescent="0.2">
      <c r="B3429" s="1"/>
      <c r="E3429" s="38" t="str">
        <f>IFERROR(AVERAGEIFS('Picarro Output'!G:G, 'Picarro Output'!$B:$B, 'Uncalibrated Data'!$C3429, 'Picarro Output'!$I:$I, 0, 'Picarro Output'!$J:$J, 1), "")</f>
        <v/>
      </c>
    </row>
    <row r="3430" spans="2:5" x14ac:dyDescent="0.2">
      <c r="B3430" s="1"/>
      <c r="E3430" s="38" t="str">
        <f>IFERROR(AVERAGEIFS('Picarro Output'!G:G, 'Picarro Output'!$B:$B, 'Uncalibrated Data'!$C3430, 'Picarro Output'!$I:$I, 0, 'Picarro Output'!$J:$J, 1), "")</f>
        <v/>
      </c>
    </row>
    <row r="3431" spans="2:5" x14ac:dyDescent="0.2">
      <c r="B3431" s="1"/>
      <c r="E3431" s="38" t="str">
        <f>IFERROR(AVERAGEIFS('Picarro Output'!G:G, 'Picarro Output'!$B:$B, 'Uncalibrated Data'!$C3431, 'Picarro Output'!$I:$I, 0, 'Picarro Output'!$J:$J, 1), "")</f>
        <v/>
      </c>
    </row>
    <row r="3432" spans="2:5" x14ac:dyDescent="0.2">
      <c r="B3432" s="1"/>
      <c r="E3432" s="38" t="str">
        <f>IFERROR(AVERAGEIFS('Picarro Output'!G:G, 'Picarro Output'!$B:$B, 'Uncalibrated Data'!$C3432, 'Picarro Output'!$I:$I, 0, 'Picarro Output'!$J:$J, 1), "")</f>
        <v/>
      </c>
    </row>
    <row r="3433" spans="2:5" x14ac:dyDescent="0.2">
      <c r="B3433" s="1"/>
      <c r="E3433" s="38" t="str">
        <f>IFERROR(AVERAGEIFS('Picarro Output'!G:G, 'Picarro Output'!$B:$B, 'Uncalibrated Data'!$C3433, 'Picarro Output'!$I:$I, 0, 'Picarro Output'!$J:$J, 1), "")</f>
        <v/>
      </c>
    </row>
    <row r="3434" spans="2:5" x14ac:dyDescent="0.2">
      <c r="B3434" s="1"/>
      <c r="E3434" s="38" t="str">
        <f>IFERROR(AVERAGEIFS('Picarro Output'!G:G, 'Picarro Output'!$B:$B, 'Uncalibrated Data'!$C3434, 'Picarro Output'!$I:$I, 0, 'Picarro Output'!$J:$J, 1), "")</f>
        <v/>
      </c>
    </row>
    <row r="3435" spans="2:5" x14ac:dyDescent="0.2">
      <c r="B3435" s="1"/>
      <c r="E3435" s="38" t="str">
        <f>IFERROR(AVERAGEIFS('Picarro Output'!G:G, 'Picarro Output'!$B:$B, 'Uncalibrated Data'!$C3435, 'Picarro Output'!$I:$I, 0, 'Picarro Output'!$J:$J, 1), "")</f>
        <v/>
      </c>
    </row>
    <row r="3436" spans="2:5" x14ac:dyDescent="0.2">
      <c r="B3436" s="1"/>
      <c r="E3436" s="38" t="str">
        <f>IFERROR(AVERAGEIFS('Picarro Output'!G:G, 'Picarro Output'!$B:$B, 'Uncalibrated Data'!$C3436, 'Picarro Output'!$I:$I, 0, 'Picarro Output'!$J:$J, 1), "")</f>
        <v/>
      </c>
    </row>
    <row r="3437" spans="2:5" x14ac:dyDescent="0.2">
      <c r="B3437" s="1"/>
      <c r="E3437" s="38" t="str">
        <f>IFERROR(AVERAGEIFS('Picarro Output'!G:G, 'Picarro Output'!$B:$B, 'Uncalibrated Data'!$C3437, 'Picarro Output'!$I:$I, 0, 'Picarro Output'!$J:$J, 1), "")</f>
        <v/>
      </c>
    </row>
    <row r="3438" spans="2:5" x14ac:dyDescent="0.2">
      <c r="B3438" s="1"/>
      <c r="E3438" s="38" t="str">
        <f>IFERROR(AVERAGEIFS('Picarro Output'!G:G, 'Picarro Output'!$B:$B, 'Uncalibrated Data'!$C3438, 'Picarro Output'!$I:$I, 0, 'Picarro Output'!$J:$J, 1), "")</f>
        <v/>
      </c>
    </row>
    <row r="3439" spans="2:5" x14ac:dyDescent="0.2">
      <c r="B3439" s="1"/>
      <c r="E3439" s="38" t="str">
        <f>IFERROR(AVERAGEIFS('Picarro Output'!G:G, 'Picarro Output'!$B:$B, 'Uncalibrated Data'!$C3439, 'Picarro Output'!$I:$I, 0, 'Picarro Output'!$J:$J, 1), "")</f>
        <v/>
      </c>
    </row>
    <row r="3440" spans="2:5" x14ac:dyDescent="0.2">
      <c r="B3440" s="1"/>
      <c r="E3440" s="38" t="str">
        <f>IFERROR(AVERAGEIFS('Picarro Output'!G:G, 'Picarro Output'!$B:$B, 'Uncalibrated Data'!$C3440, 'Picarro Output'!$I:$I, 0, 'Picarro Output'!$J:$J, 1), "")</f>
        <v/>
      </c>
    </row>
    <row r="3441" spans="2:5" x14ac:dyDescent="0.2">
      <c r="B3441" s="1"/>
      <c r="E3441" s="38" t="str">
        <f>IFERROR(AVERAGEIFS('Picarro Output'!G:G, 'Picarro Output'!$B:$B, 'Uncalibrated Data'!$C3441, 'Picarro Output'!$I:$I, 0, 'Picarro Output'!$J:$J, 1), "")</f>
        <v/>
      </c>
    </row>
    <row r="3442" spans="2:5" x14ac:dyDescent="0.2">
      <c r="B3442" s="1"/>
      <c r="E3442" s="38" t="str">
        <f>IFERROR(AVERAGEIFS('Picarro Output'!G:G, 'Picarro Output'!$B:$B, 'Uncalibrated Data'!$C3442, 'Picarro Output'!$I:$I, 0, 'Picarro Output'!$J:$J, 1), "")</f>
        <v/>
      </c>
    </row>
    <row r="3443" spans="2:5" x14ac:dyDescent="0.2">
      <c r="B3443" s="1"/>
      <c r="E3443" s="38" t="str">
        <f>IFERROR(AVERAGEIFS('Picarro Output'!G:G, 'Picarro Output'!$B:$B, 'Uncalibrated Data'!$C3443, 'Picarro Output'!$I:$I, 0, 'Picarro Output'!$J:$J, 1), "")</f>
        <v/>
      </c>
    </row>
    <row r="3444" spans="2:5" x14ac:dyDescent="0.2">
      <c r="B3444" s="1"/>
      <c r="E3444" s="38" t="str">
        <f>IFERROR(AVERAGEIFS('Picarro Output'!G:G, 'Picarro Output'!$B:$B, 'Uncalibrated Data'!$C3444, 'Picarro Output'!$I:$I, 0, 'Picarro Output'!$J:$J, 1), "")</f>
        <v/>
      </c>
    </row>
    <row r="3445" spans="2:5" x14ac:dyDescent="0.2">
      <c r="B3445" s="1"/>
      <c r="E3445" s="38" t="str">
        <f>IFERROR(AVERAGEIFS('Picarro Output'!G:G, 'Picarro Output'!$B:$B, 'Uncalibrated Data'!$C3445, 'Picarro Output'!$I:$I, 0, 'Picarro Output'!$J:$J, 1), "")</f>
        <v/>
      </c>
    </row>
    <row r="3446" spans="2:5" x14ac:dyDescent="0.2">
      <c r="B3446" s="1"/>
      <c r="E3446" s="38" t="str">
        <f>IFERROR(AVERAGEIFS('Picarro Output'!G:G, 'Picarro Output'!$B:$B, 'Uncalibrated Data'!$C3446, 'Picarro Output'!$I:$I, 0, 'Picarro Output'!$J:$J, 1), "")</f>
        <v/>
      </c>
    </row>
    <row r="3447" spans="2:5" x14ac:dyDescent="0.2">
      <c r="B3447" s="1"/>
      <c r="E3447" s="38" t="str">
        <f>IFERROR(AVERAGEIFS('Picarro Output'!G:G, 'Picarro Output'!$B:$B, 'Uncalibrated Data'!$C3447, 'Picarro Output'!$I:$I, 0, 'Picarro Output'!$J:$J, 1), "")</f>
        <v/>
      </c>
    </row>
    <row r="3448" spans="2:5" x14ac:dyDescent="0.2">
      <c r="B3448" s="1"/>
      <c r="E3448" s="38" t="str">
        <f>IFERROR(AVERAGEIFS('Picarro Output'!G:G, 'Picarro Output'!$B:$B, 'Uncalibrated Data'!$C3448, 'Picarro Output'!$I:$I, 0, 'Picarro Output'!$J:$J, 1), "")</f>
        <v/>
      </c>
    </row>
    <row r="3449" spans="2:5" x14ac:dyDescent="0.2">
      <c r="B3449" s="1"/>
      <c r="E3449" s="38" t="str">
        <f>IFERROR(AVERAGEIFS('Picarro Output'!G:G, 'Picarro Output'!$B:$B, 'Uncalibrated Data'!$C3449, 'Picarro Output'!$I:$I, 0, 'Picarro Output'!$J:$J, 1), "")</f>
        <v/>
      </c>
    </row>
    <row r="3450" spans="2:5" x14ac:dyDescent="0.2">
      <c r="B3450" s="1"/>
      <c r="E3450" s="38" t="str">
        <f>IFERROR(AVERAGEIFS('Picarro Output'!G:G, 'Picarro Output'!$B:$B, 'Uncalibrated Data'!$C3450, 'Picarro Output'!$I:$I, 0, 'Picarro Output'!$J:$J, 1), "")</f>
        <v/>
      </c>
    </row>
    <row r="3451" spans="2:5" x14ac:dyDescent="0.2">
      <c r="B3451" s="1"/>
      <c r="E3451" s="38" t="str">
        <f>IFERROR(AVERAGEIFS('Picarro Output'!G:G, 'Picarro Output'!$B:$B, 'Uncalibrated Data'!$C3451, 'Picarro Output'!$I:$I, 0, 'Picarro Output'!$J:$J, 1), "")</f>
        <v/>
      </c>
    </row>
    <row r="3452" spans="2:5" x14ac:dyDescent="0.2">
      <c r="B3452" s="1"/>
      <c r="E3452" s="38" t="str">
        <f>IFERROR(AVERAGEIFS('Picarro Output'!G:G, 'Picarro Output'!$B:$B, 'Uncalibrated Data'!$C3452, 'Picarro Output'!$I:$I, 0, 'Picarro Output'!$J:$J, 1), "")</f>
        <v/>
      </c>
    </row>
    <row r="3453" spans="2:5" x14ac:dyDescent="0.2">
      <c r="B3453" s="1"/>
      <c r="E3453" s="38" t="str">
        <f>IFERROR(AVERAGEIFS('Picarro Output'!G:G, 'Picarro Output'!$B:$B, 'Uncalibrated Data'!$C3453, 'Picarro Output'!$I:$I, 0, 'Picarro Output'!$J:$J, 1), "")</f>
        <v/>
      </c>
    </row>
    <row r="3454" spans="2:5" x14ac:dyDescent="0.2">
      <c r="B3454" s="1"/>
      <c r="E3454" s="38" t="str">
        <f>IFERROR(AVERAGEIFS('Picarro Output'!G:G, 'Picarro Output'!$B:$B, 'Uncalibrated Data'!$C3454, 'Picarro Output'!$I:$I, 0, 'Picarro Output'!$J:$J, 1), "")</f>
        <v/>
      </c>
    </row>
    <row r="3455" spans="2:5" x14ac:dyDescent="0.2">
      <c r="B3455" s="1"/>
      <c r="E3455" s="38" t="str">
        <f>IFERROR(AVERAGEIFS('Picarro Output'!G:G, 'Picarro Output'!$B:$B, 'Uncalibrated Data'!$C3455, 'Picarro Output'!$I:$I, 0, 'Picarro Output'!$J:$J, 1), "")</f>
        <v/>
      </c>
    </row>
    <row r="3456" spans="2:5" x14ac:dyDescent="0.2">
      <c r="B3456" s="1"/>
      <c r="E3456" s="38" t="str">
        <f>IFERROR(AVERAGEIFS('Picarro Output'!G:G, 'Picarro Output'!$B:$B, 'Uncalibrated Data'!$C3456, 'Picarro Output'!$I:$I, 0, 'Picarro Output'!$J:$J, 1), "")</f>
        <v/>
      </c>
    </row>
    <row r="3457" spans="2:5" x14ac:dyDescent="0.2">
      <c r="B3457" s="1"/>
      <c r="E3457" s="38" t="str">
        <f>IFERROR(AVERAGEIFS('Picarro Output'!G:G, 'Picarro Output'!$B:$B, 'Uncalibrated Data'!$C3457, 'Picarro Output'!$I:$I, 0, 'Picarro Output'!$J:$J, 1), "")</f>
        <v/>
      </c>
    </row>
    <row r="3458" spans="2:5" x14ac:dyDescent="0.2">
      <c r="B3458" s="1"/>
      <c r="E3458" s="38" t="str">
        <f>IFERROR(AVERAGEIFS('Picarro Output'!G:G, 'Picarro Output'!$B:$B, 'Uncalibrated Data'!$C3458, 'Picarro Output'!$I:$I, 0, 'Picarro Output'!$J:$J, 1), "")</f>
        <v/>
      </c>
    </row>
    <row r="3459" spans="2:5" x14ac:dyDescent="0.2">
      <c r="B3459" s="1"/>
      <c r="E3459" s="38" t="str">
        <f>IFERROR(AVERAGEIFS('Picarro Output'!G:G, 'Picarro Output'!$B:$B, 'Uncalibrated Data'!$C3459, 'Picarro Output'!$I:$I, 0, 'Picarro Output'!$J:$J, 1), "")</f>
        <v/>
      </c>
    </row>
    <row r="3460" spans="2:5" x14ac:dyDescent="0.2">
      <c r="B3460" s="1"/>
      <c r="E3460" s="38" t="str">
        <f>IFERROR(AVERAGEIFS('Picarro Output'!G:G, 'Picarro Output'!$B:$B, 'Uncalibrated Data'!$C3460, 'Picarro Output'!$I:$I, 0, 'Picarro Output'!$J:$J, 1), "")</f>
        <v/>
      </c>
    </row>
    <row r="3461" spans="2:5" x14ac:dyDescent="0.2">
      <c r="B3461" s="1"/>
      <c r="E3461" s="38" t="str">
        <f>IFERROR(AVERAGEIFS('Picarro Output'!G:G, 'Picarro Output'!$B:$B, 'Uncalibrated Data'!$C3461, 'Picarro Output'!$I:$I, 0, 'Picarro Output'!$J:$J, 1), "")</f>
        <v/>
      </c>
    </row>
    <row r="3462" spans="2:5" x14ac:dyDescent="0.2">
      <c r="B3462" s="1"/>
      <c r="E3462" s="38" t="str">
        <f>IFERROR(AVERAGEIFS('Picarro Output'!G:G, 'Picarro Output'!$B:$B, 'Uncalibrated Data'!$C3462, 'Picarro Output'!$I:$I, 0, 'Picarro Output'!$J:$J, 1), "")</f>
        <v/>
      </c>
    </row>
    <row r="3463" spans="2:5" x14ac:dyDescent="0.2">
      <c r="B3463" s="1"/>
      <c r="E3463" s="38" t="str">
        <f>IFERROR(AVERAGEIFS('Picarro Output'!G:G, 'Picarro Output'!$B:$B, 'Uncalibrated Data'!$C3463, 'Picarro Output'!$I:$I, 0, 'Picarro Output'!$J:$J, 1), "")</f>
        <v/>
      </c>
    </row>
    <row r="3464" spans="2:5" x14ac:dyDescent="0.2">
      <c r="B3464" s="1"/>
      <c r="E3464" s="38" t="str">
        <f>IFERROR(AVERAGEIFS('Picarro Output'!G:G, 'Picarro Output'!$B:$B, 'Uncalibrated Data'!$C3464, 'Picarro Output'!$I:$I, 0, 'Picarro Output'!$J:$J, 1), "")</f>
        <v/>
      </c>
    </row>
    <row r="3465" spans="2:5" x14ac:dyDescent="0.2">
      <c r="B3465" s="1"/>
      <c r="E3465" s="38" t="str">
        <f>IFERROR(AVERAGEIFS('Picarro Output'!G:G, 'Picarro Output'!$B:$B, 'Uncalibrated Data'!$C3465, 'Picarro Output'!$I:$I, 0, 'Picarro Output'!$J:$J, 1), "")</f>
        <v/>
      </c>
    </row>
    <row r="3466" spans="2:5" x14ac:dyDescent="0.2">
      <c r="B3466" s="1"/>
      <c r="E3466" s="38" t="str">
        <f>IFERROR(AVERAGEIFS('Picarro Output'!G:G, 'Picarro Output'!$B:$B, 'Uncalibrated Data'!$C3466, 'Picarro Output'!$I:$I, 0, 'Picarro Output'!$J:$J, 1), "")</f>
        <v/>
      </c>
    </row>
    <row r="3467" spans="2:5" x14ac:dyDescent="0.2">
      <c r="B3467" s="1"/>
      <c r="E3467" s="38" t="str">
        <f>IFERROR(AVERAGEIFS('Picarro Output'!G:G, 'Picarro Output'!$B:$B, 'Uncalibrated Data'!$C3467, 'Picarro Output'!$I:$I, 0, 'Picarro Output'!$J:$J, 1), "")</f>
        <v/>
      </c>
    </row>
    <row r="3468" spans="2:5" x14ac:dyDescent="0.2">
      <c r="B3468" s="1"/>
      <c r="E3468" s="38" t="str">
        <f>IFERROR(AVERAGEIFS('Picarro Output'!G:G, 'Picarro Output'!$B:$B, 'Uncalibrated Data'!$C3468, 'Picarro Output'!$I:$I, 0, 'Picarro Output'!$J:$J, 1), "")</f>
        <v/>
      </c>
    </row>
    <row r="3469" spans="2:5" x14ac:dyDescent="0.2">
      <c r="B3469" s="1"/>
      <c r="E3469" s="38" t="str">
        <f>IFERROR(AVERAGEIFS('Picarro Output'!G:G, 'Picarro Output'!$B:$B, 'Uncalibrated Data'!$C3469, 'Picarro Output'!$I:$I, 0, 'Picarro Output'!$J:$J, 1), "")</f>
        <v/>
      </c>
    </row>
    <row r="3470" spans="2:5" x14ac:dyDescent="0.2">
      <c r="B3470" s="1"/>
      <c r="E3470" s="38" t="str">
        <f>IFERROR(AVERAGEIFS('Picarro Output'!G:G, 'Picarro Output'!$B:$B, 'Uncalibrated Data'!$C3470, 'Picarro Output'!$I:$I, 0, 'Picarro Output'!$J:$J, 1), "")</f>
        <v/>
      </c>
    </row>
    <row r="3471" spans="2:5" x14ac:dyDescent="0.2">
      <c r="B3471" s="1"/>
      <c r="E3471" s="38" t="str">
        <f>IFERROR(AVERAGEIFS('Picarro Output'!G:G, 'Picarro Output'!$B:$B, 'Uncalibrated Data'!$C3471, 'Picarro Output'!$I:$I, 0, 'Picarro Output'!$J:$J, 1), "")</f>
        <v/>
      </c>
    </row>
    <row r="3472" spans="2:5" x14ac:dyDescent="0.2">
      <c r="B3472" s="1"/>
      <c r="E3472" s="38" t="str">
        <f>IFERROR(AVERAGEIFS('Picarro Output'!G:G, 'Picarro Output'!$B:$B, 'Uncalibrated Data'!$C3472, 'Picarro Output'!$I:$I, 0, 'Picarro Output'!$J:$J, 1), "")</f>
        <v/>
      </c>
    </row>
    <row r="3473" spans="2:5" x14ac:dyDescent="0.2">
      <c r="B3473" s="1"/>
      <c r="E3473" s="38" t="str">
        <f>IFERROR(AVERAGEIFS('Picarro Output'!G:G, 'Picarro Output'!$B:$B, 'Uncalibrated Data'!$C3473, 'Picarro Output'!$I:$I, 0, 'Picarro Output'!$J:$J, 1), "")</f>
        <v/>
      </c>
    </row>
    <row r="3474" spans="2:5" x14ac:dyDescent="0.2">
      <c r="B3474" s="1"/>
      <c r="E3474" s="38" t="str">
        <f>IFERROR(AVERAGEIFS('Picarro Output'!G:G, 'Picarro Output'!$B:$B, 'Uncalibrated Data'!$C3474, 'Picarro Output'!$I:$I, 0, 'Picarro Output'!$J:$J, 1), "")</f>
        <v/>
      </c>
    </row>
    <row r="3475" spans="2:5" x14ac:dyDescent="0.2">
      <c r="B3475" s="1"/>
      <c r="E3475" s="38" t="str">
        <f>IFERROR(AVERAGEIFS('Picarro Output'!G:G, 'Picarro Output'!$B:$B, 'Uncalibrated Data'!$C3475, 'Picarro Output'!$I:$I, 0, 'Picarro Output'!$J:$J, 1), "")</f>
        <v/>
      </c>
    </row>
    <row r="3476" spans="2:5" x14ac:dyDescent="0.2">
      <c r="B3476" s="1"/>
      <c r="E3476" s="38" t="str">
        <f>IFERROR(AVERAGEIFS('Picarro Output'!G:G, 'Picarro Output'!$B:$B, 'Uncalibrated Data'!$C3476, 'Picarro Output'!$I:$I, 0, 'Picarro Output'!$J:$J, 1), "")</f>
        <v/>
      </c>
    </row>
    <row r="3477" spans="2:5" x14ac:dyDescent="0.2">
      <c r="B3477" s="1"/>
      <c r="E3477" s="38" t="str">
        <f>IFERROR(AVERAGEIFS('Picarro Output'!G:G, 'Picarro Output'!$B:$B, 'Uncalibrated Data'!$C3477, 'Picarro Output'!$I:$I, 0, 'Picarro Output'!$J:$J, 1), "")</f>
        <v/>
      </c>
    </row>
    <row r="3478" spans="2:5" x14ac:dyDescent="0.2">
      <c r="B3478" s="1"/>
      <c r="E3478" s="38" t="str">
        <f>IFERROR(AVERAGEIFS('Picarro Output'!G:G, 'Picarro Output'!$B:$B, 'Uncalibrated Data'!$C3478, 'Picarro Output'!$I:$I, 0, 'Picarro Output'!$J:$J, 1), "")</f>
        <v/>
      </c>
    </row>
    <row r="3479" spans="2:5" x14ac:dyDescent="0.2">
      <c r="B3479" s="1"/>
      <c r="E3479" s="38" t="str">
        <f>IFERROR(AVERAGEIFS('Picarro Output'!G:G, 'Picarro Output'!$B:$B, 'Uncalibrated Data'!$C3479, 'Picarro Output'!$I:$I, 0, 'Picarro Output'!$J:$J, 1), "")</f>
        <v/>
      </c>
    </row>
    <row r="3480" spans="2:5" x14ac:dyDescent="0.2">
      <c r="B3480" s="1"/>
      <c r="E3480" s="38" t="str">
        <f>IFERROR(AVERAGEIFS('Picarro Output'!G:G, 'Picarro Output'!$B:$B, 'Uncalibrated Data'!$C3480, 'Picarro Output'!$I:$I, 0, 'Picarro Output'!$J:$J, 1), "")</f>
        <v/>
      </c>
    </row>
    <row r="3481" spans="2:5" x14ac:dyDescent="0.2">
      <c r="B3481" s="1"/>
      <c r="E3481" s="38" t="str">
        <f>IFERROR(AVERAGEIFS('Picarro Output'!G:G, 'Picarro Output'!$B:$B, 'Uncalibrated Data'!$C3481, 'Picarro Output'!$I:$I, 0, 'Picarro Output'!$J:$J, 1), "")</f>
        <v/>
      </c>
    </row>
    <row r="3482" spans="2:5" x14ac:dyDescent="0.2">
      <c r="B3482" s="1"/>
      <c r="E3482" s="38" t="str">
        <f>IFERROR(AVERAGEIFS('Picarro Output'!G:G, 'Picarro Output'!$B:$B, 'Uncalibrated Data'!$C3482, 'Picarro Output'!$I:$I, 0, 'Picarro Output'!$J:$J, 1), "")</f>
        <v/>
      </c>
    </row>
    <row r="3483" spans="2:5" x14ac:dyDescent="0.2">
      <c r="B3483" s="1"/>
      <c r="E3483" s="38" t="str">
        <f>IFERROR(AVERAGEIFS('Picarro Output'!G:G, 'Picarro Output'!$B:$B, 'Uncalibrated Data'!$C3483, 'Picarro Output'!$I:$I, 0, 'Picarro Output'!$J:$J, 1), "")</f>
        <v/>
      </c>
    </row>
    <row r="3484" spans="2:5" x14ac:dyDescent="0.2">
      <c r="B3484" s="1"/>
      <c r="E3484" s="38" t="str">
        <f>IFERROR(AVERAGEIFS('Picarro Output'!G:G, 'Picarro Output'!$B:$B, 'Uncalibrated Data'!$C3484, 'Picarro Output'!$I:$I, 0, 'Picarro Output'!$J:$J, 1), "")</f>
        <v/>
      </c>
    </row>
    <row r="3485" spans="2:5" x14ac:dyDescent="0.2">
      <c r="B3485" s="1"/>
      <c r="E3485" s="38" t="str">
        <f>IFERROR(AVERAGEIFS('Picarro Output'!G:G, 'Picarro Output'!$B:$B, 'Uncalibrated Data'!$C3485, 'Picarro Output'!$I:$I, 0, 'Picarro Output'!$J:$J, 1), "")</f>
        <v/>
      </c>
    </row>
    <row r="3486" spans="2:5" x14ac:dyDescent="0.2">
      <c r="B3486" s="1"/>
      <c r="E3486" s="38" t="str">
        <f>IFERROR(AVERAGEIFS('Picarro Output'!G:G, 'Picarro Output'!$B:$B, 'Uncalibrated Data'!$C3486, 'Picarro Output'!$I:$I, 0, 'Picarro Output'!$J:$J, 1), "")</f>
        <v/>
      </c>
    </row>
    <row r="3487" spans="2:5" x14ac:dyDescent="0.2">
      <c r="B3487" s="1"/>
      <c r="E3487" s="38" t="str">
        <f>IFERROR(AVERAGEIFS('Picarro Output'!G:G, 'Picarro Output'!$B:$B, 'Uncalibrated Data'!$C3487, 'Picarro Output'!$I:$I, 0, 'Picarro Output'!$J:$J, 1), "")</f>
        <v/>
      </c>
    </row>
    <row r="3488" spans="2:5" x14ac:dyDescent="0.2">
      <c r="B3488" s="1"/>
      <c r="E3488" s="38" t="str">
        <f>IFERROR(AVERAGEIFS('Picarro Output'!G:G, 'Picarro Output'!$B:$B, 'Uncalibrated Data'!$C3488, 'Picarro Output'!$I:$I, 0, 'Picarro Output'!$J:$J, 1), "")</f>
        <v/>
      </c>
    </row>
    <row r="3489" spans="2:5" x14ac:dyDescent="0.2">
      <c r="B3489" s="1"/>
      <c r="E3489" s="38" t="str">
        <f>IFERROR(AVERAGEIFS('Picarro Output'!G:G, 'Picarro Output'!$B:$B, 'Uncalibrated Data'!$C3489, 'Picarro Output'!$I:$I, 0, 'Picarro Output'!$J:$J, 1), "")</f>
        <v/>
      </c>
    </row>
    <row r="3490" spans="2:5" x14ac:dyDescent="0.2">
      <c r="B3490" s="1"/>
      <c r="E3490" s="38" t="str">
        <f>IFERROR(AVERAGEIFS('Picarro Output'!G:G, 'Picarro Output'!$B:$B, 'Uncalibrated Data'!$C3490, 'Picarro Output'!$I:$I, 0, 'Picarro Output'!$J:$J, 1), "")</f>
        <v/>
      </c>
    </row>
    <row r="3491" spans="2:5" x14ac:dyDescent="0.2">
      <c r="B3491" s="1"/>
      <c r="E3491" s="38" t="str">
        <f>IFERROR(AVERAGEIFS('Picarro Output'!G:G, 'Picarro Output'!$B:$B, 'Uncalibrated Data'!$C3491, 'Picarro Output'!$I:$I, 0, 'Picarro Output'!$J:$J, 1), "")</f>
        <v/>
      </c>
    </row>
    <row r="3492" spans="2:5" x14ac:dyDescent="0.2">
      <c r="B3492" s="1"/>
      <c r="E3492" s="38" t="str">
        <f>IFERROR(AVERAGEIFS('Picarro Output'!G:G, 'Picarro Output'!$B:$B, 'Uncalibrated Data'!$C3492, 'Picarro Output'!$I:$I, 0, 'Picarro Output'!$J:$J, 1), "")</f>
        <v/>
      </c>
    </row>
    <row r="3493" spans="2:5" x14ac:dyDescent="0.2">
      <c r="B3493" s="1"/>
      <c r="E3493" s="38" t="str">
        <f>IFERROR(AVERAGEIFS('Picarro Output'!G:G, 'Picarro Output'!$B:$B, 'Uncalibrated Data'!$C3493, 'Picarro Output'!$I:$I, 0, 'Picarro Output'!$J:$J, 1), "")</f>
        <v/>
      </c>
    </row>
    <row r="3494" spans="2:5" x14ac:dyDescent="0.2">
      <c r="B3494" s="1"/>
      <c r="E3494" s="38" t="str">
        <f>IFERROR(AVERAGEIFS('Picarro Output'!G:G, 'Picarro Output'!$B:$B, 'Uncalibrated Data'!$C3494, 'Picarro Output'!$I:$I, 0, 'Picarro Output'!$J:$J, 1), "")</f>
        <v/>
      </c>
    </row>
    <row r="3495" spans="2:5" x14ac:dyDescent="0.2">
      <c r="B3495" s="1"/>
      <c r="E3495" s="38" t="str">
        <f>IFERROR(AVERAGEIFS('Picarro Output'!G:G, 'Picarro Output'!$B:$B, 'Uncalibrated Data'!$C3495, 'Picarro Output'!$I:$I, 0, 'Picarro Output'!$J:$J, 1), "")</f>
        <v/>
      </c>
    </row>
    <row r="3496" spans="2:5" x14ac:dyDescent="0.2">
      <c r="B3496" s="1"/>
      <c r="E3496" s="38" t="str">
        <f>IFERROR(AVERAGEIFS('Picarro Output'!G:G, 'Picarro Output'!$B:$B, 'Uncalibrated Data'!$C3496, 'Picarro Output'!$I:$I, 0, 'Picarro Output'!$J:$J, 1), "")</f>
        <v/>
      </c>
    </row>
    <row r="3497" spans="2:5" x14ac:dyDescent="0.2">
      <c r="B3497" s="1"/>
      <c r="E3497" s="38" t="str">
        <f>IFERROR(AVERAGEIFS('Picarro Output'!G:G, 'Picarro Output'!$B:$B, 'Uncalibrated Data'!$C3497, 'Picarro Output'!$I:$I, 0, 'Picarro Output'!$J:$J, 1), "")</f>
        <v/>
      </c>
    </row>
    <row r="3498" spans="2:5" x14ac:dyDescent="0.2">
      <c r="B3498" s="1"/>
      <c r="E3498" s="38" t="str">
        <f>IFERROR(AVERAGEIFS('Picarro Output'!G:G, 'Picarro Output'!$B:$B, 'Uncalibrated Data'!$C3498, 'Picarro Output'!$I:$I, 0, 'Picarro Output'!$J:$J, 1), "")</f>
        <v/>
      </c>
    </row>
    <row r="3499" spans="2:5" x14ac:dyDescent="0.2">
      <c r="B3499" s="1"/>
      <c r="E3499" s="38" t="str">
        <f>IFERROR(AVERAGEIFS('Picarro Output'!G:G, 'Picarro Output'!$B:$B, 'Uncalibrated Data'!$C3499, 'Picarro Output'!$I:$I, 0, 'Picarro Output'!$J:$J, 1), "")</f>
        <v/>
      </c>
    </row>
    <row r="3500" spans="2:5" x14ac:dyDescent="0.2">
      <c r="B3500" s="1"/>
      <c r="E3500" s="38" t="str">
        <f>IFERROR(AVERAGEIFS('Picarro Output'!G:G, 'Picarro Output'!$B:$B, 'Uncalibrated Data'!$C3500, 'Picarro Output'!$I:$I, 0, 'Picarro Output'!$J:$J, 1), "")</f>
        <v/>
      </c>
    </row>
    <row r="3501" spans="2:5" x14ac:dyDescent="0.2">
      <c r="B3501" s="1"/>
      <c r="E3501" s="38" t="str">
        <f>IFERROR(AVERAGEIFS('Picarro Output'!G:G, 'Picarro Output'!$B:$B, 'Uncalibrated Data'!$C3501, 'Picarro Output'!$I:$I, 0, 'Picarro Output'!$J:$J, 1), "")</f>
        <v/>
      </c>
    </row>
    <row r="3502" spans="2:5" x14ac:dyDescent="0.2">
      <c r="B3502" s="1"/>
      <c r="E3502" s="38" t="str">
        <f>IFERROR(AVERAGEIFS('Picarro Output'!G:G, 'Picarro Output'!$B:$B, 'Uncalibrated Data'!$C3502, 'Picarro Output'!$I:$I, 0, 'Picarro Output'!$J:$J, 1), "")</f>
        <v/>
      </c>
    </row>
    <row r="3503" spans="2:5" x14ac:dyDescent="0.2">
      <c r="B3503" s="1"/>
      <c r="E3503" s="38" t="str">
        <f>IFERROR(AVERAGEIFS('Picarro Output'!G:G, 'Picarro Output'!$B:$B, 'Uncalibrated Data'!$C3503, 'Picarro Output'!$I:$I, 0, 'Picarro Output'!$J:$J, 1), "")</f>
        <v/>
      </c>
    </row>
    <row r="3504" spans="2:5" x14ac:dyDescent="0.2">
      <c r="B3504" s="1"/>
      <c r="E3504" s="38" t="str">
        <f>IFERROR(AVERAGEIFS('Picarro Output'!G:G, 'Picarro Output'!$B:$B, 'Uncalibrated Data'!$C3504, 'Picarro Output'!$I:$I, 0, 'Picarro Output'!$J:$J, 1), "")</f>
        <v/>
      </c>
    </row>
    <row r="3505" spans="2:5" x14ac:dyDescent="0.2">
      <c r="B3505" s="1"/>
      <c r="E3505" s="38" t="str">
        <f>IFERROR(AVERAGEIFS('Picarro Output'!G:G, 'Picarro Output'!$B:$B, 'Uncalibrated Data'!$C3505, 'Picarro Output'!$I:$I, 0, 'Picarro Output'!$J:$J, 1), "")</f>
        <v/>
      </c>
    </row>
    <row r="3506" spans="2:5" x14ac:dyDescent="0.2">
      <c r="B3506" s="1"/>
      <c r="E3506" s="38" t="str">
        <f>IFERROR(AVERAGEIFS('Picarro Output'!G:G, 'Picarro Output'!$B:$B, 'Uncalibrated Data'!$C3506, 'Picarro Output'!$I:$I, 0, 'Picarro Output'!$J:$J, 1), "")</f>
        <v/>
      </c>
    </row>
    <row r="3507" spans="2:5" x14ac:dyDescent="0.2">
      <c r="B3507" s="1"/>
      <c r="E3507" s="38" t="str">
        <f>IFERROR(AVERAGEIFS('Picarro Output'!G:G, 'Picarro Output'!$B:$B, 'Uncalibrated Data'!$C3507, 'Picarro Output'!$I:$I, 0, 'Picarro Output'!$J:$J, 1), "")</f>
        <v/>
      </c>
    </row>
    <row r="3508" spans="2:5" x14ac:dyDescent="0.2">
      <c r="B3508" s="1"/>
      <c r="E3508" s="38" t="str">
        <f>IFERROR(AVERAGEIFS('Picarro Output'!G:G, 'Picarro Output'!$B:$B, 'Uncalibrated Data'!$C3508, 'Picarro Output'!$I:$I, 0, 'Picarro Output'!$J:$J, 1), "")</f>
        <v/>
      </c>
    </row>
    <row r="3509" spans="2:5" x14ac:dyDescent="0.2">
      <c r="B3509" s="1"/>
      <c r="E3509" s="38" t="str">
        <f>IFERROR(AVERAGEIFS('Picarro Output'!G:G, 'Picarro Output'!$B:$B, 'Uncalibrated Data'!$C3509, 'Picarro Output'!$I:$I, 0, 'Picarro Output'!$J:$J, 1), "")</f>
        <v/>
      </c>
    </row>
    <row r="3510" spans="2:5" x14ac:dyDescent="0.2">
      <c r="B3510" s="1"/>
      <c r="E3510" s="38" t="str">
        <f>IFERROR(AVERAGEIFS('Picarro Output'!G:G, 'Picarro Output'!$B:$B, 'Uncalibrated Data'!$C3510, 'Picarro Output'!$I:$I, 0, 'Picarro Output'!$J:$J, 1), "")</f>
        <v/>
      </c>
    </row>
    <row r="3511" spans="2:5" x14ac:dyDescent="0.2">
      <c r="B3511" s="1"/>
      <c r="E3511" s="38" t="str">
        <f>IFERROR(AVERAGEIFS('Picarro Output'!G:G, 'Picarro Output'!$B:$B, 'Uncalibrated Data'!$C3511, 'Picarro Output'!$I:$I, 0, 'Picarro Output'!$J:$J, 1), "")</f>
        <v/>
      </c>
    </row>
    <row r="3512" spans="2:5" x14ac:dyDescent="0.2">
      <c r="B3512" s="1"/>
      <c r="E3512" s="38" t="str">
        <f>IFERROR(AVERAGEIFS('Picarro Output'!G:G, 'Picarro Output'!$B:$B, 'Uncalibrated Data'!$C3512, 'Picarro Output'!$I:$I, 0, 'Picarro Output'!$J:$J, 1), "")</f>
        <v/>
      </c>
    </row>
    <row r="3513" spans="2:5" x14ac:dyDescent="0.2">
      <c r="B3513" s="1"/>
      <c r="E3513" s="38" t="str">
        <f>IFERROR(AVERAGEIFS('Picarro Output'!G:G, 'Picarro Output'!$B:$B, 'Uncalibrated Data'!$C3513, 'Picarro Output'!$I:$I, 0, 'Picarro Output'!$J:$J, 1), "")</f>
        <v/>
      </c>
    </row>
    <row r="3514" spans="2:5" x14ac:dyDescent="0.2">
      <c r="B3514" s="1"/>
      <c r="E3514" s="38" t="str">
        <f>IFERROR(AVERAGEIFS('Picarro Output'!G:G, 'Picarro Output'!$B:$B, 'Uncalibrated Data'!$C3514, 'Picarro Output'!$I:$I, 0, 'Picarro Output'!$J:$J, 1), "")</f>
        <v/>
      </c>
    </row>
    <row r="3515" spans="2:5" x14ac:dyDescent="0.2">
      <c r="B3515" s="1"/>
      <c r="E3515" s="38" t="str">
        <f>IFERROR(AVERAGEIFS('Picarro Output'!G:G, 'Picarro Output'!$B:$B, 'Uncalibrated Data'!$C3515, 'Picarro Output'!$I:$I, 0, 'Picarro Output'!$J:$J, 1), "")</f>
        <v/>
      </c>
    </row>
    <row r="3516" spans="2:5" x14ac:dyDescent="0.2">
      <c r="B3516" s="1"/>
      <c r="E3516" s="38" t="str">
        <f>IFERROR(AVERAGEIFS('Picarro Output'!G:G, 'Picarro Output'!$B:$B, 'Uncalibrated Data'!$C3516, 'Picarro Output'!$I:$I, 0, 'Picarro Output'!$J:$J, 1), "")</f>
        <v/>
      </c>
    </row>
    <row r="3517" spans="2:5" x14ac:dyDescent="0.2">
      <c r="B3517" s="1"/>
      <c r="E3517" s="38" t="str">
        <f>IFERROR(AVERAGEIFS('Picarro Output'!G:G, 'Picarro Output'!$B:$B, 'Uncalibrated Data'!$C3517, 'Picarro Output'!$I:$I, 0, 'Picarro Output'!$J:$J, 1), "")</f>
        <v/>
      </c>
    </row>
    <row r="3518" spans="2:5" x14ac:dyDescent="0.2">
      <c r="B3518" s="1"/>
      <c r="E3518" s="38" t="str">
        <f>IFERROR(AVERAGEIFS('Picarro Output'!G:G, 'Picarro Output'!$B:$B, 'Uncalibrated Data'!$C3518, 'Picarro Output'!$I:$I, 0, 'Picarro Output'!$J:$J, 1), "")</f>
        <v/>
      </c>
    </row>
    <row r="3519" spans="2:5" x14ac:dyDescent="0.2">
      <c r="B3519" s="1"/>
      <c r="E3519" s="38" t="str">
        <f>IFERROR(AVERAGEIFS('Picarro Output'!G:G, 'Picarro Output'!$B:$B, 'Uncalibrated Data'!$C3519, 'Picarro Output'!$I:$I, 0, 'Picarro Output'!$J:$J, 1), "")</f>
        <v/>
      </c>
    </row>
    <row r="3520" spans="2:5" x14ac:dyDescent="0.2">
      <c r="B3520" s="1"/>
      <c r="E3520" s="38" t="str">
        <f>IFERROR(AVERAGEIFS('Picarro Output'!G:G, 'Picarro Output'!$B:$B, 'Uncalibrated Data'!$C3520, 'Picarro Output'!$I:$I, 0, 'Picarro Output'!$J:$J, 1), "")</f>
        <v/>
      </c>
    </row>
    <row r="3521" spans="2:5" x14ac:dyDescent="0.2">
      <c r="B3521" s="1"/>
      <c r="E3521" s="38" t="str">
        <f>IFERROR(AVERAGEIFS('Picarro Output'!G:G, 'Picarro Output'!$B:$B, 'Uncalibrated Data'!$C3521, 'Picarro Output'!$I:$I, 0, 'Picarro Output'!$J:$J, 1), "")</f>
        <v/>
      </c>
    </row>
    <row r="3522" spans="2:5" x14ac:dyDescent="0.2">
      <c r="B3522" s="1"/>
      <c r="E3522" s="38" t="str">
        <f>IFERROR(AVERAGEIFS('Picarro Output'!G:G, 'Picarro Output'!$B:$B, 'Uncalibrated Data'!$C3522, 'Picarro Output'!$I:$I, 0, 'Picarro Output'!$J:$J, 1), "")</f>
        <v/>
      </c>
    </row>
    <row r="3523" spans="2:5" x14ac:dyDescent="0.2">
      <c r="B3523" s="1"/>
      <c r="E3523" s="38" t="str">
        <f>IFERROR(AVERAGEIFS('Picarro Output'!G:G, 'Picarro Output'!$B:$B, 'Uncalibrated Data'!$C3523, 'Picarro Output'!$I:$I, 0, 'Picarro Output'!$J:$J, 1), "")</f>
        <v/>
      </c>
    </row>
    <row r="3524" spans="2:5" x14ac:dyDescent="0.2">
      <c r="B3524" s="1"/>
      <c r="E3524" s="38" t="str">
        <f>IFERROR(AVERAGEIFS('Picarro Output'!G:G, 'Picarro Output'!$B:$B, 'Uncalibrated Data'!$C3524, 'Picarro Output'!$I:$I, 0, 'Picarro Output'!$J:$J, 1), "")</f>
        <v/>
      </c>
    </row>
    <row r="3525" spans="2:5" x14ac:dyDescent="0.2">
      <c r="B3525" s="1"/>
      <c r="E3525" s="38" t="str">
        <f>IFERROR(AVERAGEIFS('Picarro Output'!G:G, 'Picarro Output'!$B:$B, 'Uncalibrated Data'!$C3525, 'Picarro Output'!$I:$I, 0, 'Picarro Output'!$J:$J, 1), "")</f>
        <v/>
      </c>
    </row>
    <row r="3526" spans="2:5" x14ac:dyDescent="0.2">
      <c r="B3526" s="1"/>
      <c r="E3526" s="38" t="str">
        <f>IFERROR(AVERAGEIFS('Picarro Output'!G:G, 'Picarro Output'!$B:$B, 'Uncalibrated Data'!$C3526, 'Picarro Output'!$I:$I, 0, 'Picarro Output'!$J:$J, 1), "")</f>
        <v/>
      </c>
    </row>
    <row r="3527" spans="2:5" x14ac:dyDescent="0.2">
      <c r="B3527" s="1"/>
      <c r="E3527" s="38" t="str">
        <f>IFERROR(AVERAGEIFS('Picarro Output'!G:G, 'Picarro Output'!$B:$B, 'Uncalibrated Data'!$C3527, 'Picarro Output'!$I:$I, 0, 'Picarro Output'!$J:$J, 1), "")</f>
        <v/>
      </c>
    </row>
    <row r="3528" spans="2:5" x14ac:dyDescent="0.2">
      <c r="B3528" s="1"/>
      <c r="E3528" s="38" t="str">
        <f>IFERROR(AVERAGEIFS('Picarro Output'!G:G, 'Picarro Output'!$B:$B, 'Uncalibrated Data'!$C3528, 'Picarro Output'!$I:$I, 0, 'Picarro Output'!$J:$J, 1), "")</f>
        <v/>
      </c>
    </row>
    <row r="3529" spans="2:5" x14ac:dyDescent="0.2">
      <c r="B3529" s="1"/>
      <c r="E3529" s="38" t="str">
        <f>IFERROR(AVERAGEIFS('Picarro Output'!G:G, 'Picarro Output'!$B:$B, 'Uncalibrated Data'!$C3529, 'Picarro Output'!$I:$I, 0, 'Picarro Output'!$J:$J, 1), "")</f>
        <v/>
      </c>
    </row>
    <row r="3530" spans="2:5" x14ac:dyDescent="0.2">
      <c r="B3530" s="1"/>
      <c r="E3530" s="38" t="str">
        <f>IFERROR(AVERAGEIFS('Picarro Output'!G:G, 'Picarro Output'!$B:$B, 'Uncalibrated Data'!$C3530, 'Picarro Output'!$I:$I, 0, 'Picarro Output'!$J:$J, 1), "")</f>
        <v/>
      </c>
    </row>
    <row r="3531" spans="2:5" x14ac:dyDescent="0.2">
      <c r="B3531" s="1"/>
      <c r="E3531" s="38" t="str">
        <f>IFERROR(AVERAGEIFS('Picarro Output'!G:G, 'Picarro Output'!$B:$B, 'Uncalibrated Data'!$C3531, 'Picarro Output'!$I:$I, 0, 'Picarro Output'!$J:$J, 1), "")</f>
        <v/>
      </c>
    </row>
    <row r="3532" spans="2:5" x14ac:dyDescent="0.2">
      <c r="B3532" s="1"/>
      <c r="E3532" s="38" t="str">
        <f>IFERROR(AVERAGEIFS('Picarro Output'!G:G, 'Picarro Output'!$B:$B, 'Uncalibrated Data'!$C3532, 'Picarro Output'!$I:$I, 0, 'Picarro Output'!$J:$J, 1), "")</f>
        <v/>
      </c>
    </row>
    <row r="3533" spans="2:5" x14ac:dyDescent="0.2">
      <c r="B3533" s="1"/>
      <c r="E3533" s="38" t="str">
        <f>IFERROR(AVERAGEIFS('Picarro Output'!G:G, 'Picarro Output'!$B:$B, 'Uncalibrated Data'!$C3533, 'Picarro Output'!$I:$I, 0, 'Picarro Output'!$J:$J, 1), "")</f>
        <v/>
      </c>
    </row>
    <row r="3534" spans="2:5" x14ac:dyDescent="0.2">
      <c r="B3534" s="1"/>
      <c r="E3534" s="38" t="str">
        <f>IFERROR(AVERAGEIFS('Picarro Output'!G:G, 'Picarro Output'!$B:$B, 'Uncalibrated Data'!$C3534, 'Picarro Output'!$I:$I, 0, 'Picarro Output'!$J:$J, 1), "")</f>
        <v/>
      </c>
    </row>
    <row r="3535" spans="2:5" x14ac:dyDescent="0.2">
      <c r="B3535" s="1"/>
      <c r="E3535" s="38" t="str">
        <f>IFERROR(AVERAGEIFS('Picarro Output'!G:G, 'Picarro Output'!$B:$B, 'Uncalibrated Data'!$C3535, 'Picarro Output'!$I:$I, 0, 'Picarro Output'!$J:$J, 1), "")</f>
        <v/>
      </c>
    </row>
    <row r="3536" spans="2:5" x14ac:dyDescent="0.2">
      <c r="B3536" s="1"/>
      <c r="E3536" s="38" t="str">
        <f>IFERROR(AVERAGEIFS('Picarro Output'!G:G, 'Picarro Output'!$B:$B, 'Uncalibrated Data'!$C3536, 'Picarro Output'!$I:$I, 0, 'Picarro Output'!$J:$J, 1), "")</f>
        <v/>
      </c>
    </row>
    <row r="3537" spans="2:5" x14ac:dyDescent="0.2">
      <c r="B3537" s="1"/>
      <c r="E3537" s="38" t="str">
        <f>IFERROR(AVERAGEIFS('Picarro Output'!G:G, 'Picarro Output'!$B:$B, 'Uncalibrated Data'!$C3537, 'Picarro Output'!$I:$I, 0, 'Picarro Output'!$J:$J, 1), "")</f>
        <v/>
      </c>
    </row>
    <row r="3538" spans="2:5" x14ac:dyDescent="0.2">
      <c r="B3538" s="1"/>
      <c r="E3538" s="38" t="str">
        <f>IFERROR(AVERAGEIFS('Picarro Output'!G:G, 'Picarro Output'!$B:$B, 'Uncalibrated Data'!$C3538, 'Picarro Output'!$I:$I, 0, 'Picarro Output'!$J:$J, 1), "")</f>
        <v/>
      </c>
    </row>
    <row r="3539" spans="2:5" x14ac:dyDescent="0.2">
      <c r="B3539" s="1"/>
      <c r="E3539" s="38" t="str">
        <f>IFERROR(AVERAGEIFS('Picarro Output'!G:G, 'Picarro Output'!$B:$B, 'Uncalibrated Data'!$C3539, 'Picarro Output'!$I:$I, 0, 'Picarro Output'!$J:$J, 1), "")</f>
        <v/>
      </c>
    </row>
    <row r="3540" spans="2:5" x14ac:dyDescent="0.2">
      <c r="B3540" s="1"/>
      <c r="E3540" s="38" t="str">
        <f>IFERROR(AVERAGEIFS('Picarro Output'!G:G, 'Picarro Output'!$B:$B, 'Uncalibrated Data'!$C3540, 'Picarro Output'!$I:$I, 0, 'Picarro Output'!$J:$J, 1), "")</f>
        <v/>
      </c>
    </row>
    <row r="3541" spans="2:5" x14ac:dyDescent="0.2">
      <c r="B3541" s="1"/>
      <c r="E3541" s="38" t="str">
        <f>IFERROR(AVERAGEIFS('Picarro Output'!G:G, 'Picarro Output'!$B:$B, 'Uncalibrated Data'!$C3541, 'Picarro Output'!$I:$I, 0, 'Picarro Output'!$J:$J, 1), "")</f>
        <v/>
      </c>
    </row>
    <row r="3542" spans="2:5" x14ac:dyDescent="0.2">
      <c r="B3542" s="1"/>
      <c r="E3542" s="38" t="str">
        <f>IFERROR(AVERAGEIFS('Picarro Output'!G:G, 'Picarro Output'!$B:$B, 'Uncalibrated Data'!$C3542, 'Picarro Output'!$I:$I, 0, 'Picarro Output'!$J:$J, 1), "")</f>
        <v/>
      </c>
    </row>
    <row r="3543" spans="2:5" x14ac:dyDescent="0.2">
      <c r="B3543" s="1"/>
      <c r="E3543" s="38" t="str">
        <f>IFERROR(AVERAGEIFS('Picarro Output'!G:G, 'Picarro Output'!$B:$B, 'Uncalibrated Data'!$C3543, 'Picarro Output'!$I:$I, 0, 'Picarro Output'!$J:$J, 1), "")</f>
        <v/>
      </c>
    </row>
    <row r="3544" spans="2:5" x14ac:dyDescent="0.2">
      <c r="B3544" s="1"/>
      <c r="E3544" s="38" t="str">
        <f>IFERROR(AVERAGEIFS('Picarro Output'!G:G, 'Picarro Output'!$B:$B, 'Uncalibrated Data'!$C3544, 'Picarro Output'!$I:$I, 0, 'Picarro Output'!$J:$J, 1), "")</f>
        <v/>
      </c>
    </row>
    <row r="3545" spans="2:5" x14ac:dyDescent="0.2">
      <c r="B3545" s="1"/>
      <c r="E3545" s="38" t="str">
        <f>IFERROR(AVERAGEIFS('Picarro Output'!G:G, 'Picarro Output'!$B:$B, 'Uncalibrated Data'!$C3545, 'Picarro Output'!$I:$I, 0, 'Picarro Output'!$J:$J, 1), "")</f>
        <v/>
      </c>
    </row>
    <row r="3546" spans="2:5" x14ac:dyDescent="0.2">
      <c r="B3546" s="1"/>
      <c r="E3546" s="38" t="str">
        <f>IFERROR(AVERAGEIFS('Picarro Output'!G:G, 'Picarro Output'!$B:$B, 'Uncalibrated Data'!$C3546, 'Picarro Output'!$I:$I, 0, 'Picarro Output'!$J:$J, 1), "")</f>
        <v/>
      </c>
    </row>
    <row r="3547" spans="2:5" x14ac:dyDescent="0.2">
      <c r="B3547" s="1"/>
      <c r="E3547" s="38" t="str">
        <f>IFERROR(AVERAGEIFS('Picarro Output'!G:G, 'Picarro Output'!$B:$B, 'Uncalibrated Data'!$C3547, 'Picarro Output'!$I:$I, 0, 'Picarro Output'!$J:$J, 1), "")</f>
        <v/>
      </c>
    </row>
    <row r="3548" spans="2:5" x14ac:dyDescent="0.2">
      <c r="B3548" s="1"/>
      <c r="E3548" s="38" t="str">
        <f>IFERROR(AVERAGEIFS('Picarro Output'!G:G, 'Picarro Output'!$B:$B, 'Uncalibrated Data'!$C3548, 'Picarro Output'!$I:$I, 0, 'Picarro Output'!$J:$J, 1), "")</f>
        <v/>
      </c>
    </row>
    <row r="3549" spans="2:5" x14ac:dyDescent="0.2">
      <c r="B3549" s="1"/>
      <c r="E3549" s="38" t="str">
        <f>IFERROR(AVERAGEIFS('Picarro Output'!G:G, 'Picarro Output'!$B:$B, 'Uncalibrated Data'!$C3549, 'Picarro Output'!$I:$I, 0, 'Picarro Output'!$J:$J, 1), "")</f>
        <v/>
      </c>
    </row>
    <row r="3550" spans="2:5" x14ac:dyDescent="0.2">
      <c r="B3550" s="1"/>
      <c r="E3550" s="38" t="str">
        <f>IFERROR(AVERAGEIFS('Picarro Output'!G:G, 'Picarro Output'!$B:$B, 'Uncalibrated Data'!$C3550, 'Picarro Output'!$I:$I, 0, 'Picarro Output'!$J:$J, 1), "")</f>
        <v/>
      </c>
    </row>
    <row r="3551" spans="2:5" x14ac:dyDescent="0.2">
      <c r="B3551" s="1"/>
      <c r="E3551" s="38" t="str">
        <f>IFERROR(AVERAGEIFS('Picarro Output'!G:G, 'Picarro Output'!$B:$B, 'Uncalibrated Data'!$C3551, 'Picarro Output'!$I:$I, 0, 'Picarro Output'!$J:$J, 1), "")</f>
        <v/>
      </c>
    </row>
    <row r="3552" spans="2:5" x14ac:dyDescent="0.2">
      <c r="B3552" s="1"/>
      <c r="E3552" s="38" t="str">
        <f>IFERROR(AVERAGEIFS('Picarro Output'!G:G, 'Picarro Output'!$B:$B, 'Uncalibrated Data'!$C3552, 'Picarro Output'!$I:$I, 0, 'Picarro Output'!$J:$J, 1), "")</f>
        <v/>
      </c>
    </row>
    <row r="3553" spans="2:5" x14ac:dyDescent="0.2">
      <c r="B3553" s="1"/>
      <c r="E3553" s="38" t="str">
        <f>IFERROR(AVERAGEIFS('Picarro Output'!G:G, 'Picarro Output'!$B:$B, 'Uncalibrated Data'!$C3553, 'Picarro Output'!$I:$I, 0, 'Picarro Output'!$J:$J, 1), "")</f>
        <v/>
      </c>
    </row>
    <row r="3554" spans="2:5" x14ac:dyDescent="0.2">
      <c r="B3554" s="1"/>
      <c r="E3554" s="38" t="str">
        <f>IFERROR(AVERAGEIFS('Picarro Output'!G:G, 'Picarro Output'!$B:$B, 'Uncalibrated Data'!$C3554, 'Picarro Output'!$I:$I, 0, 'Picarro Output'!$J:$J, 1), "")</f>
        <v/>
      </c>
    </row>
    <row r="3555" spans="2:5" x14ac:dyDescent="0.2">
      <c r="B3555" s="1"/>
      <c r="E3555" s="38" t="str">
        <f>IFERROR(AVERAGEIFS('Picarro Output'!G:G, 'Picarro Output'!$B:$B, 'Uncalibrated Data'!$C3555, 'Picarro Output'!$I:$I, 0, 'Picarro Output'!$J:$J, 1), "")</f>
        <v/>
      </c>
    </row>
    <row r="3556" spans="2:5" x14ac:dyDescent="0.2">
      <c r="B3556" s="1"/>
      <c r="E3556" s="38" t="str">
        <f>IFERROR(AVERAGEIFS('Picarro Output'!G:G, 'Picarro Output'!$B:$B, 'Uncalibrated Data'!$C3556, 'Picarro Output'!$I:$I, 0, 'Picarro Output'!$J:$J, 1), "")</f>
        <v/>
      </c>
    </row>
    <row r="3557" spans="2:5" x14ac:dyDescent="0.2">
      <c r="B3557" s="1"/>
      <c r="E3557" s="38" t="str">
        <f>IFERROR(AVERAGEIFS('Picarro Output'!G:G, 'Picarro Output'!$B:$B, 'Uncalibrated Data'!$C3557, 'Picarro Output'!$I:$I, 0, 'Picarro Output'!$J:$J, 1), "")</f>
        <v/>
      </c>
    </row>
    <row r="3558" spans="2:5" x14ac:dyDescent="0.2">
      <c r="B3558" s="1"/>
      <c r="E3558" s="38" t="str">
        <f>IFERROR(AVERAGEIFS('Picarro Output'!G:G, 'Picarro Output'!$B:$B, 'Uncalibrated Data'!$C3558, 'Picarro Output'!$I:$I, 0, 'Picarro Output'!$J:$J, 1), "")</f>
        <v/>
      </c>
    </row>
    <row r="3559" spans="2:5" x14ac:dyDescent="0.2">
      <c r="B3559" s="1"/>
      <c r="E3559" s="38" t="str">
        <f>IFERROR(AVERAGEIFS('Picarro Output'!G:G, 'Picarro Output'!$B:$B, 'Uncalibrated Data'!$C3559, 'Picarro Output'!$I:$I, 0, 'Picarro Output'!$J:$J, 1), "")</f>
        <v/>
      </c>
    </row>
    <row r="3560" spans="2:5" x14ac:dyDescent="0.2">
      <c r="B3560" s="1"/>
      <c r="E3560" s="38" t="str">
        <f>IFERROR(AVERAGEIFS('Picarro Output'!G:G, 'Picarro Output'!$B:$B, 'Uncalibrated Data'!$C3560, 'Picarro Output'!$I:$I, 0, 'Picarro Output'!$J:$J, 1), "")</f>
        <v/>
      </c>
    </row>
    <row r="3561" spans="2:5" x14ac:dyDescent="0.2">
      <c r="B3561" s="1"/>
      <c r="E3561" s="38" t="str">
        <f>IFERROR(AVERAGEIFS('Picarro Output'!G:G, 'Picarro Output'!$B:$B, 'Uncalibrated Data'!$C3561, 'Picarro Output'!$I:$I, 0, 'Picarro Output'!$J:$J, 1), "")</f>
        <v/>
      </c>
    </row>
    <row r="3562" spans="2:5" x14ac:dyDescent="0.2">
      <c r="B3562" s="1"/>
      <c r="E3562" s="38" t="str">
        <f>IFERROR(AVERAGEIFS('Picarro Output'!G:G, 'Picarro Output'!$B:$B, 'Uncalibrated Data'!$C3562, 'Picarro Output'!$I:$I, 0, 'Picarro Output'!$J:$J, 1), "")</f>
        <v/>
      </c>
    </row>
    <row r="3563" spans="2:5" x14ac:dyDescent="0.2">
      <c r="B3563" s="1"/>
      <c r="E3563" s="38" t="str">
        <f>IFERROR(AVERAGEIFS('Picarro Output'!G:G, 'Picarro Output'!$B:$B, 'Uncalibrated Data'!$C3563, 'Picarro Output'!$I:$I, 0, 'Picarro Output'!$J:$J, 1), "")</f>
        <v/>
      </c>
    </row>
    <row r="3564" spans="2:5" x14ac:dyDescent="0.2">
      <c r="B3564" s="1"/>
      <c r="E3564" s="38" t="str">
        <f>IFERROR(AVERAGEIFS('Picarro Output'!G:G, 'Picarro Output'!$B:$B, 'Uncalibrated Data'!$C3564, 'Picarro Output'!$I:$I, 0, 'Picarro Output'!$J:$J, 1), "")</f>
        <v/>
      </c>
    </row>
    <row r="3565" spans="2:5" x14ac:dyDescent="0.2">
      <c r="B3565" s="1"/>
      <c r="E3565" s="38" t="str">
        <f>IFERROR(AVERAGEIFS('Picarro Output'!G:G, 'Picarro Output'!$B:$B, 'Uncalibrated Data'!$C3565, 'Picarro Output'!$I:$I, 0, 'Picarro Output'!$J:$J, 1), "")</f>
        <v/>
      </c>
    </row>
    <row r="3566" spans="2:5" x14ac:dyDescent="0.2">
      <c r="B3566" s="1"/>
      <c r="E3566" s="38" t="str">
        <f>IFERROR(AVERAGEIFS('Picarro Output'!G:G, 'Picarro Output'!$B:$B, 'Uncalibrated Data'!$C3566, 'Picarro Output'!$I:$I, 0, 'Picarro Output'!$J:$J, 1), "")</f>
        <v/>
      </c>
    </row>
    <row r="3567" spans="2:5" x14ac:dyDescent="0.2">
      <c r="B3567" s="1"/>
      <c r="E3567" s="38" t="str">
        <f>IFERROR(AVERAGEIFS('Picarro Output'!G:G, 'Picarro Output'!$B:$B, 'Uncalibrated Data'!$C3567, 'Picarro Output'!$I:$I, 0, 'Picarro Output'!$J:$J, 1), "")</f>
        <v/>
      </c>
    </row>
    <row r="3568" spans="2:5" x14ac:dyDescent="0.2">
      <c r="B3568" s="1"/>
      <c r="E3568" s="38" t="str">
        <f>IFERROR(AVERAGEIFS('Picarro Output'!G:G, 'Picarro Output'!$B:$B, 'Uncalibrated Data'!$C3568, 'Picarro Output'!$I:$I, 0, 'Picarro Output'!$J:$J, 1), "")</f>
        <v/>
      </c>
    </row>
    <row r="3569" spans="2:5" x14ac:dyDescent="0.2">
      <c r="B3569" s="1"/>
      <c r="E3569" s="38" t="str">
        <f>IFERROR(AVERAGEIFS('Picarro Output'!G:G, 'Picarro Output'!$B:$B, 'Uncalibrated Data'!$C3569, 'Picarro Output'!$I:$I, 0, 'Picarro Output'!$J:$J, 1), "")</f>
        <v/>
      </c>
    </row>
    <row r="3570" spans="2:5" x14ac:dyDescent="0.2">
      <c r="B3570" s="1"/>
      <c r="E3570" s="38" t="str">
        <f>IFERROR(AVERAGEIFS('Picarro Output'!G:G, 'Picarro Output'!$B:$B, 'Uncalibrated Data'!$C3570, 'Picarro Output'!$I:$I, 0, 'Picarro Output'!$J:$J, 1), "")</f>
        <v/>
      </c>
    </row>
    <row r="3571" spans="2:5" x14ac:dyDescent="0.2">
      <c r="B3571" s="1"/>
      <c r="E3571" s="38" t="str">
        <f>IFERROR(AVERAGEIFS('Picarro Output'!G:G, 'Picarro Output'!$B:$B, 'Uncalibrated Data'!$C3571, 'Picarro Output'!$I:$I, 0, 'Picarro Output'!$J:$J, 1), "")</f>
        <v/>
      </c>
    </row>
    <row r="3572" spans="2:5" x14ac:dyDescent="0.2">
      <c r="B3572" s="1"/>
      <c r="E3572" s="38" t="str">
        <f>IFERROR(AVERAGEIFS('Picarro Output'!G:G, 'Picarro Output'!$B:$B, 'Uncalibrated Data'!$C3572, 'Picarro Output'!$I:$I, 0, 'Picarro Output'!$J:$J, 1), "")</f>
        <v/>
      </c>
    </row>
    <row r="3573" spans="2:5" x14ac:dyDescent="0.2">
      <c r="B3573" s="1"/>
      <c r="E3573" s="38" t="str">
        <f>IFERROR(AVERAGEIFS('Picarro Output'!G:G, 'Picarro Output'!$B:$B, 'Uncalibrated Data'!$C3573, 'Picarro Output'!$I:$I, 0, 'Picarro Output'!$J:$J, 1), "")</f>
        <v/>
      </c>
    </row>
    <row r="3574" spans="2:5" x14ac:dyDescent="0.2">
      <c r="B3574" s="1"/>
      <c r="E3574" s="38" t="str">
        <f>IFERROR(AVERAGEIFS('Picarro Output'!G:G, 'Picarro Output'!$B:$B, 'Uncalibrated Data'!$C3574, 'Picarro Output'!$I:$I, 0, 'Picarro Output'!$J:$J, 1), "")</f>
        <v/>
      </c>
    </row>
    <row r="3575" spans="2:5" x14ac:dyDescent="0.2">
      <c r="B3575" s="1"/>
      <c r="E3575" s="38" t="str">
        <f>IFERROR(AVERAGEIFS('Picarro Output'!G:G, 'Picarro Output'!$B:$B, 'Uncalibrated Data'!$C3575, 'Picarro Output'!$I:$I, 0, 'Picarro Output'!$J:$J, 1), "")</f>
        <v/>
      </c>
    </row>
    <row r="3576" spans="2:5" x14ac:dyDescent="0.2">
      <c r="B3576" s="1"/>
      <c r="E3576" s="38" t="str">
        <f>IFERROR(AVERAGEIFS('Picarro Output'!G:G, 'Picarro Output'!$B:$B, 'Uncalibrated Data'!$C3576, 'Picarro Output'!$I:$I, 0, 'Picarro Output'!$J:$J, 1), "")</f>
        <v/>
      </c>
    </row>
    <row r="3577" spans="2:5" x14ac:dyDescent="0.2">
      <c r="B3577" s="1"/>
      <c r="E3577" s="38" t="str">
        <f>IFERROR(AVERAGEIFS('Picarro Output'!G:G, 'Picarro Output'!$B:$B, 'Uncalibrated Data'!$C3577, 'Picarro Output'!$I:$I, 0, 'Picarro Output'!$J:$J, 1), "")</f>
        <v/>
      </c>
    </row>
    <row r="3578" spans="2:5" x14ac:dyDescent="0.2">
      <c r="B3578" s="1"/>
      <c r="E3578" s="38" t="str">
        <f>IFERROR(AVERAGEIFS('Picarro Output'!G:G, 'Picarro Output'!$B:$B, 'Uncalibrated Data'!$C3578, 'Picarro Output'!$I:$I, 0, 'Picarro Output'!$J:$J, 1), "")</f>
        <v/>
      </c>
    </row>
    <row r="3579" spans="2:5" x14ac:dyDescent="0.2">
      <c r="B3579" s="1"/>
      <c r="E3579" s="38" t="str">
        <f>IFERROR(AVERAGEIFS('Picarro Output'!G:G, 'Picarro Output'!$B:$B, 'Uncalibrated Data'!$C3579, 'Picarro Output'!$I:$I, 0, 'Picarro Output'!$J:$J, 1), "")</f>
        <v/>
      </c>
    </row>
    <row r="3580" spans="2:5" x14ac:dyDescent="0.2">
      <c r="B3580" s="1"/>
      <c r="E3580" s="38" t="str">
        <f>IFERROR(AVERAGEIFS('Picarro Output'!G:G, 'Picarro Output'!$B:$B, 'Uncalibrated Data'!$C3580, 'Picarro Output'!$I:$I, 0, 'Picarro Output'!$J:$J, 1), "")</f>
        <v/>
      </c>
    </row>
    <row r="3581" spans="2:5" x14ac:dyDescent="0.2">
      <c r="B3581" s="1"/>
      <c r="E3581" s="38" t="str">
        <f>IFERROR(AVERAGEIFS('Picarro Output'!G:G, 'Picarro Output'!$B:$B, 'Uncalibrated Data'!$C3581, 'Picarro Output'!$I:$I, 0, 'Picarro Output'!$J:$J, 1), "")</f>
        <v/>
      </c>
    </row>
    <row r="3582" spans="2:5" x14ac:dyDescent="0.2">
      <c r="B3582" s="1"/>
      <c r="E3582" s="38" t="str">
        <f>IFERROR(AVERAGEIFS('Picarro Output'!G:G, 'Picarro Output'!$B:$B, 'Uncalibrated Data'!$C3582, 'Picarro Output'!$I:$I, 0, 'Picarro Output'!$J:$J, 1), "")</f>
        <v/>
      </c>
    </row>
    <row r="3583" spans="2:5" x14ac:dyDescent="0.2">
      <c r="B3583" s="1"/>
      <c r="E3583" s="38" t="str">
        <f>IFERROR(AVERAGEIFS('Picarro Output'!G:G, 'Picarro Output'!$B:$B, 'Uncalibrated Data'!$C3583, 'Picarro Output'!$I:$I, 0, 'Picarro Output'!$J:$J, 1), "")</f>
        <v/>
      </c>
    </row>
    <row r="3584" spans="2:5" x14ac:dyDescent="0.2">
      <c r="B3584" s="1"/>
      <c r="E3584" s="38" t="str">
        <f>IFERROR(AVERAGEIFS('Picarro Output'!G:G, 'Picarro Output'!$B:$B, 'Uncalibrated Data'!$C3584, 'Picarro Output'!$I:$I, 0, 'Picarro Output'!$J:$J, 1), "")</f>
        <v/>
      </c>
    </row>
    <row r="3585" spans="2:5" x14ac:dyDescent="0.2">
      <c r="B3585" s="1"/>
      <c r="E3585" s="38" t="str">
        <f>IFERROR(AVERAGEIFS('Picarro Output'!G:G, 'Picarro Output'!$B:$B, 'Uncalibrated Data'!$C3585, 'Picarro Output'!$I:$I, 0, 'Picarro Output'!$J:$J, 1), "")</f>
        <v/>
      </c>
    </row>
    <row r="3586" spans="2:5" x14ac:dyDescent="0.2">
      <c r="B3586" s="1"/>
      <c r="E3586" s="38" t="str">
        <f>IFERROR(AVERAGEIFS('Picarro Output'!G:G, 'Picarro Output'!$B:$B, 'Uncalibrated Data'!$C3586, 'Picarro Output'!$I:$I, 0, 'Picarro Output'!$J:$J, 1), "")</f>
        <v/>
      </c>
    </row>
    <row r="3587" spans="2:5" x14ac:dyDescent="0.2">
      <c r="B3587" s="1"/>
      <c r="E3587" s="38" t="str">
        <f>IFERROR(AVERAGEIFS('Picarro Output'!G:G, 'Picarro Output'!$B:$B, 'Uncalibrated Data'!$C3587, 'Picarro Output'!$I:$I, 0, 'Picarro Output'!$J:$J, 1), "")</f>
        <v/>
      </c>
    </row>
    <row r="3588" spans="2:5" x14ac:dyDescent="0.2">
      <c r="B3588" s="1"/>
      <c r="E3588" s="38" t="str">
        <f>IFERROR(AVERAGEIFS('Picarro Output'!G:G, 'Picarro Output'!$B:$B, 'Uncalibrated Data'!$C3588, 'Picarro Output'!$I:$I, 0, 'Picarro Output'!$J:$J, 1), "")</f>
        <v/>
      </c>
    </row>
    <row r="3589" spans="2:5" x14ac:dyDescent="0.2">
      <c r="B3589" s="1"/>
      <c r="E3589" s="38" t="str">
        <f>IFERROR(AVERAGEIFS('Picarro Output'!G:G, 'Picarro Output'!$B:$B, 'Uncalibrated Data'!$C3589, 'Picarro Output'!$I:$I, 0, 'Picarro Output'!$J:$J, 1), "")</f>
        <v/>
      </c>
    </row>
    <row r="3590" spans="2:5" x14ac:dyDescent="0.2">
      <c r="B3590" s="1"/>
      <c r="E3590" s="38" t="str">
        <f>IFERROR(AVERAGEIFS('Picarro Output'!G:G, 'Picarro Output'!$B:$B, 'Uncalibrated Data'!$C3590, 'Picarro Output'!$I:$I, 0, 'Picarro Output'!$J:$J, 1), "")</f>
        <v/>
      </c>
    </row>
    <row r="3591" spans="2:5" x14ac:dyDescent="0.2">
      <c r="B3591" s="1"/>
      <c r="E3591" s="38" t="str">
        <f>IFERROR(AVERAGEIFS('Picarro Output'!G:G, 'Picarro Output'!$B:$B, 'Uncalibrated Data'!$C3591, 'Picarro Output'!$I:$I, 0, 'Picarro Output'!$J:$J, 1), "")</f>
        <v/>
      </c>
    </row>
    <row r="3592" spans="2:5" x14ac:dyDescent="0.2">
      <c r="B3592" s="1"/>
      <c r="E3592" s="38" t="str">
        <f>IFERROR(AVERAGEIFS('Picarro Output'!G:G, 'Picarro Output'!$B:$B, 'Uncalibrated Data'!$C3592, 'Picarro Output'!$I:$I, 0, 'Picarro Output'!$J:$J, 1), "")</f>
        <v/>
      </c>
    </row>
    <row r="3593" spans="2:5" x14ac:dyDescent="0.2">
      <c r="B3593" s="1"/>
      <c r="E3593" s="38" t="str">
        <f>IFERROR(AVERAGEIFS('Picarro Output'!G:G, 'Picarro Output'!$B:$B, 'Uncalibrated Data'!$C3593, 'Picarro Output'!$I:$I, 0, 'Picarro Output'!$J:$J, 1), "")</f>
        <v/>
      </c>
    </row>
    <row r="3594" spans="2:5" x14ac:dyDescent="0.2">
      <c r="B3594" s="1"/>
      <c r="E3594" s="38" t="str">
        <f>IFERROR(AVERAGEIFS('Picarro Output'!G:G, 'Picarro Output'!$B:$B, 'Uncalibrated Data'!$C3594, 'Picarro Output'!$I:$I, 0, 'Picarro Output'!$J:$J, 1), "")</f>
        <v/>
      </c>
    </row>
    <row r="3595" spans="2:5" x14ac:dyDescent="0.2">
      <c r="B3595" s="1"/>
      <c r="E3595" s="38" t="str">
        <f>IFERROR(AVERAGEIFS('Picarro Output'!G:G, 'Picarro Output'!$B:$B, 'Uncalibrated Data'!$C3595, 'Picarro Output'!$I:$I, 0, 'Picarro Output'!$J:$J, 1), "")</f>
        <v/>
      </c>
    </row>
    <row r="3596" spans="2:5" x14ac:dyDescent="0.2">
      <c r="B3596" s="1"/>
      <c r="E3596" s="38" t="str">
        <f>IFERROR(AVERAGEIFS('Picarro Output'!G:G, 'Picarro Output'!$B:$B, 'Uncalibrated Data'!$C3596, 'Picarro Output'!$I:$I, 0, 'Picarro Output'!$J:$J, 1), "")</f>
        <v/>
      </c>
    </row>
    <row r="3597" spans="2:5" x14ac:dyDescent="0.2">
      <c r="B3597" s="1"/>
      <c r="E3597" s="38" t="str">
        <f>IFERROR(AVERAGEIFS('Picarro Output'!G:G, 'Picarro Output'!$B:$B, 'Uncalibrated Data'!$C3597, 'Picarro Output'!$I:$I, 0, 'Picarro Output'!$J:$J, 1), "")</f>
        <v/>
      </c>
    </row>
    <row r="3598" spans="2:5" x14ac:dyDescent="0.2">
      <c r="B3598" s="1"/>
      <c r="E3598" s="38" t="str">
        <f>IFERROR(AVERAGEIFS('Picarro Output'!G:G, 'Picarro Output'!$B:$B, 'Uncalibrated Data'!$C3598, 'Picarro Output'!$I:$I, 0, 'Picarro Output'!$J:$J, 1), "")</f>
        <v/>
      </c>
    </row>
    <row r="3599" spans="2:5" x14ac:dyDescent="0.2">
      <c r="B3599" s="1"/>
      <c r="E3599" s="38" t="str">
        <f>IFERROR(AVERAGEIFS('Picarro Output'!G:G, 'Picarro Output'!$B:$B, 'Uncalibrated Data'!$C3599, 'Picarro Output'!$I:$I, 0, 'Picarro Output'!$J:$J, 1), "")</f>
        <v/>
      </c>
    </row>
    <row r="3600" spans="2:5" x14ac:dyDescent="0.2">
      <c r="B3600" s="1"/>
      <c r="E3600" s="38" t="str">
        <f>IFERROR(AVERAGEIFS('Picarro Output'!G:G, 'Picarro Output'!$B:$B, 'Uncalibrated Data'!$C3600, 'Picarro Output'!$I:$I, 0, 'Picarro Output'!$J:$J, 1), "")</f>
        <v/>
      </c>
    </row>
    <row r="3601" spans="2:5" x14ac:dyDescent="0.2">
      <c r="B3601" s="1"/>
      <c r="E3601" s="38" t="str">
        <f>IFERROR(AVERAGEIFS('Picarro Output'!G:G, 'Picarro Output'!$B:$B, 'Uncalibrated Data'!$C3601, 'Picarro Output'!$I:$I, 0, 'Picarro Output'!$J:$J, 1), "")</f>
        <v/>
      </c>
    </row>
    <row r="3602" spans="2:5" x14ac:dyDescent="0.2">
      <c r="B3602" s="1"/>
      <c r="E3602" s="38" t="str">
        <f>IFERROR(AVERAGEIFS('Picarro Output'!G:G, 'Picarro Output'!$B:$B, 'Uncalibrated Data'!$C3602, 'Picarro Output'!$I:$I, 0, 'Picarro Output'!$J:$J, 1), "")</f>
        <v/>
      </c>
    </row>
    <row r="3603" spans="2:5" x14ac:dyDescent="0.2">
      <c r="B3603" s="1"/>
      <c r="E3603" s="38" t="str">
        <f>IFERROR(AVERAGEIFS('Picarro Output'!G:G, 'Picarro Output'!$B:$B, 'Uncalibrated Data'!$C3603, 'Picarro Output'!$I:$I, 0, 'Picarro Output'!$J:$J, 1), "")</f>
        <v/>
      </c>
    </row>
    <row r="3604" spans="2:5" x14ac:dyDescent="0.2">
      <c r="B3604" s="1"/>
      <c r="E3604" s="38" t="str">
        <f>IFERROR(AVERAGEIFS('Picarro Output'!G:G, 'Picarro Output'!$B:$B, 'Uncalibrated Data'!$C3604, 'Picarro Output'!$I:$I, 0, 'Picarro Output'!$J:$J, 1), "")</f>
        <v/>
      </c>
    </row>
    <row r="3605" spans="2:5" x14ac:dyDescent="0.2">
      <c r="B3605" s="1"/>
      <c r="E3605" s="38" t="str">
        <f>IFERROR(AVERAGEIFS('Picarro Output'!G:G, 'Picarro Output'!$B:$B, 'Uncalibrated Data'!$C3605, 'Picarro Output'!$I:$I, 0, 'Picarro Output'!$J:$J, 1), "")</f>
        <v/>
      </c>
    </row>
    <row r="3606" spans="2:5" x14ac:dyDescent="0.2">
      <c r="B3606" s="1"/>
      <c r="E3606" s="38" t="str">
        <f>IFERROR(AVERAGEIFS('Picarro Output'!G:G, 'Picarro Output'!$B:$B, 'Uncalibrated Data'!$C3606, 'Picarro Output'!$I:$I, 0, 'Picarro Output'!$J:$J, 1), "")</f>
        <v/>
      </c>
    </row>
    <row r="3607" spans="2:5" x14ac:dyDescent="0.2">
      <c r="B3607" s="1"/>
      <c r="E3607" s="38" t="str">
        <f>IFERROR(AVERAGEIFS('Picarro Output'!G:G, 'Picarro Output'!$B:$B, 'Uncalibrated Data'!$C3607, 'Picarro Output'!$I:$I, 0, 'Picarro Output'!$J:$J, 1), "")</f>
        <v/>
      </c>
    </row>
    <row r="3608" spans="2:5" x14ac:dyDescent="0.2">
      <c r="B3608" s="1"/>
      <c r="E3608" s="38" t="str">
        <f>IFERROR(AVERAGEIFS('Picarro Output'!G:G, 'Picarro Output'!$B:$B, 'Uncalibrated Data'!$C3608, 'Picarro Output'!$I:$I, 0, 'Picarro Output'!$J:$J, 1), "")</f>
        <v/>
      </c>
    </row>
    <row r="3609" spans="2:5" x14ac:dyDescent="0.2">
      <c r="B3609" s="1"/>
      <c r="E3609" s="38" t="str">
        <f>IFERROR(AVERAGEIFS('Picarro Output'!G:G, 'Picarro Output'!$B:$B, 'Uncalibrated Data'!$C3609, 'Picarro Output'!$I:$I, 0, 'Picarro Output'!$J:$J, 1), "")</f>
        <v/>
      </c>
    </row>
    <row r="3610" spans="2:5" x14ac:dyDescent="0.2">
      <c r="B3610" s="1"/>
      <c r="E3610" s="38" t="str">
        <f>IFERROR(AVERAGEIFS('Picarro Output'!G:G, 'Picarro Output'!$B:$B, 'Uncalibrated Data'!$C3610, 'Picarro Output'!$I:$I, 0, 'Picarro Output'!$J:$J, 1), "")</f>
        <v/>
      </c>
    </row>
    <row r="3611" spans="2:5" x14ac:dyDescent="0.2">
      <c r="B3611" s="1"/>
      <c r="E3611" s="38" t="str">
        <f>IFERROR(AVERAGEIFS('Picarro Output'!G:G, 'Picarro Output'!$B:$B, 'Uncalibrated Data'!$C3611, 'Picarro Output'!$I:$I, 0, 'Picarro Output'!$J:$J, 1), "")</f>
        <v/>
      </c>
    </row>
    <row r="3612" spans="2:5" x14ac:dyDescent="0.2">
      <c r="B3612" s="1"/>
      <c r="E3612" s="38" t="str">
        <f>IFERROR(AVERAGEIFS('Picarro Output'!G:G, 'Picarro Output'!$B:$B, 'Uncalibrated Data'!$C3612, 'Picarro Output'!$I:$I, 0, 'Picarro Output'!$J:$J, 1), "")</f>
        <v/>
      </c>
    </row>
    <row r="3613" spans="2:5" x14ac:dyDescent="0.2">
      <c r="B3613" s="1"/>
      <c r="E3613" s="38" t="str">
        <f>IFERROR(AVERAGEIFS('Picarro Output'!G:G, 'Picarro Output'!$B:$B, 'Uncalibrated Data'!$C3613, 'Picarro Output'!$I:$I, 0, 'Picarro Output'!$J:$J, 1), "")</f>
        <v/>
      </c>
    </row>
    <row r="3614" spans="2:5" x14ac:dyDescent="0.2">
      <c r="B3614" s="1"/>
      <c r="E3614" s="38" t="str">
        <f>IFERROR(AVERAGEIFS('Picarro Output'!G:G, 'Picarro Output'!$B:$B, 'Uncalibrated Data'!$C3614, 'Picarro Output'!$I:$I, 0, 'Picarro Output'!$J:$J, 1), "")</f>
        <v/>
      </c>
    </row>
    <row r="3615" spans="2:5" x14ac:dyDescent="0.2">
      <c r="B3615" s="1"/>
      <c r="E3615" s="38" t="str">
        <f>IFERROR(AVERAGEIFS('Picarro Output'!G:G, 'Picarro Output'!$B:$B, 'Uncalibrated Data'!$C3615, 'Picarro Output'!$I:$I, 0, 'Picarro Output'!$J:$J, 1), "")</f>
        <v/>
      </c>
    </row>
    <row r="3616" spans="2:5" x14ac:dyDescent="0.2">
      <c r="B3616" s="1"/>
      <c r="E3616" s="38" t="str">
        <f>IFERROR(AVERAGEIFS('Picarro Output'!G:G, 'Picarro Output'!$B:$B, 'Uncalibrated Data'!$C3616, 'Picarro Output'!$I:$I, 0, 'Picarro Output'!$J:$J, 1), "")</f>
        <v/>
      </c>
    </row>
    <row r="3617" spans="2:5" x14ac:dyDescent="0.2">
      <c r="B3617" s="1"/>
      <c r="E3617" s="38" t="str">
        <f>IFERROR(AVERAGEIFS('Picarro Output'!G:G, 'Picarro Output'!$B:$B, 'Uncalibrated Data'!$C3617, 'Picarro Output'!$I:$I, 0, 'Picarro Output'!$J:$J, 1), "")</f>
        <v/>
      </c>
    </row>
    <row r="3618" spans="2:5" x14ac:dyDescent="0.2">
      <c r="B3618" s="1"/>
      <c r="E3618" s="38" t="str">
        <f>IFERROR(AVERAGEIFS('Picarro Output'!G:G, 'Picarro Output'!$B:$B, 'Uncalibrated Data'!$C3618, 'Picarro Output'!$I:$I, 0, 'Picarro Output'!$J:$J, 1), "")</f>
        <v/>
      </c>
    </row>
    <row r="3619" spans="2:5" x14ac:dyDescent="0.2">
      <c r="B3619" s="1"/>
      <c r="E3619" s="38" t="str">
        <f>IFERROR(AVERAGEIFS('Picarro Output'!G:G, 'Picarro Output'!$B:$B, 'Uncalibrated Data'!$C3619, 'Picarro Output'!$I:$I, 0, 'Picarro Output'!$J:$J, 1), "")</f>
        <v/>
      </c>
    </row>
    <row r="3620" spans="2:5" x14ac:dyDescent="0.2">
      <c r="B3620" s="1"/>
      <c r="E3620" s="38" t="str">
        <f>IFERROR(AVERAGEIFS('Picarro Output'!G:G, 'Picarro Output'!$B:$B, 'Uncalibrated Data'!$C3620, 'Picarro Output'!$I:$I, 0, 'Picarro Output'!$J:$J, 1), "")</f>
        <v/>
      </c>
    </row>
    <row r="3621" spans="2:5" x14ac:dyDescent="0.2">
      <c r="B3621" s="1"/>
      <c r="E3621" s="38" t="str">
        <f>IFERROR(AVERAGEIFS('Picarro Output'!G:G, 'Picarro Output'!$B:$B, 'Uncalibrated Data'!$C3621, 'Picarro Output'!$I:$I, 0, 'Picarro Output'!$J:$J, 1), "")</f>
        <v/>
      </c>
    </row>
    <row r="3622" spans="2:5" x14ac:dyDescent="0.2">
      <c r="B3622" s="1"/>
      <c r="E3622" s="38" t="str">
        <f>IFERROR(AVERAGEIFS('Picarro Output'!G:G, 'Picarro Output'!$B:$B, 'Uncalibrated Data'!$C3622, 'Picarro Output'!$I:$I, 0, 'Picarro Output'!$J:$J, 1), "")</f>
        <v/>
      </c>
    </row>
    <row r="3623" spans="2:5" x14ac:dyDescent="0.2">
      <c r="B3623" s="1"/>
      <c r="E3623" s="38" t="str">
        <f>IFERROR(AVERAGEIFS('Picarro Output'!G:G, 'Picarro Output'!$B:$B, 'Uncalibrated Data'!$C3623, 'Picarro Output'!$I:$I, 0, 'Picarro Output'!$J:$J, 1), "")</f>
        <v/>
      </c>
    </row>
    <row r="3624" spans="2:5" x14ac:dyDescent="0.2">
      <c r="B3624" s="1"/>
      <c r="E3624" s="38" t="str">
        <f>IFERROR(AVERAGEIFS('Picarro Output'!G:G, 'Picarro Output'!$B:$B, 'Uncalibrated Data'!$C3624, 'Picarro Output'!$I:$I, 0, 'Picarro Output'!$J:$J, 1), "")</f>
        <v/>
      </c>
    </row>
    <row r="3625" spans="2:5" x14ac:dyDescent="0.2">
      <c r="B3625" s="1"/>
      <c r="E3625" s="38" t="str">
        <f>IFERROR(AVERAGEIFS('Picarro Output'!G:G, 'Picarro Output'!$B:$B, 'Uncalibrated Data'!$C3625, 'Picarro Output'!$I:$I, 0, 'Picarro Output'!$J:$J, 1), "")</f>
        <v/>
      </c>
    </row>
    <row r="3626" spans="2:5" x14ac:dyDescent="0.2">
      <c r="B3626" s="1"/>
      <c r="E3626" s="38" t="str">
        <f>IFERROR(AVERAGEIFS('Picarro Output'!G:G, 'Picarro Output'!$B:$B, 'Uncalibrated Data'!$C3626, 'Picarro Output'!$I:$I, 0, 'Picarro Output'!$J:$J, 1), "")</f>
        <v/>
      </c>
    </row>
    <row r="3627" spans="2:5" x14ac:dyDescent="0.2">
      <c r="B3627" s="1"/>
      <c r="E3627" s="38" t="str">
        <f>IFERROR(AVERAGEIFS('Picarro Output'!G:G, 'Picarro Output'!$B:$B, 'Uncalibrated Data'!$C3627, 'Picarro Output'!$I:$I, 0, 'Picarro Output'!$J:$J, 1), "")</f>
        <v/>
      </c>
    </row>
    <row r="3628" spans="2:5" x14ac:dyDescent="0.2">
      <c r="B3628" s="1"/>
      <c r="E3628" s="38" t="str">
        <f>IFERROR(AVERAGEIFS('Picarro Output'!G:G, 'Picarro Output'!$B:$B, 'Uncalibrated Data'!$C3628, 'Picarro Output'!$I:$I, 0, 'Picarro Output'!$J:$J, 1), "")</f>
        <v/>
      </c>
    </row>
    <row r="3629" spans="2:5" x14ac:dyDescent="0.2">
      <c r="B3629" s="1"/>
      <c r="E3629" s="38" t="str">
        <f>IFERROR(AVERAGEIFS('Picarro Output'!G:G, 'Picarro Output'!$B:$B, 'Uncalibrated Data'!$C3629, 'Picarro Output'!$I:$I, 0, 'Picarro Output'!$J:$J, 1), "")</f>
        <v/>
      </c>
    </row>
    <row r="3630" spans="2:5" x14ac:dyDescent="0.2">
      <c r="B3630" s="1"/>
      <c r="E3630" s="38" t="str">
        <f>IFERROR(AVERAGEIFS('Picarro Output'!G:G, 'Picarro Output'!$B:$B, 'Uncalibrated Data'!$C3630, 'Picarro Output'!$I:$I, 0, 'Picarro Output'!$J:$J, 1), "")</f>
        <v/>
      </c>
    </row>
    <row r="3631" spans="2:5" x14ac:dyDescent="0.2">
      <c r="B3631" s="1"/>
      <c r="E3631" s="38" t="str">
        <f>IFERROR(AVERAGEIFS('Picarro Output'!G:G, 'Picarro Output'!$B:$B, 'Uncalibrated Data'!$C3631, 'Picarro Output'!$I:$I, 0, 'Picarro Output'!$J:$J, 1), "")</f>
        <v/>
      </c>
    </row>
    <row r="3632" spans="2:5" x14ac:dyDescent="0.2">
      <c r="B3632" s="1"/>
      <c r="E3632" s="38" t="str">
        <f>IFERROR(AVERAGEIFS('Picarro Output'!G:G, 'Picarro Output'!$B:$B, 'Uncalibrated Data'!$C3632, 'Picarro Output'!$I:$I, 0, 'Picarro Output'!$J:$J, 1), "")</f>
        <v/>
      </c>
    </row>
    <row r="3633" spans="2:5" x14ac:dyDescent="0.2">
      <c r="B3633" s="1"/>
      <c r="E3633" s="38" t="str">
        <f>IFERROR(AVERAGEIFS('Picarro Output'!G:G, 'Picarro Output'!$B:$B, 'Uncalibrated Data'!$C3633, 'Picarro Output'!$I:$I, 0, 'Picarro Output'!$J:$J, 1), "")</f>
        <v/>
      </c>
    </row>
    <row r="3634" spans="2:5" x14ac:dyDescent="0.2">
      <c r="B3634" s="1"/>
      <c r="E3634" s="38" t="str">
        <f>IFERROR(AVERAGEIFS('Picarro Output'!G:G, 'Picarro Output'!$B:$B, 'Uncalibrated Data'!$C3634, 'Picarro Output'!$I:$I, 0, 'Picarro Output'!$J:$J, 1), "")</f>
        <v/>
      </c>
    </row>
    <row r="3635" spans="2:5" x14ac:dyDescent="0.2">
      <c r="B3635" s="1"/>
      <c r="E3635" s="38" t="str">
        <f>IFERROR(AVERAGEIFS('Picarro Output'!G:G, 'Picarro Output'!$B:$B, 'Uncalibrated Data'!$C3635, 'Picarro Output'!$I:$I, 0, 'Picarro Output'!$J:$J, 1), "")</f>
        <v/>
      </c>
    </row>
    <row r="3636" spans="2:5" x14ac:dyDescent="0.2">
      <c r="B3636" s="1"/>
      <c r="E3636" s="38" t="str">
        <f>IFERROR(AVERAGEIFS('Picarro Output'!G:G, 'Picarro Output'!$B:$B, 'Uncalibrated Data'!$C3636, 'Picarro Output'!$I:$I, 0, 'Picarro Output'!$J:$J, 1), "")</f>
        <v/>
      </c>
    </row>
    <row r="3637" spans="2:5" x14ac:dyDescent="0.2">
      <c r="B3637" s="1"/>
      <c r="E3637" s="38" t="str">
        <f>IFERROR(AVERAGEIFS('Picarro Output'!G:G, 'Picarro Output'!$B:$B, 'Uncalibrated Data'!$C3637, 'Picarro Output'!$I:$I, 0, 'Picarro Output'!$J:$J, 1), "")</f>
        <v/>
      </c>
    </row>
    <row r="3638" spans="2:5" x14ac:dyDescent="0.2">
      <c r="B3638" s="1"/>
      <c r="E3638" s="38" t="str">
        <f>IFERROR(AVERAGEIFS('Picarro Output'!G:G, 'Picarro Output'!$B:$B, 'Uncalibrated Data'!$C3638, 'Picarro Output'!$I:$I, 0, 'Picarro Output'!$J:$J, 1), "")</f>
        <v/>
      </c>
    </row>
    <row r="3639" spans="2:5" x14ac:dyDescent="0.2">
      <c r="B3639" s="1"/>
      <c r="E3639" s="38" t="str">
        <f>IFERROR(AVERAGEIFS('Picarro Output'!G:G, 'Picarro Output'!$B:$B, 'Uncalibrated Data'!$C3639, 'Picarro Output'!$I:$I, 0, 'Picarro Output'!$J:$J, 1), "")</f>
        <v/>
      </c>
    </row>
    <row r="3640" spans="2:5" x14ac:dyDescent="0.2">
      <c r="B3640" s="1"/>
      <c r="E3640" s="38" t="str">
        <f>IFERROR(AVERAGEIFS('Picarro Output'!G:G, 'Picarro Output'!$B:$B, 'Uncalibrated Data'!$C3640, 'Picarro Output'!$I:$I, 0, 'Picarro Output'!$J:$J, 1), "")</f>
        <v/>
      </c>
    </row>
    <row r="3641" spans="2:5" x14ac:dyDescent="0.2">
      <c r="B3641" s="1"/>
      <c r="E3641" s="38" t="str">
        <f>IFERROR(AVERAGEIFS('Picarro Output'!G:G, 'Picarro Output'!$B:$B, 'Uncalibrated Data'!$C3641, 'Picarro Output'!$I:$I, 0, 'Picarro Output'!$J:$J, 1), "")</f>
        <v/>
      </c>
    </row>
    <row r="3642" spans="2:5" x14ac:dyDescent="0.2">
      <c r="B3642" s="1"/>
      <c r="E3642" s="38" t="str">
        <f>IFERROR(AVERAGEIFS('Picarro Output'!G:G, 'Picarro Output'!$B:$B, 'Uncalibrated Data'!$C3642, 'Picarro Output'!$I:$I, 0, 'Picarro Output'!$J:$J, 1), "")</f>
        <v/>
      </c>
    </row>
    <row r="3643" spans="2:5" x14ac:dyDescent="0.2">
      <c r="B3643" s="1"/>
      <c r="E3643" s="38" t="str">
        <f>IFERROR(AVERAGEIFS('Picarro Output'!G:G, 'Picarro Output'!$B:$B, 'Uncalibrated Data'!$C3643, 'Picarro Output'!$I:$I, 0, 'Picarro Output'!$J:$J, 1), "")</f>
        <v/>
      </c>
    </row>
    <row r="3644" spans="2:5" x14ac:dyDescent="0.2">
      <c r="B3644" s="1"/>
      <c r="E3644" s="38" t="str">
        <f>IFERROR(AVERAGEIFS('Picarro Output'!G:G, 'Picarro Output'!$B:$B, 'Uncalibrated Data'!$C3644, 'Picarro Output'!$I:$I, 0, 'Picarro Output'!$J:$J, 1), "")</f>
        <v/>
      </c>
    </row>
    <row r="3645" spans="2:5" x14ac:dyDescent="0.2">
      <c r="B3645" s="1"/>
      <c r="E3645" s="38" t="str">
        <f>IFERROR(AVERAGEIFS('Picarro Output'!G:G, 'Picarro Output'!$B:$B, 'Uncalibrated Data'!$C3645, 'Picarro Output'!$I:$I, 0, 'Picarro Output'!$J:$J, 1), "")</f>
        <v/>
      </c>
    </row>
    <row r="3646" spans="2:5" x14ac:dyDescent="0.2">
      <c r="B3646" s="1"/>
      <c r="E3646" s="38" t="str">
        <f>IFERROR(AVERAGEIFS('Picarro Output'!G:G, 'Picarro Output'!$B:$B, 'Uncalibrated Data'!$C3646, 'Picarro Output'!$I:$I, 0, 'Picarro Output'!$J:$J, 1), "")</f>
        <v/>
      </c>
    </row>
    <row r="3647" spans="2:5" x14ac:dyDescent="0.2">
      <c r="B3647" s="1"/>
      <c r="E3647" s="38" t="str">
        <f>IFERROR(AVERAGEIFS('Picarro Output'!G:G, 'Picarro Output'!$B:$B, 'Uncalibrated Data'!$C3647, 'Picarro Output'!$I:$I, 0, 'Picarro Output'!$J:$J, 1), "")</f>
        <v/>
      </c>
    </row>
    <row r="3648" spans="2:5" x14ac:dyDescent="0.2">
      <c r="B3648" s="1"/>
      <c r="E3648" s="38" t="str">
        <f>IFERROR(AVERAGEIFS('Picarro Output'!G:G, 'Picarro Output'!$B:$B, 'Uncalibrated Data'!$C3648, 'Picarro Output'!$I:$I, 0, 'Picarro Output'!$J:$J, 1), "")</f>
        <v/>
      </c>
    </row>
    <row r="3649" spans="2:5" x14ac:dyDescent="0.2">
      <c r="B3649" s="1"/>
      <c r="E3649" s="38" t="str">
        <f>IFERROR(AVERAGEIFS('Picarro Output'!G:G, 'Picarro Output'!$B:$B, 'Uncalibrated Data'!$C3649, 'Picarro Output'!$I:$I, 0, 'Picarro Output'!$J:$J, 1), "")</f>
        <v/>
      </c>
    </row>
    <row r="3650" spans="2:5" x14ac:dyDescent="0.2">
      <c r="B3650" s="1"/>
      <c r="E3650" s="38" t="str">
        <f>IFERROR(AVERAGEIFS('Picarro Output'!G:G, 'Picarro Output'!$B:$B, 'Uncalibrated Data'!$C3650, 'Picarro Output'!$I:$I, 0, 'Picarro Output'!$J:$J, 1), "")</f>
        <v/>
      </c>
    </row>
    <row r="3651" spans="2:5" x14ac:dyDescent="0.2">
      <c r="B3651" s="1"/>
      <c r="E3651" s="38" t="str">
        <f>IFERROR(AVERAGEIFS('Picarro Output'!G:G, 'Picarro Output'!$B:$B, 'Uncalibrated Data'!$C3651, 'Picarro Output'!$I:$I, 0, 'Picarro Output'!$J:$J, 1), "")</f>
        <v/>
      </c>
    </row>
    <row r="3652" spans="2:5" x14ac:dyDescent="0.2">
      <c r="B3652" s="1"/>
      <c r="E3652" s="38" t="str">
        <f>IFERROR(AVERAGEIFS('Picarro Output'!G:G, 'Picarro Output'!$B:$B, 'Uncalibrated Data'!$C3652, 'Picarro Output'!$I:$I, 0, 'Picarro Output'!$J:$J, 1), "")</f>
        <v/>
      </c>
    </row>
    <row r="3653" spans="2:5" x14ac:dyDescent="0.2">
      <c r="B3653" s="1"/>
      <c r="E3653" s="38" t="str">
        <f>IFERROR(AVERAGEIFS('Picarro Output'!G:G, 'Picarro Output'!$B:$B, 'Uncalibrated Data'!$C3653, 'Picarro Output'!$I:$I, 0, 'Picarro Output'!$J:$J, 1), "")</f>
        <v/>
      </c>
    </row>
    <row r="3654" spans="2:5" x14ac:dyDescent="0.2">
      <c r="B3654" s="1"/>
      <c r="E3654" s="38" t="str">
        <f>IFERROR(AVERAGEIFS('Picarro Output'!G:G, 'Picarro Output'!$B:$B, 'Uncalibrated Data'!$C3654, 'Picarro Output'!$I:$I, 0, 'Picarro Output'!$J:$J, 1), "")</f>
        <v/>
      </c>
    </row>
    <row r="3655" spans="2:5" x14ac:dyDescent="0.2">
      <c r="B3655" s="1"/>
      <c r="E3655" s="38" t="str">
        <f>IFERROR(AVERAGEIFS('Picarro Output'!G:G, 'Picarro Output'!$B:$B, 'Uncalibrated Data'!$C3655, 'Picarro Output'!$I:$I, 0, 'Picarro Output'!$J:$J, 1), "")</f>
        <v/>
      </c>
    </row>
    <row r="3656" spans="2:5" x14ac:dyDescent="0.2">
      <c r="B3656" s="1"/>
      <c r="E3656" s="38" t="str">
        <f>IFERROR(AVERAGEIFS('Picarro Output'!G:G, 'Picarro Output'!$B:$B, 'Uncalibrated Data'!$C3656, 'Picarro Output'!$I:$I, 0, 'Picarro Output'!$J:$J, 1), "")</f>
        <v/>
      </c>
    </row>
    <row r="3657" spans="2:5" x14ac:dyDescent="0.2">
      <c r="B3657" s="1"/>
      <c r="E3657" s="38" t="str">
        <f>IFERROR(AVERAGEIFS('Picarro Output'!G:G, 'Picarro Output'!$B:$B, 'Uncalibrated Data'!$C3657, 'Picarro Output'!$I:$I, 0, 'Picarro Output'!$J:$J, 1), "")</f>
        <v/>
      </c>
    </row>
    <row r="3658" spans="2:5" x14ac:dyDescent="0.2">
      <c r="B3658" s="1"/>
      <c r="E3658" s="38" t="str">
        <f>IFERROR(AVERAGEIFS('Picarro Output'!G:G, 'Picarro Output'!$B:$B, 'Uncalibrated Data'!$C3658, 'Picarro Output'!$I:$I, 0, 'Picarro Output'!$J:$J, 1), "")</f>
        <v/>
      </c>
    </row>
    <row r="3659" spans="2:5" x14ac:dyDescent="0.2">
      <c r="B3659" s="1"/>
      <c r="E3659" s="38" t="str">
        <f>IFERROR(AVERAGEIFS('Picarro Output'!G:G, 'Picarro Output'!$B:$B, 'Uncalibrated Data'!$C3659, 'Picarro Output'!$I:$I, 0, 'Picarro Output'!$J:$J, 1), "")</f>
        <v/>
      </c>
    </row>
    <row r="3660" spans="2:5" x14ac:dyDescent="0.2">
      <c r="B3660" s="1"/>
      <c r="E3660" s="38" t="str">
        <f>IFERROR(AVERAGEIFS('Picarro Output'!G:G, 'Picarro Output'!$B:$B, 'Uncalibrated Data'!$C3660, 'Picarro Output'!$I:$I, 0, 'Picarro Output'!$J:$J, 1), "")</f>
        <v/>
      </c>
    </row>
    <row r="3661" spans="2:5" x14ac:dyDescent="0.2">
      <c r="B3661" s="1"/>
      <c r="E3661" s="38" t="str">
        <f>IFERROR(AVERAGEIFS('Picarro Output'!G:G, 'Picarro Output'!$B:$B, 'Uncalibrated Data'!$C3661, 'Picarro Output'!$I:$I, 0, 'Picarro Output'!$J:$J, 1), "")</f>
        <v/>
      </c>
    </row>
    <row r="3662" spans="2:5" x14ac:dyDescent="0.2">
      <c r="B3662" s="1"/>
      <c r="E3662" s="38" t="str">
        <f>IFERROR(AVERAGEIFS('Picarro Output'!G:G, 'Picarro Output'!$B:$B, 'Uncalibrated Data'!$C3662, 'Picarro Output'!$I:$I, 0, 'Picarro Output'!$J:$J, 1), "")</f>
        <v/>
      </c>
    </row>
    <row r="3663" spans="2:5" x14ac:dyDescent="0.2">
      <c r="B3663" s="1"/>
      <c r="E3663" s="38" t="str">
        <f>IFERROR(AVERAGEIFS('Picarro Output'!G:G, 'Picarro Output'!$B:$B, 'Uncalibrated Data'!$C3663, 'Picarro Output'!$I:$I, 0, 'Picarro Output'!$J:$J, 1), "")</f>
        <v/>
      </c>
    </row>
    <row r="3664" spans="2:5" x14ac:dyDescent="0.2">
      <c r="B3664" s="1"/>
      <c r="E3664" s="38" t="str">
        <f>IFERROR(AVERAGEIFS('Picarro Output'!G:G, 'Picarro Output'!$B:$B, 'Uncalibrated Data'!$C3664, 'Picarro Output'!$I:$I, 0, 'Picarro Output'!$J:$J, 1), "")</f>
        <v/>
      </c>
    </row>
    <row r="3665" spans="2:5" x14ac:dyDescent="0.2">
      <c r="B3665" s="1"/>
      <c r="E3665" s="38" t="str">
        <f>IFERROR(AVERAGEIFS('Picarro Output'!G:G, 'Picarro Output'!$B:$B, 'Uncalibrated Data'!$C3665, 'Picarro Output'!$I:$I, 0, 'Picarro Output'!$J:$J, 1), "")</f>
        <v/>
      </c>
    </row>
    <row r="3666" spans="2:5" x14ac:dyDescent="0.2">
      <c r="B3666" s="1"/>
      <c r="E3666" s="38" t="str">
        <f>IFERROR(AVERAGEIFS('Picarro Output'!G:G, 'Picarro Output'!$B:$B, 'Uncalibrated Data'!$C3666, 'Picarro Output'!$I:$I, 0, 'Picarro Output'!$J:$J, 1), "")</f>
        <v/>
      </c>
    </row>
    <row r="3667" spans="2:5" x14ac:dyDescent="0.2">
      <c r="B3667" s="1"/>
      <c r="E3667" s="38" t="str">
        <f>IFERROR(AVERAGEIFS('Picarro Output'!G:G, 'Picarro Output'!$B:$B, 'Uncalibrated Data'!$C3667, 'Picarro Output'!$I:$I, 0, 'Picarro Output'!$J:$J, 1), "")</f>
        <v/>
      </c>
    </row>
    <row r="3668" spans="2:5" x14ac:dyDescent="0.2">
      <c r="B3668" s="1"/>
      <c r="E3668" s="38" t="str">
        <f>IFERROR(AVERAGEIFS('Picarro Output'!G:G, 'Picarro Output'!$B:$B, 'Uncalibrated Data'!$C3668, 'Picarro Output'!$I:$I, 0, 'Picarro Output'!$J:$J, 1), "")</f>
        <v/>
      </c>
    </row>
    <row r="3669" spans="2:5" x14ac:dyDescent="0.2">
      <c r="B3669" s="1"/>
      <c r="E3669" s="38" t="str">
        <f>IFERROR(AVERAGEIFS('Picarro Output'!G:G, 'Picarro Output'!$B:$B, 'Uncalibrated Data'!$C3669, 'Picarro Output'!$I:$I, 0, 'Picarro Output'!$J:$J, 1), "")</f>
        <v/>
      </c>
    </row>
    <row r="3670" spans="2:5" x14ac:dyDescent="0.2">
      <c r="B3670" s="1"/>
      <c r="E3670" s="38" t="str">
        <f>IFERROR(AVERAGEIFS('Picarro Output'!G:G, 'Picarro Output'!$B:$B, 'Uncalibrated Data'!$C3670, 'Picarro Output'!$I:$I, 0, 'Picarro Output'!$J:$J, 1), "")</f>
        <v/>
      </c>
    </row>
    <row r="3671" spans="2:5" x14ac:dyDescent="0.2">
      <c r="B3671" s="1"/>
      <c r="E3671" s="38" t="str">
        <f>IFERROR(AVERAGEIFS('Picarro Output'!G:G, 'Picarro Output'!$B:$B, 'Uncalibrated Data'!$C3671, 'Picarro Output'!$I:$I, 0, 'Picarro Output'!$J:$J, 1), "")</f>
        <v/>
      </c>
    </row>
    <row r="3672" spans="2:5" x14ac:dyDescent="0.2">
      <c r="B3672" s="1"/>
      <c r="E3672" s="38" t="str">
        <f>IFERROR(AVERAGEIFS('Picarro Output'!G:G, 'Picarro Output'!$B:$B, 'Uncalibrated Data'!$C3672, 'Picarro Output'!$I:$I, 0, 'Picarro Output'!$J:$J, 1), "")</f>
        <v/>
      </c>
    </row>
    <row r="3673" spans="2:5" x14ac:dyDescent="0.2">
      <c r="B3673" s="1"/>
      <c r="E3673" s="38" t="str">
        <f>IFERROR(AVERAGEIFS('Picarro Output'!G:G, 'Picarro Output'!$B:$B, 'Uncalibrated Data'!$C3673, 'Picarro Output'!$I:$I, 0, 'Picarro Output'!$J:$J, 1), "")</f>
        <v/>
      </c>
    </row>
    <row r="3674" spans="2:5" x14ac:dyDescent="0.2">
      <c r="B3674" s="1"/>
      <c r="E3674" s="38" t="str">
        <f>IFERROR(AVERAGEIFS('Picarro Output'!G:G, 'Picarro Output'!$B:$B, 'Uncalibrated Data'!$C3674, 'Picarro Output'!$I:$I, 0, 'Picarro Output'!$J:$J, 1), "")</f>
        <v/>
      </c>
    </row>
    <row r="3675" spans="2:5" x14ac:dyDescent="0.2">
      <c r="B3675" s="1"/>
      <c r="E3675" s="38" t="str">
        <f>IFERROR(AVERAGEIFS('Picarro Output'!G:G, 'Picarro Output'!$B:$B, 'Uncalibrated Data'!$C3675, 'Picarro Output'!$I:$I, 0, 'Picarro Output'!$J:$J, 1), "")</f>
        <v/>
      </c>
    </row>
    <row r="3676" spans="2:5" x14ac:dyDescent="0.2">
      <c r="B3676" s="1"/>
      <c r="E3676" s="38" t="str">
        <f>IFERROR(AVERAGEIFS('Picarro Output'!G:G, 'Picarro Output'!$B:$B, 'Uncalibrated Data'!$C3676, 'Picarro Output'!$I:$I, 0, 'Picarro Output'!$J:$J, 1), "")</f>
        <v/>
      </c>
    </row>
    <row r="3677" spans="2:5" x14ac:dyDescent="0.2">
      <c r="B3677" s="1"/>
      <c r="E3677" s="38" t="str">
        <f>IFERROR(AVERAGEIFS('Picarro Output'!G:G, 'Picarro Output'!$B:$B, 'Uncalibrated Data'!$C3677, 'Picarro Output'!$I:$I, 0, 'Picarro Output'!$J:$J, 1), "")</f>
        <v/>
      </c>
    </row>
    <row r="3678" spans="2:5" x14ac:dyDescent="0.2">
      <c r="B3678" s="1"/>
      <c r="E3678" s="38" t="str">
        <f>IFERROR(AVERAGEIFS('Picarro Output'!G:G, 'Picarro Output'!$B:$B, 'Uncalibrated Data'!$C3678, 'Picarro Output'!$I:$I, 0, 'Picarro Output'!$J:$J, 1), "")</f>
        <v/>
      </c>
    </row>
    <row r="3679" spans="2:5" x14ac:dyDescent="0.2">
      <c r="B3679" s="1"/>
      <c r="E3679" s="38" t="str">
        <f>IFERROR(AVERAGEIFS('Picarro Output'!G:G, 'Picarro Output'!$B:$B, 'Uncalibrated Data'!$C3679, 'Picarro Output'!$I:$I, 0, 'Picarro Output'!$J:$J, 1), "")</f>
        <v/>
      </c>
    </row>
    <row r="3680" spans="2:5" x14ac:dyDescent="0.2">
      <c r="B3680" s="1"/>
      <c r="E3680" s="38" t="str">
        <f>IFERROR(AVERAGEIFS('Picarro Output'!G:G, 'Picarro Output'!$B:$B, 'Uncalibrated Data'!$C3680, 'Picarro Output'!$I:$I, 0, 'Picarro Output'!$J:$J, 1), "")</f>
        <v/>
      </c>
    </row>
    <row r="3681" spans="2:5" x14ac:dyDescent="0.2">
      <c r="B3681" s="1"/>
      <c r="E3681" s="38" t="str">
        <f>IFERROR(AVERAGEIFS('Picarro Output'!G:G, 'Picarro Output'!$B:$B, 'Uncalibrated Data'!$C3681, 'Picarro Output'!$I:$I, 0, 'Picarro Output'!$J:$J, 1), "")</f>
        <v/>
      </c>
    </row>
    <row r="3682" spans="2:5" x14ac:dyDescent="0.2">
      <c r="B3682" s="1"/>
      <c r="E3682" s="38" t="str">
        <f>IFERROR(AVERAGEIFS('Picarro Output'!G:G, 'Picarro Output'!$B:$B, 'Uncalibrated Data'!$C3682, 'Picarro Output'!$I:$I, 0, 'Picarro Output'!$J:$J, 1), "")</f>
        <v/>
      </c>
    </row>
    <row r="3683" spans="2:5" x14ac:dyDescent="0.2">
      <c r="B3683" s="1"/>
      <c r="E3683" s="38" t="str">
        <f>IFERROR(AVERAGEIFS('Picarro Output'!G:G, 'Picarro Output'!$B:$B, 'Uncalibrated Data'!$C3683, 'Picarro Output'!$I:$I, 0, 'Picarro Output'!$J:$J, 1), "")</f>
        <v/>
      </c>
    </row>
    <row r="3684" spans="2:5" x14ac:dyDescent="0.2">
      <c r="B3684" s="1"/>
      <c r="E3684" s="38" t="str">
        <f>IFERROR(AVERAGEIFS('Picarro Output'!G:G, 'Picarro Output'!$B:$B, 'Uncalibrated Data'!$C3684, 'Picarro Output'!$I:$I, 0, 'Picarro Output'!$J:$J, 1), "")</f>
        <v/>
      </c>
    </row>
    <row r="3685" spans="2:5" x14ac:dyDescent="0.2">
      <c r="B3685" s="1"/>
      <c r="E3685" s="38" t="str">
        <f>IFERROR(AVERAGEIFS('Picarro Output'!G:G, 'Picarro Output'!$B:$B, 'Uncalibrated Data'!$C3685, 'Picarro Output'!$I:$I, 0, 'Picarro Output'!$J:$J, 1), "")</f>
        <v/>
      </c>
    </row>
    <row r="3686" spans="2:5" x14ac:dyDescent="0.2">
      <c r="B3686" s="1"/>
      <c r="E3686" s="38" t="str">
        <f>IFERROR(AVERAGEIFS('Picarro Output'!G:G, 'Picarro Output'!$B:$B, 'Uncalibrated Data'!$C3686, 'Picarro Output'!$I:$I, 0, 'Picarro Output'!$J:$J, 1), "")</f>
        <v/>
      </c>
    </row>
    <row r="3687" spans="2:5" x14ac:dyDescent="0.2">
      <c r="B3687" s="1"/>
      <c r="E3687" s="38" t="str">
        <f>IFERROR(AVERAGEIFS('Picarro Output'!G:G, 'Picarro Output'!$B:$B, 'Uncalibrated Data'!$C3687, 'Picarro Output'!$I:$I, 0, 'Picarro Output'!$J:$J, 1), "")</f>
        <v/>
      </c>
    </row>
    <row r="3688" spans="2:5" x14ac:dyDescent="0.2">
      <c r="B3688" s="1"/>
      <c r="E3688" s="38" t="str">
        <f>IFERROR(AVERAGEIFS('Picarro Output'!G:G, 'Picarro Output'!$B:$B, 'Uncalibrated Data'!$C3688, 'Picarro Output'!$I:$I, 0, 'Picarro Output'!$J:$J, 1), "")</f>
        <v/>
      </c>
    </row>
    <row r="3689" spans="2:5" x14ac:dyDescent="0.2">
      <c r="B3689" s="1"/>
      <c r="E3689" s="38" t="str">
        <f>IFERROR(AVERAGEIFS('Picarro Output'!G:G, 'Picarro Output'!$B:$B, 'Uncalibrated Data'!$C3689, 'Picarro Output'!$I:$I, 0, 'Picarro Output'!$J:$J, 1), "")</f>
        <v/>
      </c>
    </row>
    <row r="3690" spans="2:5" x14ac:dyDescent="0.2">
      <c r="B3690" s="1"/>
      <c r="E3690" s="38" t="str">
        <f>IFERROR(AVERAGEIFS('Picarro Output'!G:G, 'Picarro Output'!$B:$B, 'Uncalibrated Data'!$C3690, 'Picarro Output'!$I:$I, 0, 'Picarro Output'!$J:$J, 1), "")</f>
        <v/>
      </c>
    </row>
    <row r="3691" spans="2:5" x14ac:dyDescent="0.2">
      <c r="B3691" s="1"/>
      <c r="E3691" s="38" t="str">
        <f>IFERROR(AVERAGEIFS('Picarro Output'!G:G, 'Picarro Output'!$B:$B, 'Uncalibrated Data'!$C3691, 'Picarro Output'!$I:$I, 0, 'Picarro Output'!$J:$J, 1), "")</f>
        <v/>
      </c>
    </row>
    <row r="3692" spans="2:5" x14ac:dyDescent="0.2">
      <c r="B3692" s="1"/>
      <c r="E3692" s="38" t="str">
        <f>IFERROR(AVERAGEIFS('Picarro Output'!G:G, 'Picarro Output'!$B:$B, 'Uncalibrated Data'!$C3692, 'Picarro Output'!$I:$I, 0, 'Picarro Output'!$J:$J, 1), "")</f>
        <v/>
      </c>
    </row>
    <row r="3693" spans="2:5" x14ac:dyDescent="0.2">
      <c r="B3693" s="1"/>
      <c r="E3693" s="38" t="str">
        <f>IFERROR(AVERAGEIFS('Picarro Output'!G:G, 'Picarro Output'!$B:$B, 'Uncalibrated Data'!$C3693, 'Picarro Output'!$I:$I, 0, 'Picarro Output'!$J:$J, 1), "")</f>
        <v/>
      </c>
    </row>
    <row r="3694" spans="2:5" x14ac:dyDescent="0.2">
      <c r="B3694" s="1"/>
      <c r="E3694" s="38" t="str">
        <f>IFERROR(AVERAGEIFS('Picarro Output'!G:G, 'Picarro Output'!$B:$B, 'Uncalibrated Data'!$C3694, 'Picarro Output'!$I:$I, 0, 'Picarro Output'!$J:$J, 1), "")</f>
        <v/>
      </c>
    </row>
    <row r="3695" spans="2:5" x14ac:dyDescent="0.2">
      <c r="B3695" s="1"/>
      <c r="E3695" s="38" t="str">
        <f>IFERROR(AVERAGEIFS('Picarro Output'!G:G, 'Picarro Output'!$B:$B, 'Uncalibrated Data'!$C3695, 'Picarro Output'!$I:$I, 0, 'Picarro Output'!$J:$J, 1), "")</f>
        <v/>
      </c>
    </row>
    <row r="3696" spans="2:5" x14ac:dyDescent="0.2">
      <c r="B3696" s="1"/>
      <c r="E3696" s="38" t="str">
        <f>IFERROR(AVERAGEIFS('Picarro Output'!G:G, 'Picarro Output'!$B:$B, 'Uncalibrated Data'!$C3696, 'Picarro Output'!$I:$I, 0, 'Picarro Output'!$J:$J, 1), "")</f>
        <v/>
      </c>
    </row>
    <row r="3697" spans="2:5" x14ac:dyDescent="0.2">
      <c r="B3697" s="1"/>
      <c r="E3697" s="38" t="str">
        <f>IFERROR(AVERAGEIFS('Picarro Output'!G:G, 'Picarro Output'!$B:$B, 'Uncalibrated Data'!$C3697, 'Picarro Output'!$I:$I, 0, 'Picarro Output'!$J:$J, 1), "")</f>
        <v/>
      </c>
    </row>
    <row r="3698" spans="2:5" x14ac:dyDescent="0.2">
      <c r="B3698" s="1"/>
      <c r="E3698" s="38" t="str">
        <f>IFERROR(AVERAGEIFS('Picarro Output'!G:G, 'Picarro Output'!$B:$B, 'Uncalibrated Data'!$C3698, 'Picarro Output'!$I:$I, 0, 'Picarro Output'!$J:$J, 1), "")</f>
        <v/>
      </c>
    </row>
    <row r="3699" spans="2:5" x14ac:dyDescent="0.2">
      <c r="B3699" s="1"/>
      <c r="E3699" s="38" t="str">
        <f>IFERROR(AVERAGEIFS('Picarro Output'!G:G, 'Picarro Output'!$B:$B, 'Uncalibrated Data'!$C3699, 'Picarro Output'!$I:$I, 0, 'Picarro Output'!$J:$J, 1), "")</f>
        <v/>
      </c>
    </row>
    <row r="3700" spans="2:5" x14ac:dyDescent="0.2">
      <c r="B3700" s="1"/>
      <c r="E3700" s="38" t="str">
        <f>IFERROR(AVERAGEIFS('Picarro Output'!G:G, 'Picarro Output'!$B:$B, 'Uncalibrated Data'!$C3700, 'Picarro Output'!$I:$I, 0, 'Picarro Output'!$J:$J, 1), "")</f>
        <v/>
      </c>
    </row>
    <row r="3701" spans="2:5" x14ac:dyDescent="0.2">
      <c r="B3701" s="1"/>
      <c r="E3701" s="38" t="str">
        <f>IFERROR(AVERAGEIFS('Picarro Output'!G:G, 'Picarro Output'!$B:$B, 'Uncalibrated Data'!$C3701, 'Picarro Output'!$I:$I, 0, 'Picarro Output'!$J:$J, 1), "")</f>
        <v/>
      </c>
    </row>
    <row r="3702" spans="2:5" x14ac:dyDescent="0.2">
      <c r="B3702" s="1"/>
      <c r="E3702" s="38" t="str">
        <f>IFERROR(AVERAGEIFS('Picarro Output'!G:G, 'Picarro Output'!$B:$B, 'Uncalibrated Data'!$C3702, 'Picarro Output'!$I:$I, 0, 'Picarro Output'!$J:$J, 1), "")</f>
        <v/>
      </c>
    </row>
    <row r="3703" spans="2:5" x14ac:dyDescent="0.2">
      <c r="B3703" s="1"/>
      <c r="E3703" s="38" t="str">
        <f>IFERROR(AVERAGEIFS('Picarro Output'!G:G, 'Picarro Output'!$B:$B, 'Uncalibrated Data'!$C3703, 'Picarro Output'!$I:$I, 0, 'Picarro Output'!$J:$J, 1), "")</f>
        <v/>
      </c>
    </row>
    <row r="3704" spans="2:5" x14ac:dyDescent="0.2">
      <c r="B3704" s="1"/>
      <c r="E3704" s="38" t="str">
        <f>IFERROR(AVERAGEIFS('Picarro Output'!G:G, 'Picarro Output'!$B:$B, 'Uncalibrated Data'!$C3704, 'Picarro Output'!$I:$I, 0, 'Picarro Output'!$J:$J, 1), "")</f>
        <v/>
      </c>
    </row>
    <row r="3705" spans="2:5" x14ac:dyDescent="0.2">
      <c r="B3705" s="1"/>
      <c r="E3705" s="38" t="str">
        <f>IFERROR(AVERAGEIFS('Picarro Output'!G:G, 'Picarro Output'!$B:$B, 'Uncalibrated Data'!$C3705, 'Picarro Output'!$I:$I, 0, 'Picarro Output'!$J:$J, 1), "")</f>
        <v/>
      </c>
    </row>
    <row r="3706" spans="2:5" x14ac:dyDescent="0.2">
      <c r="B3706" s="1"/>
      <c r="E3706" s="38" t="str">
        <f>IFERROR(AVERAGEIFS('Picarro Output'!G:G, 'Picarro Output'!$B:$B, 'Uncalibrated Data'!$C3706, 'Picarro Output'!$I:$I, 0, 'Picarro Output'!$J:$J, 1), "")</f>
        <v/>
      </c>
    </row>
    <row r="3707" spans="2:5" x14ac:dyDescent="0.2">
      <c r="B3707" s="1"/>
      <c r="E3707" s="38" t="str">
        <f>IFERROR(AVERAGEIFS('Picarro Output'!G:G, 'Picarro Output'!$B:$B, 'Uncalibrated Data'!$C3707, 'Picarro Output'!$I:$I, 0, 'Picarro Output'!$J:$J, 1), "")</f>
        <v/>
      </c>
    </row>
    <row r="3708" spans="2:5" x14ac:dyDescent="0.2">
      <c r="B3708" s="1"/>
      <c r="E3708" s="38" t="str">
        <f>IFERROR(AVERAGEIFS('Picarro Output'!G:G, 'Picarro Output'!$B:$B, 'Uncalibrated Data'!$C3708, 'Picarro Output'!$I:$I, 0, 'Picarro Output'!$J:$J, 1), "")</f>
        <v/>
      </c>
    </row>
    <row r="3709" spans="2:5" x14ac:dyDescent="0.2">
      <c r="B3709" s="1"/>
      <c r="E3709" s="38" t="str">
        <f>IFERROR(AVERAGEIFS('Picarro Output'!G:G, 'Picarro Output'!$B:$B, 'Uncalibrated Data'!$C3709, 'Picarro Output'!$I:$I, 0, 'Picarro Output'!$J:$J, 1), "")</f>
        <v/>
      </c>
    </row>
    <row r="3710" spans="2:5" x14ac:dyDescent="0.2">
      <c r="B3710" s="1"/>
      <c r="E3710" s="38" t="str">
        <f>IFERROR(AVERAGEIFS('Picarro Output'!G:G, 'Picarro Output'!$B:$B, 'Uncalibrated Data'!$C3710, 'Picarro Output'!$I:$I, 0, 'Picarro Output'!$J:$J, 1), "")</f>
        <v/>
      </c>
    </row>
    <row r="3711" spans="2:5" x14ac:dyDescent="0.2">
      <c r="B3711" s="1"/>
      <c r="E3711" s="38" t="str">
        <f>IFERROR(AVERAGEIFS('Picarro Output'!G:G, 'Picarro Output'!$B:$B, 'Uncalibrated Data'!$C3711, 'Picarro Output'!$I:$I, 0, 'Picarro Output'!$J:$J, 1), "")</f>
        <v/>
      </c>
    </row>
    <row r="3712" spans="2:5" x14ac:dyDescent="0.2">
      <c r="B3712" s="1"/>
      <c r="E3712" s="38" t="str">
        <f>IFERROR(AVERAGEIFS('Picarro Output'!G:G, 'Picarro Output'!$B:$B, 'Uncalibrated Data'!$C3712, 'Picarro Output'!$I:$I, 0, 'Picarro Output'!$J:$J, 1), "")</f>
        <v/>
      </c>
    </row>
    <row r="3713" spans="2:5" x14ac:dyDescent="0.2">
      <c r="B3713" s="1"/>
      <c r="E3713" s="38" t="str">
        <f>IFERROR(AVERAGEIFS('Picarro Output'!G:G, 'Picarro Output'!$B:$B, 'Uncalibrated Data'!$C3713, 'Picarro Output'!$I:$I, 0, 'Picarro Output'!$J:$J, 1), "")</f>
        <v/>
      </c>
    </row>
    <row r="3714" spans="2:5" x14ac:dyDescent="0.2">
      <c r="B3714" s="1"/>
      <c r="E3714" s="38" t="str">
        <f>IFERROR(AVERAGEIFS('Picarro Output'!G:G, 'Picarro Output'!$B:$B, 'Uncalibrated Data'!$C3714, 'Picarro Output'!$I:$I, 0, 'Picarro Output'!$J:$J, 1), "")</f>
        <v/>
      </c>
    </row>
    <row r="3715" spans="2:5" x14ac:dyDescent="0.2">
      <c r="B3715" s="1"/>
      <c r="E3715" s="38" t="str">
        <f>IFERROR(AVERAGEIFS('Picarro Output'!G:G, 'Picarro Output'!$B:$B, 'Uncalibrated Data'!$C3715, 'Picarro Output'!$I:$I, 0, 'Picarro Output'!$J:$J, 1), "")</f>
        <v/>
      </c>
    </row>
    <row r="3716" spans="2:5" x14ac:dyDescent="0.2">
      <c r="B3716" s="1"/>
      <c r="E3716" s="38" t="str">
        <f>IFERROR(AVERAGEIFS('Picarro Output'!G:G, 'Picarro Output'!$B:$B, 'Uncalibrated Data'!$C3716, 'Picarro Output'!$I:$I, 0, 'Picarro Output'!$J:$J, 1), "")</f>
        <v/>
      </c>
    </row>
    <row r="3717" spans="2:5" x14ac:dyDescent="0.2">
      <c r="B3717" s="1"/>
      <c r="E3717" s="38" t="str">
        <f>IFERROR(AVERAGEIFS('Picarro Output'!G:G, 'Picarro Output'!$B:$B, 'Uncalibrated Data'!$C3717, 'Picarro Output'!$I:$I, 0, 'Picarro Output'!$J:$J, 1), "")</f>
        <v/>
      </c>
    </row>
    <row r="3718" spans="2:5" x14ac:dyDescent="0.2">
      <c r="B3718" s="1"/>
      <c r="E3718" s="38" t="str">
        <f>IFERROR(AVERAGEIFS('Picarro Output'!G:G, 'Picarro Output'!$B:$B, 'Uncalibrated Data'!$C3718, 'Picarro Output'!$I:$I, 0, 'Picarro Output'!$J:$J, 1), "")</f>
        <v/>
      </c>
    </row>
    <row r="3719" spans="2:5" x14ac:dyDescent="0.2">
      <c r="B3719" s="1"/>
      <c r="E3719" s="38" t="str">
        <f>IFERROR(AVERAGEIFS('Picarro Output'!G:G, 'Picarro Output'!$B:$B, 'Uncalibrated Data'!$C3719, 'Picarro Output'!$I:$I, 0, 'Picarro Output'!$J:$J, 1), "")</f>
        <v/>
      </c>
    </row>
    <row r="3720" spans="2:5" x14ac:dyDescent="0.2">
      <c r="B3720" s="1"/>
      <c r="E3720" s="38" t="str">
        <f>IFERROR(AVERAGEIFS('Picarro Output'!G:G, 'Picarro Output'!$B:$B, 'Uncalibrated Data'!$C3720, 'Picarro Output'!$I:$I, 0, 'Picarro Output'!$J:$J, 1), "")</f>
        <v/>
      </c>
    </row>
    <row r="3721" spans="2:5" x14ac:dyDescent="0.2">
      <c r="B3721" s="1"/>
      <c r="E3721" s="38" t="str">
        <f>IFERROR(AVERAGEIFS('Picarro Output'!G:G, 'Picarro Output'!$B:$B, 'Uncalibrated Data'!$C3721, 'Picarro Output'!$I:$I, 0, 'Picarro Output'!$J:$J, 1), "")</f>
        <v/>
      </c>
    </row>
    <row r="3722" spans="2:5" x14ac:dyDescent="0.2">
      <c r="B3722" s="1"/>
      <c r="E3722" s="38" t="str">
        <f>IFERROR(AVERAGEIFS('Picarro Output'!G:G, 'Picarro Output'!$B:$B, 'Uncalibrated Data'!$C3722, 'Picarro Output'!$I:$I, 0, 'Picarro Output'!$J:$J, 1), "")</f>
        <v/>
      </c>
    </row>
    <row r="3723" spans="2:5" x14ac:dyDescent="0.2">
      <c r="B3723" s="1"/>
      <c r="E3723" s="38" t="str">
        <f>IFERROR(AVERAGEIFS('Picarro Output'!G:G, 'Picarro Output'!$B:$B, 'Uncalibrated Data'!$C3723, 'Picarro Output'!$I:$I, 0, 'Picarro Output'!$J:$J, 1), "")</f>
        <v/>
      </c>
    </row>
    <row r="3724" spans="2:5" x14ac:dyDescent="0.2">
      <c r="B3724" s="1"/>
      <c r="E3724" s="38" t="str">
        <f>IFERROR(AVERAGEIFS('Picarro Output'!G:G, 'Picarro Output'!$B:$B, 'Uncalibrated Data'!$C3724, 'Picarro Output'!$I:$I, 0, 'Picarro Output'!$J:$J, 1), "")</f>
        <v/>
      </c>
    </row>
    <row r="3725" spans="2:5" x14ac:dyDescent="0.2">
      <c r="B3725" s="1"/>
      <c r="E3725" s="38" t="str">
        <f>IFERROR(AVERAGEIFS('Picarro Output'!G:G, 'Picarro Output'!$B:$B, 'Uncalibrated Data'!$C3725, 'Picarro Output'!$I:$I, 0, 'Picarro Output'!$J:$J, 1), "")</f>
        <v/>
      </c>
    </row>
    <row r="3726" spans="2:5" x14ac:dyDescent="0.2">
      <c r="B3726" s="1"/>
      <c r="E3726" s="38" t="str">
        <f>IFERROR(AVERAGEIFS('Picarro Output'!G:G, 'Picarro Output'!$B:$B, 'Uncalibrated Data'!$C3726, 'Picarro Output'!$I:$I, 0, 'Picarro Output'!$J:$J, 1), "")</f>
        <v/>
      </c>
    </row>
    <row r="3727" spans="2:5" x14ac:dyDescent="0.2">
      <c r="B3727" s="1"/>
      <c r="E3727" s="38" t="str">
        <f>IFERROR(AVERAGEIFS('Picarro Output'!G:G, 'Picarro Output'!$B:$B, 'Uncalibrated Data'!$C3727, 'Picarro Output'!$I:$I, 0, 'Picarro Output'!$J:$J, 1), "")</f>
        <v/>
      </c>
    </row>
    <row r="3728" spans="2:5" x14ac:dyDescent="0.2">
      <c r="B3728" s="1"/>
      <c r="E3728" s="38" t="str">
        <f>IFERROR(AVERAGEIFS('Picarro Output'!G:G, 'Picarro Output'!$B:$B, 'Uncalibrated Data'!$C3728, 'Picarro Output'!$I:$I, 0, 'Picarro Output'!$J:$J, 1), "")</f>
        <v/>
      </c>
    </row>
    <row r="3729" spans="2:5" x14ac:dyDescent="0.2">
      <c r="B3729" s="1"/>
      <c r="E3729" s="38" t="str">
        <f>IFERROR(AVERAGEIFS('Picarro Output'!G:G, 'Picarro Output'!$B:$B, 'Uncalibrated Data'!$C3729, 'Picarro Output'!$I:$I, 0, 'Picarro Output'!$J:$J, 1), "")</f>
        <v/>
      </c>
    </row>
    <row r="3730" spans="2:5" x14ac:dyDescent="0.2">
      <c r="B3730" s="1"/>
      <c r="E3730" s="38" t="str">
        <f>IFERROR(AVERAGEIFS('Picarro Output'!G:G, 'Picarro Output'!$B:$B, 'Uncalibrated Data'!$C3730, 'Picarro Output'!$I:$I, 0, 'Picarro Output'!$J:$J, 1), "")</f>
        <v/>
      </c>
    </row>
    <row r="3731" spans="2:5" x14ac:dyDescent="0.2">
      <c r="B3731" s="1"/>
      <c r="E3731" s="38" t="str">
        <f>IFERROR(AVERAGEIFS('Picarro Output'!G:G, 'Picarro Output'!$B:$B, 'Uncalibrated Data'!$C3731, 'Picarro Output'!$I:$I, 0, 'Picarro Output'!$J:$J, 1), "")</f>
        <v/>
      </c>
    </row>
    <row r="3732" spans="2:5" x14ac:dyDescent="0.2">
      <c r="B3732" s="1"/>
      <c r="E3732" s="38" t="str">
        <f>IFERROR(AVERAGEIFS('Picarro Output'!G:G, 'Picarro Output'!$B:$B, 'Uncalibrated Data'!$C3732, 'Picarro Output'!$I:$I, 0, 'Picarro Output'!$J:$J, 1), "")</f>
        <v/>
      </c>
    </row>
    <row r="3733" spans="2:5" x14ac:dyDescent="0.2">
      <c r="B3733" s="1"/>
      <c r="E3733" s="38" t="str">
        <f>IFERROR(AVERAGEIFS('Picarro Output'!G:G, 'Picarro Output'!$B:$B, 'Uncalibrated Data'!$C3733, 'Picarro Output'!$I:$I, 0, 'Picarro Output'!$J:$J, 1), "")</f>
        <v/>
      </c>
    </row>
    <row r="3734" spans="2:5" x14ac:dyDescent="0.2">
      <c r="B3734" s="1"/>
      <c r="E3734" s="38" t="str">
        <f>IFERROR(AVERAGEIFS('Picarro Output'!G:G, 'Picarro Output'!$B:$B, 'Uncalibrated Data'!$C3734, 'Picarro Output'!$I:$I, 0, 'Picarro Output'!$J:$J, 1), "")</f>
        <v/>
      </c>
    </row>
    <row r="3735" spans="2:5" x14ac:dyDescent="0.2">
      <c r="B3735" s="1"/>
      <c r="E3735" s="38" t="str">
        <f>IFERROR(AVERAGEIFS('Picarro Output'!G:G, 'Picarro Output'!$B:$B, 'Uncalibrated Data'!$C3735, 'Picarro Output'!$I:$I, 0, 'Picarro Output'!$J:$J, 1), "")</f>
        <v/>
      </c>
    </row>
    <row r="3736" spans="2:5" x14ac:dyDescent="0.2">
      <c r="B3736" s="1"/>
      <c r="E3736" s="38" t="str">
        <f>IFERROR(AVERAGEIFS('Picarro Output'!G:G, 'Picarro Output'!$B:$B, 'Uncalibrated Data'!$C3736, 'Picarro Output'!$I:$I, 0, 'Picarro Output'!$J:$J, 1), "")</f>
        <v/>
      </c>
    </row>
    <row r="3737" spans="2:5" x14ac:dyDescent="0.2">
      <c r="B3737" s="1"/>
      <c r="E3737" s="38" t="str">
        <f>IFERROR(AVERAGEIFS('Picarro Output'!G:G, 'Picarro Output'!$B:$B, 'Uncalibrated Data'!$C3737, 'Picarro Output'!$I:$I, 0, 'Picarro Output'!$J:$J, 1), "")</f>
        <v/>
      </c>
    </row>
    <row r="3738" spans="2:5" x14ac:dyDescent="0.2">
      <c r="B3738" s="1"/>
      <c r="E3738" s="38" t="str">
        <f>IFERROR(AVERAGEIFS('Picarro Output'!G:G, 'Picarro Output'!$B:$B, 'Uncalibrated Data'!$C3738, 'Picarro Output'!$I:$I, 0, 'Picarro Output'!$J:$J, 1), "")</f>
        <v/>
      </c>
    </row>
    <row r="3739" spans="2:5" x14ac:dyDescent="0.2">
      <c r="B3739" s="1"/>
      <c r="E3739" s="38" t="str">
        <f>IFERROR(AVERAGEIFS('Picarro Output'!G:G, 'Picarro Output'!$B:$B, 'Uncalibrated Data'!$C3739, 'Picarro Output'!$I:$I, 0, 'Picarro Output'!$J:$J, 1), "")</f>
        <v/>
      </c>
    </row>
    <row r="3740" spans="2:5" x14ac:dyDescent="0.2">
      <c r="B3740" s="1"/>
      <c r="E3740" s="38" t="str">
        <f>IFERROR(AVERAGEIFS('Picarro Output'!G:G, 'Picarro Output'!$B:$B, 'Uncalibrated Data'!$C3740, 'Picarro Output'!$I:$I, 0, 'Picarro Output'!$J:$J, 1), "")</f>
        <v/>
      </c>
    </row>
    <row r="3741" spans="2:5" x14ac:dyDescent="0.2">
      <c r="B3741" s="1"/>
      <c r="E3741" s="38" t="str">
        <f>IFERROR(AVERAGEIFS('Picarro Output'!G:G, 'Picarro Output'!$B:$B, 'Uncalibrated Data'!$C3741, 'Picarro Output'!$I:$I, 0, 'Picarro Output'!$J:$J, 1), "")</f>
        <v/>
      </c>
    </row>
    <row r="3742" spans="2:5" x14ac:dyDescent="0.2">
      <c r="B3742" s="1"/>
      <c r="E3742" s="38" t="str">
        <f>IFERROR(AVERAGEIFS('Picarro Output'!G:G, 'Picarro Output'!$B:$B, 'Uncalibrated Data'!$C3742, 'Picarro Output'!$I:$I, 0, 'Picarro Output'!$J:$J, 1), "")</f>
        <v/>
      </c>
    </row>
    <row r="3743" spans="2:5" x14ac:dyDescent="0.2">
      <c r="B3743" s="1"/>
      <c r="E3743" s="38" t="str">
        <f>IFERROR(AVERAGEIFS('Picarro Output'!G:G, 'Picarro Output'!$B:$B, 'Uncalibrated Data'!$C3743, 'Picarro Output'!$I:$I, 0, 'Picarro Output'!$J:$J, 1), "")</f>
        <v/>
      </c>
    </row>
    <row r="3744" spans="2:5" x14ac:dyDescent="0.2">
      <c r="B3744" s="1"/>
      <c r="E3744" s="38" t="str">
        <f>IFERROR(AVERAGEIFS('Picarro Output'!G:G, 'Picarro Output'!$B:$B, 'Uncalibrated Data'!$C3744, 'Picarro Output'!$I:$I, 0, 'Picarro Output'!$J:$J, 1), "")</f>
        <v/>
      </c>
    </row>
    <row r="3745" spans="2:5" x14ac:dyDescent="0.2">
      <c r="B3745" s="1"/>
      <c r="E3745" s="38" t="str">
        <f>IFERROR(AVERAGEIFS('Picarro Output'!G:G, 'Picarro Output'!$B:$B, 'Uncalibrated Data'!$C3745, 'Picarro Output'!$I:$I, 0, 'Picarro Output'!$J:$J, 1), "")</f>
        <v/>
      </c>
    </row>
    <row r="3746" spans="2:5" x14ac:dyDescent="0.2">
      <c r="B3746" s="1"/>
      <c r="E3746" s="38" t="str">
        <f>IFERROR(AVERAGEIFS('Picarro Output'!G:G, 'Picarro Output'!$B:$B, 'Uncalibrated Data'!$C3746, 'Picarro Output'!$I:$I, 0, 'Picarro Output'!$J:$J, 1), "")</f>
        <v/>
      </c>
    </row>
    <row r="3747" spans="2:5" x14ac:dyDescent="0.2">
      <c r="B3747" s="1"/>
      <c r="E3747" s="38" t="str">
        <f>IFERROR(AVERAGEIFS('Picarro Output'!G:G, 'Picarro Output'!$B:$B, 'Uncalibrated Data'!$C3747, 'Picarro Output'!$I:$I, 0, 'Picarro Output'!$J:$J, 1), "")</f>
        <v/>
      </c>
    </row>
    <row r="3748" spans="2:5" x14ac:dyDescent="0.2">
      <c r="B3748" s="1"/>
      <c r="E3748" s="38" t="str">
        <f>IFERROR(AVERAGEIFS('Picarro Output'!G:G, 'Picarro Output'!$B:$B, 'Uncalibrated Data'!$C3748, 'Picarro Output'!$I:$I, 0, 'Picarro Output'!$J:$J, 1), "")</f>
        <v/>
      </c>
    </row>
    <row r="3749" spans="2:5" x14ac:dyDescent="0.2">
      <c r="B3749" s="1"/>
      <c r="E3749" s="38" t="str">
        <f>IFERROR(AVERAGEIFS('Picarro Output'!G:G, 'Picarro Output'!$B:$B, 'Uncalibrated Data'!$C3749, 'Picarro Output'!$I:$I, 0, 'Picarro Output'!$J:$J, 1), "")</f>
        <v/>
      </c>
    </row>
    <row r="3750" spans="2:5" x14ac:dyDescent="0.2">
      <c r="B3750" s="1"/>
      <c r="E3750" s="38" t="str">
        <f>IFERROR(AVERAGEIFS('Picarro Output'!G:G, 'Picarro Output'!$B:$B, 'Uncalibrated Data'!$C3750, 'Picarro Output'!$I:$I, 0, 'Picarro Output'!$J:$J, 1), "")</f>
        <v/>
      </c>
    </row>
    <row r="3751" spans="2:5" x14ac:dyDescent="0.2">
      <c r="B3751" s="1"/>
      <c r="E3751" s="38" t="str">
        <f>IFERROR(AVERAGEIFS('Picarro Output'!G:G, 'Picarro Output'!$B:$B, 'Uncalibrated Data'!$C3751, 'Picarro Output'!$I:$I, 0, 'Picarro Output'!$J:$J, 1), "")</f>
        <v/>
      </c>
    </row>
    <row r="3752" spans="2:5" x14ac:dyDescent="0.2">
      <c r="B3752" s="1"/>
      <c r="E3752" s="38" t="str">
        <f>IFERROR(AVERAGEIFS('Picarro Output'!G:G, 'Picarro Output'!$B:$B, 'Uncalibrated Data'!$C3752, 'Picarro Output'!$I:$I, 0, 'Picarro Output'!$J:$J, 1), "")</f>
        <v/>
      </c>
    </row>
    <row r="3753" spans="2:5" x14ac:dyDescent="0.2">
      <c r="B3753" s="1"/>
      <c r="E3753" s="38" t="str">
        <f>IFERROR(AVERAGEIFS('Picarro Output'!G:G, 'Picarro Output'!$B:$B, 'Uncalibrated Data'!$C3753, 'Picarro Output'!$I:$I, 0, 'Picarro Output'!$J:$J, 1), "")</f>
        <v/>
      </c>
    </row>
    <row r="3754" spans="2:5" x14ac:dyDescent="0.2">
      <c r="B3754" s="1"/>
      <c r="E3754" s="38" t="str">
        <f>IFERROR(AVERAGEIFS('Picarro Output'!G:G, 'Picarro Output'!$B:$B, 'Uncalibrated Data'!$C3754, 'Picarro Output'!$I:$I, 0, 'Picarro Output'!$J:$J, 1), "")</f>
        <v/>
      </c>
    </row>
    <row r="3755" spans="2:5" x14ac:dyDescent="0.2">
      <c r="B3755" s="1"/>
      <c r="E3755" s="38" t="str">
        <f>IFERROR(AVERAGEIFS('Picarro Output'!G:G, 'Picarro Output'!$B:$B, 'Uncalibrated Data'!$C3755, 'Picarro Output'!$I:$I, 0, 'Picarro Output'!$J:$J, 1), "")</f>
        <v/>
      </c>
    </row>
    <row r="3756" spans="2:5" x14ac:dyDescent="0.2">
      <c r="B3756" s="1"/>
      <c r="E3756" s="38" t="str">
        <f>IFERROR(AVERAGEIFS('Picarro Output'!G:G, 'Picarro Output'!$B:$B, 'Uncalibrated Data'!$C3756, 'Picarro Output'!$I:$I, 0, 'Picarro Output'!$J:$J, 1), "")</f>
        <v/>
      </c>
    </row>
    <row r="3757" spans="2:5" x14ac:dyDescent="0.2">
      <c r="B3757" s="1"/>
      <c r="E3757" s="38" t="str">
        <f>IFERROR(AVERAGEIFS('Picarro Output'!G:G, 'Picarro Output'!$B:$B, 'Uncalibrated Data'!$C3757, 'Picarro Output'!$I:$I, 0, 'Picarro Output'!$J:$J, 1), "")</f>
        <v/>
      </c>
    </row>
    <row r="3758" spans="2:5" x14ac:dyDescent="0.2">
      <c r="B3758" s="1"/>
      <c r="E3758" s="38" t="str">
        <f>IFERROR(AVERAGEIFS('Picarro Output'!G:G, 'Picarro Output'!$B:$B, 'Uncalibrated Data'!$C3758, 'Picarro Output'!$I:$I, 0, 'Picarro Output'!$J:$J, 1), "")</f>
        <v/>
      </c>
    </row>
    <row r="3759" spans="2:5" x14ac:dyDescent="0.2">
      <c r="B3759" s="1"/>
      <c r="E3759" s="38" t="str">
        <f>IFERROR(AVERAGEIFS('Picarro Output'!G:G, 'Picarro Output'!$B:$B, 'Uncalibrated Data'!$C3759, 'Picarro Output'!$I:$I, 0, 'Picarro Output'!$J:$J, 1), "")</f>
        <v/>
      </c>
    </row>
    <row r="3760" spans="2:5" x14ac:dyDescent="0.2">
      <c r="B3760" s="1"/>
      <c r="E3760" s="38" t="str">
        <f>IFERROR(AVERAGEIFS('Picarro Output'!G:G, 'Picarro Output'!$B:$B, 'Uncalibrated Data'!$C3760, 'Picarro Output'!$I:$I, 0, 'Picarro Output'!$J:$J, 1), "")</f>
        <v/>
      </c>
    </row>
    <row r="3761" spans="2:5" x14ac:dyDescent="0.2">
      <c r="B3761" s="1"/>
      <c r="E3761" s="38" t="str">
        <f>IFERROR(AVERAGEIFS('Picarro Output'!G:G, 'Picarro Output'!$B:$B, 'Uncalibrated Data'!$C3761, 'Picarro Output'!$I:$I, 0, 'Picarro Output'!$J:$J, 1), "")</f>
        <v/>
      </c>
    </row>
    <row r="3762" spans="2:5" x14ac:dyDescent="0.2">
      <c r="B3762" s="1"/>
      <c r="E3762" s="38" t="str">
        <f>IFERROR(AVERAGEIFS('Picarro Output'!G:G, 'Picarro Output'!$B:$B, 'Uncalibrated Data'!$C3762, 'Picarro Output'!$I:$I, 0, 'Picarro Output'!$J:$J, 1), "")</f>
        <v/>
      </c>
    </row>
    <row r="3763" spans="2:5" x14ac:dyDescent="0.2">
      <c r="B3763" s="1"/>
      <c r="E3763" s="38" t="str">
        <f>IFERROR(AVERAGEIFS('Picarro Output'!G:G, 'Picarro Output'!$B:$B, 'Uncalibrated Data'!$C3763, 'Picarro Output'!$I:$I, 0, 'Picarro Output'!$J:$J, 1), "")</f>
        <v/>
      </c>
    </row>
    <row r="3764" spans="2:5" x14ac:dyDescent="0.2">
      <c r="B3764" s="1"/>
      <c r="E3764" s="38" t="str">
        <f>IFERROR(AVERAGEIFS('Picarro Output'!G:G, 'Picarro Output'!$B:$B, 'Uncalibrated Data'!$C3764, 'Picarro Output'!$I:$I, 0, 'Picarro Output'!$J:$J, 1), "")</f>
        <v/>
      </c>
    </row>
    <row r="3765" spans="2:5" x14ac:dyDescent="0.2">
      <c r="B3765" s="1"/>
      <c r="E3765" s="38" t="str">
        <f>IFERROR(AVERAGEIFS('Picarro Output'!G:G, 'Picarro Output'!$B:$B, 'Uncalibrated Data'!$C3765, 'Picarro Output'!$I:$I, 0, 'Picarro Output'!$J:$J, 1), "")</f>
        <v/>
      </c>
    </row>
    <row r="3766" spans="2:5" x14ac:dyDescent="0.2">
      <c r="B3766" s="1"/>
      <c r="E3766" s="38" t="str">
        <f>IFERROR(AVERAGEIFS('Picarro Output'!G:G, 'Picarro Output'!$B:$B, 'Uncalibrated Data'!$C3766, 'Picarro Output'!$I:$I, 0, 'Picarro Output'!$J:$J, 1), "")</f>
        <v/>
      </c>
    </row>
    <row r="3767" spans="2:5" x14ac:dyDescent="0.2">
      <c r="B3767" s="1"/>
      <c r="E3767" s="38" t="str">
        <f>IFERROR(AVERAGEIFS('Picarro Output'!G:G, 'Picarro Output'!$B:$B, 'Uncalibrated Data'!$C3767, 'Picarro Output'!$I:$I, 0, 'Picarro Output'!$J:$J, 1), "")</f>
        <v/>
      </c>
    </row>
    <row r="3768" spans="2:5" x14ac:dyDescent="0.2">
      <c r="B3768" s="1"/>
      <c r="E3768" s="38" t="str">
        <f>IFERROR(AVERAGEIFS('Picarro Output'!G:G, 'Picarro Output'!$B:$B, 'Uncalibrated Data'!$C3768, 'Picarro Output'!$I:$I, 0, 'Picarro Output'!$J:$J, 1), "")</f>
        <v/>
      </c>
    </row>
    <row r="3769" spans="2:5" x14ac:dyDescent="0.2">
      <c r="B3769" s="1"/>
      <c r="E3769" s="38" t="str">
        <f>IFERROR(AVERAGEIFS('Picarro Output'!G:G, 'Picarro Output'!$B:$B, 'Uncalibrated Data'!$C3769, 'Picarro Output'!$I:$I, 0, 'Picarro Output'!$J:$J, 1), "")</f>
        <v/>
      </c>
    </row>
    <row r="3770" spans="2:5" x14ac:dyDescent="0.2">
      <c r="B3770" s="1"/>
      <c r="E3770" s="38" t="str">
        <f>IFERROR(AVERAGEIFS('Picarro Output'!G:G, 'Picarro Output'!$B:$B, 'Uncalibrated Data'!$C3770, 'Picarro Output'!$I:$I, 0, 'Picarro Output'!$J:$J, 1), "")</f>
        <v/>
      </c>
    </row>
    <row r="3771" spans="2:5" x14ac:dyDescent="0.2">
      <c r="B3771" s="1"/>
      <c r="E3771" s="38" t="str">
        <f>IFERROR(AVERAGEIFS('Picarro Output'!G:G, 'Picarro Output'!$B:$B, 'Uncalibrated Data'!$C3771, 'Picarro Output'!$I:$I, 0, 'Picarro Output'!$J:$J, 1), "")</f>
        <v/>
      </c>
    </row>
    <row r="3772" spans="2:5" x14ac:dyDescent="0.2">
      <c r="B3772" s="1"/>
      <c r="E3772" s="38" t="str">
        <f>IFERROR(AVERAGEIFS('Picarro Output'!G:G, 'Picarro Output'!$B:$B, 'Uncalibrated Data'!$C3772, 'Picarro Output'!$I:$I, 0, 'Picarro Output'!$J:$J, 1), "")</f>
        <v/>
      </c>
    </row>
    <row r="3773" spans="2:5" x14ac:dyDescent="0.2">
      <c r="B3773" s="1"/>
      <c r="E3773" s="38" t="str">
        <f>IFERROR(AVERAGEIFS('Picarro Output'!G:G, 'Picarro Output'!$B:$B, 'Uncalibrated Data'!$C3773, 'Picarro Output'!$I:$I, 0, 'Picarro Output'!$J:$J, 1), "")</f>
        <v/>
      </c>
    </row>
    <row r="3774" spans="2:5" x14ac:dyDescent="0.2">
      <c r="B3774" s="1"/>
      <c r="E3774" s="38" t="str">
        <f>IFERROR(AVERAGEIFS('Picarro Output'!G:G, 'Picarro Output'!$B:$B, 'Uncalibrated Data'!$C3774, 'Picarro Output'!$I:$I, 0, 'Picarro Output'!$J:$J, 1), "")</f>
        <v/>
      </c>
    </row>
    <row r="3775" spans="2:5" x14ac:dyDescent="0.2">
      <c r="B3775" s="1"/>
      <c r="E3775" s="38" t="str">
        <f>IFERROR(AVERAGEIFS('Picarro Output'!G:G, 'Picarro Output'!$B:$B, 'Uncalibrated Data'!$C3775, 'Picarro Output'!$I:$I, 0, 'Picarro Output'!$J:$J, 1), "")</f>
        <v/>
      </c>
    </row>
    <row r="3776" spans="2:5" x14ac:dyDescent="0.2">
      <c r="B3776" s="1"/>
      <c r="E3776" s="38" t="str">
        <f>IFERROR(AVERAGEIFS('Picarro Output'!G:G, 'Picarro Output'!$B:$B, 'Uncalibrated Data'!$C3776, 'Picarro Output'!$I:$I, 0, 'Picarro Output'!$J:$J, 1), "")</f>
        <v/>
      </c>
    </row>
    <row r="3777" spans="2:5" x14ac:dyDescent="0.2">
      <c r="B3777" s="1"/>
      <c r="E3777" s="38" t="str">
        <f>IFERROR(AVERAGEIFS('Picarro Output'!G:G, 'Picarro Output'!$B:$B, 'Uncalibrated Data'!$C3777, 'Picarro Output'!$I:$I, 0, 'Picarro Output'!$J:$J, 1), "")</f>
        <v/>
      </c>
    </row>
    <row r="3778" spans="2:5" x14ac:dyDescent="0.2">
      <c r="B3778" s="1"/>
      <c r="E3778" s="38" t="str">
        <f>IFERROR(AVERAGEIFS('Picarro Output'!G:G, 'Picarro Output'!$B:$B, 'Uncalibrated Data'!$C3778, 'Picarro Output'!$I:$I, 0, 'Picarro Output'!$J:$J, 1), "")</f>
        <v/>
      </c>
    </row>
    <row r="3779" spans="2:5" x14ac:dyDescent="0.2">
      <c r="B3779" s="1"/>
      <c r="E3779" s="38" t="str">
        <f>IFERROR(AVERAGEIFS('Picarro Output'!G:G, 'Picarro Output'!$B:$B, 'Uncalibrated Data'!$C3779, 'Picarro Output'!$I:$I, 0, 'Picarro Output'!$J:$J, 1), "")</f>
        <v/>
      </c>
    </row>
    <row r="3780" spans="2:5" x14ac:dyDescent="0.2">
      <c r="B3780" s="1"/>
      <c r="E3780" s="38" t="str">
        <f>IFERROR(AVERAGEIFS('Picarro Output'!G:G, 'Picarro Output'!$B:$B, 'Uncalibrated Data'!$C3780, 'Picarro Output'!$I:$I, 0, 'Picarro Output'!$J:$J, 1), "")</f>
        <v/>
      </c>
    </row>
    <row r="3781" spans="2:5" x14ac:dyDescent="0.2">
      <c r="B3781" s="1"/>
      <c r="E3781" s="38" t="str">
        <f>IFERROR(AVERAGEIFS('Picarro Output'!G:G, 'Picarro Output'!$B:$B, 'Uncalibrated Data'!$C3781, 'Picarro Output'!$I:$I, 0, 'Picarro Output'!$J:$J, 1), "")</f>
        <v/>
      </c>
    </row>
    <row r="3782" spans="2:5" x14ac:dyDescent="0.2">
      <c r="B3782" s="1"/>
      <c r="E3782" s="38" t="str">
        <f>IFERROR(AVERAGEIFS('Picarro Output'!G:G, 'Picarro Output'!$B:$B, 'Uncalibrated Data'!$C3782, 'Picarro Output'!$I:$I, 0, 'Picarro Output'!$J:$J, 1), "")</f>
        <v/>
      </c>
    </row>
    <row r="3783" spans="2:5" x14ac:dyDescent="0.2">
      <c r="B3783" s="1"/>
      <c r="E3783" s="38" t="str">
        <f>IFERROR(AVERAGEIFS('Picarro Output'!G:G, 'Picarro Output'!$B:$B, 'Uncalibrated Data'!$C3783, 'Picarro Output'!$I:$I, 0, 'Picarro Output'!$J:$J, 1), "")</f>
        <v/>
      </c>
    </row>
    <row r="3784" spans="2:5" x14ac:dyDescent="0.2">
      <c r="B3784" s="1"/>
      <c r="E3784" s="38" t="str">
        <f>IFERROR(AVERAGEIFS('Picarro Output'!G:G, 'Picarro Output'!$B:$B, 'Uncalibrated Data'!$C3784, 'Picarro Output'!$I:$I, 0, 'Picarro Output'!$J:$J, 1), "")</f>
        <v/>
      </c>
    </row>
    <row r="3785" spans="2:5" x14ac:dyDescent="0.2">
      <c r="B3785" s="1"/>
      <c r="E3785" s="38" t="str">
        <f>IFERROR(AVERAGEIFS('Picarro Output'!G:G, 'Picarro Output'!$B:$B, 'Uncalibrated Data'!$C3785, 'Picarro Output'!$I:$I, 0, 'Picarro Output'!$J:$J, 1), "")</f>
        <v/>
      </c>
    </row>
    <row r="3786" spans="2:5" x14ac:dyDescent="0.2">
      <c r="B3786" s="1"/>
      <c r="E3786" s="38" t="str">
        <f>IFERROR(AVERAGEIFS('Picarro Output'!G:G, 'Picarro Output'!$B:$B, 'Uncalibrated Data'!$C3786, 'Picarro Output'!$I:$I, 0, 'Picarro Output'!$J:$J, 1), "")</f>
        <v/>
      </c>
    </row>
    <row r="3787" spans="2:5" x14ac:dyDescent="0.2">
      <c r="B3787" s="1"/>
      <c r="E3787" s="38" t="str">
        <f>IFERROR(AVERAGEIFS('Picarro Output'!G:G, 'Picarro Output'!$B:$B, 'Uncalibrated Data'!$C3787, 'Picarro Output'!$I:$I, 0, 'Picarro Output'!$J:$J, 1), "")</f>
        <v/>
      </c>
    </row>
    <row r="3788" spans="2:5" x14ac:dyDescent="0.2">
      <c r="B3788" s="1"/>
      <c r="E3788" s="38" t="str">
        <f>IFERROR(AVERAGEIFS('Picarro Output'!G:G, 'Picarro Output'!$B:$B, 'Uncalibrated Data'!$C3788, 'Picarro Output'!$I:$I, 0, 'Picarro Output'!$J:$J, 1), "")</f>
        <v/>
      </c>
    </row>
    <row r="3789" spans="2:5" x14ac:dyDescent="0.2">
      <c r="B3789" s="1"/>
      <c r="E3789" s="38" t="str">
        <f>IFERROR(AVERAGEIFS('Picarro Output'!G:G, 'Picarro Output'!$B:$B, 'Uncalibrated Data'!$C3789, 'Picarro Output'!$I:$I, 0, 'Picarro Output'!$J:$J, 1), "")</f>
        <v/>
      </c>
    </row>
    <row r="3790" spans="2:5" x14ac:dyDescent="0.2">
      <c r="B3790" s="1"/>
      <c r="E3790" s="38" t="str">
        <f>IFERROR(AVERAGEIFS('Picarro Output'!G:G, 'Picarro Output'!$B:$B, 'Uncalibrated Data'!$C3790, 'Picarro Output'!$I:$I, 0, 'Picarro Output'!$J:$J, 1), "")</f>
        <v/>
      </c>
    </row>
    <row r="3791" spans="2:5" x14ac:dyDescent="0.2">
      <c r="B3791" s="1"/>
      <c r="E3791" s="38" t="str">
        <f>IFERROR(AVERAGEIFS('Picarro Output'!G:G, 'Picarro Output'!$B:$B, 'Uncalibrated Data'!$C3791, 'Picarro Output'!$I:$I, 0, 'Picarro Output'!$J:$J, 1), "")</f>
        <v/>
      </c>
    </row>
    <row r="3792" spans="2:5" x14ac:dyDescent="0.2">
      <c r="B3792" s="1"/>
      <c r="E3792" s="38" t="str">
        <f>IFERROR(AVERAGEIFS('Picarro Output'!G:G, 'Picarro Output'!$B:$B, 'Uncalibrated Data'!$C3792, 'Picarro Output'!$I:$I, 0, 'Picarro Output'!$J:$J, 1), "")</f>
        <v/>
      </c>
    </row>
    <row r="3793" spans="2:5" x14ac:dyDescent="0.2">
      <c r="B3793" s="1"/>
      <c r="E3793" s="38" t="str">
        <f>IFERROR(AVERAGEIFS('Picarro Output'!G:G, 'Picarro Output'!$B:$B, 'Uncalibrated Data'!$C3793, 'Picarro Output'!$I:$I, 0, 'Picarro Output'!$J:$J, 1), "")</f>
        <v/>
      </c>
    </row>
    <row r="3794" spans="2:5" x14ac:dyDescent="0.2">
      <c r="B3794" s="1"/>
      <c r="E3794" s="38" t="str">
        <f>IFERROR(AVERAGEIFS('Picarro Output'!G:G, 'Picarro Output'!$B:$B, 'Uncalibrated Data'!$C3794, 'Picarro Output'!$I:$I, 0, 'Picarro Output'!$J:$J, 1), "")</f>
        <v/>
      </c>
    </row>
    <row r="3795" spans="2:5" x14ac:dyDescent="0.2">
      <c r="B3795" s="1"/>
      <c r="E3795" s="38" t="str">
        <f>IFERROR(AVERAGEIFS('Picarro Output'!G:G, 'Picarro Output'!$B:$B, 'Uncalibrated Data'!$C3795, 'Picarro Output'!$I:$I, 0, 'Picarro Output'!$J:$J, 1), "")</f>
        <v/>
      </c>
    </row>
    <row r="3796" spans="2:5" x14ac:dyDescent="0.2">
      <c r="B3796" s="1"/>
      <c r="E3796" s="38" t="str">
        <f>IFERROR(AVERAGEIFS('Picarro Output'!G:G, 'Picarro Output'!$B:$B, 'Uncalibrated Data'!$C3796, 'Picarro Output'!$I:$I, 0, 'Picarro Output'!$J:$J, 1), "")</f>
        <v/>
      </c>
    </row>
    <row r="3797" spans="2:5" x14ac:dyDescent="0.2">
      <c r="B3797" s="1"/>
      <c r="E3797" s="38" t="str">
        <f>IFERROR(AVERAGEIFS('Picarro Output'!G:G, 'Picarro Output'!$B:$B, 'Uncalibrated Data'!$C3797, 'Picarro Output'!$I:$I, 0, 'Picarro Output'!$J:$J, 1), "")</f>
        <v/>
      </c>
    </row>
    <row r="3798" spans="2:5" x14ac:dyDescent="0.2">
      <c r="B3798" s="1"/>
      <c r="E3798" s="38" t="str">
        <f>IFERROR(AVERAGEIFS('Picarro Output'!G:G, 'Picarro Output'!$B:$B, 'Uncalibrated Data'!$C3798, 'Picarro Output'!$I:$I, 0, 'Picarro Output'!$J:$J, 1), "")</f>
        <v/>
      </c>
    </row>
    <row r="3799" spans="2:5" x14ac:dyDescent="0.2">
      <c r="B3799" s="1"/>
      <c r="E3799" s="38" t="str">
        <f>IFERROR(AVERAGEIFS('Picarro Output'!G:G, 'Picarro Output'!$B:$B, 'Uncalibrated Data'!$C3799, 'Picarro Output'!$I:$I, 0, 'Picarro Output'!$J:$J, 1), "")</f>
        <v/>
      </c>
    </row>
    <row r="3800" spans="2:5" x14ac:dyDescent="0.2">
      <c r="B3800" s="1"/>
      <c r="E3800" s="38" t="str">
        <f>IFERROR(AVERAGEIFS('Picarro Output'!G:G, 'Picarro Output'!$B:$B, 'Uncalibrated Data'!$C3800, 'Picarro Output'!$I:$I, 0, 'Picarro Output'!$J:$J, 1), "")</f>
        <v/>
      </c>
    </row>
    <row r="3801" spans="2:5" x14ac:dyDescent="0.2">
      <c r="B3801" s="1"/>
      <c r="E3801" s="38" t="str">
        <f>IFERROR(AVERAGEIFS('Picarro Output'!G:G, 'Picarro Output'!$B:$B, 'Uncalibrated Data'!$C3801, 'Picarro Output'!$I:$I, 0, 'Picarro Output'!$J:$J, 1), "")</f>
        <v/>
      </c>
    </row>
    <row r="3802" spans="2:5" x14ac:dyDescent="0.2">
      <c r="B3802" s="1"/>
      <c r="E3802" s="38" t="str">
        <f>IFERROR(AVERAGEIFS('Picarro Output'!G:G, 'Picarro Output'!$B:$B, 'Uncalibrated Data'!$C3802, 'Picarro Output'!$I:$I, 0, 'Picarro Output'!$J:$J, 1), "")</f>
        <v/>
      </c>
    </row>
    <row r="3803" spans="2:5" x14ac:dyDescent="0.2">
      <c r="B3803" s="1"/>
      <c r="E3803" s="38" t="str">
        <f>IFERROR(AVERAGEIFS('Picarro Output'!G:G, 'Picarro Output'!$B:$B, 'Uncalibrated Data'!$C3803, 'Picarro Output'!$I:$I, 0, 'Picarro Output'!$J:$J, 1), "")</f>
        <v/>
      </c>
    </row>
    <row r="3804" spans="2:5" x14ac:dyDescent="0.2">
      <c r="B3804" s="1"/>
      <c r="E3804" s="38" t="str">
        <f>IFERROR(AVERAGEIFS('Picarro Output'!G:G, 'Picarro Output'!$B:$B, 'Uncalibrated Data'!$C3804, 'Picarro Output'!$I:$I, 0, 'Picarro Output'!$J:$J, 1), "")</f>
        <v/>
      </c>
    </row>
    <row r="3805" spans="2:5" x14ac:dyDescent="0.2">
      <c r="B3805" s="1"/>
      <c r="E3805" s="38" t="str">
        <f>IFERROR(AVERAGEIFS('Picarro Output'!G:G, 'Picarro Output'!$B:$B, 'Uncalibrated Data'!$C3805, 'Picarro Output'!$I:$I, 0, 'Picarro Output'!$J:$J, 1), "")</f>
        <v/>
      </c>
    </row>
    <row r="3806" spans="2:5" x14ac:dyDescent="0.2">
      <c r="B3806" s="1"/>
      <c r="E3806" s="38" t="str">
        <f>IFERROR(AVERAGEIFS('Picarro Output'!G:G, 'Picarro Output'!$B:$B, 'Uncalibrated Data'!$C3806, 'Picarro Output'!$I:$I, 0, 'Picarro Output'!$J:$J, 1), "")</f>
        <v/>
      </c>
    </row>
    <row r="3807" spans="2:5" x14ac:dyDescent="0.2">
      <c r="B3807" s="1"/>
      <c r="E3807" s="38" t="str">
        <f>IFERROR(AVERAGEIFS('Picarro Output'!G:G, 'Picarro Output'!$B:$B, 'Uncalibrated Data'!$C3807, 'Picarro Output'!$I:$I, 0, 'Picarro Output'!$J:$J, 1), "")</f>
        <v/>
      </c>
    </row>
    <row r="3808" spans="2:5" x14ac:dyDescent="0.2">
      <c r="B3808" s="1"/>
      <c r="E3808" s="38" t="str">
        <f>IFERROR(AVERAGEIFS('Picarro Output'!G:G, 'Picarro Output'!$B:$B, 'Uncalibrated Data'!$C3808, 'Picarro Output'!$I:$I, 0, 'Picarro Output'!$J:$J, 1), "")</f>
        <v/>
      </c>
    </row>
    <row r="3809" spans="2:5" x14ac:dyDescent="0.2">
      <c r="B3809" s="1"/>
      <c r="E3809" s="38" t="str">
        <f>IFERROR(AVERAGEIFS('Picarro Output'!G:G, 'Picarro Output'!$B:$B, 'Uncalibrated Data'!$C3809, 'Picarro Output'!$I:$I, 0, 'Picarro Output'!$J:$J, 1), "")</f>
        <v/>
      </c>
    </row>
    <row r="3810" spans="2:5" x14ac:dyDescent="0.2">
      <c r="B3810" s="1"/>
      <c r="E3810" s="38" t="str">
        <f>IFERROR(AVERAGEIFS('Picarro Output'!G:G, 'Picarro Output'!$B:$B, 'Uncalibrated Data'!$C3810, 'Picarro Output'!$I:$I, 0, 'Picarro Output'!$J:$J, 1), "")</f>
        <v/>
      </c>
    </row>
    <row r="3811" spans="2:5" x14ac:dyDescent="0.2">
      <c r="B3811" s="1"/>
      <c r="E3811" s="38" t="str">
        <f>IFERROR(AVERAGEIFS('Picarro Output'!G:G, 'Picarro Output'!$B:$B, 'Uncalibrated Data'!$C3811, 'Picarro Output'!$I:$I, 0, 'Picarro Output'!$J:$J, 1), "")</f>
        <v/>
      </c>
    </row>
    <row r="3812" spans="2:5" x14ac:dyDescent="0.2">
      <c r="B3812" s="1"/>
      <c r="E3812" s="38" t="str">
        <f>IFERROR(AVERAGEIFS('Picarro Output'!G:G, 'Picarro Output'!$B:$B, 'Uncalibrated Data'!$C3812, 'Picarro Output'!$I:$I, 0, 'Picarro Output'!$J:$J, 1), "")</f>
        <v/>
      </c>
    </row>
    <row r="3813" spans="2:5" x14ac:dyDescent="0.2">
      <c r="B3813" s="1"/>
      <c r="E3813" s="38" t="str">
        <f>IFERROR(AVERAGEIFS('Picarro Output'!G:G, 'Picarro Output'!$B:$B, 'Uncalibrated Data'!$C3813, 'Picarro Output'!$I:$I, 0, 'Picarro Output'!$J:$J, 1), "")</f>
        <v/>
      </c>
    </row>
    <row r="3814" spans="2:5" x14ac:dyDescent="0.2">
      <c r="B3814" s="1"/>
      <c r="E3814" s="38" t="str">
        <f>IFERROR(AVERAGEIFS('Picarro Output'!G:G, 'Picarro Output'!$B:$B, 'Uncalibrated Data'!$C3814, 'Picarro Output'!$I:$I, 0, 'Picarro Output'!$J:$J, 1), "")</f>
        <v/>
      </c>
    </row>
    <row r="3815" spans="2:5" x14ac:dyDescent="0.2">
      <c r="B3815" s="1"/>
      <c r="E3815" s="38" t="str">
        <f>IFERROR(AVERAGEIFS('Picarro Output'!G:G, 'Picarro Output'!$B:$B, 'Uncalibrated Data'!$C3815, 'Picarro Output'!$I:$I, 0, 'Picarro Output'!$J:$J, 1), "")</f>
        <v/>
      </c>
    </row>
    <row r="3816" spans="2:5" x14ac:dyDescent="0.2">
      <c r="B3816" s="1"/>
      <c r="E3816" s="38" t="str">
        <f>IFERROR(AVERAGEIFS('Picarro Output'!G:G, 'Picarro Output'!$B:$B, 'Uncalibrated Data'!$C3816, 'Picarro Output'!$I:$I, 0, 'Picarro Output'!$J:$J, 1), "")</f>
        <v/>
      </c>
    </row>
    <row r="3817" spans="2:5" x14ac:dyDescent="0.2">
      <c r="B3817" s="1"/>
      <c r="E3817" s="38" t="str">
        <f>IFERROR(AVERAGEIFS('Picarro Output'!G:G, 'Picarro Output'!$B:$B, 'Uncalibrated Data'!$C3817, 'Picarro Output'!$I:$I, 0, 'Picarro Output'!$J:$J, 1), "")</f>
        <v/>
      </c>
    </row>
    <row r="3818" spans="2:5" x14ac:dyDescent="0.2">
      <c r="B3818" s="1"/>
      <c r="E3818" s="38" t="str">
        <f>IFERROR(AVERAGEIFS('Picarro Output'!G:G, 'Picarro Output'!$B:$B, 'Uncalibrated Data'!$C3818, 'Picarro Output'!$I:$I, 0, 'Picarro Output'!$J:$J, 1), "")</f>
        <v/>
      </c>
    </row>
    <row r="3819" spans="2:5" x14ac:dyDescent="0.2">
      <c r="B3819" s="1"/>
      <c r="E3819" s="38" t="str">
        <f>IFERROR(AVERAGEIFS('Picarro Output'!G:G, 'Picarro Output'!$B:$B, 'Uncalibrated Data'!$C3819, 'Picarro Output'!$I:$I, 0, 'Picarro Output'!$J:$J, 1), "")</f>
        <v/>
      </c>
    </row>
    <row r="3820" spans="2:5" x14ac:dyDescent="0.2">
      <c r="B3820" s="1"/>
      <c r="E3820" s="38" t="str">
        <f>IFERROR(AVERAGEIFS('Picarro Output'!G:G, 'Picarro Output'!$B:$B, 'Uncalibrated Data'!$C3820, 'Picarro Output'!$I:$I, 0, 'Picarro Output'!$J:$J, 1), "")</f>
        <v/>
      </c>
    </row>
    <row r="3821" spans="2:5" x14ac:dyDescent="0.2">
      <c r="B3821" s="1"/>
      <c r="E3821" s="38" t="str">
        <f>IFERROR(AVERAGEIFS('Picarro Output'!G:G, 'Picarro Output'!$B:$B, 'Uncalibrated Data'!$C3821, 'Picarro Output'!$I:$I, 0, 'Picarro Output'!$J:$J, 1), "")</f>
        <v/>
      </c>
    </row>
    <row r="3822" spans="2:5" x14ac:dyDescent="0.2">
      <c r="B3822" s="1"/>
      <c r="E3822" s="38" t="str">
        <f>IFERROR(AVERAGEIFS('Picarro Output'!G:G, 'Picarro Output'!$B:$B, 'Uncalibrated Data'!$C3822, 'Picarro Output'!$I:$I, 0, 'Picarro Output'!$J:$J, 1), "")</f>
        <v/>
      </c>
    </row>
    <row r="3823" spans="2:5" x14ac:dyDescent="0.2">
      <c r="B3823" s="1"/>
      <c r="E3823" s="38" t="str">
        <f>IFERROR(AVERAGEIFS('Picarro Output'!G:G, 'Picarro Output'!$B:$B, 'Uncalibrated Data'!$C3823, 'Picarro Output'!$I:$I, 0, 'Picarro Output'!$J:$J, 1), "")</f>
        <v/>
      </c>
    </row>
    <row r="3824" spans="2:5" x14ac:dyDescent="0.2">
      <c r="B3824" s="1"/>
      <c r="E3824" s="38" t="str">
        <f>IFERROR(AVERAGEIFS('Picarro Output'!G:G, 'Picarro Output'!$B:$B, 'Uncalibrated Data'!$C3824, 'Picarro Output'!$I:$I, 0, 'Picarro Output'!$J:$J, 1), "")</f>
        <v/>
      </c>
    </row>
    <row r="3825" spans="2:5" x14ac:dyDescent="0.2">
      <c r="B3825" s="1"/>
      <c r="E3825" s="38" t="str">
        <f>IFERROR(AVERAGEIFS('Picarro Output'!G:G, 'Picarro Output'!$B:$B, 'Uncalibrated Data'!$C3825, 'Picarro Output'!$I:$I, 0, 'Picarro Output'!$J:$J, 1), "")</f>
        <v/>
      </c>
    </row>
    <row r="3826" spans="2:5" x14ac:dyDescent="0.2">
      <c r="B3826" s="1"/>
      <c r="E3826" s="38" t="str">
        <f>IFERROR(AVERAGEIFS('Picarro Output'!G:G, 'Picarro Output'!$B:$B, 'Uncalibrated Data'!$C3826, 'Picarro Output'!$I:$I, 0, 'Picarro Output'!$J:$J, 1), "")</f>
        <v/>
      </c>
    </row>
    <row r="3827" spans="2:5" x14ac:dyDescent="0.2">
      <c r="B3827" s="1"/>
      <c r="E3827" s="38" t="str">
        <f>IFERROR(AVERAGEIFS('Picarro Output'!G:G, 'Picarro Output'!$B:$B, 'Uncalibrated Data'!$C3827, 'Picarro Output'!$I:$I, 0, 'Picarro Output'!$J:$J, 1), "")</f>
        <v/>
      </c>
    </row>
    <row r="3828" spans="2:5" x14ac:dyDescent="0.2">
      <c r="B3828" s="1"/>
      <c r="E3828" s="38" t="str">
        <f>IFERROR(AVERAGEIFS('Picarro Output'!G:G, 'Picarro Output'!$B:$B, 'Uncalibrated Data'!$C3828, 'Picarro Output'!$I:$I, 0, 'Picarro Output'!$J:$J, 1), "")</f>
        <v/>
      </c>
    </row>
    <row r="3829" spans="2:5" x14ac:dyDescent="0.2">
      <c r="B3829" s="1"/>
      <c r="E3829" s="38" t="str">
        <f>IFERROR(AVERAGEIFS('Picarro Output'!G:G, 'Picarro Output'!$B:$B, 'Uncalibrated Data'!$C3829, 'Picarro Output'!$I:$I, 0, 'Picarro Output'!$J:$J, 1), "")</f>
        <v/>
      </c>
    </row>
    <row r="3830" spans="2:5" x14ac:dyDescent="0.2">
      <c r="B3830" s="1"/>
      <c r="E3830" s="38" t="str">
        <f>IFERROR(AVERAGEIFS('Picarro Output'!G:G, 'Picarro Output'!$B:$B, 'Uncalibrated Data'!$C3830, 'Picarro Output'!$I:$I, 0, 'Picarro Output'!$J:$J, 1), "")</f>
        <v/>
      </c>
    </row>
    <row r="3831" spans="2:5" x14ac:dyDescent="0.2">
      <c r="B3831" s="1"/>
      <c r="E3831" s="38" t="str">
        <f>IFERROR(AVERAGEIFS('Picarro Output'!G:G, 'Picarro Output'!$B:$B, 'Uncalibrated Data'!$C3831, 'Picarro Output'!$I:$I, 0, 'Picarro Output'!$J:$J, 1), "")</f>
        <v/>
      </c>
    </row>
    <row r="3832" spans="2:5" x14ac:dyDescent="0.2">
      <c r="B3832" s="1"/>
      <c r="E3832" s="38" t="str">
        <f>IFERROR(AVERAGEIFS('Picarro Output'!G:G, 'Picarro Output'!$B:$B, 'Uncalibrated Data'!$C3832, 'Picarro Output'!$I:$I, 0, 'Picarro Output'!$J:$J, 1), "")</f>
        <v/>
      </c>
    </row>
    <row r="3833" spans="2:5" x14ac:dyDescent="0.2">
      <c r="B3833" s="1"/>
      <c r="E3833" s="38" t="str">
        <f>IFERROR(AVERAGEIFS('Picarro Output'!G:G, 'Picarro Output'!$B:$B, 'Uncalibrated Data'!$C3833, 'Picarro Output'!$I:$I, 0, 'Picarro Output'!$J:$J, 1), "")</f>
        <v/>
      </c>
    </row>
    <row r="3834" spans="2:5" x14ac:dyDescent="0.2">
      <c r="B3834" s="1"/>
      <c r="E3834" s="38" t="str">
        <f>IFERROR(AVERAGEIFS('Picarro Output'!G:G, 'Picarro Output'!$B:$B, 'Uncalibrated Data'!$C3834, 'Picarro Output'!$I:$I, 0, 'Picarro Output'!$J:$J, 1), "")</f>
        <v/>
      </c>
    </row>
    <row r="3835" spans="2:5" x14ac:dyDescent="0.2">
      <c r="B3835" s="1"/>
      <c r="E3835" s="38" t="str">
        <f>IFERROR(AVERAGEIFS('Picarro Output'!G:G, 'Picarro Output'!$B:$B, 'Uncalibrated Data'!$C3835, 'Picarro Output'!$I:$I, 0, 'Picarro Output'!$J:$J, 1), "")</f>
        <v/>
      </c>
    </row>
    <row r="3836" spans="2:5" x14ac:dyDescent="0.2">
      <c r="B3836" s="1"/>
      <c r="E3836" s="38" t="str">
        <f>IFERROR(AVERAGEIFS('Picarro Output'!G:G, 'Picarro Output'!$B:$B, 'Uncalibrated Data'!$C3836, 'Picarro Output'!$I:$I, 0, 'Picarro Output'!$J:$J, 1), "")</f>
        <v/>
      </c>
    </row>
    <row r="3837" spans="2:5" x14ac:dyDescent="0.2">
      <c r="B3837" s="1"/>
      <c r="E3837" s="38" t="str">
        <f>IFERROR(AVERAGEIFS('Picarro Output'!G:G, 'Picarro Output'!$B:$B, 'Uncalibrated Data'!$C3837, 'Picarro Output'!$I:$I, 0, 'Picarro Output'!$J:$J, 1), "")</f>
        <v/>
      </c>
    </row>
    <row r="3838" spans="2:5" x14ac:dyDescent="0.2">
      <c r="B3838" s="1"/>
      <c r="E3838" s="38" t="str">
        <f>IFERROR(AVERAGEIFS('Picarro Output'!G:G, 'Picarro Output'!$B:$B, 'Uncalibrated Data'!$C3838, 'Picarro Output'!$I:$I, 0, 'Picarro Output'!$J:$J, 1), "")</f>
        <v/>
      </c>
    </row>
    <row r="3839" spans="2:5" x14ac:dyDescent="0.2">
      <c r="B3839" s="1"/>
      <c r="E3839" s="38" t="str">
        <f>IFERROR(AVERAGEIFS('Picarro Output'!G:G, 'Picarro Output'!$B:$B, 'Uncalibrated Data'!$C3839, 'Picarro Output'!$I:$I, 0, 'Picarro Output'!$J:$J, 1), "")</f>
        <v/>
      </c>
    </row>
    <row r="3840" spans="2:5" x14ac:dyDescent="0.2">
      <c r="B3840" s="1"/>
      <c r="E3840" s="38" t="str">
        <f>IFERROR(AVERAGEIFS('Picarro Output'!G:G, 'Picarro Output'!$B:$B, 'Uncalibrated Data'!$C3840, 'Picarro Output'!$I:$I, 0, 'Picarro Output'!$J:$J, 1), "")</f>
        <v/>
      </c>
    </row>
    <row r="3841" spans="2:5" x14ac:dyDescent="0.2">
      <c r="B3841" s="1"/>
      <c r="E3841" s="38" t="str">
        <f>IFERROR(AVERAGEIFS('Picarro Output'!G:G, 'Picarro Output'!$B:$B, 'Uncalibrated Data'!$C3841, 'Picarro Output'!$I:$I, 0, 'Picarro Output'!$J:$J, 1), "")</f>
        <v/>
      </c>
    </row>
    <row r="3842" spans="2:5" x14ac:dyDescent="0.2">
      <c r="B3842" s="1"/>
      <c r="E3842" s="38" t="str">
        <f>IFERROR(AVERAGEIFS('Picarro Output'!G:G, 'Picarro Output'!$B:$B, 'Uncalibrated Data'!$C3842, 'Picarro Output'!$I:$I, 0, 'Picarro Output'!$J:$J, 1), "")</f>
        <v/>
      </c>
    </row>
    <row r="3843" spans="2:5" x14ac:dyDescent="0.2">
      <c r="B3843" s="1"/>
      <c r="E3843" s="38" t="str">
        <f>IFERROR(AVERAGEIFS('Picarro Output'!G:G, 'Picarro Output'!$B:$B, 'Uncalibrated Data'!$C3843, 'Picarro Output'!$I:$I, 0, 'Picarro Output'!$J:$J, 1), "")</f>
        <v/>
      </c>
    </row>
    <row r="3844" spans="2:5" x14ac:dyDescent="0.2">
      <c r="B3844" s="1"/>
      <c r="E3844" s="38" t="str">
        <f>IFERROR(AVERAGEIFS('Picarro Output'!G:G, 'Picarro Output'!$B:$B, 'Uncalibrated Data'!$C3844, 'Picarro Output'!$I:$I, 0, 'Picarro Output'!$J:$J, 1), "")</f>
        <v/>
      </c>
    </row>
    <row r="3845" spans="2:5" x14ac:dyDescent="0.2">
      <c r="B3845" s="1"/>
      <c r="E3845" s="38" t="str">
        <f>IFERROR(AVERAGEIFS('Picarro Output'!G:G, 'Picarro Output'!$B:$B, 'Uncalibrated Data'!$C3845, 'Picarro Output'!$I:$I, 0, 'Picarro Output'!$J:$J, 1), "")</f>
        <v/>
      </c>
    </row>
    <row r="3846" spans="2:5" x14ac:dyDescent="0.2">
      <c r="B3846" s="1"/>
      <c r="E3846" s="38" t="str">
        <f>IFERROR(AVERAGEIFS('Picarro Output'!G:G, 'Picarro Output'!$B:$B, 'Uncalibrated Data'!$C3846, 'Picarro Output'!$I:$I, 0, 'Picarro Output'!$J:$J, 1), "")</f>
        <v/>
      </c>
    </row>
    <row r="3847" spans="2:5" x14ac:dyDescent="0.2">
      <c r="B3847" s="1"/>
      <c r="E3847" s="38" t="str">
        <f>IFERROR(AVERAGEIFS('Picarro Output'!G:G, 'Picarro Output'!$B:$B, 'Uncalibrated Data'!$C3847, 'Picarro Output'!$I:$I, 0, 'Picarro Output'!$J:$J, 1), "")</f>
        <v/>
      </c>
    </row>
    <row r="3848" spans="2:5" x14ac:dyDescent="0.2">
      <c r="B3848" s="1"/>
      <c r="E3848" s="38" t="str">
        <f>IFERROR(AVERAGEIFS('Picarro Output'!G:G, 'Picarro Output'!$B:$B, 'Uncalibrated Data'!$C3848, 'Picarro Output'!$I:$I, 0, 'Picarro Output'!$J:$J, 1), "")</f>
        <v/>
      </c>
    </row>
    <row r="3849" spans="2:5" x14ac:dyDescent="0.2">
      <c r="B3849" s="1"/>
      <c r="E3849" s="38" t="str">
        <f>IFERROR(AVERAGEIFS('Picarro Output'!G:G, 'Picarro Output'!$B:$B, 'Uncalibrated Data'!$C3849, 'Picarro Output'!$I:$I, 0, 'Picarro Output'!$J:$J, 1), "")</f>
        <v/>
      </c>
    </row>
    <row r="3850" spans="2:5" x14ac:dyDescent="0.2">
      <c r="B3850" s="1"/>
      <c r="E3850" s="38" t="str">
        <f>IFERROR(AVERAGEIFS('Picarro Output'!G:G, 'Picarro Output'!$B:$B, 'Uncalibrated Data'!$C3850, 'Picarro Output'!$I:$I, 0, 'Picarro Output'!$J:$J, 1), "")</f>
        <v/>
      </c>
    </row>
    <row r="3851" spans="2:5" x14ac:dyDescent="0.2">
      <c r="B3851" s="1"/>
      <c r="E3851" s="38" t="str">
        <f>IFERROR(AVERAGEIFS('Picarro Output'!G:G, 'Picarro Output'!$B:$B, 'Uncalibrated Data'!$C3851, 'Picarro Output'!$I:$I, 0, 'Picarro Output'!$J:$J, 1), "")</f>
        <v/>
      </c>
    </row>
    <row r="3852" spans="2:5" x14ac:dyDescent="0.2">
      <c r="B3852" s="1"/>
      <c r="E3852" s="38" t="str">
        <f>IFERROR(AVERAGEIFS('Picarro Output'!G:G, 'Picarro Output'!$B:$B, 'Uncalibrated Data'!$C3852, 'Picarro Output'!$I:$I, 0, 'Picarro Output'!$J:$J, 1), "")</f>
        <v/>
      </c>
    </row>
    <row r="3853" spans="2:5" x14ac:dyDescent="0.2">
      <c r="B3853" s="1"/>
      <c r="E3853" s="38" t="str">
        <f>IFERROR(AVERAGEIFS('Picarro Output'!G:G, 'Picarro Output'!$B:$B, 'Uncalibrated Data'!$C3853, 'Picarro Output'!$I:$I, 0, 'Picarro Output'!$J:$J, 1), "")</f>
        <v/>
      </c>
    </row>
    <row r="3854" spans="2:5" x14ac:dyDescent="0.2">
      <c r="B3854" s="1"/>
      <c r="E3854" s="38" t="str">
        <f>IFERROR(AVERAGEIFS('Picarro Output'!G:G, 'Picarro Output'!$B:$B, 'Uncalibrated Data'!$C3854, 'Picarro Output'!$I:$I, 0, 'Picarro Output'!$J:$J, 1), "")</f>
        <v/>
      </c>
    </row>
    <row r="3855" spans="2:5" x14ac:dyDescent="0.2">
      <c r="B3855" s="1"/>
      <c r="E3855" s="38" t="str">
        <f>IFERROR(AVERAGEIFS('Picarro Output'!G:G, 'Picarro Output'!$B:$B, 'Uncalibrated Data'!$C3855, 'Picarro Output'!$I:$I, 0, 'Picarro Output'!$J:$J, 1), "")</f>
        <v/>
      </c>
    </row>
    <row r="3856" spans="2:5" x14ac:dyDescent="0.2">
      <c r="B3856" s="1"/>
      <c r="E3856" s="38" t="str">
        <f>IFERROR(AVERAGEIFS('Picarro Output'!G:G, 'Picarro Output'!$B:$B, 'Uncalibrated Data'!$C3856, 'Picarro Output'!$I:$I, 0, 'Picarro Output'!$J:$J, 1), "")</f>
        <v/>
      </c>
    </row>
    <row r="3857" spans="2:5" x14ac:dyDescent="0.2">
      <c r="B3857" s="1"/>
      <c r="E3857" s="38" t="str">
        <f>IFERROR(AVERAGEIFS('Picarro Output'!G:G, 'Picarro Output'!$B:$B, 'Uncalibrated Data'!$C3857, 'Picarro Output'!$I:$I, 0, 'Picarro Output'!$J:$J, 1), "")</f>
        <v/>
      </c>
    </row>
    <row r="3858" spans="2:5" x14ac:dyDescent="0.2">
      <c r="B3858" s="1"/>
      <c r="E3858" s="38" t="str">
        <f>IFERROR(AVERAGEIFS('Picarro Output'!G:G, 'Picarro Output'!$B:$B, 'Uncalibrated Data'!$C3858, 'Picarro Output'!$I:$I, 0, 'Picarro Output'!$J:$J, 1), "")</f>
        <v/>
      </c>
    </row>
    <row r="3859" spans="2:5" x14ac:dyDescent="0.2">
      <c r="B3859" s="1"/>
      <c r="E3859" s="38" t="str">
        <f>IFERROR(AVERAGEIFS('Picarro Output'!G:G, 'Picarro Output'!$B:$B, 'Uncalibrated Data'!$C3859, 'Picarro Output'!$I:$I, 0, 'Picarro Output'!$J:$J, 1), "")</f>
        <v/>
      </c>
    </row>
    <row r="3860" spans="2:5" x14ac:dyDescent="0.2">
      <c r="B3860" s="1"/>
      <c r="E3860" s="38" t="str">
        <f>IFERROR(AVERAGEIFS('Picarro Output'!G:G, 'Picarro Output'!$B:$B, 'Uncalibrated Data'!$C3860, 'Picarro Output'!$I:$I, 0, 'Picarro Output'!$J:$J, 1), "")</f>
        <v/>
      </c>
    </row>
    <row r="3861" spans="2:5" x14ac:dyDescent="0.2">
      <c r="B3861" s="1"/>
      <c r="E3861" s="38" t="str">
        <f>IFERROR(AVERAGEIFS('Picarro Output'!G:G, 'Picarro Output'!$B:$B, 'Uncalibrated Data'!$C3861, 'Picarro Output'!$I:$I, 0, 'Picarro Output'!$J:$J, 1), "")</f>
        <v/>
      </c>
    </row>
    <row r="3862" spans="2:5" x14ac:dyDescent="0.2">
      <c r="B3862" s="1"/>
      <c r="E3862" s="38" t="str">
        <f>IFERROR(AVERAGEIFS('Picarro Output'!G:G, 'Picarro Output'!$B:$B, 'Uncalibrated Data'!$C3862, 'Picarro Output'!$I:$I, 0, 'Picarro Output'!$J:$J, 1), "")</f>
        <v/>
      </c>
    </row>
    <row r="3863" spans="2:5" x14ac:dyDescent="0.2">
      <c r="B3863" s="1"/>
      <c r="E3863" s="38" t="str">
        <f>IFERROR(AVERAGEIFS('Picarro Output'!G:G, 'Picarro Output'!$B:$B, 'Uncalibrated Data'!$C3863, 'Picarro Output'!$I:$I, 0, 'Picarro Output'!$J:$J, 1), "")</f>
        <v/>
      </c>
    </row>
    <row r="3864" spans="2:5" x14ac:dyDescent="0.2">
      <c r="B3864" s="1"/>
      <c r="E3864" s="38" t="str">
        <f>IFERROR(AVERAGEIFS('Picarro Output'!G:G, 'Picarro Output'!$B:$B, 'Uncalibrated Data'!$C3864, 'Picarro Output'!$I:$I, 0, 'Picarro Output'!$J:$J, 1), "")</f>
        <v/>
      </c>
    </row>
    <row r="3865" spans="2:5" x14ac:dyDescent="0.2">
      <c r="B3865" s="1"/>
      <c r="E3865" s="38" t="str">
        <f>IFERROR(AVERAGEIFS('Picarro Output'!G:G, 'Picarro Output'!$B:$B, 'Uncalibrated Data'!$C3865, 'Picarro Output'!$I:$I, 0, 'Picarro Output'!$J:$J, 1), "")</f>
        <v/>
      </c>
    </row>
    <row r="3866" spans="2:5" x14ac:dyDescent="0.2">
      <c r="B3866" s="1"/>
      <c r="E3866" s="38" t="str">
        <f>IFERROR(AVERAGEIFS('Picarro Output'!G:G, 'Picarro Output'!$B:$B, 'Uncalibrated Data'!$C3866, 'Picarro Output'!$I:$I, 0, 'Picarro Output'!$J:$J, 1), "")</f>
        <v/>
      </c>
    </row>
    <row r="3867" spans="2:5" x14ac:dyDescent="0.2">
      <c r="B3867" s="1"/>
      <c r="E3867" s="38" t="str">
        <f>IFERROR(AVERAGEIFS('Picarro Output'!G:G, 'Picarro Output'!$B:$B, 'Uncalibrated Data'!$C3867, 'Picarro Output'!$I:$I, 0, 'Picarro Output'!$J:$J, 1), "")</f>
        <v/>
      </c>
    </row>
    <row r="3868" spans="2:5" x14ac:dyDescent="0.2">
      <c r="B3868" s="1"/>
      <c r="E3868" s="38" t="str">
        <f>IFERROR(AVERAGEIFS('Picarro Output'!G:G, 'Picarro Output'!$B:$B, 'Uncalibrated Data'!$C3868, 'Picarro Output'!$I:$I, 0, 'Picarro Output'!$J:$J, 1), "")</f>
        <v/>
      </c>
    </row>
    <row r="3869" spans="2:5" x14ac:dyDescent="0.2">
      <c r="B3869" s="1"/>
      <c r="E3869" s="38" t="str">
        <f>IFERROR(AVERAGEIFS('Picarro Output'!G:G, 'Picarro Output'!$B:$B, 'Uncalibrated Data'!$C3869, 'Picarro Output'!$I:$I, 0, 'Picarro Output'!$J:$J, 1), "")</f>
        <v/>
      </c>
    </row>
    <row r="3870" spans="2:5" x14ac:dyDescent="0.2">
      <c r="B3870" s="1"/>
      <c r="E3870" s="38" t="str">
        <f>IFERROR(AVERAGEIFS('Picarro Output'!G:G, 'Picarro Output'!$B:$B, 'Uncalibrated Data'!$C3870, 'Picarro Output'!$I:$I, 0, 'Picarro Output'!$J:$J, 1), "")</f>
        <v/>
      </c>
    </row>
    <row r="3871" spans="2:5" x14ac:dyDescent="0.2">
      <c r="B3871" s="1"/>
      <c r="E3871" s="38" t="str">
        <f>IFERROR(AVERAGEIFS('Picarro Output'!G:G, 'Picarro Output'!$B:$B, 'Uncalibrated Data'!$C3871, 'Picarro Output'!$I:$I, 0, 'Picarro Output'!$J:$J, 1), "")</f>
        <v/>
      </c>
    </row>
    <row r="3872" spans="2:5" x14ac:dyDescent="0.2">
      <c r="B3872" s="1"/>
      <c r="E3872" s="38" t="str">
        <f>IFERROR(AVERAGEIFS('Picarro Output'!G:G, 'Picarro Output'!$B:$B, 'Uncalibrated Data'!$C3872, 'Picarro Output'!$I:$I, 0, 'Picarro Output'!$J:$J, 1), "")</f>
        <v/>
      </c>
    </row>
    <row r="3873" spans="2:5" x14ac:dyDescent="0.2">
      <c r="B3873" s="1"/>
      <c r="E3873" s="38" t="str">
        <f>IFERROR(AVERAGEIFS('Picarro Output'!G:G, 'Picarro Output'!$B:$B, 'Uncalibrated Data'!$C3873, 'Picarro Output'!$I:$I, 0, 'Picarro Output'!$J:$J, 1), "")</f>
        <v/>
      </c>
    </row>
    <row r="3874" spans="2:5" x14ac:dyDescent="0.2">
      <c r="B3874" s="1"/>
      <c r="E3874" s="38" t="str">
        <f>IFERROR(AVERAGEIFS('Picarro Output'!G:G, 'Picarro Output'!$B:$B, 'Uncalibrated Data'!$C3874, 'Picarro Output'!$I:$I, 0, 'Picarro Output'!$J:$J, 1), "")</f>
        <v/>
      </c>
    </row>
    <row r="3875" spans="2:5" x14ac:dyDescent="0.2">
      <c r="B3875" s="1"/>
      <c r="E3875" s="38" t="str">
        <f>IFERROR(AVERAGEIFS('Picarro Output'!G:G, 'Picarro Output'!$B:$B, 'Uncalibrated Data'!$C3875, 'Picarro Output'!$I:$I, 0, 'Picarro Output'!$J:$J, 1), "")</f>
        <v/>
      </c>
    </row>
    <row r="3876" spans="2:5" x14ac:dyDescent="0.2">
      <c r="B3876" s="1"/>
      <c r="E3876" s="38" t="str">
        <f>IFERROR(AVERAGEIFS('Picarro Output'!G:G, 'Picarro Output'!$B:$B, 'Uncalibrated Data'!$C3876, 'Picarro Output'!$I:$I, 0, 'Picarro Output'!$J:$J, 1), "")</f>
        <v/>
      </c>
    </row>
    <row r="3877" spans="2:5" x14ac:dyDescent="0.2">
      <c r="B3877" s="1"/>
      <c r="E3877" s="38" t="str">
        <f>IFERROR(AVERAGEIFS('Picarro Output'!G:G, 'Picarro Output'!$B:$B, 'Uncalibrated Data'!$C3877, 'Picarro Output'!$I:$I, 0, 'Picarro Output'!$J:$J, 1), "")</f>
        <v/>
      </c>
    </row>
    <row r="3878" spans="2:5" x14ac:dyDescent="0.2">
      <c r="B3878" s="1"/>
      <c r="E3878" s="38" t="str">
        <f>IFERROR(AVERAGEIFS('Picarro Output'!G:G, 'Picarro Output'!$B:$B, 'Uncalibrated Data'!$C3878, 'Picarro Output'!$I:$I, 0, 'Picarro Output'!$J:$J, 1), "")</f>
        <v/>
      </c>
    </row>
    <row r="3879" spans="2:5" x14ac:dyDescent="0.2">
      <c r="B3879" s="1"/>
      <c r="E3879" s="38" t="str">
        <f>IFERROR(AVERAGEIFS('Picarro Output'!G:G, 'Picarro Output'!$B:$B, 'Uncalibrated Data'!$C3879, 'Picarro Output'!$I:$I, 0, 'Picarro Output'!$J:$J, 1), "")</f>
        <v/>
      </c>
    </row>
    <row r="3880" spans="2:5" x14ac:dyDescent="0.2">
      <c r="B3880" s="1"/>
      <c r="E3880" s="38" t="str">
        <f>IFERROR(AVERAGEIFS('Picarro Output'!G:G, 'Picarro Output'!$B:$B, 'Uncalibrated Data'!$C3880, 'Picarro Output'!$I:$I, 0, 'Picarro Output'!$J:$J, 1), "")</f>
        <v/>
      </c>
    </row>
    <row r="3881" spans="2:5" x14ac:dyDescent="0.2">
      <c r="B3881" s="1"/>
      <c r="E3881" s="38" t="str">
        <f>IFERROR(AVERAGEIFS('Picarro Output'!G:G, 'Picarro Output'!$B:$B, 'Uncalibrated Data'!$C3881, 'Picarro Output'!$I:$I, 0, 'Picarro Output'!$J:$J, 1), "")</f>
        <v/>
      </c>
    </row>
    <row r="3882" spans="2:5" x14ac:dyDescent="0.2">
      <c r="B3882" s="1"/>
      <c r="E3882" s="38" t="str">
        <f>IFERROR(AVERAGEIFS('Picarro Output'!G:G, 'Picarro Output'!$B:$B, 'Uncalibrated Data'!$C3882, 'Picarro Output'!$I:$I, 0, 'Picarro Output'!$J:$J, 1), "")</f>
        <v/>
      </c>
    </row>
    <row r="3883" spans="2:5" x14ac:dyDescent="0.2">
      <c r="B3883" s="1"/>
      <c r="E3883" s="38" t="str">
        <f>IFERROR(AVERAGEIFS('Picarro Output'!G:G, 'Picarro Output'!$B:$B, 'Uncalibrated Data'!$C3883, 'Picarro Output'!$I:$I, 0, 'Picarro Output'!$J:$J, 1), "")</f>
        <v/>
      </c>
    </row>
    <row r="3884" spans="2:5" x14ac:dyDescent="0.2">
      <c r="B3884" s="1"/>
      <c r="E3884" s="38" t="str">
        <f>IFERROR(AVERAGEIFS('Picarro Output'!G:G, 'Picarro Output'!$B:$B, 'Uncalibrated Data'!$C3884, 'Picarro Output'!$I:$I, 0, 'Picarro Output'!$J:$J, 1), "")</f>
        <v/>
      </c>
    </row>
    <row r="3885" spans="2:5" x14ac:dyDescent="0.2">
      <c r="B3885" s="1"/>
      <c r="E3885" s="38" t="str">
        <f>IFERROR(AVERAGEIFS('Picarro Output'!G:G, 'Picarro Output'!$B:$B, 'Uncalibrated Data'!$C3885, 'Picarro Output'!$I:$I, 0, 'Picarro Output'!$J:$J, 1), "")</f>
        <v/>
      </c>
    </row>
    <row r="3886" spans="2:5" x14ac:dyDescent="0.2">
      <c r="B3886" s="1"/>
      <c r="E3886" s="38" t="str">
        <f>IFERROR(AVERAGEIFS('Picarro Output'!G:G, 'Picarro Output'!$B:$B, 'Uncalibrated Data'!$C3886, 'Picarro Output'!$I:$I, 0, 'Picarro Output'!$J:$J, 1), "")</f>
        <v/>
      </c>
    </row>
    <row r="3887" spans="2:5" x14ac:dyDescent="0.2">
      <c r="B3887" s="1"/>
      <c r="E3887" s="38" t="str">
        <f>IFERROR(AVERAGEIFS('Picarro Output'!G:G, 'Picarro Output'!$B:$B, 'Uncalibrated Data'!$C3887, 'Picarro Output'!$I:$I, 0, 'Picarro Output'!$J:$J, 1), "")</f>
        <v/>
      </c>
    </row>
    <row r="3888" spans="2:5" x14ac:dyDescent="0.2">
      <c r="B3888" s="1"/>
      <c r="E3888" s="38" t="str">
        <f>IFERROR(AVERAGEIFS('Picarro Output'!G:G, 'Picarro Output'!$B:$B, 'Uncalibrated Data'!$C3888, 'Picarro Output'!$I:$I, 0, 'Picarro Output'!$J:$J, 1), "")</f>
        <v/>
      </c>
    </row>
    <row r="3889" spans="2:5" x14ac:dyDescent="0.2">
      <c r="B3889" s="1"/>
      <c r="E3889" s="38" t="str">
        <f>IFERROR(AVERAGEIFS('Picarro Output'!G:G, 'Picarro Output'!$B:$B, 'Uncalibrated Data'!$C3889, 'Picarro Output'!$I:$I, 0, 'Picarro Output'!$J:$J, 1), "")</f>
        <v/>
      </c>
    </row>
    <row r="3890" spans="2:5" x14ac:dyDescent="0.2">
      <c r="B3890" s="1"/>
      <c r="E3890" s="38" t="str">
        <f>IFERROR(AVERAGEIFS('Picarro Output'!G:G, 'Picarro Output'!$B:$B, 'Uncalibrated Data'!$C3890, 'Picarro Output'!$I:$I, 0, 'Picarro Output'!$J:$J, 1), "")</f>
        <v/>
      </c>
    </row>
    <row r="3891" spans="2:5" x14ac:dyDescent="0.2">
      <c r="B3891" s="1"/>
      <c r="E3891" s="38" t="str">
        <f>IFERROR(AVERAGEIFS('Picarro Output'!G:G, 'Picarro Output'!$B:$B, 'Uncalibrated Data'!$C3891, 'Picarro Output'!$I:$I, 0, 'Picarro Output'!$J:$J, 1), "")</f>
        <v/>
      </c>
    </row>
    <row r="3892" spans="2:5" x14ac:dyDescent="0.2">
      <c r="B3892" s="1"/>
      <c r="E3892" s="38" t="str">
        <f>IFERROR(AVERAGEIFS('Picarro Output'!G:G, 'Picarro Output'!$B:$B, 'Uncalibrated Data'!$C3892, 'Picarro Output'!$I:$I, 0, 'Picarro Output'!$J:$J, 1), "")</f>
        <v/>
      </c>
    </row>
    <row r="3893" spans="2:5" x14ac:dyDescent="0.2">
      <c r="B3893" s="1"/>
      <c r="E3893" s="38" t="str">
        <f>IFERROR(AVERAGEIFS('Picarro Output'!G:G, 'Picarro Output'!$B:$B, 'Uncalibrated Data'!$C3893, 'Picarro Output'!$I:$I, 0, 'Picarro Output'!$J:$J, 1), "")</f>
        <v/>
      </c>
    </row>
    <row r="3894" spans="2:5" x14ac:dyDescent="0.2">
      <c r="B3894" s="1"/>
      <c r="E3894" s="38" t="str">
        <f>IFERROR(AVERAGEIFS('Picarro Output'!G:G, 'Picarro Output'!$B:$B, 'Uncalibrated Data'!$C3894, 'Picarro Output'!$I:$I, 0, 'Picarro Output'!$J:$J, 1), "")</f>
        <v/>
      </c>
    </row>
    <row r="3895" spans="2:5" x14ac:dyDescent="0.2">
      <c r="B3895" s="1"/>
      <c r="E3895" s="38" t="str">
        <f>IFERROR(AVERAGEIFS('Picarro Output'!G:G, 'Picarro Output'!$B:$B, 'Uncalibrated Data'!$C3895, 'Picarro Output'!$I:$I, 0, 'Picarro Output'!$J:$J, 1), "")</f>
        <v/>
      </c>
    </row>
    <row r="3896" spans="2:5" x14ac:dyDescent="0.2">
      <c r="B3896" s="1"/>
      <c r="E3896" s="38" t="str">
        <f>IFERROR(AVERAGEIFS('Picarro Output'!G:G, 'Picarro Output'!$B:$B, 'Uncalibrated Data'!$C3896, 'Picarro Output'!$I:$I, 0, 'Picarro Output'!$J:$J, 1), "")</f>
        <v/>
      </c>
    </row>
    <row r="3897" spans="2:5" x14ac:dyDescent="0.2">
      <c r="B3897" s="1"/>
      <c r="E3897" s="38" t="str">
        <f>IFERROR(AVERAGEIFS('Picarro Output'!G:G, 'Picarro Output'!$B:$B, 'Uncalibrated Data'!$C3897, 'Picarro Output'!$I:$I, 0, 'Picarro Output'!$J:$J, 1), "")</f>
        <v/>
      </c>
    </row>
    <row r="3898" spans="2:5" x14ac:dyDescent="0.2">
      <c r="B3898" s="1"/>
      <c r="E3898" s="38" t="str">
        <f>IFERROR(AVERAGEIFS('Picarro Output'!G:G, 'Picarro Output'!$B:$B, 'Uncalibrated Data'!$C3898, 'Picarro Output'!$I:$I, 0, 'Picarro Output'!$J:$J, 1), "")</f>
        <v/>
      </c>
    </row>
    <row r="3899" spans="2:5" x14ac:dyDescent="0.2">
      <c r="B3899" s="1"/>
      <c r="E3899" s="38" t="str">
        <f>IFERROR(AVERAGEIFS('Picarro Output'!G:G, 'Picarro Output'!$B:$B, 'Uncalibrated Data'!$C3899, 'Picarro Output'!$I:$I, 0, 'Picarro Output'!$J:$J, 1), "")</f>
        <v/>
      </c>
    </row>
    <row r="3900" spans="2:5" x14ac:dyDescent="0.2">
      <c r="B3900" s="1"/>
      <c r="E3900" s="38" t="str">
        <f>IFERROR(AVERAGEIFS('Picarro Output'!G:G, 'Picarro Output'!$B:$B, 'Uncalibrated Data'!$C3900, 'Picarro Output'!$I:$I, 0, 'Picarro Output'!$J:$J, 1), "")</f>
        <v/>
      </c>
    </row>
    <row r="3901" spans="2:5" x14ac:dyDescent="0.2">
      <c r="B3901" s="1"/>
      <c r="E3901" s="38" t="str">
        <f>IFERROR(AVERAGEIFS('Picarro Output'!G:G, 'Picarro Output'!$B:$B, 'Uncalibrated Data'!$C3901, 'Picarro Output'!$I:$I, 0, 'Picarro Output'!$J:$J, 1), "")</f>
        <v/>
      </c>
    </row>
    <row r="3902" spans="2:5" x14ac:dyDescent="0.2">
      <c r="B3902" s="1"/>
      <c r="E3902" s="38" t="str">
        <f>IFERROR(AVERAGEIFS('Picarro Output'!G:G, 'Picarro Output'!$B:$B, 'Uncalibrated Data'!$C3902, 'Picarro Output'!$I:$I, 0, 'Picarro Output'!$J:$J, 1), "")</f>
        <v/>
      </c>
    </row>
    <row r="3903" spans="2:5" x14ac:dyDescent="0.2">
      <c r="B3903" s="1"/>
      <c r="E3903" s="38" t="str">
        <f>IFERROR(AVERAGEIFS('Picarro Output'!G:G, 'Picarro Output'!$B:$B, 'Uncalibrated Data'!$C3903, 'Picarro Output'!$I:$I, 0, 'Picarro Output'!$J:$J, 1), "")</f>
        <v/>
      </c>
    </row>
    <row r="3904" spans="2:5" x14ac:dyDescent="0.2">
      <c r="B3904" s="1"/>
      <c r="E3904" s="38" t="str">
        <f>IFERROR(AVERAGEIFS('Picarro Output'!G:G, 'Picarro Output'!$B:$B, 'Uncalibrated Data'!$C3904, 'Picarro Output'!$I:$I, 0, 'Picarro Output'!$J:$J, 1), "")</f>
        <v/>
      </c>
    </row>
    <row r="3905" spans="2:5" x14ac:dyDescent="0.2">
      <c r="B3905" s="1"/>
      <c r="E3905" s="38" t="str">
        <f>IFERROR(AVERAGEIFS('Picarro Output'!G:G, 'Picarro Output'!$B:$B, 'Uncalibrated Data'!$C3905, 'Picarro Output'!$I:$I, 0, 'Picarro Output'!$J:$J, 1), "")</f>
        <v/>
      </c>
    </row>
    <row r="3906" spans="2:5" x14ac:dyDescent="0.2">
      <c r="B3906" s="1"/>
      <c r="E3906" s="38" t="str">
        <f>IFERROR(AVERAGEIFS('Picarro Output'!G:G, 'Picarro Output'!$B:$B, 'Uncalibrated Data'!$C3906, 'Picarro Output'!$I:$I, 0, 'Picarro Output'!$J:$J, 1), "")</f>
        <v/>
      </c>
    </row>
    <row r="3907" spans="2:5" x14ac:dyDescent="0.2">
      <c r="B3907" s="1"/>
      <c r="E3907" s="38" t="str">
        <f>IFERROR(AVERAGEIFS('Picarro Output'!G:G, 'Picarro Output'!$B:$B, 'Uncalibrated Data'!$C3907, 'Picarro Output'!$I:$I, 0, 'Picarro Output'!$J:$J, 1), "")</f>
        <v/>
      </c>
    </row>
    <row r="3908" spans="2:5" x14ac:dyDescent="0.2">
      <c r="B3908" s="1"/>
      <c r="E3908" s="38" t="str">
        <f>IFERROR(AVERAGEIFS('Picarro Output'!G:G, 'Picarro Output'!$B:$B, 'Uncalibrated Data'!$C3908, 'Picarro Output'!$I:$I, 0, 'Picarro Output'!$J:$J, 1), "")</f>
        <v/>
      </c>
    </row>
    <row r="3909" spans="2:5" x14ac:dyDescent="0.2">
      <c r="B3909" s="1"/>
      <c r="E3909" s="38" t="str">
        <f>IFERROR(AVERAGEIFS('Picarro Output'!G:G, 'Picarro Output'!$B:$B, 'Uncalibrated Data'!$C3909, 'Picarro Output'!$I:$I, 0, 'Picarro Output'!$J:$J, 1), "")</f>
        <v/>
      </c>
    </row>
    <row r="3910" spans="2:5" x14ac:dyDescent="0.2">
      <c r="B3910" s="1"/>
      <c r="E3910" s="38" t="str">
        <f>IFERROR(AVERAGEIFS('Picarro Output'!G:G, 'Picarro Output'!$B:$B, 'Uncalibrated Data'!$C3910, 'Picarro Output'!$I:$I, 0, 'Picarro Output'!$J:$J, 1), "")</f>
        <v/>
      </c>
    </row>
    <row r="3911" spans="2:5" x14ac:dyDescent="0.2">
      <c r="B3911" s="1"/>
      <c r="E3911" s="38" t="str">
        <f>IFERROR(AVERAGEIFS('Picarro Output'!G:G, 'Picarro Output'!$B:$B, 'Uncalibrated Data'!$C3911, 'Picarro Output'!$I:$I, 0, 'Picarro Output'!$J:$J, 1), "")</f>
        <v/>
      </c>
    </row>
    <row r="3912" spans="2:5" x14ac:dyDescent="0.2">
      <c r="B3912" s="1"/>
      <c r="E3912" s="38" t="str">
        <f>IFERROR(AVERAGEIFS('Picarro Output'!G:G, 'Picarro Output'!$B:$B, 'Uncalibrated Data'!$C3912, 'Picarro Output'!$I:$I, 0, 'Picarro Output'!$J:$J, 1), "")</f>
        <v/>
      </c>
    </row>
    <row r="3913" spans="2:5" x14ac:dyDescent="0.2">
      <c r="B3913" s="1"/>
      <c r="E3913" s="38" t="str">
        <f>IFERROR(AVERAGEIFS('Picarro Output'!G:G, 'Picarro Output'!$B:$B, 'Uncalibrated Data'!$C3913, 'Picarro Output'!$I:$I, 0, 'Picarro Output'!$J:$J, 1), "")</f>
        <v/>
      </c>
    </row>
    <row r="3914" spans="2:5" x14ac:dyDescent="0.2">
      <c r="B3914" s="1"/>
      <c r="E3914" s="38" t="str">
        <f>IFERROR(AVERAGEIFS('Picarro Output'!G:G, 'Picarro Output'!$B:$B, 'Uncalibrated Data'!$C3914, 'Picarro Output'!$I:$I, 0, 'Picarro Output'!$J:$J, 1), "")</f>
        <v/>
      </c>
    </row>
    <row r="3915" spans="2:5" x14ac:dyDescent="0.2">
      <c r="B3915" s="1"/>
      <c r="E3915" s="38" t="str">
        <f>IFERROR(AVERAGEIFS('Picarro Output'!G:G, 'Picarro Output'!$B:$B, 'Uncalibrated Data'!$C3915, 'Picarro Output'!$I:$I, 0, 'Picarro Output'!$J:$J, 1), "")</f>
        <v/>
      </c>
    </row>
    <row r="3916" spans="2:5" x14ac:dyDescent="0.2">
      <c r="B3916" s="1"/>
      <c r="E3916" s="38" t="str">
        <f>IFERROR(AVERAGEIFS('Picarro Output'!G:G, 'Picarro Output'!$B:$B, 'Uncalibrated Data'!$C3916, 'Picarro Output'!$I:$I, 0, 'Picarro Output'!$J:$J, 1), "")</f>
        <v/>
      </c>
    </row>
    <row r="3917" spans="2:5" x14ac:dyDescent="0.2">
      <c r="B3917" s="1"/>
      <c r="E3917" s="38" t="str">
        <f>IFERROR(AVERAGEIFS('Picarro Output'!G:G, 'Picarro Output'!$B:$B, 'Uncalibrated Data'!$C3917, 'Picarro Output'!$I:$I, 0, 'Picarro Output'!$J:$J, 1), "")</f>
        <v/>
      </c>
    </row>
    <row r="3918" spans="2:5" x14ac:dyDescent="0.2">
      <c r="B3918" s="1"/>
      <c r="E3918" s="38" t="str">
        <f>IFERROR(AVERAGEIFS('Picarro Output'!G:G, 'Picarro Output'!$B:$B, 'Uncalibrated Data'!$C3918, 'Picarro Output'!$I:$I, 0, 'Picarro Output'!$J:$J, 1), "")</f>
        <v/>
      </c>
    </row>
    <row r="3919" spans="2:5" x14ac:dyDescent="0.2">
      <c r="B3919" s="1"/>
      <c r="E3919" s="38" t="str">
        <f>IFERROR(AVERAGEIFS('Picarro Output'!G:G, 'Picarro Output'!$B:$B, 'Uncalibrated Data'!$C3919, 'Picarro Output'!$I:$I, 0, 'Picarro Output'!$J:$J, 1), "")</f>
        <v/>
      </c>
    </row>
    <row r="3920" spans="2:5" x14ac:dyDescent="0.2">
      <c r="B3920" s="1"/>
      <c r="E3920" s="38" t="str">
        <f>IFERROR(AVERAGEIFS('Picarro Output'!G:G, 'Picarro Output'!$B:$B, 'Uncalibrated Data'!$C3920, 'Picarro Output'!$I:$I, 0, 'Picarro Output'!$J:$J, 1), "")</f>
        <v/>
      </c>
    </row>
    <row r="3921" spans="2:5" x14ac:dyDescent="0.2">
      <c r="B3921" s="1"/>
      <c r="E3921" s="38" t="str">
        <f>IFERROR(AVERAGEIFS('Picarro Output'!G:G, 'Picarro Output'!$B:$B, 'Uncalibrated Data'!$C3921, 'Picarro Output'!$I:$I, 0, 'Picarro Output'!$J:$J, 1), "")</f>
        <v/>
      </c>
    </row>
    <row r="3922" spans="2:5" x14ac:dyDescent="0.2">
      <c r="B3922" s="1"/>
      <c r="E3922" s="38" t="str">
        <f>IFERROR(AVERAGEIFS('Picarro Output'!G:G, 'Picarro Output'!$B:$B, 'Uncalibrated Data'!$C3922, 'Picarro Output'!$I:$I, 0, 'Picarro Output'!$J:$J, 1), "")</f>
        <v/>
      </c>
    </row>
    <row r="3923" spans="2:5" x14ac:dyDescent="0.2">
      <c r="B3923" s="1"/>
      <c r="E3923" s="38" t="str">
        <f>IFERROR(AVERAGEIFS('Picarro Output'!G:G, 'Picarro Output'!$B:$B, 'Uncalibrated Data'!$C3923, 'Picarro Output'!$I:$I, 0, 'Picarro Output'!$J:$J, 1), "")</f>
        <v/>
      </c>
    </row>
    <row r="3924" spans="2:5" x14ac:dyDescent="0.2">
      <c r="B3924" s="1"/>
      <c r="E3924" s="38" t="str">
        <f>IFERROR(AVERAGEIFS('Picarro Output'!G:G, 'Picarro Output'!$B:$B, 'Uncalibrated Data'!$C3924, 'Picarro Output'!$I:$I, 0, 'Picarro Output'!$J:$J, 1), "")</f>
        <v/>
      </c>
    </row>
    <row r="3925" spans="2:5" x14ac:dyDescent="0.2">
      <c r="B3925" s="1"/>
      <c r="E3925" s="38" t="str">
        <f>IFERROR(AVERAGEIFS('Picarro Output'!G:G, 'Picarro Output'!$B:$B, 'Uncalibrated Data'!$C3925, 'Picarro Output'!$I:$I, 0, 'Picarro Output'!$J:$J, 1), "")</f>
        <v/>
      </c>
    </row>
    <row r="3926" spans="2:5" x14ac:dyDescent="0.2">
      <c r="B3926" s="1"/>
      <c r="E3926" s="38" t="str">
        <f>IFERROR(AVERAGEIFS('Picarro Output'!G:G, 'Picarro Output'!$B:$B, 'Uncalibrated Data'!$C3926, 'Picarro Output'!$I:$I, 0, 'Picarro Output'!$J:$J, 1), "")</f>
        <v/>
      </c>
    </row>
    <row r="3927" spans="2:5" x14ac:dyDescent="0.2">
      <c r="B3927" s="1"/>
      <c r="E3927" s="38" t="str">
        <f>IFERROR(AVERAGEIFS('Picarro Output'!G:G, 'Picarro Output'!$B:$B, 'Uncalibrated Data'!$C3927, 'Picarro Output'!$I:$I, 0, 'Picarro Output'!$J:$J, 1), "")</f>
        <v/>
      </c>
    </row>
    <row r="3928" spans="2:5" x14ac:dyDescent="0.2">
      <c r="B3928" s="1"/>
      <c r="E3928" s="38" t="str">
        <f>IFERROR(AVERAGEIFS('Picarro Output'!G:G, 'Picarro Output'!$B:$B, 'Uncalibrated Data'!$C3928, 'Picarro Output'!$I:$I, 0, 'Picarro Output'!$J:$J, 1), "")</f>
        <v/>
      </c>
    </row>
    <row r="3929" spans="2:5" x14ac:dyDescent="0.2">
      <c r="B3929" s="1"/>
      <c r="E3929" s="38" t="str">
        <f>IFERROR(AVERAGEIFS('Picarro Output'!G:G, 'Picarro Output'!$B:$B, 'Uncalibrated Data'!$C3929, 'Picarro Output'!$I:$I, 0, 'Picarro Output'!$J:$J, 1), "")</f>
        <v/>
      </c>
    </row>
    <row r="3930" spans="2:5" x14ac:dyDescent="0.2">
      <c r="B3930" s="1"/>
      <c r="E3930" s="38" t="str">
        <f>IFERROR(AVERAGEIFS('Picarro Output'!G:G, 'Picarro Output'!$B:$B, 'Uncalibrated Data'!$C3930, 'Picarro Output'!$I:$I, 0, 'Picarro Output'!$J:$J, 1), "")</f>
        <v/>
      </c>
    </row>
    <row r="3931" spans="2:5" x14ac:dyDescent="0.2">
      <c r="B3931" s="1"/>
      <c r="E3931" s="38" t="str">
        <f>IFERROR(AVERAGEIFS('Picarro Output'!G:G, 'Picarro Output'!$B:$B, 'Uncalibrated Data'!$C3931, 'Picarro Output'!$I:$I, 0, 'Picarro Output'!$J:$J, 1), "")</f>
        <v/>
      </c>
    </row>
    <row r="3932" spans="2:5" x14ac:dyDescent="0.2">
      <c r="B3932" s="1"/>
      <c r="E3932" s="38" t="str">
        <f>IFERROR(AVERAGEIFS('Picarro Output'!G:G, 'Picarro Output'!$B:$B, 'Uncalibrated Data'!$C3932, 'Picarro Output'!$I:$I, 0, 'Picarro Output'!$J:$J, 1), "")</f>
        <v/>
      </c>
    </row>
    <row r="3933" spans="2:5" x14ac:dyDescent="0.2">
      <c r="B3933" s="1"/>
      <c r="E3933" s="38" t="str">
        <f>IFERROR(AVERAGEIFS('Picarro Output'!G:G, 'Picarro Output'!$B:$B, 'Uncalibrated Data'!$C3933, 'Picarro Output'!$I:$I, 0, 'Picarro Output'!$J:$J, 1), "")</f>
        <v/>
      </c>
    </row>
    <row r="3934" spans="2:5" x14ac:dyDescent="0.2">
      <c r="B3934" s="1"/>
      <c r="E3934" s="38" t="str">
        <f>IFERROR(AVERAGEIFS('Picarro Output'!G:G, 'Picarro Output'!$B:$B, 'Uncalibrated Data'!$C3934, 'Picarro Output'!$I:$I, 0, 'Picarro Output'!$J:$J, 1), "")</f>
        <v/>
      </c>
    </row>
    <row r="3935" spans="2:5" x14ac:dyDescent="0.2">
      <c r="B3935" s="1"/>
      <c r="E3935" s="38" t="str">
        <f>IFERROR(AVERAGEIFS('Picarro Output'!G:G, 'Picarro Output'!$B:$B, 'Uncalibrated Data'!$C3935, 'Picarro Output'!$I:$I, 0, 'Picarro Output'!$J:$J, 1), "")</f>
        <v/>
      </c>
    </row>
    <row r="3936" spans="2:5" x14ac:dyDescent="0.2">
      <c r="B3936" s="1"/>
      <c r="E3936" s="38" t="str">
        <f>IFERROR(AVERAGEIFS('Picarro Output'!G:G, 'Picarro Output'!$B:$B, 'Uncalibrated Data'!$C3936, 'Picarro Output'!$I:$I, 0, 'Picarro Output'!$J:$J, 1), "")</f>
        <v/>
      </c>
    </row>
    <row r="3937" spans="2:5" x14ac:dyDescent="0.2">
      <c r="B3937" s="1"/>
      <c r="E3937" s="38" t="str">
        <f>IFERROR(AVERAGEIFS('Picarro Output'!G:G, 'Picarro Output'!$B:$B, 'Uncalibrated Data'!$C3937, 'Picarro Output'!$I:$I, 0, 'Picarro Output'!$J:$J, 1), "")</f>
        <v/>
      </c>
    </row>
    <row r="3938" spans="2:5" x14ac:dyDescent="0.2">
      <c r="B3938" s="1"/>
      <c r="E3938" s="38" t="str">
        <f>IFERROR(AVERAGEIFS('Picarro Output'!G:G, 'Picarro Output'!$B:$B, 'Uncalibrated Data'!$C3938, 'Picarro Output'!$I:$I, 0, 'Picarro Output'!$J:$J, 1), "")</f>
        <v/>
      </c>
    </row>
    <row r="3939" spans="2:5" x14ac:dyDescent="0.2">
      <c r="B3939" s="1"/>
      <c r="E3939" s="38" t="str">
        <f>IFERROR(AVERAGEIFS('Picarro Output'!G:G, 'Picarro Output'!$B:$B, 'Uncalibrated Data'!$C3939, 'Picarro Output'!$I:$I, 0, 'Picarro Output'!$J:$J, 1), "")</f>
        <v/>
      </c>
    </row>
    <row r="3940" spans="2:5" x14ac:dyDescent="0.2">
      <c r="B3940" s="1"/>
      <c r="E3940" s="38" t="str">
        <f>IFERROR(AVERAGEIFS('Picarro Output'!G:G, 'Picarro Output'!$B:$B, 'Uncalibrated Data'!$C3940, 'Picarro Output'!$I:$I, 0, 'Picarro Output'!$J:$J, 1), "")</f>
        <v/>
      </c>
    </row>
    <row r="3941" spans="2:5" x14ac:dyDescent="0.2">
      <c r="B3941" s="1"/>
      <c r="E3941" s="38" t="str">
        <f>IFERROR(AVERAGEIFS('Picarro Output'!G:G, 'Picarro Output'!$B:$B, 'Uncalibrated Data'!$C3941, 'Picarro Output'!$I:$I, 0, 'Picarro Output'!$J:$J, 1), "")</f>
        <v/>
      </c>
    </row>
    <row r="3942" spans="2:5" x14ac:dyDescent="0.2">
      <c r="B3942" s="1"/>
      <c r="E3942" s="38" t="str">
        <f>IFERROR(AVERAGEIFS('Picarro Output'!G:G, 'Picarro Output'!$B:$B, 'Uncalibrated Data'!$C3942, 'Picarro Output'!$I:$I, 0, 'Picarro Output'!$J:$J, 1), "")</f>
        <v/>
      </c>
    </row>
    <row r="3943" spans="2:5" x14ac:dyDescent="0.2">
      <c r="B3943" s="1"/>
      <c r="E3943" s="38" t="str">
        <f>IFERROR(AVERAGEIFS('Picarro Output'!G:G, 'Picarro Output'!$B:$B, 'Uncalibrated Data'!$C3943, 'Picarro Output'!$I:$I, 0, 'Picarro Output'!$J:$J, 1), "")</f>
        <v/>
      </c>
    </row>
    <row r="3944" spans="2:5" x14ac:dyDescent="0.2">
      <c r="B3944" s="1"/>
      <c r="E3944" s="38" t="str">
        <f>IFERROR(AVERAGEIFS('Picarro Output'!G:G, 'Picarro Output'!$B:$B, 'Uncalibrated Data'!$C3944, 'Picarro Output'!$I:$I, 0, 'Picarro Output'!$J:$J, 1), "")</f>
        <v/>
      </c>
    </row>
    <row r="3945" spans="2:5" x14ac:dyDescent="0.2">
      <c r="B3945" s="1"/>
      <c r="E3945" s="38" t="str">
        <f>IFERROR(AVERAGEIFS('Picarro Output'!G:G, 'Picarro Output'!$B:$B, 'Uncalibrated Data'!$C3945, 'Picarro Output'!$I:$I, 0, 'Picarro Output'!$J:$J, 1), "")</f>
        <v/>
      </c>
    </row>
    <row r="3946" spans="2:5" x14ac:dyDescent="0.2">
      <c r="B3946" s="1"/>
      <c r="E3946" s="38" t="str">
        <f>IFERROR(AVERAGEIFS('Picarro Output'!G:G, 'Picarro Output'!$B:$B, 'Uncalibrated Data'!$C3946, 'Picarro Output'!$I:$I, 0, 'Picarro Output'!$J:$J, 1), "")</f>
        <v/>
      </c>
    </row>
    <row r="3947" spans="2:5" x14ac:dyDescent="0.2">
      <c r="B3947" s="1"/>
      <c r="E3947" s="38" t="str">
        <f>IFERROR(AVERAGEIFS('Picarro Output'!G:G, 'Picarro Output'!$B:$B, 'Uncalibrated Data'!$C3947, 'Picarro Output'!$I:$I, 0, 'Picarro Output'!$J:$J, 1), "")</f>
        <v/>
      </c>
    </row>
    <row r="3948" spans="2:5" x14ac:dyDescent="0.2">
      <c r="B3948" s="1"/>
      <c r="E3948" s="38" t="str">
        <f>IFERROR(AVERAGEIFS('Picarro Output'!G:G, 'Picarro Output'!$B:$B, 'Uncalibrated Data'!$C3948, 'Picarro Output'!$I:$I, 0, 'Picarro Output'!$J:$J, 1), "")</f>
        <v/>
      </c>
    </row>
    <row r="3949" spans="2:5" x14ac:dyDescent="0.2">
      <c r="B3949" s="1"/>
      <c r="E3949" s="38" t="str">
        <f>IFERROR(AVERAGEIFS('Picarro Output'!G:G, 'Picarro Output'!$B:$B, 'Uncalibrated Data'!$C3949, 'Picarro Output'!$I:$I, 0, 'Picarro Output'!$J:$J, 1), "")</f>
        <v/>
      </c>
    </row>
    <row r="3950" spans="2:5" x14ac:dyDescent="0.2">
      <c r="B3950" s="1"/>
      <c r="E3950" s="38" t="str">
        <f>IFERROR(AVERAGEIFS('Picarro Output'!G:G, 'Picarro Output'!$B:$B, 'Uncalibrated Data'!$C3950, 'Picarro Output'!$I:$I, 0, 'Picarro Output'!$J:$J, 1), "")</f>
        <v/>
      </c>
    </row>
    <row r="3951" spans="2:5" x14ac:dyDescent="0.2">
      <c r="B3951" s="1"/>
      <c r="E3951" s="38" t="str">
        <f>IFERROR(AVERAGEIFS('Picarro Output'!G:G, 'Picarro Output'!$B:$B, 'Uncalibrated Data'!$C3951, 'Picarro Output'!$I:$I, 0, 'Picarro Output'!$J:$J, 1), "")</f>
        <v/>
      </c>
    </row>
    <row r="3952" spans="2:5" x14ac:dyDescent="0.2">
      <c r="B3952" s="1"/>
      <c r="E3952" s="38" t="str">
        <f>IFERROR(AVERAGEIFS('Picarro Output'!G:G, 'Picarro Output'!$B:$B, 'Uncalibrated Data'!$C3952, 'Picarro Output'!$I:$I, 0, 'Picarro Output'!$J:$J, 1), "")</f>
        <v/>
      </c>
    </row>
    <row r="3953" spans="2:5" x14ac:dyDescent="0.2">
      <c r="B3953" s="1"/>
      <c r="E3953" s="38" t="str">
        <f>IFERROR(AVERAGEIFS('Picarro Output'!G:G, 'Picarro Output'!$B:$B, 'Uncalibrated Data'!$C3953, 'Picarro Output'!$I:$I, 0, 'Picarro Output'!$J:$J, 1), "")</f>
        <v/>
      </c>
    </row>
    <row r="3954" spans="2:5" x14ac:dyDescent="0.2">
      <c r="B3954" s="1"/>
      <c r="E3954" s="38" t="str">
        <f>IFERROR(AVERAGEIFS('Picarro Output'!G:G, 'Picarro Output'!$B:$B, 'Uncalibrated Data'!$C3954, 'Picarro Output'!$I:$I, 0, 'Picarro Output'!$J:$J, 1), "")</f>
        <v/>
      </c>
    </row>
    <row r="3955" spans="2:5" x14ac:dyDescent="0.2">
      <c r="B3955" s="1"/>
      <c r="E3955" s="38" t="str">
        <f>IFERROR(AVERAGEIFS('Picarro Output'!G:G, 'Picarro Output'!$B:$B, 'Uncalibrated Data'!$C3955, 'Picarro Output'!$I:$I, 0, 'Picarro Output'!$J:$J, 1), "")</f>
        <v/>
      </c>
    </row>
    <row r="3956" spans="2:5" x14ac:dyDescent="0.2">
      <c r="B3956" s="1"/>
      <c r="E3956" s="38" t="str">
        <f>IFERROR(AVERAGEIFS('Picarro Output'!G:G, 'Picarro Output'!$B:$B, 'Uncalibrated Data'!$C3956, 'Picarro Output'!$I:$I, 0, 'Picarro Output'!$J:$J, 1), "")</f>
        <v/>
      </c>
    </row>
    <row r="3957" spans="2:5" x14ac:dyDescent="0.2">
      <c r="B3957" s="1"/>
      <c r="E3957" s="38" t="str">
        <f>IFERROR(AVERAGEIFS('Picarro Output'!G:G, 'Picarro Output'!$B:$B, 'Uncalibrated Data'!$C3957, 'Picarro Output'!$I:$I, 0, 'Picarro Output'!$J:$J, 1), "")</f>
        <v/>
      </c>
    </row>
    <row r="3958" spans="2:5" x14ac:dyDescent="0.2">
      <c r="B3958" s="1"/>
      <c r="E3958" s="38" t="str">
        <f>IFERROR(AVERAGEIFS('Picarro Output'!G:G, 'Picarro Output'!$B:$B, 'Uncalibrated Data'!$C3958, 'Picarro Output'!$I:$I, 0, 'Picarro Output'!$J:$J, 1), "")</f>
        <v/>
      </c>
    </row>
    <row r="3959" spans="2:5" x14ac:dyDescent="0.2">
      <c r="B3959" s="1"/>
      <c r="E3959" s="38" t="str">
        <f>IFERROR(AVERAGEIFS('Picarro Output'!G:G, 'Picarro Output'!$B:$B, 'Uncalibrated Data'!$C3959, 'Picarro Output'!$I:$I, 0, 'Picarro Output'!$J:$J, 1), "")</f>
        <v/>
      </c>
    </row>
    <row r="3960" spans="2:5" x14ac:dyDescent="0.2">
      <c r="B3960" s="1"/>
      <c r="E3960" s="38" t="str">
        <f>IFERROR(AVERAGEIFS('Picarro Output'!G:G, 'Picarro Output'!$B:$B, 'Uncalibrated Data'!$C3960, 'Picarro Output'!$I:$I, 0, 'Picarro Output'!$J:$J, 1), "")</f>
        <v/>
      </c>
    </row>
    <row r="3961" spans="2:5" x14ac:dyDescent="0.2">
      <c r="B3961" s="1"/>
      <c r="E3961" s="38" t="str">
        <f>IFERROR(AVERAGEIFS('Picarro Output'!G:G, 'Picarro Output'!$B:$B, 'Uncalibrated Data'!$C3961, 'Picarro Output'!$I:$I, 0, 'Picarro Output'!$J:$J, 1), "")</f>
        <v/>
      </c>
    </row>
    <row r="3962" spans="2:5" x14ac:dyDescent="0.2">
      <c r="B3962" s="1"/>
      <c r="E3962" s="38" t="str">
        <f>IFERROR(AVERAGEIFS('Picarro Output'!G:G, 'Picarro Output'!$B:$B, 'Uncalibrated Data'!$C3962, 'Picarro Output'!$I:$I, 0, 'Picarro Output'!$J:$J, 1), "")</f>
        <v/>
      </c>
    </row>
    <row r="3963" spans="2:5" x14ac:dyDescent="0.2">
      <c r="B3963" s="1"/>
      <c r="E3963" s="38" t="str">
        <f>IFERROR(AVERAGEIFS('Picarro Output'!G:G, 'Picarro Output'!$B:$B, 'Uncalibrated Data'!$C3963, 'Picarro Output'!$I:$I, 0, 'Picarro Output'!$J:$J, 1), "")</f>
        <v/>
      </c>
    </row>
    <row r="3964" spans="2:5" x14ac:dyDescent="0.2">
      <c r="B3964" s="1"/>
      <c r="E3964" s="38" t="str">
        <f>IFERROR(AVERAGEIFS('Picarro Output'!G:G, 'Picarro Output'!$B:$B, 'Uncalibrated Data'!$C3964, 'Picarro Output'!$I:$I, 0, 'Picarro Output'!$J:$J, 1), "")</f>
        <v/>
      </c>
    </row>
    <row r="3965" spans="2:5" x14ac:dyDescent="0.2">
      <c r="B3965" s="1"/>
      <c r="E3965" s="38" t="str">
        <f>IFERROR(AVERAGEIFS('Picarro Output'!G:G, 'Picarro Output'!$B:$B, 'Uncalibrated Data'!$C3965, 'Picarro Output'!$I:$I, 0, 'Picarro Output'!$J:$J, 1), "")</f>
        <v/>
      </c>
    </row>
    <row r="3966" spans="2:5" x14ac:dyDescent="0.2">
      <c r="B3966" s="1"/>
      <c r="E3966" s="38" t="str">
        <f>IFERROR(AVERAGEIFS('Picarro Output'!G:G, 'Picarro Output'!$B:$B, 'Uncalibrated Data'!$C3966, 'Picarro Output'!$I:$I, 0, 'Picarro Output'!$J:$J, 1), "")</f>
        <v/>
      </c>
    </row>
    <row r="3967" spans="2:5" x14ac:dyDescent="0.2">
      <c r="B3967" s="1"/>
      <c r="E3967" s="38" t="str">
        <f>IFERROR(AVERAGEIFS('Picarro Output'!G:G, 'Picarro Output'!$B:$B, 'Uncalibrated Data'!$C3967, 'Picarro Output'!$I:$I, 0, 'Picarro Output'!$J:$J, 1), "")</f>
        <v/>
      </c>
    </row>
    <row r="3968" spans="2:5" x14ac:dyDescent="0.2">
      <c r="B3968" s="1"/>
      <c r="E3968" s="38" t="str">
        <f>IFERROR(AVERAGEIFS('Picarro Output'!G:G, 'Picarro Output'!$B:$B, 'Uncalibrated Data'!$C3968, 'Picarro Output'!$I:$I, 0, 'Picarro Output'!$J:$J, 1), "")</f>
        <v/>
      </c>
    </row>
    <row r="3969" spans="2:5" x14ac:dyDescent="0.2">
      <c r="B3969" s="1"/>
      <c r="E3969" s="38" t="str">
        <f>IFERROR(AVERAGEIFS('Picarro Output'!G:G, 'Picarro Output'!$B:$B, 'Uncalibrated Data'!$C3969, 'Picarro Output'!$I:$I, 0, 'Picarro Output'!$J:$J, 1), "")</f>
        <v/>
      </c>
    </row>
    <row r="3970" spans="2:5" x14ac:dyDescent="0.2">
      <c r="B3970" s="1"/>
      <c r="E3970" s="38" t="str">
        <f>IFERROR(AVERAGEIFS('Picarro Output'!G:G, 'Picarro Output'!$B:$B, 'Uncalibrated Data'!$C3970, 'Picarro Output'!$I:$I, 0, 'Picarro Output'!$J:$J, 1), "")</f>
        <v/>
      </c>
    </row>
    <row r="3971" spans="2:5" x14ac:dyDescent="0.2">
      <c r="B3971" s="1"/>
      <c r="E3971" s="38" t="str">
        <f>IFERROR(AVERAGEIFS('Picarro Output'!G:G, 'Picarro Output'!$B:$B, 'Uncalibrated Data'!$C3971, 'Picarro Output'!$I:$I, 0, 'Picarro Output'!$J:$J, 1), "")</f>
        <v/>
      </c>
    </row>
    <row r="3972" spans="2:5" x14ac:dyDescent="0.2">
      <c r="B3972" s="1"/>
      <c r="E3972" s="38" t="str">
        <f>IFERROR(AVERAGEIFS('Picarro Output'!G:G, 'Picarro Output'!$B:$B, 'Uncalibrated Data'!$C3972, 'Picarro Output'!$I:$I, 0, 'Picarro Output'!$J:$J, 1), "")</f>
        <v/>
      </c>
    </row>
    <row r="3973" spans="2:5" x14ac:dyDescent="0.2">
      <c r="B3973" s="1"/>
      <c r="E3973" s="38" t="str">
        <f>IFERROR(AVERAGEIFS('Picarro Output'!G:G, 'Picarro Output'!$B:$B, 'Uncalibrated Data'!$C3973, 'Picarro Output'!$I:$I, 0, 'Picarro Output'!$J:$J, 1), "")</f>
        <v/>
      </c>
    </row>
    <row r="3974" spans="2:5" x14ac:dyDescent="0.2">
      <c r="B3974" s="1"/>
      <c r="E3974" s="38" t="str">
        <f>IFERROR(AVERAGEIFS('Picarro Output'!G:G, 'Picarro Output'!$B:$B, 'Uncalibrated Data'!$C3974, 'Picarro Output'!$I:$I, 0, 'Picarro Output'!$J:$J, 1), "")</f>
        <v/>
      </c>
    </row>
    <row r="3975" spans="2:5" x14ac:dyDescent="0.2">
      <c r="B3975" s="1"/>
      <c r="E3975" s="38" t="str">
        <f>IFERROR(AVERAGEIFS('Picarro Output'!G:G, 'Picarro Output'!$B:$B, 'Uncalibrated Data'!$C3975, 'Picarro Output'!$I:$I, 0, 'Picarro Output'!$J:$J, 1), "")</f>
        <v/>
      </c>
    </row>
    <row r="3976" spans="2:5" x14ac:dyDescent="0.2">
      <c r="B3976" s="1"/>
      <c r="E3976" s="38" t="str">
        <f>IFERROR(AVERAGEIFS('Picarro Output'!G:G, 'Picarro Output'!$B:$B, 'Uncalibrated Data'!$C3976, 'Picarro Output'!$I:$I, 0, 'Picarro Output'!$J:$J, 1), "")</f>
        <v/>
      </c>
    </row>
    <row r="3977" spans="2:5" x14ac:dyDescent="0.2">
      <c r="B3977" s="1"/>
      <c r="E3977" s="38" t="str">
        <f>IFERROR(AVERAGEIFS('Picarro Output'!G:G, 'Picarro Output'!$B:$B, 'Uncalibrated Data'!$C3977, 'Picarro Output'!$I:$I, 0, 'Picarro Output'!$J:$J, 1), "")</f>
        <v/>
      </c>
    </row>
    <row r="3978" spans="2:5" x14ac:dyDescent="0.2">
      <c r="B3978" s="1"/>
      <c r="E3978" s="38" t="str">
        <f>IFERROR(AVERAGEIFS('Picarro Output'!G:G, 'Picarro Output'!$B:$B, 'Uncalibrated Data'!$C3978, 'Picarro Output'!$I:$I, 0, 'Picarro Output'!$J:$J, 1), "")</f>
        <v/>
      </c>
    </row>
    <row r="3979" spans="2:5" x14ac:dyDescent="0.2">
      <c r="B3979" s="1"/>
      <c r="E3979" s="38" t="str">
        <f>IFERROR(AVERAGEIFS('Picarro Output'!G:G, 'Picarro Output'!$B:$B, 'Uncalibrated Data'!$C3979, 'Picarro Output'!$I:$I, 0, 'Picarro Output'!$J:$J, 1), "")</f>
        <v/>
      </c>
    </row>
    <row r="3980" spans="2:5" x14ac:dyDescent="0.2">
      <c r="B3980" s="1"/>
      <c r="E3980" s="38" t="str">
        <f>IFERROR(AVERAGEIFS('Picarro Output'!G:G, 'Picarro Output'!$B:$B, 'Uncalibrated Data'!$C3980, 'Picarro Output'!$I:$I, 0, 'Picarro Output'!$J:$J, 1), "")</f>
        <v/>
      </c>
    </row>
    <row r="3981" spans="2:5" x14ac:dyDescent="0.2">
      <c r="B3981" s="1"/>
      <c r="E3981" s="38" t="str">
        <f>IFERROR(AVERAGEIFS('Picarro Output'!G:G, 'Picarro Output'!$B:$B, 'Uncalibrated Data'!$C3981, 'Picarro Output'!$I:$I, 0, 'Picarro Output'!$J:$J, 1), "")</f>
        <v/>
      </c>
    </row>
    <row r="3982" spans="2:5" x14ac:dyDescent="0.2">
      <c r="B3982" s="1"/>
      <c r="E3982" s="38" t="str">
        <f>IFERROR(AVERAGEIFS('Picarro Output'!G:G, 'Picarro Output'!$B:$B, 'Uncalibrated Data'!$C3982, 'Picarro Output'!$I:$I, 0, 'Picarro Output'!$J:$J, 1), "")</f>
        <v/>
      </c>
    </row>
    <row r="3983" spans="2:5" x14ac:dyDescent="0.2">
      <c r="B3983" s="1"/>
      <c r="E3983" s="38" t="str">
        <f>IFERROR(AVERAGEIFS('Picarro Output'!G:G, 'Picarro Output'!$B:$B, 'Uncalibrated Data'!$C3983, 'Picarro Output'!$I:$I, 0, 'Picarro Output'!$J:$J, 1), "")</f>
        <v/>
      </c>
    </row>
    <row r="3984" spans="2:5" x14ac:dyDescent="0.2">
      <c r="B3984" s="1"/>
      <c r="E3984" s="38" t="str">
        <f>IFERROR(AVERAGEIFS('Picarro Output'!G:G, 'Picarro Output'!$B:$B, 'Uncalibrated Data'!$C3984, 'Picarro Output'!$I:$I, 0, 'Picarro Output'!$J:$J, 1), "")</f>
        <v/>
      </c>
    </row>
    <row r="3985" spans="2:5" x14ac:dyDescent="0.2">
      <c r="B3985" s="1"/>
      <c r="E3985" s="38" t="str">
        <f>IFERROR(AVERAGEIFS('Picarro Output'!G:G, 'Picarro Output'!$B:$B, 'Uncalibrated Data'!$C3985, 'Picarro Output'!$I:$I, 0, 'Picarro Output'!$J:$J, 1), "")</f>
        <v/>
      </c>
    </row>
    <row r="3986" spans="2:5" x14ac:dyDescent="0.2">
      <c r="B3986" s="1"/>
      <c r="E3986" s="38" t="str">
        <f>IFERROR(AVERAGEIFS('Picarro Output'!G:G, 'Picarro Output'!$B:$B, 'Uncalibrated Data'!$C3986, 'Picarro Output'!$I:$I, 0, 'Picarro Output'!$J:$J, 1), "")</f>
        <v/>
      </c>
    </row>
    <row r="3987" spans="2:5" x14ac:dyDescent="0.2">
      <c r="B3987" s="1"/>
      <c r="E3987" s="38" t="str">
        <f>IFERROR(AVERAGEIFS('Picarro Output'!G:G, 'Picarro Output'!$B:$B, 'Uncalibrated Data'!$C3987, 'Picarro Output'!$I:$I, 0, 'Picarro Output'!$J:$J, 1), "")</f>
        <v/>
      </c>
    </row>
    <row r="3988" spans="2:5" x14ac:dyDescent="0.2">
      <c r="B3988" s="1"/>
      <c r="E3988" s="38" t="str">
        <f>IFERROR(AVERAGEIFS('Picarro Output'!G:G, 'Picarro Output'!$B:$B, 'Uncalibrated Data'!$C3988, 'Picarro Output'!$I:$I, 0, 'Picarro Output'!$J:$J, 1), "")</f>
        <v/>
      </c>
    </row>
    <row r="3989" spans="2:5" x14ac:dyDescent="0.2">
      <c r="B3989" s="1"/>
      <c r="E3989" s="38" t="str">
        <f>IFERROR(AVERAGEIFS('Picarro Output'!G:G, 'Picarro Output'!$B:$B, 'Uncalibrated Data'!$C3989, 'Picarro Output'!$I:$I, 0, 'Picarro Output'!$J:$J, 1), "")</f>
        <v/>
      </c>
    </row>
    <row r="3990" spans="2:5" x14ac:dyDescent="0.2">
      <c r="B3990" s="1"/>
      <c r="E3990" s="38" t="str">
        <f>IFERROR(AVERAGEIFS('Picarro Output'!G:G, 'Picarro Output'!$B:$B, 'Uncalibrated Data'!$C3990, 'Picarro Output'!$I:$I, 0, 'Picarro Output'!$J:$J, 1), "")</f>
        <v/>
      </c>
    </row>
    <row r="3991" spans="2:5" x14ac:dyDescent="0.2">
      <c r="B3991" s="1"/>
      <c r="E3991" s="38" t="str">
        <f>IFERROR(AVERAGEIFS('Picarro Output'!G:G, 'Picarro Output'!$B:$B, 'Uncalibrated Data'!$C3991, 'Picarro Output'!$I:$I, 0, 'Picarro Output'!$J:$J, 1), "")</f>
        <v/>
      </c>
    </row>
    <row r="3992" spans="2:5" x14ac:dyDescent="0.2">
      <c r="B3992" s="1"/>
      <c r="E3992" s="38" t="str">
        <f>IFERROR(AVERAGEIFS('Picarro Output'!G:G, 'Picarro Output'!$B:$B, 'Uncalibrated Data'!$C3992, 'Picarro Output'!$I:$I, 0, 'Picarro Output'!$J:$J, 1), "")</f>
        <v/>
      </c>
    </row>
    <row r="3993" spans="2:5" x14ac:dyDescent="0.2">
      <c r="B3993" s="1"/>
      <c r="E3993" s="38" t="str">
        <f>IFERROR(AVERAGEIFS('Picarro Output'!G:G, 'Picarro Output'!$B:$B, 'Uncalibrated Data'!$C3993, 'Picarro Output'!$I:$I, 0, 'Picarro Output'!$J:$J, 1), "")</f>
        <v/>
      </c>
    </row>
    <row r="3994" spans="2:5" x14ac:dyDescent="0.2">
      <c r="B3994" s="1"/>
      <c r="E3994" s="38" t="str">
        <f>IFERROR(AVERAGEIFS('Picarro Output'!G:G, 'Picarro Output'!$B:$B, 'Uncalibrated Data'!$C3994, 'Picarro Output'!$I:$I, 0, 'Picarro Output'!$J:$J, 1), "")</f>
        <v/>
      </c>
    </row>
    <row r="3995" spans="2:5" x14ac:dyDescent="0.2">
      <c r="B3995" s="1"/>
      <c r="E3995" s="38" t="str">
        <f>IFERROR(AVERAGEIFS('Picarro Output'!G:G, 'Picarro Output'!$B:$B, 'Uncalibrated Data'!$C3995, 'Picarro Output'!$I:$I, 0, 'Picarro Output'!$J:$J, 1), "")</f>
        <v/>
      </c>
    </row>
    <row r="3996" spans="2:5" x14ac:dyDescent="0.2">
      <c r="B3996" s="1"/>
      <c r="E3996" s="38" t="str">
        <f>IFERROR(AVERAGEIFS('Picarro Output'!G:G, 'Picarro Output'!$B:$B, 'Uncalibrated Data'!$C3996, 'Picarro Output'!$I:$I, 0, 'Picarro Output'!$J:$J, 1), "")</f>
        <v/>
      </c>
    </row>
    <row r="3997" spans="2:5" x14ac:dyDescent="0.2">
      <c r="B3997" s="1"/>
      <c r="E3997" s="38" t="str">
        <f>IFERROR(AVERAGEIFS('Picarro Output'!G:G, 'Picarro Output'!$B:$B, 'Uncalibrated Data'!$C3997, 'Picarro Output'!$I:$I, 0, 'Picarro Output'!$J:$J, 1), "")</f>
        <v/>
      </c>
    </row>
    <row r="3998" spans="2:5" x14ac:dyDescent="0.2">
      <c r="B3998" s="1"/>
      <c r="E3998" s="38" t="str">
        <f>IFERROR(AVERAGEIFS('Picarro Output'!G:G, 'Picarro Output'!$B:$B, 'Uncalibrated Data'!$C3998, 'Picarro Output'!$I:$I, 0, 'Picarro Output'!$J:$J, 1), "")</f>
        <v/>
      </c>
    </row>
    <row r="3999" spans="2:5" x14ac:dyDescent="0.2">
      <c r="B3999" s="1"/>
      <c r="E3999" s="38" t="str">
        <f>IFERROR(AVERAGEIFS('Picarro Output'!G:G, 'Picarro Output'!$B:$B, 'Uncalibrated Data'!$C3999, 'Picarro Output'!$I:$I, 0, 'Picarro Output'!$J:$J, 1), "")</f>
        <v/>
      </c>
    </row>
    <row r="4000" spans="2:5" x14ac:dyDescent="0.2">
      <c r="B4000" s="1"/>
      <c r="E4000" s="38" t="str">
        <f>IFERROR(AVERAGEIFS('Picarro Output'!G:G, 'Picarro Output'!$B:$B, 'Uncalibrated Data'!$C4000, 'Picarro Output'!$I:$I, 0, 'Picarro Output'!$J:$J, 1), "")</f>
        <v/>
      </c>
    </row>
    <row r="4001" spans="2:5" x14ac:dyDescent="0.2">
      <c r="B4001" s="1"/>
      <c r="E4001" s="38" t="str">
        <f>IFERROR(AVERAGEIFS('Picarro Output'!G:G, 'Picarro Output'!$B:$B, 'Uncalibrated Data'!$C4001, 'Picarro Output'!$I:$I, 0, 'Picarro Output'!$J:$J, 1), "")</f>
        <v/>
      </c>
    </row>
    <row r="4002" spans="2:5" x14ac:dyDescent="0.2">
      <c r="B4002" s="1"/>
      <c r="E4002" s="38" t="str">
        <f>IFERROR(AVERAGEIFS('Picarro Output'!G:G, 'Picarro Output'!$B:$B, 'Uncalibrated Data'!$C4002, 'Picarro Output'!$I:$I, 0, 'Picarro Output'!$J:$J, 1), "")</f>
        <v/>
      </c>
    </row>
    <row r="4003" spans="2:5" x14ac:dyDescent="0.2">
      <c r="B4003" s="1"/>
      <c r="E4003" s="38" t="str">
        <f>IFERROR(AVERAGEIFS('Picarro Output'!G:G, 'Picarro Output'!$B:$B, 'Uncalibrated Data'!$C4003, 'Picarro Output'!$I:$I, 0, 'Picarro Output'!$J:$J, 1), "")</f>
        <v/>
      </c>
    </row>
    <row r="4004" spans="2:5" x14ac:dyDescent="0.2">
      <c r="B4004" s="1"/>
      <c r="E4004" s="38" t="str">
        <f>IFERROR(AVERAGEIFS('Picarro Output'!G:G, 'Picarro Output'!$B:$B, 'Uncalibrated Data'!$C4004, 'Picarro Output'!$I:$I, 0, 'Picarro Output'!$J:$J, 1), "")</f>
        <v/>
      </c>
    </row>
    <row r="4005" spans="2:5" x14ac:dyDescent="0.2">
      <c r="B4005" s="1"/>
      <c r="E4005" s="38" t="str">
        <f>IFERROR(AVERAGEIFS('Picarro Output'!G:G, 'Picarro Output'!$B:$B, 'Uncalibrated Data'!$C4005, 'Picarro Output'!$I:$I, 0, 'Picarro Output'!$J:$J, 1), "")</f>
        <v/>
      </c>
    </row>
    <row r="4006" spans="2:5" x14ac:dyDescent="0.2">
      <c r="B4006" s="1"/>
      <c r="E4006" s="38" t="str">
        <f>IFERROR(AVERAGEIFS('Picarro Output'!G:G, 'Picarro Output'!$B:$B, 'Uncalibrated Data'!$C4006, 'Picarro Output'!$I:$I, 0, 'Picarro Output'!$J:$J, 1), "")</f>
        <v/>
      </c>
    </row>
    <row r="4007" spans="2:5" x14ac:dyDescent="0.2">
      <c r="B4007" s="1"/>
      <c r="E4007" s="38" t="str">
        <f>IFERROR(AVERAGEIFS('Picarro Output'!G:G, 'Picarro Output'!$B:$B, 'Uncalibrated Data'!$C4007, 'Picarro Output'!$I:$I, 0, 'Picarro Output'!$J:$J, 1), "")</f>
        <v/>
      </c>
    </row>
    <row r="4008" spans="2:5" x14ac:dyDescent="0.2">
      <c r="B4008" s="1"/>
      <c r="E4008" s="38" t="str">
        <f>IFERROR(AVERAGEIFS('Picarro Output'!G:G, 'Picarro Output'!$B:$B, 'Uncalibrated Data'!$C4008, 'Picarro Output'!$I:$I, 0, 'Picarro Output'!$J:$J, 1), "")</f>
        <v/>
      </c>
    </row>
    <row r="4009" spans="2:5" x14ac:dyDescent="0.2">
      <c r="B4009" s="1"/>
      <c r="E4009" s="38" t="str">
        <f>IFERROR(AVERAGEIFS('Picarro Output'!G:G, 'Picarro Output'!$B:$B, 'Uncalibrated Data'!$C4009, 'Picarro Output'!$I:$I, 0, 'Picarro Output'!$J:$J, 1), "")</f>
        <v/>
      </c>
    </row>
    <row r="4010" spans="2:5" x14ac:dyDescent="0.2">
      <c r="B4010" s="1"/>
      <c r="E4010" s="38" t="str">
        <f>IFERROR(AVERAGEIFS('Picarro Output'!G:G, 'Picarro Output'!$B:$B, 'Uncalibrated Data'!$C4010, 'Picarro Output'!$I:$I, 0, 'Picarro Output'!$J:$J, 1), "")</f>
        <v/>
      </c>
    </row>
    <row r="4011" spans="2:5" x14ac:dyDescent="0.2">
      <c r="B4011" s="1"/>
      <c r="E4011" s="38" t="str">
        <f>IFERROR(AVERAGEIFS('Picarro Output'!G:G, 'Picarro Output'!$B:$B, 'Uncalibrated Data'!$C4011, 'Picarro Output'!$I:$I, 0, 'Picarro Output'!$J:$J, 1), "")</f>
        <v/>
      </c>
    </row>
    <row r="4012" spans="2:5" x14ac:dyDescent="0.2">
      <c r="B4012" s="1"/>
      <c r="E4012" s="38" t="str">
        <f>IFERROR(AVERAGEIFS('Picarro Output'!G:G, 'Picarro Output'!$B:$B, 'Uncalibrated Data'!$C4012, 'Picarro Output'!$I:$I, 0, 'Picarro Output'!$J:$J, 1), "")</f>
        <v/>
      </c>
    </row>
    <row r="4013" spans="2:5" x14ac:dyDescent="0.2">
      <c r="B4013" s="1"/>
      <c r="E4013" s="38" t="str">
        <f>IFERROR(AVERAGEIFS('Picarro Output'!G:G, 'Picarro Output'!$B:$B, 'Uncalibrated Data'!$C4013, 'Picarro Output'!$I:$I, 0, 'Picarro Output'!$J:$J, 1), "")</f>
        <v/>
      </c>
    </row>
    <row r="4014" spans="2:5" x14ac:dyDescent="0.2">
      <c r="B4014" s="1"/>
      <c r="E4014" s="38" t="str">
        <f>IFERROR(AVERAGEIFS('Picarro Output'!G:G, 'Picarro Output'!$B:$B, 'Uncalibrated Data'!$C4014, 'Picarro Output'!$I:$I, 0, 'Picarro Output'!$J:$J, 1), "")</f>
        <v/>
      </c>
    </row>
    <row r="4015" spans="2:5" x14ac:dyDescent="0.2">
      <c r="B4015" s="1"/>
      <c r="E4015" s="38" t="str">
        <f>IFERROR(AVERAGEIFS('Picarro Output'!G:G, 'Picarro Output'!$B:$B, 'Uncalibrated Data'!$C4015, 'Picarro Output'!$I:$I, 0, 'Picarro Output'!$J:$J, 1), "")</f>
        <v/>
      </c>
    </row>
    <row r="4016" spans="2:5" x14ac:dyDescent="0.2">
      <c r="B4016" s="1"/>
      <c r="E4016" s="38" t="str">
        <f>IFERROR(AVERAGEIFS('Picarro Output'!G:G, 'Picarro Output'!$B:$B, 'Uncalibrated Data'!$C4016, 'Picarro Output'!$I:$I, 0, 'Picarro Output'!$J:$J, 1), "")</f>
        <v/>
      </c>
    </row>
    <row r="4017" spans="2:5" x14ac:dyDescent="0.2">
      <c r="B4017" s="1"/>
      <c r="E4017" s="38" t="str">
        <f>IFERROR(AVERAGEIFS('Picarro Output'!G:G, 'Picarro Output'!$B:$B, 'Uncalibrated Data'!$C4017, 'Picarro Output'!$I:$I, 0, 'Picarro Output'!$J:$J, 1), "")</f>
        <v/>
      </c>
    </row>
    <row r="4018" spans="2:5" x14ac:dyDescent="0.2">
      <c r="B4018" s="1"/>
      <c r="E4018" s="38" t="str">
        <f>IFERROR(AVERAGEIFS('Picarro Output'!G:G, 'Picarro Output'!$B:$B, 'Uncalibrated Data'!$C4018, 'Picarro Output'!$I:$I, 0, 'Picarro Output'!$J:$J, 1), "")</f>
        <v/>
      </c>
    </row>
    <row r="4019" spans="2:5" x14ac:dyDescent="0.2">
      <c r="B4019" s="1"/>
      <c r="E4019" s="38" t="str">
        <f>IFERROR(AVERAGEIFS('Picarro Output'!G:G, 'Picarro Output'!$B:$B, 'Uncalibrated Data'!$C4019, 'Picarro Output'!$I:$I, 0, 'Picarro Output'!$J:$J, 1), "")</f>
        <v/>
      </c>
    </row>
    <row r="4020" spans="2:5" x14ac:dyDescent="0.2">
      <c r="B4020" s="1"/>
      <c r="E4020" s="38" t="str">
        <f>IFERROR(AVERAGEIFS('Picarro Output'!G:G, 'Picarro Output'!$B:$B, 'Uncalibrated Data'!$C4020, 'Picarro Output'!$I:$I, 0, 'Picarro Output'!$J:$J, 1), "")</f>
        <v/>
      </c>
    </row>
    <row r="4021" spans="2:5" x14ac:dyDescent="0.2">
      <c r="B4021" s="1"/>
      <c r="E4021" s="38" t="str">
        <f>IFERROR(AVERAGEIFS('Picarro Output'!G:G, 'Picarro Output'!$B:$B, 'Uncalibrated Data'!$C4021, 'Picarro Output'!$I:$I, 0, 'Picarro Output'!$J:$J, 1), "")</f>
        <v/>
      </c>
    </row>
    <row r="4022" spans="2:5" x14ac:dyDescent="0.2">
      <c r="B4022" s="1"/>
      <c r="E4022" s="38" t="str">
        <f>IFERROR(AVERAGEIFS('Picarro Output'!G:G, 'Picarro Output'!$B:$B, 'Uncalibrated Data'!$C4022, 'Picarro Output'!$I:$I, 0, 'Picarro Output'!$J:$J, 1), "")</f>
        <v/>
      </c>
    </row>
    <row r="4023" spans="2:5" x14ac:dyDescent="0.2">
      <c r="B4023" s="1"/>
      <c r="E4023" s="38" t="str">
        <f>IFERROR(AVERAGEIFS('Picarro Output'!G:G, 'Picarro Output'!$B:$B, 'Uncalibrated Data'!$C4023, 'Picarro Output'!$I:$I, 0, 'Picarro Output'!$J:$J, 1), "")</f>
        <v/>
      </c>
    </row>
    <row r="4024" spans="2:5" x14ac:dyDescent="0.2">
      <c r="B4024" s="1"/>
      <c r="E4024" s="38" t="str">
        <f>IFERROR(AVERAGEIFS('Picarro Output'!G:G, 'Picarro Output'!$B:$B, 'Uncalibrated Data'!$C4024, 'Picarro Output'!$I:$I, 0, 'Picarro Output'!$J:$J, 1), "")</f>
        <v/>
      </c>
    </row>
    <row r="4025" spans="2:5" x14ac:dyDescent="0.2">
      <c r="B4025" s="1"/>
      <c r="E4025" s="38" t="str">
        <f>IFERROR(AVERAGEIFS('Picarro Output'!G:G, 'Picarro Output'!$B:$B, 'Uncalibrated Data'!$C4025, 'Picarro Output'!$I:$I, 0, 'Picarro Output'!$J:$J, 1), "")</f>
        <v/>
      </c>
    </row>
    <row r="4026" spans="2:5" x14ac:dyDescent="0.2">
      <c r="B4026" s="1"/>
      <c r="E4026" s="38" t="str">
        <f>IFERROR(AVERAGEIFS('Picarro Output'!G:G, 'Picarro Output'!$B:$B, 'Uncalibrated Data'!$C4026, 'Picarro Output'!$I:$I, 0, 'Picarro Output'!$J:$J, 1), "")</f>
        <v/>
      </c>
    </row>
    <row r="4027" spans="2:5" x14ac:dyDescent="0.2">
      <c r="B4027" s="1"/>
      <c r="E4027" s="38" t="str">
        <f>IFERROR(AVERAGEIFS('Picarro Output'!G:G, 'Picarro Output'!$B:$B, 'Uncalibrated Data'!$C4027, 'Picarro Output'!$I:$I, 0, 'Picarro Output'!$J:$J, 1), "")</f>
        <v/>
      </c>
    </row>
    <row r="4028" spans="2:5" x14ac:dyDescent="0.2">
      <c r="B4028" s="1"/>
      <c r="E4028" s="38" t="str">
        <f>IFERROR(AVERAGEIFS('Picarro Output'!G:G, 'Picarro Output'!$B:$B, 'Uncalibrated Data'!$C4028, 'Picarro Output'!$I:$I, 0, 'Picarro Output'!$J:$J, 1), "")</f>
        <v/>
      </c>
    </row>
    <row r="4029" spans="2:5" x14ac:dyDescent="0.2">
      <c r="B4029" s="1"/>
      <c r="E4029" s="38" t="str">
        <f>IFERROR(AVERAGEIFS('Picarro Output'!G:G, 'Picarro Output'!$B:$B, 'Uncalibrated Data'!$C4029, 'Picarro Output'!$I:$I, 0, 'Picarro Output'!$J:$J, 1), "")</f>
        <v/>
      </c>
    </row>
    <row r="4030" spans="2:5" x14ac:dyDescent="0.2">
      <c r="B4030" s="1"/>
      <c r="E4030" s="38" t="str">
        <f>IFERROR(AVERAGEIFS('Picarro Output'!G:G, 'Picarro Output'!$B:$B, 'Uncalibrated Data'!$C4030, 'Picarro Output'!$I:$I, 0, 'Picarro Output'!$J:$J, 1), "")</f>
        <v/>
      </c>
    </row>
    <row r="4031" spans="2:5" x14ac:dyDescent="0.2">
      <c r="B4031" s="1"/>
      <c r="E4031" s="38" t="str">
        <f>IFERROR(AVERAGEIFS('Picarro Output'!G:G, 'Picarro Output'!$B:$B, 'Uncalibrated Data'!$C4031, 'Picarro Output'!$I:$I, 0, 'Picarro Output'!$J:$J, 1), "")</f>
        <v/>
      </c>
    </row>
    <row r="4032" spans="2:5" x14ac:dyDescent="0.2">
      <c r="B4032" s="1"/>
      <c r="E4032" s="38" t="str">
        <f>IFERROR(AVERAGEIFS('Picarro Output'!G:G, 'Picarro Output'!$B:$B, 'Uncalibrated Data'!$C4032, 'Picarro Output'!$I:$I, 0, 'Picarro Output'!$J:$J, 1), "")</f>
        <v/>
      </c>
    </row>
    <row r="4033" spans="2:5" x14ac:dyDescent="0.2">
      <c r="B4033" s="1"/>
      <c r="E4033" s="38" t="str">
        <f>IFERROR(AVERAGEIFS('Picarro Output'!G:G, 'Picarro Output'!$B:$B, 'Uncalibrated Data'!$C4033, 'Picarro Output'!$I:$I, 0, 'Picarro Output'!$J:$J, 1), "")</f>
        <v/>
      </c>
    </row>
    <row r="4034" spans="2:5" x14ac:dyDescent="0.2">
      <c r="B4034" s="1"/>
      <c r="E4034" s="38" t="str">
        <f>IFERROR(AVERAGEIFS('Picarro Output'!G:G, 'Picarro Output'!$B:$B, 'Uncalibrated Data'!$C4034, 'Picarro Output'!$I:$I, 0, 'Picarro Output'!$J:$J, 1), "")</f>
        <v/>
      </c>
    </row>
    <row r="4035" spans="2:5" x14ac:dyDescent="0.2">
      <c r="B4035" s="1"/>
      <c r="E4035" s="38" t="str">
        <f>IFERROR(AVERAGEIFS('Picarro Output'!G:G, 'Picarro Output'!$B:$B, 'Uncalibrated Data'!$C4035, 'Picarro Output'!$I:$I, 0, 'Picarro Output'!$J:$J, 1), "")</f>
        <v/>
      </c>
    </row>
    <row r="4036" spans="2:5" x14ac:dyDescent="0.2">
      <c r="B4036" s="1"/>
      <c r="E4036" s="38" t="str">
        <f>IFERROR(AVERAGEIFS('Picarro Output'!G:G, 'Picarro Output'!$B:$B, 'Uncalibrated Data'!$C4036, 'Picarro Output'!$I:$I, 0, 'Picarro Output'!$J:$J, 1), "")</f>
        <v/>
      </c>
    </row>
    <row r="4037" spans="2:5" x14ac:dyDescent="0.2">
      <c r="B4037" s="1"/>
      <c r="E4037" s="38" t="str">
        <f>IFERROR(AVERAGEIFS('Picarro Output'!G:G, 'Picarro Output'!$B:$B, 'Uncalibrated Data'!$C4037, 'Picarro Output'!$I:$I, 0, 'Picarro Output'!$J:$J, 1), "")</f>
        <v/>
      </c>
    </row>
    <row r="4038" spans="2:5" x14ac:dyDescent="0.2">
      <c r="B4038" s="1"/>
      <c r="E4038" s="38" t="str">
        <f>IFERROR(AVERAGEIFS('Picarro Output'!G:G, 'Picarro Output'!$B:$B, 'Uncalibrated Data'!$C4038, 'Picarro Output'!$I:$I, 0, 'Picarro Output'!$J:$J, 1), "")</f>
        <v/>
      </c>
    </row>
    <row r="4039" spans="2:5" x14ac:dyDescent="0.2">
      <c r="B4039" s="1"/>
      <c r="E4039" s="38" t="str">
        <f>IFERROR(AVERAGEIFS('Picarro Output'!G:G, 'Picarro Output'!$B:$B, 'Uncalibrated Data'!$C4039, 'Picarro Output'!$I:$I, 0, 'Picarro Output'!$J:$J, 1), "")</f>
        <v/>
      </c>
    </row>
    <row r="4040" spans="2:5" x14ac:dyDescent="0.2">
      <c r="B4040" s="1"/>
      <c r="E4040" s="38" t="str">
        <f>IFERROR(AVERAGEIFS('Picarro Output'!G:G, 'Picarro Output'!$B:$B, 'Uncalibrated Data'!$C4040, 'Picarro Output'!$I:$I, 0, 'Picarro Output'!$J:$J, 1), "")</f>
        <v/>
      </c>
    </row>
    <row r="4041" spans="2:5" x14ac:dyDescent="0.2">
      <c r="B4041" s="1"/>
      <c r="E4041" s="38" t="str">
        <f>IFERROR(AVERAGEIFS('Picarro Output'!G:G, 'Picarro Output'!$B:$B, 'Uncalibrated Data'!$C4041, 'Picarro Output'!$I:$I, 0, 'Picarro Output'!$J:$J, 1), "")</f>
        <v/>
      </c>
    </row>
    <row r="4042" spans="2:5" x14ac:dyDescent="0.2">
      <c r="B4042" s="1"/>
      <c r="E4042" s="38" t="str">
        <f>IFERROR(AVERAGEIFS('Picarro Output'!G:G, 'Picarro Output'!$B:$B, 'Uncalibrated Data'!$C4042, 'Picarro Output'!$I:$I, 0, 'Picarro Output'!$J:$J, 1), "")</f>
        <v/>
      </c>
    </row>
    <row r="4043" spans="2:5" x14ac:dyDescent="0.2">
      <c r="B4043" s="1"/>
      <c r="E4043" s="38" t="str">
        <f>IFERROR(AVERAGEIFS('Picarro Output'!G:G, 'Picarro Output'!$B:$B, 'Uncalibrated Data'!$C4043, 'Picarro Output'!$I:$I, 0, 'Picarro Output'!$J:$J, 1), "")</f>
        <v/>
      </c>
    </row>
    <row r="4044" spans="2:5" x14ac:dyDescent="0.2">
      <c r="B4044" s="1"/>
      <c r="E4044" s="38" t="str">
        <f>IFERROR(AVERAGEIFS('Picarro Output'!G:G, 'Picarro Output'!$B:$B, 'Uncalibrated Data'!$C4044, 'Picarro Output'!$I:$I, 0, 'Picarro Output'!$J:$J, 1), "")</f>
        <v/>
      </c>
    </row>
    <row r="4045" spans="2:5" x14ac:dyDescent="0.2">
      <c r="B4045" s="1"/>
      <c r="E4045" s="38" t="str">
        <f>IFERROR(AVERAGEIFS('Picarro Output'!G:G, 'Picarro Output'!$B:$B, 'Uncalibrated Data'!$C4045, 'Picarro Output'!$I:$I, 0, 'Picarro Output'!$J:$J, 1), "")</f>
        <v/>
      </c>
    </row>
    <row r="4046" spans="2:5" x14ac:dyDescent="0.2">
      <c r="B4046" s="1"/>
      <c r="E4046" s="38" t="str">
        <f>IFERROR(AVERAGEIFS('Picarro Output'!G:G, 'Picarro Output'!$B:$B, 'Uncalibrated Data'!$C4046, 'Picarro Output'!$I:$I, 0, 'Picarro Output'!$J:$J, 1), "")</f>
        <v/>
      </c>
    </row>
    <row r="4047" spans="2:5" x14ac:dyDescent="0.2">
      <c r="B4047" s="1"/>
      <c r="E4047" s="38" t="str">
        <f>IFERROR(AVERAGEIFS('Picarro Output'!G:G, 'Picarro Output'!$B:$B, 'Uncalibrated Data'!$C4047, 'Picarro Output'!$I:$I, 0, 'Picarro Output'!$J:$J, 1), "")</f>
        <v/>
      </c>
    </row>
    <row r="4048" spans="2:5" x14ac:dyDescent="0.2">
      <c r="B4048" s="1"/>
      <c r="E4048" s="38" t="str">
        <f>IFERROR(AVERAGEIFS('Picarro Output'!G:G, 'Picarro Output'!$B:$B, 'Uncalibrated Data'!$C4048, 'Picarro Output'!$I:$I, 0, 'Picarro Output'!$J:$J, 1), "")</f>
        <v/>
      </c>
    </row>
    <row r="4049" spans="2:5" x14ac:dyDescent="0.2">
      <c r="B4049" s="1"/>
      <c r="E4049" s="38" t="str">
        <f>IFERROR(AVERAGEIFS('Picarro Output'!G:G, 'Picarro Output'!$B:$B, 'Uncalibrated Data'!$C4049, 'Picarro Output'!$I:$I, 0, 'Picarro Output'!$J:$J, 1), "")</f>
        <v/>
      </c>
    </row>
    <row r="4050" spans="2:5" x14ac:dyDescent="0.2">
      <c r="B4050" s="1"/>
      <c r="E4050" s="38" t="str">
        <f>IFERROR(AVERAGEIFS('Picarro Output'!G:G, 'Picarro Output'!$B:$B, 'Uncalibrated Data'!$C4050, 'Picarro Output'!$I:$I, 0, 'Picarro Output'!$J:$J, 1), "")</f>
        <v/>
      </c>
    </row>
    <row r="4051" spans="2:5" x14ac:dyDescent="0.2">
      <c r="B4051" s="1"/>
      <c r="E4051" s="38" t="str">
        <f>IFERROR(AVERAGEIFS('Picarro Output'!G:G, 'Picarro Output'!$B:$B, 'Uncalibrated Data'!$C4051, 'Picarro Output'!$I:$I, 0, 'Picarro Output'!$J:$J, 1), "")</f>
        <v/>
      </c>
    </row>
    <row r="4052" spans="2:5" x14ac:dyDescent="0.2">
      <c r="B4052" s="1"/>
      <c r="E4052" s="38" t="str">
        <f>IFERROR(AVERAGEIFS('Picarro Output'!G:G, 'Picarro Output'!$B:$B, 'Uncalibrated Data'!$C4052, 'Picarro Output'!$I:$I, 0, 'Picarro Output'!$J:$J, 1), "")</f>
        <v/>
      </c>
    </row>
    <row r="4053" spans="2:5" x14ac:dyDescent="0.2">
      <c r="B4053" s="1"/>
      <c r="E4053" s="38" t="str">
        <f>IFERROR(AVERAGEIFS('Picarro Output'!G:G, 'Picarro Output'!$B:$B, 'Uncalibrated Data'!$C4053, 'Picarro Output'!$I:$I, 0, 'Picarro Output'!$J:$J, 1), "")</f>
        <v/>
      </c>
    </row>
    <row r="4054" spans="2:5" x14ac:dyDescent="0.2">
      <c r="B4054" s="1"/>
      <c r="E4054" s="38" t="str">
        <f>IFERROR(AVERAGEIFS('Picarro Output'!G:G, 'Picarro Output'!$B:$B, 'Uncalibrated Data'!$C4054, 'Picarro Output'!$I:$I, 0, 'Picarro Output'!$J:$J, 1), "")</f>
        <v/>
      </c>
    </row>
    <row r="4055" spans="2:5" x14ac:dyDescent="0.2">
      <c r="B4055" s="1"/>
      <c r="E4055" s="38" t="str">
        <f>IFERROR(AVERAGEIFS('Picarro Output'!G:G, 'Picarro Output'!$B:$B, 'Uncalibrated Data'!$C4055, 'Picarro Output'!$I:$I, 0, 'Picarro Output'!$J:$J, 1), "")</f>
        <v/>
      </c>
    </row>
    <row r="4056" spans="2:5" x14ac:dyDescent="0.2">
      <c r="B4056" s="1"/>
      <c r="E4056" s="38" t="str">
        <f>IFERROR(AVERAGEIFS('Picarro Output'!G:G, 'Picarro Output'!$B:$B, 'Uncalibrated Data'!$C4056, 'Picarro Output'!$I:$I, 0, 'Picarro Output'!$J:$J, 1), "")</f>
        <v/>
      </c>
    </row>
    <row r="4057" spans="2:5" x14ac:dyDescent="0.2">
      <c r="B4057" s="1"/>
      <c r="E4057" s="38" t="str">
        <f>IFERROR(AVERAGEIFS('Picarro Output'!G:G, 'Picarro Output'!$B:$B, 'Uncalibrated Data'!$C4057, 'Picarro Output'!$I:$I, 0, 'Picarro Output'!$J:$J, 1), "")</f>
        <v/>
      </c>
    </row>
    <row r="4058" spans="2:5" x14ac:dyDescent="0.2">
      <c r="B4058" s="1"/>
      <c r="E4058" s="38" t="str">
        <f>IFERROR(AVERAGEIFS('Picarro Output'!G:G, 'Picarro Output'!$B:$B, 'Uncalibrated Data'!$C4058, 'Picarro Output'!$I:$I, 0, 'Picarro Output'!$J:$J, 1), "")</f>
        <v/>
      </c>
    </row>
    <row r="4059" spans="2:5" x14ac:dyDescent="0.2">
      <c r="B4059" s="1"/>
      <c r="E4059" s="38" t="str">
        <f>IFERROR(AVERAGEIFS('Picarro Output'!G:G, 'Picarro Output'!$B:$B, 'Uncalibrated Data'!$C4059, 'Picarro Output'!$I:$I, 0, 'Picarro Output'!$J:$J, 1), "")</f>
        <v/>
      </c>
    </row>
    <row r="4060" spans="2:5" x14ac:dyDescent="0.2">
      <c r="B4060" s="1"/>
      <c r="E4060" s="38" t="str">
        <f>IFERROR(AVERAGEIFS('Picarro Output'!G:G, 'Picarro Output'!$B:$B, 'Uncalibrated Data'!$C4060, 'Picarro Output'!$I:$I, 0, 'Picarro Output'!$J:$J, 1), "")</f>
        <v/>
      </c>
    </row>
    <row r="4061" spans="2:5" x14ac:dyDescent="0.2">
      <c r="B4061" s="1"/>
      <c r="E4061" s="38" t="str">
        <f>IFERROR(AVERAGEIFS('Picarro Output'!G:G, 'Picarro Output'!$B:$B, 'Uncalibrated Data'!$C4061, 'Picarro Output'!$I:$I, 0, 'Picarro Output'!$J:$J, 1), "")</f>
        <v/>
      </c>
    </row>
    <row r="4062" spans="2:5" x14ac:dyDescent="0.2">
      <c r="B4062" s="1"/>
      <c r="E4062" s="38" t="str">
        <f>IFERROR(AVERAGEIFS('Picarro Output'!G:G, 'Picarro Output'!$B:$B, 'Uncalibrated Data'!$C4062, 'Picarro Output'!$I:$I, 0, 'Picarro Output'!$J:$J, 1), "")</f>
        <v/>
      </c>
    </row>
    <row r="4063" spans="2:5" x14ac:dyDescent="0.2">
      <c r="B4063" s="1"/>
      <c r="E4063" s="38" t="str">
        <f>IFERROR(AVERAGEIFS('Picarro Output'!G:G, 'Picarro Output'!$B:$B, 'Uncalibrated Data'!$C4063, 'Picarro Output'!$I:$I, 0, 'Picarro Output'!$J:$J, 1), "")</f>
        <v/>
      </c>
    </row>
    <row r="4064" spans="2:5" x14ac:dyDescent="0.2">
      <c r="B4064" s="1"/>
      <c r="E4064" s="38" t="str">
        <f>IFERROR(AVERAGEIFS('Picarro Output'!G:G, 'Picarro Output'!$B:$B, 'Uncalibrated Data'!$C4064, 'Picarro Output'!$I:$I, 0, 'Picarro Output'!$J:$J, 1), "")</f>
        <v/>
      </c>
    </row>
    <row r="4065" spans="2:5" x14ac:dyDescent="0.2">
      <c r="B4065" s="1"/>
      <c r="E4065" s="38" t="str">
        <f>IFERROR(AVERAGEIFS('Picarro Output'!G:G, 'Picarro Output'!$B:$B, 'Uncalibrated Data'!$C4065, 'Picarro Output'!$I:$I, 0, 'Picarro Output'!$J:$J, 1), "")</f>
        <v/>
      </c>
    </row>
    <row r="4066" spans="2:5" x14ac:dyDescent="0.2">
      <c r="B4066" s="1"/>
      <c r="E4066" s="38" t="str">
        <f>IFERROR(AVERAGEIFS('Picarro Output'!G:G, 'Picarro Output'!$B:$B, 'Uncalibrated Data'!$C4066, 'Picarro Output'!$I:$I, 0, 'Picarro Output'!$J:$J, 1), "")</f>
        <v/>
      </c>
    </row>
    <row r="4067" spans="2:5" x14ac:dyDescent="0.2">
      <c r="B4067" s="1"/>
      <c r="E4067" s="38" t="str">
        <f>IFERROR(AVERAGEIFS('Picarro Output'!G:G, 'Picarro Output'!$B:$B, 'Uncalibrated Data'!$C4067, 'Picarro Output'!$I:$I, 0, 'Picarro Output'!$J:$J, 1), "")</f>
        <v/>
      </c>
    </row>
    <row r="4068" spans="2:5" x14ac:dyDescent="0.2">
      <c r="B4068" s="1"/>
      <c r="E4068" s="38" t="str">
        <f>IFERROR(AVERAGEIFS('Picarro Output'!G:G, 'Picarro Output'!$B:$B, 'Uncalibrated Data'!$C4068, 'Picarro Output'!$I:$I, 0, 'Picarro Output'!$J:$J, 1), "")</f>
        <v/>
      </c>
    </row>
    <row r="4069" spans="2:5" x14ac:dyDescent="0.2">
      <c r="B4069" s="1"/>
      <c r="E4069" s="38" t="str">
        <f>IFERROR(AVERAGEIFS('Picarro Output'!G:G, 'Picarro Output'!$B:$B, 'Uncalibrated Data'!$C4069, 'Picarro Output'!$I:$I, 0, 'Picarro Output'!$J:$J, 1), "")</f>
        <v/>
      </c>
    </row>
    <row r="4070" spans="2:5" x14ac:dyDescent="0.2">
      <c r="B4070" s="1"/>
      <c r="E4070" s="38" t="str">
        <f>IFERROR(AVERAGEIFS('Picarro Output'!G:G, 'Picarro Output'!$B:$B, 'Uncalibrated Data'!$C4070, 'Picarro Output'!$I:$I, 0, 'Picarro Output'!$J:$J, 1), "")</f>
        <v/>
      </c>
    </row>
    <row r="4071" spans="2:5" x14ac:dyDescent="0.2">
      <c r="B4071" s="1"/>
      <c r="E4071" s="38" t="str">
        <f>IFERROR(AVERAGEIFS('Picarro Output'!G:G, 'Picarro Output'!$B:$B, 'Uncalibrated Data'!$C4071, 'Picarro Output'!$I:$I, 0, 'Picarro Output'!$J:$J, 1), "")</f>
        <v/>
      </c>
    </row>
    <row r="4072" spans="2:5" x14ac:dyDescent="0.2">
      <c r="B4072" s="1"/>
      <c r="E4072" s="38" t="str">
        <f>IFERROR(AVERAGEIFS('Picarro Output'!G:G, 'Picarro Output'!$B:$B, 'Uncalibrated Data'!$C4072, 'Picarro Output'!$I:$I, 0, 'Picarro Output'!$J:$J, 1), "")</f>
        <v/>
      </c>
    </row>
    <row r="4073" spans="2:5" x14ac:dyDescent="0.2">
      <c r="B4073" s="1"/>
      <c r="E4073" s="38" t="str">
        <f>IFERROR(AVERAGEIFS('Picarro Output'!G:G, 'Picarro Output'!$B:$B, 'Uncalibrated Data'!$C4073, 'Picarro Output'!$I:$I, 0, 'Picarro Output'!$J:$J, 1), "")</f>
        <v/>
      </c>
    </row>
    <row r="4074" spans="2:5" x14ac:dyDescent="0.2">
      <c r="B4074" s="1"/>
      <c r="E4074" s="38" t="str">
        <f>IFERROR(AVERAGEIFS('Picarro Output'!G:G, 'Picarro Output'!$B:$B, 'Uncalibrated Data'!$C4074, 'Picarro Output'!$I:$I, 0, 'Picarro Output'!$J:$J, 1), "")</f>
        <v/>
      </c>
    </row>
    <row r="4075" spans="2:5" x14ac:dyDescent="0.2">
      <c r="B4075" s="1"/>
      <c r="E4075" s="38" t="str">
        <f>IFERROR(AVERAGEIFS('Picarro Output'!G:G, 'Picarro Output'!$B:$B, 'Uncalibrated Data'!$C4075, 'Picarro Output'!$I:$I, 0, 'Picarro Output'!$J:$J, 1), "")</f>
        <v/>
      </c>
    </row>
    <row r="4076" spans="2:5" x14ac:dyDescent="0.2">
      <c r="B4076" s="1"/>
      <c r="E4076" s="38" t="str">
        <f>IFERROR(AVERAGEIFS('Picarro Output'!G:G, 'Picarro Output'!$B:$B, 'Uncalibrated Data'!$C4076, 'Picarro Output'!$I:$I, 0, 'Picarro Output'!$J:$J, 1), "")</f>
        <v/>
      </c>
    </row>
    <row r="4077" spans="2:5" x14ac:dyDescent="0.2">
      <c r="B4077" s="1"/>
      <c r="E4077" s="38" t="str">
        <f>IFERROR(AVERAGEIFS('Picarro Output'!G:G, 'Picarro Output'!$B:$B, 'Uncalibrated Data'!$C4077, 'Picarro Output'!$I:$I, 0, 'Picarro Output'!$J:$J, 1), "")</f>
        <v/>
      </c>
    </row>
    <row r="4078" spans="2:5" x14ac:dyDescent="0.2">
      <c r="B4078" s="1"/>
      <c r="E4078" s="38" t="str">
        <f>IFERROR(AVERAGEIFS('Picarro Output'!G:G, 'Picarro Output'!$B:$B, 'Uncalibrated Data'!$C4078, 'Picarro Output'!$I:$I, 0, 'Picarro Output'!$J:$J, 1), "")</f>
        <v/>
      </c>
    </row>
    <row r="4079" spans="2:5" x14ac:dyDescent="0.2">
      <c r="B4079" s="1"/>
      <c r="E4079" s="38" t="str">
        <f>IFERROR(AVERAGEIFS('Picarro Output'!G:G, 'Picarro Output'!$B:$B, 'Uncalibrated Data'!$C4079, 'Picarro Output'!$I:$I, 0, 'Picarro Output'!$J:$J, 1), "")</f>
        <v/>
      </c>
    </row>
    <row r="4080" spans="2:5" x14ac:dyDescent="0.2">
      <c r="B4080" s="1"/>
      <c r="E4080" s="38" t="str">
        <f>IFERROR(AVERAGEIFS('Picarro Output'!G:G, 'Picarro Output'!$B:$B, 'Uncalibrated Data'!$C4080, 'Picarro Output'!$I:$I, 0, 'Picarro Output'!$J:$J, 1), "")</f>
        <v/>
      </c>
    </row>
    <row r="4081" spans="2:5" x14ac:dyDescent="0.2">
      <c r="B4081" s="1"/>
      <c r="E4081" s="38" t="str">
        <f>IFERROR(AVERAGEIFS('Picarro Output'!G:G, 'Picarro Output'!$B:$B, 'Uncalibrated Data'!$C4081, 'Picarro Output'!$I:$I, 0, 'Picarro Output'!$J:$J, 1), "")</f>
        <v/>
      </c>
    </row>
    <row r="4082" spans="2:5" x14ac:dyDescent="0.2">
      <c r="B4082" s="1"/>
      <c r="E4082" s="38" t="str">
        <f>IFERROR(AVERAGEIFS('Picarro Output'!G:G, 'Picarro Output'!$B:$B, 'Uncalibrated Data'!$C4082, 'Picarro Output'!$I:$I, 0, 'Picarro Output'!$J:$J, 1), "")</f>
        <v/>
      </c>
    </row>
    <row r="4083" spans="2:5" x14ac:dyDescent="0.2">
      <c r="B4083" s="1"/>
      <c r="E4083" s="38" t="str">
        <f>IFERROR(AVERAGEIFS('Picarro Output'!G:G, 'Picarro Output'!$B:$B, 'Uncalibrated Data'!$C4083, 'Picarro Output'!$I:$I, 0, 'Picarro Output'!$J:$J, 1), "")</f>
        <v/>
      </c>
    </row>
    <row r="4084" spans="2:5" x14ac:dyDescent="0.2">
      <c r="B4084" s="1"/>
      <c r="E4084" s="38" t="str">
        <f>IFERROR(AVERAGEIFS('Picarro Output'!G:G, 'Picarro Output'!$B:$B, 'Uncalibrated Data'!$C4084, 'Picarro Output'!$I:$I, 0, 'Picarro Output'!$J:$J, 1), "")</f>
        <v/>
      </c>
    </row>
    <row r="4085" spans="2:5" x14ac:dyDescent="0.2">
      <c r="B4085" s="1"/>
      <c r="E4085" s="38" t="str">
        <f>IFERROR(AVERAGEIFS('Picarro Output'!G:G, 'Picarro Output'!$B:$B, 'Uncalibrated Data'!$C4085, 'Picarro Output'!$I:$I, 0, 'Picarro Output'!$J:$J, 1), "")</f>
        <v/>
      </c>
    </row>
    <row r="4086" spans="2:5" x14ac:dyDescent="0.2">
      <c r="B4086" s="1"/>
      <c r="E4086" s="38" t="str">
        <f>IFERROR(AVERAGEIFS('Picarro Output'!G:G, 'Picarro Output'!$B:$B, 'Uncalibrated Data'!$C4086, 'Picarro Output'!$I:$I, 0, 'Picarro Output'!$J:$J, 1), "")</f>
        <v/>
      </c>
    </row>
    <row r="4087" spans="2:5" x14ac:dyDescent="0.2">
      <c r="B4087" s="1"/>
      <c r="E4087" s="38" t="str">
        <f>IFERROR(AVERAGEIFS('Picarro Output'!G:G, 'Picarro Output'!$B:$B, 'Uncalibrated Data'!$C4087, 'Picarro Output'!$I:$I, 0, 'Picarro Output'!$J:$J, 1), "")</f>
        <v/>
      </c>
    </row>
    <row r="4088" spans="2:5" x14ac:dyDescent="0.2">
      <c r="B4088" s="1"/>
      <c r="E4088" s="38" t="str">
        <f>IFERROR(AVERAGEIFS('Picarro Output'!G:G, 'Picarro Output'!$B:$B, 'Uncalibrated Data'!$C4088, 'Picarro Output'!$I:$I, 0, 'Picarro Output'!$J:$J, 1), "")</f>
        <v/>
      </c>
    </row>
    <row r="4089" spans="2:5" x14ac:dyDescent="0.2">
      <c r="B4089" s="1"/>
      <c r="E4089" s="38" t="str">
        <f>IFERROR(AVERAGEIFS('Picarro Output'!G:G, 'Picarro Output'!$B:$B, 'Uncalibrated Data'!$C4089, 'Picarro Output'!$I:$I, 0, 'Picarro Output'!$J:$J, 1), "")</f>
        <v/>
      </c>
    </row>
    <row r="4090" spans="2:5" x14ac:dyDescent="0.2">
      <c r="B4090" s="1"/>
      <c r="E4090" s="38" t="str">
        <f>IFERROR(AVERAGEIFS('Picarro Output'!G:G, 'Picarro Output'!$B:$B, 'Uncalibrated Data'!$C4090, 'Picarro Output'!$I:$I, 0, 'Picarro Output'!$J:$J, 1), "")</f>
        <v/>
      </c>
    </row>
    <row r="4091" spans="2:5" x14ac:dyDescent="0.2">
      <c r="B4091" s="1"/>
      <c r="E4091" s="38" t="str">
        <f>IFERROR(AVERAGEIFS('Picarro Output'!G:G, 'Picarro Output'!$B:$B, 'Uncalibrated Data'!$C4091, 'Picarro Output'!$I:$I, 0, 'Picarro Output'!$J:$J, 1), "")</f>
        <v/>
      </c>
    </row>
    <row r="4092" spans="2:5" x14ac:dyDescent="0.2">
      <c r="B4092" s="1"/>
      <c r="E4092" s="38" t="str">
        <f>IFERROR(AVERAGEIFS('Picarro Output'!G:G, 'Picarro Output'!$B:$B, 'Uncalibrated Data'!$C4092, 'Picarro Output'!$I:$I, 0, 'Picarro Output'!$J:$J, 1), "")</f>
        <v/>
      </c>
    </row>
    <row r="4093" spans="2:5" x14ac:dyDescent="0.2">
      <c r="B4093" s="1"/>
      <c r="E4093" s="38" t="str">
        <f>IFERROR(AVERAGEIFS('Picarro Output'!G:G, 'Picarro Output'!$B:$B, 'Uncalibrated Data'!$C4093, 'Picarro Output'!$I:$I, 0, 'Picarro Output'!$J:$J, 1), "")</f>
        <v/>
      </c>
    </row>
    <row r="4094" spans="2:5" x14ac:dyDescent="0.2">
      <c r="B4094" s="1"/>
      <c r="E4094" s="38" t="str">
        <f>IFERROR(AVERAGEIFS('Picarro Output'!G:G, 'Picarro Output'!$B:$B, 'Uncalibrated Data'!$C4094, 'Picarro Output'!$I:$I, 0, 'Picarro Output'!$J:$J, 1), "")</f>
        <v/>
      </c>
    </row>
    <row r="4095" spans="2:5" x14ac:dyDescent="0.2">
      <c r="B4095" s="1"/>
      <c r="E4095" s="38" t="str">
        <f>IFERROR(AVERAGEIFS('Picarro Output'!G:G, 'Picarro Output'!$B:$B, 'Uncalibrated Data'!$C4095, 'Picarro Output'!$I:$I, 0, 'Picarro Output'!$J:$J, 1), "")</f>
        <v/>
      </c>
    </row>
    <row r="4096" spans="2:5" x14ac:dyDescent="0.2">
      <c r="B4096" s="1"/>
      <c r="E4096" s="38" t="str">
        <f>IFERROR(AVERAGEIFS('Picarro Output'!G:G, 'Picarro Output'!$B:$B, 'Uncalibrated Data'!$C4096, 'Picarro Output'!$I:$I, 0, 'Picarro Output'!$J:$J, 1), "")</f>
        <v/>
      </c>
    </row>
    <row r="4097" spans="2:5" x14ac:dyDescent="0.2">
      <c r="B4097" s="1"/>
      <c r="E4097" s="38" t="str">
        <f>IFERROR(AVERAGEIFS('Picarro Output'!G:G, 'Picarro Output'!$B:$B, 'Uncalibrated Data'!$C4097, 'Picarro Output'!$I:$I, 0, 'Picarro Output'!$J:$J, 1), "")</f>
        <v/>
      </c>
    </row>
    <row r="4098" spans="2:5" x14ac:dyDescent="0.2">
      <c r="B4098" s="1"/>
      <c r="E4098" s="38" t="str">
        <f>IFERROR(AVERAGEIFS('Picarro Output'!G:G, 'Picarro Output'!$B:$B, 'Uncalibrated Data'!$C4098, 'Picarro Output'!$I:$I, 0, 'Picarro Output'!$J:$J, 1), "")</f>
        <v/>
      </c>
    </row>
    <row r="4099" spans="2:5" x14ac:dyDescent="0.2">
      <c r="B4099" s="1"/>
      <c r="E4099" s="38" t="str">
        <f>IFERROR(AVERAGEIFS('Picarro Output'!G:G, 'Picarro Output'!$B:$B, 'Uncalibrated Data'!$C4099, 'Picarro Output'!$I:$I, 0, 'Picarro Output'!$J:$J, 1), "")</f>
        <v/>
      </c>
    </row>
    <row r="4100" spans="2:5" x14ac:dyDescent="0.2">
      <c r="B4100" s="1"/>
      <c r="E4100" s="38" t="str">
        <f>IFERROR(AVERAGEIFS('Picarro Output'!G:G, 'Picarro Output'!$B:$B, 'Uncalibrated Data'!$C4100, 'Picarro Output'!$I:$I, 0, 'Picarro Output'!$J:$J, 1), "")</f>
        <v/>
      </c>
    </row>
    <row r="4101" spans="2:5" x14ac:dyDescent="0.2">
      <c r="B4101" s="1"/>
      <c r="E4101" s="38" t="str">
        <f>IFERROR(AVERAGEIFS('Picarro Output'!G:G, 'Picarro Output'!$B:$B, 'Uncalibrated Data'!$C4101, 'Picarro Output'!$I:$I, 0, 'Picarro Output'!$J:$J, 1), "")</f>
        <v/>
      </c>
    </row>
    <row r="4102" spans="2:5" x14ac:dyDescent="0.2">
      <c r="B4102" s="1"/>
      <c r="E4102" s="38" t="str">
        <f>IFERROR(AVERAGEIFS('Picarro Output'!G:G, 'Picarro Output'!$B:$B, 'Uncalibrated Data'!$C4102, 'Picarro Output'!$I:$I, 0, 'Picarro Output'!$J:$J, 1), "")</f>
        <v/>
      </c>
    </row>
    <row r="4103" spans="2:5" x14ac:dyDescent="0.2">
      <c r="B4103" s="1"/>
      <c r="E4103" s="38" t="str">
        <f>IFERROR(AVERAGEIFS('Picarro Output'!G:G, 'Picarro Output'!$B:$B, 'Uncalibrated Data'!$C4103, 'Picarro Output'!$I:$I, 0, 'Picarro Output'!$J:$J, 1), "")</f>
        <v/>
      </c>
    </row>
    <row r="4104" spans="2:5" x14ac:dyDescent="0.2">
      <c r="B4104" s="1"/>
      <c r="E4104" s="38" t="str">
        <f>IFERROR(AVERAGEIFS('Picarro Output'!G:G, 'Picarro Output'!$B:$B, 'Uncalibrated Data'!$C4104, 'Picarro Output'!$I:$I, 0, 'Picarro Output'!$J:$J, 1), "")</f>
        <v/>
      </c>
    </row>
    <row r="4105" spans="2:5" x14ac:dyDescent="0.2">
      <c r="B4105" s="1"/>
      <c r="E4105" s="38" t="str">
        <f>IFERROR(AVERAGEIFS('Picarro Output'!G:G, 'Picarro Output'!$B:$B, 'Uncalibrated Data'!$C4105, 'Picarro Output'!$I:$I, 0, 'Picarro Output'!$J:$J, 1), "")</f>
        <v/>
      </c>
    </row>
    <row r="4106" spans="2:5" x14ac:dyDescent="0.2">
      <c r="B4106" s="1"/>
      <c r="E4106" s="38" t="str">
        <f>IFERROR(AVERAGEIFS('Picarro Output'!G:G, 'Picarro Output'!$B:$B, 'Uncalibrated Data'!$C4106, 'Picarro Output'!$I:$I, 0, 'Picarro Output'!$J:$J, 1), "")</f>
        <v/>
      </c>
    </row>
    <row r="4107" spans="2:5" x14ac:dyDescent="0.2">
      <c r="B4107" s="1"/>
      <c r="E4107" s="38" t="str">
        <f>IFERROR(AVERAGEIFS('Picarro Output'!G:G, 'Picarro Output'!$B:$B, 'Uncalibrated Data'!$C4107, 'Picarro Output'!$I:$I, 0, 'Picarro Output'!$J:$J, 1), "")</f>
        <v/>
      </c>
    </row>
    <row r="4108" spans="2:5" x14ac:dyDescent="0.2">
      <c r="B4108" s="1"/>
      <c r="E4108" s="38" t="str">
        <f>IFERROR(AVERAGEIFS('Picarro Output'!G:G, 'Picarro Output'!$B:$B, 'Uncalibrated Data'!$C4108, 'Picarro Output'!$I:$I, 0, 'Picarro Output'!$J:$J, 1), "")</f>
        <v/>
      </c>
    </row>
    <row r="4109" spans="2:5" x14ac:dyDescent="0.2">
      <c r="B4109" s="1"/>
      <c r="E4109" s="38" t="str">
        <f>IFERROR(AVERAGEIFS('Picarro Output'!G:G, 'Picarro Output'!$B:$B, 'Uncalibrated Data'!$C4109, 'Picarro Output'!$I:$I, 0, 'Picarro Output'!$J:$J, 1), "")</f>
        <v/>
      </c>
    </row>
    <row r="4110" spans="2:5" x14ac:dyDescent="0.2">
      <c r="B4110" s="1"/>
      <c r="E4110" s="38" t="str">
        <f>IFERROR(AVERAGEIFS('Picarro Output'!G:G, 'Picarro Output'!$B:$B, 'Uncalibrated Data'!$C4110, 'Picarro Output'!$I:$I, 0, 'Picarro Output'!$J:$J, 1), "")</f>
        <v/>
      </c>
    </row>
    <row r="4111" spans="2:5" x14ac:dyDescent="0.2">
      <c r="B4111" s="1"/>
      <c r="E4111" s="38" t="str">
        <f>IFERROR(AVERAGEIFS('Picarro Output'!G:G, 'Picarro Output'!$B:$B, 'Uncalibrated Data'!$C4111, 'Picarro Output'!$I:$I, 0, 'Picarro Output'!$J:$J, 1), "")</f>
        <v/>
      </c>
    </row>
    <row r="4112" spans="2:5" x14ac:dyDescent="0.2">
      <c r="B4112" s="1"/>
      <c r="E4112" s="38" t="str">
        <f>IFERROR(AVERAGEIFS('Picarro Output'!G:G, 'Picarro Output'!$B:$B, 'Uncalibrated Data'!$C4112, 'Picarro Output'!$I:$I, 0, 'Picarro Output'!$J:$J, 1), "")</f>
        <v/>
      </c>
    </row>
    <row r="4113" spans="2:5" x14ac:dyDescent="0.2">
      <c r="B4113" s="1"/>
      <c r="E4113" s="38" t="str">
        <f>IFERROR(AVERAGEIFS('Picarro Output'!G:G, 'Picarro Output'!$B:$B, 'Uncalibrated Data'!$C4113, 'Picarro Output'!$I:$I, 0, 'Picarro Output'!$J:$J, 1), "")</f>
        <v/>
      </c>
    </row>
    <row r="4114" spans="2:5" x14ac:dyDescent="0.2">
      <c r="B4114" s="1"/>
      <c r="E4114" s="38" t="str">
        <f>IFERROR(AVERAGEIFS('Picarro Output'!G:G, 'Picarro Output'!$B:$B, 'Uncalibrated Data'!$C4114, 'Picarro Output'!$I:$I, 0, 'Picarro Output'!$J:$J, 1), "")</f>
        <v/>
      </c>
    </row>
    <row r="4115" spans="2:5" x14ac:dyDescent="0.2">
      <c r="B4115" s="1"/>
      <c r="E4115" s="38" t="str">
        <f>IFERROR(AVERAGEIFS('Picarro Output'!G:G, 'Picarro Output'!$B:$B, 'Uncalibrated Data'!$C4115, 'Picarro Output'!$I:$I, 0, 'Picarro Output'!$J:$J, 1), "")</f>
        <v/>
      </c>
    </row>
    <row r="4116" spans="2:5" x14ac:dyDescent="0.2">
      <c r="B4116" s="1"/>
      <c r="E4116" s="38" t="str">
        <f>IFERROR(AVERAGEIFS('Picarro Output'!G:G, 'Picarro Output'!$B:$B, 'Uncalibrated Data'!$C4116, 'Picarro Output'!$I:$I, 0, 'Picarro Output'!$J:$J, 1), "")</f>
        <v/>
      </c>
    </row>
    <row r="4117" spans="2:5" x14ac:dyDescent="0.2">
      <c r="B4117" s="1"/>
      <c r="E4117" s="38" t="str">
        <f>IFERROR(AVERAGEIFS('Picarro Output'!G:G, 'Picarro Output'!$B:$B, 'Uncalibrated Data'!$C4117, 'Picarro Output'!$I:$I, 0, 'Picarro Output'!$J:$J, 1), "")</f>
        <v/>
      </c>
    </row>
    <row r="4118" spans="2:5" x14ac:dyDescent="0.2">
      <c r="B4118" s="1"/>
      <c r="E4118" s="38" t="str">
        <f>IFERROR(AVERAGEIFS('Picarro Output'!G:G, 'Picarro Output'!$B:$B, 'Uncalibrated Data'!$C4118, 'Picarro Output'!$I:$I, 0, 'Picarro Output'!$J:$J, 1), "")</f>
        <v/>
      </c>
    </row>
    <row r="4119" spans="2:5" x14ac:dyDescent="0.2">
      <c r="B4119" s="1"/>
      <c r="E4119" s="38" t="str">
        <f>IFERROR(AVERAGEIFS('Picarro Output'!G:G, 'Picarro Output'!$B:$B, 'Uncalibrated Data'!$C4119, 'Picarro Output'!$I:$I, 0, 'Picarro Output'!$J:$J, 1), "")</f>
        <v/>
      </c>
    </row>
    <row r="4120" spans="2:5" x14ac:dyDescent="0.2">
      <c r="B4120" s="1"/>
      <c r="E4120" s="38" t="str">
        <f>IFERROR(AVERAGEIFS('Picarro Output'!G:G, 'Picarro Output'!$B:$B, 'Uncalibrated Data'!$C4120, 'Picarro Output'!$I:$I, 0, 'Picarro Output'!$J:$J, 1), "")</f>
        <v/>
      </c>
    </row>
    <row r="4121" spans="2:5" x14ac:dyDescent="0.2">
      <c r="B4121" s="1"/>
      <c r="E4121" s="38" t="str">
        <f>IFERROR(AVERAGEIFS('Picarro Output'!G:G, 'Picarro Output'!$B:$B, 'Uncalibrated Data'!$C4121, 'Picarro Output'!$I:$I, 0, 'Picarro Output'!$J:$J, 1), "")</f>
        <v/>
      </c>
    </row>
    <row r="4122" spans="2:5" x14ac:dyDescent="0.2">
      <c r="B4122" s="1"/>
      <c r="E4122" s="38" t="str">
        <f>IFERROR(AVERAGEIFS('Picarro Output'!G:G, 'Picarro Output'!$B:$B, 'Uncalibrated Data'!$C4122, 'Picarro Output'!$I:$I, 0, 'Picarro Output'!$J:$J, 1), "")</f>
        <v/>
      </c>
    </row>
    <row r="4123" spans="2:5" x14ac:dyDescent="0.2">
      <c r="B4123" s="1"/>
      <c r="E4123" s="38" t="str">
        <f>IFERROR(AVERAGEIFS('Picarro Output'!G:G, 'Picarro Output'!$B:$B, 'Uncalibrated Data'!$C4123, 'Picarro Output'!$I:$I, 0, 'Picarro Output'!$J:$J, 1), "")</f>
        <v/>
      </c>
    </row>
    <row r="4124" spans="2:5" x14ac:dyDescent="0.2">
      <c r="B4124" s="1"/>
      <c r="E4124" s="38" t="str">
        <f>IFERROR(AVERAGEIFS('Picarro Output'!G:G, 'Picarro Output'!$B:$B, 'Uncalibrated Data'!$C4124, 'Picarro Output'!$I:$I, 0, 'Picarro Output'!$J:$J, 1), "")</f>
        <v/>
      </c>
    </row>
    <row r="4125" spans="2:5" x14ac:dyDescent="0.2">
      <c r="B4125" s="1"/>
      <c r="E4125" s="38" t="str">
        <f>IFERROR(AVERAGEIFS('Picarro Output'!G:G, 'Picarro Output'!$B:$B, 'Uncalibrated Data'!$C4125, 'Picarro Output'!$I:$I, 0, 'Picarro Output'!$J:$J, 1), "")</f>
        <v/>
      </c>
    </row>
    <row r="4126" spans="2:5" x14ac:dyDescent="0.2">
      <c r="B4126" s="1"/>
      <c r="E4126" s="38" t="str">
        <f>IFERROR(AVERAGEIFS('Picarro Output'!G:G, 'Picarro Output'!$B:$B, 'Uncalibrated Data'!$C4126, 'Picarro Output'!$I:$I, 0, 'Picarro Output'!$J:$J, 1), "")</f>
        <v/>
      </c>
    </row>
    <row r="4127" spans="2:5" x14ac:dyDescent="0.2">
      <c r="B4127" s="1"/>
      <c r="E4127" s="38" t="str">
        <f>IFERROR(AVERAGEIFS('Picarro Output'!G:G, 'Picarro Output'!$B:$B, 'Uncalibrated Data'!$C4127, 'Picarro Output'!$I:$I, 0, 'Picarro Output'!$J:$J, 1), "")</f>
        <v/>
      </c>
    </row>
    <row r="4128" spans="2:5" x14ac:dyDescent="0.2">
      <c r="B4128" s="1"/>
      <c r="E4128" s="38" t="str">
        <f>IFERROR(AVERAGEIFS('Picarro Output'!G:G, 'Picarro Output'!$B:$B, 'Uncalibrated Data'!$C4128, 'Picarro Output'!$I:$I, 0, 'Picarro Output'!$J:$J, 1), "")</f>
        <v/>
      </c>
    </row>
    <row r="4129" spans="2:5" x14ac:dyDescent="0.2">
      <c r="B4129" s="1"/>
      <c r="E4129" s="38" t="str">
        <f>IFERROR(AVERAGEIFS('Picarro Output'!G:G, 'Picarro Output'!$B:$B, 'Uncalibrated Data'!$C4129, 'Picarro Output'!$I:$I, 0, 'Picarro Output'!$J:$J, 1), "")</f>
        <v/>
      </c>
    </row>
    <row r="4130" spans="2:5" x14ac:dyDescent="0.2">
      <c r="B4130" s="1"/>
      <c r="E4130" s="38" t="str">
        <f>IFERROR(AVERAGEIFS('Picarro Output'!G:G, 'Picarro Output'!$B:$B, 'Uncalibrated Data'!$C4130, 'Picarro Output'!$I:$I, 0, 'Picarro Output'!$J:$J, 1), "")</f>
        <v/>
      </c>
    </row>
    <row r="4131" spans="2:5" x14ac:dyDescent="0.2">
      <c r="B4131" s="1"/>
      <c r="E4131" s="38" t="str">
        <f>IFERROR(AVERAGEIFS('Picarro Output'!G:G, 'Picarro Output'!$B:$B, 'Uncalibrated Data'!$C4131, 'Picarro Output'!$I:$I, 0, 'Picarro Output'!$J:$J, 1), "")</f>
        <v/>
      </c>
    </row>
    <row r="4132" spans="2:5" x14ac:dyDescent="0.2">
      <c r="B4132" s="1"/>
      <c r="E4132" s="38" t="str">
        <f>IFERROR(AVERAGEIFS('Picarro Output'!G:G, 'Picarro Output'!$B:$B, 'Uncalibrated Data'!$C4132, 'Picarro Output'!$I:$I, 0, 'Picarro Output'!$J:$J, 1), "")</f>
        <v/>
      </c>
    </row>
    <row r="4133" spans="2:5" x14ac:dyDescent="0.2">
      <c r="B4133" s="1"/>
      <c r="E4133" s="38" t="str">
        <f>IFERROR(AVERAGEIFS('Picarro Output'!G:G, 'Picarro Output'!$B:$B, 'Uncalibrated Data'!$C4133, 'Picarro Output'!$I:$I, 0, 'Picarro Output'!$J:$J, 1), "")</f>
        <v/>
      </c>
    </row>
    <row r="4134" spans="2:5" x14ac:dyDescent="0.2">
      <c r="B4134" s="1"/>
      <c r="E4134" s="38" t="str">
        <f>IFERROR(AVERAGEIFS('Picarro Output'!G:G, 'Picarro Output'!$B:$B, 'Uncalibrated Data'!$C4134, 'Picarro Output'!$I:$I, 0, 'Picarro Output'!$J:$J, 1), "")</f>
        <v/>
      </c>
    </row>
    <row r="4135" spans="2:5" x14ac:dyDescent="0.2">
      <c r="B4135" s="1"/>
      <c r="E4135" s="38" t="str">
        <f>IFERROR(AVERAGEIFS('Picarro Output'!G:G, 'Picarro Output'!$B:$B, 'Uncalibrated Data'!$C4135, 'Picarro Output'!$I:$I, 0, 'Picarro Output'!$J:$J, 1), "")</f>
        <v/>
      </c>
    </row>
    <row r="4136" spans="2:5" x14ac:dyDescent="0.2">
      <c r="B4136" s="1"/>
      <c r="E4136" s="38" t="str">
        <f>IFERROR(AVERAGEIFS('Picarro Output'!G:G, 'Picarro Output'!$B:$B, 'Uncalibrated Data'!$C4136, 'Picarro Output'!$I:$I, 0, 'Picarro Output'!$J:$J, 1), "")</f>
        <v/>
      </c>
    </row>
    <row r="4137" spans="2:5" x14ac:dyDescent="0.2">
      <c r="B4137" s="1"/>
      <c r="E4137" s="38" t="str">
        <f>IFERROR(AVERAGEIFS('Picarro Output'!G:G, 'Picarro Output'!$B:$B, 'Uncalibrated Data'!$C4137, 'Picarro Output'!$I:$I, 0, 'Picarro Output'!$J:$J, 1), "")</f>
        <v/>
      </c>
    </row>
    <row r="4138" spans="2:5" x14ac:dyDescent="0.2">
      <c r="B4138" s="1"/>
      <c r="E4138" s="38" t="str">
        <f>IFERROR(AVERAGEIFS('Picarro Output'!G:G, 'Picarro Output'!$B:$B, 'Uncalibrated Data'!$C4138, 'Picarro Output'!$I:$I, 0, 'Picarro Output'!$J:$J, 1), "")</f>
        <v/>
      </c>
    </row>
    <row r="4139" spans="2:5" x14ac:dyDescent="0.2">
      <c r="B4139" s="1"/>
      <c r="E4139" s="38" t="str">
        <f>IFERROR(AVERAGEIFS('Picarro Output'!G:G, 'Picarro Output'!$B:$B, 'Uncalibrated Data'!$C4139, 'Picarro Output'!$I:$I, 0, 'Picarro Output'!$J:$J, 1), "")</f>
        <v/>
      </c>
    </row>
    <row r="4140" spans="2:5" x14ac:dyDescent="0.2">
      <c r="B4140" s="1"/>
      <c r="E4140" s="38" t="str">
        <f>IFERROR(AVERAGEIFS('Picarro Output'!G:G, 'Picarro Output'!$B:$B, 'Uncalibrated Data'!$C4140, 'Picarro Output'!$I:$I, 0, 'Picarro Output'!$J:$J, 1), "")</f>
        <v/>
      </c>
    </row>
    <row r="4141" spans="2:5" x14ac:dyDescent="0.2">
      <c r="B4141" s="1"/>
      <c r="E4141" s="38" t="str">
        <f>IFERROR(AVERAGEIFS('Picarro Output'!G:G, 'Picarro Output'!$B:$B, 'Uncalibrated Data'!$C4141, 'Picarro Output'!$I:$I, 0, 'Picarro Output'!$J:$J, 1), "")</f>
        <v/>
      </c>
    </row>
    <row r="4142" spans="2:5" x14ac:dyDescent="0.2">
      <c r="B4142" s="1"/>
      <c r="E4142" s="38" t="str">
        <f>IFERROR(AVERAGEIFS('Picarro Output'!G:G, 'Picarro Output'!$B:$B, 'Uncalibrated Data'!$C4142, 'Picarro Output'!$I:$I, 0, 'Picarro Output'!$J:$J, 1), "")</f>
        <v/>
      </c>
    </row>
    <row r="4143" spans="2:5" x14ac:dyDescent="0.2">
      <c r="B4143" s="1"/>
      <c r="E4143" s="38" t="str">
        <f>IFERROR(AVERAGEIFS('Picarro Output'!G:G, 'Picarro Output'!$B:$B, 'Uncalibrated Data'!$C4143, 'Picarro Output'!$I:$I, 0, 'Picarro Output'!$J:$J, 1), "")</f>
        <v/>
      </c>
    </row>
    <row r="4144" spans="2:5" x14ac:dyDescent="0.2">
      <c r="B4144" s="1"/>
      <c r="E4144" s="38" t="str">
        <f>IFERROR(AVERAGEIFS('Picarro Output'!G:G, 'Picarro Output'!$B:$B, 'Uncalibrated Data'!$C4144, 'Picarro Output'!$I:$I, 0, 'Picarro Output'!$J:$J, 1), "")</f>
        <v/>
      </c>
    </row>
    <row r="4145" spans="2:5" x14ac:dyDescent="0.2">
      <c r="B4145" s="1"/>
      <c r="E4145" s="38" t="str">
        <f>IFERROR(AVERAGEIFS('Picarro Output'!G:G, 'Picarro Output'!$B:$B, 'Uncalibrated Data'!$C4145, 'Picarro Output'!$I:$I, 0, 'Picarro Output'!$J:$J, 1), "")</f>
        <v/>
      </c>
    </row>
    <row r="4146" spans="2:5" x14ac:dyDescent="0.2">
      <c r="B4146" s="1"/>
      <c r="E4146" s="38" t="str">
        <f>IFERROR(AVERAGEIFS('Picarro Output'!G:G, 'Picarro Output'!$B:$B, 'Uncalibrated Data'!$C4146, 'Picarro Output'!$I:$I, 0, 'Picarro Output'!$J:$J, 1), "")</f>
        <v/>
      </c>
    </row>
    <row r="4147" spans="2:5" x14ac:dyDescent="0.2">
      <c r="B4147" s="1"/>
      <c r="E4147" s="38" t="str">
        <f>IFERROR(AVERAGEIFS('Picarro Output'!G:G, 'Picarro Output'!$B:$B, 'Uncalibrated Data'!$C4147, 'Picarro Output'!$I:$I, 0, 'Picarro Output'!$J:$J, 1), "")</f>
        <v/>
      </c>
    </row>
    <row r="4148" spans="2:5" x14ac:dyDescent="0.2">
      <c r="B4148" s="1"/>
      <c r="E4148" s="38" t="str">
        <f>IFERROR(AVERAGEIFS('Picarro Output'!G:G, 'Picarro Output'!$B:$B, 'Uncalibrated Data'!$C4148, 'Picarro Output'!$I:$I, 0, 'Picarro Output'!$J:$J, 1), "")</f>
        <v/>
      </c>
    </row>
    <row r="4149" spans="2:5" x14ac:dyDescent="0.2">
      <c r="B4149" s="1"/>
      <c r="E4149" s="38" t="str">
        <f>IFERROR(AVERAGEIFS('Picarro Output'!G:G, 'Picarro Output'!$B:$B, 'Uncalibrated Data'!$C4149, 'Picarro Output'!$I:$I, 0, 'Picarro Output'!$J:$J, 1), "")</f>
        <v/>
      </c>
    </row>
    <row r="4150" spans="2:5" x14ac:dyDescent="0.2">
      <c r="B4150" s="1"/>
      <c r="E4150" s="38" t="str">
        <f>IFERROR(AVERAGEIFS('Picarro Output'!G:G, 'Picarro Output'!$B:$B, 'Uncalibrated Data'!$C4150, 'Picarro Output'!$I:$I, 0, 'Picarro Output'!$J:$J, 1), "")</f>
        <v/>
      </c>
    </row>
    <row r="4151" spans="2:5" x14ac:dyDescent="0.2">
      <c r="B4151" s="1"/>
      <c r="E4151" s="38" t="str">
        <f>IFERROR(AVERAGEIFS('Picarro Output'!G:G, 'Picarro Output'!$B:$B, 'Uncalibrated Data'!$C4151, 'Picarro Output'!$I:$I, 0, 'Picarro Output'!$J:$J, 1), "")</f>
        <v/>
      </c>
    </row>
    <row r="4152" spans="2:5" x14ac:dyDescent="0.2">
      <c r="B4152" s="1"/>
      <c r="E4152" s="38" t="str">
        <f>IFERROR(AVERAGEIFS('Picarro Output'!G:G, 'Picarro Output'!$B:$B, 'Uncalibrated Data'!$C4152, 'Picarro Output'!$I:$I, 0, 'Picarro Output'!$J:$J, 1), "")</f>
        <v/>
      </c>
    </row>
    <row r="4153" spans="2:5" x14ac:dyDescent="0.2">
      <c r="B4153" s="1"/>
      <c r="E4153" s="38" t="str">
        <f>IFERROR(AVERAGEIFS('Picarro Output'!G:G, 'Picarro Output'!$B:$B, 'Uncalibrated Data'!$C4153, 'Picarro Output'!$I:$I, 0, 'Picarro Output'!$J:$J, 1), "")</f>
        <v/>
      </c>
    </row>
    <row r="4154" spans="2:5" x14ac:dyDescent="0.2">
      <c r="B4154" s="1"/>
      <c r="E4154" s="38" t="str">
        <f>IFERROR(AVERAGEIFS('Picarro Output'!G:G, 'Picarro Output'!$B:$B, 'Uncalibrated Data'!$C4154, 'Picarro Output'!$I:$I, 0, 'Picarro Output'!$J:$J, 1), "")</f>
        <v/>
      </c>
    </row>
    <row r="4155" spans="2:5" x14ac:dyDescent="0.2">
      <c r="B4155" s="1"/>
      <c r="E4155" s="38" t="str">
        <f>IFERROR(AVERAGEIFS('Picarro Output'!G:G, 'Picarro Output'!$B:$B, 'Uncalibrated Data'!$C4155, 'Picarro Output'!$I:$I, 0, 'Picarro Output'!$J:$J, 1), "")</f>
        <v/>
      </c>
    </row>
    <row r="4156" spans="2:5" x14ac:dyDescent="0.2">
      <c r="B4156" s="1"/>
      <c r="E4156" s="38" t="str">
        <f>IFERROR(AVERAGEIFS('Picarro Output'!G:G, 'Picarro Output'!$B:$B, 'Uncalibrated Data'!$C4156, 'Picarro Output'!$I:$I, 0, 'Picarro Output'!$J:$J, 1), "")</f>
        <v/>
      </c>
    </row>
    <row r="4157" spans="2:5" x14ac:dyDescent="0.2">
      <c r="B4157" s="1"/>
      <c r="E4157" s="38" t="str">
        <f>IFERROR(AVERAGEIFS('Picarro Output'!G:G, 'Picarro Output'!$B:$B, 'Uncalibrated Data'!$C4157, 'Picarro Output'!$I:$I, 0, 'Picarro Output'!$J:$J, 1), "")</f>
        <v/>
      </c>
    </row>
    <row r="4158" spans="2:5" x14ac:dyDescent="0.2">
      <c r="B4158" s="1"/>
      <c r="E4158" s="38" t="str">
        <f>IFERROR(AVERAGEIFS('Picarro Output'!G:G, 'Picarro Output'!$B:$B, 'Uncalibrated Data'!$C4158, 'Picarro Output'!$I:$I, 0, 'Picarro Output'!$J:$J, 1), "")</f>
        <v/>
      </c>
    </row>
    <row r="4159" spans="2:5" x14ac:dyDescent="0.2">
      <c r="B4159" s="1"/>
      <c r="E4159" s="38" t="str">
        <f>IFERROR(AVERAGEIFS('Picarro Output'!G:G, 'Picarro Output'!$B:$B, 'Uncalibrated Data'!$C4159, 'Picarro Output'!$I:$I, 0, 'Picarro Output'!$J:$J, 1), "")</f>
        <v/>
      </c>
    </row>
    <row r="4160" spans="2:5" x14ac:dyDescent="0.2">
      <c r="B4160" s="1"/>
      <c r="E4160" s="38" t="str">
        <f>IFERROR(AVERAGEIFS('Picarro Output'!G:G, 'Picarro Output'!$B:$B, 'Uncalibrated Data'!$C4160, 'Picarro Output'!$I:$I, 0, 'Picarro Output'!$J:$J, 1), "")</f>
        <v/>
      </c>
    </row>
    <row r="4161" spans="2:5" x14ac:dyDescent="0.2">
      <c r="B4161" s="1"/>
      <c r="E4161" s="38" t="str">
        <f>IFERROR(AVERAGEIFS('Picarro Output'!G:G, 'Picarro Output'!$B:$B, 'Uncalibrated Data'!$C4161, 'Picarro Output'!$I:$I, 0, 'Picarro Output'!$J:$J, 1), "")</f>
        <v/>
      </c>
    </row>
    <row r="4162" spans="2:5" x14ac:dyDescent="0.2">
      <c r="B4162" s="1"/>
      <c r="E4162" s="38" t="str">
        <f>IFERROR(AVERAGEIFS('Picarro Output'!G:G, 'Picarro Output'!$B:$B, 'Uncalibrated Data'!$C4162, 'Picarro Output'!$I:$I, 0, 'Picarro Output'!$J:$J, 1), "")</f>
        <v/>
      </c>
    </row>
    <row r="4163" spans="2:5" x14ac:dyDescent="0.2">
      <c r="B4163" s="1"/>
      <c r="E4163" s="38" t="str">
        <f>IFERROR(AVERAGEIFS('Picarro Output'!G:G, 'Picarro Output'!$B:$B, 'Uncalibrated Data'!$C4163, 'Picarro Output'!$I:$I, 0, 'Picarro Output'!$J:$J, 1), "")</f>
        <v/>
      </c>
    </row>
    <row r="4164" spans="2:5" x14ac:dyDescent="0.2">
      <c r="B4164" s="1"/>
      <c r="E4164" s="38" t="str">
        <f>IFERROR(AVERAGEIFS('Picarro Output'!G:G, 'Picarro Output'!$B:$B, 'Uncalibrated Data'!$C4164, 'Picarro Output'!$I:$I, 0, 'Picarro Output'!$J:$J, 1), "")</f>
        <v/>
      </c>
    </row>
    <row r="4165" spans="2:5" x14ac:dyDescent="0.2">
      <c r="B4165" s="1"/>
      <c r="E4165" s="38" t="str">
        <f>IFERROR(AVERAGEIFS('Picarro Output'!G:G, 'Picarro Output'!$B:$B, 'Uncalibrated Data'!$C4165, 'Picarro Output'!$I:$I, 0, 'Picarro Output'!$J:$J, 1), "")</f>
        <v/>
      </c>
    </row>
    <row r="4166" spans="2:5" x14ac:dyDescent="0.2">
      <c r="B4166" s="1"/>
      <c r="E4166" s="38" t="str">
        <f>IFERROR(AVERAGEIFS('Picarro Output'!G:G, 'Picarro Output'!$B:$B, 'Uncalibrated Data'!$C4166, 'Picarro Output'!$I:$I, 0, 'Picarro Output'!$J:$J, 1), "")</f>
        <v/>
      </c>
    </row>
    <row r="4167" spans="2:5" x14ac:dyDescent="0.2">
      <c r="B4167" s="1"/>
      <c r="E4167" s="38" t="str">
        <f>IFERROR(AVERAGEIFS('Picarro Output'!G:G, 'Picarro Output'!$B:$B, 'Uncalibrated Data'!$C4167, 'Picarro Output'!$I:$I, 0, 'Picarro Output'!$J:$J, 1), "")</f>
        <v/>
      </c>
    </row>
    <row r="4168" spans="2:5" x14ac:dyDescent="0.2">
      <c r="B4168" s="1"/>
      <c r="E4168" s="38" t="str">
        <f>IFERROR(AVERAGEIFS('Picarro Output'!G:G, 'Picarro Output'!$B:$B, 'Uncalibrated Data'!$C4168, 'Picarro Output'!$I:$I, 0, 'Picarro Output'!$J:$J, 1), "")</f>
        <v/>
      </c>
    </row>
    <row r="4169" spans="2:5" x14ac:dyDescent="0.2">
      <c r="B4169" s="1"/>
      <c r="E4169" s="38" t="str">
        <f>IFERROR(AVERAGEIFS('Picarro Output'!G:G, 'Picarro Output'!$B:$B, 'Uncalibrated Data'!$C4169, 'Picarro Output'!$I:$I, 0, 'Picarro Output'!$J:$J, 1), "")</f>
        <v/>
      </c>
    </row>
    <row r="4170" spans="2:5" x14ac:dyDescent="0.2">
      <c r="B4170" s="1"/>
      <c r="E4170" s="38" t="str">
        <f>IFERROR(AVERAGEIFS('Picarro Output'!G:G, 'Picarro Output'!$B:$B, 'Uncalibrated Data'!$C4170, 'Picarro Output'!$I:$I, 0, 'Picarro Output'!$J:$J, 1), "")</f>
        <v/>
      </c>
    </row>
    <row r="4171" spans="2:5" x14ac:dyDescent="0.2">
      <c r="B4171" s="1"/>
      <c r="E4171" s="38" t="str">
        <f>IFERROR(AVERAGEIFS('Picarro Output'!G:G, 'Picarro Output'!$B:$B, 'Uncalibrated Data'!$C4171, 'Picarro Output'!$I:$I, 0, 'Picarro Output'!$J:$J, 1), "")</f>
        <v/>
      </c>
    </row>
    <row r="4172" spans="2:5" x14ac:dyDescent="0.2">
      <c r="B4172" s="1"/>
      <c r="E4172" s="38" t="str">
        <f>IFERROR(AVERAGEIFS('Picarro Output'!G:G, 'Picarro Output'!$B:$B, 'Uncalibrated Data'!$C4172, 'Picarro Output'!$I:$I, 0, 'Picarro Output'!$J:$J, 1), "")</f>
        <v/>
      </c>
    </row>
    <row r="4173" spans="2:5" x14ac:dyDescent="0.2">
      <c r="B4173" s="1"/>
      <c r="E4173" s="38" t="str">
        <f>IFERROR(AVERAGEIFS('Picarro Output'!G:G, 'Picarro Output'!$B:$B, 'Uncalibrated Data'!$C4173, 'Picarro Output'!$I:$I, 0, 'Picarro Output'!$J:$J, 1), "")</f>
        <v/>
      </c>
    </row>
    <row r="4174" spans="2:5" x14ac:dyDescent="0.2">
      <c r="B4174" s="1"/>
      <c r="E4174" s="38" t="str">
        <f>IFERROR(AVERAGEIFS('Picarro Output'!G:G, 'Picarro Output'!$B:$B, 'Uncalibrated Data'!$C4174, 'Picarro Output'!$I:$I, 0, 'Picarro Output'!$J:$J, 1), "")</f>
        <v/>
      </c>
    </row>
    <row r="4175" spans="2:5" x14ac:dyDescent="0.2">
      <c r="B4175" s="1"/>
      <c r="E4175" s="38" t="str">
        <f>IFERROR(AVERAGEIFS('Picarro Output'!G:G, 'Picarro Output'!$B:$B, 'Uncalibrated Data'!$C4175, 'Picarro Output'!$I:$I, 0, 'Picarro Output'!$J:$J, 1), "")</f>
        <v/>
      </c>
    </row>
    <row r="4176" spans="2:5" x14ac:dyDescent="0.2">
      <c r="B4176" s="1"/>
      <c r="E4176" s="38" t="str">
        <f>IFERROR(AVERAGEIFS('Picarro Output'!G:G, 'Picarro Output'!$B:$B, 'Uncalibrated Data'!$C4176, 'Picarro Output'!$I:$I, 0, 'Picarro Output'!$J:$J, 1), "")</f>
        <v/>
      </c>
    </row>
    <row r="4177" spans="2:5" x14ac:dyDescent="0.2">
      <c r="B4177" s="1"/>
      <c r="E4177" s="38" t="str">
        <f>IFERROR(AVERAGEIFS('Picarro Output'!G:G, 'Picarro Output'!$B:$B, 'Uncalibrated Data'!$C4177, 'Picarro Output'!$I:$I, 0, 'Picarro Output'!$J:$J, 1), "")</f>
        <v/>
      </c>
    </row>
    <row r="4178" spans="2:5" x14ac:dyDescent="0.2">
      <c r="B4178" s="1"/>
      <c r="E4178" s="38" t="str">
        <f>IFERROR(AVERAGEIFS('Picarro Output'!G:G, 'Picarro Output'!$B:$B, 'Uncalibrated Data'!$C4178, 'Picarro Output'!$I:$I, 0, 'Picarro Output'!$J:$J, 1), "")</f>
        <v/>
      </c>
    </row>
    <row r="4179" spans="2:5" x14ac:dyDescent="0.2">
      <c r="B4179" s="1"/>
      <c r="E4179" s="38" t="str">
        <f>IFERROR(AVERAGEIFS('Picarro Output'!G:G, 'Picarro Output'!$B:$B, 'Uncalibrated Data'!$C4179, 'Picarro Output'!$I:$I, 0, 'Picarro Output'!$J:$J, 1), "")</f>
        <v/>
      </c>
    </row>
    <row r="4180" spans="2:5" x14ac:dyDescent="0.2">
      <c r="B4180" s="1"/>
      <c r="E4180" s="38" t="str">
        <f>IFERROR(AVERAGEIFS('Picarro Output'!G:G, 'Picarro Output'!$B:$B, 'Uncalibrated Data'!$C4180, 'Picarro Output'!$I:$I, 0, 'Picarro Output'!$J:$J, 1), "")</f>
        <v/>
      </c>
    </row>
    <row r="4181" spans="2:5" x14ac:dyDescent="0.2">
      <c r="B4181" s="1"/>
      <c r="E4181" s="38" t="str">
        <f>IFERROR(AVERAGEIFS('Picarro Output'!G:G, 'Picarro Output'!$B:$B, 'Uncalibrated Data'!$C4181, 'Picarro Output'!$I:$I, 0, 'Picarro Output'!$J:$J, 1), "")</f>
        <v/>
      </c>
    </row>
    <row r="4182" spans="2:5" x14ac:dyDescent="0.2">
      <c r="B4182" s="1"/>
      <c r="E4182" s="38" t="str">
        <f>IFERROR(AVERAGEIFS('Picarro Output'!G:G, 'Picarro Output'!$B:$B, 'Uncalibrated Data'!$C4182, 'Picarro Output'!$I:$I, 0, 'Picarro Output'!$J:$J, 1), "")</f>
        <v/>
      </c>
    </row>
    <row r="4183" spans="2:5" x14ac:dyDescent="0.2">
      <c r="B4183" s="1"/>
      <c r="E4183" s="38" t="str">
        <f>IFERROR(AVERAGEIFS('Picarro Output'!G:G, 'Picarro Output'!$B:$B, 'Uncalibrated Data'!$C4183, 'Picarro Output'!$I:$I, 0, 'Picarro Output'!$J:$J, 1), "")</f>
        <v/>
      </c>
    </row>
    <row r="4184" spans="2:5" x14ac:dyDescent="0.2">
      <c r="B4184" s="1"/>
      <c r="E4184" s="38" t="str">
        <f>IFERROR(AVERAGEIFS('Picarro Output'!G:G, 'Picarro Output'!$B:$B, 'Uncalibrated Data'!$C4184, 'Picarro Output'!$I:$I, 0, 'Picarro Output'!$J:$J, 1), "")</f>
        <v/>
      </c>
    </row>
    <row r="4185" spans="2:5" x14ac:dyDescent="0.2">
      <c r="B4185" s="1"/>
      <c r="E4185" s="38" t="str">
        <f>IFERROR(AVERAGEIFS('Picarro Output'!G:G, 'Picarro Output'!$B:$B, 'Uncalibrated Data'!$C4185, 'Picarro Output'!$I:$I, 0, 'Picarro Output'!$J:$J, 1), "")</f>
        <v/>
      </c>
    </row>
    <row r="4186" spans="2:5" x14ac:dyDescent="0.2">
      <c r="B4186" s="1"/>
      <c r="E4186" s="38" t="str">
        <f>IFERROR(AVERAGEIFS('Picarro Output'!G:G, 'Picarro Output'!$B:$B, 'Uncalibrated Data'!$C4186, 'Picarro Output'!$I:$I, 0, 'Picarro Output'!$J:$J, 1), "")</f>
        <v/>
      </c>
    </row>
    <row r="4187" spans="2:5" x14ac:dyDescent="0.2">
      <c r="B4187" s="1"/>
      <c r="E4187" s="38" t="str">
        <f>IFERROR(AVERAGEIFS('Picarro Output'!G:G, 'Picarro Output'!$B:$B, 'Uncalibrated Data'!$C4187, 'Picarro Output'!$I:$I, 0, 'Picarro Output'!$J:$J, 1), "")</f>
        <v/>
      </c>
    </row>
    <row r="4188" spans="2:5" x14ac:dyDescent="0.2">
      <c r="B4188" s="1"/>
      <c r="E4188" s="38" t="str">
        <f>IFERROR(AVERAGEIFS('Picarro Output'!G:G, 'Picarro Output'!$B:$B, 'Uncalibrated Data'!$C4188, 'Picarro Output'!$I:$I, 0, 'Picarro Output'!$J:$J, 1), "")</f>
        <v/>
      </c>
    </row>
    <row r="4189" spans="2:5" x14ac:dyDescent="0.2">
      <c r="B4189" s="1"/>
      <c r="E4189" s="38" t="str">
        <f>IFERROR(AVERAGEIFS('Picarro Output'!G:G, 'Picarro Output'!$B:$B, 'Uncalibrated Data'!$C4189, 'Picarro Output'!$I:$I, 0, 'Picarro Output'!$J:$J, 1), "")</f>
        <v/>
      </c>
    </row>
    <row r="4190" spans="2:5" x14ac:dyDescent="0.2">
      <c r="B4190" s="1"/>
      <c r="E4190" s="38" t="str">
        <f>IFERROR(AVERAGEIFS('Picarro Output'!G:G, 'Picarro Output'!$B:$B, 'Uncalibrated Data'!$C4190, 'Picarro Output'!$I:$I, 0, 'Picarro Output'!$J:$J, 1), "")</f>
        <v/>
      </c>
    </row>
    <row r="4191" spans="2:5" x14ac:dyDescent="0.2">
      <c r="B4191" s="1"/>
      <c r="E4191" s="38" t="str">
        <f>IFERROR(AVERAGEIFS('Picarro Output'!G:G, 'Picarro Output'!$B:$B, 'Uncalibrated Data'!$C4191, 'Picarro Output'!$I:$I, 0, 'Picarro Output'!$J:$J, 1), "")</f>
        <v/>
      </c>
    </row>
    <row r="4192" spans="2:5" x14ac:dyDescent="0.2">
      <c r="B4192" s="1"/>
      <c r="E4192" s="38" t="str">
        <f>IFERROR(AVERAGEIFS('Picarro Output'!G:G, 'Picarro Output'!$B:$B, 'Uncalibrated Data'!$C4192, 'Picarro Output'!$I:$I, 0, 'Picarro Output'!$J:$J, 1), "")</f>
        <v/>
      </c>
    </row>
    <row r="4193" spans="2:5" x14ac:dyDescent="0.2">
      <c r="B4193" s="1"/>
      <c r="E4193" s="38" t="str">
        <f>IFERROR(AVERAGEIFS('Picarro Output'!G:G, 'Picarro Output'!$B:$B, 'Uncalibrated Data'!$C4193, 'Picarro Output'!$I:$I, 0, 'Picarro Output'!$J:$J, 1), "")</f>
        <v/>
      </c>
    </row>
    <row r="4194" spans="2:5" x14ac:dyDescent="0.2">
      <c r="B4194" s="1"/>
      <c r="E4194" s="38" t="str">
        <f>IFERROR(AVERAGEIFS('Picarro Output'!G:G, 'Picarro Output'!$B:$B, 'Uncalibrated Data'!$C4194, 'Picarro Output'!$I:$I, 0, 'Picarro Output'!$J:$J, 1), "")</f>
        <v/>
      </c>
    </row>
    <row r="4195" spans="2:5" x14ac:dyDescent="0.2">
      <c r="B4195" s="1"/>
      <c r="E4195" s="38" t="str">
        <f>IFERROR(AVERAGEIFS('Picarro Output'!G:G, 'Picarro Output'!$B:$B, 'Uncalibrated Data'!$C4195, 'Picarro Output'!$I:$I, 0, 'Picarro Output'!$J:$J, 1), "")</f>
        <v/>
      </c>
    </row>
    <row r="4196" spans="2:5" x14ac:dyDescent="0.2">
      <c r="B4196" s="1"/>
      <c r="E4196" s="38" t="str">
        <f>IFERROR(AVERAGEIFS('Picarro Output'!G:G, 'Picarro Output'!$B:$B, 'Uncalibrated Data'!$C4196, 'Picarro Output'!$I:$I, 0, 'Picarro Output'!$J:$J, 1), "")</f>
        <v/>
      </c>
    </row>
    <row r="4197" spans="2:5" x14ac:dyDescent="0.2">
      <c r="B4197" s="1"/>
      <c r="E4197" s="38" t="str">
        <f>IFERROR(AVERAGEIFS('Picarro Output'!G:G, 'Picarro Output'!$B:$B, 'Uncalibrated Data'!$C4197, 'Picarro Output'!$I:$I, 0, 'Picarro Output'!$J:$J, 1), "")</f>
        <v/>
      </c>
    </row>
    <row r="4198" spans="2:5" x14ac:dyDescent="0.2">
      <c r="B4198" s="1"/>
      <c r="E4198" s="38" t="str">
        <f>IFERROR(AVERAGEIFS('Picarro Output'!G:G, 'Picarro Output'!$B:$B, 'Uncalibrated Data'!$C4198, 'Picarro Output'!$I:$I, 0, 'Picarro Output'!$J:$J, 1), "")</f>
        <v/>
      </c>
    </row>
    <row r="4199" spans="2:5" x14ac:dyDescent="0.2">
      <c r="B4199" s="1"/>
      <c r="E4199" s="38" t="str">
        <f>IFERROR(AVERAGEIFS('Picarro Output'!G:G, 'Picarro Output'!$B:$B, 'Uncalibrated Data'!$C4199, 'Picarro Output'!$I:$I, 0, 'Picarro Output'!$J:$J, 1), "")</f>
        <v/>
      </c>
    </row>
    <row r="4200" spans="2:5" x14ac:dyDescent="0.2">
      <c r="B4200" s="1"/>
      <c r="E4200" s="38" t="str">
        <f>IFERROR(AVERAGEIFS('Picarro Output'!G:G, 'Picarro Output'!$B:$B, 'Uncalibrated Data'!$C4200, 'Picarro Output'!$I:$I, 0, 'Picarro Output'!$J:$J, 1), "")</f>
        <v/>
      </c>
    </row>
    <row r="4201" spans="2:5" x14ac:dyDescent="0.2">
      <c r="B4201" s="1"/>
      <c r="E4201" s="38" t="str">
        <f>IFERROR(AVERAGEIFS('Picarro Output'!G:G, 'Picarro Output'!$B:$B, 'Uncalibrated Data'!$C4201, 'Picarro Output'!$I:$I, 0, 'Picarro Output'!$J:$J, 1), "")</f>
        <v/>
      </c>
    </row>
    <row r="4202" spans="2:5" x14ac:dyDescent="0.2">
      <c r="B4202" s="1"/>
      <c r="E4202" s="38" t="str">
        <f>IFERROR(AVERAGEIFS('Picarro Output'!G:G, 'Picarro Output'!$B:$B, 'Uncalibrated Data'!$C4202, 'Picarro Output'!$I:$I, 0, 'Picarro Output'!$J:$J, 1), "")</f>
        <v/>
      </c>
    </row>
    <row r="4203" spans="2:5" x14ac:dyDescent="0.2">
      <c r="B4203" s="1"/>
      <c r="E4203" s="38" t="str">
        <f>IFERROR(AVERAGEIFS('Picarro Output'!G:G, 'Picarro Output'!$B:$B, 'Uncalibrated Data'!$C4203, 'Picarro Output'!$I:$I, 0, 'Picarro Output'!$J:$J, 1), "")</f>
        <v/>
      </c>
    </row>
    <row r="4204" spans="2:5" x14ac:dyDescent="0.2">
      <c r="B4204" s="1"/>
      <c r="E4204" s="38" t="str">
        <f>IFERROR(AVERAGEIFS('Picarro Output'!G:G, 'Picarro Output'!$B:$B, 'Uncalibrated Data'!$C4204, 'Picarro Output'!$I:$I, 0, 'Picarro Output'!$J:$J, 1), "")</f>
        <v/>
      </c>
    </row>
    <row r="4205" spans="2:5" x14ac:dyDescent="0.2">
      <c r="B4205" s="1"/>
      <c r="E4205" s="38" t="str">
        <f>IFERROR(AVERAGEIFS('Picarro Output'!G:G, 'Picarro Output'!$B:$B, 'Uncalibrated Data'!$C4205, 'Picarro Output'!$I:$I, 0, 'Picarro Output'!$J:$J, 1), "")</f>
        <v/>
      </c>
    </row>
    <row r="4206" spans="2:5" x14ac:dyDescent="0.2">
      <c r="B4206" s="1"/>
      <c r="E4206" s="38" t="str">
        <f>IFERROR(AVERAGEIFS('Picarro Output'!G:G, 'Picarro Output'!$B:$B, 'Uncalibrated Data'!$C4206, 'Picarro Output'!$I:$I, 0, 'Picarro Output'!$J:$J, 1), "")</f>
        <v/>
      </c>
    </row>
    <row r="4207" spans="2:5" x14ac:dyDescent="0.2">
      <c r="B4207" s="1"/>
      <c r="E4207" s="38" t="str">
        <f>IFERROR(AVERAGEIFS('Picarro Output'!G:G, 'Picarro Output'!$B:$B, 'Uncalibrated Data'!$C4207, 'Picarro Output'!$I:$I, 0, 'Picarro Output'!$J:$J, 1), "")</f>
        <v/>
      </c>
    </row>
    <row r="4208" spans="2:5" x14ac:dyDescent="0.2">
      <c r="B4208" s="1"/>
      <c r="E4208" s="38" t="str">
        <f>IFERROR(AVERAGEIFS('Picarro Output'!G:G, 'Picarro Output'!$B:$B, 'Uncalibrated Data'!$C4208, 'Picarro Output'!$I:$I, 0, 'Picarro Output'!$J:$J, 1), "")</f>
        <v/>
      </c>
    </row>
    <row r="4209" spans="2:5" x14ac:dyDescent="0.2">
      <c r="B4209" s="1"/>
      <c r="E4209" s="38" t="str">
        <f>IFERROR(AVERAGEIFS('Picarro Output'!G:G, 'Picarro Output'!$B:$B, 'Uncalibrated Data'!$C4209, 'Picarro Output'!$I:$I, 0, 'Picarro Output'!$J:$J, 1), "")</f>
        <v/>
      </c>
    </row>
    <row r="4210" spans="2:5" x14ac:dyDescent="0.2">
      <c r="B4210" s="1"/>
      <c r="E4210" s="38" t="str">
        <f>IFERROR(AVERAGEIFS('Picarro Output'!G:G, 'Picarro Output'!$B:$B, 'Uncalibrated Data'!$C4210, 'Picarro Output'!$I:$I, 0, 'Picarro Output'!$J:$J, 1), "")</f>
        <v/>
      </c>
    </row>
    <row r="4211" spans="2:5" x14ac:dyDescent="0.2">
      <c r="B4211" s="1"/>
      <c r="E4211" s="38" t="str">
        <f>IFERROR(AVERAGEIFS('Picarro Output'!G:G, 'Picarro Output'!$B:$B, 'Uncalibrated Data'!$C4211, 'Picarro Output'!$I:$I, 0, 'Picarro Output'!$J:$J, 1), "")</f>
        <v/>
      </c>
    </row>
    <row r="4212" spans="2:5" x14ac:dyDescent="0.2">
      <c r="B4212" s="1"/>
      <c r="E4212" s="38" t="str">
        <f>IFERROR(AVERAGEIFS('Picarro Output'!G:G, 'Picarro Output'!$B:$B, 'Uncalibrated Data'!$C4212, 'Picarro Output'!$I:$I, 0, 'Picarro Output'!$J:$J, 1), "")</f>
        <v/>
      </c>
    </row>
    <row r="4213" spans="2:5" x14ac:dyDescent="0.2">
      <c r="B4213" s="1"/>
      <c r="E4213" s="38" t="str">
        <f>IFERROR(AVERAGEIFS('Picarro Output'!G:G, 'Picarro Output'!$B:$B, 'Uncalibrated Data'!$C4213, 'Picarro Output'!$I:$I, 0, 'Picarro Output'!$J:$J, 1), "")</f>
        <v/>
      </c>
    </row>
    <row r="4214" spans="2:5" x14ac:dyDescent="0.2">
      <c r="B4214" s="1"/>
      <c r="E4214" s="38" t="str">
        <f>IFERROR(AVERAGEIFS('Picarro Output'!G:G, 'Picarro Output'!$B:$B, 'Uncalibrated Data'!$C4214, 'Picarro Output'!$I:$I, 0, 'Picarro Output'!$J:$J, 1), "")</f>
        <v/>
      </c>
    </row>
    <row r="4215" spans="2:5" x14ac:dyDescent="0.2">
      <c r="B4215" s="1"/>
      <c r="E4215" s="38" t="str">
        <f>IFERROR(AVERAGEIFS('Picarro Output'!G:G, 'Picarro Output'!$B:$B, 'Uncalibrated Data'!$C4215, 'Picarro Output'!$I:$I, 0, 'Picarro Output'!$J:$J, 1), "")</f>
        <v/>
      </c>
    </row>
    <row r="4216" spans="2:5" x14ac:dyDescent="0.2">
      <c r="B4216" s="1"/>
      <c r="E4216" s="38" t="str">
        <f>IFERROR(AVERAGEIFS('Picarro Output'!G:G, 'Picarro Output'!$B:$B, 'Uncalibrated Data'!$C4216, 'Picarro Output'!$I:$I, 0, 'Picarro Output'!$J:$J, 1), "")</f>
        <v/>
      </c>
    </row>
    <row r="4217" spans="2:5" x14ac:dyDescent="0.2">
      <c r="B4217" s="1"/>
      <c r="E4217" s="38" t="str">
        <f>IFERROR(AVERAGEIFS('Picarro Output'!G:G, 'Picarro Output'!$B:$B, 'Uncalibrated Data'!$C4217, 'Picarro Output'!$I:$I, 0, 'Picarro Output'!$J:$J, 1), "")</f>
        <v/>
      </c>
    </row>
    <row r="4218" spans="2:5" x14ac:dyDescent="0.2">
      <c r="B4218" s="1"/>
      <c r="E4218" s="38" t="str">
        <f>IFERROR(AVERAGEIFS('Picarro Output'!G:G, 'Picarro Output'!$B:$B, 'Uncalibrated Data'!$C4218, 'Picarro Output'!$I:$I, 0, 'Picarro Output'!$J:$J, 1), "")</f>
        <v/>
      </c>
    </row>
    <row r="4219" spans="2:5" x14ac:dyDescent="0.2">
      <c r="B4219" s="1"/>
      <c r="E4219" s="38" t="str">
        <f>IFERROR(AVERAGEIFS('Picarro Output'!G:G, 'Picarro Output'!$B:$B, 'Uncalibrated Data'!$C4219, 'Picarro Output'!$I:$I, 0, 'Picarro Output'!$J:$J, 1), "")</f>
        <v/>
      </c>
    </row>
    <row r="4220" spans="2:5" x14ac:dyDescent="0.2">
      <c r="B4220" s="1"/>
      <c r="E4220" s="38" t="str">
        <f>IFERROR(AVERAGEIFS('Picarro Output'!G:G, 'Picarro Output'!$B:$B, 'Uncalibrated Data'!$C4220, 'Picarro Output'!$I:$I, 0, 'Picarro Output'!$J:$J, 1), "")</f>
        <v/>
      </c>
    </row>
    <row r="4221" spans="2:5" x14ac:dyDescent="0.2">
      <c r="B4221" s="1"/>
      <c r="E4221" s="38" t="str">
        <f>IFERROR(AVERAGEIFS('Picarro Output'!G:G, 'Picarro Output'!$B:$B, 'Uncalibrated Data'!$C4221, 'Picarro Output'!$I:$I, 0, 'Picarro Output'!$J:$J, 1), "")</f>
        <v/>
      </c>
    </row>
    <row r="4222" spans="2:5" x14ac:dyDescent="0.2">
      <c r="B4222" s="1"/>
      <c r="E4222" s="38" t="str">
        <f>IFERROR(AVERAGEIFS('Picarro Output'!G:G, 'Picarro Output'!$B:$B, 'Uncalibrated Data'!$C4222, 'Picarro Output'!$I:$I, 0, 'Picarro Output'!$J:$J, 1), "")</f>
        <v/>
      </c>
    </row>
    <row r="4223" spans="2:5" x14ac:dyDescent="0.2">
      <c r="B4223" s="1"/>
      <c r="E4223" s="38" t="str">
        <f>IFERROR(AVERAGEIFS('Picarro Output'!G:G, 'Picarro Output'!$B:$B, 'Uncalibrated Data'!$C4223, 'Picarro Output'!$I:$I, 0, 'Picarro Output'!$J:$J, 1), "")</f>
        <v/>
      </c>
    </row>
    <row r="4224" spans="2:5" x14ac:dyDescent="0.2">
      <c r="B4224" s="1"/>
      <c r="E4224" s="38" t="str">
        <f>IFERROR(AVERAGEIFS('Picarro Output'!G:G, 'Picarro Output'!$B:$B, 'Uncalibrated Data'!$C4224, 'Picarro Output'!$I:$I, 0, 'Picarro Output'!$J:$J, 1), "")</f>
        <v/>
      </c>
    </row>
    <row r="4225" spans="2:5" x14ac:dyDescent="0.2">
      <c r="B4225" s="1"/>
      <c r="E4225" s="38" t="str">
        <f>IFERROR(AVERAGEIFS('Picarro Output'!G:G, 'Picarro Output'!$B:$B, 'Uncalibrated Data'!$C4225, 'Picarro Output'!$I:$I, 0, 'Picarro Output'!$J:$J, 1), "")</f>
        <v/>
      </c>
    </row>
    <row r="4226" spans="2:5" x14ac:dyDescent="0.2">
      <c r="B4226" s="1"/>
      <c r="E4226" s="38" t="str">
        <f>IFERROR(AVERAGEIFS('Picarro Output'!G:G, 'Picarro Output'!$B:$B, 'Uncalibrated Data'!$C4226, 'Picarro Output'!$I:$I, 0, 'Picarro Output'!$J:$J, 1), "")</f>
        <v/>
      </c>
    </row>
    <row r="4227" spans="2:5" x14ac:dyDescent="0.2">
      <c r="B4227" s="1"/>
      <c r="E4227" s="38" t="str">
        <f>IFERROR(AVERAGEIFS('Picarro Output'!G:G, 'Picarro Output'!$B:$B, 'Uncalibrated Data'!$C4227, 'Picarro Output'!$I:$I, 0, 'Picarro Output'!$J:$J, 1), "")</f>
        <v/>
      </c>
    </row>
    <row r="4228" spans="2:5" x14ac:dyDescent="0.2">
      <c r="B4228" s="1"/>
      <c r="E4228" s="38" t="str">
        <f>IFERROR(AVERAGEIFS('Picarro Output'!G:G, 'Picarro Output'!$B:$B, 'Uncalibrated Data'!$C4228, 'Picarro Output'!$I:$I, 0, 'Picarro Output'!$J:$J, 1), "")</f>
        <v/>
      </c>
    </row>
    <row r="4229" spans="2:5" x14ac:dyDescent="0.2">
      <c r="B4229" s="1"/>
      <c r="E4229" s="38" t="str">
        <f>IFERROR(AVERAGEIFS('Picarro Output'!G:G, 'Picarro Output'!$B:$B, 'Uncalibrated Data'!$C4229, 'Picarro Output'!$I:$I, 0, 'Picarro Output'!$J:$J, 1), "")</f>
        <v/>
      </c>
    </row>
    <row r="4230" spans="2:5" x14ac:dyDescent="0.2">
      <c r="B4230" s="1"/>
      <c r="E4230" s="38" t="str">
        <f>IFERROR(AVERAGEIFS('Picarro Output'!G:G, 'Picarro Output'!$B:$B, 'Uncalibrated Data'!$C4230, 'Picarro Output'!$I:$I, 0, 'Picarro Output'!$J:$J, 1), "")</f>
        <v/>
      </c>
    </row>
    <row r="4231" spans="2:5" x14ac:dyDescent="0.2">
      <c r="B4231" s="1"/>
      <c r="E4231" s="38" t="str">
        <f>IFERROR(AVERAGEIFS('Picarro Output'!G:G, 'Picarro Output'!$B:$B, 'Uncalibrated Data'!$C4231, 'Picarro Output'!$I:$I, 0, 'Picarro Output'!$J:$J, 1), "")</f>
        <v/>
      </c>
    </row>
    <row r="4232" spans="2:5" x14ac:dyDescent="0.2">
      <c r="B4232" s="1"/>
      <c r="E4232" s="38" t="str">
        <f>IFERROR(AVERAGEIFS('Picarro Output'!G:G, 'Picarro Output'!$B:$B, 'Uncalibrated Data'!$C4232, 'Picarro Output'!$I:$I, 0, 'Picarro Output'!$J:$J, 1), "")</f>
        <v/>
      </c>
    </row>
    <row r="4233" spans="2:5" x14ac:dyDescent="0.2">
      <c r="B4233" s="1"/>
      <c r="E4233" s="38" t="str">
        <f>IFERROR(AVERAGEIFS('Picarro Output'!G:G, 'Picarro Output'!$B:$B, 'Uncalibrated Data'!$C4233, 'Picarro Output'!$I:$I, 0, 'Picarro Output'!$J:$J, 1), "")</f>
        <v/>
      </c>
    </row>
    <row r="4234" spans="2:5" x14ac:dyDescent="0.2">
      <c r="B4234" s="1"/>
      <c r="E4234" s="38" t="str">
        <f>IFERROR(AVERAGEIFS('Picarro Output'!G:G, 'Picarro Output'!$B:$B, 'Uncalibrated Data'!$C4234, 'Picarro Output'!$I:$I, 0, 'Picarro Output'!$J:$J, 1), "")</f>
        <v/>
      </c>
    </row>
    <row r="4235" spans="2:5" x14ac:dyDescent="0.2">
      <c r="B4235" s="1"/>
      <c r="E4235" s="38" t="str">
        <f>IFERROR(AVERAGEIFS('Picarro Output'!G:G, 'Picarro Output'!$B:$B, 'Uncalibrated Data'!$C4235, 'Picarro Output'!$I:$I, 0, 'Picarro Output'!$J:$J, 1), "")</f>
        <v/>
      </c>
    </row>
    <row r="4236" spans="2:5" x14ac:dyDescent="0.2">
      <c r="B4236" s="1"/>
      <c r="E4236" s="38" t="str">
        <f>IFERROR(AVERAGEIFS('Picarro Output'!G:G, 'Picarro Output'!$B:$B, 'Uncalibrated Data'!$C4236, 'Picarro Output'!$I:$I, 0, 'Picarro Output'!$J:$J, 1), "")</f>
        <v/>
      </c>
    </row>
    <row r="4237" spans="2:5" x14ac:dyDescent="0.2">
      <c r="B4237" s="1"/>
      <c r="E4237" s="38" t="str">
        <f>IFERROR(AVERAGEIFS('Picarro Output'!G:G, 'Picarro Output'!$B:$B, 'Uncalibrated Data'!$C4237, 'Picarro Output'!$I:$I, 0, 'Picarro Output'!$J:$J, 1), "")</f>
        <v/>
      </c>
    </row>
    <row r="4238" spans="2:5" x14ac:dyDescent="0.2">
      <c r="B4238" s="1"/>
      <c r="E4238" s="38" t="str">
        <f>IFERROR(AVERAGEIFS('Picarro Output'!G:G, 'Picarro Output'!$B:$B, 'Uncalibrated Data'!$C4238, 'Picarro Output'!$I:$I, 0, 'Picarro Output'!$J:$J, 1), "")</f>
        <v/>
      </c>
    </row>
    <row r="4239" spans="2:5" x14ac:dyDescent="0.2">
      <c r="B4239" s="1"/>
      <c r="E4239" s="38" t="str">
        <f>IFERROR(AVERAGEIFS('Picarro Output'!G:G, 'Picarro Output'!$B:$B, 'Uncalibrated Data'!$C4239, 'Picarro Output'!$I:$I, 0, 'Picarro Output'!$J:$J, 1), "")</f>
        <v/>
      </c>
    </row>
    <row r="4240" spans="2:5" x14ac:dyDescent="0.2">
      <c r="B4240" s="1"/>
      <c r="E4240" s="38" t="str">
        <f>IFERROR(AVERAGEIFS('Picarro Output'!G:G, 'Picarro Output'!$B:$B, 'Uncalibrated Data'!$C4240, 'Picarro Output'!$I:$I, 0, 'Picarro Output'!$J:$J, 1), "")</f>
        <v/>
      </c>
    </row>
    <row r="4241" spans="2:5" x14ac:dyDescent="0.2">
      <c r="B4241" s="1"/>
      <c r="E4241" s="38" t="str">
        <f>IFERROR(AVERAGEIFS('Picarro Output'!G:G, 'Picarro Output'!$B:$B, 'Uncalibrated Data'!$C4241, 'Picarro Output'!$I:$I, 0, 'Picarro Output'!$J:$J, 1), "")</f>
        <v/>
      </c>
    </row>
    <row r="4242" spans="2:5" x14ac:dyDescent="0.2">
      <c r="B4242" s="1"/>
      <c r="E4242" s="38" t="str">
        <f>IFERROR(AVERAGEIFS('Picarro Output'!G:G, 'Picarro Output'!$B:$B, 'Uncalibrated Data'!$C4242, 'Picarro Output'!$I:$I, 0, 'Picarro Output'!$J:$J, 1), "")</f>
        <v/>
      </c>
    </row>
    <row r="4243" spans="2:5" x14ac:dyDescent="0.2">
      <c r="B4243" s="1"/>
      <c r="E4243" s="38" t="str">
        <f>IFERROR(AVERAGEIFS('Picarro Output'!G:G, 'Picarro Output'!$B:$B, 'Uncalibrated Data'!$C4243, 'Picarro Output'!$I:$I, 0, 'Picarro Output'!$J:$J, 1), "")</f>
        <v/>
      </c>
    </row>
    <row r="4244" spans="2:5" x14ac:dyDescent="0.2">
      <c r="B4244" s="1"/>
      <c r="E4244" s="38" t="str">
        <f>IFERROR(AVERAGEIFS('Picarro Output'!G:G, 'Picarro Output'!$B:$B, 'Uncalibrated Data'!$C4244, 'Picarro Output'!$I:$I, 0, 'Picarro Output'!$J:$J, 1), "")</f>
        <v/>
      </c>
    </row>
    <row r="4245" spans="2:5" x14ac:dyDescent="0.2">
      <c r="B4245" s="1"/>
      <c r="E4245" s="38" t="str">
        <f>IFERROR(AVERAGEIFS('Picarro Output'!G:G, 'Picarro Output'!$B:$B, 'Uncalibrated Data'!$C4245, 'Picarro Output'!$I:$I, 0, 'Picarro Output'!$J:$J, 1), "")</f>
        <v/>
      </c>
    </row>
    <row r="4246" spans="2:5" x14ac:dyDescent="0.2">
      <c r="B4246" s="1"/>
      <c r="E4246" s="38" t="str">
        <f>IFERROR(AVERAGEIFS('Picarro Output'!G:G, 'Picarro Output'!$B:$B, 'Uncalibrated Data'!$C4246, 'Picarro Output'!$I:$I, 0, 'Picarro Output'!$J:$J, 1), "")</f>
        <v/>
      </c>
    </row>
    <row r="4247" spans="2:5" x14ac:dyDescent="0.2">
      <c r="B4247" s="1"/>
      <c r="E4247" s="38" t="str">
        <f>IFERROR(AVERAGEIFS('Picarro Output'!G:G, 'Picarro Output'!$B:$B, 'Uncalibrated Data'!$C4247, 'Picarro Output'!$I:$I, 0, 'Picarro Output'!$J:$J, 1), "")</f>
        <v/>
      </c>
    </row>
    <row r="4248" spans="2:5" x14ac:dyDescent="0.2">
      <c r="B4248" s="1"/>
      <c r="E4248" s="38" t="str">
        <f>IFERROR(AVERAGEIFS('Picarro Output'!G:G, 'Picarro Output'!$B:$B, 'Uncalibrated Data'!$C4248, 'Picarro Output'!$I:$I, 0, 'Picarro Output'!$J:$J, 1), "")</f>
        <v/>
      </c>
    </row>
    <row r="4249" spans="2:5" x14ac:dyDescent="0.2">
      <c r="B4249" s="1"/>
      <c r="E4249" s="38" t="str">
        <f>IFERROR(AVERAGEIFS('Picarro Output'!G:G, 'Picarro Output'!$B:$B, 'Uncalibrated Data'!$C4249, 'Picarro Output'!$I:$I, 0, 'Picarro Output'!$J:$J, 1), "")</f>
        <v/>
      </c>
    </row>
    <row r="4250" spans="2:5" x14ac:dyDescent="0.2">
      <c r="B4250" s="1"/>
      <c r="E4250" s="38" t="str">
        <f>IFERROR(AVERAGEIFS('Picarro Output'!G:G, 'Picarro Output'!$B:$B, 'Uncalibrated Data'!$C4250, 'Picarro Output'!$I:$I, 0, 'Picarro Output'!$J:$J, 1), "")</f>
        <v/>
      </c>
    </row>
    <row r="4251" spans="2:5" x14ac:dyDescent="0.2">
      <c r="B4251" s="1"/>
      <c r="E4251" s="38" t="str">
        <f>IFERROR(AVERAGEIFS('Picarro Output'!G:G, 'Picarro Output'!$B:$B, 'Uncalibrated Data'!$C4251, 'Picarro Output'!$I:$I, 0, 'Picarro Output'!$J:$J, 1), "")</f>
        <v/>
      </c>
    </row>
    <row r="4252" spans="2:5" x14ac:dyDescent="0.2">
      <c r="B4252" s="1"/>
      <c r="E4252" s="38" t="str">
        <f>IFERROR(AVERAGEIFS('Picarro Output'!G:G, 'Picarro Output'!$B:$B, 'Uncalibrated Data'!$C4252, 'Picarro Output'!$I:$I, 0, 'Picarro Output'!$J:$J, 1), "")</f>
        <v/>
      </c>
    </row>
    <row r="4253" spans="2:5" x14ac:dyDescent="0.2">
      <c r="B4253" s="1"/>
      <c r="E4253" s="38" t="str">
        <f>IFERROR(AVERAGEIFS('Picarro Output'!G:G, 'Picarro Output'!$B:$B, 'Uncalibrated Data'!$C4253, 'Picarro Output'!$I:$I, 0, 'Picarro Output'!$J:$J, 1), "")</f>
        <v/>
      </c>
    </row>
    <row r="4254" spans="2:5" x14ac:dyDescent="0.2">
      <c r="B4254" s="1"/>
      <c r="E4254" s="38" t="str">
        <f>IFERROR(AVERAGEIFS('Picarro Output'!G:G, 'Picarro Output'!$B:$B, 'Uncalibrated Data'!$C4254, 'Picarro Output'!$I:$I, 0, 'Picarro Output'!$J:$J, 1), "")</f>
        <v/>
      </c>
    </row>
    <row r="4255" spans="2:5" x14ac:dyDescent="0.2">
      <c r="B4255" s="1"/>
      <c r="E4255" s="38" t="str">
        <f>IFERROR(AVERAGEIFS('Picarro Output'!G:G, 'Picarro Output'!$B:$B, 'Uncalibrated Data'!$C4255, 'Picarro Output'!$I:$I, 0, 'Picarro Output'!$J:$J, 1), "")</f>
        <v/>
      </c>
    </row>
    <row r="4256" spans="2:5" x14ac:dyDescent="0.2">
      <c r="B4256" s="1"/>
      <c r="E4256" s="38" t="str">
        <f>IFERROR(AVERAGEIFS('Picarro Output'!G:G, 'Picarro Output'!$B:$B, 'Uncalibrated Data'!$C4256, 'Picarro Output'!$I:$I, 0, 'Picarro Output'!$J:$J, 1), "")</f>
        <v/>
      </c>
    </row>
    <row r="4257" spans="2:5" x14ac:dyDescent="0.2">
      <c r="B4257" s="1"/>
      <c r="E4257" s="38" t="str">
        <f>IFERROR(AVERAGEIFS('Picarro Output'!G:G, 'Picarro Output'!$B:$B, 'Uncalibrated Data'!$C4257, 'Picarro Output'!$I:$I, 0, 'Picarro Output'!$J:$J, 1), "")</f>
        <v/>
      </c>
    </row>
    <row r="4258" spans="2:5" x14ac:dyDescent="0.2">
      <c r="B4258" s="1"/>
      <c r="E4258" s="38" t="str">
        <f>IFERROR(AVERAGEIFS('Picarro Output'!G:G, 'Picarro Output'!$B:$B, 'Uncalibrated Data'!$C4258, 'Picarro Output'!$I:$I, 0, 'Picarro Output'!$J:$J, 1), "")</f>
        <v/>
      </c>
    </row>
    <row r="4259" spans="2:5" x14ac:dyDescent="0.2">
      <c r="B4259" s="1"/>
      <c r="E4259" s="38" t="str">
        <f>IFERROR(AVERAGEIFS('Picarro Output'!G:G, 'Picarro Output'!$B:$B, 'Uncalibrated Data'!$C4259, 'Picarro Output'!$I:$I, 0, 'Picarro Output'!$J:$J, 1), "")</f>
        <v/>
      </c>
    </row>
    <row r="4260" spans="2:5" x14ac:dyDescent="0.2">
      <c r="B4260" s="1"/>
      <c r="E4260" s="38" t="str">
        <f>IFERROR(AVERAGEIFS('Picarro Output'!G:G, 'Picarro Output'!$B:$B, 'Uncalibrated Data'!$C4260, 'Picarro Output'!$I:$I, 0, 'Picarro Output'!$J:$J, 1), "")</f>
        <v/>
      </c>
    </row>
    <row r="4261" spans="2:5" x14ac:dyDescent="0.2">
      <c r="B4261" s="1"/>
      <c r="E4261" s="38" t="str">
        <f>IFERROR(AVERAGEIFS('Picarro Output'!G:G, 'Picarro Output'!$B:$B, 'Uncalibrated Data'!$C4261, 'Picarro Output'!$I:$I, 0, 'Picarro Output'!$J:$J, 1), "")</f>
        <v/>
      </c>
    </row>
    <row r="4262" spans="2:5" x14ac:dyDescent="0.2">
      <c r="B4262" s="1"/>
      <c r="E4262" s="38" t="str">
        <f>IFERROR(AVERAGEIFS('Picarro Output'!G:G, 'Picarro Output'!$B:$B, 'Uncalibrated Data'!$C4262, 'Picarro Output'!$I:$I, 0, 'Picarro Output'!$J:$J, 1), "")</f>
        <v/>
      </c>
    </row>
    <row r="4263" spans="2:5" x14ac:dyDescent="0.2">
      <c r="B4263" s="1"/>
      <c r="E4263" s="38" t="str">
        <f>IFERROR(AVERAGEIFS('Picarro Output'!G:G, 'Picarro Output'!$B:$B, 'Uncalibrated Data'!$C4263, 'Picarro Output'!$I:$I, 0, 'Picarro Output'!$J:$J, 1), "")</f>
        <v/>
      </c>
    </row>
    <row r="4264" spans="2:5" x14ac:dyDescent="0.2">
      <c r="B4264" s="1"/>
      <c r="E4264" s="38" t="str">
        <f>IFERROR(AVERAGEIFS('Picarro Output'!G:G, 'Picarro Output'!$B:$B, 'Uncalibrated Data'!$C4264, 'Picarro Output'!$I:$I, 0, 'Picarro Output'!$J:$J, 1), "")</f>
        <v/>
      </c>
    </row>
    <row r="4265" spans="2:5" x14ac:dyDescent="0.2">
      <c r="B4265" s="1"/>
      <c r="E4265" s="38" t="str">
        <f>IFERROR(AVERAGEIFS('Picarro Output'!G:G, 'Picarro Output'!$B:$B, 'Uncalibrated Data'!$C4265, 'Picarro Output'!$I:$I, 0, 'Picarro Output'!$J:$J, 1), "")</f>
        <v/>
      </c>
    </row>
    <row r="4266" spans="2:5" x14ac:dyDescent="0.2">
      <c r="B4266" s="1"/>
      <c r="E4266" s="38" t="str">
        <f>IFERROR(AVERAGEIFS('Picarro Output'!G:G, 'Picarro Output'!$B:$B, 'Uncalibrated Data'!$C4266, 'Picarro Output'!$I:$I, 0, 'Picarro Output'!$J:$J, 1), "")</f>
        <v/>
      </c>
    </row>
    <row r="4267" spans="2:5" x14ac:dyDescent="0.2">
      <c r="B4267" s="1"/>
      <c r="E4267" s="38" t="str">
        <f>IFERROR(AVERAGEIFS('Picarro Output'!G:G, 'Picarro Output'!$B:$B, 'Uncalibrated Data'!$C4267, 'Picarro Output'!$I:$I, 0, 'Picarro Output'!$J:$J, 1), "")</f>
        <v/>
      </c>
    </row>
    <row r="4268" spans="2:5" x14ac:dyDescent="0.2">
      <c r="B4268" s="1"/>
      <c r="E4268" s="38" t="str">
        <f>IFERROR(AVERAGEIFS('Picarro Output'!G:G, 'Picarro Output'!$B:$B, 'Uncalibrated Data'!$C4268, 'Picarro Output'!$I:$I, 0, 'Picarro Output'!$J:$J, 1), "")</f>
        <v/>
      </c>
    </row>
    <row r="4269" spans="2:5" x14ac:dyDescent="0.2">
      <c r="B4269" s="1"/>
      <c r="E4269" s="38" t="str">
        <f>IFERROR(AVERAGEIFS('Picarro Output'!G:G, 'Picarro Output'!$B:$B, 'Uncalibrated Data'!$C4269, 'Picarro Output'!$I:$I, 0, 'Picarro Output'!$J:$J, 1), "")</f>
        <v/>
      </c>
    </row>
    <row r="4270" spans="2:5" x14ac:dyDescent="0.2">
      <c r="B4270" s="1"/>
      <c r="E4270" s="38" t="str">
        <f>IFERROR(AVERAGEIFS('Picarro Output'!G:G, 'Picarro Output'!$B:$B, 'Uncalibrated Data'!$C4270, 'Picarro Output'!$I:$I, 0, 'Picarro Output'!$J:$J, 1), "")</f>
        <v/>
      </c>
    </row>
    <row r="4271" spans="2:5" x14ac:dyDescent="0.2">
      <c r="B4271" s="1"/>
      <c r="E4271" s="38" t="str">
        <f>IFERROR(AVERAGEIFS('Picarro Output'!G:G, 'Picarro Output'!$B:$B, 'Uncalibrated Data'!$C4271, 'Picarro Output'!$I:$I, 0, 'Picarro Output'!$J:$J, 1), "")</f>
        <v/>
      </c>
    </row>
    <row r="4272" spans="2:5" x14ac:dyDescent="0.2">
      <c r="B4272" s="1"/>
      <c r="E4272" s="38" t="str">
        <f>IFERROR(AVERAGEIFS('Picarro Output'!G:G, 'Picarro Output'!$B:$B, 'Uncalibrated Data'!$C4272, 'Picarro Output'!$I:$I, 0, 'Picarro Output'!$J:$J, 1), "")</f>
        <v/>
      </c>
    </row>
    <row r="4273" spans="2:5" x14ac:dyDescent="0.2">
      <c r="B4273" s="1"/>
      <c r="E4273" s="38" t="str">
        <f>IFERROR(AVERAGEIFS('Picarro Output'!G:G, 'Picarro Output'!$B:$B, 'Uncalibrated Data'!$C4273, 'Picarro Output'!$I:$I, 0, 'Picarro Output'!$J:$J, 1), "")</f>
        <v/>
      </c>
    </row>
    <row r="4274" spans="2:5" x14ac:dyDescent="0.2">
      <c r="B4274" s="1"/>
      <c r="E4274" s="38" t="str">
        <f>IFERROR(AVERAGEIFS('Picarro Output'!G:G, 'Picarro Output'!$B:$B, 'Uncalibrated Data'!$C4274, 'Picarro Output'!$I:$I, 0, 'Picarro Output'!$J:$J, 1), "")</f>
        <v/>
      </c>
    </row>
    <row r="4275" spans="2:5" x14ac:dyDescent="0.2">
      <c r="B4275" s="1"/>
      <c r="E4275" s="38" t="str">
        <f>IFERROR(AVERAGEIFS('Picarro Output'!G:G, 'Picarro Output'!$B:$B, 'Uncalibrated Data'!$C4275, 'Picarro Output'!$I:$I, 0, 'Picarro Output'!$J:$J, 1), "")</f>
        <v/>
      </c>
    </row>
    <row r="4276" spans="2:5" x14ac:dyDescent="0.2">
      <c r="B4276" s="1"/>
      <c r="E4276" s="38" t="str">
        <f>IFERROR(AVERAGEIFS('Picarro Output'!G:G, 'Picarro Output'!$B:$B, 'Uncalibrated Data'!$C4276, 'Picarro Output'!$I:$I, 0, 'Picarro Output'!$J:$J, 1), "")</f>
        <v/>
      </c>
    </row>
    <row r="4277" spans="2:5" x14ac:dyDescent="0.2">
      <c r="B4277" s="1"/>
      <c r="E4277" s="38" t="str">
        <f>IFERROR(AVERAGEIFS('Picarro Output'!G:G, 'Picarro Output'!$B:$B, 'Uncalibrated Data'!$C4277, 'Picarro Output'!$I:$I, 0, 'Picarro Output'!$J:$J, 1), "")</f>
        <v/>
      </c>
    </row>
    <row r="4278" spans="2:5" x14ac:dyDescent="0.2">
      <c r="B4278" s="1"/>
      <c r="E4278" s="38" t="str">
        <f>IFERROR(AVERAGEIFS('Picarro Output'!G:G, 'Picarro Output'!$B:$B, 'Uncalibrated Data'!$C4278, 'Picarro Output'!$I:$I, 0, 'Picarro Output'!$J:$J, 1), "")</f>
        <v/>
      </c>
    </row>
    <row r="4279" spans="2:5" x14ac:dyDescent="0.2">
      <c r="B4279" s="1"/>
      <c r="E4279" s="38" t="str">
        <f>IFERROR(AVERAGEIFS('Picarro Output'!G:G, 'Picarro Output'!$B:$B, 'Uncalibrated Data'!$C4279, 'Picarro Output'!$I:$I, 0, 'Picarro Output'!$J:$J, 1), "")</f>
        <v/>
      </c>
    </row>
    <row r="4280" spans="2:5" x14ac:dyDescent="0.2">
      <c r="B4280" s="1"/>
      <c r="E4280" s="38" t="str">
        <f>IFERROR(AVERAGEIFS('Picarro Output'!G:G, 'Picarro Output'!$B:$B, 'Uncalibrated Data'!$C4280, 'Picarro Output'!$I:$I, 0, 'Picarro Output'!$J:$J, 1), "")</f>
        <v/>
      </c>
    </row>
    <row r="4281" spans="2:5" x14ac:dyDescent="0.2">
      <c r="B4281" s="1"/>
      <c r="E4281" s="38" t="str">
        <f>IFERROR(AVERAGEIFS('Picarro Output'!G:G, 'Picarro Output'!$B:$B, 'Uncalibrated Data'!$C4281, 'Picarro Output'!$I:$I, 0, 'Picarro Output'!$J:$J, 1), "")</f>
        <v/>
      </c>
    </row>
    <row r="4282" spans="2:5" x14ac:dyDescent="0.2">
      <c r="B4282" s="1"/>
      <c r="E4282" s="38" t="str">
        <f>IFERROR(AVERAGEIFS('Picarro Output'!G:G, 'Picarro Output'!$B:$B, 'Uncalibrated Data'!$C4282, 'Picarro Output'!$I:$I, 0, 'Picarro Output'!$J:$J, 1), "")</f>
        <v/>
      </c>
    </row>
    <row r="4283" spans="2:5" x14ac:dyDescent="0.2">
      <c r="B4283" s="1"/>
      <c r="E4283" s="38" t="str">
        <f>IFERROR(AVERAGEIFS('Picarro Output'!G:G, 'Picarro Output'!$B:$B, 'Uncalibrated Data'!$C4283, 'Picarro Output'!$I:$I, 0, 'Picarro Output'!$J:$J, 1), "")</f>
        <v/>
      </c>
    </row>
    <row r="4284" spans="2:5" x14ac:dyDescent="0.2">
      <c r="B4284" s="1"/>
      <c r="E4284" s="38" t="str">
        <f>IFERROR(AVERAGEIFS('Picarro Output'!G:G, 'Picarro Output'!$B:$B, 'Uncalibrated Data'!$C4284, 'Picarro Output'!$I:$I, 0, 'Picarro Output'!$J:$J, 1), "")</f>
        <v/>
      </c>
    </row>
    <row r="4285" spans="2:5" x14ac:dyDescent="0.2">
      <c r="B4285" s="1"/>
      <c r="E4285" s="38" t="str">
        <f>IFERROR(AVERAGEIFS('Picarro Output'!G:G, 'Picarro Output'!$B:$B, 'Uncalibrated Data'!$C4285, 'Picarro Output'!$I:$I, 0, 'Picarro Output'!$J:$J, 1), "")</f>
        <v/>
      </c>
    </row>
    <row r="4286" spans="2:5" x14ac:dyDescent="0.2">
      <c r="B4286" s="1"/>
      <c r="E4286" s="38" t="str">
        <f>IFERROR(AVERAGEIFS('Picarro Output'!G:G, 'Picarro Output'!$B:$B, 'Uncalibrated Data'!$C4286, 'Picarro Output'!$I:$I, 0, 'Picarro Output'!$J:$J, 1), "")</f>
        <v/>
      </c>
    </row>
    <row r="4287" spans="2:5" x14ac:dyDescent="0.2">
      <c r="B4287" s="1"/>
      <c r="E4287" s="38" t="str">
        <f>IFERROR(AVERAGEIFS('Picarro Output'!G:G, 'Picarro Output'!$B:$B, 'Uncalibrated Data'!$C4287, 'Picarro Output'!$I:$I, 0, 'Picarro Output'!$J:$J, 1), "")</f>
        <v/>
      </c>
    </row>
    <row r="4288" spans="2:5" x14ac:dyDescent="0.2">
      <c r="B4288" s="1"/>
      <c r="E4288" s="38" t="str">
        <f>IFERROR(AVERAGEIFS('Picarro Output'!G:G, 'Picarro Output'!$B:$B, 'Uncalibrated Data'!$C4288, 'Picarro Output'!$I:$I, 0, 'Picarro Output'!$J:$J, 1), "")</f>
        <v/>
      </c>
    </row>
    <row r="4289" spans="2:5" x14ac:dyDescent="0.2">
      <c r="B4289" s="1"/>
      <c r="E4289" s="38" t="str">
        <f>IFERROR(AVERAGEIFS('Picarro Output'!G:G, 'Picarro Output'!$B:$B, 'Uncalibrated Data'!$C4289, 'Picarro Output'!$I:$I, 0, 'Picarro Output'!$J:$J, 1), "")</f>
        <v/>
      </c>
    </row>
    <row r="4290" spans="2:5" x14ac:dyDescent="0.2">
      <c r="B4290" s="1"/>
      <c r="E4290" s="38" t="str">
        <f>IFERROR(AVERAGEIFS('Picarro Output'!G:G, 'Picarro Output'!$B:$B, 'Uncalibrated Data'!$C4290, 'Picarro Output'!$I:$I, 0, 'Picarro Output'!$J:$J, 1), "")</f>
        <v/>
      </c>
    </row>
    <row r="4291" spans="2:5" x14ac:dyDescent="0.2">
      <c r="B4291" s="1"/>
      <c r="E4291" s="38" t="str">
        <f>IFERROR(AVERAGEIFS('Picarro Output'!G:G, 'Picarro Output'!$B:$B, 'Uncalibrated Data'!$C4291, 'Picarro Output'!$I:$I, 0, 'Picarro Output'!$J:$J, 1), "")</f>
        <v/>
      </c>
    </row>
    <row r="4292" spans="2:5" x14ac:dyDescent="0.2">
      <c r="B4292" s="1"/>
      <c r="E4292" s="38" t="str">
        <f>IFERROR(AVERAGEIFS('Picarro Output'!G:G, 'Picarro Output'!$B:$B, 'Uncalibrated Data'!$C4292, 'Picarro Output'!$I:$I, 0, 'Picarro Output'!$J:$J, 1), "")</f>
        <v/>
      </c>
    </row>
    <row r="4293" spans="2:5" x14ac:dyDescent="0.2">
      <c r="B4293" s="1"/>
      <c r="E4293" s="38" t="str">
        <f>IFERROR(AVERAGEIFS('Picarro Output'!G:G, 'Picarro Output'!$B:$B, 'Uncalibrated Data'!$C4293, 'Picarro Output'!$I:$I, 0, 'Picarro Output'!$J:$J, 1), "")</f>
        <v/>
      </c>
    </row>
    <row r="4294" spans="2:5" x14ac:dyDescent="0.2">
      <c r="B4294" s="1"/>
      <c r="E4294" s="38" t="str">
        <f>IFERROR(AVERAGEIFS('Picarro Output'!G:G, 'Picarro Output'!$B:$B, 'Uncalibrated Data'!$C4294, 'Picarro Output'!$I:$I, 0, 'Picarro Output'!$J:$J, 1), "")</f>
        <v/>
      </c>
    </row>
    <row r="4295" spans="2:5" x14ac:dyDescent="0.2">
      <c r="B4295" s="1"/>
      <c r="E4295" s="38" t="str">
        <f>IFERROR(AVERAGEIFS('Picarro Output'!G:G, 'Picarro Output'!$B:$B, 'Uncalibrated Data'!$C4295, 'Picarro Output'!$I:$I, 0, 'Picarro Output'!$J:$J, 1), "")</f>
        <v/>
      </c>
    </row>
    <row r="4296" spans="2:5" x14ac:dyDescent="0.2">
      <c r="B4296" s="1"/>
      <c r="E4296" s="38" t="str">
        <f>IFERROR(AVERAGEIFS('Picarro Output'!G:G, 'Picarro Output'!$B:$B, 'Uncalibrated Data'!$C4296, 'Picarro Output'!$I:$I, 0, 'Picarro Output'!$J:$J, 1), "")</f>
        <v/>
      </c>
    </row>
    <row r="4297" spans="2:5" x14ac:dyDescent="0.2">
      <c r="B4297" s="1"/>
      <c r="E4297" s="38" t="str">
        <f>IFERROR(AVERAGEIFS('Picarro Output'!G:G, 'Picarro Output'!$B:$B, 'Uncalibrated Data'!$C4297, 'Picarro Output'!$I:$I, 0, 'Picarro Output'!$J:$J, 1), "")</f>
        <v/>
      </c>
    </row>
    <row r="4298" spans="2:5" x14ac:dyDescent="0.2">
      <c r="B4298" s="1"/>
      <c r="E4298" s="38" t="str">
        <f>IFERROR(AVERAGEIFS('Picarro Output'!G:G, 'Picarro Output'!$B:$B, 'Uncalibrated Data'!$C4298, 'Picarro Output'!$I:$I, 0, 'Picarro Output'!$J:$J, 1), "")</f>
        <v/>
      </c>
    </row>
    <row r="4299" spans="2:5" x14ac:dyDescent="0.2">
      <c r="B4299" s="1"/>
      <c r="E4299" s="38" t="str">
        <f>IFERROR(AVERAGEIFS('Picarro Output'!G:G, 'Picarro Output'!$B:$B, 'Uncalibrated Data'!$C4299, 'Picarro Output'!$I:$I, 0, 'Picarro Output'!$J:$J, 1), "")</f>
        <v/>
      </c>
    </row>
    <row r="4300" spans="2:5" x14ac:dyDescent="0.2">
      <c r="B4300" s="1"/>
      <c r="E4300" s="38" t="str">
        <f>IFERROR(AVERAGEIFS('Picarro Output'!G:G, 'Picarro Output'!$B:$B, 'Uncalibrated Data'!$C4300, 'Picarro Output'!$I:$I, 0, 'Picarro Output'!$J:$J, 1), "")</f>
        <v/>
      </c>
    </row>
    <row r="4301" spans="2:5" x14ac:dyDescent="0.2">
      <c r="B4301" s="1"/>
      <c r="E4301" s="38" t="str">
        <f>IFERROR(AVERAGEIFS('Picarro Output'!G:G, 'Picarro Output'!$B:$B, 'Uncalibrated Data'!$C4301, 'Picarro Output'!$I:$I, 0, 'Picarro Output'!$J:$J, 1), "")</f>
        <v/>
      </c>
    </row>
    <row r="4302" spans="2:5" x14ac:dyDescent="0.2">
      <c r="B4302" s="1"/>
      <c r="E4302" s="38" t="str">
        <f>IFERROR(AVERAGEIFS('Picarro Output'!G:G, 'Picarro Output'!$B:$B, 'Uncalibrated Data'!$C4302, 'Picarro Output'!$I:$I, 0, 'Picarro Output'!$J:$J, 1), "")</f>
        <v/>
      </c>
    </row>
    <row r="4303" spans="2:5" x14ac:dyDescent="0.2">
      <c r="B4303" s="1"/>
      <c r="E4303" s="38" t="str">
        <f>IFERROR(AVERAGEIFS('Picarro Output'!G:G, 'Picarro Output'!$B:$B, 'Uncalibrated Data'!$C4303, 'Picarro Output'!$I:$I, 0, 'Picarro Output'!$J:$J, 1), "")</f>
        <v/>
      </c>
    </row>
    <row r="4304" spans="2:5" x14ac:dyDescent="0.2">
      <c r="B4304" s="1"/>
      <c r="E4304" s="38" t="str">
        <f>IFERROR(AVERAGEIFS('Picarro Output'!G:G, 'Picarro Output'!$B:$B, 'Uncalibrated Data'!$C4304, 'Picarro Output'!$I:$I, 0, 'Picarro Output'!$J:$J, 1), "")</f>
        <v/>
      </c>
    </row>
    <row r="4305" spans="2:5" x14ac:dyDescent="0.2">
      <c r="B4305" s="1"/>
      <c r="E4305" s="38" t="str">
        <f>IFERROR(AVERAGEIFS('Picarro Output'!G:G, 'Picarro Output'!$B:$B, 'Uncalibrated Data'!$C4305, 'Picarro Output'!$I:$I, 0, 'Picarro Output'!$J:$J, 1), "")</f>
        <v/>
      </c>
    </row>
    <row r="4306" spans="2:5" x14ac:dyDescent="0.2">
      <c r="B4306" s="1"/>
      <c r="E4306" s="38" t="str">
        <f>IFERROR(AVERAGEIFS('Picarro Output'!G:G, 'Picarro Output'!$B:$B, 'Uncalibrated Data'!$C4306, 'Picarro Output'!$I:$I, 0, 'Picarro Output'!$J:$J, 1), "")</f>
        <v/>
      </c>
    </row>
    <row r="4307" spans="2:5" x14ac:dyDescent="0.2">
      <c r="B4307" s="1"/>
      <c r="E4307" s="38" t="str">
        <f>IFERROR(AVERAGEIFS('Picarro Output'!G:G, 'Picarro Output'!$B:$B, 'Uncalibrated Data'!$C4307, 'Picarro Output'!$I:$I, 0, 'Picarro Output'!$J:$J, 1), "")</f>
        <v/>
      </c>
    </row>
    <row r="4308" spans="2:5" x14ac:dyDescent="0.2">
      <c r="B4308" s="1"/>
      <c r="E4308" s="38" t="str">
        <f>IFERROR(AVERAGEIFS('Picarro Output'!G:G, 'Picarro Output'!$B:$B, 'Uncalibrated Data'!$C4308, 'Picarro Output'!$I:$I, 0, 'Picarro Output'!$J:$J, 1), "")</f>
        <v/>
      </c>
    </row>
    <row r="4309" spans="2:5" x14ac:dyDescent="0.2">
      <c r="B4309" s="1"/>
      <c r="E4309" s="38" t="str">
        <f>IFERROR(AVERAGEIFS('Picarro Output'!G:G, 'Picarro Output'!$B:$B, 'Uncalibrated Data'!$C4309, 'Picarro Output'!$I:$I, 0, 'Picarro Output'!$J:$J, 1), "")</f>
        <v/>
      </c>
    </row>
    <row r="4310" spans="2:5" x14ac:dyDescent="0.2">
      <c r="B4310" s="1"/>
      <c r="E4310" s="38" t="str">
        <f>IFERROR(AVERAGEIFS('Picarro Output'!G:G, 'Picarro Output'!$B:$B, 'Uncalibrated Data'!$C4310, 'Picarro Output'!$I:$I, 0, 'Picarro Output'!$J:$J, 1), "")</f>
        <v/>
      </c>
    </row>
    <row r="4311" spans="2:5" x14ac:dyDescent="0.2">
      <c r="B4311" s="1"/>
      <c r="E4311" s="38" t="str">
        <f>IFERROR(AVERAGEIFS('Picarro Output'!G:G, 'Picarro Output'!$B:$B, 'Uncalibrated Data'!$C4311, 'Picarro Output'!$I:$I, 0, 'Picarro Output'!$J:$J, 1), "")</f>
        <v/>
      </c>
    </row>
    <row r="4312" spans="2:5" x14ac:dyDescent="0.2">
      <c r="B4312" s="1"/>
      <c r="E4312" s="38" t="str">
        <f>IFERROR(AVERAGEIFS('Picarro Output'!G:G, 'Picarro Output'!$B:$B, 'Uncalibrated Data'!$C4312, 'Picarro Output'!$I:$I, 0, 'Picarro Output'!$J:$J, 1), "")</f>
        <v/>
      </c>
    </row>
    <row r="4313" spans="2:5" x14ac:dyDescent="0.2">
      <c r="B4313" s="1"/>
      <c r="E4313" s="38" t="str">
        <f>IFERROR(AVERAGEIFS('Picarro Output'!G:G, 'Picarro Output'!$B:$B, 'Uncalibrated Data'!$C4313, 'Picarro Output'!$I:$I, 0, 'Picarro Output'!$J:$J, 1), "")</f>
        <v/>
      </c>
    </row>
    <row r="4314" spans="2:5" x14ac:dyDescent="0.2">
      <c r="B4314" s="1"/>
      <c r="E4314" s="38" t="str">
        <f>IFERROR(AVERAGEIFS('Picarro Output'!G:G, 'Picarro Output'!$B:$B, 'Uncalibrated Data'!$C4314, 'Picarro Output'!$I:$I, 0, 'Picarro Output'!$J:$J, 1), "")</f>
        <v/>
      </c>
    </row>
    <row r="4315" spans="2:5" x14ac:dyDescent="0.2">
      <c r="B4315" s="1"/>
      <c r="E4315" s="38" t="str">
        <f>IFERROR(AVERAGEIFS('Picarro Output'!G:G, 'Picarro Output'!$B:$B, 'Uncalibrated Data'!$C4315, 'Picarro Output'!$I:$I, 0, 'Picarro Output'!$J:$J, 1), "")</f>
        <v/>
      </c>
    </row>
    <row r="4316" spans="2:5" x14ac:dyDescent="0.2">
      <c r="B4316" s="1"/>
      <c r="E4316" s="38" t="str">
        <f>IFERROR(AVERAGEIFS('Picarro Output'!G:G, 'Picarro Output'!$B:$B, 'Uncalibrated Data'!$C4316, 'Picarro Output'!$I:$I, 0, 'Picarro Output'!$J:$J, 1), "")</f>
        <v/>
      </c>
    </row>
    <row r="4317" spans="2:5" x14ac:dyDescent="0.2">
      <c r="B4317" s="1"/>
      <c r="E4317" s="38" t="str">
        <f>IFERROR(AVERAGEIFS('Picarro Output'!G:G, 'Picarro Output'!$B:$B, 'Uncalibrated Data'!$C4317, 'Picarro Output'!$I:$I, 0, 'Picarro Output'!$J:$J, 1), "")</f>
        <v/>
      </c>
    </row>
    <row r="4318" spans="2:5" x14ac:dyDescent="0.2">
      <c r="B4318" s="1"/>
      <c r="E4318" s="38" t="str">
        <f>IFERROR(AVERAGEIFS('Picarro Output'!G:G, 'Picarro Output'!$B:$B, 'Uncalibrated Data'!$C4318, 'Picarro Output'!$I:$I, 0, 'Picarro Output'!$J:$J, 1), "")</f>
        <v/>
      </c>
    </row>
    <row r="4319" spans="2:5" x14ac:dyDescent="0.2">
      <c r="B4319" s="1"/>
      <c r="E4319" s="38" t="str">
        <f>IFERROR(AVERAGEIFS('Picarro Output'!G:G, 'Picarro Output'!$B:$B, 'Uncalibrated Data'!$C4319, 'Picarro Output'!$I:$I, 0, 'Picarro Output'!$J:$J, 1), "")</f>
        <v/>
      </c>
    </row>
    <row r="4320" spans="2:5" x14ac:dyDescent="0.2">
      <c r="B4320" s="1"/>
      <c r="E4320" s="38" t="str">
        <f>IFERROR(AVERAGEIFS('Picarro Output'!G:G, 'Picarro Output'!$B:$B, 'Uncalibrated Data'!$C4320, 'Picarro Output'!$I:$I, 0, 'Picarro Output'!$J:$J, 1), "")</f>
        <v/>
      </c>
    </row>
    <row r="4321" spans="2:5" x14ac:dyDescent="0.2">
      <c r="B4321" s="1"/>
      <c r="E4321" s="38" t="str">
        <f>IFERROR(AVERAGEIFS('Picarro Output'!G:G, 'Picarro Output'!$B:$B, 'Uncalibrated Data'!$C4321, 'Picarro Output'!$I:$I, 0, 'Picarro Output'!$J:$J, 1), "")</f>
        <v/>
      </c>
    </row>
    <row r="4322" spans="2:5" x14ac:dyDescent="0.2">
      <c r="B4322" s="1"/>
      <c r="E4322" s="38" t="str">
        <f>IFERROR(AVERAGEIFS('Picarro Output'!G:G, 'Picarro Output'!$B:$B, 'Uncalibrated Data'!$C4322, 'Picarro Output'!$I:$I, 0, 'Picarro Output'!$J:$J, 1), "")</f>
        <v/>
      </c>
    </row>
    <row r="4323" spans="2:5" x14ac:dyDescent="0.2">
      <c r="B4323" s="1"/>
      <c r="E4323" s="38" t="str">
        <f>IFERROR(AVERAGEIFS('Picarro Output'!G:G, 'Picarro Output'!$B:$B, 'Uncalibrated Data'!$C4323, 'Picarro Output'!$I:$I, 0, 'Picarro Output'!$J:$J, 1), "")</f>
        <v/>
      </c>
    </row>
    <row r="4324" spans="2:5" x14ac:dyDescent="0.2">
      <c r="B4324" s="1"/>
      <c r="E4324" s="38" t="str">
        <f>IFERROR(AVERAGEIFS('Picarro Output'!G:G, 'Picarro Output'!$B:$B, 'Uncalibrated Data'!$C4324, 'Picarro Output'!$I:$I, 0, 'Picarro Output'!$J:$J, 1), "")</f>
        <v/>
      </c>
    </row>
    <row r="4325" spans="2:5" x14ac:dyDescent="0.2">
      <c r="B4325" s="1"/>
      <c r="E4325" s="38" t="str">
        <f>IFERROR(AVERAGEIFS('Picarro Output'!G:G, 'Picarro Output'!$B:$B, 'Uncalibrated Data'!$C4325, 'Picarro Output'!$I:$I, 0, 'Picarro Output'!$J:$J, 1), "")</f>
        <v/>
      </c>
    </row>
    <row r="4326" spans="2:5" x14ac:dyDescent="0.2">
      <c r="B4326" s="1"/>
      <c r="E4326" s="38" t="str">
        <f>IFERROR(AVERAGEIFS('Picarro Output'!G:G, 'Picarro Output'!$B:$B, 'Uncalibrated Data'!$C4326, 'Picarro Output'!$I:$I, 0, 'Picarro Output'!$J:$J, 1), "")</f>
        <v/>
      </c>
    </row>
    <row r="4327" spans="2:5" x14ac:dyDescent="0.2">
      <c r="B4327" s="1"/>
      <c r="E4327" s="38" t="str">
        <f>IFERROR(AVERAGEIFS('Picarro Output'!G:G, 'Picarro Output'!$B:$B, 'Uncalibrated Data'!$C4327, 'Picarro Output'!$I:$I, 0, 'Picarro Output'!$J:$J, 1), "")</f>
        <v/>
      </c>
    </row>
    <row r="4328" spans="2:5" x14ac:dyDescent="0.2">
      <c r="B4328" s="1"/>
      <c r="E4328" s="38" t="str">
        <f>IFERROR(AVERAGEIFS('Picarro Output'!G:G, 'Picarro Output'!$B:$B, 'Uncalibrated Data'!$C4328, 'Picarro Output'!$I:$I, 0, 'Picarro Output'!$J:$J, 1), "")</f>
        <v/>
      </c>
    </row>
    <row r="4329" spans="2:5" x14ac:dyDescent="0.2">
      <c r="B4329" s="1"/>
      <c r="E4329" s="38" t="str">
        <f>IFERROR(AVERAGEIFS('Picarro Output'!G:G, 'Picarro Output'!$B:$B, 'Uncalibrated Data'!$C4329, 'Picarro Output'!$I:$I, 0, 'Picarro Output'!$J:$J, 1), "")</f>
        <v/>
      </c>
    </row>
    <row r="4330" spans="2:5" x14ac:dyDescent="0.2">
      <c r="B4330" s="1"/>
      <c r="E4330" s="38" t="str">
        <f>IFERROR(AVERAGEIFS('Picarro Output'!G:G, 'Picarro Output'!$B:$B, 'Uncalibrated Data'!$C4330, 'Picarro Output'!$I:$I, 0, 'Picarro Output'!$J:$J, 1), "")</f>
        <v/>
      </c>
    </row>
    <row r="4331" spans="2:5" x14ac:dyDescent="0.2">
      <c r="B4331" s="1"/>
      <c r="E4331" s="38" t="str">
        <f>IFERROR(AVERAGEIFS('Picarro Output'!G:G, 'Picarro Output'!$B:$B, 'Uncalibrated Data'!$C4331, 'Picarro Output'!$I:$I, 0, 'Picarro Output'!$J:$J, 1), "")</f>
        <v/>
      </c>
    </row>
    <row r="4332" spans="2:5" x14ac:dyDescent="0.2">
      <c r="B4332" s="1"/>
      <c r="E4332" s="38" t="str">
        <f>IFERROR(AVERAGEIFS('Picarro Output'!G:G, 'Picarro Output'!$B:$B, 'Uncalibrated Data'!$C4332, 'Picarro Output'!$I:$I, 0, 'Picarro Output'!$J:$J, 1), "")</f>
        <v/>
      </c>
    </row>
    <row r="4333" spans="2:5" x14ac:dyDescent="0.2">
      <c r="B4333" s="1"/>
      <c r="E4333" s="38" t="str">
        <f>IFERROR(AVERAGEIFS('Picarro Output'!G:G, 'Picarro Output'!$B:$B, 'Uncalibrated Data'!$C4333, 'Picarro Output'!$I:$I, 0, 'Picarro Output'!$J:$J, 1), "")</f>
        <v/>
      </c>
    </row>
    <row r="4334" spans="2:5" x14ac:dyDescent="0.2">
      <c r="B4334" s="1"/>
      <c r="E4334" s="38" t="str">
        <f>IFERROR(AVERAGEIFS('Picarro Output'!G:G, 'Picarro Output'!$B:$B, 'Uncalibrated Data'!$C4334, 'Picarro Output'!$I:$I, 0, 'Picarro Output'!$J:$J, 1), "")</f>
        <v/>
      </c>
    </row>
    <row r="4335" spans="2:5" x14ac:dyDescent="0.2">
      <c r="B4335" s="1"/>
      <c r="E4335" s="38" t="str">
        <f>IFERROR(AVERAGEIFS('Picarro Output'!G:G, 'Picarro Output'!$B:$B, 'Uncalibrated Data'!$C4335, 'Picarro Output'!$I:$I, 0, 'Picarro Output'!$J:$J, 1), "")</f>
        <v/>
      </c>
    </row>
    <row r="4336" spans="2:5" x14ac:dyDescent="0.2">
      <c r="B4336" s="1"/>
      <c r="E4336" s="38" t="str">
        <f>IFERROR(AVERAGEIFS('Picarro Output'!G:G, 'Picarro Output'!$B:$B, 'Uncalibrated Data'!$C4336, 'Picarro Output'!$I:$I, 0, 'Picarro Output'!$J:$J, 1), "")</f>
        <v/>
      </c>
    </row>
    <row r="4337" spans="2:5" x14ac:dyDescent="0.2">
      <c r="B4337" s="1"/>
      <c r="E4337" s="38" t="str">
        <f>IFERROR(AVERAGEIFS('Picarro Output'!G:G, 'Picarro Output'!$B:$B, 'Uncalibrated Data'!$C4337, 'Picarro Output'!$I:$I, 0, 'Picarro Output'!$J:$J, 1), "")</f>
        <v/>
      </c>
    </row>
    <row r="4338" spans="2:5" x14ac:dyDescent="0.2">
      <c r="B4338" s="1"/>
      <c r="E4338" s="38" t="str">
        <f>IFERROR(AVERAGEIFS('Picarro Output'!G:G, 'Picarro Output'!$B:$B, 'Uncalibrated Data'!$C4338, 'Picarro Output'!$I:$I, 0, 'Picarro Output'!$J:$J, 1), "")</f>
        <v/>
      </c>
    </row>
    <row r="4339" spans="2:5" x14ac:dyDescent="0.2">
      <c r="B4339" s="1"/>
      <c r="E4339" s="38" t="str">
        <f>IFERROR(AVERAGEIFS('Picarro Output'!G:G, 'Picarro Output'!$B:$B, 'Uncalibrated Data'!$C4339, 'Picarro Output'!$I:$I, 0, 'Picarro Output'!$J:$J, 1), "")</f>
        <v/>
      </c>
    </row>
    <row r="4340" spans="2:5" x14ac:dyDescent="0.2">
      <c r="B4340" s="1"/>
      <c r="E4340" s="38" t="str">
        <f>IFERROR(AVERAGEIFS('Picarro Output'!G:G, 'Picarro Output'!$B:$B, 'Uncalibrated Data'!$C4340, 'Picarro Output'!$I:$I, 0, 'Picarro Output'!$J:$J, 1), "")</f>
        <v/>
      </c>
    </row>
    <row r="4341" spans="2:5" x14ac:dyDescent="0.2">
      <c r="B4341" s="1"/>
      <c r="E4341" s="38" t="str">
        <f>IFERROR(AVERAGEIFS('Picarro Output'!G:G, 'Picarro Output'!$B:$B, 'Uncalibrated Data'!$C4341, 'Picarro Output'!$I:$I, 0, 'Picarro Output'!$J:$J, 1), "")</f>
        <v/>
      </c>
    </row>
    <row r="4342" spans="2:5" x14ac:dyDescent="0.2">
      <c r="B4342" s="1"/>
      <c r="E4342" s="38" t="str">
        <f>IFERROR(AVERAGEIFS('Picarro Output'!G:G, 'Picarro Output'!$B:$B, 'Uncalibrated Data'!$C4342, 'Picarro Output'!$I:$I, 0, 'Picarro Output'!$J:$J, 1), "")</f>
        <v/>
      </c>
    </row>
    <row r="4343" spans="2:5" x14ac:dyDescent="0.2">
      <c r="B4343" s="1"/>
      <c r="E4343" s="38" t="str">
        <f>IFERROR(AVERAGEIFS('Picarro Output'!G:G, 'Picarro Output'!$B:$B, 'Uncalibrated Data'!$C4343, 'Picarro Output'!$I:$I, 0, 'Picarro Output'!$J:$J, 1), "")</f>
        <v/>
      </c>
    </row>
    <row r="4344" spans="2:5" x14ac:dyDescent="0.2">
      <c r="B4344" s="1"/>
      <c r="E4344" s="38" t="str">
        <f>IFERROR(AVERAGEIFS('Picarro Output'!G:G, 'Picarro Output'!$B:$B, 'Uncalibrated Data'!$C4344, 'Picarro Output'!$I:$I, 0, 'Picarro Output'!$J:$J, 1), "")</f>
        <v/>
      </c>
    </row>
    <row r="4345" spans="2:5" x14ac:dyDescent="0.2">
      <c r="B4345" s="1"/>
      <c r="E4345" s="38" t="str">
        <f>IFERROR(AVERAGEIFS('Picarro Output'!G:G, 'Picarro Output'!$B:$B, 'Uncalibrated Data'!$C4345, 'Picarro Output'!$I:$I, 0, 'Picarro Output'!$J:$J, 1), "")</f>
        <v/>
      </c>
    </row>
    <row r="4346" spans="2:5" x14ac:dyDescent="0.2">
      <c r="B4346" s="1"/>
      <c r="E4346" s="38" t="str">
        <f>IFERROR(AVERAGEIFS('Picarro Output'!G:G, 'Picarro Output'!$B:$B, 'Uncalibrated Data'!$C4346, 'Picarro Output'!$I:$I, 0, 'Picarro Output'!$J:$J, 1), "")</f>
        <v/>
      </c>
    </row>
    <row r="4347" spans="2:5" x14ac:dyDescent="0.2">
      <c r="B4347" s="1"/>
      <c r="E4347" s="38" t="str">
        <f>IFERROR(AVERAGEIFS('Picarro Output'!G:G, 'Picarro Output'!$B:$B, 'Uncalibrated Data'!$C4347, 'Picarro Output'!$I:$I, 0, 'Picarro Output'!$J:$J, 1), "")</f>
        <v/>
      </c>
    </row>
    <row r="4348" spans="2:5" x14ac:dyDescent="0.2">
      <c r="B4348" s="1"/>
      <c r="E4348" s="38" t="str">
        <f>IFERROR(AVERAGEIFS('Picarro Output'!G:G, 'Picarro Output'!$B:$B, 'Uncalibrated Data'!$C4348, 'Picarro Output'!$I:$I, 0, 'Picarro Output'!$J:$J, 1), "")</f>
        <v/>
      </c>
    </row>
    <row r="4349" spans="2:5" x14ac:dyDescent="0.2">
      <c r="B4349" s="1"/>
      <c r="E4349" s="38" t="str">
        <f>IFERROR(AVERAGEIFS('Picarro Output'!G:G, 'Picarro Output'!$B:$B, 'Uncalibrated Data'!$C4349, 'Picarro Output'!$I:$I, 0, 'Picarro Output'!$J:$J, 1), "")</f>
        <v/>
      </c>
    </row>
    <row r="4350" spans="2:5" x14ac:dyDescent="0.2">
      <c r="B4350" s="1"/>
      <c r="E4350" s="38" t="str">
        <f>IFERROR(AVERAGEIFS('Picarro Output'!G:G, 'Picarro Output'!$B:$B, 'Uncalibrated Data'!$C4350, 'Picarro Output'!$I:$I, 0, 'Picarro Output'!$J:$J, 1), "")</f>
        <v/>
      </c>
    </row>
    <row r="4351" spans="2:5" x14ac:dyDescent="0.2">
      <c r="B4351" s="1"/>
      <c r="E4351" s="38" t="str">
        <f>IFERROR(AVERAGEIFS('Picarro Output'!G:G, 'Picarro Output'!$B:$B, 'Uncalibrated Data'!$C4351, 'Picarro Output'!$I:$I, 0, 'Picarro Output'!$J:$J, 1), "")</f>
        <v/>
      </c>
    </row>
    <row r="4352" spans="2:5" x14ac:dyDescent="0.2">
      <c r="B4352" s="1"/>
      <c r="E4352" s="38" t="str">
        <f>IFERROR(AVERAGEIFS('Picarro Output'!G:G, 'Picarro Output'!$B:$B, 'Uncalibrated Data'!$C4352, 'Picarro Output'!$I:$I, 0, 'Picarro Output'!$J:$J, 1), "")</f>
        <v/>
      </c>
    </row>
    <row r="4353" spans="2:5" x14ac:dyDescent="0.2">
      <c r="B4353" s="1"/>
      <c r="E4353" s="38" t="str">
        <f>IFERROR(AVERAGEIFS('Picarro Output'!G:G, 'Picarro Output'!$B:$B, 'Uncalibrated Data'!$C4353, 'Picarro Output'!$I:$I, 0, 'Picarro Output'!$J:$J, 1), "")</f>
        <v/>
      </c>
    </row>
    <row r="4354" spans="2:5" x14ac:dyDescent="0.2">
      <c r="B4354" s="1"/>
      <c r="E4354" s="38" t="str">
        <f>IFERROR(AVERAGEIFS('Picarro Output'!G:G, 'Picarro Output'!$B:$B, 'Uncalibrated Data'!$C4354, 'Picarro Output'!$I:$I, 0, 'Picarro Output'!$J:$J, 1), "")</f>
        <v/>
      </c>
    </row>
    <row r="4355" spans="2:5" x14ac:dyDescent="0.2">
      <c r="B4355" s="1"/>
      <c r="E4355" s="38" t="str">
        <f>IFERROR(AVERAGEIFS('Picarro Output'!G:G, 'Picarro Output'!$B:$B, 'Uncalibrated Data'!$C4355, 'Picarro Output'!$I:$I, 0, 'Picarro Output'!$J:$J, 1), "")</f>
        <v/>
      </c>
    </row>
    <row r="4356" spans="2:5" x14ac:dyDescent="0.2">
      <c r="B4356" s="1"/>
      <c r="E4356" s="38" t="str">
        <f>IFERROR(AVERAGEIFS('Picarro Output'!G:G, 'Picarro Output'!$B:$B, 'Uncalibrated Data'!$C4356, 'Picarro Output'!$I:$I, 0, 'Picarro Output'!$J:$J, 1), "")</f>
        <v/>
      </c>
    </row>
    <row r="4357" spans="2:5" x14ac:dyDescent="0.2">
      <c r="B4357" s="1"/>
      <c r="E4357" s="38" t="str">
        <f>IFERROR(AVERAGEIFS('Picarro Output'!G:G, 'Picarro Output'!$B:$B, 'Uncalibrated Data'!$C4357, 'Picarro Output'!$I:$I, 0, 'Picarro Output'!$J:$J, 1), "")</f>
        <v/>
      </c>
    </row>
    <row r="4358" spans="2:5" x14ac:dyDescent="0.2">
      <c r="B4358" s="1"/>
      <c r="E4358" s="38" t="str">
        <f>IFERROR(AVERAGEIFS('Picarro Output'!G:G, 'Picarro Output'!$B:$B, 'Uncalibrated Data'!$C4358, 'Picarro Output'!$I:$I, 0, 'Picarro Output'!$J:$J, 1), "")</f>
        <v/>
      </c>
    </row>
    <row r="4359" spans="2:5" x14ac:dyDescent="0.2">
      <c r="B4359" s="1"/>
      <c r="E4359" s="38" t="str">
        <f>IFERROR(AVERAGEIFS('Picarro Output'!G:G, 'Picarro Output'!$B:$B, 'Uncalibrated Data'!$C4359, 'Picarro Output'!$I:$I, 0, 'Picarro Output'!$J:$J, 1), "")</f>
        <v/>
      </c>
    </row>
    <row r="4360" spans="2:5" x14ac:dyDescent="0.2">
      <c r="B4360" s="1"/>
      <c r="E4360" s="38" t="str">
        <f>IFERROR(AVERAGEIFS('Picarro Output'!G:G, 'Picarro Output'!$B:$B, 'Uncalibrated Data'!$C4360, 'Picarro Output'!$I:$I, 0, 'Picarro Output'!$J:$J, 1), "")</f>
        <v/>
      </c>
    </row>
    <row r="4361" spans="2:5" x14ac:dyDescent="0.2">
      <c r="B4361" s="1"/>
      <c r="E4361" s="38" t="str">
        <f>IFERROR(AVERAGEIFS('Picarro Output'!G:G, 'Picarro Output'!$B:$B, 'Uncalibrated Data'!$C4361, 'Picarro Output'!$I:$I, 0, 'Picarro Output'!$J:$J, 1), "")</f>
        <v/>
      </c>
    </row>
    <row r="4362" spans="2:5" x14ac:dyDescent="0.2">
      <c r="B4362" s="1"/>
      <c r="E4362" s="38" t="str">
        <f>IFERROR(AVERAGEIFS('Picarro Output'!G:G, 'Picarro Output'!$B:$B, 'Uncalibrated Data'!$C4362, 'Picarro Output'!$I:$I, 0, 'Picarro Output'!$J:$J, 1), "")</f>
        <v/>
      </c>
    </row>
    <row r="4363" spans="2:5" x14ac:dyDescent="0.2">
      <c r="B4363" s="1"/>
      <c r="E4363" s="38" t="str">
        <f>IFERROR(AVERAGEIFS('Picarro Output'!G:G, 'Picarro Output'!$B:$B, 'Uncalibrated Data'!$C4363, 'Picarro Output'!$I:$I, 0, 'Picarro Output'!$J:$J, 1), "")</f>
        <v/>
      </c>
    </row>
    <row r="4364" spans="2:5" x14ac:dyDescent="0.2">
      <c r="B4364" s="1"/>
      <c r="E4364" s="38" t="str">
        <f>IFERROR(AVERAGEIFS('Picarro Output'!G:G, 'Picarro Output'!$B:$B, 'Uncalibrated Data'!$C4364, 'Picarro Output'!$I:$I, 0, 'Picarro Output'!$J:$J, 1), "")</f>
        <v/>
      </c>
    </row>
    <row r="4365" spans="2:5" x14ac:dyDescent="0.2">
      <c r="B4365" s="1"/>
      <c r="E4365" s="38" t="str">
        <f>IFERROR(AVERAGEIFS('Picarro Output'!G:G, 'Picarro Output'!$B:$B, 'Uncalibrated Data'!$C4365, 'Picarro Output'!$I:$I, 0, 'Picarro Output'!$J:$J, 1), "")</f>
        <v/>
      </c>
    </row>
    <row r="4366" spans="2:5" x14ac:dyDescent="0.2">
      <c r="B4366" s="1"/>
      <c r="E4366" s="38" t="str">
        <f>IFERROR(AVERAGEIFS('Picarro Output'!G:G, 'Picarro Output'!$B:$B, 'Uncalibrated Data'!$C4366, 'Picarro Output'!$I:$I, 0, 'Picarro Output'!$J:$J, 1), "")</f>
        <v/>
      </c>
    </row>
    <row r="4367" spans="2:5" x14ac:dyDescent="0.2">
      <c r="B4367" s="1"/>
      <c r="E4367" s="38" t="str">
        <f>IFERROR(AVERAGEIFS('Picarro Output'!G:G, 'Picarro Output'!$B:$B, 'Uncalibrated Data'!$C4367, 'Picarro Output'!$I:$I, 0, 'Picarro Output'!$J:$J, 1), "")</f>
        <v/>
      </c>
    </row>
    <row r="4368" spans="2:5" x14ac:dyDescent="0.2">
      <c r="B4368" s="1"/>
      <c r="E4368" s="38" t="str">
        <f>IFERROR(AVERAGEIFS('Picarro Output'!G:G, 'Picarro Output'!$B:$B, 'Uncalibrated Data'!$C4368, 'Picarro Output'!$I:$I, 0, 'Picarro Output'!$J:$J, 1), "")</f>
        <v/>
      </c>
    </row>
    <row r="4369" spans="2:5" x14ac:dyDescent="0.2">
      <c r="B4369" s="1"/>
      <c r="E4369" s="38" t="str">
        <f>IFERROR(AVERAGEIFS('Picarro Output'!G:G, 'Picarro Output'!$B:$B, 'Uncalibrated Data'!$C4369, 'Picarro Output'!$I:$I, 0, 'Picarro Output'!$J:$J, 1), "")</f>
        <v/>
      </c>
    </row>
    <row r="4370" spans="2:5" x14ac:dyDescent="0.2">
      <c r="B4370" s="1"/>
      <c r="E4370" s="38" t="str">
        <f>IFERROR(AVERAGEIFS('Picarro Output'!G:G, 'Picarro Output'!$B:$B, 'Uncalibrated Data'!$C4370, 'Picarro Output'!$I:$I, 0, 'Picarro Output'!$J:$J, 1), "")</f>
        <v/>
      </c>
    </row>
    <row r="4371" spans="2:5" x14ac:dyDescent="0.2">
      <c r="B4371" s="1"/>
      <c r="E4371" s="38" t="str">
        <f>IFERROR(AVERAGEIFS('Picarro Output'!G:G, 'Picarro Output'!$B:$B, 'Uncalibrated Data'!$C4371, 'Picarro Output'!$I:$I, 0, 'Picarro Output'!$J:$J, 1), "")</f>
        <v/>
      </c>
    </row>
    <row r="4372" spans="2:5" x14ac:dyDescent="0.2">
      <c r="B4372" s="1"/>
      <c r="E4372" s="38" t="str">
        <f>IFERROR(AVERAGEIFS('Picarro Output'!G:G, 'Picarro Output'!$B:$B, 'Uncalibrated Data'!$C4372, 'Picarro Output'!$I:$I, 0, 'Picarro Output'!$J:$J, 1), "")</f>
        <v/>
      </c>
    </row>
    <row r="4373" spans="2:5" x14ac:dyDescent="0.2">
      <c r="B4373" s="1"/>
      <c r="E4373" s="38" t="str">
        <f>IFERROR(AVERAGEIFS('Picarro Output'!G:G, 'Picarro Output'!$B:$B, 'Uncalibrated Data'!$C4373, 'Picarro Output'!$I:$I, 0, 'Picarro Output'!$J:$J, 1), "")</f>
        <v/>
      </c>
    </row>
    <row r="4374" spans="2:5" x14ac:dyDescent="0.2">
      <c r="B4374" s="1"/>
      <c r="E4374" s="38" t="str">
        <f>IFERROR(AVERAGEIFS('Picarro Output'!G:G, 'Picarro Output'!$B:$B, 'Uncalibrated Data'!$C4374, 'Picarro Output'!$I:$I, 0, 'Picarro Output'!$J:$J, 1), "")</f>
        <v/>
      </c>
    </row>
    <row r="4375" spans="2:5" x14ac:dyDescent="0.2">
      <c r="B4375" s="1"/>
      <c r="E4375" s="38" t="str">
        <f>IFERROR(AVERAGEIFS('Picarro Output'!G:G, 'Picarro Output'!$B:$B, 'Uncalibrated Data'!$C4375, 'Picarro Output'!$I:$I, 0, 'Picarro Output'!$J:$J, 1), "")</f>
        <v/>
      </c>
    </row>
    <row r="4376" spans="2:5" x14ac:dyDescent="0.2">
      <c r="B4376" s="1"/>
      <c r="E4376" s="38" t="str">
        <f>IFERROR(AVERAGEIFS('Picarro Output'!G:G, 'Picarro Output'!$B:$B, 'Uncalibrated Data'!$C4376, 'Picarro Output'!$I:$I, 0, 'Picarro Output'!$J:$J, 1), "")</f>
        <v/>
      </c>
    </row>
    <row r="4377" spans="2:5" x14ac:dyDescent="0.2">
      <c r="B4377" s="1"/>
      <c r="E4377" s="38" t="str">
        <f>IFERROR(AVERAGEIFS('Picarro Output'!G:G, 'Picarro Output'!$B:$B, 'Uncalibrated Data'!$C4377, 'Picarro Output'!$I:$I, 0, 'Picarro Output'!$J:$J, 1), "")</f>
        <v/>
      </c>
    </row>
    <row r="4378" spans="2:5" x14ac:dyDescent="0.2">
      <c r="B4378" s="1"/>
      <c r="E4378" s="38" t="str">
        <f>IFERROR(AVERAGEIFS('Picarro Output'!G:G, 'Picarro Output'!$B:$B, 'Uncalibrated Data'!$C4378, 'Picarro Output'!$I:$I, 0, 'Picarro Output'!$J:$J, 1), "")</f>
        <v/>
      </c>
    </row>
    <row r="4379" spans="2:5" x14ac:dyDescent="0.2">
      <c r="B4379" s="1"/>
      <c r="E4379" s="38" t="str">
        <f>IFERROR(AVERAGEIFS('Picarro Output'!G:G, 'Picarro Output'!$B:$B, 'Uncalibrated Data'!$C4379, 'Picarro Output'!$I:$I, 0, 'Picarro Output'!$J:$J, 1), "")</f>
        <v/>
      </c>
    </row>
    <row r="4380" spans="2:5" x14ac:dyDescent="0.2">
      <c r="B4380" s="1"/>
      <c r="E4380" s="38" t="str">
        <f>IFERROR(AVERAGEIFS('Picarro Output'!G:G, 'Picarro Output'!$B:$B, 'Uncalibrated Data'!$C4380, 'Picarro Output'!$I:$I, 0, 'Picarro Output'!$J:$J, 1), "")</f>
        <v/>
      </c>
    </row>
    <row r="4381" spans="2:5" x14ac:dyDescent="0.2">
      <c r="B4381" s="1"/>
      <c r="E4381" s="38" t="str">
        <f>IFERROR(AVERAGEIFS('Picarro Output'!G:G, 'Picarro Output'!$B:$B, 'Uncalibrated Data'!$C4381, 'Picarro Output'!$I:$I, 0, 'Picarro Output'!$J:$J, 1), "")</f>
        <v/>
      </c>
    </row>
    <row r="4382" spans="2:5" x14ac:dyDescent="0.2">
      <c r="B4382" s="1"/>
      <c r="E4382" s="38" t="str">
        <f>IFERROR(AVERAGEIFS('Picarro Output'!G:G, 'Picarro Output'!$B:$B, 'Uncalibrated Data'!$C4382, 'Picarro Output'!$I:$I, 0, 'Picarro Output'!$J:$J, 1), "")</f>
        <v/>
      </c>
    </row>
    <row r="4383" spans="2:5" x14ac:dyDescent="0.2">
      <c r="B4383" s="1"/>
      <c r="E4383" s="38" t="str">
        <f>IFERROR(AVERAGEIFS('Picarro Output'!G:G, 'Picarro Output'!$B:$B, 'Uncalibrated Data'!$C4383, 'Picarro Output'!$I:$I, 0, 'Picarro Output'!$J:$J, 1), "")</f>
        <v/>
      </c>
    </row>
    <row r="4384" spans="2:5" x14ac:dyDescent="0.2">
      <c r="B4384" s="1"/>
      <c r="E4384" s="38" t="str">
        <f>IFERROR(AVERAGEIFS('Picarro Output'!G:G, 'Picarro Output'!$B:$B, 'Uncalibrated Data'!$C4384, 'Picarro Output'!$I:$I, 0, 'Picarro Output'!$J:$J, 1), "")</f>
        <v/>
      </c>
    </row>
    <row r="4385" spans="2:5" x14ac:dyDescent="0.2">
      <c r="B4385" s="1"/>
      <c r="E4385" s="38" t="str">
        <f>IFERROR(AVERAGEIFS('Picarro Output'!G:G, 'Picarro Output'!$B:$B, 'Uncalibrated Data'!$C4385, 'Picarro Output'!$I:$I, 0, 'Picarro Output'!$J:$J, 1), "")</f>
        <v/>
      </c>
    </row>
    <row r="4386" spans="2:5" x14ac:dyDescent="0.2">
      <c r="B4386" s="1"/>
      <c r="E4386" s="38" t="str">
        <f>IFERROR(AVERAGEIFS('Picarro Output'!G:G, 'Picarro Output'!$B:$B, 'Uncalibrated Data'!$C4386, 'Picarro Output'!$I:$I, 0, 'Picarro Output'!$J:$J, 1), "")</f>
        <v/>
      </c>
    </row>
    <row r="4387" spans="2:5" x14ac:dyDescent="0.2">
      <c r="B4387" s="1"/>
      <c r="E4387" s="38" t="str">
        <f>IFERROR(AVERAGEIFS('Picarro Output'!G:G, 'Picarro Output'!$B:$B, 'Uncalibrated Data'!$C4387, 'Picarro Output'!$I:$I, 0, 'Picarro Output'!$J:$J, 1), "")</f>
        <v/>
      </c>
    </row>
    <row r="4388" spans="2:5" x14ac:dyDescent="0.2">
      <c r="B4388" s="1"/>
      <c r="E4388" s="38" t="str">
        <f>IFERROR(AVERAGEIFS('Picarro Output'!G:G, 'Picarro Output'!$B:$B, 'Uncalibrated Data'!$C4388, 'Picarro Output'!$I:$I, 0, 'Picarro Output'!$J:$J, 1), "")</f>
        <v/>
      </c>
    </row>
    <row r="4389" spans="2:5" x14ac:dyDescent="0.2">
      <c r="B4389" s="1"/>
      <c r="E4389" s="38" t="str">
        <f>IFERROR(AVERAGEIFS('Picarro Output'!G:G, 'Picarro Output'!$B:$B, 'Uncalibrated Data'!$C4389, 'Picarro Output'!$I:$I, 0, 'Picarro Output'!$J:$J, 1), "")</f>
        <v/>
      </c>
    </row>
    <row r="4390" spans="2:5" x14ac:dyDescent="0.2">
      <c r="B4390" s="1"/>
      <c r="E4390" s="38" t="str">
        <f>IFERROR(AVERAGEIFS('Picarro Output'!G:G, 'Picarro Output'!$B:$B, 'Uncalibrated Data'!$C4390, 'Picarro Output'!$I:$I, 0, 'Picarro Output'!$J:$J, 1), "")</f>
        <v/>
      </c>
    </row>
    <row r="4391" spans="2:5" x14ac:dyDescent="0.2">
      <c r="B4391" s="1"/>
      <c r="E4391" s="38" t="str">
        <f>IFERROR(AVERAGEIFS('Picarro Output'!G:G, 'Picarro Output'!$B:$B, 'Uncalibrated Data'!$C4391, 'Picarro Output'!$I:$I, 0, 'Picarro Output'!$J:$J, 1), "")</f>
        <v/>
      </c>
    </row>
    <row r="4392" spans="2:5" x14ac:dyDescent="0.2">
      <c r="B4392" s="1"/>
      <c r="E4392" s="38" t="str">
        <f>IFERROR(AVERAGEIFS('Picarro Output'!G:G, 'Picarro Output'!$B:$B, 'Uncalibrated Data'!$C4392, 'Picarro Output'!$I:$I, 0, 'Picarro Output'!$J:$J, 1), "")</f>
        <v/>
      </c>
    </row>
    <row r="4393" spans="2:5" x14ac:dyDescent="0.2">
      <c r="B4393" s="1"/>
      <c r="E4393" s="38" t="str">
        <f>IFERROR(AVERAGEIFS('Picarro Output'!G:G, 'Picarro Output'!$B:$B, 'Uncalibrated Data'!$C4393, 'Picarro Output'!$I:$I, 0, 'Picarro Output'!$J:$J, 1), "")</f>
        <v/>
      </c>
    </row>
    <row r="4394" spans="2:5" x14ac:dyDescent="0.2">
      <c r="B4394" s="1"/>
      <c r="E4394" s="38" t="str">
        <f>IFERROR(AVERAGEIFS('Picarro Output'!G:G, 'Picarro Output'!$B:$B, 'Uncalibrated Data'!$C4394, 'Picarro Output'!$I:$I, 0, 'Picarro Output'!$J:$J, 1), "")</f>
        <v/>
      </c>
    </row>
    <row r="4395" spans="2:5" x14ac:dyDescent="0.2">
      <c r="B4395" s="1"/>
      <c r="E4395" s="38" t="str">
        <f>IFERROR(AVERAGEIFS('Picarro Output'!G:G, 'Picarro Output'!$B:$B, 'Uncalibrated Data'!$C4395, 'Picarro Output'!$I:$I, 0, 'Picarro Output'!$J:$J, 1), "")</f>
        <v/>
      </c>
    </row>
    <row r="4396" spans="2:5" x14ac:dyDescent="0.2">
      <c r="B4396" s="1"/>
      <c r="E4396" s="38" t="str">
        <f>IFERROR(AVERAGEIFS('Picarro Output'!G:G, 'Picarro Output'!$B:$B, 'Uncalibrated Data'!$C4396, 'Picarro Output'!$I:$I, 0, 'Picarro Output'!$J:$J, 1), "")</f>
        <v/>
      </c>
    </row>
    <row r="4397" spans="2:5" x14ac:dyDescent="0.2">
      <c r="B4397" s="1"/>
      <c r="E4397" s="38" t="str">
        <f>IFERROR(AVERAGEIFS('Picarro Output'!G:G, 'Picarro Output'!$B:$B, 'Uncalibrated Data'!$C4397, 'Picarro Output'!$I:$I, 0, 'Picarro Output'!$J:$J, 1), "")</f>
        <v/>
      </c>
    </row>
    <row r="4398" spans="2:5" x14ac:dyDescent="0.2">
      <c r="B4398" s="1"/>
      <c r="E4398" s="38" t="str">
        <f>IFERROR(AVERAGEIFS('Picarro Output'!G:G, 'Picarro Output'!$B:$B, 'Uncalibrated Data'!$C4398, 'Picarro Output'!$I:$I, 0, 'Picarro Output'!$J:$J, 1), "")</f>
        <v/>
      </c>
    </row>
    <row r="4399" spans="2:5" x14ac:dyDescent="0.2">
      <c r="B4399" s="1"/>
      <c r="E4399" s="38" t="str">
        <f>IFERROR(AVERAGEIFS('Picarro Output'!G:G, 'Picarro Output'!$B:$B, 'Uncalibrated Data'!$C4399, 'Picarro Output'!$I:$I, 0, 'Picarro Output'!$J:$J, 1), "")</f>
        <v/>
      </c>
    </row>
    <row r="4400" spans="2:5" x14ac:dyDescent="0.2">
      <c r="B4400" s="1"/>
      <c r="E4400" s="38" t="str">
        <f>IFERROR(AVERAGEIFS('Picarro Output'!G:G, 'Picarro Output'!$B:$B, 'Uncalibrated Data'!$C4400, 'Picarro Output'!$I:$I, 0, 'Picarro Output'!$J:$J, 1), "")</f>
        <v/>
      </c>
    </row>
    <row r="4401" spans="2:5" x14ac:dyDescent="0.2">
      <c r="B4401" s="1"/>
      <c r="E4401" s="38" t="str">
        <f>IFERROR(AVERAGEIFS('Picarro Output'!G:G, 'Picarro Output'!$B:$B, 'Uncalibrated Data'!$C4401, 'Picarro Output'!$I:$I, 0, 'Picarro Output'!$J:$J, 1), "")</f>
        <v/>
      </c>
    </row>
    <row r="4402" spans="2:5" x14ac:dyDescent="0.2">
      <c r="B4402" s="1"/>
      <c r="E4402" s="38" t="str">
        <f>IFERROR(AVERAGEIFS('Picarro Output'!G:G, 'Picarro Output'!$B:$B, 'Uncalibrated Data'!$C4402, 'Picarro Output'!$I:$I, 0, 'Picarro Output'!$J:$J, 1), "")</f>
        <v/>
      </c>
    </row>
    <row r="4403" spans="2:5" x14ac:dyDescent="0.2">
      <c r="B4403" s="1"/>
      <c r="E4403" s="38" t="str">
        <f>IFERROR(AVERAGEIFS('Picarro Output'!G:G, 'Picarro Output'!$B:$B, 'Uncalibrated Data'!$C4403, 'Picarro Output'!$I:$I, 0, 'Picarro Output'!$J:$J, 1), "")</f>
        <v/>
      </c>
    </row>
    <row r="4404" spans="2:5" x14ac:dyDescent="0.2">
      <c r="B4404" s="1"/>
      <c r="E4404" s="38" t="str">
        <f>IFERROR(AVERAGEIFS('Picarro Output'!G:G, 'Picarro Output'!$B:$B, 'Uncalibrated Data'!$C4404, 'Picarro Output'!$I:$I, 0, 'Picarro Output'!$J:$J, 1), "")</f>
        <v/>
      </c>
    </row>
    <row r="4405" spans="2:5" x14ac:dyDescent="0.2">
      <c r="B4405" s="1"/>
      <c r="E4405" s="38" t="str">
        <f>IFERROR(AVERAGEIFS('Picarro Output'!G:G, 'Picarro Output'!$B:$B, 'Uncalibrated Data'!$C4405, 'Picarro Output'!$I:$I, 0, 'Picarro Output'!$J:$J, 1), "")</f>
        <v/>
      </c>
    </row>
    <row r="4406" spans="2:5" x14ac:dyDescent="0.2">
      <c r="B4406" s="1"/>
      <c r="E4406" s="38" t="str">
        <f>IFERROR(AVERAGEIFS('Picarro Output'!G:G, 'Picarro Output'!$B:$B, 'Uncalibrated Data'!$C4406, 'Picarro Output'!$I:$I, 0, 'Picarro Output'!$J:$J, 1), "")</f>
        <v/>
      </c>
    </row>
    <row r="4407" spans="2:5" x14ac:dyDescent="0.2">
      <c r="B4407" s="1"/>
      <c r="E4407" s="38" t="str">
        <f>IFERROR(AVERAGEIFS('Picarro Output'!G:G, 'Picarro Output'!$B:$B, 'Uncalibrated Data'!$C4407, 'Picarro Output'!$I:$I, 0, 'Picarro Output'!$J:$J, 1), "")</f>
        <v/>
      </c>
    </row>
    <row r="4408" spans="2:5" x14ac:dyDescent="0.2">
      <c r="B4408" s="1"/>
      <c r="E4408" s="38" t="str">
        <f>IFERROR(AVERAGEIFS('Picarro Output'!G:G, 'Picarro Output'!$B:$B, 'Uncalibrated Data'!$C4408, 'Picarro Output'!$I:$I, 0, 'Picarro Output'!$J:$J, 1), "")</f>
        <v/>
      </c>
    </row>
    <row r="4409" spans="2:5" x14ac:dyDescent="0.2">
      <c r="B4409" s="1"/>
      <c r="E4409" s="38" t="str">
        <f>IFERROR(AVERAGEIFS('Picarro Output'!G:G, 'Picarro Output'!$B:$B, 'Uncalibrated Data'!$C4409, 'Picarro Output'!$I:$I, 0, 'Picarro Output'!$J:$J, 1), "")</f>
        <v/>
      </c>
    </row>
    <row r="4410" spans="2:5" x14ac:dyDescent="0.2">
      <c r="B4410" s="1"/>
      <c r="E4410" s="38" t="str">
        <f>IFERROR(AVERAGEIFS('Picarro Output'!G:G, 'Picarro Output'!$B:$B, 'Uncalibrated Data'!$C4410, 'Picarro Output'!$I:$I, 0, 'Picarro Output'!$J:$J, 1), "")</f>
        <v/>
      </c>
    </row>
    <row r="4411" spans="2:5" x14ac:dyDescent="0.2">
      <c r="B4411" s="1"/>
      <c r="E4411" s="38" t="str">
        <f>IFERROR(AVERAGEIFS('Picarro Output'!G:G, 'Picarro Output'!$B:$B, 'Uncalibrated Data'!$C4411, 'Picarro Output'!$I:$I, 0, 'Picarro Output'!$J:$J, 1), "")</f>
        <v/>
      </c>
    </row>
    <row r="4412" spans="2:5" x14ac:dyDescent="0.2">
      <c r="B4412" s="1"/>
      <c r="E4412" s="38" t="str">
        <f>IFERROR(AVERAGEIFS('Picarro Output'!G:G, 'Picarro Output'!$B:$B, 'Uncalibrated Data'!$C4412, 'Picarro Output'!$I:$I, 0, 'Picarro Output'!$J:$J, 1), "")</f>
        <v/>
      </c>
    </row>
    <row r="4413" spans="2:5" x14ac:dyDescent="0.2">
      <c r="B4413" s="1"/>
      <c r="E4413" s="38" t="str">
        <f>IFERROR(AVERAGEIFS('Picarro Output'!G:G, 'Picarro Output'!$B:$B, 'Uncalibrated Data'!$C4413, 'Picarro Output'!$I:$I, 0, 'Picarro Output'!$J:$J, 1), "")</f>
        <v/>
      </c>
    </row>
    <row r="4414" spans="2:5" x14ac:dyDescent="0.2">
      <c r="B4414" s="1"/>
      <c r="E4414" s="38" t="str">
        <f>IFERROR(AVERAGEIFS('Picarro Output'!G:G, 'Picarro Output'!$B:$B, 'Uncalibrated Data'!$C4414, 'Picarro Output'!$I:$I, 0, 'Picarro Output'!$J:$J, 1), "")</f>
        <v/>
      </c>
    </row>
    <row r="4415" spans="2:5" x14ac:dyDescent="0.2">
      <c r="B4415" s="1"/>
      <c r="E4415" s="38" t="str">
        <f>IFERROR(AVERAGEIFS('Picarro Output'!G:G, 'Picarro Output'!$B:$B, 'Uncalibrated Data'!$C4415, 'Picarro Output'!$I:$I, 0, 'Picarro Output'!$J:$J, 1), "")</f>
        <v/>
      </c>
    </row>
    <row r="4416" spans="2:5" x14ac:dyDescent="0.2">
      <c r="B4416" s="1"/>
      <c r="E4416" s="38" t="str">
        <f>IFERROR(AVERAGEIFS('Picarro Output'!G:G, 'Picarro Output'!$B:$B, 'Uncalibrated Data'!$C4416, 'Picarro Output'!$I:$I, 0, 'Picarro Output'!$J:$J, 1), "")</f>
        <v/>
      </c>
    </row>
    <row r="4417" spans="2:5" x14ac:dyDescent="0.2">
      <c r="B4417" s="1"/>
      <c r="E4417" s="38" t="str">
        <f>IFERROR(AVERAGEIFS('Picarro Output'!G:G, 'Picarro Output'!$B:$B, 'Uncalibrated Data'!$C4417, 'Picarro Output'!$I:$I, 0, 'Picarro Output'!$J:$J, 1), "")</f>
        <v/>
      </c>
    </row>
    <row r="4418" spans="2:5" x14ac:dyDescent="0.2">
      <c r="B4418" s="1"/>
      <c r="E4418" s="38" t="str">
        <f>IFERROR(AVERAGEIFS('Picarro Output'!G:G, 'Picarro Output'!$B:$B, 'Uncalibrated Data'!$C4418, 'Picarro Output'!$I:$I, 0, 'Picarro Output'!$J:$J, 1), "")</f>
        <v/>
      </c>
    </row>
    <row r="4419" spans="2:5" x14ac:dyDescent="0.2">
      <c r="B4419" s="1"/>
      <c r="E4419" s="38" t="str">
        <f>IFERROR(AVERAGEIFS('Picarro Output'!G:G, 'Picarro Output'!$B:$B, 'Uncalibrated Data'!$C4419, 'Picarro Output'!$I:$I, 0, 'Picarro Output'!$J:$J, 1), "")</f>
        <v/>
      </c>
    </row>
    <row r="4420" spans="2:5" x14ac:dyDescent="0.2">
      <c r="B4420" s="1"/>
      <c r="E4420" s="38" t="str">
        <f>IFERROR(AVERAGEIFS('Picarro Output'!G:G, 'Picarro Output'!$B:$B, 'Uncalibrated Data'!$C4420, 'Picarro Output'!$I:$I, 0, 'Picarro Output'!$J:$J, 1), "")</f>
        <v/>
      </c>
    </row>
    <row r="4421" spans="2:5" x14ac:dyDescent="0.2">
      <c r="B4421" s="1"/>
      <c r="E4421" s="38" t="str">
        <f>IFERROR(AVERAGEIFS('Picarro Output'!G:G, 'Picarro Output'!$B:$B, 'Uncalibrated Data'!$C4421, 'Picarro Output'!$I:$I, 0, 'Picarro Output'!$J:$J, 1), "")</f>
        <v/>
      </c>
    </row>
    <row r="4422" spans="2:5" x14ac:dyDescent="0.2">
      <c r="B4422" s="1"/>
      <c r="E4422" s="38" t="str">
        <f>IFERROR(AVERAGEIFS('Picarro Output'!G:G, 'Picarro Output'!$B:$B, 'Uncalibrated Data'!$C4422, 'Picarro Output'!$I:$I, 0, 'Picarro Output'!$J:$J, 1), "")</f>
        <v/>
      </c>
    </row>
    <row r="4423" spans="2:5" x14ac:dyDescent="0.2">
      <c r="B4423" s="1"/>
      <c r="E4423" s="38" t="str">
        <f>IFERROR(AVERAGEIFS('Picarro Output'!G:G, 'Picarro Output'!$B:$B, 'Uncalibrated Data'!$C4423, 'Picarro Output'!$I:$I, 0, 'Picarro Output'!$J:$J, 1), "")</f>
        <v/>
      </c>
    </row>
    <row r="4424" spans="2:5" x14ac:dyDescent="0.2">
      <c r="B4424" s="1"/>
      <c r="E4424" s="38" t="str">
        <f>IFERROR(AVERAGEIFS('Picarro Output'!G:G, 'Picarro Output'!$B:$B, 'Uncalibrated Data'!$C4424, 'Picarro Output'!$I:$I, 0, 'Picarro Output'!$J:$J, 1), "")</f>
        <v/>
      </c>
    </row>
    <row r="4425" spans="2:5" x14ac:dyDescent="0.2">
      <c r="B4425" s="1"/>
      <c r="E4425" s="38" t="str">
        <f>IFERROR(AVERAGEIFS('Picarro Output'!G:G, 'Picarro Output'!$B:$B, 'Uncalibrated Data'!$C4425, 'Picarro Output'!$I:$I, 0, 'Picarro Output'!$J:$J, 1), "")</f>
        <v/>
      </c>
    </row>
    <row r="4426" spans="2:5" x14ac:dyDescent="0.2">
      <c r="B4426" s="1"/>
      <c r="E4426" s="38" t="str">
        <f>IFERROR(AVERAGEIFS('Picarro Output'!G:G, 'Picarro Output'!$B:$B, 'Uncalibrated Data'!$C4426, 'Picarro Output'!$I:$I, 0, 'Picarro Output'!$J:$J, 1), "")</f>
        <v/>
      </c>
    </row>
    <row r="4427" spans="2:5" x14ac:dyDescent="0.2">
      <c r="B4427" s="1"/>
      <c r="E4427" s="38" t="str">
        <f>IFERROR(AVERAGEIFS('Picarro Output'!G:G, 'Picarro Output'!$B:$B, 'Uncalibrated Data'!$C4427, 'Picarro Output'!$I:$I, 0, 'Picarro Output'!$J:$J, 1), "")</f>
        <v/>
      </c>
    </row>
    <row r="4428" spans="2:5" x14ac:dyDescent="0.2">
      <c r="B4428" s="1"/>
      <c r="E4428" s="38" t="str">
        <f>IFERROR(AVERAGEIFS('Picarro Output'!G:G, 'Picarro Output'!$B:$B, 'Uncalibrated Data'!$C4428, 'Picarro Output'!$I:$I, 0, 'Picarro Output'!$J:$J, 1), "")</f>
        <v/>
      </c>
    </row>
    <row r="4429" spans="2:5" x14ac:dyDescent="0.2">
      <c r="B4429" s="1"/>
      <c r="E4429" s="38" t="str">
        <f>IFERROR(AVERAGEIFS('Picarro Output'!G:G, 'Picarro Output'!$B:$B, 'Uncalibrated Data'!$C4429, 'Picarro Output'!$I:$I, 0, 'Picarro Output'!$J:$J, 1), "")</f>
        <v/>
      </c>
    </row>
    <row r="4430" spans="2:5" x14ac:dyDescent="0.2">
      <c r="B4430" s="1"/>
      <c r="E4430" s="38" t="str">
        <f>IFERROR(AVERAGEIFS('Picarro Output'!G:G, 'Picarro Output'!$B:$B, 'Uncalibrated Data'!$C4430, 'Picarro Output'!$I:$I, 0, 'Picarro Output'!$J:$J, 1), "")</f>
        <v/>
      </c>
    </row>
    <row r="4431" spans="2:5" x14ac:dyDescent="0.2">
      <c r="B4431" s="1"/>
      <c r="E4431" s="38" t="str">
        <f>IFERROR(AVERAGEIFS('Picarro Output'!G:G, 'Picarro Output'!$B:$B, 'Uncalibrated Data'!$C4431, 'Picarro Output'!$I:$I, 0, 'Picarro Output'!$J:$J, 1), "")</f>
        <v/>
      </c>
    </row>
    <row r="4432" spans="2:5" x14ac:dyDescent="0.2">
      <c r="B4432" s="1"/>
      <c r="E4432" s="38" t="str">
        <f>IFERROR(AVERAGEIFS('Picarro Output'!G:G, 'Picarro Output'!$B:$B, 'Uncalibrated Data'!$C4432, 'Picarro Output'!$I:$I, 0, 'Picarro Output'!$J:$J, 1), "")</f>
        <v/>
      </c>
    </row>
    <row r="4433" spans="2:5" x14ac:dyDescent="0.2">
      <c r="B4433" s="1"/>
      <c r="E4433" s="38" t="str">
        <f>IFERROR(AVERAGEIFS('Picarro Output'!G:G, 'Picarro Output'!$B:$B, 'Uncalibrated Data'!$C4433, 'Picarro Output'!$I:$I, 0, 'Picarro Output'!$J:$J, 1), "")</f>
        <v/>
      </c>
    </row>
    <row r="4434" spans="2:5" x14ac:dyDescent="0.2">
      <c r="B4434" s="1"/>
      <c r="E4434" s="38" t="str">
        <f>IFERROR(AVERAGEIFS('Picarro Output'!G:G, 'Picarro Output'!$B:$B, 'Uncalibrated Data'!$C4434, 'Picarro Output'!$I:$I, 0, 'Picarro Output'!$J:$J, 1), "")</f>
        <v/>
      </c>
    </row>
    <row r="4435" spans="2:5" x14ac:dyDescent="0.2">
      <c r="B4435" s="1"/>
      <c r="E4435" s="38" t="str">
        <f>IFERROR(AVERAGEIFS('Picarro Output'!G:G, 'Picarro Output'!$B:$B, 'Uncalibrated Data'!$C4435, 'Picarro Output'!$I:$I, 0, 'Picarro Output'!$J:$J, 1), "")</f>
        <v/>
      </c>
    </row>
    <row r="4436" spans="2:5" x14ac:dyDescent="0.2">
      <c r="B4436" s="1"/>
      <c r="E4436" s="38" t="str">
        <f>IFERROR(AVERAGEIFS('Picarro Output'!G:G, 'Picarro Output'!$B:$B, 'Uncalibrated Data'!$C4436, 'Picarro Output'!$I:$I, 0, 'Picarro Output'!$J:$J, 1), "")</f>
        <v/>
      </c>
    </row>
    <row r="4437" spans="2:5" x14ac:dyDescent="0.2">
      <c r="B4437" s="1"/>
      <c r="E4437" s="38" t="str">
        <f>IFERROR(AVERAGEIFS('Picarro Output'!G:G, 'Picarro Output'!$B:$B, 'Uncalibrated Data'!$C4437, 'Picarro Output'!$I:$I, 0, 'Picarro Output'!$J:$J, 1), "")</f>
        <v/>
      </c>
    </row>
    <row r="4438" spans="2:5" x14ac:dyDescent="0.2">
      <c r="B4438" s="1"/>
      <c r="E4438" s="38" t="str">
        <f>IFERROR(AVERAGEIFS('Picarro Output'!G:G, 'Picarro Output'!$B:$B, 'Uncalibrated Data'!$C4438, 'Picarro Output'!$I:$I, 0, 'Picarro Output'!$J:$J, 1), "")</f>
        <v/>
      </c>
    </row>
    <row r="4439" spans="2:5" x14ac:dyDescent="0.2">
      <c r="B4439" s="1"/>
      <c r="E4439" s="38" t="str">
        <f>IFERROR(AVERAGEIFS('Picarro Output'!G:G, 'Picarro Output'!$B:$B, 'Uncalibrated Data'!$C4439, 'Picarro Output'!$I:$I, 0, 'Picarro Output'!$J:$J, 1), "")</f>
        <v/>
      </c>
    </row>
    <row r="4440" spans="2:5" x14ac:dyDescent="0.2">
      <c r="B4440" s="1"/>
      <c r="E4440" s="38" t="str">
        <f>IFERROR(AVERAGEIFS('Picarro Output'!G:G, 'Picarro Output'!$B:$B, 'Uncalibrated Data'!$C4440, 'Picarro Output'!$I:$I, 0, 'Picarro Output'!$J:$J, 1), "")</f>
        <v/>
      </c>
    </row>
    <row r="4441" spans="2:5" x14ac:dyDescent="0.2">
      <c r="B4441" s="1"/>
      <c r="E4441" s="38" t="str">
        <f>IFERROR(AVERAGEIFS('Picarro Output'!G:G, 'Picarro Output'!$B:$B, 'Uncalibrated Data'!$C4441, 'Picarro Output'!$I:$I, 0, 'Picarro Output'!$J:$J, 1), "")</f>
        <v/>
      </c>
    </row>
    <row r="4442" spans="2:5" x14ac:dyDescent="0.2">
      <c r="B4442" s="1"/>
      <c r="E4442" s="38" t="str">
        <f>IFERROR(AVERAGEIFS('Picarro Output'!G:G, 'Picarro Output'!$B:$B, 'Uncalibrated Data'!$C4442, 'Picarro Output'!$I:$I, 0, 'Picarro Output'!$J:$J, 1), "")</f>
        <v/>
      </c>
    </row>
    <row r="4443" spans="2:5" x14ac:dyDescent="0.2">
      <c r="B4443" s="1"/>
      <c r="E4443" s="38" t="str">
        <f>IFERROR(AVERAGEIFS('Picarro Output'!G:G, 'Picarro Output'!$B:$B, 'Uncalibrated Data'!$C4443, 'Picarro Output'!$I:$I, 0, 'Picarro Output'!$J:$J, 1), "")</f>
        <v/>
      </c>
    </row>
    <row r="4444" spans="2:5" x14ac:dyDescent="0.2">
      <c r="B4444" s="1"/>
      <c r="E4444" s="38" t="str">
        <f>IFERROR(AVERAGEIFS('Picarro Output'!G:G, 'Picarro Output'!$B:$B, 'Uncalibrated Data'!$C4444, 'Picarro Output'!$I:$I, 0, 'Picarro Output'!$J:$J, 1), "")</f>
        <v/>
      </c>
    </row>
    <row r="4445" spans="2:5" x14ac:dyDescent="0.2">
      <c r="B4445" s="1"/>
      <c r="E4445" s="38" t="str">
        <f>IFERROR(AVERAGEIFS('Picarro Output'!G:G, 'Picarro Output'!$B:$B, 'Uncalibrated Data'!$C4445, 'Picarro Output'!$I:$I, 0, 'Picarro Output'!$J:$J, 1), "")</f>
        <v/>
      </c>
    </row>
    <row r="4446" spans="2:5" x14ac:dyDescent="0.2">
      <c r="B4446" s="1"/>
      <c r="E4446" s="38" t="str">
        <f>IFERROR(AVERAGEIFS('Picarro Output'!G:G, 'Picarro Output'!$B:$B, 'Uncalibrated Data'!$C4446, 'Picarro Output'!$I:$I, 0, 'Picarro Output'!$J:$J, 1), "")</f>
        <v/>
      </c>
    </row>
    <row r="4447" spans="2:5" x14ac:dyDescent="0.2">
      <c r="B4447" s="1"/>
      <c r="E4447" s="38" t="str">
        <f>IFERROR(AVERAGEIFS('Picarro Output'!G:G, 'Picarro Output'!$B:$B, 'Uncalibrated Data'!$C4447, 'Picarro Output'!$I:$I, 0, 'Picarro Output'!$J:$J, 1), "")</f>
        <v/>
      </c>
    </row>
    <row r="4448" spans="2:5" x14ac:dyDescent="0.2">
      <c r="B4448" s="1"/>
      <c r="E4448" s="38" t="str">
        <f>IFERROR(AVERAGEIFS('Picarro Output'!G:G, 'Picarro Output'!$B:$B, 'Uncalibrated Data'!$C4448, 'Picarro Output'!$I:$I, 0, 'Picarro Output'!$J:$J, 1), "")</f>
        <v/>
      </c>
    </row>
    <row r="4449" spans="2:5" x14ac:dyDescent="0.2">
      <c r="B4449" s="1"/>
      <c r="E4449" s="38" t="str">
        <f>IFERROR(AVERAGEIFS('Picarro Output'!G:G, 'Picarro Output'!$B:$B, 'Uncalibrated Data'!$C4449, 'Picarro Output'!$I:$I, 0, 'Picarro Output'!$J:$J, 1), "")</f>
        <v/>
      </c>
    </row>
    <row r="4450" spans="2:5" x14ac:dyDescent="0.2">
      <c r="B4450" s="1"/>
      <c r="E4450" s="38" t="str">
        <f>IFERROR(AVERAGEIFS('Picarro Output'!G:G, 'Picarro Output'!$B:$B, 'Uncalibrated Data'!$C4450, 'Picarro Output'!$I:$I, 0, 'Picarro Output'!$J:$J, 1), "")</f>
        <v/>
      </c>
    </row>
    <row r="4451" spans="2:5" x14ac:dyDescent="0.2">
      <c r="B4451" s="1"/>
      <c r="E4451" s="38" t="str">
        <f>IFERROR(AVERAGEIFS('Picarro Output'!G:G, 'Picarro Output'!$B:$B, 'Uncalibrated Data'!$C4451, 'Picarro Output'!$I:$I, 0, 'Picarro Output'!$J:$J, 1), "")</f>
        <v/>
      </c>
    </row>
    <row r="4452" spans="2:5" x14ac:dyDescent="0.2">
      <c r="B4452" s="1"/>
      <c r="E4452" s="38" t="str">
        <f>IFERROR(AVERAGEIFS('Picarro Output'!G:G, 'Picarro Output'!$B:$B, 'Uncalibrated Data'!$C4452, 'Picarro Output'!$I:$I, 0, 'Picarro Output'!$J:$J, 1), "")</f>
        <v/>
      </c>
    </row>
    <row r="4453" spans="2:5" x14ac:dyDescent="0.2">
      <c r="B4453" s="1"/>
      <c r="E4453" s="38" t="str">
        <f>IFERROR(AVERAGEIFS('Picarro Output'!G:G, 'Picarro Output'!$B:$B, 'Uncalibrated Data'!$C4453, 'Picarro Output'!$I:$I, 0, 'Picarro Output'!$J:$J, 1), "")</f>
        <v/>
      </c>
    </row>
    <row r="4454" spans="2:5" x14ac:dyDescent="0.2">
      <c r="B4454" s="1"/>
      <c r="E4454" s="38" t="str">
        <f>IFERROR(AVERAGEIFS('Picarro Output'!G:G, 'Picarro Output'!$B:$B, 'Uncalibrated Data'!$C4454, 'Picarro Output'!$I:$I, 0, 'Picarro Output'!$J:$J, 1), "")</f>
        <v/>
      </c>
    </row>
    <row r="4455" spans="2:5" x14ac:dyDescent="0.2">
      <c r="B4455" s="1"/>
      <c r="E4455" s="38" t="str">
        <f>IFERROR(AVERAGEIFS('Picarro Output'!G:G, 'Picarro Output'!$B:$B, 'Uncalibrated Data'!$C4455, 'Picarro Output'!$I:$I, 0, 'Picarro Output'!$J:$J, 1), "")</f>
        <v/>
      </c>
    </row>
    <row r="4456" spans="2:5" x14ac:dyDescent="0.2">
      <c r="B4456" s="1"/>
      <c r="E4456" s="38" t="str">
        <f>IFERROR(AVERAGEIFS('Picarro Output'!G:G, 'Picarro Output'!$B:$B, 'Uncalibrated Data'!$C4456, 'Picarro Output'!$I:$I, 0, 'Picarro Output'!$J:$J, 1), "")</f>
        <v/>
      </c>
    </row>
    <row r="4457" spans="2:5" x14ac:dyDescent="0.2">
      <c r="B4457" s="1"/>
      <c r="E4457" s="38" t="str">
        <f>IFERROR(AVERAGEIFS('Picarro Output'!G:G, 'Picarro Output'!$B:$B, 'Uncalibrated Data'!$C4457, 'Picarro Output'!$I:$I, 0, 'Picarro Output'!$J:$J, 1), "")</f>
        <v/>
      </c>
    </row>
    <row r="4458" spans="2:5" x14ac:dyDescent="0.2">
      <c r="B4458" s="1"/>
      <c r="E4458" s="38" t="str">
        <f>IFERROR(AVERAGEIFS('Picarro Output'!G:G, 'Picarro Output'!$B:$B, 'Uncalibrated Data'!$C4458, 'Picarro Output'!$I:$I, 0, 'Picarro Output'!$J:$J, 1), "")</f>
        <v/>
      </c>
    </row>
    <row r="4459" spans="2:5" x14ac:dyDescent="0.2">
      <c r="B4459" s="1"/>
      <c r="E4459" s="38" t="str">
        <f>IFERROR(AVERAGEIFS('Picarro Output'!G:G, 'Picarro Output'!$B:$B, 'Uncalibrated Data'!$C4459, 'Picarro Output'!$I:$I, 0, 'Picarro Output'!$J:$J, 1), "")</f>
        <v/>
      </c>
    </row>
    <row r="4460" spans="2:5" x14ac:dyDescent="0.2">
      <c r="B4460" s="1"/>
      <c r="E4460" s="38" t="str">
        <f>IFERROR(AVERAGEIFS('Picarro Output'!G:G, 'Picarro Output'!$B:$B, 'Uncalibrated Data'!$C4460, 'Picarro Output'!$I:$I, 0, 'Picarro Output'!$J:$J, 1), "")</f>
        <v/>
      </c>
    </row>
    <row r="4461" spans="2:5" x14ac:dyDescent="0.2">
      <c r="B4461" s="1"/>
      <c r="E4461" s="38" t="str">
        <f>IFERROR(AVERAGEIFS('Picarro Output'!G:G, 'Picarro Output'!$B:$B, 'Uncalibrated Data'!$C4461, 'Picarro Output'!$I:$I, 0, 'Picarro Output'!$J:$J, 1), "")</f>
        <v/>
      </c>
    </row>
    <row r="4462" spans="2:5" x14ac:dyDescent="0.2">
      <c r="B4462" s="1"/>
      <c r="E4462" s="38" t="str">
        <f>IFERROR(AVERAGEIFS('Picarro Output'!G:G, 'Picarro Output'!$B:$B, 'Uncalibrated Data'!$C4462, 'Picarro Output'!$I:$I, 0, 'Picarro Output'!$J:$J, 1), "")</f>
        <v/>
      </c>
    </row>
    <row r="4463" spans="2:5" x14ac:dyDescent="0.2">
      <c r="B4463" s="1"/>
      <c r="E4463" s="38" t="str">
        <f>IFERROR(AVERAGEIFS('Picarro Output'!G:G, 'Picarro Output'!$B:$B, 'Uncalibrated Data'!$C4463, 'Picarro Output'!$I:$I, 0, 'Picarro Output'!$J:$J, 1), "")</f>
        <v/>
      </c>
    </row>
    <row r="4464" spans="2:5" x14ac:dyDescent="0.2">
      <c r="B4464" s="1"/>
      <c r="E4464" s="38" t="str">
        <f>IFERROR(AVERAGEIFS('Picarro Output'!G:G, 'Picarro Output'!$B:$B, 'Uncalibrated Data'!$C4464, 'Picarro Output'!$I:$I, 0, 'Picarro Output'!$J:$J, 1), "")</f>
        <v/>
      </c>
    </row>
    <row r="4465" spans="2:5" x14ac:dyDescent="0.2">
      <c r="B4465" s="1"/>
      <c r="E4465" s="38" t="str">
        <f>IFERROR(AVERAGEIFS('Picarro Output'!G:G, 'Picarro Output'!$B:$B, 'Uncalibrated Data'!$C4465, 'Picarro Output'!$I:$I, 0, 'Picarro Output'!$J:$J, 1), "")</f>
        <v/>
      </c>
    </row>
    <row r="4466" spans="2:5" x14ac:dyDescent="0.2">
      <c r="B4466" s="1"/>
      <c r="E4466" s="38" t="str">
        <f>IFERROR(AVERAGEIFS('Picarro Output'!G:G, 'Picarro Output'!$B:$B, 'Uncalibrated Data'!$C4466, 'Picarro Output'!$I:$I, 0, 'Picarro Output'!$J:$J, 1), "")</f>
        <v/>
      </c>
    </row>
    <row r="4467" spans="2:5" x14ac:dyDescent="0.2">
      <c r="B4467" s="1"/>
      <c r="E4467" s="38" t="str">
        <f>IFERROR(AVERAGEIFS('Picarro Output'!G:G, 'Picarro Output'!$B:$B, 'Uncalibrated Data'!$C4467, 'Picarro Output'!$I:$I, 0, 'Picarro Output'!$J:$J, 1), "")</f>
        <v/>
      </c>
    </row>
    <row r="4468" spans="2:5" x14ac:dyDescent="0.2">
      <c r="B4468" s="1"/>
      <c r="E4468" s="38" t="str">
        <f>IFERROR(AVERAGEIFS('Picarro Output'!G:G, 'Picarro Output'!$B:$B, 'Uncalibrated Data'!$C4468, 'Picarro Output'!$I:$I, 0, 'Picarro Output'!$J:$J, 1), "")</f>
        <v/>
      </c>
    </row>
    <row r="4469" spans="2:5" x14ac:dyDescent="0.2">
      <c r="B4469" s="1"/>
      <c r="E4469" s="38" t="str">
        <f>IFERROR(AVERAGEIFS('Picarro Output'!G:G, 'Picarro Output'!$B:$B, 'Uncalibrated Data'!$C4469, 'Picarro Output'!$I:$I, 0, 'Picarro Output'!$J:$J, 1), "")</f>
        <v/>
      </c>
    </row>
    <row r="4470" spans="2:5" x14ac:dyDescent="0.2">
      <c r="B4470" s="1"/>
      <c r="E4470" s="38" t="str">
        <f>IFERROR(AVERAGEIFS('Picarro Output'!G:G, 'Picarro Output'!$B:$B, 'Uncalibrated Data'!$C4470, 'Picarro Output'!$I:$I, 0, 'Picarro Output'!$J:$J, 1), "")</f>
        <v/>
      </c>
    </row>
    <row r="4471" spans="2:5" x14ac:dyDescent="0.2">
      <c r="B4471" s="1"/>
      <c r="E4471" s="38" t="str">
        <f>IFERROR(AVERAGEIFS('Picarro Output'!G:G, 'Picarro Output'!$B:$B, 'Uncalibrated Data'!$C4471, 'Picarro Output'!$I:$I, 0, 'Picarro Output'!$J:$J, 1), "")</f>
        <v/>
      </c>
    </row>
    <row r="4472" spans="2:5" x14ac:dyDescent="0.2">
      <c r="B4472" s="1"/>
      <c r="E4472" s="38" t="str">
        <f>IFERROR(AVERAGEIFS('Picarro Output'!G:G, 'Picarro Output'!$B:$B, 'Uncalibrated Data'!$C4472, 'Picarro Output'!$I:$I, 0, 'Picarro Output'!$J:$J, 1), "")</f>
        <v/>
      </c>
    </row>
    <row r="4473" spans="2:5" x14ac:dyDescent="0.2">
      <c r="B4473" s="1"/>
      <c r="E4473" s="38" t="str">
        <f>IFERROR(AVERAGEIFS('Picarro Output'!G:G, 'Picarro Output'!$B:$B, 'Uncalibrated Data'!$C4473, 'Picarro Output'!$I:$I, 0, 'Picarro Output'!$J:$J, 1), "")</f>
        <v/>
      </c>
    </row>
    <row r="4474" spans="2:5" x14ac:dyDescent="0.2">
      <c r="B4474" s="1"/>
      <c r="E4474" s="38" t="str">
        <f>IFERROR(AVERAGEIFS('Picarro Output'!G:G, 'Picarro Output'!$B:$B, 'Uncalibrated Data'!$C4474, 'Picarro Output'!$I:$I, 0, 'Picarro Output'!$J:$J, 1), "")</f>
        <v/>
      </c>
    </row>
    <row r="4475" spans="2:5" x14ac:dyDescent="0.2">
      <c r="B4475" s="1"/>
      <c r="E4475" s="38" t="str">
        <f>IFERROR(AVERAGEIFS('Picarro Output'!G:G, 'Picarro Output'!$B:$B, 'Uncalibrated Data'!$C4475, 'Picarro Output'!$I:$I, 0, 'Picarro Output'!$J:$J, 1), "")</f>
        <v/>
      </c>
    </row>
    <row r="4476" spans="2:5" x14ac:dyDescent="0.2">
      <c r="B4476" s="1"/>
      <c r="E4476" s="38" t="str">
        <f>IFERROR(AVERAGEIFS('Picarro Output'!G:G, 'Picarro Output'!$B:$B, 'Uncalibrated Data'!$C4476, 'Picarro Output'!$I:$I, 0, 'Picarro Output'!$J:$J, 1), "")</f>
        <v/>
      </c>
    </row>
    <row r="4477" spans="2:5" x14ac:dyDescent="0.2">
      <c r="B4477" s="1"/>
      <c r="E4477" s="38" t="str">
        <f>IFERROR(AVERAGEIFS('Picarro Output'!G:G, 'Picarro Output'!$B:$B, 'Uncalibrated Data'!$C4477, 'Picarro Output'!$I:$I, 0, 'Picarro Output'!$J:$J, 1), "")</f>
        <v/>
      </c>
    </row>
    <row r="4478" spans="2:5" x14ac:dyDescent="0.2">
      <c r="B4478" s="1"/>
      <c r="E4478" s="38" t="str">
        <f>IFERROR(AVERAGEIFS('Picarro Output'!G:G, 'Picarro Output'!$B:$B, 'Uncalibrated Data'!$C4478, 'Picarro Output'!$I:$I, 0, 'Picarro Output'!$J:$J, 1), "")</f>
        <v/>
      </c>
    </row>
    <row r="4479" spans="2:5" x14ac:dyDescent="0.2">
      <c r="B4479" s="1"/>
      <c r="E4479" s="38" t="str">
        <f>IFERROR(AVERAGEIFS('Picarro Output'!G:G, 'Picarro Output'!$B:$B, 'Uncalibrated Data'!$C4479, 'Picarro Output'!$I:$I, 0, 'Picarro Output'!$J:$J, 1), "")</f>
        <v/>
      </c>
    </row>
    <row r="4480" spans="2:5" x14ac:dyDescent="0.2">
      <c r="B4480" s="1"/>
      <c r="E4480" s="38" t="str">
        <f>IFERROR(AVERAGEIFS('Picarro Output'!G:G, 'Picarro Output'!$B:$B, 'Uncalibrated Data'!$C4480, 'Picarro Output'!$I:$I, 0, 'Picarro Output'!$J:$J, 1), "")</f>
        <v/>
      </c>
    </row>
    <row r="4481" spans="2:5" x14ac:dyDescent="0.2">
      <c r="B4481" s="1"/>
      <c r="E4481" s="38" t="str">
        <f>IFERROR(AVERAGEIFS('Picarro Output'!G:G, 'Picarro Output'!$B:$B, 'Uncalibrated Data'!$C4481, 'Picarro Output'!$I:$I, 0, 'Picarro Output'!$J:$J, 1), "")</f>
        <v/>
      </c>
    </row>
    <row r="4482" spans="2:5" x14ac:dyDescent="0.2">
      <c r="B4482" s="1"/>
      <c r="E4482" s="38" t="str">
        <f>IFERROR(AVERAGEIFS('Picarro Output'!G:G, 'Picarro Output'!$B:$B, 'Uncalibrated Data'!$C4482, 'Picarro Output'!$I:$I, 0, 'Picarro Output'!$J:$J, 1), "")</f>
        <v/>
      </c>
    </row>
    <row r="4483" spans="2:5" x14ac:dyDescent="0.2">
      <c r="B4483" s="1"/>
      <c r="E4483" s="38" t="str">
        <f>IFERROR(AVERAGEIFS('Picarro Output'!G:G, 'Picarro Output'!$B:$B, 'Uncalibrated Data'!$C4483, 'Picarro Output'!$I:$I, 0, 'Picarro Output'!$J:$J, 1), "")</f>
        <v/>
      </c>
    </row>
    <row r="4484" spans="2:5" x14ac:dyDescent="0.2">
      <c r="B4484" s="1"/>
      <c r="E4484" s="38" t="str">
        <f>IFERROR(AVERAGEIFS('Picarro Output'!G:G, 'Picarro Output'!$B:$B, 'Uncalibrated Data'!$C4484, 'Picarro Output'!$I:$I, 0, 'Picarro Output'!$J:$J, 1), "")</f>
        <v/>
      </c>
    </row>
    <row r="4485" spans="2:5" x14ac:dyDescent="0.2">
      <c r="B4485" s="1"/>
      <c r="E4485" s="38" t="str">
        <f>IFERROR(AVERAGEIFS('Picarro Output'!G:G, 'Picarro Output'!$B:$B, 'Uncalibrated Data'!$C4485, 'Picarro Output'!$I:$I, 0, 'Picarro Output'!$J:$J, 1), "")</f>
        <v/>
      </c>
    </row>
    <row r="4486" spans="2:5" x14ac:dyDescent="0.2">
      <c r="B4486" s="1"/>
      <c r="E4486" s="38" t="str">
        <f>IFERROR(AVERAGEIFS('Picarro Output'!G:G, 'Picarro Output'!$B:$B, 'Uncalibrated Data'!$C4486, 'Picarro Output'!$I:$I, 0, 'Picarro Output'!$J:$J, 1), "")</f>
        <v/>
      </c>
    </row>
    <row r="4487" spans="2:5" x14ac:dyDescent="0.2">
      <c r="B4487" s="1"/>
      <c r="E4487" s="38" t="str">
        <f>IFERROR(AVERAGEIFS('Picarro Output'!G:G, 'Picarro Output'!$B:$B, 'Uncalibrated Data'!$C4487, 'Picarro Output'!$I:$I, 0, 'Picarro Output'!$J:$J, 1), "")</f>
        <v/>
      </c>
    </row>
    <row r="4488" spans="2:5" x14ac:dyDescent="0.2">
      <c r="B4488" s="1"/>
      <c r="E4488" s="38" t="str">
        <f>IFERROR(AVERAGEIFS('Picarro Output'!G:G, 'Picarro Output'!$B:$B, 'Uncalibrated Data'!$C4488, 'Picarro Output'!$I:$I, 0, 'Picarro Output'!$J:$J, 1), "")</f>
        <v/>
      </c>
    </row>
    <row r="4489" spans="2:5" x14ac:dyDescent="0.2">
      <c r="B4489" s="1"/>
      <c r="E4489" s="38" t="str">
        <f>IFERROR(AVERAGEIFS('Picarro Output'!G:G, 'Picarro Output'!$B:$B, 'Uncalibrated Data'!$C4489, 'Picarro Output'!$I:$I, 0, 'Picarro Output'!$J:$J, 1), "")</f>
        <v/>
      </c>
    </row>
    <row r="4490" spans="2:5" x14ac:dyDescent="0.2">
      <c r="B4490" s="1"/>
      <c r="E4490" s="38" t="str">
        <f>IFERROR(AVERAGEIFS('Picarro Output'!G:G, 'Picarro Output'!$B:$B, 'Uncalibrated Data'!$C4490, 'Picarro Output'!$I:$I, 0, 'Picarro Output'!$J:$J, 1), "")</f>
        <v/>
      </c>
    </row>
    <row r="4491" spans="2:5" x14ac:dyDescent="0.2">
      <c r="B4491" s="1"/>
      <c r="E4491" s="38" t="str">
        <f>IFERROR(AVERAGEIFS('Picarro Output'!G:G, 'Picarro Output'!$B:$B, 'Uncalibrated Data'!$C4491, 'Picarro Output'!$I:$I, 0, 'Picarro Output'!$J:$J, 1), "")</f>
        <v/>
      </c>
    </row>
    <row r="4492" spans="2:5" x14ac:dyDescent="0.2">
      <c r="B4492" s="1"/>
      <c r="E4492" s="38" t="str">
        <f>IFERROR(AVERAGEIFS('Picarro Output'!G:G, 'Picarro Output'!$B:$B, 'Uncalibrated Data'!$C4492, 'Picarro Output'!$I:$I, 0, 'Picarro Output'!$J:$J, 1), "")</f>
        <v/>
      </c>
    </row>
    <row r="4493" spans="2:5" x14ac:dyDescent="0.2">
      <c r="B4493" s="1"/>
      <c r="E4493" s="38" t="str">
        <f>IFERROR(AVERAGEIFS('Picarro Output'!G:G, 'Picarro Output'!$B:$B, 'Uncalibrated Data'!$C4493, 'Picarro Output'!$I:$I, 0, 'Picarro Output'!$J:$J, 1), "")</f>
        <v/>
      </c>
    </row>
    <row r="4494" spans="2:5" x14ac:dyDescent="0.2">
      <c r="B4494" s="1"/>
      <c r="E4494" s="38" t="str">
        <f>IFERROR(AVERAGEIFS('Picarro Output'!G:G, 'Picarro Output'!$B:$B, 'Uncalibrated Data'!$C4494, 'Picarro Output'!$I:$I, 0, 'Picarro Output'!$J:$J, 1), "")</f>
        <v/>
      </c>
    </row>
    <row r="4495" spans="2:5" x14ac:dyDescent="0.2">
      <c r="B4495" s="1"/>
      <c r="E4495" s="38" t="str">
        <f>IFERROR(AVERAGEIFS('Picarro Output'!G:G, 'Picarro Output'!$B:$B, 'Uncalibrated Data'!$C4495, 'Picarro Output'!$I:$I, 0, 'Picarro Output'!$J:$J, 1), "")</f>
        <v/>
      </c>
    </row>
    <row r="4496" spans="2:5" x14ac:dyDescent="0.2">
      <c r="B4496" s="1"/>
      <c r="E4496" s="38" t="str">
        <f>IFERROR(AVERAGEIFS('Picarro Output'!G:G, 'Picarro Output'!$B:$B, 'Uncalibrated Data'!$C4496, 'Picarro Output'!$I:$I, 0, 'Picarro Output'!$J:$J, 1), "")</f>
        <v/>
      </c>
    </row>
    <row r="4497" spans="2:5" x14ac:dyDescent="0.2">
      <c r="B4497" s="1"/>
      <c r="E4497" s="38" t="str">
        <f>IFERROR(AVERAGEIFS('Picarro Output'!G:G, 'Picarro Output'!$B:$B, 'Uncalibrated Data'!$C4497, 'Picarro Output'!$I:$I, 0, 'Picarro Output'!$J:$J, 1), "")</f>
        <v/>
      </c>
    </row>
    <row r="4498" spans="2:5" x14ac:dyDescent="0.2">
      <c r="B4498" s="1"/>
      <c r="E4498" s="38" t="str">
        <f>IFERROR(AVERAGEIFS('Picarro Output'!G:G, 'Picarro Output'!$B:$B, 'Uncalibrated Data'!$C4498, 'Picarro Output'!$I:$I, 0, 'Picarro Output'!$J:$J, 1), "")</f>
        <v/>
      </c>
    </row>
    <row r="4499" spans="2:5" x14ac:dyDescent="0.2">
      <c r="B4499" s="1"/>
      <c r="E4499" s="38" t="str">
        <f>IFERROR(AVERAGEIFS('Picarro Output'!G:G, 'Picarro Output'!$B:$B, 'Uncalibrated Data'!$C4499, 'Picarro Output'!$I:$I, 0, 'Picarro Output'!$J:$J, 1), "")</f>
        <v/>
      </c>
    </row>
    <row r="4500" spans="2:5" x14ac:dyDescent="0.2">
      <c r="B4500" s="1"/>
      <c r="E4500" s="38" t="str">
        <f>IFERROR(AVERAGEIFS('Picarro Output'!G:G, 'Picarro Output'!$B:$B, 'Uncalibrated Data'!$C4500, 'Picarro Output'!$I:$I, 0, 'Picarro Output'!$J:$J, 1), "")</f>
        <v/>
      </c>
    </row>
    <row r="4501" spans="2:5" x14ac:dyDescent="0.2">
      <c r="B4501" s="1"/>
      <c r="E4501" s="38" t="str">
        <f>IFERROR(AVERAGEIFS('Picarro Output'!G:G, 'Picarro Output'!$B:$B, 'Uncalibrated Data'!$C4501, 'Picarro Output'!$I:$I, 0, 'Picarro Output'!$J:$J, 1), "")</f>
        <v/>
      </c>
    </row>
    <row r="4502" spans="2:5" x14ac:dyDescent="0.2">
      <c r="B4502" s="1"/>
      <c r="E4502" s="38" t="str">
        <f>IFERROR(AVERAGEIFS('Picarro Output'!G:G, 'Picarro Output'!$B:$B, 'Uncalibrated Data'!$C4502, 'Picarro Output'!$I:$I, 0, 'Picarro Output'!$J:$J, 1), "")</f>
        <v/>
      </c>
    </row>
    <row r="4503" spans="2:5" x14ac:dyDescent="0.2">
      <c r="B4503" s="1"/>
      <c r="E4503" s="38" t="str">
        <f>IFERROR(AVERAGEIFS('Picarro Output'!G:G, 'Picarro Output'!$B:$B, 'Uncalibrated Data'!$C4503, 'Picarro Output'!$I:$I, 0, 'Picarro Output'!$J:$J, 1), "")</f>
        <v/>
      </c>
    </row>
    <row r="4504" spans="2:5" x14ac:dyDescent="0.2">
      <c r="B4504" s="1"/>
      <c r="E4504" s="38" t="str">
        <f>IFERROR(AVERAGEIFS('Picarro Output'!G:G, 'Picarro Output'!$B:$B, 'Uncalibrated Data'!$C4504, 'Picarro Output'!$I:$I, 0, 'Picarro Output'!$J:$J, 1), "")</f>
        <v/>
      </c>
    </row>
    <row r="4505" spans="2:5" x14ac:dyDescent="0.2">
      <c r="B4505" s="1"/>
      <c r="E4505" s="38" t="str">
        <f>IFERROR(AVERAGEIFS('Picarro Output'!G:G, 'Picarro Output'!$B:$B, 'Uncalibrated Data'!$C4505, 'Picarro Output'!$I:$I, 0, 'Picarro Output'!$J:$J, 1), "")</f>
        <v/>
      </c>
    </row>
    <row r="4506" spans="2:5" x14ac:dyDescent="0.2">
      <c r="B4506" s="1"/>
      <c r="E4506" s="38" t="str">
        <f>IFERROR(AVERAGEIFS('Picarro Output'!G:G, 'Picarro Output'!$B:$B, 'Uncalibrated Data'!$C4506, 'Picarro Output'!$I:$I, 0, 'Picarro Output'!$J:$J, 1), "")</f>
        <v/>
      </c>
    </row>
    <row r="4507" spans="2:5" x14ac:dyDescent="0.2">
      <c r="B4507" s="1"/>
      <c r="E4507" s="38" t="str">
        <f>IFERROR(AVERAGEIFS('Picarro Output'!G:G, 'Picarro Output'!$B:$B, 'Uncalibrated Data'!$C4507, 'Picarro Output'!$I:$I, 0, 'Picarro Output'!$J:$J, 1), "")</f>
        <v/>
      </c>
    </row>
    <row r="4508" spans="2:5" x14ac:dyDescent="0.2">
      <c r="B4508" s="1"/>
      <c r="E4508" s="38" t="str">
        <f>IFERROR(AVERAGEIFS('Picarro Output'!G:G, 'Picarro Output'!$B:$B, 'Uncalibrated Data'!$C4508, 'Picarro Output'!$I:$I, 0, 'Picarro Output'!$J:$J, 1), "")</f>
        <v/>
      </c>
    </row>
    <row r="4509" spans="2:5" x14ac:dyDescent="0.2">
      <c r="B4509" s="1"/>
      <c r="E4509" s="38" t="str">
        <f>IFERROR(AVERAGEIFS('Picarro Output'!G:G, 'Picarro Output'!$B:$B, 'Uncalibrated Data'!$C4509, 'Picarro Output'!$I:$I, 0, 'Picarro Output'!$J:$J, 1), "")</f>
        <v/>
      </c>
    </row>
    <row r="4510" spans="2:5" x14ac:dyDescent="0.2">
      <c r="B4510" s="1"/>
      <c r="E4510" s="38" t="str">
        <f>IFERROR(AVERAGEIFS('Picarro Output'!G:G, 'Picarro Output'!$B:$B, 'Uncalibrated Data'!$C4510, 'Picarro Output'!$I:$I, 0, 'Picarro Output'!$J:$J, 1), "")</f>
        <v/>
      </c>
    </row>
    <row r="4511" spans="2:5" x14ac:dyDescent="0.2">
      <c r="B4511" s="1"/>
      <c r="E4511" s="38" t="str">
        <f>IFERROR(AVERAGEIFS('Picarro Output'!G:G, 'Picarro Output'!$B:$B, 'Uncalibrated Data'!$C4511, 'Picarro Output'!$I:$I, 0, 'Picarro Output'!$J:$J, 1), "")</f>
        <v/>
      </c>
    </row>
    <row r="4512" spans="2:5" x14ac:dyDescent="0.2">
      <c r="B4512" s="1"/>
      <c r="E4512" s="38" t="str">
        <f>IFERROR(AVERAGEIFS('Picarro Output'!G:G, 'Picarro Output'!$B:$B, 'Uncalibrated Data'!$C4512, 'Picarro Output'!$I:$I, 0, 'Picarro Output'!$J:$J, 1), "")</f>
        <v/>
      </c>
    </row>
    <row r="4513" spans="2:5" x14ac:dyDescent="0.2">
      <c r="B4513" s="1"/>
      <c r="E4513" s="38" t="str">
        <f>IFERROR(AVERAGEIFS('Picarro Output'!G:G, 'Picarro Output'!$B:$B, 'Uncalibrated Data'!$C4513, 'Picarro Output'!$I:$I, 0, 'Picarro Output'!$J:$J, 1), "")</f>
        <v/>
      </c>
    </row>
    <row r="4514" spans="2:5" x14ac:dyDescent="0.2">
      <c r="B4514" s="1"/>
      <c r="E4514" s="38" t="str">
        <f>IFERROR(AVERAGEIFS('Picarro Output'!G:G, 'Picarro Output'!$B:$B, 'Uncalibrated Data'!$C4514, 'Picarro Output'!$I:$I, 0, 'Picarro Output'!$J:$J, 1), "")</f>
        <v/>
      </c>
    </row>
    <row r="4515" spans="2:5" x14ac:dyDescent="0.2">
      <c r="B4515" s="1"/>
      <c r="E4515" s="38" t="str">
        <f>IFERROR(AVERAGEIFS('Picarro Output'!G:G, 'Picarro Output'!$B:$B, 'Uncalibrated Data'!$C4515, 'Picarro Output'!$I:$I, 0, 'Picarro Output'!$J:$J, 1), "")</f>
        <v/>
      </c>
    </row>
    <row r="4516" spans="2:5" x14ac:dyDescent="0.2">
      <c r="B4516" s="1"/>
      <c r="E4516" s="38" t="str">
        <f>IFERROR(AVERAGEIFS('Picarro Output'!G:G, 'Picarro Output'!$B:$B, 'Uncalibrated Data'!$C4516, 'Picarro Output'!$I:$I, 0, 'Picarro Output'!$J:$J, 1), "")</f>
        <v/>
      </c>
    </row>
    <row r="4517" spans="2:5" x14ac:dyDescent="0.2">
      <c r="B4517" s="1"/>
      <c r="E4517" s="38" t="str">
        <f>IFERROR(AVERAGEIFS('Picarro Output'!G:G, 'Picarro Output'!$B:$B, 'Uncalibrated Data'!$C4517, 'Picarro Output'!$I:$I, 0, 'Picarro Output'!$J:$J, 1), "")</f>
        <v/>
      </c>
    </row>
    <row r="4518" spans="2:5" x14ac:dyDescent="0.2">
      <c r="B4518" s="1"/>
      <c r="E4518" s="38" t="str">
        <f>IFERROR(AVERAGEIFS('Picarro Output'!G:G, 'Picarro Output'!$B:$B, 'Uncalibrated Data'!$C4518, 'Picarro Output'!$I:$I, 0, 'Picarro Output'!$J:$J, 1), "")</f>
        <v/>
      </c>
    </row>
    <row r="4519" spans="2:5" x14ac:dyDescent="0.2">
      <c r="B4519" s="1"/>
      <c r="E4519" s="38" t="str">
        <f>IFERROR(AVERAGEIFS('Picarro Output'!G:G, 'Picarro Output'!$B:$B, 'Uncalibrated Data'!$C4519, 'Picarro Output'!$I:$I, 0, 'Picarro Output'!$J:$J, 1), "")</f>
        <v/>
      </c>
    </row>
    <row r="4520" spans="2:5" x14ac:dyDescent="0.2">
      <c r="B4520" s="1"/>
      <c r="E4520" s="38" t="str">
        <f>IFERROR(AVERAGEIFS('Picarro Output'!G:G, 'Picarro Output'!$B:$B, 'Uncalibrated Data'!$C4520, 'Picarro Output'!$I:$I, 0, 'Picarro Output'!$J:$J, 1), "")</f>
        <v/>
      </c>
    </row>
    <row r="4521" spans="2:5" x14ac:dyDescent="0.2">
      <c r="B4521" s="1"/>
      <c r="E4521" s="38" t="str">
        <f>IFERROR(AVERAGEIFS('Picarro Output'!G:G, 'Picarro Output'!$B:$B, 'Uncalibrated Data'!$C4521, 'Picarro Output'!$I:$I, 0, 'Picarro Output'!$J:$J, 1), "")</f>
        <v/>
      </c>
    </row>
    <row r="4522" spans="2:5" x14ac:dyDescent="0.2">
      <c r="B4522" s="1"/>
      <c r="E4522" s="38" t="str">
        <f>IFERROR(AVERAGEIFS('Picarro Output'!G:G, 'Picarro Output'!$B:$B, 'Uncalibrated Data'!$C4522, 'Picarro Output'!$I:$I, 0, 'Picarro Output'!$J:$J, 1), "")</f>
        <v/>
      </c>
    </row>
    <row r="4523" spans="2:5" x14ac:dyDescent="0.2">
      <c r="B4523" s="1"/>
      <c r="E4523" s="38" t="str">
        <f>IFERROR(AVERAGEIFS('Picarro Output'!G:G, 'Picarro Output'!$B:$B, 'Uncalibrated Data'!$C4523, 'Picarro Output'!$I:$I, 0, 'Picarro Output'!$J:$J, 1), "")</f>
        <v/>
      </c>
    </row>
    <row r="4524" spans="2:5" x14ac:dyDescent="0.2">
      <c r="B4524" s="1"/>
      <c r="E4524" s="38" t="str">
        <f>IFERROR(AVERAGEIFS('Picarro Output'!G:G, 'Picarro Output'!$B:$B, 'Uncalibrated Data'!$C4524, 'Picarro Output'!$I:$I, 0, 'Picarro Output'!$J:$J, 1), "")</f>
        <v/>
      </c>
    </row>
    <row r="4525" spans="2:5" x14ac:dyDescent="0.2">
      <c r="B4525" s="1"/>
      <c r="E4525" s="38" t="str">
        <f>IFERROR(AVERAGEIFS('Picarro Output'!G:G, 'Picarro Output'!$B:$B, 'Uncalibrated Data'!$C4525, 'Picarro Output'!$I:$I, 0, 'Picarro Output'!$J:$J, 1), "")</f>
        <v/>
      </c>
    </row>
    <row r="4526" spans="2:5" x14ac:dyDescent="0.2">
      <c r="B4526" s="1"/>
      <c r="E4526" s="38" t="str">
        <f>IFERROR(AVERAGEIFS('Picarro Output'!G:G, 'Picarro Output'!$B:$B, 'Uncalibrated Data'!$C4526, 'Picarro Output'!$I:$I, 0, 'Picarro Output'!$J:$J, 1), "")</f>
        <v/>
      </c>
    </row>
    <row r="4527" spans="2:5" x14ac:dyDescent="0.2">
      <c r="B4527" s="1"/>
      <c r="E4527" s="38" t="str">
        <f>IFERROR(AVERAGEIFS('Picarro Output'!G:G, 'Picarro Output'!$B:$B, 'Uncalibrated Data'!$C4527, 'Picarro Output'!$I:$I, 0, 'Picarro Output'!$J:$J, 1), "")</f>
        <v/>
      </c>
    </row>
    <row r="4528" spans="2:5" x14ac:dyDescent="0.2">
      <c r="B4528" s="1"/>
      <c r="E4528" s="38" t="str">
        <f>IFERROR(AVERAGEIFS('Picarro Output'!G:G, 'Picarro Output'!$B:$B, 'Uncalibrated Data'!$C4528, 'Picarro Output'!$I:$I, 0, 'Picarro Output'!$J:$J, 1), "")</f>
        <v/>
      </c>
    </row>
    <row r="4529" spans="2:5" x14ac:dyDescent="0.2">
      <c r="B4529" s="1"/>
      <c r="E4529" s="38" t="str">
        <f>IFERROR(AVERAGEIFS('Picarro Output'!G:G, 'Picarro Output'!$B:$B, 'Uncalibrated Data'!$C4529, 'Picarro Output'!$I:$I, 0, 'Picarro Output'!$J:$J, 1), "")</f>
        <v/>
      </c>
    </row>
    <row r="4530" spans="2:5" x14ac:dyDescent="0.2">
      <c r="B4530" s="1"/>
      <c r="E4530" s="38" t="str">
        <f>IFERROR(AVERAGEIFS('Picarro Output'!G:G, 'Picarro Output'!$B:$B, 'Uncalibrated Data'!$C4530, 'Picarro Output'!$I:$I, 0, 'Picarro Output'!$J:$J, 1), "")</f>
        <v/>
      </c>
    </row>
    <row r="4531" spans="2:5" x14ac:dyDescent="0.2">
      <c r="B4531" s="1"/>
      <c r="E4531" s="38" t="str">
        <f>IFERROR(AVERAGEIFS('Picarro Output'!G:G, 'Picarro Output'!$B:$B, 'Uncalibrated Data'!$C4531, 'Picarro Output'!$I:$I, 0, 'Picarro Output'!$J:$J, 1), "")</f>
        <v/>
      </c>
    </row>
    <row r="4532" spans="2:5" x14ac:dyDescent="0.2">
      <c r="B4532" s="1"/>
      <c r="E4532" s="38" t="str">
        <f>IFERROR(AVERAGEIFS('Picarro Output'!G:G, 'Picarro Output'!$B:$B, 'Uncalibrated Data'!$C4532, 'Picarro Output'!$I:$I, 0, 'Picarro Output'!$J:$J, 1), "")</f>
        <v/>
      </c>
    </row>
    <row r="4533" spans="2:5" x14ac:dyDescent="0.2">
      <c r="B4533" s="1"/>
      <c r="E4533" s="38" t="str">
        <f>IFERROR(AVERAGEIFS('Picarro Output'!G:G, 'Picarro Output'!$B:$B, 'Uncalibrated Data'!$C4533, 'Picarro Output'!$I:$I, 0, 'Picarro Output'!$J:$J, 1), "")</f>
        <v/>
      </c>
    </row>
    <row r="4534" spans="2:5" x14ac:dyDescent="0.2">
      <c r="B4534" s="1"/>
      <c r="E4534" s="38" t="str">
        <f>IFERROR(AVERAGEIFS('Picarro Output'!G:G, 'Picarro Output'!$B:$B, 'Uncalibrated Data'!$C4534, 'Picarro Output'!$I:$I, 0, 'Picarro Output'!$J:$J, 1), "")</f>
        <v/>
      </c>
    </row>
    <row r="4535" spans="2:5" x14ac:dyDescent="0.2">
      <c r="B4535" s="1"/>
      <c r="E4535" s="38" t="str">
        <f>IFERROR(AVERAGEIFS('Picarro Output'!G:G, 'Picarro Output'!$B:$B, 'Uncalibrated Data'!$C4535, 'Picarro Output'!$I:$I, 0, 'Picarro Output'!$J:$J, 1), "")</f>
        <v/>
      </c>
    </row>
    <row r="4536" spans="2:5" x14ac:dyDescent="0.2">
      <c r="B4536" s="1"/>
      <c r="E4536" s="38" t="str">
        <f>IFERROR(AVERAGEIFS('Picarro Output'!G:G, 'Picarro Output'!$B:$B, 'Uncalibrated Data'!$C4536, 'Picarro Output'!$I:$I, 0, 'Picarro Output'!$J:$J, 1), "")</f>
        <v/>
      </c>
    </row>
    <row r="4537" spans="2:5" x14ac:dyDescent="0.2">
      <c r="B4537" s="1"/>
      <c r="E4537" s="38" t="str">
        <f>IFERROR(AVERAGEIFS('Picarro Output'!G:G, 'Picarro Output'!$B:$B, 'Uncalibrated Data'!$C4537, 'Picarro Output'!$I:$I, 0, 'Picarro Output'!$J:$J, 1), "")</f>
        <v/>
      </c>
    </row>
    <row r="4538" spans="2:5" x14ac:dyDescent="0.2">
      <c r="B4538" s="1"/>
      <c r="E4538" s="38" t="str">
        <f>IFERROR(AVERAGEIFS('Picarro Output'!G:G, 'Picarro Output'!$B:$B, 'Uncalibrated Data'!$C4538, 'Picarro Output'!$I:$I, 0, 'Picarro Output'!$J:$J, 1), "")</f>
        <v/>
      </c>
    </row>
    <row r="4539" spans="2:5" x14ac:dyDescent="0.2">
      <c r="B4539" s="1"/>
      <c r="E4539" s="38" t="str">
        <f>IFERROR(AVERAGEIFS('Picarro Output'!G:G, 'Picarro Output'!$B:$B, 'Uncalibrated Data'!$C4539, 'Picarro Output'!$I:$I, 0, 'Picarro Output'!$J:$J, 1), "")</f>
        <v/>
      </c>
    </row>
    <row r="4540" spans="2:5" x14ac:dyDescent="0.2">
      <c r="B4540" s="1"/>
      <c r="E4540" s="38" t="str">
        <f>IFERROR(AVERAGEIFS('Picarro Output'!G:G, 'Picarro Output'!$B:$B, 'Uncalibrated Data'!$C4540, 'Picarro Output'!$I:$I, 0, 'Picarro Output'!$J:$J, 1), "")</f>
        <v/>
      </c>
    </row>
    <row r="4541" spans="2:5" x14ac:dyDescent="0.2">
      <c r="B4541" s="1"/>
      <c r="E4541" s="38" t="str">
        <f>IFERROR(AVERAGEIFS('Picarro Output'!G:G, 'Picarro Output'!$B:$B, 'Uncalibrated Data'!$C4541, 'Picarro Output'!$I:$I, 0, 'Picarro Output'!$J:$J, 1), "")</f>
        <v/>
      </c>
    </row>
    <row r="4542" spans="2:5" x14ac:dyDescent="0.2">
      <c r="B4542" s="1"/>
      <c r="E4542" s="38" t="str">
        <f>IFERROR(AVERAGEIFS('Picarro Output'!G:G, 'Picarro Output'!$B:$B, 'Uncalibrated Data'!$C4542, 'Picarro Output'!$I:$I, 0, 'Picarro Output'!$J:$J, 1), "")</f>
        <v/>
      </c>
    </row>
    <row r="4543" spans="2:5" x14ac:dyDescent="0.2">
      <c r="B4543" s="1"/>
      <c r="E4543" s="38" t="str">
        <f>IFERROR(AVERAGEIFS('Picarro Output'!G:G, 'Picarro Output'!$B:$B, 'Uncalibrated Data'!$C4543, 'Picarro Output'!$I:$I, 0, 'Picarro Output'!$J:$J, 1), "")</f>
        <v/>
      </c>
    </row>
    <row r="4544" spans="2:5" x14ac:dyDescent="0.2">
      <c r="B4544" s="1"/>
      <c r="E4544" s="38" t="str">
        <f>IFERROR(AVERAGEIFS('Picarro Output'!G:G, 'Picarro Output'!$B:$B, 'Uncalibrated Data'!$C4544, 'Picarro Output'!$I:$I, 0, 'Picarro Output'!$J:$J, 1), "")</f>
        <v/>
      </c>
    </row>
    <row r="4545" spans="2:5" x14ac:dyDescent="0.2">
      <c r="B4545" s="1"/>
      <c r="E4545" s="38" t="str">
        <f>IFERROR(AVERAGEIFS('Picarro Output'!G:G, 'Picarro Output'!$B:$B, 'Uncalibrated Data'!$C4545, 'Picarro Output'!$I:$I, 0, 'Picarro Output'!$J:$J, 1), "")</f>
        <v/>
      </c>
    </row>
    <row r="4546" spans="2:5" x14ac:dyDescent="0.2">
      <c r="B4546" s="1"/>
      <c r="E4546" s="38" t="str">
        <f>IFERROR(AVERAGEIFS('Picarro Output'!G:G, 'Picarro Output'!$B:$B, 'Uncalibrated Data'!$C4546, 'Picarro Output'!$I:$I, 0, 'Picarro Output'!$J:$J, 1), "")</f>
        <v/>
      </c>
    </row>
    <row r="4547" spans="2:5" x14ac:dyDescent="0.2">
      <c r="B4547" s="1"/>
      <c r="E4547" s="38" t="str">
        <f>IFERROR(AVERAGEIFS('Picarro Output'!G:G, 'Picarro Output'!$B:$B, 'Uncalibrated Data'!$C4547, 'Picarro Output'!$I:$I, 0, 'Picarro Output'!$J:$J, 1), "")</f>
        <v/>
      </c>
    </row>
    <row r="4548" spans="2:5" x14ac:dyDescent="0.2">
      <c r="B4548" s="1"/>
      <c r="E4548" s="38" t="str">
        <f>IFERROR(AVERAGEIFS('Picarro Output'!G:G, 'Picarro Output'!$B:$B, 'Uncalibrated Data'!$C4548, 'Picarro Output'!$I:$I, 0, 'Picarro Output'!$J:$J, 1), "")</f>
        <v/>
      </c>
    </row>
    <row r="4549" spans="2:5" x14ac:dyDescent="0.2">
      <c r="B4549" s="1"/>
      <c r="E4549" s="38" t="str">
        <f>IFERROR(AVERAGEIFS('Picarro Output'!G:G, 'Picarro Output'!$B:$B, 'Uncalibrated Data'!$C4549, 'Picarro Output'!$I:$I, 0, 'Picarro Output'!$J:$J, 1), "")</f>
        <v/>
      </c>
    </row>
    <row r="4550" spans="2:5" x14ac:dyDescent="0.2">
      <c r="B4550" s="1"/>
      <c r="E4550" s="38" t="str">
        <f>IFERROR(AVERAGEIFS('Picarro Output'!G:G, 'Picarro Output'!$B:$B, 'Uncalibrated Data'!$C4550, 'Picarro Output'!$I:$I, 0, 'Picarro Output'!$J:$J, 1), "")</f>
        <v/>
      </c>
    </row>
    <row r="4551" spans="2:5" x14ac:dyDescent="0.2">
      <c r="B4551" s="1"/>
      <c r="E4551" s="38" t="str">
        <f>IFERROR(AVERAGEIFS('Picarro Output'!G:G, 'Picarro Output'!$B:$B, 'Uncalibrated Data'!$C4551, 'Picarro Output'!$I:$I, 0, 'Picarro Output'!$J:$J, 1), "")</f>
        <v/>
      </c>
    </row>
    <row r="4552" spans="2:5" x14ac:dyDescent="0.2">
      <c r="B4552" s="1"/>
      <c r="E4552" s="38" t="str">
        <f>IFERROR(AVERAGEIFS('Picarro Output'!G:G, 'Picarro Output'!$B:$B, 'Uncalibrated Data'!$C4552, 'Picarro Output'!$I:$I, 0, 'Picarro Output'!$J:$J, 1), "")</f>
        <v/>
      </c>
    </row>
    <row r="4553" spans="2:5" x14ac:dyDescent="0.2">
      <c r="B4553" s="1"/>
      <c r="E4553" s="38" t="str">
        <f>IFERROR(AVERAGEIFS('Picarro Output'!G:G, 'Picarro Output'!$B:$B, 'Uncalibrated Data'!$C4553, 'Picarro Output'!$I:$I, 0, 'Picarro Output'!$J:$J, 1), "")</f>
        <v/>
      </c>
    </row>
    <row r="4554" spans="2:5" x14ac:dyDescent="0.2">
      <c r="B4554" s="1"/>
      <c r="E4554" s="38" t="str">
        <f>IFERROR(AVERAGEIFS('Picarro Output'!G:G, 'Picarro Output'!$B:$B, 'Uncalibrated Data'!$C4554, 'Picarro Output'!$I:$I, 0, 'Picarro Output'!$J:$J, 1), "")</f>
        <v/>
      </c>
    </row>
    <row r="4555" spans="2:5" x14ac:dyDescent="0.2">
      <c r="B4555" s="1"/>
      <c r="E4555" s="38" t="str">
        <f>IFERROR(AVERAGEIFS('Picarro Output'!G:G, 'Picarro Output'!$B:$B, 'Uncalibrated Data'!$C4555, 'Picarro Output'!$I:$I, 0, 'Picarro Output'!$J:$J, 1), "")</f>
        <v/>
      </c>
    </row>
    <row r="4556" spans="2:5" x14ac:dyDescent="0.2">
      <c r="B4556" s="1"/>
      <c r="E4556" s="38" t="str">
        <f>IFERROR(AVERAGEIFS('Picarro Output'!G:G, 'Picarro Output'!$B:$B, 'Uncalibrated Data'!$C4556, 'Picarro Output'!$I:$I, 0, 'Picarro Output'!$J:$J, 1), "")</f>
        <v/>
      </c>
    </row>
    <row r="4557" spans="2:5" x14ac:dyDescent="0.2">
      <c r="B4557" s="1"/>
      <c r="E4557" s="38" t="str">
        <f>IFERROR(AVERAGEIFS('Picarro Output'!G:G, 'Picarro Output'!$B:$B, 'Uncalibrated Data'!$C4557, 'Picarro Output'!$I:$I, 0, 'Picarro Output'!$J:$J, 1), "")</f>
        <v/>
      </c>
    </row>
    <row r="4558" spans="2:5" x14ac:dyDescent="0.2">
      <c r="B4558" s="1"/>
      <c r="E4558" s="38" t="str">
        <f>IFERROR(AVERAGEIFS('Picarro Output'!G:G, 'Picarro Output'!$B:$B, 'Uncalibrated Data'!$C4558, 'Picarro Output'!$I:$I, 0, 'Picarro Output'!$J:$J, 1), "")</f>
        <v/>
      </c>
    </row>
    <row r="4559" spans="2:5" x14ac:dyDescent="0.2">
      <c r="B4559" s="1"/>
      <c r="E4559" s="38" t="str">
        <f>IFERROR(AVERAGEIFS('Picarro Output'!G:G, 'Picarro Output'!$B:$B, 'Uncalibrated Data'!$C4559, 'Picarro Output'!$I:$I, 0, 'Picarro Output'!$J:$J, 1), "")</f>
        <v/>
      </c>
    </row>
    <row r="4560" spans="2:5" x14ac:dyDescent="0.2">
      <c r="B4560" s="1"/>
      <c r="E4560" s="38" t="str">
        <f>IFERROR(AVERAGEIFS('Picarro Output'!G:G, 'Picarro Output'!$B:$B, 'Uncalibrated Data'!$C4560, 'Picarro Output'!$I:$I, 0, 'Picarro Output'!$J:$J, 1), "")</f>
        <v/>
      </c>
    </row>
    <row r="4561" spans="2:5" x14ac:dyDescent="0.2">
      <c r="B4561" s="1"/>
      <c r="E4561" s="38" t="str">
        <f>IFERROR(AVERAGEIFS('Picarro Output'!G:G, 'Picarro Output'!$B:$B, 'Uncalibrated Data'!$C4561, 'Picarro Output'!$I:$I, 0, 'Picarro Output'!$J:$J, 1), "")</f>
        <v/>
      </c>
    </row>
    <row r="4562" spans="2:5" x14ac:dyDescent="0.2">
      <c r="B4562" s="1"/>
      <c r="E4562" s="38" t="str">
        <f>IFERROR(AVERAGEIFS('Picarro Output'!G:G, 'Picarro Output'!$B:$B, 'Uncalibrated Data'!$C4562, 'Picarro Output'!$I:$I, 0, 'Picarro Output'!$J:$J, 1), "")</f>
        <v/>
      </c>
    </row>
    <row r="4563" spans="2:5" x14ac:dyDescent="0.2">
      <c r="B4563" s="1"/>
      <c r="E4563" s="38" t="str">
        <f>IFERROR(AVERAGEIFS('Picarro Output'!G:G, 'Picarro Output'!$B:$B, 'Uncalibrated Data'!$C4563, 'Picarro Output'!$I:$I, 0, 'Picarro Output'!$J:$J, 1), "")</f>
        <v/>
      </c>
    </row>
    <row r="4564" spans="2:5" x14ac:dyDescent="0.2">
      <c r="B4564" s="1"/>
      <c r="E4564" s="38" t="str">
        <f>IFERROR(AVERAGEIFS('Picarro Output'!G:G, 'Picarro Output'!$B:$B, 'Uncalibrated Data'!$C4564, 'Picarro Output'!$I:$I, 0, 'Picarro Output'!$J:$J, 1), "")</f>
        <v/>
      </c>
    </row>
    <row r="4565" spans="2:5" x14ac:dyDescent="0.2">
      <c r="B4565" s="1"/>
      <c r="E4565" s="38" t="str">
        <f>IFERROR(AVERAGEIFS('Picarro Output'!G:G, 'Picarro Output'!$B:$B, 'Uncalibrated Data'!$C4565, 'Picarro Output'!$I:$I, 0, 'Picarro Output'!$J:$J, 1), "")</f>
        <v/>
      </c>
    </row>
    <row r="4566" spans="2:5" x14ac:dyDescent="0.2">
      <c r="B4566" s="1"/>
      <c r="E4566" s="38" t="str">
        <f>IFERROR(AVERAGEIFS('Picarro Output'!G:G, 'Picarro Output'!$B:$B, 'Uncalibrated Data'!$C4566, 'Picarro Output'!$I:$I, 0, 'Picarro Output'!$J:$J, 1), "")</f>
        <v/>
      </c>
    </row>
    <row r="4567" spans="2:5" x14ac:dyDescent="0.2">
      <c r="B4567" s="1"/>
      <c r="E4567" s="38" t="str">
        <f>IFERROR(AVERAGEIFS('Picarro Output'!G:G, 'Picarro Output'!$B:$B, 'Uncalibrated Data'!$C4567, 'Picarro Output'!$I:$I, 0, 'Picarro Output'!$J:$J, 1), "")</f>
        <v/>
      </c>
    </row>
    <row r="4568" spans="2:5" x14ac:dyDescent="0.2">
      <c r="B4568" s="1"/>
      <c r="E4568" s="38" t="str">
        <f>IFERROR(AVERAGEIFS('Picarro Output'!G:G, 'Picarro Output'!$B:$B, 'Uncalibrated Data'!$C4568, 'Picarro Output'!$I:$I, 0, 'Picarro Output'!$J:$J, 1), "")</f>
        <v/>
      </c>
    </row>
    <row r="4569" spans="2:5" x14ac:dyDescent="0.2">
      <c r="B4569" s="1"/>
      <c r="E4569" s="38" t="str">
        <f>IFERROR(AVERAGEIFS('Picarro Output'!G:G, 'Picarro Output'!$B:$B, 'Uncalibrated Data'!$C4569, 'Picarro Output'!$I:$I, 0, 'Picarro Output'!$J:$J, 1), "")</f>
        <v/>
      </c>
    </row>
    <row r="4570" spans="2:5" x14ac:dyDescent="0.2">
      <c r="B4570" s="1"/>
      <c r="E4570" s="38" t="str">
        <f>IFERROR(AVERAGEIFS('Picarro Output'!G:G, 'Picarro Output'!$B:$B, 'Uncalibrated Data'!$C4570, 'Picarro Output'!$I:$I, 0, 'Picarro Output'!$J:$J, 1), "")</f>
        <v/>
      </c>
    </row>
    <row r="4571" spans="2:5" x14ac:dyDescent="0.2">
      <c r="B4571" s="1"/>
      <c r="E4571" s="38" t="str">
        <f>IFERROR(AVERAGEIFS('Picarro Output'!G:G, 'Picarro Output'!$B:$B, 'Uncalibrated Data'!$C4571, 'Picarro Output'!$I:$I, 0, 'Picarro Output'!$J:$J, 1), "")</f>
        <v/>
      </c>
    </row>
    <row r="4572" spans="2:5" x14ac:dyDescent="0.2">
      <c r="B4572" s="1"/>
      <c r="E4572" s="38" t="str">
        <f>IFERROR(AVERAGEIFS('Picarro Output'!G:G, 'Picarro Output'!$B:$B, 'Uncalibrated Data'!$C4572, 'Picarro Output'!$I:$I, 0, 'Picarro Output'!$J:$J, 1), "")</f>
        <v/>
      </c>
    </row>
    <row r="4573" spans="2:5" x14ac:dyDescent="0.2">
      <c r="B4573" s="1"/>
      <c r="E4573" s="38" t="str">
        <f>IFERROR(AVERAGEIFS('Picarro Output'!G:G, 'Picarro Output'!$B:$B, 'Uncalibrated Data'!$C4573, 'Picarro Output'!$I:$I, 0, 'Picarro Output'!$J:$J, 1), "")</f>
        <v/>
      </c>
    </row>
    <row r="4574" spans="2:5" x14ac:dyDescent="0.2">
      <c r="B4574" s="1"/>
      <c r="E4574" s="38" t="str">
        <f>IFERROR(AVERAGEIFS('Picarro Output'!G:G, 'Picarro Output'!$B:$B, 'Uncalibrated Data'!$C4574, 'Picarro Output'!$I:$I, 0, 'Picarro Output'!$J:$J, 1), "")</f>
        <v/>
      </c>
    </row>
    <row r="4575" spans="2:5" x14ac:dyDescent="0.2">
      <c r="B4575" s="1"/>
      <c r="E4575" s="38" t="str">
        <f>IFERROR(AVERAGEIFS('Picarro Output'!G:G, 'Picarro Output'!$B:$B, 'Uncalibrated Data'!$C4575, 'Picarro Output'!$I:$I, 0, 'Picarro Output'!$J:$J, 1), "")</f>
        <v/>
      </c>
    </row>
    <row r="4576" spans="2:5" x14ac:dyDescent="0.2">
      <c r="B4576" s="1"/>
      <c r="E4576" s="38" t="str">
        <f>IFERROR(AVERAGEIFS('Picarro Output'!G:G, 'Picarro Output'!$B:$B, 'Uncalibrated Data'!$C4576, 'Picarro Output'!$I:$I, 0, 'Picarro Output'!$J:$J, 1), "")</f>
        <v/>
      </c>
    </row>
    <row r="4577" spans="2:5" x14ac:dyDescent="0.2">
      <c r="B4577" s="1"/>
      <c r="E4577" s="38" t="str">
        <f>IFERROR(AVERAGEIFS('Picarro Output'!G:G, 'Picarro Output'!$B:$B, 'Uncalibrated Data'!$C4577, 'Picarro Output'!$I:$I, 0, 'Picarro Output'!$J:$J, 1), "")</f>
        <v/>
      </c>
    </row>
    <row r="4578" spans="2:5" x14ac:dyDescent="0.2">
      <c r="B4578" s="1"/>
      <c r="E4578" s="38" t="str">
        <f>IFERROR(AVERAGEIFS('Picarro Output'!G:G, 'Picarro Output'!$B:$B, 'Uncalibrated Data'!$C4578, 'Picarro Output'!$I:$I, 0, 'Picarro Output'!$J:$J, 1), "")</f>
        <v/>
      </c>
    </row>
    <row r="4579" spans="2:5" x14ac:dyDescent="0.2">
      <c r="B4579" s="1"/>
      <c r="E4579" s="38" t="str">
        <f>IFERROR(AVERAGEIFS('Picarro Output'!G:G, 'Picarro Output'!$B:$B, 'Uncalibrated Data'!$C4579, 'Picarro Output'!$I:$I, 0, 'Picarro Output'!$J:$J, 1), "")</f>
        <v/>
      </c>
    </row>
    <row r="4580" spans="2:5" x14ac:dyDescent="0.2">
      <c r="B4580" s="1"/>
      <c r="E4580" s="38" t="str">
        <f>IFERROR(AVERAGEIFS('Picarro Output'!G:G, 'Picarro Output'!$B:$B, 'Uncalibrated Data'!$C4580, 'Picarro Output'!$I:$I, 0, 'Picarro Output'!$J:$J, 1), "")</f>
        <v/>
      </c>
    </row>
    <row r="4581" spans="2:5" x14ac:dyDescent="0.2">
      <c r="B4581" s="1"/>
      <c r="E4581" s="38" t="str">
        <f>IFERROR(AVERAGEIFS('Picarro Output'!G:G, 'Picarro Output'!$B:$B, 'Uncalibrated Data'!$C4581, 'Picarro Output'!$I:$I, 0, 'Picarro Output'!$J:$J, 1), "")</f>
        <v/>
      </c>
    </row>
    <row r="4582" spans="2:5" x14ac:dyDescent="0.2">
      <c r="B4582" s="1"/>
      <c r="E4582" s="38" t="str">
        <f>IFERROR(AVERAGEIFS('Picarro Output'!G:G, 'Picarro Output'!$B:$B, 'Uncalibrated Data'!$C4582, 'Picarro Output'!$I:$I, 0, 'Picarro Output'!$J:$J, 1), "")</f>
        <v/>
      </c>
    </row>
    <row r="4583" spans="2:5" x14ac:dyDescent="0.2">
      <c r="B4583" s="1"/>
      <c r="E4583" s="38" t="str">
        <f>IFERROR(AVERAGEIFS('Picarro Output'!G:G, 'Picarro Output'!$B:$B, 'Uncalibrated Data'!$C4583, 'Picarro Output'!$I:$I, 0, 'Picarro Output'!$J:$J, 1), "")</f>
        <v/>
      </c>
    </row>
    <row r="4584" spans="2:5" x14ac:dyDescent="0.2">
      <c r="B4584" s="1"/>
      <c r="E4584" s="38" t="str">
        <f>IFERROR(AVERAGEIFS('Picarro Output'!G:G, 'Picarro Output'!$B:$B, 'Uncalibrated Data'!$C4584, 'Picarro Output'!$I:$I, 0, 'Picarro Output'!$J:$J, 1), "")</f>
        <v/>
      </c>
    </row>
    <row r="4585" spans="2:5" x14ac:dyDescent="0.2">
      <c r="B4585" s="1"/>
      <c r="E4585" s="38" t="str">
        <f>IFERROR(AVERAGEIFS('Picarro Output'!G:G, 'Picarro Output'!$B:$B, 'Uncalibrated Data'!$C4585, 'Picarro Output'!$I:$I, 0, 'Picarro Output'!$J:$J, 1), "")</f>
        <v/>
      </c>
    </row>
    <row r="4586" spans="2:5" x14ac:dyDescent="0.2">
      <c r="B4586" s="1"/>
      <c r="E4586" s="38" t="str">
        <f>IFERROR(AVERAGEIFS('Picarro Output'!G:G, 'Picarro Output'!$B:$B, 'Uncalibrated Data'!$C4586, 'Picarro Output'!$I:$I, 0, 'Picarro Output'!$J:$J, 1), "")</f>
        <v/>
      </c>
    </row>
    <row r="4587" spans="2:5" x14ac:dyDescent="0.2">
      <c r="B4587" s="1"/>
      <c r="E4587" s="38" t="str">
        <f>IFERROR(AVERAGEIFS('Picarro Output'!G:G, 'Picarro Output'!$B:$B, 'Uncalibrated Data'!$C4587, 'Picarro Output'!$I:$I, 0, 'Picarro Output'!$J:$J, 1), "")</f>
        <v/>
      </c>
    </row>
    <row r="4588" spans="2:5" x14ac:dyDescent="0.2">
      <c r="B4588" s="1"/>
      <c r="E4588" s="38" t="str">
        <f>IFERROR(AVERAGEIFS('Picarro Output'!G:G, 'Picarro Output'!$B:$B, 'Uncalibrated Data'!$C4588, 'Picarro Output'!$I:$I, 0, 'Picarro Output'!$J:$J, 1), "")</f>
        <v/>
      </c>
    </row>
    <row r="4589" spans="2:5" x14ac:dyDescent="0.2">
      <c r="B4589" s="1"/>
      <c r="E4589" s="38" t="str">
        <f>IFERROR(AVERAGEIFS('Picarro Output'!G:G, 'Picarro Output'!$B:$B, 'Uncalibrated Data'!$C4589, 'Picarro Output'!$I:$I, 0, 'Picarro Output'!$J:$J, 1), "")</f>
        <v/>
      </c>
    </row>
    <row r="4590" spans="2:5" x14ac:dyDescent="0.2">
      <c r="B4590" s="1"/>
      <c r="E4590" s="38" t="str">
        <f>IFERROR(AVERAGEIFS('Picarro Output'!G:G, 'Picarro Output'!$B:$B, 'Uncalibrated Data'!$C4590, 'Picarro Output'!$I:$I, 0, 'Picarro Output'!$J:$J, 1), "")</f>
        <v/>
      </c>
    </row>
    <row r="4591" spans="2:5" x14ac:dyDescent="0.2">
      <c r="B4591" s="1"/>
      <c r="E4591" s="38" t="str">
        <f>IFERROR(AVERAGEIFS('Picarro Output'!G:G, 'Picarro Output'!$B:$B, 'Uncalibrated Data'!$C4591, 'Picarro Output'!$I:$I, 0, 'Picarro Output'!$J:$J, 1), "")</f>
        <v/>
      </c>
    </row>
    <row r="4592" spans="2:5" x14ac:dyDescent="0.2">
      <c r="B4592" s="1"/>
      <c r="E4592" s="38" t="str">
        <f>IFERROR(AVERAGEIFS('Picarro Output'!G:G, 'Picarro Output'!$B:$B, 'Uncalibrated Data'!$C4592, 'Picarro Output'!$I:$I, 0, 'Picarro Output'!$J:$J, 1), "")</f>
        <v/>
      </c>
    </row>
    <row r="4593" spans="2:5" x14ac:dyDescent="0.2">
      <c r="B4593" s="1"/>
      <c r="E4593" s="38" t="str">
        <f>IFERROR(AVERAGEIFS('Picarro Output'!G:G, 'Picarro Output'!$B:$B, 'Uncalibrated Data'!$C4593, 'Picarro Output'!$I:$I, 0, 'Picarro Output'!$J:$J, 1), "")</f>
        <v/>
      </c>
    </row>
    <row r="4594" spans="2:5" x14ac:dyDescent="0.2">
      <c r="B4594" s="1"/>
      <c r="E4594" s="38" t="str">
        <f>IFERROR(AVERAGEIFS('Picarro Output'!G:G, 'Picarro Output'!$B:$B, 'Uncalibrated Data'!$C4594, 'Picarro Output'!$I:$I, 0, 'Picarro Output'!$J:$J, 1), "")</f>
        <v/>
      </c>
    </row>
    <row r="4595" spans="2:5" x14ac:dyDescent="0.2">
      <c r="B4595" s="1"/>
      <c r="E4595" s="38" t="str">
        <f>IFERROR(AVERAGEIFS('Picarro Output'!G:G, 'Picarro Output'!$B:$B, 'Uncalibrated Data'!$C4595, 'Picarro Output'!$I:$I, 0, 'Picarro Output'!$J:$J, 1), "")</f>
        <v/>
      </c>
    </row>
    <row r="4596" spans="2:5" x14ac:dyDescent="0.2">
      <c r="B4596" s="1"/>
      <c r="E4596" s="38" t="str">
        <f>IFERROR(AVERAGEIFS('Picarro Output'!G:G, 'Picarro Output'!$B:$B, 'Uncalibrated Data'!$C4596, 'Picarro Output'!$I:$I, 0, 'Picarro Output'!$J:$J, 1), "")</f>
        <v/>
      </c>
    </row>
    <row r="4597" spans="2:5" x14ac:dyDescent="0.2">
      <c r="B4597" s="1"/>
      <c r="E4597" s="38" t="str">
        <f>IFERROR(AVERAGEIFS('Picarro Output'!G:G, 'Picarro Output'!$B:$B, 'Uncalibrated Data'!$C4597, 'Picarro Output'!$I:$I, 0, 'Picarro Output'!$J:$J, 1), "")</f>
        <v/>
      </c>
    </row>
    <row r="4598" spans="2:5" x14ac:dyDescent="0.2">
      <c r="B4598" s="1"/>
      <c r="E4598" s="38" t="str">
        <f>IFERROR(AVERAGEIFS('Picarro Output'!G:G, 'Picarro Output'!$B:$B, 'Uncalibrated Data'!$C4598, 'Picarro Output'!$I:$I, 0, 'Picarro Output'!$J:$J, 1), "")</f>
        <v/>
      </c>
    </row>
    <row r="4599" spans="2:5" x14ac:dyDescent="0.2">
      <c r="B4599" s="1"/>
      <c r="E4599" s="38" t="str">
        <f>IFERROR(AVERAGEIFS('Picarro Output'!G:G, 'Picarro Output'!$B:$B, 'Uncalibrated Data'!$C4599, 'Picarro Output'!$I:$I, 0, 'Picarro Output'!$J:$J, 1), "")</f>
        <v/>
      </c>
    </row>
    <row r="4600" spans="2:5" x14ac:dyDescent="0.2">
      <c r="B4600" s="1"/>
      <c r="E4600" s="38" t="str">
        <f>IFERROR(AVERAGEIFS('Picarro Output'!G:G, 'Picarro Output'!$B:$B, 'Uncalibrated Data'!$C4600, 'Picarro Output'!$I:$I, 0, 'Picarro Output'!$J:$J, 1), "")</f>
        <v/>
      </c>
    </row>
    <row r="4601" spans="2:5" x14ac:dyDescent="0.2">
      <c r="B4601" s="1"/>
      <c r="E4601" s="38" t="str">
        <f>IFERROR(AVERAGEIFS('Picarro Output'!G:G, 'Picarro Output'!$B:$B, 'Uncalibrated Data'!$C4601, 'Picarro Output'!$I:$I, 0, 'Picarro Output'!$J:$J, 1), "")</f>
        <v/>
      </c>
    </row>
    <row r="4602" spans="2:5" x14ac:dyDescent="0.2">
      <c r="B4602" s="1"/>
      <c r="E4602" s="38" t="str">
        <f>IFERROR(AVERAGEIFS('Picarro Output'!G:G, 'Picarro Output'!$B:$B, 'Uncalibrated Data'!$C4602, 'Picarro Output'!$I:$I, 0, 'Picarro Output'!$J:$J, 1), "")</f>
        <v/>
      </c>
    </row>
    <row r="4603" spans="2:5" x14ac:dyDescent="0.2">
      <c r="B4603" s="1"/>
      <c r="E4603" s="38" t="str">
        <f>IFERROR(AVERAGEIFS('Picarro Output'!G:G, 'Picarro Output'!$B:$B, 'Uncalibrated Data'!$C4603, 'Picarro Output'!$I:$I, 0, 'Picarro Output'!$J:$J, 1), "")</f>
        <v/>
      </c>
    </row>
    <row r="4604" spans="2:5" x14ac:dyDescent="0.2">
      <c r="B4604" s="1"/>
      <c r="E4604" s="38" t="str">
        <f>IFERROR(AVERAGEIFS('Picarro Output'!G:G, 'Picarro Output'!$B:$B, 'Uncalibrated Data'!$C4604, 'Picarro Output'!$I:$I, 0, 'Picarro Output'!$J:$J, 1), "")</f>
        <v/>
      </c>
    </row>
    <row r="4605" spans="2:5" x14ac:dyDescent="0.2">
      <c r="B4605" s="1"/>
      <c r="E4605" s="38" t="str">
        <f>IFERROR(AVERAGEIFS('Picarro Output'!G:G, 'Picarro Output'!$B:$B, 'Uncalibrated Data'!$C4605, 'Picarro Output'!$I:$I, 0, 'Picarro Output'!$J:$J, 1), "")</f>
        <v/>
      </c>
    </row>
    <row r="4606" spans="2:5" x14ac:dyDescent="0.2">
      <c r="B4606" s="1"/>
      <c r="E4606" s="38" t="str">
        <f>IFERROR(AVERAGEIFS('Picarro Output'!G:G, 'Picarro Output'!$B:$B, 'Uncalibrated Data'!$C4606, 'Picarro Output'!$I:$I, 0, 'Picarro Output'!$J:$J, 1), "")</f>
        <v/>
      </c>
    </row>
    <row r="4607" spans="2:5" x14ac:dyDescent="0.2">
      <c r="B4607" s="1"/>
      <c r="E4607" s="38" t="str">
        <f>IFERROR(AVERAGEIFS('Picarro Output'!G:G, 'Picarro Output'!$B:$B, 'Uncalibrated Data'!$C4607, 'Picarro Output'!$I:$I, 0, 'Picarro Output'!$J:$J, 1), "")</f>
        <v/>
      </c>
    </row>
    <row r="4608" spans="2:5" x14ac:dyDescent="0.2">
      <c r="B4608" s="1"/>
      <c r="E4608" s="38" t="str">
        <f>IFERROR(AVERAGEIFS('Picarro Output'!G:G, 'Picarro Output'!$B:$B, 'Uncalibrated Data'!$C4608, 'Picarro Output'!$I:$I, 0, 'Picarro Output'!$J:$J, 1), "")</f>
        <v/>
      </c>
    </row>
    <row r="4609" spans="2:5" x14ac:dyDescent="0.2">
      <c r="B4609" s="1"/>
      <c r="E4609" s="38" t="str">
        <f>IFERROR(AVERAGEIFS('Picarro Output'!G:G, 'Picarro Output'!$B:$B, 'Uncalibrated Data'!$C4609, 'Picarro Output'!$I:$I, 0, 'Picarro Output'!$J:$J, 1), "")</f>
        <v/>
      </c>
    </row>
    <row r="4610" spans="2:5" x14ac:dyDescent="0.2">
      <c r="B4610" s="1"/>
      <c r="E4610" s="38" t="str">
        <f>IFERROR(AVERAGEIFS('Picarro Output'!G:G, 'Picarro Output'!$B:$B, 'Uncalibrated Data'!$C4610, 'Picarro Output'!$I:$I, 0, 'Picarro Output'!$J:$J, 1), "")</f>
        <v/>
      </c>
    </row>
    <row r="4611" spans="2:5" x14ac:dyDescent="0.2">
      <c r="B4611" s="1"/>
      <c r="E4611" s="38" t="str">
        <f>IFERROR(AVERAGEIFS('Picarro Output'!G:G, 'Picarro Output'!$B:$B, 'Uncalibrated Data'!$C4611, 'Picarro Output'!$I:$I, 0, 'Picarro Output'!$J:$J, 1), "")</f>
        <v/>
      </c>
    </row>
    <row r="4612" spans="2:5" x14ac:dyDescent="0.2">
      <c r="B4612" s="1"/>
      <c r="E4612" s="38" t="str">
        <f>IFERROR(AVERAGEIFS('Picarro Output'!G:G, 'Picarro Output'!$B:$B, 'Uncalibrated Data'!$C4612, 'Picarro Output'!$I:$I, 0, 'Picarro Output'!$J:$J, 1), "")</f>
        <v/>
      </c>
    </row>
    <row r="4613" spans="2:5" x14ac:dyDescent="0.2">
      <c r="B4613" s="1"/>
      <c r="E4613" s="38" t="str">
        <f>IFERROR(AVERAGEIFS('Picarro Output'!G:G, 'Picarro Output'!$B:$B, 'Uncalibrated Data'!$C4613, 'Picarro Output'!$I:$I, 0, 'Picarro Output'!$J:$J, 1), "")</f>
        <v/>
      </c>
    </row>
    <row r="4614" spans="2:5" x14ac:dyDescent="0.2">
      <c r="B4614" s="1"/>
      <c r="E4614" s="38" t="str">
        <f>IFERROR(AVERAGEIFS('Picarro Output'!G:G, 'Picarro Output'!$B:$B, 'Uncalibrated Data'!$C4614, 'Picarro Output'!$I:$I, 0, 'Picarro Output'!$J:$J, 1), "")</f>
        <v/>
      </c>
    </row>
    <row r="4615" spans="2:5" x14ac:dyDescent="0.2">
      <c r="B4615" s="1"/>
      <c r="E4615" s="38" t="str">
        <f>IFERROR(AVERAGEIFS('Picarro Output'!G:G, 'Picarro Output'!$B:$B, 'Uncalibrated Data'!$C4615, 'Picarro Output'!$I:$I, 0, 'Picarro Output'!$J:$J, 1), "")</f>
        <v/>
      </c>
    </row>
    <row r="4616" spans="2:5" x14ac:dyDescent="0.2">
      <c r="B4616" s="1"/>
      <c r="E4616" s="38" t="str">
        <f>IFERROR(AVERAGEIFS('Picarro Output'!G:G, 'Picarro Output'!$B:$B, 'Uncalibrated Data'!$C4616, 'Picarro Output'!$I:$I, 0, 'Picarro Output'!$J:$J, 1), "")</f>
        <v/>
      </c>
    </row>
    <row r="4617" spans="2:5" x14ac:dyDescent="0.2">
      <c r="B4617" s="1"/>
      <c r="E4617" s="38" t="str">
        <f>IFERROR(AVERAGEIFS('Picarro Output'!G:G, 'Picarro Output'!$B:$B, 'Uncalibrated Data'!$C4617, 'Picarro Output'!$I:$I, 0, 'Picarro Output'!$J:$J, 1), "")</f>
        <v/>
      </c>
    </row>
    <row r="4618" spans="2:5" x14ac:dyDescent="0.2">
      <c r="B4618" s="1"/>
      <c r="E4618" s="38" t="str">
        <f>IFERROR(AVERAGEIFS('Picarro Output'!G:G, 'Picarro Output'!$B:$B, 'Uncalibrated Data'!$C4618, 'Picarro Output'!$I:$I, 0, 'Picarro Output'!$J:$J, 1), "")</f>
        <v/>
      </c>
    </row>
    <row r="4619" spans="2:5" x14ac:dyDescent="0.2">
      <c r="B4619" s="1"/>
      <c r="E4619" s="38" t="str">
        <f>IFERROR(AVERAGEIFS('Picarro Output'!G:G, 'Picarro Output'!$B:$B, 'Uncalibrated Data'!$C4619, 'Picarro Output'!$I:$I, 0, 'Picarro Output'!$J:$J, 1), "")</f>
        <v/>
      </c>
    </row>
    <row r="4620" spans="2:5" x14ac:dyDescent="0.2">
      <c r="B4620" s="1"/>
      <c r="E4620" s="38" t="str">
        <f>IFERROR(AVERAGEIFS('Picarro Output'!G:G, 'Picarro Output'!$B:$B, 'Uncalibrated Data'!$C4620, 'Picarro Output'!$I:$I, 0, 'Picarro Output'!$J:$J, 1), "")</f>
        <v/>
      </c>
    </row>
    <row r="4621" spans="2:5" x14ac:dyDescent="0.2">
      <c r="B4621" s="1"/>
      <c r="E4621" s="38" t="str">
        <f>IFERROR(AVERAGEIFS('Picarro Output'!G:G, 'Picarro Output'!$B:$B, 'Uncalibrated Data'!$C4621, 'Picarro Output'!$I:$I, 0, 'Picarro Output'!$J:$J, 1), "")</f>
        <v/>
      </c>
    </row>
    <row r="4622" spans="2:5" x14ac:dyDescent="0.2">
      <c r="B4622" s="1"/>
      <c r="E4622" s="38" t="str">
        <f>IFERROR(AVERAGEIFS('Picarro Output'!G:G, 'Picarro Output'!$B:$B, 'Uncalibrated Data'!$C4622, 'Picarro Output'!$I:$I, 0, 'Picarro Output'!$J:$J, 1), "")</f>
        <v/>
      </c>
    </row>
    <row r="4623" spans="2:5" x14ac:dyDescent="0.2">
      <c r="B4623" s="1"/>
      <c r="E4623" s="38" t="str">
        <f>IFERROR(AVERAGEIFS('Picarro Output'!G:G, 'Picarro Output'!$B:$B, 'Uncalibrated Data'!$C4623, 'Picarro Output'!$I:$I, 0, 'Picarro Output'!$J:$J, 1), "")</f>
        <v/>
      </c>
    </row>
    <row r="4624" spans="2:5" x14ac:dyDescent="0.2">
      <c r="B4624" s="1"/>
      <c r="E4624" s="38" t="str">
        <f>IFERROR(AVERAGEIFS('Picarro Output'!G:G, 'Picarro Output'!$B:$B, 'Uncalibrated Data'!$C4624, 'Picarro Output'!$I:$I, 0, 'Picarro Output'!$J:$J, 1), "")</f>
        <v/>
      </c>
    </row>
    <row r="4625" spans="2:5" x14ac:dyDescent="0.2">
      <c r="B4625" s="1"/>
      <c r="E4625" s="38" t="str">
        <f>IFERROR(AVERAGEIFS('Picarro Output'!G:G, 'Picarro Output'!$B:$B, 'Uncalibrated Data'!$C4625, 'Picarro Output'!$I:$I, 0, 'Picarro Output'!$J:$J, 1), "")</f>
        <v/>
      </c>
    </row>
    <row r="4626" spans="2:5" x14ac:dyDescent="0.2">
      <c r="B4626" s="1"/>
      <c r="E4626" s="38" t="str">
        <f>IFERROR(AVERAGEIFS('Picarro Output'!G:G, 'Picarro Output'!$B:$B, 'Uncalibrated Data'!$C4626, 'Picarro Output'!$I:$I, 0, 'Picarro Output'!$J:$J, 1), "")</f>
        <v/>
      </c>
    </row>
    <row r="4627" spans="2:5" x14ac:dyDescent="0.2">
      <c r="B4627" s="1"/>
      <c r="E4627" s="38" t="str">
        <f>IFERROR(AVERAGEIFS('Picarro Output'!G:G, 'Picarro Output'!$B:$B, 'Uncalibrated Data'!$C4627, 'Picarro Output'!$I:$I, 0, 'Picarro Output'!$J:$J, 1), "")</f>
        <v/>
      </c>
    </row>
    <row r="4628" spans="2:5" x14ac:dyDescent="0.2">
      <c r="B4628" s="1"/>
      <c r="E4628" s="38" t="str">
        <f>IFERROR(AVERAGEIFS('Picarro Output'!G:G, 'Picarro Output'!$B:$B, 'Uncalibrated Data'!$C4628, 'Picarro Output'!$I:$I, 0, 'Picarro Output'!$J:$J, 1), "")</f>
        <v/>
      </c>
    </row>
    <row r="4629" spans="2:5" x14ac:dyDescent="0.2">
      <c r="B4629" s="1"/>
      <c r="E4629" s="38" t="str">
        <f>IFERROR(AVERAGEIFS('Picarro Output'!G:G, 'Picarro Output'!$B:$B, 'Uncalibrated Data'!$C4629, 'Picarro Output'!$I:$I, 0, 'Picarro Output'!$J:$J, 1), "")</f>
        <v/>
      </c>
    </row>
    <row r="4630" spans="2:5" x14ac:dyDescent="0.2">
      <c r="B4630" s="1"/>
      <c r="E4630" s="38" t="str">
        <f>IFERROR(AVERAGEIFS('Picarro Output'!G:G, 'Picarro Output'!$B:$B, 'Uncalibrated Data'!$C4630, 'Picarro Output'!$I:$I, 0, 'Picarro Output'!$J:$J, 1), "")</f>
        <v/>
      </c>
    </row>
    <row r="4631" spans="2:5" x14ac:dyDescent="0.2">
      <c r="B4631" s="1"/>
      <c r="E4631" s="38" t="str">
        <f>IFERROR(AVERAGEIFS('Picarro Output'!G:G, 'Picarro Output'!$B:$B, 'Uncalibrated Data'!$C4631, 'Picarro Output'!$I:$I, 0, 'Picarro Output'!$J:$J, 1), "")</f>
        <v/>
      </c>
    </row>
    <row r="4632" spans="2:5" x14ac:dyDescent="0.2">
      <c r="B4632" s="1"/>
      <c r="E4632" s="38" t="str">
        <f>IFERROR(AVERAGEIFS('Picarro Output'!G:G, 'Picarro Output'!$B:$B, 'Uncalibrated Data'!$C4632, 'Picarro Output'!$I:$I, 0, 'Picarro Output'!$J:$J, 1), "")</f>
        <v/>
      </c>
    </row>
    <row r="4633" spans="2:5" x14ac:dyDescent="0.2">
      <c r="B4633" s="1"/>
      <c r="E4633" s="38" t="str">
        <f>IFERROR(AVERAGEIFS('Picarro Output'!G:G, 'Picarro Output'!$B:$B, 'Uncalibrated Data'!$C4633, 'Picarro Output'!$I:$I, 0, 'Picarro Output'!$J:$J, 1), "")</f>
        <v/>
      </c>
    </row>
    <row r="4634" spans="2:5" x14ac:dyDescent="0.2">
      <c r="B4634" s="1"/>
      <c r="E4634" s="38" t="str">
        <f>IFERROR(AVERAGEIFS('Picarro Output'!G:G, 'Picarro Output'!$B:$B, 'Uncalibrated Data'!$C4634, 'Picarro Output'!$I:$I, 0, 'Picarro Output'!$J:$J, 1), "")</f>
        <v/>
      </c>
    </row>
    <row r="4635" spans="2:5" x14ac:dyDescent="0.2">
      <c r="B4635" s="1"/>
      <c r="E4635" s="38" t="str">
        <f>IFERROR(AVERAGEIFS('Picarro Output'!G:G, 'Picarro Output'!$B:$B, 'Uncalibrated Data'!$C4635, 'Picarro Output'!$I:$I, 0, 'Picarro Output'!$J:$J, 1), "")</f>
        <v/>
      </c>
    </row>
    <row r="4636" spans="2:5" x14ac:dyDescent="0.2">
      <c r="B4636" s="1"/>
      <c r="E4636" s="38" t="str">
        <f>IFERROR(AVERAGEIFS('Picarro Output'!G:G, 'Picarro Output'!$B:$B, 'Uncalibrated Data'!$C4636, 'Picarro Output'!$I:$I, 0, 'Picarro Output'!$J:$J, 1), "")</f>
        <v/>
      </c>
    </row>
    <row r="4637" spans="2:5" x14ac:dyDescent="0.2">
      <c r="B4637" s="1"/>
      <c r="E4637" s="38" t="str">
        <f>IFERROR(AVERAGEIFS('Picarro Output'!G:G, 'Picarro Output'!$B:$B, 'Uncalibrated Data'!$C4637, 'Picarro Output'!$I:$I, 0, 'Picarro Output'!$J:$J, 1), "")</f>
        <v/>
      </c>
    </row>
    <row r="4638" spans="2:5" x14ac:dyDescent="0.2">
      <c r="B4638" s="1"/>
      <c r="E4638" s="38" t="str">
        <f>IFERROR(AVERAGEIFS('Picarro Output'!G:G, 'Picarro Output'!$B:$B, 'Uncalibrated Data'!$C4638, 'Picarro Output'!$I:$I, 0, 'Picarro Output'!$J:$J, 1), "")</f>
        <v/>
      </c>
    </row>
    <row r="4639" spans="2:5" x14ac:dyDescent="0.2">
      <c r="B4639" s="1"/>
      <c r="E4639" s="38" t="str">
        <f>IFERROR(AVERAGEIFS('Picarro Output'!G:G, 'Picarro Output'!$B:$B, 'Uncalibrated Data'!$C4639, 'Picarro Output'!$I:$I, 0, 'Picarro Output'!$J:$J, 1), "")</f>
        <v/>
      </c>
    </row>
    <row r="4640" spans="2:5" x14ac:dyDescent="0.2">
      <c r="B4640" s="1"/>
      <c r="E4640" s="38" t="str">
        <f>IFERROR(AVERAGEIFS('Picarro Output'!G:G, 'Picarro Output'!$B:$B, 'Uncalibrated Data'!$C4640, 'Picarro Output'!$I:$I, 0, 'Picarro Output'!$J:$J, 1), "")</f>
        <v/>
      </c>
    </row>
    <row r="4641" spans="2:5" x14ac:dyDescent="0.2">
      <c r="B4641" s="1"/>
      <c r="E4641" s="38" t="str">
        <f>IFERROR(AVERAGEIFS('Picarro Output'!G:G, 'Picarro Output'!$B:$B, 'Uncalibrated Data'!$C4641, 'Picarro Output'!$I:$I, 0, 'Picarro Output'!$J:$J, 1), "")</f>
        <v/>
      </c>
    </row>
    <row r="4642" spans="2:5" x14ac:dyDescent="0.2">
      <c r="B4642" s="1"/>
      <c r="E4642" s="38" t="str">
        <f>IFERROR(AVERAGEIFS('Picarro Output'!G:G, 'Picarro Output'!$B:$B, 'Uncalibrated Data'!$C4642, 'Picarro Output'!$I:$I, 0, 'Picarro Output'!$J:$J, 1), "")</f>
        <v/>
      </c>
    </row>
    <row r="4643" spans="2:5" x14ac:dyDescent="0.2">
      <c r="B4643" s="1"/>
      <c r="E4643" s="38" t="str">
        <f>IFERROR(AVERAGEIFS('Picarro Output'!G:G, 'Picarro Output'!$B:$B, 'Uncalibrated Data'!$C4643, 'Picarro Output'!$I:$I, 0, 'Picarro Output'!$J:$J, 1), "")</f>
        <v/>
      </c>
    </row>
    <row r="4644" spans="2:5" x14ac:dyDescent="0.2">
      <c r="B4644" s="1"/>
      <c r="E4644" s="38" t="str">
        <f>IFERROR(AVERAGEIFS('Picarro Output'!G:G, 'Picarro Output'!$B:$B, 'Uncalibrated Data'!$C4644, 'Picarro Output'!$I:$I, 0, 'Picarro Output'!$J:$J, 1), "")</f>
        <v/>
      </c>
    </row>
    <row r="4645" spans="2:5" x14ac:dyDescent="0.2">
      <c r="B4645" s="1"/>
      <c r="E4645" s="38" t="str">
        <f>IFERROR(AVERAGEIFS('Picarro Output'!G:G, 'Picarro Output'!$B:$B, 'Uncalibrated Data'!$C4645, 'Picarro Output'!$I:$I, 0, 'Picarro Output'!$J:$J, 1), "")</f>
        <v/>
      </c>
    </row>
    <row r="4646" spans="2:5" x14ac:dyDescent="0.2">
      <c r="B4646" s="1"/>
      <c r="E4646" s="38" t="str">
        <f>IFERROR(AVERAGEIFS('Picarro Output'!G:G, 'Picarro Output'!$B:$B, 'Uncalibrated Data'!$C4646, 'Picarro Output'!$I:$I, 0, 'Picarro Output'!$J:$J, 1), "")</f>
        <v/>
      </c>
    </row>
    <row r="4647" spans="2:5" x14ac:dyDescent="0.2">
      <c r="B4647" s="1"/>
      <c r="E4647" s="38" t="str">
        <f>IFERROR(AVERAGEIFS('Picarro Output'!G:G, 'Picarro Output'!$B:$B, 'Uncalibrated Data'!$C4647, 'Picarro Output'!$I:$I, 0, 'Picarro Output'!$J:$J, 1), "")</f>
        <v/>
      </c>
    </row>
    <row r="4648" spans="2:5" x14ac:dyDescent="0.2">
      <c r="B4648" s="1"/>
      <c r="E4648" s="38" t="str">
        <f>IFERROR(AVERAGEIFS('Picarro Output'!G:G, 'Picarro Output'!$B:$B, 'Uncalibrated Data'!$C4648, 'Picarro Output'!$I:$I, 0, 'Picarro Output'!$J:$J, 1), "")</f>
        <v/>
      </c>
    </row>
    <row r="4649" spans="2:5" x14ac:dyDescent="0.2">
      <c r="B4649" s="1"/>
      <c r="E4649" s="38" t="str">
        <f>IFERROR(AVERAGEIFS('Picarro Output'!G:G, 'Picarro Output'!$B:$B, 'Uncalibrated Data'!$C4649, 'Picarro Output'!$I:$I, 0, 'Picarro Output'!$J:$J, 1), "")</f>
        <v/>
      </c>
    </row>
    <row r="4650" spans="2:5" x14ac:dyDescent="0.2">
      <c r="B4650" s="1"/>
      <c r="E4650" s="38" t="str">
        <f>IFERROR(AVERAGEIFS('Picarro Output'!G:G, 'Picarro Output'!$B:$B, 'Uncalibrated Data'!$C4650, 'Picarro Output'!$I:$I, 0, 'Picarro Output'!$J:$J, 1), "")</f>
        <v/>
      </c>
    </row>
    <row r="4651" spans="2:5" x14ac:dyDescent="0.2">
      <c r="B4651" s="1"/>
      <c r="E4651" s="38" t="str">
        <f>IFERROR(AVERAGEIFS('Picarro Output'!G:G, 'Picarro Output'!$B:$B, 'Uncalibrated Data'!$C4651, 'Picarro Output'!$I:$I, 0, 'Picarro Output'!$J:$J, 1), "")</f>
        <v/>
      </c>
    </row>
    <row r="4652" spans="2:5" x14ac:dyDescent="0.2">
      <c r="B4652" s="1"/>
      <c r="E4652" s="38" t="str">
        <f>IFERROR(AVERAGEIFS('Picarro Output'!G:G, 'Picarro Output'!$B:$B, 'Uncalibrated Data'!$C4652, 'Picarro Output'!$I:$I, 0, 'Picarro Output'!$J:$J, 1), "")</f>
        <v/>
      </c>
    </row>
    <row r="4653" spans="2:5" x14ac:dyDescent="0.2">
      <c r="B4653" s="1"/>
      <c r="E4653" s="38" t="str">
        <f>IFERROR(AVERAGEIFS('Picarro Output'!G:G, 'Picarro Output'!$B:$B, 'Uncalibrated Data'!$C4653, 'Picarro Output'!$I:$I, 0, 'Picarro Output'!$J:$J, 1), "")</f>
        <v/>
      </c>
    </row>
    <row r="4654" spans="2:5" x14ac:dyDescent="0.2">
      <c r="B4654" s="1"/>
      <c r="E4654" s="38" t="str">
        <f>IFERROR(AVERAGEIFS('Picarro Output'!G:G, 'Picarro Output'!$B:$B, 'Uncalibrated Data'!$C4654, 'Picarro Output'!$I:$I, 0, 'Picarro Output'!$J:$J, 1), "")</f>
        <v/>
      </c>
    </row>
    <row r="4655" spans="2:5" x14ac:dyDescent="0.2">
      <c r="B4655" s="1"/>
      <c r="E4655" s="38" t="str">
        <f>IFERROR(AVERAGEIFS('Picarro Output'!G:G, 'Picarro Output'!$B:$B, 'Uncalibrated Data'!$C4655, 'Picarro Output'!$I:$I, 0, 'Picarro Output'!$J:$J, 1), "")</f>
        <v/>
      </c>
    </row>
    <row r="4656" spans="2:5" x14ac:dyDescent="0.2">
      <c r="B4656" s="1"/>
      <c r="E4656" s="38" t="str">
        <f>IFERROR(AVERAGEIFS('Picarro Output'!G:G, 'Picarro Output'!$B:$B, 'Uncalibrated Data'!$C4656, 'Picarro Output'!$I:$I, 0, 'Picarro Output'!$J:$J, 1), "")</f>
        <v/>
      </c>
    </row>
    <row r="4657" spans="2:5" x14ac:dyDescent="0.2">
      <c r="B4657" s="1"/>
      <c r="E4657" s="38" t="str">
        <f>IFERROR(AVERAGEIFS('Picarro Output'!G:G, 'Picarro Output'!$B:$B, 'Uncalibrated Data'!$C4657, 'Picarro Output'!$I:$I, 0, 'Picarro Output'!$J:$J, 1), "")</f>
        <v/>
      </c>
    </row>
    <row r="4658" spans="2:5" x14ac:dyDescent="0.2">
      <c r="B4658" s="1"/>
      <c r="E4658" s="38" t="str">
        <f>IFERROR(AVERAGEIFS('Picarro Output'!G:G, 'Picarro Output'!$B:$B, 'Uncalibrated Data'!$C4658, 'Picarro Output'!$I:$I, 0, 'Picarro Output'!$J:$J, 1), "")</f>
        <v/>
      </c>
    </row>
    <row r="4659" spans="2:5" x14ac:dyDescent="0.2">
      <c r="B4659" s="1"/>
      <c r="E4659" s="38" t="str">
        <f>IFERROR(AVERAGEIFS('Picarro Output'!G:G, 'Picarro Output'!$B:$B, 'Uncalibrated Data'!$C4659, 'Picarro Output'!$I:$I, 0, 'Picarro Output'!$J:$J, 1), "")</f>
        <v/>
      </c>
    </row>
    <row r="4660" spans="2:5" x14ac:dyDescent="0.2">
      <c r="B4660" s="1"/>
      <c r="E4660" s="38" t="str">
        <f>IFERROR(AVERAGEIFS('Picarro Output'!G:G, 'Picarro Output'!$B:$B, 'Uncalibrated Data'!$C4660, 'Picarro Output'!$I:$I, 0, 'Picarro Output'!$J:$J, 1), "")</f>
        <v/>
      </c>
    </row>
    <row r="4661" spans="2:5" x14ac:dyDescent="0.2">
      <c r="B4661" s="1"/>
      <c r="E4661" s="38" t="str">
        <f>IFERROR(AVERAGEIFS('Picarro Output'!G:G, 'Picarro Output'!$B:$B, 'Uncalibrated Data'!$C4661, 'Picarro Output'!$I:$I, 0, 'Picarro Output'!$J:$J, 1), "")</f>
        <v/>
      </c>
    </row>
    <row r="4662" spans="2:5" x14ac:dyDescent="0.2">
      <c r="B4662" s="1"/>
      <c r="E4662" s="38" t="str">
        <f>IFERROR(AVERAGEIFS('Picarro Output'!G:G, 'Picarro Output'!$B:$B, 'Uncalibrated Data'!$C4662, 'Picarro Output'!$I:$I, 0, 'Picarro Output'!$J:$J, 1), "")</f>
        <v/>
      </c>
    </row>
    <row r="4663" spans="2:5" x14ac:dyDescent="0.2">
      <c r="B4663" s="1"/>
      <c r="E4663" s="38" t="str">
        <f>IFERROR(AVERAGEIFS('Picarro Output'!G:G, 'Picarro Output'!$B:$B, 'Uncalibrated Data'!$C4663, 'Picarro Output'!$I:$I, 0, 'Picarro Output'!$J:$J, 1), "")</f>
        <v/>
      </c>
    </row>
    <row r="4664" spans="2:5" x14ac:dyDescent="0.2">
      <c r="B4664" s="1"/>
      <c r="E4664" s="38" t="str">
        <f>IFERROR(AVERAGEIFS('Picarro Output'!G:G, 'Picarro Output'!$B:$B, 'Uncalibrated Data'!$C4664, 'Picarro Output'!$I:$I, 0, 'Picarro Output'!$J:$J, 1), "")</f>
        <v/>
      </c>
    </row>
    <row r="4665" spans="2:5" x14ac:dyDescent="0.2">
      <c r="B4665" s="1"/>
      <c r="E4665" s="38" t="str">
        <f>IFERROR(AVERAGEIFS('Picarro Output'!G:G, 'Picarro Output'!$B:$B, 'Uncalibrated Data'!$C4665, 'Picarro Output'!$I:$I, 0, 'Picarro Output'!$J:$J, 1), "")</f>
        <v/>
      </c>
    </row>
    <row r="4666" spans="2:5" x14ac:dyDescent="0.2">
      <c r="B4666" s="1"/>
      <c r="E4666" s="38" t="str">
        <f>IFERROR(AVERAGEIFS('Picarro Output'!G:G, 'Picarro Output'!$B:$B, 'Uncalibrated Data'!$C4666, 'Picarro Output'!$I:$I, 0, 'Picarro Output'!$J:$J, 1), "")</f>
        <v/>
      </c>
    </row>
    <row r="4667" spans="2:5" x14ac:dyDescent="0.2">
      <c r="B4667" s="1"/>
      <c r="E4667" s="38" t="str">
        <f>IFERROR(AVERAGEIFS('Picarro Output'!G:G, 'Picarro Output'!$B:$B, 'Uncalibrated Data'!$C4667, 'Picarro Output'!$I:$I, 0, 'Picarro Output'!$J:$J, 1), "")</f>
        <v/>
      </c>
    </row>
    <row r="4668" spans="2:5" x14ac:dyDescent="0.2">
      <c r="B4668" s="1"/>
      <c r="E4668" s="38" t="str">
        <f>IFERROR(AVERAGEIFS('Picarro Output'!G:G, 'Picarro Output'!$B:$B, 'Uncalibrated Data'!$C4668, 'Picarro Output'!$I:$I, 0, 'Picarro Output'!$J:$J, 1), "")</f>
        <v/>
      </c>
    </row>
    <row r="4669" spans="2:5" x14ac:dyDescent="0.2">
      <c r="B4669" s="1"/>
      <c r="E4669" s="38" t="str">
        <f>IFERROR(AVERAGEIFS('Picarro Output'!G:G, 'Picarro Output'!$B:$B, 'Uncalibrated Data'!$C4669, 'Picarro Output'!$I:$I, 0, 'Picarro Output'!$J:$J, 1), "")</f>
        <v/>
      </c>
    </row>
    <row r="4670" spans="2:5" x14ac:dyDescent="0.2">
      <c r="B4670" s="1"/>
      <c r="E4670" s="38" t="str">
        <f>IFERROR(AVERAGEIFS('Picarro Output'!G:G, 'Picarro Output'!$B:$B, 'Uncalibrated Data'!$C4670, 'Picarro Output'!$I:$I, 0, 'Picarro Output'!$J:$J, 1), "")</f>
        <v/>
      </c>
    </row>
    <row r="4671" spans="2:5" x14ac:dyDescent="0.2">
      <c r="B4671" s="1"/>
      <c r="E4671" s="38" t="str">
        <f>IFERROR(AVERAGEIFS('Picarro Output'!G:G, 'Picarro Output'!$B:$B, 'Uncalibrated Data'!$C4671, 'Picarro Output'!$I:$I, 0, 'Picarro Output'!$J:$J, 1), "")</f>
        <v/>
      </c>
    </row>
    <row r="4672" spans="2:5" x14ac:dyDescent="0.2">
      <c r="B4672" s="1"/>
      <c r="E4672" s="38" t="str">
        <f>IFERROR(AVERAGEIFS('Picarro Output'!G:G, 'Picarro Output'!$B:$B, 'Uncalibrated Data'!$C4672, 'Picarro Output'!$I:$I, 0, 'Picarro Output'!$J:$J, 1), "")</f>
        <v/>
      </c>
    </row>
    <row r="4673" spans="2:5" x14ac:dyDescent="0.2">
      <c r="B4673" s="1"/>
      <c r="E4673" s="38" t="str">
        <f>IFERROR(AVERAGEIFS('Picarro Output'!G:G, 'Picarro Output'!$B:$B, 'Uncalibrated Data'!$C4673, 'Picarro Output'!$I:$I, 0, 'Picarro Output'!$J:$J, 1), "")</f>
        <v/>
      </c>
    </row>
    <row r="4674" spans="2:5" x14ac:dyDescent="0.2">
      <c r="B4674" s="1"/>
      <c r="E4674" s="38" t="str">
        <f>IFERROR(AVERAGEIFS('Picarro Output'!G:G, 'Picarro Output'!$B:$B, 'Uncalibrated Data'!$C4674, 'Picarro Output'!$I:$I, 0, 'Picarro Output'!$J:$J, 1), "")</f>
        <v/>
      </c>
    </row>
    <row r="4675" spans="2:5" x14ac:dyDescent="0.2">
      <c r="B4675" s="1"/>
      <c r="E4675" s="38" t="str">
        <f>IFERROR(AVERAGEIFS('Picarro Output'!G:G, 'Picarro Output'!$B:$B, 'Uncalibrated Data'!$C4675, 'Picarro Output'!$I:$I, 0, 'Picarro Output'!$J:$J, 1), "")</f>
        <v/>
      </c>
    </row>
    <row r="4676" spans="2:5" x14ac:dyDescent="0.2">
      <c r="B4676" s="1"/>
      <c r="E4676" s="38" t="str">
        <f>IFERROR(AVERAGEIFS('Picarro Output'!G:G, 'Picarro Output'!$B:$B, 'Uncalibrated Data'!$C4676, 'Picarro Output'!$I:$I, 0, 'Picarro Output'!$J:$J, 1), "")</f>
        <v/>
      </c>
    </row>
    <row r="4677" spans="2:5" x14ac:dyDescent="0.2">
      <c r="B4677" s="1"/>
      <c r="E4677" s="38" t="str">
        <f>IFERROR(AVERAGEIFS('Picarro Output'!G:G, 'Picarro Output'!$B:$B, 'Uncalibrated Data'!$C4677, 'Picarro Output'!$I:$I, 0, 'Picarro Output'!$J:$J, 1), "")</f>
        <v/>
      </c>
    </row>
    <row r="4678" spans="2:5" x14ac:dyDescent="0.2">
      <c r="B4678" s="1"/>
      <c r="E4678" s="38" t="str">
        <f>IFERROR(AVERAGEIFS('Picarro Output'!G:G, 'Picarro Output'!$B:$B, 'Uncalibrated Data'!$C4678, 'Picarro Output'!$I:$I, 0, 'Picarro Output'!$J:$J, 1), "")</f>
        <v/>
      </c>
    </row>
    <row r="4679" spans="2:5" x14ac:dyDescent="0.2">
      <c r="B4679" s="1"/>
      <c r="E4679" s="38" t="str">
        <f>IFERROR(AVERAGEIFS('Picarro Output'!G:G, 'Picarro Output'!$B:$B, 'Uncalibrated Data'!$C4679, 'Picarro Output'!$I:$I, 0, 'Picarro Output'!$J:$J, 1), "")</f>
        <v/>
      </c>
    </row>
    <row r="4680" spans="2:5" x14ac:dyDescent="0.2">
      <c r="B4680" s="1"/>
      <c r="E4680" s="38" t="str">
        <f>IFERROR(AVERAGEIFS('Picarro Output'!G:G, 'Picarro Output'!$B:$B, 'Uncalibrated Data'!$C4680, 'Picarro Output'!$I:$I, 0, 'Picarro Output'!$J:$J, 1), "")</f>
        <v/>
      </c>
    </row>
    <row r="4681" spans="2:5" x14ac:dyDescent="0.2">
      <c r="B4681" s="1"/>
      <c r="E4681" s="38" t="str">
        <f>IFERROR(AVERAGEIFS('Picarro Output'!G:G, 'Picarro Output'!$B:$B, 'Uncalibrated Data'!$C4681, 'Picarro Output'!$I:$I, 0, 'Picarro Output'!$J:$J, 1), "")</f>
        <v/>
      </c>
    </row>
    <row r="4682" spans="2:5" x14ac:dyDescent="0.2">
      <c r="B4682" s="1"/>
      <c r="E4682" s="38" t="str">
        <f>IFERROR(AVERAGEIFS('Picarro Output'!G:G, 'Picarro Output'!$B:$B, 'Uncalibrated Data'!$C4682, 'Picarro Output'!$I:$I, 0, 'Picarro Output'!$J:$J, 1), "")</f>
        <v/>
      </c>
    </row>
    <row r="4683" spans="2:5" x14ac:dyDescent="0.2">
      <c r="B4683" s="1"/>
      <c r="E4683" s="38" t="str">
        <f>IFERROR(AVERAGEIFS('Picarro Output'!G:G, 'Picarro Output'!$B:$B, 'Uncalibrated Data'!$C4683, 'Picarro Output'!$I:$I, 0, 'Picarro Output'!$J:$J, 1), "")</f>
        <v/>
      </c>
    </row>
    <row r="4684" spans="2:5" x14ac:dyDescent="0.2">
      <c r="B4684" s="1"/>
      <c r="E4684" s="38" t="str">
        <f>IFERROR(AVERAGEIFS('Picarro Output'!G:G, 'Picarro Output'!$B:$B, 'Uncalibrated Data'!$C4684, 'Picarro Output'!$I:$I, 0, 'Picarro Output'!$J:$J, 1), "")</f>
        <v/>
      </c>
    </row>
    <row r="4685" spans="2:5" x14ac:dyDescent="0.2">
      <c r="B4685" s="1"/>
      <c r="E4685" s="38" t="str">
        <f>IFERROR(AVERAGEIFS('Picarro Output'!G:G, 'Picarro Output'!$B:$B, 'Uncalibrated Data'!$C4685, 'Picarro Output'!$I:$I, 0, 'Picarro Output'!$J:$J, 1), "")</f>
        <v/>
      </c>
    </row>
    <row r="4686" spans="2:5" x14ac:dyDescent="0.2">
      <c r="B4686" s="1"/>
      <c r="E4686" s="38" t="str">
        <f>IFERROR(AVERAGEIFS('Picarro Output'!G:G, 'Picarro Output'!$B:$B, 'Uncalibrated Data'!$C4686, 'Picarro Output'!$I:$I, 0, 'Picarro Output'!$J:$J, 1), "")</f>
        <v/>
      </c>
    </row>
    <row r="4687" spans="2:5" x14ac:dyDescent="0.2">
      <c r="B4687" s="1"/>
      <c r="E4687" s="38" t="str">
        <f>IFERROR(AVERAGEIFS('Picarro Output'!G:G, 'Picarro Output'!$B:$B, 'Uncalibrated Data'!$C4687, 'Picarro Output'!$I:$I, 0, 'Picarro Output'!$J:$J, 1), "")</f>
        <v/>
      </c>
    </row>
    <row r="4688" spans="2:5" x14ac:dyDescent="0.2">
      <c r="B4688" s="1"/>
      <c r="E4688" s="38" t="str">
        <f>IFERROR(AVERAGEIFS('Picarro Output'!G:G, 'Picarro Output'!$B:$B, 'Uncalibrated Data'!$C4688, 'Picarro Output'!$I:$I, 0, 'Picarro Output'!$J:$J, 1), "")</f>
        <v/>
      </c>
    </row>
    <row r="4689" spans="2:5" x14ac:dyDescent="0.2">
      <c r="B4689" s="1"/>
      <c r="E4689" s="38" t="str">
        <f>IFERROR(AVERAGEIFS('Picarro Output'!G:G, 'Picarro Output'!$B:$B, 'Uncalibrated Data'!$C4689, 'Picarro Output'!$I:$I, 0, 'Picarro Output'!$J:$J, 1), "")</f>
        <v/>
      </c>
    </row>
    <row r="4690" spans="2:5" x14ac:dyDescent="0.2">
      <c r="B4690" s="1"/>
      <c r="E4690" s="38" t="str">
        <f>IFERROR(AVERAGEIFS('Picarro Output'!G:G, 'Picarro Output'!$B:$B, 'Uncalibrated Data'!$C4690, 'Picarro Output'!$I:$I, 0, 'Picarro Output'!$J:$J, 1), "")</f>
        <v/>
      </c>
    </row>
    <row r="4691" spans="2:5" x14ac:dyDescent="0.2">
      <c r="B4691" s="1"/>
      <c r="E4691" s="38" t="str">
        <f>IFERROR(AVERAGEIFS('Picarro Output'!G:G, 'Picarro Output'!$B:$B, 'Uncalibrated Data'!$C4691, 'Picarro Output'!$I:$I, 0, 'Picarro Output'!$J:$J, 1), "")</f>
        <v/>
      </c>
    </row>
    <row r="4692" spans="2:5" x14ac:dyDescent="0.2">
      <c r="B4692" s="1"/>
      <c r="E4692" s="38" t="str">
        <f>IFERROR(AVERAGEIFS('Picarro Output'!G:G, 'Picarro Output'!$B:$B, 'Uncalibrated Data'!$C4692, 'Picarro Output'!$I:$I, 0, 'Picarro Output'!$J:$J, 1), "")</f>
        <v/>
      </c>
    </row>
    <row r="4693" spans="2:5" x14ac:dyDescent="0.2">
      <c r="B4693" s="1"/>
      <c r="E4693" s="38" t="str">
        <f>IFERROR(AVERAGEIFS('Picarro Output'!G:G, 'Picarro Output'!$B:$B, 'Uncalibrated Data'!$C4693, 'Picarro Output'!$I:$I, 0, 'Picarro Output'!$J:$J, 1), "")</f>
        <v/>
      </c>
    </row>
    <row r="4694" spans="2:5" x14ac:dyDescent="0.2">
      <c r="B4694" s="1"/>
      <c r="E4694" s="38" t="str">
        <f>IFERROR(AVERAGEIFS('Picarro Output'!G:G, 'Picarro Output'!$B:$B, 'Uncalibrated Data'!$C4694, 'Picarro Output'!$I:$I, 0, 'Picarro Output'!$J:$J, 1), "")</f>
        <v/>
      </c>
    </row>
    <row r="4695" spans="2:5" x14ac:dyDescent="0.2">
      <c r="B4695" s="1"/>
      <c r="E4695" s="38" t="str">
        <f>IFERROR(AVERAGEIFS('Picarro Output'!G:G, 'Picarro Output'!$B:$B, 'Uncalibrated Data'!$C4695, 'Picarro Output'!$I:$I, 0, 'Picarro Output'!$J:$J, 1), "")</f>
        <v/>
      </c>
    </row>
    <row r="4696" spans="2:5" x14ac:dyDescent="0.2">
      <c r="B4696" s="1"/>
      <c r="E4696" s="38" t="str">
        <f>IFERROR(AVERAGEIFS('Picarro Output'!G:G, 'Picarro Output'!$B:$B, 'Uncalibrated Data'!$C4696, 'Picarro Output'!$I:$I, 0, 'Picarro Output'!$J:$J, 1), "")</f>
        <v/>
      </c>
    </row>
    <row r="4697" spans="2:5" x14ac:dyDescent="0.2">
      <c r="B4697" s="1"/>
      <c r="E4697" s="38" t="str">
        <f>IFERROR(AVERAGEIFS('Picarro Output'!G:G, 'Picarro Output'!$B:$B, 'Uncalibrated Data'!$C4697, 'Picarro Output'!$I:$I, 0, 'Picarro Output'!$J:$J, 1), "")</f>
        <v/>
      </c>
    </row>
    <row r="4698" spans="2:5" x14ac:dyDescent="0.2">
      <c r="B4698" s="1"/>
      <c r="E4698" s="38" t="str">
        <f>IFERROR(AVERAGEIFS('Picarro Output'!G:G, 'Picarro Output'!$B:$B, 'Uncalibrated Data'!$C4698, 'Picarro Output'!$I:$I, 0, 'Picarro Output'!$J:$J, 1), "")</f>
        <v/>
      </c>
    </row>
    <row r="4699" spans="2:5" x14ac:dyDescent="0.2">
      <c r="B4699" s="1"/>
      <c r="E4699" s="38" t="str">
        <f>IFERROR(AVERAGEIFS('Picarro Output'!G:G, 'Picarro Output'!$B:$B, 'Uncalibrated Data'!$C4699, 'Picarro Output'!$I:$I, 0, 'Picarro Output'!$J:$J, 1), "")</f>
        <v/>
      </c>
    </row>
    <row r="4700" spans="2:5" x14ac:dyDescent="0.2">
      <c r="B4700" s="1"/>
      <c r="E4700" s="38" t="str">
        <f>IFERROR(AVERAGEIFS('Picarro Output'!G:G, 'Picarro Output'!$B:$B, 'Uncalibrated Data'!$C4700, 'Picarro Output'!$I:$I, 0, 'Picarro Output'!$J:$J, 1), "")</f>
        <v/>
      </c>
    </row>
    <row r="4701" spans="2:5" x14ac:dyDescent="0.2">
      <c r="B4701" s="1"/>
      <c r="E4701" s="38" t="str">
        <f>IFERROR(AVERAGEIFS('Picarro Output'!G:G, 'Picarro Output'!$B:$B, 'Uncalibrated Data'!$C4701, 'Picarro Output'!$I:$I, 0, 'Picarro Output'!$J:$J, 1), "")</f>
        <v/>
      </c>
    </row>
    <row r="4702" spans="2:5" x14ac:dyDescent="0.2">
      <c r="B4702" s="1"/>
      <c r="E4702" s="38" t="str">
        <f>IFERROR(AVERAGEIFS('Picarro Output'!G:G, 'Picarro Output'!$B:$B, 'Uncalibrated Data'!$C4702, 'Picarro Output'!$I:$I, 0, 'Picarro Output'!$J:$J, 1), "")</f>
        <v/>
      </c>
    </row>
    <row r="4703" spans="2:5" x14ac:dyDescent="0.2">
      <c r="B4703" s="1"/>
      <c r="E4703" s="38" t="str">
        <f>IFERROR(AVERAGEIFS('Picarro Output'!G:G, 'Picarro Output'!$B:$B, 'Uncalibrated Data'!$C4703, 'Picarro Output'!$I:$I, 0, 'Picarro Output'!$J:$J, 1), "")</f>
        <v/>
      </c>
    </row>
    <row r="4704" spans="2:5" x14ac:dyDescent="0.2">
      <c r="B4704" s="1"/>
      <c r="E4704" s="38" t="str">
        <f>IFERROR(AVERAGEIFS('Picarro Output'!G:G, 'Picarro Output'!$B:$B, 'Uncalibrated Data'!$C4704, 'Picarro Output'!$I:$I, 0, 'Picarro Output'!$J:$J, 1), "")</f>
        <v/>
      </c>
    </row>
    <row r="4705" spans="2:5" x14ac:dyDescent="0.2">
      <c r="B4705" s="1"/>
      <c r="E4705" s="38" t="str">
        <f>IFERROR(AVERAGEIFS('Picarro Output'!G:G, 'Picarro Output'!$B:$B, 'Uncalibrated Data'!$C4705, 'Picarro Output'!$I:$I, 0, 'Picarro Output'!$J:$J, 1), "")</f>
        <v/>
      </c>
    </row>
    <row r="4706" spans="2:5" x14ac:dyDescent="0.2">
      <c r="B4706" s="1"/>
      <c r="E4706" s="38" t="str">
        <f>IFERROR(AVERAGEIFS('Picarro Output'!G:G, 'Picarro Output'!$B:$B, 'Uncalibrated Data'!$C4706, 'Picarro Output'!$I:$I, 0, 'Picarro Output'!$J:$J, 1), "")</f>
        <v/>
      </c>
    </row>
    <row r="4707" spans="2:5" x14ac:dyDescent="0.2">
      <c r="B4707" s="1"/>
      <c r="E4707" s="38" t="str">
        <f>IFERROR(AVERAGEIFS('Picarro Output'!G:G, 'Picarro Output'!$B:$B, 'Uncalibrated Data'!$C4707, 'Picarro Output'!$I:$I, 0, 'Picarro Output'!$J:$J, 1), "")</f>
        <v/>
      </c>
    </row>
    <row r="4708" spans="2:5" x14ac:dyDescent="0.2">
      <c r="B4708" s="1"/>
      <c r="E4708" s="38" t="str">
        <f>IFERROR(AVERAGEIFS('Picarro Output'!G:G, 'Picarro Output'!$B:$B, 'Uncalibrated Data'!$C4708, 'Picarro Output'!$I:$I, 0, 'Picarro Output'!$J:$J, 1), "")</f>
        <v/>
      </c>
    </row>
    <row r="4709" spans="2:5" x14ac:dyDescent="0.2">
      <c r="B4709" s="1"/>
      <c r="E4709" s="38" t="str">
        <f>IFERROR(AVERAGEIFS('Picarro Output'!G:G, 'Picarro Output'!$B:$B, 'Uncalibrated Data'!$C4709, 'Picarro Output'!$I:$I, 0, 'Picarro Output'!$J:$J, 1), "")</f>
        <v/>
      </c>
    </row>
    <row r="4710" spans="2:5" x14ac:dyDescent="0.2">
      <c r="B4710" s="1"/>
      <c r="E4710" s="38" t="str">
        <f>IFERROR(AVERAGEIFS('Picarro Output'!G:G, 'Picarro Output'!$B:$B, 'Uncalibrated Data'!$C4710, 'Picarro Output'!$I:$I, 0, 'Picarro Output'!$J:$J, 1), "")</f>
        <v/>
      </c>
    </row>
    <row r="4711" spans="2:5" x14ac:dyDescent="0.2">
      <c r="B4711" s="1"/>
      <c r="E4711" s="38" t="str">
        <f>IFERROR(AVERAGEIFS('Picarro Output'!G:G, 'Picarro Output'!$B:$B, 'Uncalibrated Data'!$C4711, 'Picarro Output'!$I:$I, 0, 'Picarro Output'!$J:$J, 1), "")</f>
        <v/>
      </c>
    </row>
    <row r="4712" spans="2:5" x14ac:dyDescent="0.2">
      <c r="B4712" s="1"/>
      <c r="E4712" s="38" t="str">
        <f>IFERROR(AVERAGEIFS('Picarro Output'!G:G, 'Picarro Output'!$B:$B, 'Uncalibrated Data'!$C4712, 'Picarro Output'!$I:$I, 0, 'Picarro Output'!$J:$J, 1), "")</f>
        <v/>
      </c>
    </row>
    <row r="4713" spans="2:5" x14ac:dyDescent="0.2">
      <c r="B4713" s="1"/>
      <c r="E4713" s="38" t="str">
        <f>IFERROR(AVERAGEIFS('Picarro Output'!G:G, 'Picarro Output'!$B:$B, 'Uncalibrated Data'!$C4713, 'Picarro Output'!$I:$I, 0, 'Picarro Output'!$J:$J, 1), "")</f>
        <v/>
      </c>
    </row>
    <row r="4714" spans="2:5" x14ac:dyDescent="0.2">
      <c r="B4714" s="1"/>
      <c r="E4714" s="38" t="str">
        <f>IFERROR(AVERAGEIFS('Picarro Output'!G:G, 'Picarro Output'!$B:$B, 'Uncalibrated Data'!$C4714, 'Picarro Output'!$I:$I, 0, 'Picarro Output'!$J:$J, 1), "")</f>
        <v/>
      </c>
    </row>
    <row r="4715" spans="2:5" x14ac:dyDescent="0.2">
      <c r="B4715" s="1"/>
      <c r="E4715" s="38" t="str">
        <f>IFERROR(AVERAGEIFS('Picarro Output'!G:G, 'Picarro Output'!$B:$B, 'Uncalibrated Data'!$C4715, 'Picarro Output'!$I:$I, 0, 'Picarro Output'!$J:$J, 1), "")</f>
        <v/>
      </c>
    </row>
    <row r="4716" spans="2:5" x14ac:dyDescent="0.2">
      <c r="B4716" s="1"/>
      <c r="E4716" s="38" t="str">
        <f>IFERROR(AVERAGEIFS('Picarro Output'!G:G, 'Picarro Output'!$B:$B, 'Uncalibrated Data'!$C4716, 'Picarro Output'!$I:$I, 0, 'Picarro Output'!$J:$J, 1), "")</f>
        <v/>
      </c>
    </row>
    <row r="4717" spans="2:5" x14ac:dyDescent="0.2">
      <c r="B4717" s="1"/>
      <c r="E4717" s="38" t="str">
        <f>IFERROR(AVERAGEIFS('Picarro Output'!G:G, 'Picarro Output'!$B:$B, 'Uncalibrated Data'!$C4717, 'Picarro Output'!$I:$I, 0, 'Picarro Output'!$J:$J, 1), "")</f>
        <v/>
      </c>
    </row>
    <row r="4718" spans="2:5" x14ac:dyDescent="0.2">
      <c r="B4718" s="1"/>
      <c r="E4718" s="38" t="str">
        <f>IFERROR(AVERAGEIFS('Picarro Output'!G:G, 'Picarro Output'!$B:$B, 'Uncalibrated Data'!$C4718, 'Picarro Output'!$I:$I, 0, 'Picarro Output'!$J:$J, 1), "")</f>
        <v/>
      </c>
    </row>
    <row r="4719" spans="2:5" x14ac:dyDescent="0.2">
      <c r="B4719" s="1"/>
      <c r="E4719" s="38" t="str">
        <f>IFERROR(AVERAGEIFS('Picarro Output'!G:G, 'Picarro Output'!$B:$B, 'Uncalibrated Data'!$C4719, 'Picarro Output'!$I:$I, 0, 'Picarro Output'!$J:$J, 1), "")</f>
        <v/>
      </c>
    </row>
    <row r="4720" spans="2:5" x14ac:dyDescent="0.2">
      <c r="B4720" s="1"/>
      <c r="E4720" s="38" t="str">
        <f>IFERROR(AVERAGEIFS('Picarro Output'!G:G, 'Picarro Output'!$B:$B, 'Uncalibrated Data'!$C4720, 'Picarro Output'!$I:$I, 0, 'Picarro Output'!$J:$J, 1), "")</f>
        <v/>
      </c>
    </row>
    <row r="4721" spans="2:5" x14ac:dyDescent="0.2">
      <c r="B4721" s="1"/>
      <c r="E4721" s="38" t="str">
        <f>IFERROR(AVERAGEIFS('Picarro Output'!G:G, 'Picarro Output'!$B:$B, 'Uncalibrated Data'!$C4721, 'Picarro Output'!$I:$I, 0, 'Picarro Output'!$J:$J, 1), "")</f>
        <v/>
      </c>
    </row>
    <row r="4722" spans="2:5" x14ac:dyDescent="0.2">
      <c r="B4722" s="1"/>
      <c r="E4722" s="38" t="str">
        <f>IFERROR(AVERAGEIFS('Picarro Output'!G:G, 'Picarro Output'!$B:$B, 'Uncalibrated Data'!$C4722, 'Picarro Output'!$I:$I, 0, 'Picarro Output'!$J:$J, 1), "")</f>
        <v/>
      </c>
    </row>
    <row r="4723" spans="2:5" x14ac:dyDescent="0.2">
      <c r="B4723" s="1"/>
      <c r="E4723" s="38" t="str">
        <f>IFERROR(AVERAGEIFS('Picarro Output'!G:G, 'Picarro Output'!$B:$B, 'Uncalibrated Data'!$C4723, 'Picarro Output'!$I:$I, 0, 'Picarro Output'!$J:$J, 1), "")</f>
        <v/>
      </c>
    </row>
    <row r="4724" spans="2:5" x14ac:dyDescent="0.2">
      <c r="B4724" s="1"/>
      <c r="E4724" s="38" t="str">
        <f>IFERROR(AVERAGEIFS('Picarro Output'!G:G, 'Picarro Output'!$B:$B, 'Uncalibrated Data'!$C4724, 'Picarro Output'!$I:$I, 0, 'Picarro Output'!$J:$J, 1), "")</f>
        <v/>
      </c>
    </row>
    <row r="4725" spans="2:5" x14ac:dyDescent="0.2">
      <c r="B4725" s="1"/>
      <c r="E4725" s="38" t="str">
        <f>IFERROR(AVERAGEIFS('Picarro Output'!G:G, 'Picarro Output'!$B:$B, 'Uncalibrated Data'!$C4725, 'Picarro Output'!$I:$I, 0, 'Picarro Output'!$J:$J, 1), "")</f>
        <v/>
      </c>
    </row>
    <row r="4726" spans="2:5" x14ac:dyDescent="0.2">
      <c r="B4726" s="1"/>
      <c r="E4726" s="38" t="str">
        <f>IFERROR(AVERAGEIFS('Picarro Output'!G:G, 'Picarro Output'!$B:$B, 'Uncalibrated Data'!$C4726, 'Picarro Output'!$I:$I, 0, 'Picarro Output'!$J:$J, 1), "")</f>
        <v/>
      </c>
    </row>
    <row r="4727" spans="2:5" x14ac:dyDescent="0.2">
      <c r="B4727" s="1"/>
      <c r="E4727" s="38" t="str">
        <f>IFERROR(AVERAGEIFS('Picarro Output'!G:G, 'Picarro Output'!$B:$B, 'Uncalibrated Data'!$C4727, 'Picarro Output'!$I:$I, 0, 'Picarro Output'!$J:$J, 1), "")</f>
        <v/>
      </c>
    </row>
    <row r="4728" spans="2:5" x14ac:dyDescent="0.2">
      <c r="B4728" s="1"/>
      <c r="E4728" s="38" t="str">
        <f>IFERROR(AVERAGEIFS('Picarro Output'!G:G, 'Picarro Output'!$B:$B, 'Uncalibrated Data'!$C4728, 'Picarro Output'!$I:$I, 0, 'Picarro Output'!$J:$J, 1), "")</f>
        <v/>
      </c>
    </row>
    <row r="4729" spans="2:5" x14ac:dyDescent="0.2">
      <c r="B4729" s="1"/>
      <c r="E4729" s="38" t="str">
        <f>IFERROR(AVERAGEIFS('Picarro Output'!G:G, 'Picarro Output'!$B:$B, 'Uncalibrated Data'!$C4729, 'Picarro Output'!$I:$I, 0, 'Picarro Output'!$J:$J, 1), "")</f>
        <v/>
      </c>
    </row>
    <row r="4730" spans="2:5" x14ac:dyDescent="0.2">
      <c r="B4730" s="1"/>
      <c r="E4730" s="38" t="str">
        <f>IFERROR(AVERAGEIFS('Picarro Output'!G:G, 'Picarro Output'!$B:$B, 'Uncalibrated Data'!$C4730, 'Picarro Output'!$I:$I, 0, 'Picarro Output'!$J:$J, 1), "")</f>
        <v/>
      </c>
    </row>
    <row r="4731" spans="2:5" x14ac:dyDescent="0.2">
      <c r="B4731" s="1"/>
      <c r="E4731" s="38" t="str">
        <f>IFERROR(AVERAGEIFS('Picarro Output'!G:G, 'Picarro Output'!$B:$B, 'Uncalibrated Data'!$C4731, 'Picarro Output'!$I:$I, 0, 'Picarro Output'!$J:$J, 1), "")</f>
        <v/>
      </c>
    </row>
    <row r="4732" spans="2:5" x14ac:dyDescent="0.2">
      <c r="B4732" s="1"/>
      <c r="E4732" s="38" t="str">
        <f>IFERROR(AVERAGEIFS('Picarro Output'!G:G, 'Picarro Output'!$B:$B, 'Uncalibrated Data'!$C4732, 'Picarro Output'!$I:$I, 0, 'Picarro Output'!$J:$J, 1), "")</f>
        <v/>
      </c>
    </row>
    <row r="4733" spans="2:5" x14ac:dyDescent="0.2">
      <c r="B4733" s="1"/>
      <c r="E4733" s="38" t="str">
        <f>IFERROR(AVERAGEIFS('Picarro Output'!G:G, 'Picarro Output'!$B:$B, 'Uncalibrated Data'!$C4733, 'Picarro Output'!$I:$I, 0, 'Picarro Output'!$J:$J, 1), "")</f>
        <v/>
      </c>
    </row>
    <row r="4734" spans="2:5" x14ac:dyDescent="0.2">
      <c r="B4734" s="1"/>
      <c r="E4734" s="38" t="str">
        <f>IFERROR(AVERAGEIFS('Picarro Output'!G:G, 'Picarro Output'!$B:$B, 'Uncalibrated Data'!$C4734, 'Picarro Output'!$I:$I, 0, 'Picarro Output'!$J:$J, 1), "")</f>
        <v/>
      </c>
    </row>
    <row r="4735" spans="2:5" x14ac:dyDescent="0.2">
      <c r="B4735" s="1"/>
      <c r="E4735" s="38" t="str">
        <f>IFERROR(AVERAGEIFS('Picarro Output'!G:G, 'Picarro Output'!$B:$B, 'Uncalibrated Data'!$C4735, 'Picarro Output'!$I:$I, 0, 'Picarro Output'!$J:$J, 1), "")</f>
        <v/>
      </c>
    </row>
    <row r="4736" spans="2:5" x14ac:dyDescent="0.2">
      <c r="B4736" s="1"/>
      <c r="E4736" s="38" t="str">
        <f>IFERROR(AVERAGEIFS('Picarro Output'!G:G, 'Picarro Output'!$B:$B, 'Uncalibrated Data'!$C4736, 'Picarro Output'!$I:$I, 0, 'Picarro Output'!$J:$J, 1), "")</f>
        <v/>
      </c>
    </row>
    <row r="4737" spans="2:5" x14ac:dyDescent="0.2">
      <c r="B4737" s="1"/>
      <c r="E4737" s="38" t="str">
        <f>IFERROR(AVERAGEIFS('Picarro Output'!G:G, 'Picarro Output'!$B:$B, 'Uncalibrated Data'!$C4737, 'Picarro Output'!$I:$I, 0, 'Picarro Output'!$J:$J, 1), "")</f>
        <v/>
      </c>
    </row>
    <row r="4738" spans="2:5" x14ac:dyDescent="0.2">
      <c r="B4738" s="1"/>
      <c r="E4738" s="38" t="str">
        <f>IFERROR(AVERAGEIFS('Picarro Output'!G:G, 'Picarro Output'!$B:$B, 'Uncalibrated Data'!$C4738, 'Picarro Output'!$I:$I, 0, 'Picarro Output'!$J:$J, 1), "")</f>
        <v/>
      </c>
    </row>
    <row r="4739" spans="2:5" x14ac:dyDescent="0.2">
      <c r="B4739" s="1"/>
      <c r="E4739" s="38" t="str">
        <f>IFERROR(AVERAGEIFS('Picarro Output'!G:G, 'Picarro Output'!$B:$B, 'Uncalibrated Data'!$C4739, 'Picarro Output'!$I:$I, 0, 'Picarro Output'!$J:$J, 1), "")</f>
        <v/>
      </c>
    </row>
    <row r="4740" spans="2:5" x14ac:dyDescent="0.2">
      <c r="B4740" s="1"/>
      <c r="E4740" s="38" t="str">
        <f>IFERROR(AVERAGEIFS('Picarro Output'!G:G, 'Picarro Output'!$B:$B, 'Uncalibrated Data'!$C4740, 'Picarro Output'!$I:$I, 0, 'Picarro Output'!$J:$J, 1), "")</f>
        <v/>
      </c>
    </row>
    <row r="4741" spans="2:5" x14ac:dyDescent="0.2">
      <c r="B4741" s="1"/>
      <c r="E4741" s="38" t="str">
        <f>IFERROR(AVERAGEIFS('Picarro Output'!G:G, 'Picarro Output'!$B:$B, 'Uncalibrated Data'!$C4741, 'Picarro Output'!$I:$I, 0, 'Picarro Output'!$J:$J, 1), "")</f>
        <v/>
      </c>
    </row>
    <row r="4742" spans="2:5" x14ac:dyDescent="0.2">
      <c r="B4742" s="1"/>
      <c r="E4742" s="38" t="str">
        <f>IFERROR(AVERAGEIFS('Picarro Output'!G:G, 'Picarro Output'!$B:$B, 'Uncalibrated Data'!$C4742, 'Picarro Output'!$I:$I, 0, 'Picarro Output'!$J:$J, 1), "")</f>
        <v/>
      </c>
    </row>
    <row r="4743" spans="2:5" x14ac:dyDescent="0.2">
      <c r="B4743" s="1"/>
      <c r="E4743" s="38" t="str">
        <f>IFERROR(AVERAGEIFS('Picarro Output'!G:G, 'Picarro Output'!$B:$B, 'Uncalibrated Data'!$C4743, 'Picarro Output'!$I:$I, 0, 'Picarro Output'!$J:$J, 1), "")</f>
        <v/>
      </c>
    </row>
    <row r="4744" spans="2:5" x14ac:dyDescent="0.2">
      <c r="B4744" s="1"/>
      <c r="E4744" s="38" t="str">
        <f>IFERROR(AVERAGEIFS('Picarro Output'!G:G, 'Picarro Output'!$B:$B, 'Uncalibrated Data'!$C4744, 'Picarro Output'!$I:$I, 0, 'Picarro Output'!$J:$J, 1), "")</f>
        <v/>
      </c>
    </row>
    <row r="4745" spans="2:5" x14ac:dyDescent="0.2">
      <c r="B4745" s="1"/>
      <c r="E4745" s="38" t="str">
        <f>IFERROR(AVERAGEIFS('Picarro Output'!G:G, 'Picarro Output'!$B:$B, 'Uncalibrated Data'!$C4745, 'Picarro Output'!$I:$I, 0, 'Picarro Output'!$J:$J, 1), "")</f>
        <v/>
      </c>
    </row>
    <row r="4746" spans="2:5" x14ac:dyDescent="0.2">
      <c r="B4746" s="1"/>
      <c r="E4746" s="38" t="str">
        <f>IFERROR(AVERAGEIFS('Picarro Output'!G:G, 'Picarro Output'!$B:$B, 'Uncalibrated Data'!$C4746, 'Picarro Output'!$I:$I, 0, 'Picarro Output'!$J:$J, 1), "")</f>
        <v/>
      </c>
    </row>
    <row r="4747" spans="2:5" x14ac:dyDescent="0.2">
      <c r="B4747" s="1"/>
      <c r="E4747" s="38" t="str">
        <f>IFERROR(AVERAGEIFS('Picarro Output'!G:G, 'Picarro Output'!$B:$B, 'Uncalibrated Data'!$C4747, 'Picarro Output'!$I:$I, 0, 'Picarro Output'!$J:$J, 1), "")</f>
        <v/>
      </c>
    </row>
    <row r="4748" spans="2:5" x14ac:dyDescent="0.2">
      <c r="B4748" s="1"/>
      <c r="E4748" s="38" t="str">
        <f>IFERROR(AVERAGEIFS('Picarro Output'!G:G, 'Picarro Output'!$B:$B, 'Uncalibrated Data'!$C4748, 'Picarro Output'!$I:$I, 0, 'Picarro Output'!$J:$J, 1), "")</f>
        <v/>
      </c>
    </row>
    <row r="4749" spans="2:5" x14ac:dyDescent="0.2">
      <c r="B4749" s="1"/>
      <c r="E4749" s="38" t="str">
        <f>IFERROR(AVERAGEIFS('Picarro Output'!G:G, 'Picarro Output'!$B:$B, 'Uncalibrated Data'!$C4749, 'Picarro Output'!$I:$I, 0, 'Picarro Output'!$J:$J, 1), "")</f>
        <v/>
      </c>
    </row>
    <row r="4750" spans="2:5" x14ac:dyDescent="0.2">
      <c r="B4750" s="1"/>
      <c r="E4750" s="38" t="str">
        <f>IFERROR(AVERAGEIFS('Picarro Output'!G:G, 'Picarro Output'!$B:$B, 'Uncalibrated Data'!$C4750, 'Picarro Output'!$I:$I, 0, 'Picarro Output'!$J:$J, 1), "")</f>
        <v/>
      </c>
    </row>
    <row r="4751" spans="2:5" x14ac:dyDescent="0.2">
      <c r="B4751" s="1"/>
      <c r="E4751" s="38" t="str">
        <f>IFERROR(AVERAGEIFS('Picarro Output'!G:G, 'Picarro Output'!$B:$B, 'Uncalibrated Data'!$C4751, 'Picarro Output'!$I:$I, 0, 'Picarro Output'!$J:$J, 1), "")</f>
        <v/>
      </c>
    </row>
    <row r="4752" spans="2:5" x14ac:dyDescent="0.2">
      <c r="B4752" s="1"/>
      <c r="E4752" s="38" t="str">
        <f>IFERROR(AVERAGEIFS('Picarro Output'!G:G, 'Picarro Output'!$B:$B, 'Uncalibrated Data'!$C4752, 'Picarro Output'!$I:$I, 0, 'Picarro Output'!$J:$J, 1), "")</f>
        <v/>
      </c>
    </row>
    <row r="4753" spans="2:5" x14ac:dyDescent="0.2">
      <c r="B4753" s="1"/>
      <c r="E4753" s="38" t="str">
        <f>IFERROR(AVERAGEIFS('Picarro Output'!G:G, 'Picarro Output'!$B:$B, 'Uncalibrated Data'!$C4753, 'Picarro Output'!$I:$I, 0, 'Picarro Output'!$J:$J, 1), "")</f>
        <v/>
      </c>
    </row>
    <row r="4754" spans="2:5" x14ac:dyDescent="0.2">
      <c r="B4754" s="1"/>
      <c r="E4754" s="38" t="str">
        <f>IFERROR(AVERAGEIFS('Picarro Output'!G:G, 'Picarro Output'!$B:$B, 'Uncalibrated Data'!$C4754, 'Picarro Output'!$I:$I, 0, 'Picarro Output'!$J:$J, 1), "")</f>
        <v/>
      </c>
    </row>
    <row r="4755" spans="2:5" x14ac:dyDescent="0.2">
      <c r="B4755" s="1"/>
      <c r="E4755" s="38" t="str">
        <f>IFERROR(AVERAGEIFS('Picarro Output'!G:G, 'Picarro Output'!$B:$B, 'Uncalibrated Data'!$C4755, 'Picarro Output'!$I:$I, 0, 'Picarro Output'!$J:$J, 1), "")</f>
        <v/>
      </c>
    </row>
    <row r="4756" spans="2:5" x14ac:dyDescent="0.2">
      <c r="B4756" s="1"/>
      <c r="E4756" s="38" t="str">
        <f>IFERROR(AVERAGEIFS('Picarro Output'!G:G, 'Picarro Output'!$B:$B, 'Uncalibrated Data'!$C4756, 'Picarro Output'!$I:$I, 0, 'Picarro Output'!$J:$J, 1), "")</f>
        <v/>
      </c>
    </row>
    <row r="4757" spans="2:5" x14ac:dyDescent="0.2">
      <c r="B4757" s="1"/>
      <c r="E4757" s="38" t="str">
        <f>IFERROR(AVERAGEIFS('Picarro Output'!G:G, 'Picarro Output'!$B:$B, 'Uncalibrated Data'!$C4757, 'Picarro Output'!$I:$I, 0, 'Picarro Output'!$J:$J, 1), "")</f>
        <v/>
      </c>
    </row>
    <row r="4758" spans="2:5" x14ac:dyDescent="0.2">
      <c r="B4758" s="1"/>
      <c r="E4758" s="38" t="str">
        <f>IFERROR(AVERAGEIFS('Picarro Output'!G:G, 'Picarro Output'!$B:$B, 'Uncalibrated Data'!$C4758, 'Picarro Output'!$I:$I, 0, 'Picarro Output'!$J:$J, 1), "")</f>
        <v/>
      </c>
    </row>
    <row r="4759" spans="2:5" x14ac:dyDescent="0.2">
      <c r="B4759" s="1"/>
      <c r="E4759" s="38" t="str">
        <f>IFERROR(AVERAGEIFS('Picarro Output'!G:G, 'Picarro Output'!$B:$B, 'Uncalibrated Data'!$C4759, 'Picarro Output'!$I:$I, 0, 'Picarro Output'!$J:$J, 1), "")</f>
        <v/>
      </c>
    </row>
    <row r="4760" spans="2:5" x14ac:dyDescent="0.2">
      <c r="B4760" s="1"/>
      <c r="E4760" s="38" t="str">
        <f>IFERROR(AVERAGEIFS('Picarro Output'!G:G, 'Picarro Output'!$B:$B, 'Uncalibrated Data'!$C4760, 'Picarro Output'!$I:$I, 0, 'Picarro Output'!$J:$J, 1), "")</f>
        <v/>
      </c>
    </row>
    <row r="4761" spans="2:5" x14ac:dyDescent="0.2">
      <c r="B4761" s="1"/>
      <c r="E4761" s="38" t="str">
        <f>IFERROR(AVERAGEIFS('Picarro Output'!G:G, 'Picarro Output'!$B:$B, 'Uncalibrated Data'!$C4761, 'Picarro Output'!$I:$I, 0, 'Picarro Output'!$J:$J, 1), "")</f>
        <v/>
      </c>
    </row>
    <row r="4762" spans="2:5" x14ac:dyDescent="0.2">
      <c r="B4762" s="1"/>
      <c r="E4762" s="38" t="str">
        <f>IFERROR(AVERAGEIFS('Picarro Output'!G:G, 'Picarro Output'!$B:$B, 'Uncalibrated Data'!$C4762, 'Picarro Output'!$I:$I, 0, 'Picarro Output'!$J:$J, 1), "")</f>
        <v/>
      </c>
    </row>
    <row r="4763" spans="2:5" x14ac:dyDescent="0.2">
      <c r="B4763" s="1"/>
      <c r="E4763" s="38" t="str">
        <f>IFERROR(AVERAGEIFS('Picarro Output'!G:G, 'Picarro Output'!$B:$B, 'Uncalibrated Data'!$C4763, 'Picarro Output'!$I:$I, 0, 'Picarro Output'!$J:$J, 1), "")</f>
        <v/>
      </c>
    </row>
    <row r="4764" spans="2:5" x14ac:dyDescent="0.2">
      <c r="B4764" s="1"/>
      <c r="E4764" s="38" t="str">
        <f>IFERROR(AVERAGEIFS('Picarro Output'!G:G, 'Picarro Output'!$B:$B, 'Uncalibrated Data'!$C4764, 'Picarro Output'!$I:$I, 0, 'Picarro Output'!$J:$J, 1), "")</f>
        <v/>
      </c>
    </row>
    <row r="4765" spans="2:5" x14ac:dyDescent="0.2">
      <c r="B4765" s="1"/>
      <c r="E4765" s="38" t="str">
        <f>IFERROR(AVERAGEIFS('Picarro Output'!G:G, 'Picarro Output'!$B:$B, 'Uncalibrated Data'!$C4765, 'Picarro Output'!$I:$I, 0, 'Picarro Output'!$J:$J, 1), "")</f>
        <v/>
      </c>
    </row>
    <row r="4766" spans="2:5" x14ac:dyDescent="0.2">
      <c r="B4766" s="1"/>
      <c r="E4766" s="38" t="str">
        <f>IFERROR(AVERAGEIFS('Picarro Output'!G:G, 'Picarro Output'!$B:$B, 'Uncalibrated Data'!$C4766, 'Picarro Output'!$I:$I, 0, 'Picarro Output'!$J:$J, 1), "")</f>
        <v/>
      </c>
    </row>
    <row r="4767" spans="2:5" x14ac:dyDescent="0.2">
      <c r="B4767" s="1"/>
      <c r="E4767" s="38" t="str">
        <f>IFERROR(AVERAGEIFS('Picarro Output'!G:G, 'Picarro Output'!$B:$B, 'Uncalibrated Data'!$C4767, 'Picarro Output'!$I:$I, 0, 'Picarro Output'!$J:$J, 1), "")</f>
        <v/>
      </c>
    </row>
    <row r="4768" spans="2:5" x14ac:dyDescent="0.2">
      <c r="B4768" s="1"/>
      <c r="E4768" s="38" t="str">
        <f>IFERROR(AVERAGEIFS('Picarro Output'!G:G, 'Picarro Output'!$B:$B, 'Uncalibrated Data'!$C4768, 'Picarro Output'!$I:$I, 0, 'Picarro Output'!$J:$J, 1), "")</f>
        <v/>
      </c>
    </row>
    <row r="4769" spans="2:5" x14ac:dyDescent="0.2">
      <c r="B4769" s="1"/>
      <c r="E4769" s="38" t="str">
        <f>IFERROR(AVERAGEIFS('Picarro Output'!G:G, 'Picarro Output'!$B:$B, 'Uncalibrated Data'!$C4769, 'Picarro Output'!$I:$I, 0, 'Picarro Output'!$J:$J, 1), "")</f>
        <v/>
      </c>
    </row>
    <row r="4770" spans="2:5" x14ac:dyDescent="0.2">
      <c r="B4770" s="1"/>
      <c r="E4770" s="38" t="str">
        <f>IFERROR(AVERAGEIFS('Picarro Output'!G:G, 'Picarro Output'!$B:$B, 'Uncalibrated Data'!$C4770, 'Picarro Output'!$I:$I, 0, 'Picarro Output'!$J:$J, 1), "")</f>
        <v/>
      </c>
    </row>
    <row r="4771" spans="2:5" x14ac:dyDescent="0.2">
      <c r="B4771" s="1"/>
      <c r="E4771" s="38" t="str">
        <f>IFERROR(AVERAGEIFS('Picarro Output'!G:G, 'Picarro Output'!$B:$B, 'Uncalibrated Data'!$C4771, 'Picarro Output'!$I:$I, 0, 'Picarro Output'!$J:$J, 1), "")</f>
        <v/>
      </c>
    </row>
    <row r="4772" spans="2:5" x14ac:dyDescent="0.2">
      <c r="B4772" s="1"/>
      <c r="E4772" s="38" t="str">
        <f>IFERROR(AVERAGEIFS('Picarro Output'!G:G, 'Picarro Output'!$B:$B, 'Uncalibrated Data'!$C4772, 'Picarro Output'!$I:$I, 0, 'Picarro Output'!$J:$J, 1), "")</f>
        <v/>
      </c>
    </row>
    <row r="4773" spans="2:5" x14ac:dyDescent="0.2">
      <c r="B4773" s="1"/>
      <c r="E4773" s="38" t="str">
        <f>IFERROR(AVERAGEIFS('Picarro Output'!G:G, 'Picarro Output'!$B:$B, 'Uncalibrated Data'!$C4773, 'Picarro Output'!$I:$I, 0, 'Picarro Output'!$J:$J, 1), "")</f>
        <v/>
      </c>
    </row>
    <row r="4774" spans="2:5" x14ac:dyDescent="0.2">
      <c r="B4774" s="1"/>
      <c r="E4774" s="38" t="str">
        <f>IFERROR(AVERAGEIFS('Picarro Output'!G:G, 'Picarro Output'!$B:$B, 'Uncalibrated Data'!$C4774, 'Picarro Output'!$I:$I, 0, 'Picarro Output'!$J:$J, 1), "")</f>
        <v/>
      </c>
    </row>
    <row r="4775" spans="2:5" x14ac:dyDescent="0.2">
      <c r="B4775" s="1"/>
      <c r="E4775" s="38" t="str">
        <f>IFERROR(AVERAGEIFS('Picarro Output'!G:G, 'Picarro Output'!$B:$B, 'Uncalibrated Data'!$C4775, 'Picarro Output'!$I:$I, 0, 'Picarro Output'!$J:$J, 1), "")</f>
        <v/>
      </c>
    </row>
    <row r="4776" spans="2:5" x14ac:dyDescent="0.2">
      <c r="B4776" s="1"/>
      <c r="E4776" s="38" t="str">
        <f>IFERROR(AVERAGEIFS('Picarro Output'!G:G, 'Picarro Output'!$B:$B, 'Uncalibrated Data'!$C4776, 'Picarro Output'!$I:$I, 0, 'Picarro Output'!$J:$J, 1), "")</f>
        <v/>
      </c>
    </row>
    <row r="4777" spans="2:5" x14ac:dyDescent="0.2">
      <c r="B4777" s="1"/>
      <c r="E4777" s="38" t="str">
        <f>IFERROR(AVERAGEIFS('Picarro Output'!G:G, 'Picarro Output'!$B:$B, 'Uncalibrated Data'!$C4777, 'Picarro Output'!$I:$I, 0, 'Picarro Output'!$J:$J, 1), "")</f>
        <v/>
      </c>
    </row>
    <row r="4778" spans="2:5" x14ac:dyDescent="0.2">
      <c r="B4778" s="1"/>
      <c r="E4778" s="38" t="str">
        <f>IFERROR(AVERAGEIFS('Picarro Output'!G:G, 'Picarro Output'!$B:$B, 'Uncalibrated Data'!$C4778, 'Picarro Output'!$I:$I, 0, 'Picarro Output'!$J:$J, 1), "")</f>
        <v/>
      </c>
    </row>
    <row r="4779" spans="2:5" x14ac:dyDescent="0.2">
      <c r="B4779" s="1"/>
      <c r="E4779" s="38" t="str">
        <f>IFERROR(AVERAGEIFS('Picarro Output'!G:G, 'Picarro Output'!$B:$B, 'Uncalibrated Data'!$C4779, 'Picarro Output'!$I:$I, 0, 'Picarro Output'!$J:$J, 1), "")</f>
        <v/>
      </c>
    </row>
    <row r="4780" spans="2:5" x14ac:dyDescent="0.2">
      <c r="B4780" s="1"/>
      <c r="E4780" s="38" t="str">
        <f>IFERROR(AVERAGEIFS('Picarro Output'!G:G, 'Picarro Output'!$B:$B, 'Uncalibrated Data'!$C4780, 'Picarro Output'!$I:$I, 0, 'Picarro Output'!$J:$J, 1), "")</f>
        <v/>
      </c>
    </row>
    <row r="4781" spans="2:5" x14ac:dyDescent="0.2">
      <c r="B4781" s="1"/>
      <c r="E4781" s="38" t="str">
        <f>IFERROR(AVERAGEIFS('Picarro Output'!G:G, 'Picarro Output'!$B:$B, 'Uncalibrated Data'!$C4781, 'Picarro Output'!$I:$I, 0, 'Picarro Output'!$J:$J, 1), "")</f>
        <v/>
      </c>
    </row>
    <row r="4782" spans="2:5" x14ac:dyDescent="0.2">
      <c r="B4782" s="1"/>
      <c r="E4782" s="38" t="str">
        <f>IFERROR(AVERAGEIFS('Picarro Output'!G:G, 'Picarro Output'!$B:$B, 'Uncalibrated Data'!$C4782, 'Picarro Output'!$I:$I, 0, 'Picarro Output'!$J:$J, 1), "")</f>
        <v/>
      </c>
    </row>
    <row r="4783" spans="2:5" x14ac:dyDescent="0.2">
      <c r="B4783" s="1"/>
      <c r="E4783" s="38" t="str">
        <f>IFERROR(AVERAGEIFS('Picarro Output'!G:G, 'Picarro Output'!$B:$B, 'Uncalibrated Data'!$C4783, 'Picarro Output'!$I:$I, 0, 'Picarro Output'!$J:$J, 1), "")</f>
        <v/>
      </c>
    </row>
    <row r="4784" spans="2:5" x14ac:dyDescent="0.2">
      <c r="B4784" s="1"/>
      <c r="E4784" s="38" t="str">
        <f>IFERROR(AVERAGEIFS('Picarro Output'!G:G, 'Picarro Output'!$B:$B, 'Uncalibrated Data'!$C4784, 'Picarro Output'!$I:$I, 0, 'Picarro Output'!$J:$J, 1), "")</f>
        <v/>
      </c>
    </row>
    <row r="4785" spans="2:5" x14ac:dyDescent="0.2">
      <c r="B4785" s="1"/>
      <c r="E4785" s="38" t="str">
        <f>IFERROR(AVERAGEIFS('Picarro Output'!G:G, 'Picarro Output'!$B:$B, 'Uncalibrated Data'!$C4785, 'Picarro Output'!$I:$I, 0, 'Picarro Output'!$J:$J, 1), "")</f>
        <v/>
      </c>
    </row>
    <row r="4786" spans="2:5" x14ac:dyDescent="0.2">
      <c r="B4786" s="1"/>
      <c r="E4786" s="38" t="str">
        <f>IFERROR(AVERAGEIFS('Picarro Output'!G:G, 'Picarro Output'!$B:$B, 'Uncalibrated Data'!$C4786, 'Picarro Output'!$I:$I, 0, 'Picarro Output'!$J:$J, 1), "")</f>
        <v/>
      </c>
    </row>
    <row r="4787" spans="2:5" x14ac:dyDescent="0.2">
      <c r="B4787" s="1"/>
      <c r="E4787" s="38" t="str">
        <f>IFERROR(AVERAGEIFS('Picarro Output'!G:G, 'Picarro Output'!$B:$B, 'Uncalibrated Data'!$C4787, 'Picarro Output'!$I:$I, 0, 'Picarro Output'!$J:$J, 1), "")</f>
        <v/>
      </c>
    </row>
    <row r="4788" spans="2:5" x14ac:dyDescent="0.2">
      <c r="B4788" s="1"/>
      <c r="E4788" s="38" t="str">
        <f>IFERROR(AVERAGEIFS('Picarro Output'!G:G, 'Picarro Output'!$B:$B, 'Uncalibrated Data'!$C4788, 'Picarro Output'!$I:$I, 0, 'Picarro Output'!$J:$J, 1), "")</f>
        <v/>
      </c>
    </row>
    <row r="4789" spans="2:5" x14ac:dyDescent="0.2">
      <c r="B4789" s="1"/>
      <c r="E4789" s="38" t="str">
        <f>IFERROR(AVERAGEIFS('Picarro Output'!G:G, 'Picarro Output'!$B:$B, 'Uncalibrated Data'!$C4789, 'Picarro Output'!$I:$I, 0, 'Picarro Output'!$J:$J, 1), "")</f>
        <v/>
      </c>
    </row>
    <row r="4790" spans="2:5" x14ac:dyDescent="0.2">
      <c r="B4790" s="1"/>
      <c r="E4790" s="38" t="str">
        <f>IFERROR(AVERAGEIFS('Picarro Output'!G:G, 'Picarro Output'!$B:$B, 'Uncalibrated Data'!$C4790, 'Picarro Output'!$I:$I, 0, 'Picarro Output'!$J:$J, 1), "")</f>
        <v/>
      </c>
    </row>
    <row r="4791" spans="2:5" x14ac:dyDescent="0.2">
      <c r="B4791" s="1"/>
      <c r="E4791" s="38" t="str">
        <f>IFERROR(AVERAGEIFS('Picarro Output'!G:G, 'Picarro Output'!$B:$B, 'Uncalibrated Data'!$C4791, 'Picarro Output'!$I:$I, 0, 'Picarro Output'!$J:$J, 1), "")</f>
        <v/>
      </c>
    </row>
    <row r="4792" spans="2:5" x14ac:dyDescent="0.2">
      <c r="B4792" s="1"/>
      <c r="E4792" s="38" t="str">
        <f>IFERROR(AVERAGEIFS('Picarro Output'!G:G, 'Picarro Output'!$B:$B, 'Uncalibrated Data'!$C4792, 'Picarro Output'!$I:$I, 0, 'Picarro Output'!$J:$J, 1), "")</f>
        <v/>
      </c>
    </row>
    <row r="4793" spans="2:5" x14ac:dyDescent="0.2">
      <c r="B4793" s="1"/>
      <c r="E4793" s="38" t="str">
        <f>IFERROR(AVERAGEIFS('Picarro Output'!G:G, 'Picarro Output'!$B:$B, 'Uncalibrated Data'!$C4793, 'Picarro Output'!$I:$I, 0, 'Picarro Output'!$J:$J, 1), "")</f>
        <v/>
      </c>
    </row>
    <row r="4794" spans="2:5" x14ac:dyDescent="0.2">
      <c r="B4794" s="1"/>
      <c r="E4794" s="38" t="str">
        <f>IFERROR(AVERAGEIFS('Picarro Output'!G:G, 'Picarro Output'!$B:$B, 'Uncalibrated Data'!$C4794, 'Picarro Output'!$I:$I, 0, 'Picarro Output'!$J:$J, 1), "")</f>
        <v/>
      </c>
    </row>
    <row r="4795" spans="2:5" x14ac:dyDescent="0.2">
      <c r="B4795" s="1"/>
      <c r="E4795" s="38" t="str">
        <f>IFERROR(AVERAGEIFS('Picarro Output'!G:G, 'Picarro Output'!$B:$B, 'Uncalibrated Data'!$C4795, 'Picarro Output'!$I:$I, 0, 'Picarro Output'!$J:$J, 1), "")</f>
        <v/>
      </c>
    </row>
    <row r="4796" spans="2:5" x14ac:dyDescent="0.2">
      <c r="B4796" s="1"/>
      <c r="E4796" s="38" t="str">
        <f>IFERROR(AVERAGEIFS('Picarro Output'!G:G, 'Picarro Output'!$B:$B, 'Uncalibrated Data'!$C4796, 'Picarro Output'!$I:$I, 0, 'Picarro Output'!$J:$J, 1), "")</f>
        <v/>
      </c>
    </row>
    <row r="4797" spans="2:5" x14ac:dyDescent="0.2">
      <c r="B4797" s="1"/>
      <c r="E4797" s="38" t="str">
        <f>IFERROR(AVERAGEIFS('Picarro Output'!G:G, 'Picarro Output'!$B:$B, 'Uncalibrated Data'!$C4797, 'Picarro Output'!$I:$I, 0, 'Picarro Output'!$J:$J, 1), "")</f>
        <v/>
      </c>
    </row>
    <row r="4798" spans="2:5" x14ac:dyDescent="0.2">
      <c r="B4798" s="1"/>
      <c r="E4798" s="38" t="str">
        <f>IFERROR(AVERAGEIFS('Picarro Output'!G:G, 'Picarro Output'!$B:$B, 'Uncalibrated Data'!$C4798, 'Picarro Output'!$I:$I, 0, 'Picarro Output'!$J:$J, 1), "")</f>
        <v/>
      </c>
    </row>
    <row r="4799" spans="2:5" x14ac:dyDescent="0.2">
      <c r="B4799" s="1"/>
      <c r="E4799" s="38" t="str">
        <f>IFERROR(AVERAGEIFS('Picarro Output'!G:G, 'Picarro Output'!$B:$B, 'Uncalibrated Data'!$C4799, 'Picarro Output'!$I:$I, 0, 'Picarro Output'!$J:$J, 1), "")</f>
        <v/>
      </c>
    </row>
    <row r="4800" spans="2:5" x14ac:dyDescent="0.2">
      <c r="B4800" s="1"/>
      <c r="E4800" s="38" t="str">
        <f>IFERROR(AVERAGEIFS('Picarro Output'!G:G, 'Picarro Output'!$B:$B, 'Uncalibrated Data'!$C4800, 'Picarro Output'!$I:$I, 0, 'Picarro Output'!$J:$J, 1), "")</f>
        <v/>
      </c>
    </row>
    <row r="4801" spans="2:5" x14ac:dyDescent="0.2">
      <c r="B4801" s="1"/>
      <c r="E4801" s="38" t="str">
        <f>IFERROR(AVERAGEIFS('Picarro Output'!G:G, 'Picarro Output'!$B:$B, 'Uncalibrated Data'!$C4801, 'Picarro Output'!$I:$I, 0, 'Picarro Output'!$J:$J, 1), "")</f>
        <v/>
      </c>
    </row>
    <row r="4802" spans="2:5" x14ac:dyDescent="0.2">
      <c r="B4802" s="1"/>
      <c r="E4802" s="38" t="str">
        <f>IFERROR(AVERAGEIFS('Picarro Output'!G:G, 'Picarro Output'!$B:$B, 'Uncalibrated Data'!$C4802, 'Picarro Output'!$I:$I, 0, 'Picarro Output'!$J:$J, 1), "")</f>
        <v/>
      </c>
    </row>
    <row r="4803" spans="2:5" x14ac:dyDescent="0.2">
      <c r="B4803" s="1"/>
      <c r="E4803" s="38" t="str">
        <f>IFERROR(AVERAGEIFS('Picarro Output'!G:G, 'Picarro Output'!$B:$B, 'Uncalibrated Data'!$C4803, 'Picarro Output'!$I:$I, 0, 'Picarro Output'!$J:$J, 1), "")</f>
        <v/>
      </c>
    </row>
    <row r="4804" spans="2:5" x14ac:dyDescent="0.2">
      <c r="B4804" s="1"/>
      <c r="E4804" s="38" t="str">
        <f>IFERROR(AVERAGEIFS('Picarro Output'!G:G, 'Picarro Output'!$B:$B, 'Uncalibrated Data'!$C4804, 'Picarro Output'!$I:$I, 0, 'Picarro Output'!$J:$J, 1), "")</f>
        <v/>
      </c>
    </row>
    <row r="4805" spans="2:5" x14ac:dyDescent="0.2">
      <c r="B4805" s="1"/>
      <c r="E4805" s="38" t="str">
        <f>IFERROR(AVERAGEIFS('Picarro Output'!G:G, 'Picarro Output'!$B:$B, 'Uncalibrated Data'!$C4805, 'Picarro Output'!$I:$I, 0, 'Picarro Output'!$J:$J, 1), "")</f>
        <v/>
      </c>
    </row>
    <row r="4806" spans="2:5" x14ac:dyDescent="0.2">
      <c r="B4806" s="1"/>
      <c r="E4806" s="38" t="str">
        <f>IFERROR(AVERAGEIFS('Picarro Output'!G:G, 'Picarro Output'!$B:$B, 'Uncalibrated Data'!$C4806, 'Picarro Output'!$I:$I, 0, 'Picarro Output'!$J:$J, 1), "")</f>
        <v/>
      </c>
    </row>
    <row r="4807" spans="2:5" x14ac:dyDescent="0.2">
      <c r="B4807" s="1"/>
      <c r="E4807" s="38" t="str">
        <f>IFERROR(AVERAGEIFS('Picarro Output'!G:G, 'Picarro Output'!$B:$B, 'Uncalibrated Data'!$C4807, 'Picarro Output'!$I:$I, 0, 'Picarro Output'!$J:$J, 1), "")</f>
        <v/>
      </c>
    </row>
    <row r="4808" spans="2:5" x14ac:dyDescent="0.2">
      <c r="B4808" s="1"/>
      <c r="E4808" s="38" t="str">
        <f>IFERROR(AVERAGEIFS('Picarro Output'!G:G, 'Picarro Output'!$B:$B, 'Uncalibrated Data'!$C4808, 'Picarro Output'!$I:$I, 0, 'Picarro Output'!$J:$J, 1), "")</f>
        <v/>
      </c>
    </row>
    <row r="4809" spans="2:5" x14ac:dyDescent="0.2">
      <c r="B4809" s="1"/>
      <c r="E4809" s="38" t="str">
        <f>IFERROR(AVERAGEIFS('Picarro Output'!G:G, 'Picarro Output'!$B:$B, 'Uncalibrated Data'!$C4809, 'Picarro Output'!$I:$I, 0, 'Picarro Output'!$J:$J, 1), "")</f>
        <v/>
      </c>
    </row>
    <row r="4810" spans="2:5" x14ac:dyDescent="0.2">
      <c r="B4810" s="1"/>
      <c r="E4810" s="38" t="str">
        <f>IFERROR(AVERAGEIFS('Picarro Output'!G:G, 'Picarro Output'!$B:$B, 'Uncalibrated Data'!$C4810, 'Picarro Output'!$I:$I, 0, 'Picarro Output'!$J:$J, 1), "")</f>
        <v/>
      </c>
    </row>
    <row r="4811" spans="2:5" x14ac:dyDescent="0.2">
      <c r="B4811" s="1"/>
      <c r="E4811" s="38" t="str">
        <f>IFERROR(AVERAGEIFS('Picarro Output'!G:G, 'Picarro Output'!$B:$B, 'Uncalibrated Data'!$C4811, 'Picarro Output'!$I:$I, 0, 'Picarro Output'!$J:$J, 1), "")</f>
        <v/>
      </c>
    </row>
    <row r="4812" spans="2:5" x14ac:dyDescent="0.2">
      <c r="B4812" s="1"/>
      <c r="E4812" s="38" t="str">
        <f>IFERROR(AVERAGEIFS('Picarro Output'!G:G, 'Picarro Output'!$B:$B, 'Uncalibrated Data'!$C4812, 'Picarro Output'!$I:$I, 0, 'Picarro Output'!$J:$J, 1), "")</f>
        <v/>
      </c>
    </row>
    <row r="4813" spans="2:5" x14ac:dyDescent="0.2">
      <c r="B4813" s="1"/>
      <c r="E4813" s="38" t="str">
        <f>IFERROR(AVERAGEIFS('Picarro Output'!G:G, 'Picarro Output'!$B:$B, 'Uncalibrated Data'!$C4813, 'Picarro Output'!$I:$I, 0, 'Picarro Output'!$J:$J, 1), "")</f>
        <v/>
      </c>
    </row>
    <row r="4814" spans="2:5" x14ac:dyDescent="0.2">
      <c r="B4814" s="1"/>
      <c r="E4814" s="38" t="str">
        <f>IFERROR(AVERAGEIFS('Picarro Output'!G:G, 'Picarro Output'!$B:$B, 'Uncalibrated Data'!$C4814, 'Picarro Output'!$I:$I, 0, 'Picarro Output'!$J:$J, 1), "")</f>
        <v/>
      </c>
    </row>
    <row r="4815" spans="2:5" x14ac:dyDescent="0.2">
      <c r="B4815" s="1"/>
      <c r="E4815" s="38" t="str">
        <f>IFERROR(AVERAGEIFS('Picarro Output'!G:G, 'Picarro Output'!$B:$B, 'Uncalibrated Data'!$C4815, 'Picarro Output'!$I:$I, 0, 'Picarro Output'!$J:$J, 1), "")</f>
        <v/>
      </c>
    </row>
    <row r="4816" spans="2:5" x14ac:dyDescent="0.2">
      <c r="B4816" s="1"/>
      <c r="E4816" s="38" t="str">
        <f>IFERROR(AVERAGEIFS('Picarro Output'!G:G, 'Picarro Output'!$B:$B, 'Uncalibrated Data'!$C4816, 'Picarro Output'!$I:$I, 0, 'Picarro Output'!$J:$J, 1), "")</f>
        <v/>
      </c>
    </row>
    <row r="4817" spans="2:5" x14ac:dyDescent="0.2">
      <c r="B4817" s="1"/>
      <c r="E4817" s="38" t="str">
        <f>IFERROR(AVERAGEIFS('Picarro Output'!G:G, 'Picarro Output'!$B:$B, 'Uncalibrated Data'!$C4817, 'Picarro Output'!$I:$I, 0, 'Picarro Output'!$J:$J, 1), "")</f>
        <v/>
      </c>
    </row>
    <row r="4818" spans="2:5" x14ac:dyDescent="0.2">
      <c r="B4818" s="1"/>
      <c r="E4818" s="38" t="str">
        <f>IFERROR(AVERAGEIFS('Picarro Output'!G:G, 'Picarro Output'!$B:$B, 'Uncalibrated Data'!$C4818, 'Picarro Output'!$I:$I, 0, 'Picarro Output'!$J:$J, 1), "")</f>
        <v/>
      </c>
    </row>
    <row r="4819" spans="2:5" x14ac:dyDescent="0.2">
      <c r="B4819" s="1"/>
      <c r="E4819" s="38" t="str">
        <f>IFERROR(AVERAGEIFS('Picarro Output'!G:G, 'Picarro Output'!$B:$B, 'Uncalibrated Data'!$C4819, 'Picarro Output'!$I:$I, 0, 'Picarro Output'!$J:$J, 1), "")</f>
        <v/>
      </c>
    </row>
    <row r="4820" spans="2:5" x14ac:dyDescent="0.2">
      <c r="B4820" s="1"/>
      <c r="E4820" s="38" t="str">
        <f>IFERROR(AVERAGEIFS('Picarro Output'!G:G, 'Picarro Output'!$B:$B, 'Uncalibrated Data'!$C4820, 'Picarro Output'!$I:$I, 0, 'Picarro Output'!$J:$J, 1), "")</f>
        <v/>
      </c>
    </row>
    <row r="4821" spans="2:5" x14ac:dyDescent="0.2">
      <c r="B4821" s="1"/>
      <c r="E4821" s="38" t="str">
        <f>IFERROR(AVERAGEIFS('Picarro Output'!G:G, 'Picarro Output'!$B:$B, 'Uncalibrated Data'!$C4821, 'Picarro Output'!$I:$I, 0, 'Picarro Output'!$J:$J, 1), "")</f>
        <v/>
      </c>
    </row>
    <row r="4822" spans="2:5" x14ac:dyDescent="0.2">
      <c r="B4822" s="1"/>
      <c r="E4822" s="38" t="str">
        <f>IFERROR(AVERAGEIFS('Picarro Output'!G:G, 'Picarro Output'!$B:$B, 'Uncalibrated Data'!$C4822, 'Picarro Output'!$I:$I, 0, 'Picarro Output'!$J:$J, 1), "")</f>
        <v/>
      </c>
    </row>
    <row r="4823" spans="2:5" x14ac:dyDescent="0.2">
      <c r="B4823" s="1"/>
      <c r="E4823" s="38" t="str">
        <f>IFERROR(AVERAGEIFS('Picarro Output'!G:G, 'Picarro Output'!$B:$B, 'Uncalibrated Data'!$C4823, 'Picarro Output'!$I:$I, 0, 'Picarro Output'!$J:$J, 1), "")</f>
        <v/>
      </c>
    </row>
    <row r="4824" spans="2:5" x14ac:dyDescent="0.2">
      <c r="B4824" s="1"/>
      <c r="E4824" s="38" t="str">
        <f>IFERROR(AVERAGEIFS('Picarro Output'!G:G, 'Picarro Output'!$B:$B, 'Uncalibrated Data'!$C4824, 'Picarro Output'!$I:$I, 0, 'Picarro Output'!$J:$J, 1), "")</f>
        <v/>
      </c>
    </row>
    <row r="4825" spans="2:5" x14ac:dyDescent="0.2">
      <c r="B4825" s="1"/>
      <c r="E4825" s="38" t="str">
        <f>IFERROR(AVERAGEIFS('Picarro Output'!G:G, 'Picarro Output'!$B:$B, 'Uncalibrated Data'!$C4825, 'Picarro Output'!$I:$I, 0, 'Picarro Output'!$J:$J, 1), "")</f>
        <v/>
      </c>
    </row>
    <row r="4826" spans="2:5" x14ac:dyDescent="0.2">
      <c r="B4826" s="1"/>
      <c r="E4826" s="38" t="str">
        <f>IFERROR(AVERAGEIFS('Picarro Output'!G:G, 'Picarro Output'!$B:$B, 'Uncalibrated Data'!$C4826, 'Picarro Output'!$I:$I, 0, 'Picarro Output'!$J:$J, 1), "")</f>
        <v/>
      </c>
    </row>
    <row r="4827" spans="2:5" x14ac:dyDescent="0.2">
      <c r="B4827" s="1"/>
      <c r="E4827" s="38" t="str">
        <f>IFERROR(AVERAGEIFS('Picarro Output'!G:G, 'Picarro Output'!$B:$B, 'Uncalibrated Data'!$C4827, 'Picarro Output'!$I:$I, 0, 'Picarro Output'!$J:$J, 1), "")</f>
        <v/>
      </c>
    </row>
    <row r="4828" spans="2:5" x14ac:dyDescent="0.2">
      <c r="B4828" s="1"/>
      <c r="E4828" s="38" t="str">
        <f>IFERROR(AVERAGEIFS('Picarro Output'!G:G, 'Picarro Output'!$B:$B, 'Uncalibrated Data'!$C4828, 'Picarro Output'!$I:$I, 0, 'Picarro Output'!$J:$J, 1), "")</f>
        <v/>
      </c>
    </row>
    <row r="4829" spans="2:5" x14ac:dyDescent="0.2">
      <c r="B4829" s="1"/>
      <c r="E4829" s="38" t="str">
        <f>IFERROR(AVERAGEIFS('Picarro Output'!G:G, 'Picarro Output'!$B:$B, 'Uncalibrated Data'!$C4829, 'Picarro Output'!$I:$I, 0, 'Picarro Output'!$J:$J, 1), "")</f>
        <v/>
      </c>
    </row>
    <row r="4830" spans="2:5" x14ac:dyDescent="0.2">
      <c r="B4830" s="1"/>
      <c r="E4830" s="38" t="str">
        <f>IFERROR(AVERAGEIFS('Picarro Output'!G:G, 'Picarro Output'!$B:$B, 'Uncalibrated Data'!$C4830, 'Picarro Output'!$I:$I, 0, 'Picarro Output'!$J:$J, 1), "")</f>
        <v/>
      </c>
    </row>
    <row r="4831" spans="2:5" x14ac:dyDescent="0.2">
      <c r="B4831" s="1"/>
      <c r="E4831" s="38" t="str">
        <f>IFERROR(AVERAGEIFS('Picarro Output'!G:G, 'Picarro Output'!$B:$B, 'Uncalibrated Data'!$C4831, 'Picarro Output'!$I:$I, 0, 'Picarro Output'!$J:$J, 1), "")</f>
        <v/>
      </c>
    </row>
    <row r="4832" spans="2:5" x14ac:dyDescent="0.2">
      <c r="B4832" s="1"/>
      <c r="E4832" s="38" t="str">
        <f>IFERROR(AVERAGEIFS('Picarro Output'!G:G, 'Picarro Output'!$B:$B, 'Uncalibrated Data'!$C4832, 'Picarro Output'!$I:$I, 0, 'Picarro Output'!$J:$J, 1), "")</f>
        <v/>
      </c>
    </row>
    <row r="4833" spans="2:5" x14ac:dyDescent="0.2">
      <c r="B4833" s="1"/>
      <c r="E4833" s="38" t="str">
        <f>IFERROR(AVERAGEIFS('Picarro Output'!G:G, 'Picarro Output'!$B:$B, 'Uncalibrated Data'!$C4833, 'Picarro Output'!$I:$I, 0, 'Picarro Output'!$J:$J, 1), "")</f>
        <v/>
      </c>
    </row>
    <row r="4834" spans="2:5" x14ac:dyDescent="0.2">
      <c r="B4834" s="1"/>
      <c r="E4834" s="38" t="str">
        <f>IFERROR(AVERAGEIFS('Picarro Output'!G:G, 'Picarro Output'!$B:$B, 'Uncalibrated Data'!$C4834, 'Picarro Output'!$I:$I, 0, 'Picarro Output'!$J:$J, 1), "")</f>
        <v/>
      </c>
    </row>
    <row r="4835" spans="2:5" x14ac:dyDescent="0.2">
      <c r="B4835" s="1"/>
      <c r="E4835" s="38" t="str">
        <f>IFERROR(AVERAGEIFS('Picarro Output'!G:G, 'Picarro Output'!$B:$B, 'Uncalibrated Data'!$C4835, 'Picarro Output'!$I:$I, 0, 'Picarro Output'!$J:$J, 1), "")</f>
        <v/>
      </c>
    </row>
    <row r="4836" spans="2:5" x14ac:dyDescent="0.2">
      <c r="B4836" s="1"/>
      <c r="E4836" s="38" t="str">
        <f>IFERROR(AVERAGEIFS('Picarro Output'!G:G, 'Picarro Output'!$B:$B, 'Uncalibrated Data'!$C4836, 'Picarro Output'!$I:$I, 0, 'Picarro Output'!$J:$J, 1), "")</f>
        <v/>
      </c>
    </row>
    <row r="4837" spans="2:5" x14ac:dyDescent="0.2">
      <c r="B4837" s="1"/>
      <c r="E4837" s="38" t="str">
        <f>IFERROR(AVERAGEIFS('Picarro Output'!G:G, 'Picarro Output'!$B:$B, 'Uncalibrated Data'!$C4837, 'Picarro Output'!$I:$I, 0, 'Picarro Output'!$J:$J, 1), "")</f>
        <v/>
      </c>
    </row>
    <row r="4838" spans="2:5" x14ac:dyDescent="0.2">
      <c r="B4838" s="1"/>
      <c r="E4838" s="38" t="str">
        <f>IFERROR(AVERAGEIFS('Picarro Output'!G:G, 'Picarro Output'!$B:$B, 'Uncalibrated Data'!$C4838, 'Picarro Output'!$I:$I, 0, 'Picarro Output'!$J:$J, 1), "")</f>
        <v/>
      </c>
    </row>
    <row r="4839" spans="2:5" x14ac:dyDescent="0.2">
      <c r="B4839" s="1"/>
      <c r="E4839" s="38" t="str">
        <f>IFERROR(AVERAGEIFS('Picarro Output'!G:G, 'Picarro Output'!$B:$B, 'Uncalibrated Data'!$C4839, 'Picarro Output'!$I:$I, 0, 'Picarro Output'!$J:$J, 1), "")</f>
        <v/>
      </c>
    </row>
    <row r="4840" spans="2:5" x14ac:dyDescent="0.2">
      <c r="B4840" s="1"/>
      <c r="E4840" s="38" t="str">
        <f>IFERROR(AVERAGEIFS('Picarro Output'!G:G, 'Picarro Output'!$B:$B, 'Uncalibrated Data'!$C4840, 'Picarro Output'!$I:$I, 0, 'Picarro Output'!$J:$J, 1), "")</f>
        <v/>
      </c>
    </row>
    <row r="4841" spans="2:5" x14ac:dyDescent="0.2">
      <c r="B4841" s="1"/>
      <c r="E4841" s="38" t="str">
        <f>IFERROR(AVERAGEIFS('Picarro Output'!G:G, 'Picarro Output'!$B:$B, 'Uncalibrated Data'!$C4841, 'Picarro Output'!$I:$I, 0, 'Picarro Output'!$J:$J, 1), "")</f>
        <v/>
      </c>
    </row>
    <row r="4842" spans="2:5" x14ac:dyDescent="0.2">
      <c r="B4842" s="1"/>
      <c r="E4842" s="38" t="str">
        <f>IFERROR(AVERAGEIFS('Picarro Output'!G:G, 'Picarro Output'!$B:$B, 'Uncalibrated Data'!$C4842, 'Picarro Output'!$I:$I, 0, 'Picarro Output'!$J:$J, 1), "")</f>
        <v/>
      </c>
    </row>
    <row r="4843" spans="2:5" x14ac:dyDescent="0.2">
      <c r="B4843" s="1"/>
      <c r="E4843" s="38" t="str">
        <f>IFERROR(AVERAGEIFS('Picarro Output'!G:G, 'Picarro Output'!$B:$B, 'Uncalibrated Data'!$C4843, 'Picarro Output'!$I:$I, 0, 'Picarro Output'!$J:$J, 1), "")</f>
        <v/>
      </c>
    </row>
    <row r="4844" spans="2:5" x14ac:dyDescent="0.2">
      <c r="B4844" s="1"/>
      <c r="E4844" s="38" t="str">
        <f>IFERROR(AVERAGEIFS('Picarro Output'!G:G, 'Picarro Output'!$B:$B, 'Uncalibrated Data'!$C4844, 'Picarro Output'!$I:$I, 0, 'Picarro Output'!$J:$J, 1), "")</f>
        <v/>
      </c>
    </row>
    <row r="4845" spans="2:5" x14ac:dyDescent="0.2">
      <c r="B4845" s="1"/>
      <c r="E4845" s="38" t="str">
        <f>IFERROR(AVERAGEIFS('Picarro Output'!G:G, 'Picarro Output'!$B:$B, 'Uncalibrated Data'!$C4845, 'Picarro Output'!$I:$I, 0, 'Picarro Output'!$J:$J, 1), "")</f>
        <v/>
      </c>
    </row>
    <row r="4846" spans="2:5" x14ac:dyDescent="0.2">
      <c r="B4846" s="1"/>
      <c r="E4846" s="38" t="str">
        <f>IFERROR(AVERAGEIFS('Picarro Output'!G:G, 'Picarro Output'!$B:$B, 'Uncalibrated Data'!$C4846, 'Picarro Output'!$I:$I, 0, 'Picarro Output'!$J:$J, 1), "")</f>
        <v/>
      </c>
    </row>
    <row r="4847" spans="2:5" x14ac:dyDescent="0.2">
      <c r="B4847" s="1"/>
      <c r="E4847" s="38" t="str">
        <f>IFERROR(AVERAGEIFS('Picarro Output'!G:G, 'Picarro Output'!$B:$B, 'Uncalibrated Data'!$C4847, 'Picarro Output'!$I:$I, 0, 'Picarro Output'!$J:$J, 1), "")</f>
        <v/>
      </c>
    </row>
    <row r="4848" spans="2:5" x14ac:dyDescent="0.2">
      <c r="B4848" s="1"/>
      <c r="E4848" s="38" t="str">
        <f>IFERROR(AVERAGEIFS('Picarro Output'!G:G, 'Picarro Output'!$B:$B, 'Uncalibrated Data'!$C4848, 'Picarro Output'!$I:$I, 0, 'Picarro Output'!$J:$J, 1), "")</f>
        <v/>
      </c>
    </row>
    <row r="4849" spans="2:5" x14ac:dyDescent="0.2">
      <c r="B4849" s="1"/>
      <c r="E4849" s="38" t="str">
        <f>IFERROR(AVERAGEIFS('Picarro Output'!G:G, 'Picarro Output'!$B:$B, 'Uncalibrated Data'!$C4849, 'Picarro Output'!$I:$I, 0, 'Picarro Output'!$J:$J, 1), "")</f>
        <v/>
      </c>
    </row>
    <row r="4850" spans="2:5" x14ac:dyDescent="0.2">
      <c r="B4850" s="1"/>
      <c r="E4850" s="38" t="str">
        <f>IFERROR(AVERAGEIFS('Picarro Output'!G:G, 'Picarro Output'!$B:$B, 'Uncalibrated Data'!$C4850, 'Picarro Output'!$I:$I, 0, 'Picarro Output'!$J:$J, 1), "")</f>
        <v/>
      </c>
    </row>
    <row r="4851" spans="2:5" x14ac:dyDescent="0.2">
      <c r="B4851" s="1"/>
      <c r="E4851" s="38" t="str">
        <f>IFERROR(AVERAGEIFS('Picarro Output'!G:G, 'Picarro Output'!$B:$B, 'Uncalibrated Data'!$C4851, 'Picarro Output'!$I:$I, 0, 'Picarro Output'!$J:$J, 1), "")</f>
        <v/>
      </c>
    </row>
    <row r="4852" spans="2:5" x14ac:dyDescent="0.2">
      <c r="B4852" s="1"/>
      <c r="E4852" s="38" t="str">
        <f>IFERROR(AVERAGEIFS('Picarro Output'!G:G, 'Picarro Output'!$B:$B, 'Uncalibrated Data'!$C4852, 'Picarro Output'!$I:$I, 0, 'Picarro Output'!$J:$J, 1), "")</f>
        <v/>
      </c>
    </row>
    <row r="4853" spans="2:5" x14ac:dyDescent="0.2">
      <c r="B4853" s="1"/>
      <c r="E4853" s="38" t="str">
        <f>IFERROR(AVERAGEIFS('Picarro Output'!G:G, 'Picarro Output'!$B:$B, 'Uncalibrated Data'!$C4853, 'Picarro Output'!$I:$I, 0, 'Picarro Output'!$J:$J, 1), "")</f>
        <v/>
      </c>
    </row>
    <row r="4854" spans="2:5" x14ac:dyDescent="0.2">
      <c r="B4854" s="1"/>
      <c r="E4854" s="38" t="str">
        <f>IFERROR(AVERAGEIFS('Picarro Output'!G:G, 'Picarro Output'!$B:$B, 'Uncalibrated Data'!$C4854, 'Picarro Output'!$I:$I, 0, 'Picarro Output'!$J:$J, 1), "")</f>
        <v/>
      </c>
    </row>
    <row r="4855" spans="2:5" x14ac:dyDescent="0.2">
      <c r="B4855" s="1"/>
      <c r="E4855" s="38" t="str">
        <f>IFERROR(AVERAGEIFS('Picarro Output'!G:G, 'Picarro Output'!$B:$B, 'Uncalibrated Data'!$C4855, 'Picarro Output'!$I:$I, 0, 'Picarro Output'!$J:$J, 1), "")</f>
        <v/>
      </c>
    </row>
    <row r="4856" spans="2:5" x14ac:dyDescent="0.2">
      <c r="B4856" s="1"/>
      <c r="E4856" s="38" t="str">
        <f>IFERROR(AVERAGEIFS('Picarro Output'!G:G, 'Picarro Output'!$B:$B, 'Uncalibrated Data'!$C4856, 'Picarro Output'!$I:$I, 0, 'Picarro Output'!$J:$J, 1), "")</f>
        <v/>
      </c>
    </row>
    <row r="4857" spans="2:5" x14ac:dyDescent="0.2">
      <c r="B4857" s="1"/>
      <c r="E4857" s="38" t="str">
        <f>IFERROR(AVERAGEIFS('Picarro Output'!G:G, 'Picarro Output'!$B:$B, 'Uncalibrated Data'!$C4857, 'Picarro Output'!$I:$I, 0, 'Picarro Output'!$J:$J, 1), "")</f>
        <v/>
      </c>
    </row>
    <row r="4858" spans="2:5" x14ac:dyDescent="0.2">
      <c r="B4858" s="1"/>
      <c r="E4858" s="38" t="str">
        <f>IFERROR(AVERAGEIFS('Picarro Output'!G:G, 'Picarro Output'!$B:$B, 'Uncalibrated Data'!$C4858, 'Picarro Output'!$I:$I, 0, 'Picarro Output'!$J:$J, 1), "")</f>
        <v/>
      </c>
    </row>
    <row r="4859" spans="2:5" x14ac:dyDescent="0.2">
      <c r="B4859" s="1"/>
      <c r="E4859" s="38" t="str">
        <f>IFERROR(AVERAGEIFS('Picarro Output'!G:G, 'Picarro Output'!$B:$B, 'Uncalibrated Data'!$C4859, 'Picarro Output'!$I:$I, 0, 'Picarro Output'!$J:$J, 1), "")</f>
        <v/>
      </c>
    </row>
    <row r="4860" spans="2:5" x14ac:dyDescent="0.2">
      <c r="B4860" s="1"/>
      <c r="E4860" s="38" t="str">
        <f>IFERROR(AVERAGEIFS('Picarro Output'!G:G, 'Picarro Output'!$B:$B, 'Uncalibrated Data'!$C4860, 'Picarro Output'!$I:$I, 0, 'Picarro Output'!$J:$J, 1), "")</f>
        <v/>
      </c>
    </row>
    <row r="4861" spans="2:5" x14ac:dyDescent="0.2">
      <c r="B4861" s="1"/>
      <c r="E4861" s="38" t="str">
        <f>IFERROR(AVERAGEIFS('Picarro Output'!G:G, 'Picarro Output'!$B:$B, 'Uncalibrated Data'!$C4861, 'Picarro Output'!$I:$I, 0, 'Picarro Output'!$J:$J, 1), "")</f>
        <v/>
      </c>
    </row>
    <row r="4862" spans="2:5" x14ac:dyDescent="0.2">
      <c r="B4862" s="1"/>
      <c r="E4862" s="38" t="str">
        <f>IFERROR(AVERAGEIFS('Picarro Output'!G:G, 'Picarro Output'!$B:$B, 'Uncalibrated Data'!$C4862, 'Picarro Output'!$I:$I, 0, 'Picarro Output'!$J:$J, 1), "")</f>
        <v/>
      </c>
    </row>
    <row r="4863" spans="2:5" x14ac:dyDescent="0.2">
      <c r="B4863" s="1"/>
      <c r="E4863" s="38" t="str">
        <f>IFERROR(AVERAGEIFS('Picarro Output'!G:G, 'Picarro Output'!$B:$B, 'Uncalibrated Data'!$C4863, 'Picarro Output'!$I:$I, 0, 'Picarro Output'!$J:$J, 1), "")</f>
        <v/>
      </c>
    </row>
    <row r="4864" spans="2:5" x14ac:dyDescent="0.2">
      <c r="B4864" s="1"/>
      <c r="E4864" s="38" t="str">
        <f>IFERROR(AVERAGEIFS('Picarro Output'!G:G, 'Picarro Output'!$B:$B, 'Uncalibrated Data'!$C4864, 'Picarro Output'!$I:$I, 0, 'Picarro Output'!$J:$J, 1), "")</f>
        <v/>
      </c>
    </row>
    <row r="4865" spans="2:5" x14ac:dyDescent="0.2">
      <c r="B4865" s="1"/>
      <c r="E4865" s="38" t="str">
        <f>IFERROR(AVERAGEIFS('Picarro Output'!G:G, 'Picarro Output'!$B:$B, 'Uncalibrated Data'!$C4865, 'Picarro Output'!$I:$I, 0, 'Picarro Output'!$J:$J, 1), "")</f>
        <v/>
      </c>
    </row>
    <row r="4866" spans="2:5" x14ac:dyDescent="0.2">
      <c r="B4866" s="1"/>
      <c r="E4866" s="38" t="str">
        <f>IFERROR(AVERAGEIFS('Picarro Output'!G:G, 'Picarro Output'!$B:$B, 'Uncalibrated Data'!$C4866, 'Picarro Output'!$I:$I, 0, 'Picarro Output'!$J:$J, 1), "")</f>
        <v/>
      </c>
    </row>
    <row r="4867" spans="2:5" x14ac:dyDescent="0.2">
      <c r="B4867" s="1"/>
      <c r="E4867" s="38" t="str">
        <f>IFERROR(AVERAGEIFS('Picarro Output'!G:G, 'Picarro Output'!$B:$B, 'Uncalibrated Data'!$C4867, 'Picarro Output'!$I:$I, 0, 'Picarro Output'!$J:$J, 1), "")</f>
        <v/>
      </c>
    </row>
    <row r="4868" spans="2:5" x14ac:dyDescent="0.2">
      <c r="B4868" s="1"/>
      <c r="E4868" s="38" t="str">
        <f>IFERROR(AVERAGEIFS('Picarro Output'!G:G, 'Picarro Output'!$B:$B, 'Uncalibrated Data'!$C4868, 'Picarro Output'!$I:$I, 0, 'Picarro Output'!$J:$J, 1), "")</f>
        <v/>
      </c>
    </row>
    <row r="4869" spans="2:5" x14ac:dyDescent="0.2">
      <c r="B4869" s="1"/>
      <c r="E4869" s="38" t="str">
        <f>IFERROR(AVERAGEIFS('Picarro Output'!G:G, 'Picarro Output'!$B:$B, 'Uncalibrated Data'!$C4869, 'Picarro Output'!$I:$I, 0, 'Picarro Output'!$J:$J, 1), "")</f>
        <v/>
      </c>
    </row>
    <row r="4870" spans="2:5" x14ac:dyDescent="0.2">
      <c r="B4870" s="1"/>
      <c r="E4870" s="38" t="str">
        <f>IFERROR(AVERAGEIFS('Picarro Output'!G:G, 'Picarro Output'!$B:$B, 'Uncalibrated Data'!$C4870, 'Picarro Output'!$I:$I, 0, 'Picarro Output'!$J:$J, 1), "")</f>
        <v/>
      </c>
    </row>
    <row r="4871" spans="2:5" x14ac:dyDescent="0.2">
      <c r="B4871" s="1"/>
      <c r="E4871" s="38" t="str">
        <f>IFERROR(AVERAGEIFS('Picarro Output'!G:G, 'Picarro Output'!$B:$B, 'Uncalibrated Data'!$C4871, 'Picarro Output'!$I:$I, 0, 'Picarro Output'!$J:$J, 1), "")</f>
        <v/>
      </c>
    </row>
    <row r="4872" spans="2:5" x14ac:dyDescent="0.2">
      <c r="B4872" s="1"/>
      <c r="E4872" s="38" t="str">
        <f>IFERROR(AVERAGEIFS('Picarro Output'!G:G, 'Picarro Output'!$B:$B, 'Uncalibrated Data'!$C4872, 'Picarro Output'!$I:$I, 0, 'Picarro Output'!$J:$J, 1), "")</f>
        <v/>
      </c>
    </row>
    <row r="4873" spans="2:5" x14ac:dyDescent="0.2">
      <c r="B4873" s="1"/>
      <c r="E4873" s="38" t="str">
        <f>IFERROR(AVERAGEIFS('Picarro Output'!G:G, 'Picarro Output'!$B:$B, 'Uncalibrated Data'!$C4873, 'Picarro Output'!$I:$I, 0, 'Picarro Output'!$J:$J, 1), "")</f>
        <v/>
      </c>
    </row>
    <row r="4874" spans="2:5" x14ac:dyDescent="0.2">
      <c r="B4874" s="1"/>
      <c r="E4874" s="38" t="str">
        <f>IFERROR(AVERAGEIFS('Picarro Output'!G:G, 'Picarro Output'!$B:$B, 'Uncalibrated Data'!$C4874, 'Picarro Output'!$I:$I, 0, 'Picarro Output'!$J:$J, 1), "")</f>
        <v/>
      </c>
    </row>
    <row r="4875" spans="2:5" x14ac:dyDescent="0.2">
      <c r="B4875" s="1"/>
      <c r="E4875" s="38" t="str">
        <f>IFERROR(AVERAGEIFS('Picarro Output'!G:G, 'Picarro Output'!$B:$B, 'Uncalibrated Data'!$C4875, 'Picarro Output'!$I:$I, 0, 'Picarro Output'!$J:$J, 1), "")</f>
        <v/>
      </c>
    </row>
    <row r="4876" spans="2:5" x14ac:dyDescent="0.2">
      <c r="B4876" s="1"/>
      <c r="E4876" s="38" t="str">
        <f>IFERROR(AVERAGEIFS('Picarro Output'!G:G, 'Picarro Output'!$B:$B, 'Uncalibrated Data'!$C4876, 'Picarro Output'!$I:$I, 0, 'Picarro Output'!$J:$J, 1), "")</f>
        <v/>
      </c>
    </row>
    <row r="4877" spans="2:5" x14ac:dyDescent="0.2">
      <c r="B4877" s="1"/>
      <c r="E4877" s="38" t="str">
        <f>IFERROR(AVERAGEIFS('Picarro Output'!G:G, 'Picarro Output'!$B:$B, 'Uncalibrated Data'!$C4877, 'Picarro Output'!$I:$I, 0, 'Picarro Output'!$J:$J, 1), "")</f>
        <v/>
      </c>
    </row>
    <row r="4878" spans="2:5" x14ac:dyDescent="0.2">
      <c r="B4878" s="1"/>
      <c r="E4878" s="38" t="str">
        <f>IFERROR(AVERAGEIFS('Picarro Output'!G:G, 'Picarro Output'!$B:$B, 'Uncalibrated Data'!$C4878, 'Picarro Output'!$I:$I, 0, 'Picarro Output'!$J:$J, 1), "")</f>
        <v/>
      </c>
    </row>
    <row r="4879" spans="2:5" x14ac:dyDescent="0.2">
      <c r="B4879" s="1"/>
      <c r="E4879" s="38" t="str">
        <f>IFERROR(AVERAGEIFS('Picarro Output'!G:G, 'Picarro Output'!$B:$B, 'Uncalibrated Data'!$C4879, 'Picarro Output'!$I:$I, 0, 'Picarro Output'!$J:$J, 1), "")</f>
        <v/>
      </c>
    </row>
    <row r="4880" spans="2:5" x14ac:dyDescent="0.2">
      <c r="B4880" s="1"/>
      <c r="E4880" s="38" t="str">
        <f>IFERROR(AVERAGEIFS('Picarro Output'!G:G, 'Picarro Output'!$B:$B, 'Uncalibrated Data'!$C4880, 'Picarro Output'!$I:$I, 0, 'Picarro Output'!$J:$J, 1), "")</f>
        <v/>
      </c>
    </row>
    <row r="4881" spans="2:5" x14ac:dyDescent="0.2">
      <c r="B4881" s="1"/>
      <c r="E4881" s="38" t="str">
        <f>IFERROR(AVERAGEIFS('Picarro Output'!G:G, 'Picarro Output'!$B:$B, 'Uncalibrated Data'!$C4881, 'Picarro Output'!$I:$I, 0, 'Picarro Output'!$J:$J, 1), "")</f>
        <v/>
      </c>
    </row>
    <row r="4882" spans="2:5" x14ac:dyDescent="0.2">
      <c r="B4882" s="1"/>
      <c r="E4882" s="38" t="str">
        <f>IFERROR(AVERAGEIFS('Picarro Output'!G:G, 'Picarro Output'!$B:$B, 'Uncalibrated Data'!$C4882, 'Picarro Output'!$I:$I, 0, 'Picarro Output'!$J:$J, 1), "")</f>
        <v/>
      </c>
    </row>
    <row r="4883" spans="2:5" x14ac:dyDescent="0.2">
      <c r="B4883" s="1"/>
      <c r="E4883" s="38" t="str">
        <f>IFERROR(AVERAGEIFS('Picarro Output'!G:G, 'Picarro Output'!$B:$B, 'Uncalibrated Data'!$C4883, 'Picarro Output'!$I:$I, 0, 'Picarro Output'!$J:$J, 1), "")</f>
        <v/>
      </c>
    </row>
    <row r="4884" spans="2:5" x14ac:dyDescent="0.2">
      <c r="B4884" s="1"/>
      <c r="E4884" s="38" t="str">
        <f>IFERROR(AVERAGEIFS('Picarro Output'!G:G, 'Picarro Output'!$B:$B, 'Uncalibrated Data'!$C4884, 'Picarro Output'!$I:$I, 0, 'Picarro Output'!$J:$J, 1), "")</f>
        <v/>
      </c>
    </row>
    <row r="4885" spans="2:5" x14ac:dyDescent="0.2">
      <c r="B4885" s="1"/>
      <c r="E4885" s="38" t="str">
        <f>IFERROR(AVERAGEIFS('Picarro Output'!G:G, 'Picarro Output'!$B:$B, 'Uncalibrated Data'!$C4885, 'Picarro Output'!$I:$I, 0, 'Picarro Output'!$J:$J, 1), "")</f>
        <v/>
      </c>
    </row>
    <row r="4886" spans="2:5" x14ac:dyDescent="0.2">
      <c r="B4886" s="1"/>
      <c r="E4886" s="38" t="str">
        <f>IFERROR(AVERAGEIFS('Picarro Output'!G:G, 'Picarro Output'!$B:$B, 'Uncalibrated Data'!$C4886, 'Picarro Output'!$I:$I, 0, 'Picarro Output'!$J:$J, 1), "")</f>
        <v/>
      </c>
    </row>
    <row r="4887" spans="2:5" x14ac:dyDescent="0.2">
      <c r="B4887" s="1"/>
      <c r="E4887" s="38" t="str">
        <f>IFERROR(AVERAGEIFS('Picarro Output'!G:G, 'Picarro Output'!$B:$B, 'Uncalibrated Data'!$C4887, 'Picarro Output'!$I:$I, 0, 'Picarro Output'!$J:$J, 1), "")</f>
        <v/>
      </c>
    </row>
    <row r="4888" spans="2:5" x14ac:dyDescent="0.2">
      <c r="B4888" s="1"/>
      <c r="E4888" s="38" t="str">
        <f>IFERROR(AVERAGEIFS('Picarro Output'!G:G, 'Picarro Output'!$B:$B, 'Uncalibrated Data'!$C4888, 'Picarro Output'!$I:$I, 0, 'Picarro Output'!$J:$J, 1), "")</f>
        <v/>
      </c>
    </row>
    <row r="4889" spans="2:5" x14ac:dyDescent="0.2">
      <c r="B4889" s="1"/>
      <c r="E4889" s="38" t="str">
        <f>IFERROR(AVERAGEIFS('Picarro Output'!G:G, 'Picarro Output'!$B:$B, 'Uncalibrated Data'!$C4889, 'Picarro Output'!$I:$I, 0, 'Picarro Output'!$J:$J, 1), "")</f>
        <v/>
      </c>
    </row>
    <row r="4890" spans="2:5" x14ac:dyDescent="0.2">
      <c r="B4890" s="1"/>
      <c r="E4890" s="38" t="str">
        <f>IFERROR(AVERAGEIFS('Picarro Output'!G:G, 'Picarro Output'!$B:$B, 'Uncalibrated Data'!$C4890, 'Picarro Output'!$I:$I, 0, 'Picarro Output'!$J:$J, 1), "")</f>
        <v/>
      </c>
    </row>
    <row r="4891" spans="2:5" x14ac:dyDescent="0.2">
      <c r="B4891" s="1"/>
      <c r="E4891" s="38" t="str">
        <f>IFERROR(AVERAGEIFS('Picarro Output'!G:G, 'Picarro Output'!$B:$B, 'Uncalibrated Data'!$C4891, 'Picarro Output'!$I:$I, 0, 'Picarro Output'!$J:$J, 1), "")</f>
        <v/>
      </c>
    </row>
    <row r="4892" spans="2:5" x14ac:dyDescent="0.2">
      <c r="B4892" s="1"/>
      <c r="E4892" s="38" t="str">
        <f>IFERROR(AVERAGEIFS('Picarro Output'!G:G, 'Picarro Output'!$B:$B, 'Uncalibrated Data'!$C4892, 'Picarro Output'!$I:$I, 0, 'Picarro Output'!$J:$J, 1), "")</f>
        <v/>
      </c>
    </row>
    <row r="4893" spans="2:5" x14ac:dyDescent="0.2">
      <c r="B4893" s="1"/>
      <c r="E4893" s="38" t="str">
        <f>IFERROR(AVERAGEIFS('Picarro Output'!G:G, 'Picarro Output'!$B:$B, 'Uncalibrated Data'!$C4893, 'Picarro Output'!$I:$I, 0, 'Picarro Output'!$J:$J, 1), "")</f>
        <v/>
      </c>
    </row>
    <row r="4894" spans="2:5" x14ac:dyDescent="0.2">
      <c r="B4894" s="1"/>
      <c r="E4894" s="38" t="str">
        <f>IFERROR(AVERAGEIFS('Picarro Output'!G:G, 'Picarro Output'!$B:$B, 'Uncalibrated Data'!$C4894, 'Picarro Output'!$I:$I, 0, 'Picarro Output'!$J:$J, 1), "")</f>
        <v/>
      </c>
    </row>
    <row r="4895" spans="2:5" x14ac:dyDescent="0.2">
      <c r="B4895" s="1"/>
      <c r="E4895" s="38" t="str">
        <f>IFERROR(AVERAGEIFS('Picarro Output'!G:G, 'Picarro Output'!$B:$B, 'Uncalibrated Data'!$C4895, 'Picarro Output'!$I:$I, 0, 'Picarro Output'!$J:$J, 1), "")</f>
        <v/>
      </c>
    </row>
    <row r="4896" spans="2:5" x14ac:dyDescent="0.2">
      <c r="B4896" s="1"/>
      <c r="E4896" s="38" t="str">
        <f>IFERROR(AVERAGEIFS('Picarro Output'!G:G, 'Picarro Output'!$B:$B, 'Uncalibrated Data'!$C4896, 'Picarro Output'!$I:$I, 0, 'Picarro Output'!$J:$J, 1), "")</f>
        <v/>
      </c>
    </row>
    <row r="4897" spans="2:5" x14ac:dyDescent="0.2">
      <c r="B4897" s="1"/>
      <c r="E4897" s="38" t="str">
        <f>IFERROR(AVERAGEIFS('Picarro Output'!G:G, 'Picarro Output'!$B:$B, 'Uncalibrated Data'!$C4897, 'Picarro Output'!$I:$I, 0, 'Picarro Output'!$J:$J, 1), "")</f>
        <v/>
      </c>
    </row>
    <row r="4898" spans="2:5" x14ac:dyDescent="0.2">
      <c r="B4898" s="1"/>
      <c r="E4898" s="38" t="str">
        <f>IFERROR(AVERAGEIFS('Picarro Output'!G:G, 'Picarro Output'!$B:$B, 'Uncalibrated Data'!$C4898, 'Picarro Output'!$I:$I, 0, 'Picarro Output'!$J:$J, 1), "")</f>
        <v/>
      </c>
    </row>
    <row r="4899" spans="2:5" x14ac:dyDescent="0.2">
      <c r="B4899" s="1"/>
      <c r="E4899" s="38" t="str">
        <f>IFERROR(AVERAGEIFS('Picarro Output'!G:G, 'Picarro Output'!$B:$B, 'Uncalibrated Data'!$C4899, 'Picarro Output'!$I:$I, 0, 'Picarro Output'!$J:$J, 1), "")</f>
        <v/>
      </c>
    </row>
    <row r="4900" spans="2:5" x14ac:dyDescent="0.2">
      <c r="B4900" s="1"/>
      <c r="E4900" s="38" t="str">
        <f>IFERROR(AVERAGEIFS('Picarro Output'!G:G, 'Picarro Output'!$B:$B, 'Uncalibrated Data'!$C4900, 'Picarro Output'!$I:$I, 0, 'Picarro Output'!$J:$J, 1), "")</f>
        <v/>
      </c>
    </row>
    <row r="4901" spans="2:5" x14ac:dyDescent="0.2">
      <c r="B4901" s="1"/>
      <c r="E4901" s="38" t="str">
        <f>IFERROR(AVERAGEIFS('Picarro Output'!G:G, 'Picarro Output'!$B:$B, 'Uncalibrated Data'!$C4901, 'Picarro Output'!$I:$I, 0, 'Picarro Output'!$J:$J, 1), "")</f>
        <v/>
      </c>
    </row>
    <row r="4902" spans="2:5" x14ac:dyDescent="0.2">
      <c r="B4902" s="1"/>
      <c r="E4902" s="38" t="str">
        <f>IFERROR(AVERAGEIFS('Picarro Output'!G:G, 'Picarro Output'!$B:$B, 'Uncalibrated Data'!$C4902, 'Picarro Output'!$I:$I, 0, 'Picarro Output'!$J:$J, 1), "")</f>
        <v/>
      </c>
    </row>
    <row r="4903" spans="2:5" x14ac:dyDescent="0.2">
      <c r="B4903" s="1"/>
      <c r="E4903" s="38" t="str">
        <f>IFERROR(AVERAGEIFS('Picarro Output'!G:G, 'Picarro Output'!$B:$B, 'Uncalibrated Data'!$C4903, 'Picarro Output'!$I:$I, 0, 'Picarro Output'!$J:$J, 1), "")</f>
        <v/>
      </c>
    </row>
    <row r="4904" spans="2:5" x14ac:dyDescent="0.2">
      <c r="B4904" s="1"/>
      <c r="E4904" s="38" t="str">
        <f>IFERROR(AVERAGEIFS('Picarro Output'!G:G, 'Picarro Output'!$B:$B, 'Uncalibrated Data'!$C4904, 'Picarro Output'!$I:$I, 0, 'Picarro Output'!$J:$J, 1), "")</f>
        <v/>
      </c>
    </row>
    <row r="4905" spans="2:5" x14ac:dyDescent="0.2">
      <c r="B4905" s="1"/>
      <c r="E4905" s="38" t="str">
        <f>IFERROR(AVERAGEIFS('Picarro Output'!G:G, 'Picarro Output'!$B:$B, 'Uncalibrated Data'!$C4905, 'Picarro Output'!$I:$I, 0, 'Picarro Output'!$J:$J, 1), "")</f>
        <v/>
      </c>
    </row>
    <row r="4906" spans="2:5" x14ac:dyDescent="0.2">
      <c r="B4906" s="1"/>
      <c r="E4906" s="38" t="str">
        <f>IFERROR(AVERAGEIFS('Picarro Output'!G:G, 'Picarro Output'!$B:$B, 'Uncalibrated Data'!$C4906, 'Picarro Output'!$I:$I, 0, 'Picarro Output'!$J:$J, 1), "")</f>
        <v/>
      </c>
    </row>
    <row r="4907" spans="2:5" x14ac:dyDescent="0.2">
      <c r="B4907" s="1"/>
      <c r="E4907" s="38" t="str">
        <f>IFERROR(AVERAGEIFS('Picarro Output'!G:G, 'Picarro Output'!$B:$B, 'Uncalibrated Data'!$C4907, 'Picarro Output'!$I:$I, 0, 'Picarro Output'!$J:$J, 1), "")</f>
        <v/>
      </c>
    </row>
    <row r="4908" spans="2:5" x14ac:dyDescent="0.2">
      <c r="B4908" s="1"/>
      <c r="E4908" s="38" t="str">
        <f>IFERROR(AVERAGEIFS('Picarro Output'!G:G, 'Picarro Output'!$B:$B, 'Uncalibrated Data'!$C4908, 'Picarro Output'!$I:$I, 0, 'Picarro Output'!$J:$J, 1), "")</f>
        <v/>
      </c>
    </row>
    <row r="4909" spans="2:5" x14ac:dyDescent="0.2">
      <c r="B4909" s="1"/>
      <c r="E4909" s="38" t="str">
        <f>IFERROR(AVERAGEIFS('Picarro Output'!G:G, 'Picarro Output'!$B:$B, 'Uncalibrated Data'!$C4909, 'Picarro Output'!$I:$I, 0, 'Picarro Output'!$J:$J, 1), "")</f>
        <v/>
      </c>
    </row>
    <row r="4910" spans="2:5" x14ac:dyDescent="0.2">
      <c r="B4910" s="1"/>
      <c r="E4910" s="38" t="str">
        <f>IFERROR(AVERAGEIFS('Picarro Output'!G:G, 'Picarro Output'!$B:$B, 'Uncalibrated Data'!$C4910, 'Picarro Output'!$I:$I, 0, 'Picarro Output'!$J:$J, 1), "")</f>
        <v/>
      </c>
    </row>
    <row r="4911" spans="2:5" x14ac:dyDescent="0.2">
      <c r="B4911" s="1"/>
      <c r="E4911" s="38" t="str">
        <f>IFERROR(AVERAGEIFS('Picarro Output'!G:G, 'Picarro Output'!$B:$B, 'Uncalibrated Data'!$C4911, 'Picarro Output'!$I:$I, 0, 'Picarro Output'!$J:$J, 1), "")</f>
        <v/>
      </c>
    </row>
    <row r="4912" spans="2:5" x14ac:dyDescent="0.2">
      <c r="B4912" s="1"/>
      <c r="E4912" s="38" t="str">
        <f>IFERROR(AVERAGEIFS('Picarro Output'!G:G, 'Picarro Output'!$B:$B, 'Uncalibrated Data'!$C4912, 'Picarro Output'!$I:$I, 0, 'Picarro Output'!$J:$J, 1), "")</f>
        <v/>
      </c>
    </row>
    <row r="4913" spans="2:5" x14ac:dyDescent="0.2">
      <c r="B4913" s="1"/>
      <c r="E4913" s="38" t="str">
        <f>IFERROR(AVERAGEIFS('Picarro Output'!G:G, 'Picarro Output'!$B:$B, 'Uncalibrated Data'!$C4913, 'Picarro Output'!$I:$I, 0, 'Picarro Output'!$J:$J, 1), "")</f>
        <v/>
      </c>
    </row>
    <row r="4914" spans="2:5" x14ac:dyDescent="0.2">
      <c r="B4914" s="1"/>
      <c r="E4914" s="38" t="str">
        <f>IFERROR(AVERAGEIFS('Picarro Output'!G:G, 'Picarro Output'!$B:$B, 'Uncalibrated Data'!$C4914, 'Picarro Output'!$I:$I, 0, 'Picarro Output'!$J:$J, 1), "")</f>
        <v/>
      </c>
    </row>
    <row r="4915" spans="2:5" x14ac:dyDescent="0.2">
      <c r="B4915" s="1"/>
      <c r="E4915" s="38" t="str">
        <f>IFERROR(AVERAGEIFS('Picarro Output'!G:G, 'Picarro Output'!$B:$B, 'Uncalibrated Data'!$C4915, 'Picarro Output'!$I:$I, 0, 'Picarro Output'!$J:$J, 1), "")</f>
        <v/>
      </c>
    </row>
    <row r="4916" spans="2:5" x14ac:dyDescent="0.2">
      <c r="B4916" s="1"/>
      <c r="E4916" s="38" t="str">
        <f>IFERROR(AVERAGEIFS('Picarro Output'!G:G, 'Picarro Output'!$B:$B, 'Uncalibrated Data'!$C4916, 'Picarro Output'!$I:$I, 0, 'Picarro Output'!$J:$J, 1), "")</f>
        <v/>
      </c>
    </row>
    <row r="4917" spans="2:5" x14ac:dyDescent="0.2">
      <c r="B4917" s="1"/>
      <c r="E4917" s="38" t="str">
        <f>IFERROR(AVERAGEIFS('Picarro Output'!G:G, 'Picarro Output'!$B:$B, 'Uncalibrated Data'!$C4917, 'Picarro Output'!$I:$I, 0, 'Picarro Output'!$J:$J, 1), "")</f>
        <v/>
      </c>
    </row>
    <row r="4918" spans="2:5" x14ac:dyDescent="0.2">
      <c r="B4918" s="1"/>
      <c r="E4918" s="38" t="str">
        <f>IFERROR(AVERAGEIFS('Picarro Output'!G:G, 'Picarro Output'!$B:$B, 'Uncalibrated Data'!$C4918, 'Picarro Output'!$I:$I, 0, 'Picarro Output'!$J:$J, 1), "")</f>
        <v/>
      </c>
    </row>
    <row r="4919" spans="2:5" x14ac:dyDescent="0.2">
      <c r="B4919" s="1"/>
      <c r="E4919" s="38" t="str">
        <f>IFERROR(AVERAGEIFS('Picarro Output'!G:G, 'Picarro Output'!$B:$B, 'Uncalibrated Data'!$C4919, 'Picarro Output'!$I:$I, 0, 'Picarro Output'!$J:$J, 1), "")</f>
        <v/>
      </c>
    </row>
    <row r="4920" spans="2:5" x14ac:dyDescent="0.2">
      <c r="B4920" s="1"/>
      <c r="E4920" s="38" t="str">
        <f>IFERROR(AVERAGEIFS('Picarro Output'!G:G, 'Picarro Output'!$B:$B, 'Uncalibrated Data'!$C4920, 'Picarro Output'!$I:$I, 0, 'Picarro Output'!$J:$J, 1), "")</f>
        <v/>
      </c>
    </row>
    <row r="4921" spans="2:5" x14ac:dyDescent="0.2">
      <c r="B4921" s="1"/>
      <c r="E4921" s="38" t="str">
        <f>IFERROR(AVERAGEIFS('Picarro Output'!G:G, 'Picarro Output'!$B:$B, 'Uncalibrated Data'!$C4921, 'Picarro Output'!$I:$I, 0, 'Picarro Output'!$J:$J, 1), "")</f>
        <v/>
      </c>
    </row>
    <row r="4922" spans="2:5" x14ac:dyDescent="0.2">
      <c r="B4922" s="1"/>
      <c r="E4922" s="38" t="str">
        <f>IFERROR(AVERAGEIFS('Picarro Output'!G:G, 'Picarro Output'!$B:$B, 'Uncalibrated Data'!$C4922, 'Picarro Output'!$I:$I, 0, 'Picarro Output'!$J:$J, 1), "")</f>
        <v/>
      </c>
    </row>
    <row r="4923" spans="2:5" x14ac:dyDescent="0.2">
      <c r="B4923" s="1"/>
      <c r="E4923" s="38" t="str">
        <f>IFERROR(AVERAGEIFS('Picarro Output'!G:G, 'Picarro Output'!$B:$B, 'Uncalibrated Data'!$C4923, 'Picarro Output'!$I:$I, 0, 'Picarro Output'!$J:$J, 1), "")</f>
        <v/>
      </c>
    </row>
    <row r="4924" spans="2:5" x14ac:dyDescent="0.2">
      <c r="B4924" s="1"/>
      <c r="E4924" s="38" t="str">
        <f>IFERROR(AVERAGEIFS('Picarro Output'!G:G, 'Picarro Output'!$B:$B, 'Uncalibrated Data'!$C4924, 'Picarro Output'!$I:$I, 0, 'Picarro Output'!$J:$J, 1), "")</f>
        <v/>
      </c>
    </row>
    <row r="4925" spans="2:5" x14ac:dyDescent="0.2">
      <c r="B4925" s="1"/>
      <c r="E4925" s="38" t="str">
        <f>IFERROR(AVERAGEIFS('Picarro Output'!G:G, 'Picarro Output'!$B:$B, 'Uncalibrated Data'!$C4925, 'Picarro Output'!$I:$I, 0, 'Picarro Output'!$J:$J, 1), "")</f>
        <v/>
      </c>
    </row>
    <row r="4926" spans="2:5" x14ac:dyDescent="0.2">
      <c r="B4926" s="1"/>
      <c r="E4926" s="38" t="str">
        <f>IFERROR(AVERAGEIFS('Picarro Output'!G:G, 'Picarro Output'!$B:$B, 'Uncalibrated Data'!$C4926, 'Picarro Output'!$I:$I, 0, 'Picarro Output'!$J:$J, 1), "")</f>
        <v/>
      </c>
    </row>
    <row r="4927" spans="2:5" x14ac:dyDescent="0.2">
      <c r="B4927" s="1"/>
      <c r="E4927" s="38" t="str">
        <f>IFERROR(AVERAGEIFS('Picarro Output'!G:G, 'Picarro Output'!$B:$B, 'Uncalibrated Data'!$C4927, 'Picarro Output'!$I:$I, 0, 'Picarro Output'!$J:$J, 1), "")</f>
        <v/>
      </c>
    </row>
    <row r="4928" spans="2:5" x14ac:dyDescent="0.2">
      <c r="B4928" s="1"/>
      <c r="E4928" s="38" t="str">
        <f>IFERROR(AVERAGEIFS('Picarro Output'!G:G, 'Picarro Output'!$B:$B, 'Uncalibrated Data'!$C4928, 'Picarro Output'!$I:$I, 0, 'Picarro Output'!$J:$J, 1), "")</f>
        <v/>
      </c>
    </row>
    <row r="4929" spans="2:5" x14ac:dyDescent="0.2">
      <c r="B4929" s="1"/>
      <c r="E4929" s="38" t="str">
        <f>IFERROR(AVERAGEIFS('Picarro Output'!G:G, 'Picarro Output'!$B:$B, 'Uncalibrated Data'!$C4929, 'Picarro Output'!$I:$I, 0, 'Picarro Output'!$J:$J, 1), "")</f>
        <v/>
      </c>
    </row>
    <row r="4930" spans="2:5" x14ac:dyDescent="0.2">
      <c r="B4930" s="1"/>
      <c r="E4930" s="38" t="str">
        <f>IFERROR(AVERAGEIFS('Picarro Output'!G:G, 'Picarro Output'!$B:$B, 'Uncalibrated Data'!$C4930, 'Picarro Output'!$I:$I, 0, 'Picarro Output'!$J:$J, 1), "")</f>
        <v/>
      </c>
    </row>
    <row r="4931" spans="2:5" x14ac:dyDescent="0.2">
      <c r="B4931" s="1"/>
      <c r="E4931" s="38" t="str">
        <f>IFERROR(AVERAGEIFS('Picarro Output'!G:G, 'Picarro Output'!$B:$B, 'Uncalibrated Data'!$C4931, 'Picarro Output'!$I:$I, 0, 'Picarro Output'!$J:$J, 1), "")</f>
        <v/>
      </c>
    </row>
    <row r="4932" spans="2:5" x14ac:dyDescent="0.2">
      <c r="B4932" s="1"/>
      <c r="E4932" s="38" t="str">
        <f>IFERROR(AVERAGEIFS('Picarro Output'!G:G, 'Picarro Output'!$B:$B, 'Uncalibrated Data'!$C4932, 'Picarro Output'!$I:$I, 0, 'Picarro Output'!$J:$J, 1), "")</f>
        <v/>
      </c>
    </row>
    <row r="4933" spans="2:5" x14ac:dyDescent="0.2">
      <c r="B4933" s="1"/>
      <c r="E4933" s="38" t="str">
        <f>IFERROR(AVERAGEIFS('Picarro Output'!G:G, 'Picarro Output'!$B:$B, 'Uncalibrated Data'!$C4933, 'Picarro Output'!$I:$I, 0, 'Picarro Output'!$J:$J, 1), "")</f>
        <v/>
      </c>
    </row>
    <row r="4934" spans="2:5" x14ac:dyDescent="0.2">
      <c r="B4934" s="1"/>
      <c r="E4934" s="38" t="str">
        <f>IFERROR(AVERAGEIFS('Picarro Output'!G:G, 'Picarro Output'!$B:$B, 'Uncalibrated Data'!$C4934, 'Picarro Output'!$I:$I, 0, 'Picarro Output'!$J:$J, 1), "")</f>
        <v/>
      </c>
    </row>
    <row r="4935" spans="2:5" x14ac:dyDescent="0.2">
      <c r="B4935" s="1"/>
      <c r="E4935" s="38" t="str">
        <f>IFERROR(AVERAGEIFS('Picarro Output'!G:G, 'Picarro Output'!$B:$B, 'Uncalibrated Data'!$C4935, 'Picarro Output'!$I:$I, 0, 'Picarro Output'!$J:$J, 1), "")</f>
        <v/>
      </c>
    </row>
    <row r="4936" spans="2:5" x14ac:dyDescent="0.2">
      <c r="B4936" s="1"/>
      <c r="E4936" s="38" t="str">
        <f>IFERROR(AVERAGEIFS('Picarro Output'!G:G, 'Picarro Output'!$B:$B, 'Uncalibrated Data'!$C4936, 'Picarro Output'!$I:$I, 0, 'Picarro Output'!$J:$J, 1), "")</f>
        <v/>
      </c>
    </row>
    <row r="4937" spans="2:5" x14ac:dyDescent="0.2">
      <c r="B4937" s="1"/>
      <c r="E4937" s="38" t="str">
        <f>IFERROR(AVERAGEIFS('Picarro Output'!G:G, 'Picarro Output'!$B:$B, 'Uncalibrated Data'!$C4937, 'Picarro Output'!$I:$I, 0, 'Picarro Output'!$J:$J, 1), "")</f>
        <v/>
      </c>
    </row>
    <row r="4938" spans="2:5" x14ac:dyDescent="0.2">
      <c r="B4938" s="1"/>
      <c r="E4938" s="38" t="str">
        <f>IFERROR(AVERAGEIFS('Picarro Output'!G:G, 'Picarro Output'!$B:$B, 'Uncalibrated Data'!$C4938, 'Picarro Output'!$I:$I, 0, 'Picarro Output'!$J:$J, 1), "")</f>
        <v/>
      </c>
    </row>
    <row r="4939" spans="2:5" x14ac:dyDescent="0.2">
      <c r="B4939" s="1"/>
      <c r="E4939" s="38" t="str">
        <f>IFERROR(AVERAGEIFS('Picarro Output'!G:G, 'Picarro Output'!$B:$B, 'Uncalibrated Data'!$C4939, 'Picarro Output'!$I:$I, 0, 'Picarro Output'!$J:$J, 1), "")</f>
        <v/>
      </c>
    </row>
    <row r="4940" spans="2:5" x14ac:dyDescent="0.2">
      <c r="B4940" s="1"/>
      <c r="E4940" s="38" t="str">
        <f>IFERROR(AVERAGEIFS('Picarro Output'!G:G, 'Picarro Output'!$B:$B, 'Uncalibrated Data'!$C4940, 'Picarro Output'!$I:$I, 0, 'Picarro Output'!$J:$J, 1), "")</f>
        <v/>
      </c>
    </row>
    <row r="4941" spans="2:5" x14ac:dyDescent="0.2">
      <c r="B4941" s="1"/>
      <c r="E4941" s="38" t="str">
        <f>IFERROR(AVERAGEIFS('Picarro Output'!G:G, 'Picarro Output'!$B:$B, 'Uncalibrated Data'!$C4941, 'Picarro Output'!$I:$I, 0, 'Picarro Output'!$J:$J, 1), "")</f>
        <v/>
      </c>
    </row>
    <row r="4942" spans="2:5" x14ac:dyDescent="0.2">
      <c r="B4942" s="1"/>
      <c r="E4942" s="38" t="str">
        <f>IFERROR(AVERAGEIFS('Picarro Output'!G:G, 'Picarro Output'!$B:$B, 'Uncalibrated Data'!$C4942, 'Picarro Output'!$I:$I, 0, 'Picarro Output'!$J:$J, 1), "")</f>
        <v/>
      </c>
    </row>
    <row r="4943" spans="2:5" x14ac:dyDescent="0.2">
      <c r="B4943" s="1"/>
      <c r="E4943" s="38" t="str">
        <f>IFERROR(AVERAGEIFS('Picarro Output'!G:G, 'Picarro Output'!$B:$B, 'Uncalibrated Data'!$C4943, 'Picarro Output'!$I:$I, 0, 'Picarro Output'!$J:$J, 1), "")</f>
        <v/>
      </c>
    </row>
    <row r="4944" spans="2:5" x14ac:dyDescent="0.2">
      <c r="B4944" s="1"/>
      <c r="E4944" s="38" t="str">
        <f>IFERROR(AVERAGEIFS('Picarro Output'!G:G, 'Picarro Output'!$B:$B, 'Uncalibrated Data'!$C4944, 'Picarro Output'!$I:$I, 0, 'Picarro Output'!$J:$J, 1), "")</f>
        <v/>
      </c>
    </row>
    <row r="4945" spans="2:5" x14ac:dyDescent="0.2">
      <c r="B4945" s="1"/>
      <c r="E4945" s="38" t="str">
        <f>IFERROR(AVERAGEIFS('Picarro Output'!G:G, 'Picarro Output'!$B:$B, 'Uncalibrated Data'!$C4945, 'Picarro Output'!$I:$I, 0, 'Picarro Output'!$J:$J, 1), "")</f>
        <v/>
      </c>
    </row>
    <row r="4946" spans="2:5" x14ac:dyDescent="0.2">
      <c r="B4946" s="1"/>
      <c r="E4946" s="38" t="str">
        <f>IFERROR(AVERAGEIFS('Picarro Output'!G:G, 'Picarro Output'!$B:$B, 'Uncalibrated Data'!$C4946, 'Picarro Output'!$I:$I, 0, 'Picarro Output'!$J:$J, 1), "")</f>
        <v/>
      </c>
    </row>
    <row r="4947" spans="2:5" x14ac:dyDescent="0.2">
      <c r="B4947" s="1"/>
      <c r="E4947" s="38" t="str">
        <f>IFERROR(AVERAGEIFS('Picarro Output'!G:G, 'Picarro Output'!$B:$B, 'Uncalibrated Data'!$C4947, 'Picarro Output'!$I:$I, 0, 'Picarro Output'!$J:$J, 1), "")</f>
        <v/>
      </c>
    </row>
    <row r="4948" spans="2:5" x14ac:dyDescent="0.2">
      <c r="B4948" s="1"/>
      <c r="E4948" s="38" t="str">
        <f>IFERROR(AVERAGEIFS('Picarro Output'!G:G, 'Picarro Output'!$B:$B, 'Uncalibrated Data'!$C4948, 'Picarro Output'!$I:$I, 0, 'Picarro Output'!$J:$J, 1), "")</f>
        <v/>
      </c>
    </row>
    <row r="4949" spans="2:5" x14ac:dyDescent="0.2">
      <c r="B4949" s="1"/>
      <c r="E4949" s="38" t="str">
        <f>IFERROR(AVERAGEIFS('Picarro Output'!G:G, 'Picarro Output'!$B:$B, 'Uncalibrated Data'!$C4949, 'Picarro Output'!$I:$I, 0, 'Picarro Output'!$J:$J, 1), "")</f>
        <v/>
      </c>
    </row>
    <row r="4950" spans="2:5" x14ac:dyDescent="0.2">
      <c r="B4950" s="1"/>
      <c r="E4950" s="38" t="str">
        <f>IFERROR(AVERAGEIFS('Picarro Output'!G:G, 'Picarro Output'!$B:$B, 'Uncalibrated Data'!$C4950, 'Picarro Output'!$I:$I, 0, 'Picarro Output'!$J:$J, 1), "")</f>
        <v/>
      </c>
    </row>
    <row r="4951" spans="2:5" x14ac:dyDescent="0.2">
      <c r="B4951" s="1"/>
      <c r="E4951" s="38" t="str">
        <f>IFERROR(AVERAGEIFS('Picarro Output'!G:G, 'Picarro Output'!$B:$B, 'Uncalibrated Data'!$C4951, 'Picarro Output'!$I:$I, 0, 'Picarro Output'!$J:$J, 1), "")</f>
        <v/>
      </c>
    </row>
    <row r="4952" spans="2:5" x14ac:dyDescent="0.2">
      <c r="B4952" s="1"/>
      <c r="E4952" s="38" t="str">
        <f>IFERROR(AVERAGEIFS('Picarro Output'!G:G, 'Picarro Output'!$B:$B, 'Uncalibrated Data'!$C4952, 'Picarro Output'!$I:$I, 0, 'Picarro Output'!$J:$J, 1), "")</f>
        <v/>
      </c>
    </row>
    <row r="4953" spans="2:5" x14ac:dyDescent="0.2">
      <c r="B4953" s="1"/>
      <c r="E4953" s="38" t="str">
        <f>IFERROR(AVERAGEIFS('Picarro Output'!G:G, 'Picarro Output'!$B:$B, 'Uncalibrated Data'!$C4953, 'Picarro Output'!$I:$I, 0, 'Picarro Output'!$J:$J, 1), "")</f>
        <v/>
      </c>
    </row>
    <row r="4954" spans="2:5" x14ac:dyDescent="0.2">
      <c r="B4954" s="1"/>
      <c r="E4954" s="38" t="str">
        <f>IFERROR(AVERAGEIFS('Picarro Output'!G:G, 'Picarro Output'!$B:$B, 'Uncalibrated Data'!$C4954, 'Picarro Output'!$I:$I, 0, 'Picarro Output'!$J:$J, 1), "")</f>
        <v/>
      </c>
    </row>
    <row r="4955" spans="2:5" x14ac:dyDescent="0.2">
      <c r="B4955" s="1"/>
      <c r="E4955" s="38" t="str">
        <f>IFERROR(AVERAGEIFS('Picarro Output'!G:G, 'Picarro Output'!$B:$B, 'Uncalibrated Data'!$C4955, 'Picarro Output'!$I:$I, 0, 'Picarro Output'!$J:$J, 1), "")</f>
        <v/>
      </c>
    </row>
    <row r="4956" spans="2:5" x14ac:dyDescent="0.2">
      <c r="B4956" s="1"/>
      <c r="E4956" s="38" t="str">
        <f>IFERROR(AVERAGEIFS('Picarro Output'!G:G, 'Picarro Output'!$B:$B, 'Uncalibrated Data'!$C4956, 'Picarro Output'!$I:$I, 0, 'Picarro Output'!$J:$J, 1), "")</f>
        <v/>
      </c>
    </row>
    <row r="4957" spans="2:5" x14ac:dyDescent="0.2">
      <c r="B4957" s="1"/>
      <c r="E4957" s="38" t="str">
        <f>IFERROR(AVERAGEIFS('Picarro Output'!G:G, 'Picarro Output'!$B:$B, 'Uncalibrated Data'!$C4957, 'Picarro Output'!$I:$I, 0, 'Picarro Output'!$J:$J, 1), "")</f>
        <v/>
      </c>
    </row>
    <row r="4958" spans="2:5" x14ac:dyDescent="0.2">
      <c r="B4958" s="1"/>
      <c r="E4958" s="38" t="str">
        <f>IFERROR(AVERAGEIFS('Picarro Output'!G:G, 'Picarro Output'!$B:$B, 'Uncalibrated Data'!$C4958, 'Picarro Output'!$I:$I, 0, 'Picarro Output'!$J:$J, 1), "")</f>
        <v/>
      </c>
    </row>
    <row r="4959" spans="2:5" x14ac:dyDescent="0.2">
      <c r="B4959" s="1"/>
      <c r="E4959" s="38" t="str">
        <f>IFERROR(AVERAGEIFS('Picarro Output'!G:G, 'Picarro Output'!$B:$B, 'Uncalibrated Data'!$C4959, 'Picarro Output'!$I:$I, 0, 'Picarro Output'!$J:$J, 1), "")</f>
        <v/>
      </c>
    </row>
    <row r="4960" spans="2:5" x14ac:dyDescent="0.2">
      <c r="B4960" s="1"/>
      <c r="E4960" s="38" t="str">
        <f>IFERROR(AVERAGEIFS('Picarro Output'!G:G, 'Picarro Output'!$B:$B, 'Uncalibrated Data'!$C4960, 'Picarro Output'!$I:$I, 0, 'Picarro Output'!$J:$J, 1), "")</f>
        <v/>
      </c>
    </row>
    <row r="4961" spans="2:5" x14ac:dyDescent="0.2">
      <c r="B4961" s="1"/>
      <c r="E4961" s="38" t="str">
        <f>IFERROR(AVERAGEIFS('Picarro Output'!G:G, 'Picarro Output'!$B:$B, 'Uncalibrated Data'!$C4961, 'Picarro Output'!$I:$I, 0, 'Picarro Output'!$J:$J, 1), "")</f>
        <v/>
      </c>
    </row>
    <row r="4962" spans="2:5" x14ac:dyDescent="0.2">
      <c r="B4962" s="1"/>
      <c r="E4962" s="38" t="str">
        <f>IFERROR(AVERAGEIFS('Picarro Output'!G:G, 'Picarro Output'!$B:$B, 'Uncalibrated Data'!$C4962, 'Picarro Output'!$I:$I, 0, 'Picarro Output'!$J:$J, 1), "")</f>
        <v/>
      </c>
    </row>
    <row r="4963" spans="2:5" x14ac:dyDescent="0.2">
      <c r="B4963" s="1"/>
      <c r="E4963" s="38" t="str">
        <f>IFERROR(AVERAGEIFS('Picarro Output'!G:G, 'Picarro Output'!$B:$B, 'Uncalibrated Data'!$C4963, 'Picarro Output'!$I:$I, 0, 'Picarro Output'!$J:$J, 1), "")</f>
        <v/>
      </c>
    </row>
    <row r="4964" spans="2:5" x14ac:dyDescent="0.2">
      <c r="B4964" s="1"/>
      <c r="E4964" s="38" t="str">
        <f>IFERROR(AVERAGEIFS('Picarro Output'!G:G, 'Picarro Output'!$B:$B, 'Uncalibrated Data'!$C4964, 'Picarro Output'!$I:$I, 0, 'Picarro Output'!$J:$J, 1), "")</f>
        <v/>
      </c>
    </row>
    <row r="4965" spans="2:5" x14ac:dyDescent="0.2">
      <c r="B4965" s="1"/>
      <c r="E4965" s="38" t="str">
        <f>IFERROR(AVERAGEIFS('Picarro Output'!G:G, 'Picarro Output'!$B:$B, 'Uncalibrated Data'!$C4965, 'Picarro Output'!$I:$I, 0, 'Picarro Output'!$J:$J, 1), "")</f>
        <v/>
      </c>
    </row>
    <row r="4966" spans="2:5" x14ac:dyDescent="0.2">
      <c r="B4966" s="1"/>
      <c r="E4966" s="38" t="str">
        <f>IFERROR(AVERAGEIFS('Picarro Output'!G:G, 'Picarro Output'!$B:$B, 'Uncalibrated Data'!$C4966, 'Picarro Output'!$I:$I, 0, 'Picarro Output'!$J:$J, 1), "")</f>
        <v/>
      </c>
    </row>
    <row r="4967" spans="2:5" x14ac:dyDescent="0.2">
      <c r="B4967" s="1"/>
      <c r="E4967" s="38" t="str">
        <f>IFERROR(AVERAGEIFS('Picarro Output'!G:G, 'Picarro Output'!$B:$B, 'Uncalibrated Data'!$C4967, 'Picarro Output'!$I:$I, 0, 'Picarro Output'!$J:$J, 1), "")</f>
        <v/>
      </c>
    </row>
    <row r="4968" spans="2:5" x14ac:dyDescent="0.2">
      <c r="B4968" s="1"/>
      <c r="E4968" s="38" t="str">
        <f>IFERROR(AVERAGEIFS('Picarro Output'!G:G, 'Picarro Output'!$B:$B, 'Uncalibrated Data'!$C4968, 'Picarro Output'!$I:$I, 0, 'Picarro Output'!$J:$J, 1), "")</f>
        <v/>
      </c>
    </row>
    <row r="4969" spans="2:5" x14ac:dyDescent="0.2">
      <c r="B4969" s="1"/>
      <c r="E4969" s="38" t="str">
        <f>IFERROR(AVERAGEIFS('Picarro Output'!G:G, 'Picarro Output'!$B:$B, 'Uncalibrated Data'!$C4969, 'Picarro Output'!$I:$I, 0, 'Picarro Output'!$J:$J, 1), "")</f>
        <v/>
      </c>
    </row>
    <row r="4970" spans="2:5" x14ac:dyDescent="0.2">
      <c r="B4970" s="1"/>
      <c r="E4970" s="38" t="str">
        <f>IFERROR(AVERAGEIFS('Picarro Output'!G:G, 'Picarro Output'!$B:$B, 'Uncalibrated Data'!$C4970, 'Picarro Output'!$I:$I, 0, 'Picarro Output'!$J:$J, 1), "")</f>
        <v/>
      </c>
    </row>
    <row r="4971" spans="2:5" x14ac:dyDescent="0.2">
      <c r="B4971" s="1"/>
      <c r="E4971" s="38" t="str">
        <f>IFERROR(AVERAGEIFS('Picarro Output'!G:G, 'Picarro Output'!$B:$B, 'Uncalibrated Data'!$C4971, 'Picarro Output'!$I:$I, 0, 'Picarro Output'!$J:$J, 1), "")</f>
        <v/>
      </c>
    </row>
    <row r="4972" spans="2:5" x14ac:dyDescent="0.2">
      <c r="B4972" s="1"/>
      <c r="E4972" s="38" t="str">
        <f>IFERROR(AVERAGEIFS('Picarro Output'!G:G, 'Picarro Output'!$B:$B, 'Uncalibrated Data'!$C4972, 'Picarro Output'!$I:$I, 0, 'Picarro Output'!$J:$J, 1), "")</f>
        <v/>
      </c>
    </row>
    <row r="4973" spans="2:5" x14ac:dyDescent="0.2">
      <c r="B4973" s="1"/>
      <c r="E4973" s="38" t="str">
        <f>IFERROR(AVERAGEIFS('Picarro Output'!G:G, 'Picarro Output'!$B:$B, 'Uncalibrated Data'!$C4973, 'Picarro Output'!$I:$I, 0, 'Picarro Output'!$J:$J, 1), "")</f>
        <v/>
      </c>
    </row>
    <row r="4974" spans="2:5" x14ac:dyDescent="0.2">
      <c r="B4974" s="1"/>
      <c r="E4974" s="38" t="str">
        <f>IFERROR(AVERAGEIFS('Picarro Output'!G:G, 'Picarro Output'!$B:$B, 'Uncalibrated Data'!$C4974, 'Picarro Output'!$I:$I, 0, 'Picarro Output'!$J:$J, 1), "")</f>
        <v/>
      </c>
    </row>
    <row r="4975" spans="2:5" x14ac:dyDescent="0.2">
      <c r="B4975" s="1"/>
      <c r="E4975" s="38" t="str">
        <f>IFERROR(AVERAGEIFS('Picarro Output'!G:G, 'Picarro Output'!$B:$B, 'Uncalibrated Data'!$C4975, 'Picarro Output'!$I:$I, 0, 'Picarro Output'!$J:$J, 1), "")</f>
        <v/>
      </c>
    </row>
    <row r="4976" spans="2:5" x14ac:dyDescent="0.2">
      <c r="B4976" s="1"/>
      <c r="E4976" s="38" t="str">
        <f>IFERROR(AVERAGEIFS('Picarro Output'!G:G, 'Picarro Output'!$B:$B, 'Uncalibrated Data'!$C4976, 'Picarro Output'!$I:$I, 0, 'Picarro Output'!$J:$J, 1), "")</f>
        <v/>
      </c>
    </row>
    <row r="4977" spans="2:5" x14ac:dyDescent="0.2">
      <c r="B4977" s="1"/>
      <c r="E4977" s="38" t="str">
        <f>IFERROR(AVERAGEIFS('Picarro Output'!G:G, 'Picarro Output'!$B:$B, 'Uncalibrated Data'!$C4977, 'Picarro Output'!$I:$I, 0, 'Picarro Output'!$J:$J, 1), "")</f>
        <v/>
      </c>
    </row>
    <row r="4978" spans="2:5" x14ac:dyDescent="0.2">
      <c r="B4978" s="1"/>
      <c r="E4978" s="38" t="str">
        <f>IFERROR(AVERAGEIFS('Picarro Output'!G:G, 'Picarro Output'!$B:$B, 'Uncalibrated Data'!$C4978, 'Picarro Output'!$I:$I, 0, 'Picarro Output'!$J:$J, 1), "")</f>
        <v/>
      </c>
    </row>
    <row r="4979" spans="2:5" x14ac:dyDescent="0.2">
      <c r="B4979" s="1"/>
      <c r="E4979" s="38" t="str">
        <f>IFERROR(AVERAGEIFS('Picarro Output'!G:G, 'Picarro Output'!$B:$B, 'Uncalibrated Data'!$C4979, 'Picarro Output'!$I:$I, 0, 'Picarro Output'!$J:$J, 1), "")</f>
        <v/>
      </c>
    </row>
    <row r="4980" spans="2:5" x14ac:dyDescent="0.2">
      <c r="B4980" s="1"/>
      <c r="E4980" s="38" t="str">
        <f>IFERROR(AVERAGEIFS('Picarro Output'!G:G, 'Picarro Output'!$B:$B, 'Uncalibrated Data'!$C4980, 'Picarro Output'!$I:$I, 0, 'Picarro Output'!$J:$J, 1), "")</f>
        <v/>
      </c>
    </row>
    <row r="4981" spans="2:5" x14ac:dyDescent="0.2">
      <c r="B4981" s="1"/>
      <c r="E4981" s="38" t="str">
        <f>IFERROR(AVERAGEIFS('Picarro Output'!G:G, 'Picarro Output'!$B:$B, 'Uncalibrated Data'!$C4981, 'Picarro Output'!$I:$I, 0, 'Picarro Output'!$J:$J, 1), "")</f>
        <v/>
      </c>
    </row>
    <row r="4982" spans="2:5" x14ac:dyDescent="0.2">
      <c r="B4982" s="1"/>
      <c r="E4982" s="38" t="str">
        <f>IFERROR(AVERAGEIFS('Picarro Output'!G:G, 'Picarro Output'!$B:$B, 'Uncalibrated Data'!$C4982, 'Picarro Output'!$I:$I, 0, 'Picarro Output'!$J:$J, 1), "")</f>
        <v/>
      </c>
    </row>
    <row r="4983" spans="2:5" x14ac:dyDescent="0.2">
      <c r="B4983" s="1"/>
      <c r="E4983" s="38" t="str">
        <f>IFERROR(AVERAGEIFS('Picarro Output'!G:G, 'Picarro Output'!$B:$B, 'Uncalibrated Data'!$C4983, 'Picarro Output'!$I:$I, 0, 'Picarro Output'!$J:$J, 1), "")</f>
        <v/>
      </c>
    </row>
    <row r="4984" spans="2:5" x14ac:dyDescent="0.2">
      <c r="B4984" s="1"/>
      <c r="E4984" s="38" t="str">
        <f>IFERROR(AVERAGEIFS('Picarro Output'!G:G, 'Picarro Output'!$B:$B, 'Uncalibrated Data'!$C4984, 'Picarro Output'!$I:$I, 0, 'Picarro Output'!$J:$J, 1), "")</f>
        <v/>
      </c>
    </row>
    <row r="4985" spans="2:5" x14ac:dyDescent="0.2">
      <c r="B4985" s="1"/>
      <c r="E4985" s="38" t="str">
        <f>IFERROR(AVERAGEIFS('Picarro Output'!G:G, 'Picarro Output'!$B:$B, 'Uncalibrated Data'!$C4985, 'Picarro Output'!$I:$I, 0, 'Picarro Output'!$J:$J, 1), "")</f>
        <v/>
      </c>
    </row>
    <row r="4986" spans="2:5" x14ac:dyDescent="0.2">
      <c r="B4986" s="1"/>
      <c r="E4986" s="38" t="str">
        <f>IFERROR(AVERAGEIFS('Picarro Output'!G:G, 'Picarro Output'!$B:$B, 'Uncalibrated Data'!$C4986, 'Picarro Output'!$I:$I, 0, 'Picarro Output'!$J:$J, 1), "")</f>
        <v/>
      </c>
    </row>
    <row r="4987" spans="2:5" x14ac:dyDescent="0.2">
      <c r="B4987" s="1"/>
      <c r="E4987" s="38" t="str">
        <f>IFERROR(AVERAGEIFS('Picarro Output'!G:G, 'Picarro Output'!$B:$B, 'Uncalibrated Data'!$C4987, 'Picarro Output'!$I:$I, 0, 'Picarro Output'!$J:$J, 1), "")</f>
        <v/>
      </c>
    </row>
    <row r="4988" spans="2:5" x14ac:dyDescent="0.2">
      <c r="B4988" s="1"/>
      <c r="E4988" s="38" t="str">
        <f>IFERROR(AVERAGEIFS('Picarro Output'!G:G, 'Picarro Output'!$B:$B, 'Uncalibrated Data'!$C4988, 'Picarro Output'!$I:$I, 0, 'Picarro Output'!$J:$J, 1), "")</f>
        <v/>
      </c>
    </row>
    <row r="4989" spans="2:5" x14ac:dyDescent="0.2">
      <c r="B4989" s="1"/>
      <c r="E4989" s="38" t="str">
        <f>IFERROR(AVERAGEIFS('Picarro Output'!G:G, 'Picarro Output'!$B:$B, 'Uncalibrated Data'!$C4989, 'Picarro Output'!$I:$I, 0, 'Picarro Output'!$J:$J, 1), "")</f>
        <v/>
      </c>
    </row>
    <row r="4990" spans="2:5" x14ac:dyDescent="0.2">
      <c r="B4990" s="1"/>
      <c r="E4990" s="38" t="str">
        <f>IFERROR(AVERAGEIFS('Picarro Output'!G:G, 'Picarro Output'!$B:$B, 'Uncalibrated Data'!$C4990, 'Picarro Output'!$I:$I, 0, 'Picarro Output'!$J:$J, 1), "")</f>
        <v/>
      </c>
    </row>
    <row r="4991" spans="2:5" x14ac:dyDescent="0.2">
      <c r="B4991" s="1"/>
      <c r="E4991" s="38" t="str">
        <f>IFERROR(AVERAGEIFS('Picarro Output'!G:G, 'Picarro Output'!$B:$B, 'Uncalibrated Data'!$C4991, 'Picarro Output'!$I:$I, 0, 'Picarro Output'!$J:$J, 1), "")</f>
        <v/>
      </c>
    </row>
    <row r="4992" spans="2:5" x14ac:dyDescent="0.2">
      <c r="B4992" s="1"/>
      <c r="E4992" s="38" t="str">
        <f>IFERROR(AVERAGEIFS('Picarro Output'!G:G, 'Picarro Output'!$B:$B, 'Uncalibrated Data'!$C4992, 'Picarro Output'!$I:$I, 0, 'Picarro Output'!$J:$J, 1), "")</f>
        <v/>
      </c>
    </row>
    <row r="4993" spans="2:5" x14ac:dyDescent="0.2">
      <c r="B4993" s="1"/>
      <c r="E4993" s="38" t="str">
        <f>IFERROR(AVERAGEIFS('Picarro Output'!G:G, 'Picarro Output'!$B:$B, 'Uncalibrated Data'!$C4993, 'Picarro Output'!$I:$I, 0, 'Picarro Output'!$J:$J, 1), "")</f>
        <v/>
      </c>
    </row>
    <row r="4994" spans="2:5" x14ac:dyDescent="0.2">
      <c r="B4994" s="1"/>
      <c r="E4994" s="38" t="str">
        <f>IFERROR(AVERAGEIFS('Picarro Output'!G:G, 'Picarro Output'!$B:$B, 'Uncalibrated Data'!$C4994, 'Picarro Output'!$I:$I, 0, 'Picarro Output'!$J:$J, 1), "")</f>
        <v/>
      </c>
    </row>
    <row r="4995" spans="2:5" x14ac:dyDescent="0.2">
      <c r="B4995" s="1"/>
      <c r="E4995" s="38" t="str">
        <f>IFERROR(AVERAGEIFS('Picarro Output'!G:G, 'Picarro Output'!$B:$B, 'Uncalibrated Data'!$C4995, 'Picarro Output'!$I:$I, 0, 'Picarro Output'!$J:$J, 1), "")</f>
        <v/>
      </c>
    </row>
    <row r="4996" spans="2:5" x14ac:dyDescent="0.2">
      <c r="B4996" s="1"/>
      <c r="E4996" s="38" t="str">
        <f>IFERROR(AVERAGEIFS('Picarro Output'!G:G, 'Picarro Output'!$B:$B, 'Uncalibrated Data'!$C4996, 'Picarro Output'!$I:$I, 0, 'Picarro Output'!$J:$J, 1), "")</f>
        <v/>
      </c>
    </row>
    <row r="4997" spans="2:5" x14ac:dyDescent="0.2">
      <c r="B4997" s="1"/>
      <c r="E4997" s="38" t="str">
        <f>IFERROR(AVERAGEIFS('Picarro Output'!G:G, 'Picarro Output'!$B:$B, 'Uncalibrated Data'!$C4997, 'Picarro Output'!$I:$I, 0, 'Picarro Output'!$J:$J, 1), "")</f>
        <v/>
      </c>
    </row>
    <row r="4998" spans="2:5" x14ac:dyDescent="0.2">
      <c r="B4998" s="1"/>
      <c r="E4998" s="38" t="str">
        <f>IFERROR(AVERAGEIFS('Picarro Output'!G:G, 'Picarro Output'!$B:$B, 'Uncalibrated Data'!$C4998, 'Picarro Output'!$I:$I, 0, 'Picarro Output'!$J:$J, 1), "")</f>
        <v/>
      </c>
    </row>
    <row r="4999" spans="2:5" x14ac:dyDescent="0.2">
      <c r="B4999" s="1"/>
      <c r="E4999" s="38" t="str">
        <f>IFERROR(AVERAGEIFS('Picarro Output'!G:G, 'Picarro Output'!$B:$B, 'Uncalibrated Data'!$C4999, 'Picarro Output'!$I:$I, 0, 'Picarro Output'!$J:$J, 1), "")</f>
        <v/>
      </c>
    </row>
    <row r="5000" spans="2:5" x14ac:dyDescent="0.2">
      <c r="B5000" s="1"/>
      <c r="E5000" s="38" t="str">
        <f>IFERROR(AVERAGEIFS('Picarro Output'!G:G, 'Picarro Output'!$B:$B, 'Uncalibrated Data'!$C5000, 'Picarro Output'!$I:$I, 0, 'Picarro Output'!$J:$J, 1), "")</f>
        <v/>
      </c>
    </row>
    <row r="5001" spans="2:5" x14ac:dyDescent="0.2">
      <c r="B5001" s="1"/>
      <c r="E5001" s="38" t="str">
        <f>IFERROR(AVERAGEIFS('Picarro Output'!G:G, 'Picarro Output'!$B:$B, 'Uncalibrated Data'!$C5001, 'Picarro Output'!$I:$I, 0, 'Picarro Output'!$J:$J, 1), "")</f>
        <v/>
      </c>
    </row>
    <row r="5002" spans="2:5" x14ac:dyDescent="0.2">
      <c r="B5002" s="1"/>
      <c r="E5002" s="38" t="str">
        <f>IFERROR(AVERAGEIFS('Picarro Output'!G:G, 'Picarro Output'!$B:$B, 'Uncalibrated Data'!$C5002, 'Picarro Output'!$I:$I, 0, 'Picarro Output'!$J:$J, 1), "")</f>
        <v/>
      </c>
    </row>
    <row r="5003" spans="2:5" x14ac:dyDescent="0.2">
      <c r="B5003" s="1"/>
      <c r="E5003" s="38" t="str">
        <f>IFERROR(AVERAGEIFS('Picarro Output'!G:G, 'Picarro Output'!$B:$B, 'Uncalibrated Data'!$C5003, 'Picarro Output'!$I:$I, 0, 'Picarro Output'!$J:$J, 1), "")</f>
        <v/>
      </c>
    </row>
    <row r="5004" spans="2:5" x14ac:dyDescent="0.2">
      <c r="B5004" s="1"/>
      <c r="E5004" s="38" t="str">
        <f>IFERROR(AVERAGEIFS('Picarro Output'!G:G, 'Picarro Output'!$B:$B, 'Uncalibrated Data'!$C5004, 'Picarro Output'!$I:$I, 0, 'Picarro Output'!$J:$J, 1), "")</f>
        <v/>
      </c>
    </row>
    <row r="5005" spans="2:5" x14ac:dyDescent="0.2">
      <c r="B5005" s="1"/>
      <c r="E5005" s="38" t="str">
        <f>IFERROR(AVERAGEIFS('Picarro Output'!G:G, 'Picarro Output'!$B:$B, 'Uncalibrated Data'!$C5005, 'Picarro Output'!$I:$I, 0, 'Picarro Output'!$J:$J, 1), "")</f>
        <v/>
      </c>
    </row>
    <row r="5006" spans="2:5" x14ac:dyDescent="0.2">
      <c r="B5006" s="1"/>
      <c r="E5006" s="38" t="str">
        <f>IFERROR(AVERAGEIFS('Picarro Output'!G:G, 'Picarro Output'!$B:$B, 'Uncalibrated Data'!$C5006, 'Picarro Output'!$I:$I, 0, 'Picarro Output'!$J:$J, 1), "")</f>
        <v/>
      </c>
    </row>
    <row r="5007" spans="2:5" x14ac:dyDescent="0.2">
      <c r="B5007" s="1"/>
      <c r="E5007" s="38" t="str">
        <f>IFERROR(AVERAGEIFS('Picarro Output'!G:G, 'Picarro Output'!$B:$B, 'Uncalibrated Data'!$C5007, 'Picarro Output'!$I:$I, 0, 'Picarro Output'!$J:$J, 1), "")</f>
        <v/>
      </c>
    </row>
    <row r="5008" spans="2:5" x14ac:dyDescent="0.2">
      <c r="B5008" s="1"/>
      <c r="E5008" s="38" t="str">
        <f>IFERROR(AVERAGEIFS('Picarro Output'!G:G, 'Picarro Output'!$B:$B, 'Uncalibrated Data'!$C5008, 'Picarro Output'!$I:$I, 0, 'Picarro Output'!$J:$J, 1), "")</f>
        <v/>
      </c>
    </row>
    <row r="5009" spans="2:5" x14ac:dyDescent="0.2">
      <c r="B5009" s="1"/>
      <c r="E5009" s="38" t="str">
        <f>IFERROR(AVERAGEIFS('Picarro Output'!G:G, 'Picarro Output'!$B:$B, 'Uncalibrated Data'!$C5009, 'Picarro Output'!$I:$I, 0, 'Picarro Output'!$J:$J, 1), "")</f>
        <v/>
      </c>
    </row>
    <row r="5010" spans="2:5" x14ac:dyDescent="0.2">
      <c r="B5010" s="1"/>
      <c r="E5010" s="38" t="str">
        <f>IFERROR(AVERAGEIFS('Picarro Output'!G:G, 'Picarro Output'!$B:$B, 'Uncalibrated Data'!$C5010, 'Picarro Output'!$I:$I, 0, 'Picarro Output'!$J:$J, 1), "")</f>
        <v/>
      </c>
    </row>
    <row r="5011" spans="2:5" x14ac:dyDescent="0.2">
      <c r="B5011" s="1"/>
      <c r="E5011" s="38" t="str">
        <f>IFERROR(AVERAGEIFS('Picarro Output'!G:G, 'Picarro Output'!$B:$B, 'Uncalibrated Data'!$C5011, 'Picarro Output'!$I:$I, 0, 'Picarro Output'!$J:$J, 1), "")</f>
        <v/>
      </c>
    </row>
    <row r="5012" spans="2:5" x14ac:dyDescent="0.2">
      <c r="B5012" s="1"/>
      <c r="E5012" s="38" t="str">
        <f>IFERROR(AVERAGEIFS('Picarro Output'!G:G, 'Picarro Output'!$B:$B, 'Uncalibrated Data'!$C5012, 'Picarro Output'!$I:$I, 0, 'Picarro Output'!$J:$J, 1), "")</f>
        <v/>
      </c>
    </row>
    <row r="5013" spans="2:5" x14ac:dyDescent="0.2">
      <c r="B5013" s="1"/>
      <c r="E5013" s="38" t="str">
        <f>IFERROR(AVERAGEIFS('Picarro Output'!G:G, 'Picarro Output'!$B:$B, 'Uncalibrated Data'!$C5013, 'Picarro Output'!$I:$I, 0, 'Picarro Output'!$J:$J, 1), "")</f>
        <v/>
      </c>
    </row>
    <row r="5014" spans="2:5" x14ac:dyDescent="0.2">
      <c r="B5014" s="1"/>
      <c r="E5014" s="38" t="str">
        <f>IFERROR(AVERAGEIFS('Picarro Output'!G:G, 'Picarro Output'!$B:$B, 'Uncalibrated Data'!$C5014, 'Picarro Output'!$I:$I, 0, 'Picarro Output'!$J:$J, 1), "")</f>
        <v/>
      </c>
    </row>
    <row r="5015" spans="2:5" x14ac:dyDescent="0.2">
      <c r="B5015" s="1"/>
      <c r="E5015" s="38" t="str">
        <f>IFERROR(AVERAGEIFS('Picarro Output'!G:G, 'Picarro Output'!$B:$B, 'Uncalibrated Data'!$C5015, 'Picarro Output'!$I:$I, 0, 'Picarro Output'!$J:$J, 1), "")</f>
        <v/>
      </c>
    </row>
    <row r="5016" spans="2:5" x14ac:dyDescent="0.2">
      <c r="B5016" s="1"/>
      <c r="E5016" s="38" t="str">
        <f>IFERROR(AVERAGEIFS('Picarro Output'!G:G, 'Picarro Output'!$B:$B, 'Uncalibrated Data'!$C5016, 'Picarro Output'!$I:$I, 0, 'Picarro Output'!$J:$J, 1), "")</f>
        <v/>
      </c>
    </row>
    <row r="5017" spans="2:5" x14ac:dyDescent="0.2">
      <c r="B5017" s="1"/>
      <c r="E5017" s="38" t="str">
        <f>IFERROR(AVERAGEIFS('Picarro Output'!G:G, 'Picarro Output'!$B:$B, 'Uncalibrated Data'!$C5017, 'Picarro Output'!$I:$I, 0, 'Picarro Output'!$J:$J, 1), "")</f>
        <v/>
      </c>
    </row>
    <row r="5018" spans="2:5" x14ac:dyDescent="0.2">
      <c r="B5018" s="1"/>
      <c r="E5018" s="38" t="str">
        <f>IFERROR(AVERAGEIFS('Picarro Output'!G:G, 'Picarro Output'!$B:$B, 'Uncalibrated Data'!$C5018, 'Picarro Output'!$I:$I, 0, 'Picarro Output'!$J:$J, 1), "")</f>
        <v/>
      </c>
    </row>
    <row r="5019" spans="2:5" x14ac:dyDescent="0.2">
      <c r="B5019" s="1"/>
      <c r="E5019" s="38" t="str">
        <f>IFERROR(AVERAGEIFS('Picarro Output'!G:G, 'Picarro Output'!$B:$B, 'Uncalibrated Data'!$C5019, 'Picarro Output'!$I:$I, 0, 'Picarro Output'!$J:$J, 1), "")</f>
        <v/>
      </c>
    </row>
    <row r="5020" spans="2:5" x14ac:dyDescent="0.2">
      <c r="B5020" s="1"/>
      <c r="E5020" s="38" t="str">
        <f>IFERROR(AVERAGEIFS('Picarro Output'!G:G, 'Picarro Output'!$B:$B, 'Uncalibrated Data'!$C5020, 'Picarro Output'!$I:$I, 0, 'Picarro Output'!$J:$J, 1), "")</f>
        <v/>
      </c>
    </row>
    <row r="5021" spans="2:5" x14ac:dyDescent="0.2">
      <c r="B5021" s="1"/>
      <c r="E5021" s="38" t="str">
        <f>IFERROR(AVERAGEIFS('Picarro Output'!G:G, 'Picarro Output'!$B:$B, 'Uncalibrated Data'!$C5021, 'Picarro Output'!$I:$I, 0, 'Picarro Output'!$J:$J, 1), "")</f>
        <v/>
      </c>
    </row>
    <row r="5022" spans="2:5" x14ac:dyDescent="0.2">
      <c r="B5022" s="1"/>
      <c r="E5022" s="38" t="str">
        <f>IFERROR(AVERAGEIFS('Picarro Output'!G:G, 'Picarro Output'!$B:$B, 'Uncalibrated Data'!$C5022, 'Picarro Output'!$I:$I, 0, 'Picarro Output'!$J:$J, 1), "")</f>
        <v/>
      </c>
    </row>
    <row r="5023" spans="2:5" x14ac:dyDescent="0.2">
      <c r="B5023" s="1"/>
      <c r="E5023" s="38" t="str">
        <f>IFERROR(AVERAGEIFS('Picarro Output'!G:G, 'Picarro Output'!$B:$B, 'Uncalibrated Data'!$C5023, 'Picarro Output'!$I:$I, 0, 'Picarro Output'!$J:$J, 1), "")</f>
        <v/>
      </c>
    </row>
    <row r="5024" spans="2:5" x14ac:dyDescent="0.2">
      <c r="B5024" s="1"/>
      <c r="E5024" s="38" t="str">
        <f>IFERROR(AVERAGEIFS('Picarro Output'!G:G, 'Picarro Output'!$B:$B, 'Uncalibrated Data'!$C5024, 'Picarro Output'!$I:$I, 0, 'Picarro Output'!$J:$J, 1), "")</f>
        <v/>
      </c>
    </row>
    <row r="5025" spans="2:5" x14ac:dyDescent="0.2">
      <c r="B5025" s="1"/>
      <c r="E5025" s="38" t="str">
        <f>IFERROR(AVERAGEIFS('Picarro Output'!G:G, 'Picarro Output'!$B:$B, 'Uncalibrated Data'!$C5025, 'Picarro Output'!$I:$I, 0, 'Picarro Output'!$J:$J, 1), "")</f>
        <v/>
      </c>
    </row>
    <row r="5026" spans="2:5" x14ac:dyDescent="0.2">
      <c r="B5026" s="1"/>
      <c r="E5026" s="38" t="str">
        <f>IFERROR(AVERAGEIFS('Picarro Output'!G:G, 'Picarro Output'!$B:$B, 'Uncalibrated Data'!$C5026, 'Picarro Output'!$I:$I, 0, 'Picarro Output'!$J:$J, 1), "")</f>
        <v/>
      </c>
    </row>
    <row r="5027" spans="2:5" x14ac:dyDescent="0.2">
      <c r="B5027" s="1"/>
      <c r="E5027" s="38" t="str">
        <f>IFERROR(AVERAGEIFS('Picarro Output'!G:G, 'Picarro Output'!$B:$B, 'Uncalibrated Data'!$C5027, 'Picarro Output'!$I:$I, 0, 'Picarro Output'!$J:$J, 1), "")</f>
        <v/>
      </c>
    </row>
    <row r="5028" spans="2:5" x14ac:dyDescent="0.2">
      <c r="B5028" s="1"/>
      <c r="E5028" s="38" t="str">
        <f>IFERROR(AVERAGEIFS('Picarro Output'!G:G, 'Picarro Output'!$B:$B, 'Uncalibrated Data'!$C5028, 'Picarro Output'!$I:$I, 0, 'Picarro Output'!$J:$J, 1), "")</f>
        <v/>
      </c>
    </row>
    <row r="5029" spans="2:5" x14ac:dyDescent="0.2">
      <c r="B5029" s="1"/>
      <c r="E5029" s="38" t="str">
        <f>IFERROR(AVERAGEIFS('Picarro Output'!G:G, 'Picarro Output'!$B:$B, 'Uncalibrated Data'!$C5029, 'Picarro Output'!$I:$I, 0, 'Picarro Output'!$J:$J, 1), "")</f>
        <v/>
      </c>
    </row>
    <row r="5030" spans="2:5" x14ac:dyDescent="0.2">
      <c r="B5030" s="1"/>
      <c r="E5030" s="38" t="str">
        <f>IFERROR(AVERAGEIFS('Picarro Output'!G:G, 'Picarro Output'!$B:$B, 'Uncalibrated Data'!$C5030, 'Picarro Output'!$I:$I, 0, 'Picarro Output'!$J:$J, 1), "")</f>
        <v/>
      </c>
    </row>
    <row r="5031" spans="2:5" x14ac:dyDescent="0.2">
      <c r="B5031" s="1"/>
      <c r="E5031" s="38" t="str">
        <f>IFERROR(AVERAGEIFS('Picarro Output'!G:G, 'Picarro Output'!$B:$B, 'Uncalibrated Data'!$C5031, 'Picarro Output'!$I:$I, 0, 'Picarro Output'!$J:$J, 1), "")</f>
        <v/>
      </c>
    </row>
    <row r="5032" spans="2:5" x14ac:dyDescent="0.2">
      <c r="B5032" s="1"/>
      <c r="E5032" s="38" t="str">
        <f>IFERROR(AVERAGEIFS('Picarro Output'!G:G, 'Picarro Output'!$B:$B, 'Uncalibrated Data'!$C5032, 'Picarro Output'!$I:$I, 0, 'Picarro Output'!$J:$J, 1), "")</f>
        <v/>
      </c>
    </row>
    <row r="5033" spans="2:5" x14ac:dyDescent="0.2">
      <c r="B5033" s="1"/>
      <c r="E5033" s="38" t="str">
        <f>IFERROR(AVERAGEIFS('Picarro Output'!G:G, 'Picarro Output'!$B:$B, 'Uncalibrated Data'!$C5033, 'Picarro Output'!$I:$I, 0, 'Picarro Output'!$J:$J, 1), "")</f>
        <v/>
      </c>
    </row>
    <row r="5034" spans="2:5" x14ac:dyDescent="0.2">
      <c r="B5034" s="1"/>
      <c r="E5034" s="38" t="str">
        <f>IFERROR(AVERAGEIFS('Picarro Output'!G:G, 'Picarro Output'!$B:$B, 'Uncalibrated Data'!$C5034, 'Picarro Output'!$I:$I, 0, 'Picarro Output'!$J:$J, 1), "")</f>
        <v/>
      </c>
    </row>
    <row r="5035" spans="2:5" x14ac:dyDescent="0.2">
      <c r="B5035" s="1"/>
      <c r="E5035" s="38" t="str">
        <f>IFERROR(AVERAGEIFS('Picarro Output'!G:G, 'Picarro Output'!$B:$B, 'Uncalibrated Data'!$C5035, 'Picarro Output'!$I:$I, 0, 'Picarro Output'!$J:$J, 1), "")</f>
        <v/>
      </c>
    </row>
    <row r="5036" spans="2:5" x14ac:dyDescent="0.2">
      <c r="B5036" s="1"/>
      <c r="E5036" s="38" t="str">
        <f>IFERROR(AVERAGEIFS('Picarro Output'!G:G, 'Picarro Output'!$B:$B, 'Uncalibrated Data'!$C5036, 'Picarro Output'!$I:$I, 0, 'Picarro Output'!$J:$J, 1), "")</f>
        <v/>
      </c>
    </row>
    <row r="5037" spans="2:5" x14ac:dyDescent="0.2">
      <c r="B5037" s="1"/>
      <c r="E5037" s="38" t="str">
        <f>IFERROR(AVERAGEIFS('Picarro Output'!G:G, 'Picarro Output'!$B:$B, 'Uncalibrated Data'!$C5037, 'Picarro Output'!$I:$I, 0, 'Picarro Output'!$J:$J, 1), "")</f>
        <v/>
      </c>
    </row>
    <row r="5038" spans="2:5" x14ac:dyDescent="0.2">
      <c r="B5038" s="1"/>
      <c r="E5038" s="38" t="str">
        <f>IFERROR(AVERAGEIFS('Picarro Output'!G:G, 'Picarro Output'!$B:$B, 'Uncalibrated Data'!$C5038, 'Picarro Output'!$I:$I, 0, 'Picarro Output'!$J:$J, 1), "")</f>
        <v/>
      </c>
    </row>
    <row r="5039" spans="2:5" x14ac:dyDescent="0.2">
      <c r="B5039" s="1"/>
      <c r="E5039" s="38" t="str">
        <f>IFERROR(AVERAGEIFS('Picarro Output'!G:G, 'Picarro Output'!$B:$B, 'Uncalibrated Data'!$C5039, 'Picarro Output'!$I:$I, 0, 'Picarro Output'!$J:$J, 1), "")</f>
        <v/>
      </c>
    </row>
    <row r="5040" spans="2:5" x14ac:dyDescent="0.2">
      <c r="B5040" s="1"/>
      <c r="E5040" s="38" t="str">
        <f>IFERROR(AVERAGEIFS('Picarro Output'!G:G, 'Picarro Output'!$B:$B, 'Uncalibrated Data'!$C5040, 'Picarro Output'!$I:$I, 0, 'Picarro Output'!$J:$J, 1), "")</f>
        <v/>
      </c>
    </row>
    <row r="5041" spans="2:5" x14ac:dyDescent="0.2">
      <c r="B5041" s="1"/>
      <c r="E5041" s="38" t="str">
        <f>IFERROR(AVERAGEIFS('Picarro Output'!G:G, 'Picarro Output'!$B:$B, 'Uncalibrated Data'!$C5041, 'Picarro Output'!$I:$I, 0, 'Picarro Output'!$J:$J, 1), "")</f>
        <v/>
      </c>
    </row>
    <row r="5042" spans="2:5" x14ac:dyDescent="0.2">
      <c r="B5042" s="1"/>
      <c r="E5042" s="38" t="str">
        <f>IFERROR(AVERAGEIFS('Picarro Output'!G:G, 'Picarro Output'!$B:$B, 'Uncalibrated Data'!$C5042, 'Picarro Output'!$I:$I, 0, 'Picarro Output'!$J:$J, 1), "")</f>
        <v/>
      </c>
    </row>
    <row r="5043" spans="2:5" x14ac:dyDescent="0.2">
      <c r="B5043" s="1"/>
      <c r="E5043" s="38" t="str">
        <f>IFERROR(AVERAGEIFS('Picarro Output'!G:G, 'Picarro Output'!$B:$B, 'Uncalibrated Data'!$C5043, 'Picarro Output'!$I:$I, 0, 'Picarro Output'!$J:$J, 1), "")</f>
        <v/>
      </c>
    </row>
    <row r="5044" spans="2:5" x14ac:dyDescent="0.2">
      <c r="B5044" s="1"/>
      <c r="E5044" s="38" t="str">
        <f>IFERROR(AVERAGEIFS('Picarro Output'!G:G, 'Picarro Output'!$B:$B, 'Uncalibrated Data'!$C5044, 'Picarro Output'!$I:$I, 0, 'Picarro Output'!$J:$J, 1), "")</f>
        <v/>
      </c>
    </row>
    <row r="5045" spans="2:5" x14ac:dyDescent="0.2">
      <c r="B5045" s="1"/>
      <c r="E5045" s="38" t="str">
        <f>IFERROR(AVERAGEIFS('Picarro Output'!G:G, 'Picarro Output'!$B:$B, 'Uncalibrated Data'!$C5045, 'Picarro Output'!$I:$I, 0, 'Picarro Output'!$J:$J, 1), "")</f>
        <v/>
      </c>
    </row>
    <row r="5046" spans="2:5" x14ac:dyDescent="0.2">
      <c r="B5046" s="1"/>
      <c r="E5046" s="38" t="str">
        <f>IFERROR(AVERAGEIFS('Picarro Output'!G:G, 'Picarro Output'!$B:$B, 'Uncalibrated Data'!$C5046, 'Picarro Output'!$I:$I, 0, 'Picarro Output'!$J:$J, 1), "")</f>
        <v/>
      </c>
    </row>
    <row r="5047" spans="2:5" x14ac:dyDescent="0.2">
      <c r="B5047" s="1"/>
      <c r="E5047" s="38" t="str">
        <f>IFERROR(AVERAGEIFS('Picarro Output'!G:G, 'Picarro Output'!$B:$B, 'Uncalibrated Data'!$C5047, 'Picarro Output'!$I:$I, 0, 'Picarro Output'!$J:$J, 1), "")</f>
        <v/>
      </c>
    </row>
    <row r="5048" spans="2:5" x14ac:dyDescent="0.2">
      <c r="B5048" s="1"/>
      <c r="E5048" s="38" t="str">
        <f>IFERROR(AVERAGEIFS('Picarro Output'!G:G, 'Picarro Output'!$B:$B, 'Uncalibrated Data'!$C5048, 'Picarro Output'!$I:$I, 0, 'Picarro Output'!$J:$J, 1), "")</f>
        <v/>
      </c>
    </row>
    <row r="5049" spans="2:5" x14ac:dyDescent="0.2">
      <c r="B5049" s="1"/>
      <c r="E5049" s="38" t="str">
        <f>IFERROR(AVERAGEIFS('Picarro Output'!G:G, 'Picarro Output'!$B:$B, 'Uncalibrated Data'!$C5049, 'Picarro Output'!$I:$I, 0, 'Picarro Output'!$J:$J, 1), "")</f>
        <v/>
      </c>
    </row>
    <row r="5050" spans="2:5" x14ac:dyDescent="0.2">
      <c r="B5050" s="1"/>
      <c r="E5050" s="38" t="str">
        <f>IFERROR(AVERAGEIFS('Picarro Output'!G:G, 'Picarro Output'!$B:$B, 'Uncalibrated Data'!$C5050, 'Picarro Output'!$I:$I, 0, 'Picarro Output'!$J:$J, 1), "")</f>
        <v/>
      </c>
    </row>
    <row r="5051" spans="2:5" x14ac:dyDescent="0.2">
      <c r="B5051" s="1"/>
      <c r="E5051" s="38" t="str">
        <f>IFERROR(AVERAGEIFS('Picarro Output'!G:G, 'Picarro Output'!$B:$B, 'Uncalibrated Data'!$C5051, 'Picarro Output'!$I:$I, 0, 'Picarro Output'!$J:$J, 1), "")</f>
        <v/>
      </c>
    </row>
    <row r="5052" spans="2:5" x14ac:dyDescent="0.2">
      <c r="B5052" s="1"/>
      <c r="E5052" s="38" t="str">
        <f>IFERROR(AVERAGEIFS('Picarro Output'!G:G, 'Picarro Output'!$B:$B, 'Uncalibrated Data'!$C5052, 'Picarro Output'!$I:$I, 0, 'Picarro Output'!$J:$J, 1), "")</f>
        <v/>
      </c>
    </row>
    <row r="5053" spans="2:5" x14ac:dyDescent="0.2">
      <c r="B5053" s="1"/>
      <c r="E5053" s="38" t="str">
        <f>IFERROR(AVERAGEIFS('Picarro Output'!G:G, 'Picarro Output'!$B:$B, 'Uncalibrated Data'!$C5053, 'Picarro Output'!$I:$I, 0, 'Picarro Output'!$J:$J, 1), "")</f>
        <v/>
      </c>
    </row>
    <row r="5054" spans="2:5" x14ac:dyDescent="0.2">
      <c r="B5054" s="1"/>
      <c r="E5054" s="38" t="str">
        <f>IFERROR(AVERAGEIFS('Picarro Output'!G:G, 'Picarro Output'!$B:$B, 'Uncalibrated Data'!$C5054, 'Picarro Output'!$I:$I, 0, 'Picarro Output'!$J:$J, 1), "")</f>
        <v/>
      </c>
    </row>
    <row r="5055" spans="2:5" x14ac:dyDescent="0.2">
      <c r="B5055" s="1"/>
      <c r="E5055" s="38" t="str">
        <f>IFERROR(AVERAGEIFS('Picarro Output'!G:G, 'Picarro Output'!$B:$B, 'Uncalibrated Data'!$C5055, 'Picarro Output'!$I:$I, 0, 'Picarro Output'!$J:$J, 1), "")</f>
        <v/>
      </c>
    </row>
    <row r="5056" spans="2:5" x14ac:dyDescent="0.2">
      <c r="B5056" s="1"/>
      <c r="E5056" s="38" t="str">
        <f>IFERROR(AVERAGEIFS('Picarro Output'!G:G, 'Picarro Output'!$B:$B, 'Uncalibrated Data'!$C5056, 'Picarro Output'!$I:$I, 0, 'Picarro Output'!$J:$J, 1), "")</f>
        <v/>
      </c>
    </row>
    <row r="5057" spans="2:5" x14ac:dyDescent="0.2">
      <c r="B5057" s="1"/>
      <c r="E5057" s="38" t="str">
        <f>IFERROR(AVERAGEIFS('Picarro Output'!G:G, 'Picarro Output'!$B:$B, 'Uncalibrated Data'!$C5057, 'Picarro Output'!$I:$I, 0, 'Picarro Output'!$J:$J, 1), "")</f>
        <v/>
      </c>
    </row>
    <row r="5058" spans="2:5" x14ac:dyDescent="0.2">
      <c r="B5058" s="1"/>
      <c r="E5058" s="38" t="str">
        <f>IFERROR(AVERAGEIFS('Picarro Output'!G:G, 'Picarro Output'!$B:$B, 'Uncalibrated Data'!$C5058, 'Picarro Output'!$I:$I, 0, 'Picarro Output'!$J:$J, 1), "")</f>
        <v/>
      </c>
    </row>
    <row r="5059" spans="2:5" x14ac:dyDescent="0.2">
      <c r="B5059" s="1"/>
      <c r="E5059" s="38" t="str">
        <f>IFERROR(AVERAGEIFS('Picarro Output'!G:G, 'Picarro Output'!$B:$B, 'Uncalibrated Data'!$C5059, 'Picarro Output'!$I:$I, 0, 'Picarro Output'!$J:$J, 1), "")</f>
        <v/>
      </c>
    </row>
    <row r="5060" spans="2:5" x14ac:dyDescent="0.2">
      <c r="B5060" s="1"/>
      <c r="E5060" s="38" t="str">
        <f>IFERROR(AVERAGEIFS('Picarro Output'!G:G, 'Picarro Output'!$B:$B, 'Uncalibrated Data'!$C5060, 'Picarro Output'!$I:$I, 0, 'Picarro Output'!$J:$J, 1), "")</f>
        <v/>
      </c>
    </row>
    <row r="5061" spans="2:5" x14ac:dyDescent="0.2">
      <c r="B5061" s="1"/>
      <c r="E5061" s="38" t="str">
        <f>IFERROR(AVERAGEIFS('Picarro Output'!G:G, 'Picarro Output'!$B:$B, 'Uncalibrated Data'!$C5061, 'Picarro Output'!$I:$I, 0, 'Picarro Output'!$J:$J, 1), "")</f>
        <v/>
      </c>
    </row>
    <row r="5062" spans="2:5" x14ac:dyDescent="0.2">
      <c r="B5062" s="1"/>
      <c r="E5062" s="38" t="str">
        <f>IFERROR(AVERAGEIFS('Picarro Output'!G:G, 'Picarro Output'!$B:$B, 'Uncalibrated Data'!$C5062, 'Picarro Output'!$I:$I, 0, 'Picarro Output'!$J:$J, 1), "")</f>
        <v/>
      </c>
    </row>
    <row r="5063" spans="2:5" x14ac:dyDescent="0.2">
      <c r="B5063" s="1"/>
      <c r="E5063" s="38" t="str">
        <f>IFERROR(AVERAGEIFS('Picarro Output'!G:G, 'Picarro Output'!$B:$B, 'Uncalibrated Data'!$C5063, 'Picarro Output'!$I:$I, 0, 'Picarro Output'!$J:$J, 1), "")</f>
        <v/>
      </c>
    </row>
    <row r="5064" spans="2:5" x14ac:dyDescent="0.2">
      <c r="B5064" s="1"/>
      <c r="E5064" s="38" t="str">
        <f>IFERROR(AVERAGEIFS('Picarro Output'!G:G, 'Picarro Output'!$B:$B, 'Uncalibrated Data'!$C5064, 'Picarro Output'!$I:$I, 0, 'Picarro Output'!$J:$J, 1), "")</f>
        <v/>
      </c>
    </row>
    <row r="5065" spans="2:5" x14ac:dyDescent="0.2">
      <c r="B5065" s="1"/>
      <c r="E5065" s="38" t="str">
        <f>IFERROR(AVERAGEIFS('Picarro Output'!G:G, 'Picarro Output'!$B:$B, 'Uncalibrated Data'!$C5065, 'Picarro Output'!$I:$I, 0, 'Picarro Output'!$J:$J, 1), "")</f>
        <v/>
      </c>
    </row>
    <row r="5066" spans="2:5" x14ac:dyDescent="0.2">
      <c r="B5066" s="1"/>
      <c r="E5066" s="38" t="str">
        <f>IFERROR(AVERAGEIFS('Picarro Output'!G:G, 'Picarro Output'!$B:$B, 'Uncalibrated Data'!$C5066, 'Picarro Output'!$I:$I, 0, 'Picarro Output'!$J:$J, 1), "")</f>
        <v/>
      </c>
    </row>
    <row r="5067" spans="2:5" x14ac:dyDescent="0.2">
      <c r="B5067" s="1"/>
      <c r="E5067" s="38" t="str">
        <f>IFERROR(AVERAGEIFS('Picarro Output'!G:G, 'Picarro Output'!$B:$B, 'Uncalibrated Data'!$C5067, 'Picarro Output'!$I:$I, 0, 'Picarro Output'!$J:$J, 1), "")</f>
        <v/>
      </c>
    </row>
    <row r="5068" spans="2:5" x14ac:dyDescent="0.2">
      <c r="B5068" s="1"/>
      <c r="E5068" s="38" t="str">
        <f>IFERROR(AVERAGEIFS('Picarro Output'!G:G, 'Picarro Output'!$B:$B, 'Uncalibrated Data'!$C5068, 'Picarro Output'!$I:$I, 0, 'Picarro Output'!$J:$J, 1), "")</f>
        <v/>
      </c>
    </row>
    <row r="5069" spans="2:5" x14ac:dyDescent="0.2">
      <c r="B5069" s="1"/>
      <c r="E5069" s="38" t="str">
        <f>IFERROR(AVERAGEIFS('Picarro Output'!G:G, 'Picarro Output'!$B:$B, 'Uncalibrated Data'!$C5069, 'Picarro Output'!$I:$I, 0, 'Picarro Output'!$J:$J, 1), "")</f>
        <v/>
      </c>
    </row>
    <row r="5070" spans="2:5" x14ac:dyDescent="0.2">
      <c r="B5070" s="1"/>
      <c r="E5070" s="38" t="str">
        <f>IFERROR(AVERAGEIFS('Picarro Output'!G:G, 'Picarro Output'!$B:$B, 'Uncalibrated Data'!$C5070, 'Picarro Output'!$I:$I, 0, 'Picarro Output'!$J:$J, 1), "")</f>
        <v/>
      </c>
    </row>
    <row r="5071" spans="2:5" x14ac:dyDescent="0.2">
      <c r="B5071" s="1"/>
      <c r="E5071" s="38" t="str">
        <f>IFERROR(AVERAGEIFS('Picarro Output'!G:G, 'Picarro Output'!$B:$B, 'Uncalibrated Data'!$C5071, 'Picarro Output'!$I:$I, 0, 'Picarro Output'!$J:$J, 1), "")</f>
        <v/>
      </c>
    </row>
    <row r="5072" spans="2:5" x14ac:dyDescent="0.2">
      <c r="B5072" s="1"/>
      <c r="E5072" s="38" t="str">
        <f>IFERROR(AVERAGEIFS('Picarro Output'!G:G, 'Picarro Output'!$B:$B, 'Uncalibrated Data'!$C5072, 'Picarro Output'!$I:$I, 0, 'Picarro Output'!$J:$J, 1), "")</f>
        <v/>
      </c>
    </row>
    <row r="5073" spans="2:5" x14ac:dyDescent="0.2">
      <c r="B5073" s="1"/>
      <c r="E5073" s="38" t="str">
        <f>IFERROR(AVERAGEIFS('Picarro Output'!G:G, 'Picarro Output'!$B:$B, 'Uncalibrated Data'!$C5073, 'Picarro Output'!$I:$I, 0, 'Picarro Output'!$J:$J, 1), "")</f>
        <v/>
      </c>
    </row>
    <row r="5074" spans="2:5" x14ac:dyDescent="0.2">
      <c r="B5074" s="1"/>
      <c r="E5074" s="38" t="str">
        <f>IFERROR(AVERAGEIFS('Picarro Output'!G:G, 'Picarro Output'!$B:$B, 'Uncalibrated Data'!$C5074, 'Picarro Output'!$I:$I, 0, 'Picarro Output'!$J:$J, 1), "")</f>
        <v/>
      </c>
    </row>
    <row r="5075" spans="2:5" x14ac:dyDescent="0.2">
      <c r="B5075" s="1"/>
      <c r="E5075" s="38" t="str">
        <f>IFERROR(AVERAGEIFS('Picarro Output'!G:G, 'Picarro Output'!$B:$B, 'Uncalibrated Data'!$C5075, 'Picarro Output'!$I:$I, 0, 'Picarro Output'!$J:$J, 1), "")</f>
        <v/>
      </c>
    </row>
    <row r="5076" spans="2:5" x14ac:dyDescent="0.2">
      <c r="B5076" s="1"/>
      <c r="E5076" s="38" t="str">
        <f>IFERROR(AVERAGEIFS('Picarro Output'!G:G, 'Picarro Output'!$B:$B, 'Uncalibrated Data'!$C5076, 'Picarro Output'!$I:$I, 0, 'Picarro Output'!$J:$J, 1), "")</f>
        <v/>
      </c>
    </row>
    <row r="5077" spans="2:5" x14ac:dyDescent="0.2">
      <c r="B5077" s="1"/>
      <c r="E5077" s="38" t="str">
        <f>IFERROR(AVERAGEIFS('Picarro Output'!G:G, 'Picarro Output'!$B:$B, 'Uncalibrated Data'!$C5077, 'Picarro Output'!$I:$I, 0, 'Picarro Output'!$J:$J, 1), "")</f>
        <v/>
      </c>
    </row>
    <row r="5078" spans="2:5" x14ac:dyDescent="0.2">
      <c r="B5078" s="1"/>
      <c r="E5078" s="38" t="str">
        <f>IFERROR(AVERAGEIFS('Picarro Output'!G:G, 'Picarro Output'!$B:$B, 'Uncalibrated Data'!$C5078, 'Picarro Output'!$I:$I, 0, 'Picarro Output'!$J:$J, 1), "")</f>
        <v/>
      </c>
    </row>
    <row r="5079" spans="2:5" x14ac:dyDescent="0.2">
      <c r="B5079" s="1"/>
      <c r="E5079" s="38" t="str">
        <f>IFERROR(AVERAGEIFS('Picarro Output'!G:G, 'Picarro Output'!$B:$B, 'Uncalibrated Data'!$C5079, 'Picarro Output'!$I:$I, 0, 'Picarro Output'!$J:$J, 1), "")</f>
        <v/>
      </c>
    </row>
    <row r="5080" spans="2:5" x14ac:dyDescent="0.2">
      <c r="B5080" s="1"/>
      <c r="E5080" s="38" t="str">
        <f>IFERROR(AVERAGEIFS('Picarro Output'!G:G, 'Picarro Output'!$B:$B, 'Uncalibrated Data'!$C5080, 'Picarro Output'!$I:$I, 0, 'Picarro Output'!$J:$J, 1), "")</f>
        <v/>
      </c>
    </row>
    <row r="5081" spans="2:5" x14ac:dyDescent="0.2">
      <c r="B5081" s="1"/>
      <c r="E5081" s="38" t="str">
        <f>IFERROR(AVERAGEIFS('Picarro Output'!G:G, 'Picarro Output'!$B:$B, 'Uncalibrated Data'!$C5081, 'Picarro Output'!$I:$I, 0, 'Picarro Output'!$J:$J, 1), "")</f>
        <v/>
      </c>
    </row>
    <row r="5082" spans="2:5" x14ac:dyDescent="0.2">
      <c r="B5082" s="1"/>
      <c r="E5082" s="38" t="str">
        <f>IFERROR(AVERAGEIFS('Picarro Output'!G:G, 'Picarro Output'!$B:$B, 'Uncalibrated Data'!$C5082, 'Picarro Output'!$I:$I, 0, 'Picarro Output'!$J:$J, 1), "")</f>
        <v/>
      </c>
    </row>
    <row r="5083" spans="2:5" x14ac:dyDescent="0.2">
      <c r="B5083" s="1"/>
      <c r="E5083" s="38" t="str">
        <f>IFERROR(AVERAGEIFS('Picarro Output'!G:G, 'Picarro Output'!$B:$B, 'Uncalibrated Data'!$C5083, 'Picarro Output'!$I:$I, 0, 'Picarro Output'!$J:$J, 1), "")</f>
        <v/>
      </c>
    </row>
    <row r="5084" spans="2:5" x14ac:dyDescent="0.2">
      <c r="B5084" s="1"/>
      <c r="E5084" s="38" t="str">
        <f>IFERROR(AVERAGEIFS('Picarro Output'!G:G, 'Picarro Output'!$B:$B, 'Uncalibrated Data'!$C5084, 'Picarro Output'!$I:$I, 0, 'Picarro Output'!$J:$J, 1), "")</f>
        <v/>
      </c>
    </row>
    <row r="5085" spans="2:5" x14ac:dyDescent="0.2">
      <c r="B5085" s="1"/>
      <c r="E5085" s="38" t="str">
        <f>IFERROR(AVERAGEIFS('Picarro Output'!G:G, 'Picarro Output'!$B:$B, 'Uncalibrated Data'!$C5085, 'Picarro Output'!$I:$I, 0, 'Picarro Output'!$J:$J, 1), "")</f>
        <v/>
      </c>
    </row>
    <row r="5086" spans="2:5" x14ac:dyDescent="0.2">
      <c r="B5086" s="1"/>
      <c r="E5086" s="38" t="str">
        <f>IFERROR(AVERAGEIFS('Picarro Output'!G:G, 'Picarro Output'!$B:$B, 'Uncalibrated Data'!$C5086, 'Picarro Output'!$I:$I, 0, 'Picarro Output'!$J:$J, 1), "")</f>
        <v/>
      </c>
    </row>
    <row r="5087" spans="2:5" x14ac:dyDescent="0.2">
      <c r="B5087" s="1"/>
      <c r="E5087" s="38" t="str">
        <f>IFERROR(AVERAGEIFS('Picarro Output'!G:G, 'Picarro Output'!$B:$B, 'Uncalibrated Data'!$C5087, 'Picarro Output'!$I:$I, 0, 'Picarro Output'!$J:$J, 1), "")</f>
        <v/>
      </c>
    </row>
    <row r="5088" spans="2:5" x14ac:dyDescent="0.2">
      <c r="B5088" s="1"/>
      <c r="E5088" s="38" t="str">
        <f>IFERROR(AVERAGEIFS('Picarro Output'!G:G, 'Picarro Output'!$B:$B, 'Uncalibrated Data'!$C5088, 'Picarro Output'!$I:$I, 0, 'Picarro Output'!$J:$J, 1), "")</f>
        <v/>
      </c>
    </row>
    <row r="5089" spans="2:5" x14ac:dyDescent="0.2">
      <c r="B5089" s="1"/>
      <c r="E5089" s="38" t="str">
        <f>IFERROR(AVERAGEIFS('Picarro Output'!G:G, 'Picarro Output'!$B:$B, 'Uncalibrated Data'!$C5089, 'Picarro Output'!$I:$I, 0, 'Picarro Output'!$J:$J, 1), "")</f>
        <v/>
      </c>
    </row>
    <row r="5090" spans="2:5" x14ac:dyDescent="0.2">
      <c r="B5090" s="1"/>
      <c r="E5090" s="38" t="str">
        <f>IFERROR(AVERAGEIFS('Picarro Output'!G:G, 'Picarro Output'!$B:$B, 'Uncalibrated Data'!$C5090, 'Picarro Output'!$I:$I, 0, 'Picarro Output'!$J:$J, 1), "")</f>
        <v/>
      </c>
    </row>
    <row r="5091" spans="2:5" x14ac:dyDescent="0.2">
      <c r="B5091" s="1"/>
      <c r="E5091" s="38" t="str">
        <f>IFERROR(AVERAGEIFS('Picarro Output'!G:G, 'Picarro Output'!$B:$B, 'Uncalibrated Data'!$C5091, 'Picarro Output'!$I:$I, 0, 'Picarro Output'!$J:$J, 1), "")</f>
        <v/>
      </c>
    </row>
    <row r="5092" spans="2:5" x14ac:dyDescent="0.2">
      <c r="B5092" s="1"/>
      <c r="E5092" s="38" t="str">
        <f>IFERROR(AVERAGEIFS('Picarro Output'!G:G, 'Picarro Output'!$B:$B, 'Uncalibrated Data'!$C5092, 'Picarro Output'!$I:$I, 0, 'Picarro Output'!$J:$J, 1), "")</f>
        <v/>
      </c>
    </row>
    <row r="5093" spans="2:5" x14ac:dyDescent="0.2">
      <c r="B5093" s="1"/>
      <c r="E5093" s="38" t="str">
        <f>IFERROR(AVERAGEIFS('Picarro Output'!G:G, 'Picarro Output'!$B:$B, 'Uncalibrated Data'!$C5093, 'Picarro Output'!$I:$I, 0, 'Picarro Output'!$J:$J, 1), "")</f>
        <v/>
      </c>
    </row>
    <row r="5094" spans="2:5" x14ac:dyDescent="0.2">
      <c r="B5094" s="1"/>
      <c r="E5094" s="38" t="str">
        <f>IFERROR(AVERAGEIFS('Picarro Output'!G:G, 'Picarro Output'!$B:$B, 'Uncalibrated Data'!$C5094, 'Picarro Output'!$I:$I, 0, 'Picarro Output'!$J:$J, 1), "")</f>
        <v/>
      </c>
    </row>
    <row r="5095" spans="2:5" x14ac:dyDescent="0.2">
      <c r="B5095" s="1"/>
      <c r="E5095" s="38" t="str">
        <f>IFERROR(AVERAGEIFS('Picarro Output'!G:G, 'Picarro Output'!$B:$B, 'Uncalibrated Data'!$C5095, 'Picarro Output'!$I:$I, 0, 'Picarro Output'!$J:$J, 1), "")</f>
        <v/>
      </c>
    </row>
    <row r="5096" spans="2:5" x14ac:dyDescent="0.2">
      <c r="B5096" s="1"/>
      <c r="E5096" s="38" t="str">
        <f>IFERROR(AVERAGEIFS('Picarro Output'!G:G, 'Picarro Output'!$B:$B, 'Uncalibrated Data'!$C5096, 'Picarro Output'!$I:$I, 0, 'Picarro Output'!$J:$J, 1), "")</f>
        <v/>
      </c>
    </row>
    <row r="5097" spans="2:5" x14ac:dyDescent="0.2">
      <c r="B5097" s="1"/>
      <c r="E5097" s="38" t="str">
        <f>IFERROR(AVERAGEIFS('Picarro Output'!G:G, 'Picarro Output'!$B:$B, 'Uncalibrated Data'!$C5097, 'Picarro Output'!$I:$I, 0, 'Picarro Output'!$J:$J, 1), "")</f>
        <v/>
      </c>
    </row>
    <row r="5098" spans="2:5" x14ac:dyDescent="0.2">
      <c r="B5098" s="1"/>
      <c r="E5098" s="38" t="str">
        <f>IFERROR(AVERAGEIFS('Picarro Output'!G:G, 'Picarro Output'!$B:$B, 'Uncalibrated Data'!$C5098, 'Picarro Output'!$I:$I, 0, 'Picarro Output'!$J:$J, 1), "")</f>
        <v/>
      </c>
    </row>
    <row r="5099" spans="2:5" x14ac:dyDescent="0.2">
      <c r="B5099" s="1"/>
      <c r="E5099" s="38" t="str">
        <f>IFERROR(AVERAGEIFS('Picarro Output'!G:G, 'Picarro Output'!$B:$B, 'Uncalibrated Data'!$C5099, 'Picarro Output'!$I:$I, 0, 'Picarro Output'!$J:$J, 1), "")</f>
        <v/>
      </c>
    </row>
    <row r="5100" spans="2:5" x14ac:dyDescent="0.2">
      <c r="B5100" s="1"/>
      <c r="E5100" s="38" t="str">
        <f>IFERROR(AVERAGEIFS('Picarro Output'!G:G, 'Picarro Output'!$B:$B, 'Uncalibrated Data'!$C5100, 'Picarro Output'!$I:$I, 0, 'Picarro Output'!$J:$J, 1), "")</f>
        <v/>
      </c>
    </row>
    <row r="5101" spans="2:5" x14ac:dyDescent="0.2">
      <c r="B5101" s="1"/>
      <c r="E5101" s="38" t="str">
        <f>IFERROR(AVERAGEIFS('Picarro Output'!G:G, 'Picarro Output'!$B:$B, 'Uncalibrated Data'!$C5101, 'Picarro Output'!$I:$I, 0, 'Picarro Output'!$J:$J, 1), "")</f>
        <v/>
      </c>
    </row>
    <row r="5102" spans="2:5" x14ac:dyDescent="0.2">
      <c r="B5102" s="1"/>
      <c r="E5102" s="38" t="str">
        <f>IFERROR(AVERAGEIFS('Picarro Output'!G:G, 'Picarro Output'!$B:$B, 'Uncalibrated Data'!$C5102, 'Picarro Output'!$I:$I, 0, 'Picarro Output'!$J:$J, 1), "")</f>
        <v/>
      </c>
    </row>
    <row r="5103" spans="2:5" x14ac:dyDescent="0.2">
      <c r="B5103" s="1"/>
      <c r="E5103" s="38" t="str">
        <f>IFERROR(AVERAGEIFS('Picarro Output'!G:G, 'Picarro Output'!$B:$B, 'Uncalibrated Data'!$C5103, 'Picarro Output'!$I:$I, 0, 'Picarro Output'!$J:$J, 1), "")</f>
        <v/>
      </c>
    </row>
    <row r="5104" spans="2:5" x14ac:dyDescent="0.2">
      <c r="B5104" s="1"/>
      <c r="E5104" s="38" t="str">
        <f>IFERROR(AVERAGEIFS('Picarro Output'!G:G, 'Picarro Output'!$B:$B, 'Uncalibrated Data'!$C5104, 'Picarro Output'!$I:$I, 0, 'Picarro Output'!$J:$J, 1), "")</f>
        <v/>
      </c>
    </row>
    <row r="5105" spans="2:5" x14ac:dyDescent="0.2">
      <c r="B5105" s="1"/>
      <c r="E5105" s="38" t="str">
        <f>IFERROR(AVERAGEIFS('Picarro Output'!G:G, 'Picarro Output'!$B:$B, 'Uncalibrated Data'!$C5105, 'Picarro Output'!$I:$I, 0, 'Picarro Output'!$J:$J, 1), "")</f>
        <v/>
      </c>
    </row>
    <row r="5106" spans="2:5" x14ac:dyDescent="0.2">
      <c r="B5106" s="1"/>
      <c r="E5106" s="38" t="str">
        <f>IFERROR(AVERAGEIFS('Picarro Output'!G:G, 'Picarro Output'!$B:$B, 'Uncalibrated Data'!$C5106, 'Picarro Output'!$I:$I, 0, 'Picarro Output'!$J:$J, 1), "")</f>
        <v/>
      </c>
    </row>
    <row r="5107" spans="2:5" x14ac:dyDescent="0.2">
      <c r="B5107" s="1"/>
      <c r="E5107" s="38" t="str">
        <f>IFERROR(AVERAGEIFS('Picarro Output'!G:G, 'Picarro Output'!$B:$B, 'Uncalibrated Data'!$C5107, 'Picarro Output'!$I:$I, 0, 'Picarro Output'!$J:$J, 1), "")</f>
        <v/>
      </c>
    </row>
    <row r="5108" spans="2:5" x14ac:dyDescent="0.2">
      <c r="B5108" s="1"/>
      <c r="E5108" s="38" t="str">
        <f>IFERROR(AVERAGEIFS('Picarro Output'!G:G, 'Picarro Output'!$B:$B, 'Uncalibrated Data'!$C5108, 'Picarro Output'!$I:$I, 0, 'Picarro Output'!$J:$J, 1), "")</f>
        <v/>
      </c>
    </row>
    <row r="5109" spans="2:5" x14ac:dyDescent="0.2">
      <c r="B5109" s="1"/>
      <c r="E5109" s="38" t="str">
        <f>IFERROR(AVERAGEIFS('Picarro Output'!G:G, 'Picarro Output'!$B:$B, 'Uncalibrated Data'!$C5109, 'Picarro Output'!$I:$I, 0, 'Picarro Output'!$J:$J, 1), "")</f>
        <v/>
      </c>
    </row>
    <row r="5110" spans="2:5" x14ac:dyDescent="0.2">
      <c r="B5110" s="1"/>
      <c r="E5110" s="38" t="str">
        <f>IFERROR(AVERAGEIFS('Picarro Output'!G:G, 'Picarro Output'!$B:$B, 'Uncalibrated Data'!$C5110, 'Picarro Output'!$I:$I, 0, 'Picarro Output'!$J:$J, 1), "")</f>
        <v/>
      </c>
    </row>
    <row r="5111" spans="2:5" x14ac:dyDescent="0.2">
      <c r="B5111" s="1"/>
      <c r="E5111" s="38" t="str">
        <f>IFERROR(AVERAGEIFS('Picarro Output'!G:G, 'Picarro Output'!$B:$B, 'Uncalibrated Data'!$C5111, 'Picarro Output'!$I:$I, 0, 'Picarro Output'!$J:$J, 1), "")</f>
        <v/>
      </c>
    </row>
    <row r="5112" spans="2:5" x14ac:dyDescent="0.2">
      <c r="B5112" s="1"/>
      <c r="E5112" s="38" t="str">
        <f>IFERROR(AVERAGEIFS('Picarro Output'!G:G, 'Picarro Output'!$B:$B, 'Uncalibrated Data'!$C5112, 'Picarro Output'!$I:$I, 0, 'Picarro Output'!$J:$J, 1), "")</f>
        <v/>
      </c>
    </row>
    <row r="5113" spans="2:5" x14ac:dyDescent="0.2">
      <c r="B5113" s="1"/>
      <c r="E5113" s="38" t="str">
        <f>IFERROR(AVERAGEIFS('Picarro Output'!G:G, 'Picarro Output'!$B:$B, 'Uncalibrated Data'!$C5113, 'Picarro Output'!$I:$I, 0, 'Picarro Output'!$J:$J, 1), "")</f>
        <v/>
      </c>
    </row>
    <row r="5114" spans="2:5" x14ac:dyDescent="0.2">
      <c r="B5114" s="1"/>
      <c r="E5114" s="38" t="str">
        <f>IFERROR(AVERAGEIFS('Picarro Output'!G:G, 'Picarro Output'!$B:$B, 'Uncalibrated Data'!$C5114, 'Picarro Output'!$I:$I, 0, 'Picarro Output'!$J:$J, 1), "")</f>
        <v/>
      </c>
    </row>
    <row r="5115" spans="2:5" x14ac:dyDescent="0.2">
      <c r="B5115" s="1"/>
      <c r="E5115" s="38" t="str">
        <f>IFERROR(AVERAGEIFS('Picarro Output'!G:G, 'Picarro Output'!$B:$B, 'Uncalibrated Data'!$C5115, 'Picarro Output'!$I:$I, 0, 'Picarro Output'!$J:$J, 1), "")</f>
        <v/>
      </c>
    </row>
    <row r="5116" spans="2:5" x14ac:dyDescent="0.2">
      <c r="B5116" s="1"/>
      <c r="E5116" s="38" t="str">
        <f>IFERROR(AVERAGEIFS('Picarro Output'!G:G, 'Picarro Output'!$B:$B, 'Uncalibrated Data'!$C5116, 'Picarro Output'!$I:$I, 0, 'Picarro Output'!$J:$J, 1), "")</f>
        <v/>
      </c>
    </row>
    <row r="5117" spans="2:5" x14ac:dyDescent="0.2">
      <c r="B5117" s="1"/>
      <c r="E5117" s="38" t="str">
        <f>IFERROR(AVERAGEIFS('Picarro Output'!G:G, 'Picarro Output'!$B:$B, 'Uncalibrated Data'!$C5117, 'Picarro Output'!$I:$I, 0, 'Picarro Output'!$J:$J, 1), "")</f>
        <v/>
      </c>
    </row>
    <row r="5118" spans="2:5" x14ac:dyDescent="0.2">
      <c r="B5118" s="1"/>
      <c r="E5118" s="38" t="str">
        <f>IFERROR(AVERAGEIFS('Picarro Output'!G:G, 'Picarro Output'!$B:$B, 'Uncalibrated Data'!$C5118, 'Picarro Output'!$I:$I, 0, 'Picarro Output'!$J:$J, 1), "")</f>
        <v/>
      </c>
    </row>
    <row r="5119" spans="2:5" x14ac:dyDescent="0.2">
      <c r="B5119" s="1"/>
      <c r="E5119" s="38" t="str">
        <f>IFERROR(AVERAGEIFS('Picarro Output'!G:G, 'Picarro Output'!$B:$B, 'Uncalibrated Data'!$C5119, 'Picarro Output'!$I:$I, 0, 'Picarro Output'!$J:$J, 1), "")</f>
        <v/>
      </c>
    </row>
    <row r="5120" spans="2:5" x14ac:dyDescent="0.2">
      <c r="B5120" s="1"/>
      <c r="E5120" s="38" t="str">
        <f>IFERROR(AVERAGEIFS('Picarro Output'!G:G, 'Picarro Output'!$B:$B, 'Uncalibrated Data'!$C5120, 'Picarro Output'!$I:$I, 0, 'Picarro Output'!$J:$J, 1), "")</f>
        <v/>
      </c>
    </row>
    <row r="5121" spans="2:5" x14ac:dyDescent="0.2">
      <c r="B5121" s="1"/>
      <c r="E5121" s="38" t="str">
        <f>IFERROR(AVERAGEIFS('Picarro Output'!G:G, 'Picarro Output'!$B:$B, 'Uncalibrated Data'!$C5121, 'Picarro Output'!$I:$I, 0, 'Picarro Output'!$J:$J, 1), "")</f>
        <v/>
      </c>
    </row>
    <row r="5122" spans="2:5" x14ac:dyDescent="0.2">
      <c r="B5122" s="1"/>
      <c r="E5122" s="38" t="str">
        <f>IFERROR(AVERAGEIFS('Picarro Output'!G:G, 'Picarro Output'!$B:$B, 'Uncalibrated Data'!$C5122, 'Picarro Output'!$I:$I, 0, 'Picarro Output'!$J:$J, 1), "")</f>
        <v/>
      </c>
    </row>
    <row r="5123" spans="2:5" x14ac:dyDescent="0.2">
      <c r="B5123" s="1"/>
      <c r="E5123" s="38" t="str">
        <f>IFERROR(AVERAGEIFS('Picarro Output'!G:G, 'Picarro Output'!$B:$B, 'Uncalibrated Data'!$C5123, 'Picarro Output'!$I:$I, 0, 'Picarro Output'!$J:$J, 1), "")</f>
        <v/>
      </c>
    </row>
    <row r="5124" spans="2:5" x14ac:dyDescent="0.2">
      <c r="B5124" s="1"/>
      <c r="E5124" s="38" t="str">
        <f>IFERROR(AVERAGEIFS('Picarro Output'!G:G, 'Picarro Output'!$B:$B, 'Uncalibrated Data'!$C5124, 'Picarro Output'!$I:$I, 0, 'Picarro Output'!$J:$J, 1), "")</f>
        <v/>
      </c>
    </row>
    <row r="5125" spans="2:5" x14ac:dyDescent="0.2">
      <c r="B5125" s="1"/>
      <c r="E5125" s="38" t="str">
        <f>IFERROR(AVERAGEIFS('Picarro Output'!G:G, 'Picarro Output'!$B:$B, 'Uncalibrated Data'!$C5125, 'Picarro Output'!$I:$I, 0, 'Picarro Output'!$J:$J, 1), "")</f>
        <v/>
      </c>
    </row>
    <row r="5126" spans="2:5" x14ac:dyDescent="0.2">
      <c r="B5126" s="1"/>
      <c r="E5126" s="38" t="str">
        <f>IFERROR(AVERAGEIFS('Picarro Output'!G:G, 'Picarro Output'!$B:$B, 'Uncalibrated Data'!$C5126, 'Picarro Output'!$I:$I, 0, 'Picarro Output'!$J:$J, 1), "")</f>
        <v/>
      </c>
    </row>
    <row r="5127" spans="2:5" x14ac:dyDescent="0.2">
      <c r="B5127" s="1"/>
      <c r="E5127" s="38" t="str">
        <f>IFERROR(AVERAGEIFS('Picarro Output'!G:G, 'Picarro Output'!$B:$B, 'Uncalibrated Data'!$C5127, 'Picarro Output'!$I:$I, 0, 'Picarro Output'!$J:$J, 1), "")</f>
        <v/>
      </c>
    </row>
    <row r="5128" spans="2:5" x14ac:dyDescent="0.2">
      <c r="B5128" s="1"/>
      <c r="E5128" s="38" t="str">
        <f>IFERROR(AVERAGEIFS('Picarro Output'!G:G, 'Picarro Output'!$B:$B, 'Uncalibrated Data'!$C5128, 'Picarro Output'!$I:$I, 0, 'Picarro Output'!$J:$J, 1), "")</f>
        <v/>
      </c>
    </row>
    <row r="5129" spans="2:5" x14ac:dyDescent="0.2">
      <c r="B5129" s="1"/>
      <c r="E5129" s="38" t="str">
        <f>IFERROR(AVERAGEIFS('Picarro Output'!G:G, 'Picarro Output'!$B:$B, 'Uncalibrated Data'!$C5129, 'Picarro Output'!$I:$I, 0, 'Picarro Output'!$J:$J, 1), "")</f>
        <v/>
      </c>
    </row>
    <row r="5130" spans="2:5" x14ac:dyDescent="0.2">
      <c r="B5130" s="1"/>
      <c r="E5130" s="38" t="str">
        <f>IFERROR(AVERAGEIFS('Picarro Output'!G:G, 'Picarro Output'!$B:$B, 'Uncalibrated Data'!$C5130, 'Picarro Output'!$I:$I, 0, 'Picarro Output'!$J:$J, 1), "")</f>
        <v/>
      </c>
    </row>
    <row r="5131" spans="2:5" x14ac:dyDescent="0.2">
      <c r="B5131" s="1"/>
      <c r="E5131" s="38" t="str">
        <f>IFERROR(AVERAGEIFS('Picarro Output'!G:G, 'Picarro Output'!$B:$B, 'Uncalibrated Data'!$C5131, 'Picarro Output'!$I:$I, 0, 'Picarro Output'!$J:$J, 1), "")</f>
        <v/>
      </c>
    </row>
    <row r="5132" spans="2:5" x14ac:dyDescent="0.2">
      <c r="B5132" s="1"/>
      <c r="E5132" s="38" t="str">
        <f>IFERROR(AVERAGEIFS('Picarro Output'!G:G, 'Picarro Output'!$B:$B, 'Uncalibrated Data'!$C5132, 'Picarro Output'!$I:$I, 0, 'Picarro Output'!$J:$J, 1), "")</f>
        <v/>
      </c>
    </row>
    <row r="5133" spans="2:5" x14ac:dyDescent="0.2">
      <c r="B5133" s="1"/>
      <c r="E5133" s="38" t="str">
        <f>IFERROR(AVERAGEIFS('Picarro Output'!G:G, 'Picarro Output'!$B:$B, 'Uncalibrated Data'!$C5133, 'Picarro Output'!$I:$I, 0, 'Picarro Output'!$J:$J, 1), "")</f>
        <v/>
      </c>
    </row>
    <row r="5134" spans="2:5" x14ac:dyDescent="0.2">
      <c r="B5134" s="1"/>
      <c r="E5134" s="38" t="str">
        <f>IFERROR(AVERAGEIFS('Picarro Output'!G:G, 'Picarro Output'!$B:$B, 'Uncalibrated Data'!$C5134, 'Picarro Output'!$I:$I, 0, 'Picarro Output'!$J:$J, 1), "")</f>
        <v/>
      </c>
    </row>
    <row r="5135" spans="2:5" x14ac:dyDescent="0.2">
      <c r="B5135" s="1"/>
      <c r="E5135" s="38" t="str">
        <f>IFERROR(AVERAGEIFS('Picarro Output'!G:G, 'Picarro Output'!$B:$B, 'Uncalibrated Data'!$C5135, 'Picarro Output'!$I:$I, 0, 'Picarro Output'!$J:$J, 1), "")</f>
        <v/>
      </c>
    </row>
    <row r="5136" spans="2:5" x14ac:dyDescent="0.2">
      <c r="B5136" s="1"/>
      <c r="E5136" s="38" t="str">
        <f>IFERROR(AVERAGEIFS('Picarro Output'!G:G, 'Picarro Output'!$B:$B, 'Uncalibrated Data'!$C5136, 'Picarro Output'!$I:$I, 0, 'Picarro Output'!$J:$J, 1), "")</f>
        <v/>
      </c>
    </row>
    <row r="5137" spans="2:5" x14ac:dyDescent="0.2">
      <c r="B5137" s="1"/>
      <c r="E5137" s="38" t="str">
        <f>IFERROR(AVERAGEIFS('Picarro Output'!G:G, 'Picarro Output'!$B:$B, 'Uncalibrated Data'!$C5137, 'Picarro Output'!$I:$I, 0, 'Picarro Output'!$J:$J, 1), "")</f>
        <v/>
      </c>
    </row>
    <row r="5138" spans="2:5" x14ac:dyDescent="0.2">
      <c r="B5138" s="1"/>
      <c r="E5138" s="38" t="str">
        <f>IFERROR(AVERAGEIFS('Picarro Output'!G:G, 'Picarro Output'!$B:$B, 'Uncalibrated Data'!$C5138, 'Picarro Output'!$I:$I, 0, 'Picarro Output'!$J:$J, 1), "")</f>
        <v/>
      </c>
    </row>
    <row r="5139" spans="2:5" x14ac:dyDescent="0.2">
      <c r="B5139" s="1"/>
      <c r="E5139" s="38" t="str">
        <f>IFERROR(AVERAGEIFS('Picarro Output'!G:G, 'Picarro Output'!$B:$B, 'Uncalibrated Data'!$C5139, 'Picarro Output'!$I:$I, 0, 'Picarro Output'!$J:$J, 1), "")</f>
        <v/>
      </c>
    </row>
    <row r="5140" spans="2:5" x14ac:dyDescent="0.2">
      <c r="B5140" s="1"/>
      <c r="E5140" s="38" t="str">
        <f>IFERROR(AVERAGEIFS('Picarro Output'!G:G, 'Picarro Output'!$B:$B, 'Uncalibrated Data'!$C5140, 'Picarro Output'!$I:$I, 0, 'Picarro Output'!$J:$J, 1), "")</f>
        <v/>
      </c>
    </row>
    <row r="5141" spans="2:5" x14ac:dyDescent="0.2">
      <c r="B5141" s="1"/>
      <c r="E5141" s="38" t="str">
        <f>IFERROR(AVERAGEIFS('Picarro Output'!G:G, 'Picarro Output'!$B:$B, 'Uncalibrated Data'!$C5141, 'Picarro Output'!$I:$I, 0, 'Picarro Output'!$J:$J, 1), "")</f>
        <v/>
      </c>
    </row>
    <row r="5142" spans="2:5" x14ac:dyDescent="0.2">
      <c r="B5142" s="1"/>
      <c r="E5142" s="38" t="str">
        <f>IFERROR(AVERAGEIFS('Picarro Output'!G:G, 'Picarro Output'!$B:$B, 'Uncalibrated Data'!$C5142, 'Picarro Output'!$I:$I, 0, 'Picarro Output'!$J:$J, 1), "")</f>
        <v/>
      </c>
    </row>
    <row r="5143" spans="2:5" x14ac:dyDescent="0.2">
      <c r="B5143" s="1"/>
      <c r="E5143" s="38" t="str">
        <f>IFERROR(AVERAGEIFS('Picarro Output'!G:G, 'Picarro Output'!$B:$B, 'Uncalibrated Data'!$C5143, 'Picarro Output'!$I:$I, 0, 'Picarro Output'!$J:$J, 1), "")</f>
        <v/>
      </c>
    </row>
    <row r="5144" spans="2:5" x14ac:dyDescent="0.2">
      <c r="B5144" s="1"/>
      <c r="E5144" s="38" t="str">
        <f>IFERROR(AVERAGEIFS('Picarro Output'!G:G, 'Picarro Output'!$B:$B, 'Uncalibrated Data'!$C5144, 'Picarro Output'!$I:$I, 0, 'Picarro Output'!$J:$J, 1), "")</f>
        <v/>
      </c>
    </row>
    <row r="5145" spans="2:5" x14ac:dyDescent="0.2">
      <c r="B5145" s="1"/>
      <c r="E5145" s="38" t="str">
        <f>IFERROR(AVERAGEIFS('Picarro Output'!G:G, 'Picarro Output'!$B:$B, 'Uncalibrated Data'!$C5145, 'Picarro Output'!$I:$I, 0, 'Picarro Output'!$J:$J, 1), "")</f>
        <v/>
      </c>
    </row>
    <row r="5146" spans="2:5" x14ac:dyDescent="0.2">
      <c r="B5146" s="1"/>
      <c r="E5146" s="38" t="str">
        <f>IFERROR(AVERAGEIFS('Picarro Output'!G:G, 'Picarro Output'!$B:$B, 'Uncalibrated Data'!$C5146, 'Picarro Output'!$I:$I, 0, 'Picarro Output'!$J:$J, 1), "")</f>
        <v/>
      </c>
    </row>
    <row r="5147" spans="2:5" x14ac:dyDescent="0.2">
      <c r="B5147" s="1"/>
      <c r="E5147" s="38" t="str">
        <f>IFERROR(AVERAGEIFS('Picarro Output'!G:G, 'Picarro Output'!$B:$B, 'Uncalibrated Data'!$C5147, 'Picarro Output'!$I:$I, 0, 'Picarro Output'!$J:$J, 1), "")</f>
        <v/>
      </c>
    </row>
    <row r="5148" spans="2:5" x14ac:dyDescent="0.2">
      <c r="B5148" s="1"/>
      <c r="E5148" s="38" t="str">
        <f>IFERROR(AVERAGEIFS('Picarro Output'!G:G, 'Picarro Output'!$B:$B, 'Uncalibrated Data'!$C5148, 'Picarro Output'!$I:$I, 0, 'Picarro Output'!$J:$J, 1), "")</f>
        <v/>
      </c>
    </row>
    <row r="5149" spans="2:5" x14ac:dyDescent="0.2">
      <c r="B5149" s="1"/>
      <c r="E5149" s="38" t="str">
        <f>IFERROR(AVERAGEIFS('Picarro Output'!G:G, 'Picarro Output'!$B:$B, 'Uncalibrated Data'!$C5149, 'Picarro Output'!$I:$I, 0, 'Picarro Output'!$J:$J, 1), "")</f>
        <v/>
      </c>
    </row>
    <row r="5150" spans="2:5" x14ac:dyDescent="0.2">
      <c r="B5150" s="1"/>
      <c r="E5150" s="38" t="str">
        <f>IFERROR(AVERAGEIFS('Picarro Output'!G:G, 'Picarro Output'!$B:$B, 'Uncalibrated Data'!$C5150, 'Picarro Output'!$I:$I, 0, 'Picarro Output'!$J:$J, 1), "")</f>
        <v/>
      </c>
    </row>
    <row r="5151" spans="2:5" x14ac:dyDescent="0.2">
      <c r="B5151" s="1"/>
      <c r="E5151" s="38" t="str">
        <f>IFERROR(AVERAGEIFS('Picarro Output'!G:G, 'Picarro Output'!$B:$B, 'Uncalibrated Data'!$C5151, 'Picarro Output'!$I:$I, 0, 'Picarro Output'!$J:$J, 1), "")</f>
        <v/>
      </c>
    </row>
    <row r="5152" spans="2:5" x14ac:dyDescent="0.2">
      <c r="B5152" s="1"/>
      <c r="E5152" s="38" t="str">
        <f>IFERROR(AVERAGEIFS('Picarro Output'!G:G, 'Picarro Output'!$B:$B, 'Uncalibrated Data'!$C5152, 'Picarro Output'!$I:$I, 0, 'Picarro Output'!$J:$J, 1), "")</f>
        <v/>
      </c>
    </row>
    <row r="5153" spans="2:5" x14ac:dyDescent="0.2">
      <c r="B5153" s="1"/>
      <c r="E5153" s="38" t="str">
        <f>IFERROR(AVERAGEIFS('Picarro Output'!G:G, 'Picarro Output'!$B:$B, 'Uncalibrated Data'!$C5153, 'Picarro Output'!$I:$I, 0, 'Picarro Output'!$J:$J, 1), "")</f>
        <v/>
      </c>
    </row>
    <row r="5154" spans="2:5" x14ac:dyDescent="0.2">
      <c r="B5154" s="1"/>
      <c r="E5154" s="38" t="str">
        <f>IFERROR(AVERAGEIFS('Picarro Output'!G:G, 'Picarro Output'!$B:$B, 'Uncalibrated Data'!$C5154, 'Picarro Output'!$I:$I, 0, 'Picarro Output'!$J:$J, 1), "")</f>
        <v/>
      </c>
    </row>
    <row r="5155" spans="2:5" x14ac:dyDescent="0.2">
      <c r="B5155" s="1"/>
      <c r="E5155" s="38" t="str">
        <f>IFERROR(AVERAGEIFS('Picarro Output'!G:G, 'Picarro Output'!$B:$B, 'Uncalibrated Data'!$C5155, 'Picarro Output'!$I:$I, 0, 'Picarro Output'!$J:$J, 1), "")</f>
        <v/>
      </c>
    </row>
    <row r="5156" spans="2:5" x14ac:dyDescent="0.2">
      <c r="B5156" s="1"/>
      <c r="E5156" s="38" t="str">
        <f>IFERROR(AVERAGEIFS('Picarro Output'!G:G, 'Picarro Output'!$B:$B, 'Uncalibrated Data'!$C5156, 'Picarro Output'!$I:$I, 0, 'Picarro Output'!$J:$J, 1), "")</f>
        <v/>
      </c>
    </row>
    <row r="5157" spans="2:5" x14ac:dyDescent="0.2">
      <c r="B5157" s="1"/>
      <c r="E5157" s="38" t="str">
        <f>IFERROR(AVERAGEIFS('Picarro Output'!G:G, 'Picarro Output'!$B:$B, 'Uncalibrated Data'!$C5157, 'Picarro Output'!$I:$I, 0, 'Picarro Output'!$J:$J, 1), "")</f>
        <v/>
      </c>
    </row>
    <row r="5158" spans="2:5" x14ac:dyDescent="0.2">
      <c r="B5158" s="1"/>
      <c r="E5158" s="38" t="str">
        <f>IFERROR(AVERAGEIFS('Picarro Output'!G:G, 'Picarro Output'!$B:$B, 'Uncalibrated Data'!$C5158, 'Picarro Output'!$I:$I, 0, 'Picarro Output'!$J:$J, 1), "")</f>
        <v/>
      </c>
    </row>
    <row r="5159" spans="2:5" x14ac:dyDescent="0.2">
      <c r="B5159" s="1"/>
      <c r="E5159" s="38" t="str">
        <f>IFERROR(AVERAGEIFS('Picarro Output'!G:G, 'Picarro Output'!$B:$B, 'Uncalibrated Data'!$C5159, 'Picarro Output'!$I:$I, 0, 'Picarro Output'!$J:$J, 1), "")</f>
        <v/>
      </c>
    </row>
    <row r="5160" spans="2:5" x14ac:dyDescent="0.2">
      <c r="B5160" s="1"/>
      <c r="E5160" s="38" t="str">
        <f>IFERROR(AVERAGEIFS('Picarro Output'!G:G, 'Picarro Output'!$B:$B, 'Uncalibrated Data'!$C5160, 'Picarro Output'!$I:$I, 0, 'Picarro Output'!$J:$J, 1), "")</f>
        <v/>
      </c>
    </row>
    <row r="5161" spans="2:5" x14ac:dyDescent="0.2">
      <c r="B5161" s="1"/>
      <c r="E5161" s="38" t="str">
        <f>IFERROR(AVERAGEIFS('Picarro Output'!G:G, 'Picarro Output'!$B:$B, 'Uncalibrated Data'!$C5161, 'Picarro Output'!$I:$I, 0, 'Picarro Output'!$J:$J, 1), "")</f>
        <v/>
      </c>
    </row>
    <row r="5162" spans="2:5" x14ac:dyDescent="0.2">
      <c r="B5162" s="1"/>
      <c r="E5162" s="38" t="str">
        <f>IFERROR(AVERAGEIFS('Picarro Output'!G:G, 'Picarro Output'!$B:$B, 'Uncalibrated Data'!$C5162, 'Picarro Output'!$I:$I, 0, 'Picarro Output'!$J:$J, 1), "")</f>
        <v/>
      </c>
    </row>
    <row r="5163" spans="2:5" x14ac:dyDescent="0.2">
      <c r="B5163" s="1"/>
      <c r="E5163" s="38" t="str">
        <f>IFERROR(AVERAGEIFS('Picarro Output'!G:G, 'Picarro Output'!$B:$B, 'Uncalibrated Data'!$C5163, 'Picarro Output'!$I:$I, 0, 'Picarro Output'!$J:$J, 1), "")</f>
        <v/>
      </c>
    </row>
    <row r="5164" spans="2:5" x14ac:dyDescent="0.2">
      <c r="B5164" s="1"/>
      <c r="E5164" s="38" t="str">
        <f>IFERROR(AVERAGEIFS('Picarro Output'!G:G, 'Picarro Output'!$B:$B, 'Uncalibrated Data'!$C5164, 'Picarro Output'!$I:$I, 0, 'Picarro Output'!$J:$J, 1), "")</f>
        <v/>
      </c>
    </row>
    <row r="5165" spans="2:5" x14ac:dyDescent="0.2">
      <c r="B5165" s="1"/>
      <c r="E5165" s="38" t="str">
        <f>IFERROR(AVERAGEIFS('Picarro Output'!G:G, 'Picarro Output'!$B:$B, 'Uncalibrated Data'!$C5165, 'Picarro Output'!$I:$I, 0, 'Picarro Output'!$J:$J, 1), "")</f>
        <v/>
      </c>
    </row>
    <row r="5166" spans="2:5" x14ac:dyDescent="0.2">
      <c r="B5166" s="1"/>
      <c r="E5166" s="38" t="str">
        <f>IFERROR(AVERAGEIFS('Picarro Output'!G:G, 'Picarro Output'!$B:$B, 'Uncalibrated Data'!$C5166, 'Picarro Output'!$I:$I, 0, 'Picarro Output'!$J:$J, 1), "")</f>
        <v/>
      </c>
    </row>
    <row r="5167" spans="2:5" x14ac:dyDescent="0.2">
      <c r="B5167" s="1"/>
      <c r="E5167" s="38" t="str">
        <f>IFERROR(AVERAGEIFS('Picarro Output'!G:G, 'Picarro Output'!$B:$B, 'Uncalibrated Data'!$C5167, 'Picarro Output'!$I:$I, 0, 'Picarro Output'!$J:$J, 1), "")</f>
        <v/>
      </c>
    </row>
    <row r="5168" spans="2:5" x14ac:dyDescent="0.2">
      <c r="B5168" s="1"/>
      <c r="E5168" s="38" t="str">
        <f>IFERROR(AVERAGEIFS('Picarro Output'!G:G, 'Picarro Output'!$B:$B, 'Uncalibrated Data'!$C5168, 'Picarro Output'!$I:$I, 0, 'Picarro Output'!$J:$J, 1), "")</f>
        <v/>
      </c>
    </row>
    <row r="5169" spans="2:5" x14ac:dyDescent="0.2">
      <c r="B5169" s="1"/>
      <c r="E5169" s="38" t="str">
        <f>IFERROR(AVERAGEIFS('Picarro Output'!G:G, 'Picarro Output'!$B:$B, 'Uncalibrated Data'!$C5169, 'Picarro Output'!$I:$I, 0, 'Picarro Output'!$J:$J, 1), "")</f>
        <v/>
      </c>
    </row>
    <row r="5170" spans="2:5" x14ac:dyDescent="0.2">
      <c r="B5170" s="1"/>
      <c r="E5170" s="38" t="str">
        <f>IFERROR(AVERAGEIFS('Picarro Output'!G:G, 'Picarro Output'!$B:$B, 'Uncalibrated Data'!$C5170, 'Picarro Output'!$I:$I, 0, 'Picarro Output'!$J:$J, 1), "")</f>
        <v/>
      </c>
    </row>
    <row r="5171" spans="2:5" x14ac:dyDescent="0.2">
      <c r="B5171" s="1"/>
      <c r="E5171" s="38" t="str">
        <f>IFERROR(AVERAGEIFS('Picarro Output'!G:G, 'Picarro Output'!$B:$B, 'Uncalibrated Data'!$C5171, 'Picarro Output'!$I:$I, 0, 'Picarro Output'!$J:$J, 1), "")</f>
        <v/>
      </c>
    </row>
    <row r="5172" spans="2:5" x14ac:dyDescent="0.2">
      <c r="B5172" s="1"/>
      <c r="E5172" s="38" t="str">
        <f>IFERROR(AVERAGEIFS('Picarro Output'!G:G, 'Picarro Output'!$B:$B, 'Uncalibrated Data'!$C5172, 'Picarro Output'!$I:$I, 0, 'Picarro Output'!$J:$J, 1), "")</f>
        <v/>
      </c>
    </row>
    <row r="5173" spans="2:5" x14ac:dyDescent="0.2">
      <c r="B5173" s="1"/>
      <c r="E5173" s="38" t="str">
        <f>IFERROR(AVERAGEIFS('Picarro Output'!G:G, 'Picarro Output'!$B:$B, 'Uncalibrated Data'!$C5173, 'Picarro Output'!$I:$I, 0, 'Picarro Output'!$J:$J, 1), "")</f>
        <v/>
      </c>
    </row>
    <row r="5174" spans="2:5" x14ac:dyDescent="0.2">
      <c r="B5174" s="1"/>
      <c r="E5174" s="38" t="str">
        <f>IFERROR(AVERAGEIFS('Picarro Output'!G:G, 'Picarro Output'!$B:$B, 'Uncalibrated Data'!$C5174, 'Picarro Output'!$I:$I, 0, 'Picarro Output'!$J:$J, 1), "")</f>
        <v/>
      </c>
    </row>
    <row r="5175" spans="2:5" x14ac:dyDescent="0.2">
      <c r="B5175" s="1"/>
      <c r="E5175" s="38" t="str">
        <f>IFERROR(AVERAGEIFS('Picarro Output'!G:G, 'Picarro Output'!$B:$B, 'Uncalibrated Data'!$C5175, 'Picarro Output'!$I:$I, 0, 'Picarro Output'!$J:$J, 1), "")</f>
        <v/>
      </c>
    </row>
    <row r="5176" spans="2:5" x14ac:dyDescent="0.2">
      <c r="B5176" s="1"/>
      <c r="E5176" s="38" t="str">
        <f>IFERROR(AVERAGEIFS('Picarro Output'!G:G, 'Picarro Output'!$B:$B, 'Uncalibrated Data'!$C5176, 'Picarro Output'!$I:$I, 0, 'Picarro Output'!$J:$J, 1), "")</f>
        <v/>
      </c>
    </row>
    <row r="5177" spans="2:5" x14ac:dyDescent="0.2">
      <c r="B5177" s="1"/>
      <c r="E5177" s="38" t="str">
        <f>IFERROR(AVERAGEIFS('Picarro Output'!G:G, 'Picarro Output'!$B:$B, 'Uncalibrated Data'!$C5177, 'Picarro Output'!$I:$I, 0, 'Picarro Output'!$J:$J, 1), "")</f>
        <v/>
      </c>
    </row>
    <row r="5178" spans="2:5" x14ac:dyDescent="0.2">
      <c r="B5178" s="1"/>
      <c r="E5178" s="38" t="str">
        <f>IFERROR(AVERAGEIFS('Picarro Output'!G:G, 'Picarro Output'!$B:$B, 'Uncalibrated Data'!$C5178, 'Picarro Output'!$I:$I, 0, 'Picarro Output'!$J:$J, 1), "")</f>
        <v/>
      </c>
    </row>
    <row r="5179" spans="2:5" x14ac:dyDescent="0.2">
      <c r="B5179" s="1"/>
      <c r="E5179" s="38" t="str">
        <f>IFERROR(AVERAGEIFS('Picarro Output'!G:G, 'Picarro Output'!$B:$B, 'Uncalibrated Data'!$C5179, 'Picarro Output'!$I:$I, 0, 'Picarro Output'!$J:$J, 1), "")</f>
        <v/>
      </c>
    </row>
    <row r="5180" spans="2:5" x14ac:dyDescent="0.2">
      <c r="B5180" s="1"/>
      <c r="E5180" s="38" t="str">
        <f>IFERROR(AVERAGEIFS('Picarro Output'!G:G, 'Picarro Output'!$B:$B, 'Uncalibrated Data'!$C5180, 'Picarro Output'!$I:$I, 0, 'Picarro Output'!$J:$J, 1), "")</f>
        <v/>
      </c>
    </row>
    <row r="5181" spans="2:5" x14ac:dyDescent="0.2">
      <c r="B5181" s="1"/>
      <c r="E5181" s="38" t="str">
        <f>IFERROR(AVERAGEIFS('Picarro Output'!G:G, 'Picarro Output'!$B:$B, 'Uncalibrated Data'!$C5181, 'Picarro Output'!$I:$I, 0, 'Picarro Output'!$J:$J, 1), "")</f>
        <v/>
      </c>
    </row>
    <row r="5182" spans="2:5" x14ac:dyDescent="0.2">
      <c r="B5182" s="1"/>
      <c r="E5182" s="38" t="str">
        <f>IFERROR(AVERAGEIFS('Picarro Output'!G:G, 'Picarro Output'!$B:$B, 'Uncalibrated Data'!$C5182, 'Picarro Output'!$I:$I, 0, 'Picarro Output'!$J:$J, 1), "")</f>
        <v/>
      </c>
    </row>
    <row r="5183" spans="2:5" x14ac:dyDescent="0.2">
      <c r="B5183" s="1"/>
      <c r="E5183" s="38" t="str">
        <f>IFERROR(AVERAGEIFS('Picarro Output'!G:G, 'Picarro Output'!$B:$B, 'Uncalibrated Data'!$C5183, 'Picarro Output'!$I:$I, 0, 'Picarro Output'!$J:$J, 1), "")</f>
        <v/>
      </c>
    </row>
    <row r="5184" spans="2:5" x14ac:dyDescent="0.2">
      <c r="B5184" s="1"/>
      <c r="E5184" s="38" t="str">
        <f>IFERROR(AVERAGEIFS('Picarro Output'!G:G, 'Picarro Output'!$B:$B, 'Uncalibrated Data'!$C5184, 'Picarro Output'!$I:$I, 0, 'Picarro Output'!$J:$J, 1), "")</f>
        <v/>
      </c>
    </row>
    <row r="5185" spans="2:5" x14ac:dyDescent="0.2">
      <c r="B5185" s="1"/>
      <c r="E5185" s="38" t="str">
        <f>IFERROR(AVERAGEIFS('Picarro Output'!G:G, 'Picarro Output'!$B:$B, 'Uncalibrated Data'!$C5185, 'Picarro Output'!$I:$I, 0, 'Picarro Output'!$J:$J, 1), "")</f>
        <v/>
      </c>
    </row>
    <row r="5186" spans="2:5" x14ac:dyDescent="0.2">
      <c r="B5186" s="1"/>
      <c r="E5186" s="38" t="str">
        <f>IFERROR(AVERAGEIFS('Picarro Output'!G:G, 'Picarro Output'!$B:$B, 'Uncalibrated Data'!$C5186, 'Picarro Output'!$I:$I, 0, 'Picarro Output'!$J:$J, 1), "")</f>
        <v/>
      </c>
    </row>
    <row r="5187" spans="2:5" x14ac:dyDescent="0.2">
      <c r="B5187" s="1"/>
      <c r="E5187" s="38" t="str">
        <f>IFERROR(AVERAGEIFS('Picarro Output'!G:G, 'Picarro Output'!$B:$B, 'Uncalibrated Data'!$C5187, 'Picarro Output'!$I:$I, 0, 'Picarro Output'!$J:$J, 1), "")</f>
        <v/>
      </c>
    </row>
    <row r="5188" spans="2:5" x14ac:dyDescent="0.2">
      <c r="B5188" s="1"/>
      <c r="E5188" s="38" t="str">
        <f>IFERROR(AVERAGEIFS('Picarro Output'!G:G, 'Picarro Output'!$B:$B, 'Uncalibrated Data'!$C5188, 'Picarro Output'!$I:$I, 0, 'Picarro Output'!$J:$J, 1), "")</f>
        <v/>
      </c>
    </row>
    <row r="5189" spans="2:5" x14ac:dyDescent="0.2">
      <c r="B5189" s="1"/>
      <c r="E5189" s="38" t="str">
        <f>IFERROR(AVERAGEIFS('Picarro Output'!G:G, 'Picarro Output'!$B:$B, 'Uncalibrated Data'!$C5189, 'Picarro Output'!$I:$I, 0, 'Picarro Output'!$J:$J, 1), "")</f>
        <v/>
      </c>
    </row>
    <row r="5190" spans="2:5" x14ac:dyDescent="0.2">
      <c r="B5190" s="1"/>
      <c r="E5190" s="38" t="str">
        <f>IFERROR(AVERAGEIFS('Picarro Output'!G:G, 'Picarro Output'!$B:$B, 'Uncalibrated Data'!$C5190, 'Picarro Output'!$I:$I, 0, 'Picarro Output'!$J:$J, 1), "")</f>
        <v/>
      </c>
    </row>
    <row r="5191" spans="2:5" x14ac:dyDescent="0.2">
      <c r="B5191" s="1"/>
      <c r="E5191" s="38" t="str">
        <f>IFERROR(AVERAGEIFS('Picarro Output'!G:G, 'Picarro Output'!$B:$B, 'Uncalibrated Data'!$C5191, 'Picarro Output'!$I:$I, 0, 'Picarro Output'!$J:$J, 1), "")</f>
        <v/>
      </c>
    </row>
    <row r="5192" spans="2:5" x14ac:dyDescent="0.2">
      <c r="B5192" s="1"/>
      <c r="E5192" s="38" t="str">
        <f>IFERROR(AVERAGEIFS('Picarro Output'!G:G, 'Picarro Output'!$B:$B, 'Uncalibrated Data'!$C5192, 'Picarro Output'!$I:$I, 0, 'Picarro Output'!$J:$J, 1), "")</f>
        <v/>
      </c>
    </row>
    <row r="5193" spans="2:5" x14ac:dyDescent="0.2">
      <c r="B5193" s="1"/>
      <c r="E5193" s="38" t="str">
        <f>IFERROR(AVERAGEIFS('Picarro Output'!G:G, 'Picarro Output'!$B:$B, 'Uncalibrated Data'!$C5193, 'Picarro Output'!$I:$I, 0, 'Picarro Output'!$J:$J, 1), "")</f>
        <v/>
      </c>
    </row>
    <row r="5194" spans="2:5" x14ac:dyDescent="0.2">
      <c r="B5194" s="1"/>
      <c r="E5194" s="38" t="str">
        <f>IFERROR(AVERAGEIFS('Picarro Output'!G:G, 'Picarro Output'!$B:$B, 'Uncalibrated Data'!$C5194, 'Picarro Output'!$I:$I, 0, 'Picarro Output'!$J:$J, 1), "")</f>
        <v/>
      </c>
    </row>
    <row r="5195" spans="2:5" x14ac:dyDescent="0.2">
      <c r="B5195" s="1"/>
      <c r="E5195" s="38" t="str">
        <f>IFERROR(AVERAGEIFS('Picarro Output'!G:G, 'Picarro Output'!$B:$B, 'Uncalibrated Data'!$C5195, 'Picarro Output'!$I:$I, 0, 'Picarro Output'!$J:$J, 1), "")</f>
        <v/>
      </c>
    </row>
    <row r="5196" spans="2:5" x14ac:dyDescent="0.2">
      <c r="B5196" s="1"/>
      <c r="E5196" s="38" t="str">
        <f>IFERROR(AVERAGEIFS('Picarro Output'!G:G, 'Picarro Output'!$B:$B, 'Uncalibrated Data'!$C5196, 'Picarro Output'!$I:$I, 0, 'Picarro Output'!$J:$J, 1), "")</f>
        <v/>
      </c>
    </row>
    <row r="5197" spans="2:5" x14ac:dyDescent="0.2">
      <c r="B5197" s="1"/>
      <c r="E5197" s="38" t="str">
        <f>IFERROR(AVERAGEIFS('Picarro Output'!G:G, 'Picarro Output'!$B:$B, 'Uncalibrated Data'!$C5197, 'Picarro Output'!$I:$I, 0, 'Picarro Output'!$J:$J, 1), "")</f>
        <v/>
      </c>
    </row>
    <row r="5198" spans="2:5" x14ac:dyDescent="0.2">
      <c r="B5198" s="1"/>
      <c r="E5198" s="38" t="str">
        <f>IFERROR(AVERAGEIFS('Picarro Output'!G:G, 'Picarro Output'!$B:$B, 'Uncalibrated Data'!$C5198, 'Picarro Output'!$I:$I, 0, 'Picarro Output'!$J:$J, 1), "")</f>
        <v/>
      </c>
    </row>
    <row r="5199" spans="2:5" x14ac:dyDescent="0.2">
      <c r="B5199" s="1"/>
      <c r="E5199" s="38" t="str">
        <f>IFERROR(AVERAGEIFS('Picarro Output'!G:G, 'Picarro Output'!$B:$B, 'Uncalibrated Data'!$C5199, 'Picarro Output'!$I:$I, 0, 'Picarro Output'!$J:$J, 1), "")</f>
        <v/>
      </c>
    </row>
    <row r="5200" spans="2:5" x14ac:dyDescent="0.2">
      <c r="B5200" s="1"/>
      <c r="E5200" s="38" t="str">
        <f>IFERROR(AVERAGEIFS('Picarro Output'!G:G, 'Picarro Output'!$B:$B, 'Uncalibrated Data'!$C5200, 'Picarro Output'!$I:$I, 0, 'Picarro Output'!$J:$J, 1), "")</f>
        <v/>
      </c>
    </row>
    <row r="5201" spans="2:5" x14ac:dyDescent="0.2">
      <c r="B5201" s="1"/>
      <c r="E5201" s="38" t="str">
        <f>IFERROR(AVERAGEIFS('Picarro Output'!G:G, 'Picarro Output'!$B:$B, 'Uncalibrated Data'!$C5201, 'Picarro Output'!$I:$I, 0, 'Picarro Output'!$J:$J, 1), "")</f>
        <v/>
      </c>
    </row>
    <row r="5202" spans="2:5" x14ac:dyDescent="0.2">
      <c r="B5202" s="1"/>
      <c r="E5202" s="38" t="str">
        <f>IFERROR(AVERAGEIFS('Picarro Output'!G:G, 'Picarro Output'!$B:$B, 'Uncalibrated Data'!$C5202, 'Picarro Output'!$I:$I, 0, 'Picarro Output'!$J:$J, 1), "")</f>
        <v/>
      </c>
    </row>
    <row r="5203" spans="2:5" x14ac:dyDescent="0.2">
      <c r="B5203" s="1"/>
      <c r="E5203" s="38" t="str">
        <f>IFERROR(AVERAGEIFS('Picarro Output'!G:G, 'Picarro Output'!$B:$B, 'Uncalibrated Data'!$C5203, 'Picarro Output'!$I:$I, 0, 'Picarro Output'!$J:$J, 1), "")</f>
        <v/>
      </c>
    </row>
    <row r="5204" spans="2:5" x14ac:dyDescent="0.2">
      <c r="B5204" s="1"/>
      <c r="E5204" s="38" t="str">
        <f>IFERROR(AVERAGEIFS('Picarro Output'!G:G, 'Picarro Output'!$B:$B, 'Uncalibrated Data'!$C5204, 'Picarro Output'!$I:$I, 0, 'Picarro Output'!$J:$J, 1), "")</f>
        <v/>
      </c>
    </row>
    <row r="5205" spans="2:5" x14ac:dyDescent="0.2">
      <c r="B5205" s="1"/>
      <c r="E5205" s="38" t="str">
        <f>IFERROR(AVERAGEIFS('Picarro Output'!G:G, 'Picarro Output'!$B:$B, 'Uncalibrated Data'!$C5205, 'Picarro Output'!$I:$I, 0, 'Picarro Output'!$J:$J, 1), "")</f>
        <v/>
      </c>
    </row>
    <row r="5206" spans="2:5" x14ac:dyDescent="0.2">
      <c r="B5206" s="1"/>
      <c r="E5206" s="38" t="str">
        <f>IFERROR(AVERAGEIFS('Picarro Output'!G:G, 'Picarro Output'!$B:$B, 'Uncalibrated Data'!$C5206, 'Picarro Output'!$I:$I, 0, 'Picarro Output'!$J:$J, 1), "")</f>
        <v/>
      </c>
    </row>
    <row r="5207" spans="2:5" x14ac:dyDescent="0.2">
      <c r="B5207" s="1"/>
      <c r="E5207" s="38" t="str">
        <f>IFERROR(AVERAGEIFS('Picarro Output'!G:G, 'Picarro Output'!$B:$B, 'Uncalibrated Data'!$C5207, 'Picarro Output'!$I:$I, 0, 'Picarro Output'!$J:$J, 1), "")</f>
        <v/>
      </c>
    </row>
    <row r="5208" spans="2:5" x14ac:dyDescent="0.2">
      <c r="B5208" s="1"/>
      <c r="E5208" s="38" t="str">
        <f>IFERROR(AVERAGEIFS('Picarro Output'!G:G, 'Picarro Output'!$B:$B, 'Uncalibrated Data'!$C5208, 'Picarro Output'!$I:$I, 0, 'Picarro Output'!$J:$J, 1), "")</f>
        <v/>
      </c>
    </row>
    <row r="5209" spans="2:5" x14ac:dyDescent="0.2">
      <c r="B5209" s="1"/>
      <c r="E5209" s="38" t="str">
        <f>IFERROR(AVERAGEIFS('Picarro Output'!G:G, 'Picarro Output'!$B:$B, 'Uncalibrated Data'!$C5209, 'Picarro Output'!$I:$I, 0, 'Picarro Output'!$J:$J, 1), "")</f>
        <v/>
      </c>
    </row>
    <row r="5210" spans="2:5" x14ac:dyDescent="0.2">
      <c r="B5210" s="1"/>
      <c r="E5210" s="38" t="str">
        <f>IFERROR(AVERAGEIFS('Picarro Output'!G:G, 'Picarro Output'!$B:$B, 'Uncalibrated Data'!$C5210, 'Picarro Output'!$I:$I, 0, 'Picarro Output'!$J:$J, 1), "")</f>
        <v/>
      </c>
    </row>
    <row r="5211" spans="2:5" x14ac:dyDescent="0.2">
      <c r="B5211" s="1"/>
      <c r="E5211" s="38" t="str">
        <f>IFERROR(AVERAGEIFS('Picarro Output'!G:G, 'Picarro Output'!$B:$B, 'Uncalibrated Data'!$C5211, 'Picarro Output'!$I:$I, 0, 'Picarro Output'!$J:$J, 1), "")</f>
        <v/>
      </c>
    </row>
    <row r="5212" spans="2:5" x14ac:dyDescent="0.2">
      <c r="B5212" s="1"/>
      <c r="E5212" s="38" t="str">
        <f>IFERROR(AVERAGEIFS('Picarro Output'!G:G, 'Picarro Output'!$B:$B, 'Uncalibrated Data'!$C5212, 'Picarro Output'!$I:$I, 0, 'Picarro Output'!$J:$J, 1), "")</f>
        <v/>
      </c>
    </row>
    <row r="5213" spans="2:5" x14ac:dyDescent="0.2">
      <c r="B5213" s="1"/>
      <c r="E5213" s="38" t="str">
        <f>IFERROR(AVERAGEIFS('Picarro Output'!G:G, 'Picarro Output'!$B:$B, 'Uncalibrated Data'!$C5213, 'Picarro Output'!$I:$I, 0, 'Picarro Output'!$J:$J, 1), "")</f>
        <v/>
      </c>
    </row>
    <row r="5214" spans="2:5" x14ac:dyDescent="0.2">
      <c r="B5214" s="1"/>
      <c r="E5214" s="38" t="str">
        <f>IFERROR(AVERAGEIFS('Picarro Output'!G:G, 'Picarro Output'!$B:$B, 'Uncalibrated Data'!$C5214, 'Picarro Output'!$I:$I, 0, 'Picarro Output'!$J:$J, 1), "")</f>
        <v/>
      </c>
    </row>
    <row r="5215" spans="2:5" x14ac:dyDescent="0.2">
      <c r="B5215" s="1"/>
      <c r="E5215" s="38" t="str">
        <f>IFERROR(AVERAGEIFS('Picarro Output'!G:G, 'Picarro Output'!$B:$B, 'Uncalibrated Data'!$C5215, 'Picarro Output'!$I:$I, 0, 'Picarro Output'!$J:$J, 1), "")</f>
        <v/>
      </c>
    </row>
    <row r="5216" spans="2:5" x14ac:dyDescent="0.2">
      <c r="B5216" s="1"/>
      <c r="E5216" s="38" t="str">
        <f>IFERROR(AVERAGEIFS('Picarro Output'!G:G, 'Picarro Output'!$B:$B, 'Uncalibrated Data'!$C5216, 'Picarro Output'!$I:$I, 0, 'Picarro Output'!$J:$J, 1), "")</f>
        <v/>
      </c>
    </row>
    <row r="5217" spans="2:5" x14ac:dyDescent="0.2">
      <c r="B5217" s="1"/>
      <c r="E5217" s="38" t="str">
        <f>IFERROR(AVERAGEIFS('Picarro Output'!G:G, 'Picarro Output'!$B:$B, 'Uncalibrated Data'!$C5217, 'Picarro Output'!$I:$I, 0, 'Picarro Output'!$J:$J, 1), "")</f>
        <v/>
      </c>
    </row>
    <row r="5218" spans="2:5" x14ac:dyDescent="0.2">
      <c r="B5218" s="1"/>
      <c r="E5218" s="38" t="str">
        <f>IFERROR(AVERAGEIFS('Picarro Output'!G:G, 'Picarro Output'!$B:$B, 'Uncalibrated Data'!$C5218, 'Picarro Output'!$I:$I, 0, 'Picarro Output'!$J:$J, 1), "")</f>
        <v/>
      </c>
    </row>
    <row r="5219" spans="2:5" x14ac:dyDescent="0.2">
      <c r="B5219" s="1"/>
      <c r="E5219" s="38" t="str">
        <f>IFERROR(AVERAGEIFS('Picarro Output'!G:G, 'Picarro Output'!$B:$B, 'Uncalibrated Data'!$C5219, 'Picarro Output'!$I:$I, 0, 'Picarro Output'!$J:$J, 1), "")</f>
        <v/>
      </c>
    </row>
    <row r="5220" spans="2:5" x14ac:dyDescent="0.2">
      <c r="B5220" s="1"/>
      <c r="E5220" s="38" t="str">
        <f>IFERROR(AVERAGEIFS('Picarro Output'!G:G, 'Picarro Output'!$B:$B, 'Uncalibrated Data'!$C5220, 'Picarro Output'!$I:$I, 0, 'Picarro Output'!$J:$J, 1), "")</f>
        <v/>
      </c>
    </row>
    <row r="5221" spans="2:5" x14ac:dyDescent="0.2">
      <c r="B5221" s="1"/>
      <c r="E5221" s="38" t="str">
        <f>IFERROR(AVERAGEIFS('Picarro Output'!G:G, 'Picarro Output'!$B:$B, 'Uncalibrated Data'!$C5221, 'Picarro Output'!$I:$I, 0, 'Picarro Output'!$J:$J, 1), "")</f>
        <v/>
      </c>
    </row>
    <row r="5222" spans="2:5" x14ac:dyDescent="0.2">
      <c r="B5222" s="1"/>
      <c r="E5222" s="38" t="str">
        <f>IFERROR(AVERAGEIFS('Picarro Output'!G:G, 'Picarro Output'!$B:$B, 'Uncalibrated Data'!$C5222, 'Picarro Output'!$I:$I, 0, 'Picarro Output'!$J:$J, 1), "")</f>
        <v/>
      </c>
    </row>
    <row r="5223" spans="2:5" x14ac:dyDescent="0.2">
      <c r="B5223" s="1"/>
      <c r="E5223" s="38" t="str">
        <f>IFERROR(AVERAGEIFS('Picarro Output'!G:G, 'Picarro Output'!$B:$B, 'Uncalibrated Data'!$C5223, 'Picarro Output'!$I:$I, 0, 'Picarro Output'!$J:$J, 1), "")</f>
        <v/>
      </c>
    </row>
    <row r="5224" spans="2:5" x14ac:dyDescent="0.2">
      <c r="B5224" s="1"/>
      <c r="E5224" s="38" t="str">
        <f>IFERROR(AVERAGEIFS('Picarro Output'!G:G, 'Picarro Output'!$B:$B, 'Uncalibrated Data'!$C5224, 'Picarro Output'!$I:$I, 0, 'Picarro Output'!$J:$J, 1), "")</f>
        <v/>
      </c>
    </row>
    <row r="5225" spans="2:5" x14ac:dyDescent="0.2">
      <c r="B5225" s="1"/>
      <c r="E5225" s="38" t="str">
        <f>IFERROR(AVERAGEIFS('Picarro Output'!G:G, 'Picarro Output'!$B:$B, 'Uncalibrated Data'!$C5225, 'Picarro Output'!$I:$I, 0, 'Picarro Output'!$J:$J, 1), "")</f>
        <v/>
      </c>
    </row>
    <row r="5226" spans="2:5" x14ac:dyDescent="0.2">
      <c r="B5226" s="1"/>
      <c r="E5226" s="38" t="str">
        <f>IFERROR(AVERAGEIFS('Picarro Output'!G:G, 'Picarro Output'!$B:$B, 'Uncalibrated Data'!$C5226, 'Picarro Output'!$I:$I, 0, 'Picarro Output'!$J:$J, 1), "")</f>
        <v/>
      </c>
    </row>
    <row r="5227" spans="2:5" x14ac:dyDescent="0.2">
      <c r="B5227" s="1"/>
      <c r="E5227" s="38" t="str">
        <f>IFERROR(AVERAGEIFS('Picarro Output'!G:G, 'Picarro Output'!$B:$B, 'Uncalibrated Data'!$C5227, 'Picarro Output'!$I:$I, 0, 'Picarro Output'!$J:$J, 1), "")</f>
        <v/>
      </c>
    </row>
    <row r="5228" spans="2:5" x14ac:dyDescent="0.2">
      <c r="B5228" s="1"/>
      <c r="E5228" s="38" t="str">
        <f>IFERROR(AVERAGEIFS('Picarro Output'!G:G, 'Picarro Output'!$B:$B, 'Uncalibrated Data'!$C5228, 'Picarro Output'!$I:$I, 0, 'Picarro Output'!$J:$J, 1), "")</f>
        <v/>
      </c>
    </row>
    <row r="5229" spans="2:5" x14ac:dyDescent="0.2">
      <c r="B5229" s="1"/>
      <c r="E5229" s="38" t="str">
        <f>IFERROR(AVERAGEIFS('Picarro Output'!G:G, 'Picarro Output'!$B:$B, 'Uncalibrated Data'!$C5229, 'Picarro Output'!$I:$I, 0, 'Picarro Output'!$J:$J, 1), "")</f>
        <v/>
      </c>
    </row>
    <row r="5230" spans="2:5" x14ac:dyDescent="0.2">
      <c r="B5230" s="1"/>
      <c r="E5230" s="38" t="str">
        <f>IFERROR(AVERAGEIFS('Picarro Output'!G:G, 'Picarro Output'!$B:$B, 'Uncalibrated Data'!$C5230, 'Picarro Output'!$I:$I, 0, 'Picarro Output'!$J:$J, 1), "")</f>
        <v/>
      </c>
    </row>
    <row r="5231" spans="2:5" x14ac:dyDescent="0.2">
      <c r="B5231" s="1"/>
      <c r="E5231" s="38" t="str">
        <f>IFERROR(AVERAGEIFS('Picarro Output'!G:G, 'Picarro Output'!$B:$B, 'Uncalibrated Data'!$C5231, 'Picarro Output'!$I:$I, 0, 'Picarro Output'!$J:$J, 1), "")</f>
        <v/>
      </c>
    </row>
    <row r="5232" spans="2:5" x14ac:dyDescent="0.2">
      <c r="B5232" s="1"/>
      <c r="E5232" s="38" t="str">
        <f>IFERROR(AVERAGEIFS('Picarro Output'!G:G, 'Picarro Output'!$B:$B, 'Uncalibrated Data'!$C5232, 'Picarro Output'!$I:$I, 0, 'Picarro Output'!$J:$J, 1), "")</f>
        <v/>
      </c>
    </row>
    <row r="5233" spans="2:5" x14ac:dyDescent="0.2">
      <c r="B5233" s="1"/>
      <c r="E5233" s="38" t="str">
        <f>IFERROR(AVERAGEIFS('Picarro Output'!G:G, 'Picarro Output'!$B:$B, 'Uncalibrated Data'!$C5233, 'Picarro Output'!$I:$I, 0, 'Picarro Output'!$J:$J, 1), "")</f>
        <v/>
      </c>
    </row>
    <row r="5234" spans="2:5" x14ac:dyDescent="0.2">
      <c r="B5234" s="1"/>
      <c r="E5234" s="38" t="str">
        <f>IFERROR(AVERAGEIFS('Picarro Output'!G:G, 'Picarro Output'!$B:$B, 'Uncalibrated Data'!$C5234, 'Picarro Output'!$I:$I, 0, 'Picarro Output'!$J:$J, 1), "")</f>
        <v/>
      </c>
    </row>
    <row r="5235" spans="2:5" x14ac:dyDescent="0.2">
      <c r="B5235" s="1"/>
      <c r="E5235" s="38" t="str">
        <f>IFERROR(AVERAGEIFS('Picarro Output'!G:G, 'Picarro Output'!$B:$B, 'Uncalibrated Data'!$C5235, 'Picarro Output'!$I:$I, 0, 'Picarro Output'!$J:$J, 1), "")</f>
        <v/>
      </c>
    </row>
    <row r="5236" spans="2:5" x14ac:dyDescent="0.2">
      <c r="B5236" s="1"/>
      <c r="E5236" s="38" t="str">
        <f>IFERROR(AVERAGEIFS('Picarro Output'!G:G, 'Picarro Output'!$B:$B, 'Uncalibrated Data'!$C5236, 'Picarro Output'!$I:$I, 0, 'Picarro Output'!$J:$J, 1), "")</f>
        <v/>
      </c>
    </row>
    <row r="5237" spans="2:5" x14ac:dyDescent="0.2">
      <c r="B5237" s="1"/>
      <c r="E5237" s="38" t="str">
        <f>IFERROR(AVERAGEIFS('Picarro Output'!G:G, 'Picarro Output'!$B:$B, 'Uncalibrated Data'!$C5237, 'Picarro Output'!$I:$I, 0, 'Picarro Output'!$J:$J, 1), "")</f>
        <v/>
      </c>
    </row>
    <row r="5238" spans="2:5" x14ac:dyDescent="0.2">
      <c r="B5238" s="1"/>
      <c r="E5238" s="38" t="str">
        <f>IFERROR(AVERAGEIFS('Picarro Output'!G:G, 'Picarro Output'!$B:$B, 'Uncalibrated Data'!$C5238, 'Picarro Output'!$I:$I, 0, 'Picarro Output'!$J:$J, 1), "")</f>
        <v/>
      </c>
    </row>
    <row r="5239" spans="2:5" x14ac:dyDescent="0.2">
      <c r="B5239" s="1"/>
      <c r="E5239" s="38" t="str">
        <f>IFERROR(AVERAGEIFS('Picarro Output'!G:G, 'Picarro Output'!$B:$B, 'Uncalibrated Data'!$C5239, 'Picarro Output'!$I:$I, 0, 'Picarro Output'!$J:$J, 1), "")</f>
        <v/>
      </c>
    </row>
    <row r="5240" spans="2:5" x14ac:dyDescent="0.2">
      <c r="B5240" s="1"/>
      <c r="E5240" s="38" t="str">
        <f>IFERROR(AVERAGEIFS('Picarro Output'!G:G, 'Picarro Output'!$B:$B, 'Uncalibrated Data'!$C5240, 'Picarro Output'!$I:$I, 0, 'Picarro Output'!$J:$J, 1), "")</f>
        <v/>
      </c>
    </row>
    <row r="5241" spans="2:5" x14ac:dyDescent="0.2">
      <c r="B5241" s="1"/>
      <c r="E5241" s="38" t="str">
        <f>IFERROR(AVERAGEIFS('Picarro Output'!G:G, 'Picarro Output'!$B:$B, 'Uncalibrated Data'!$C5241, 'Picarro Output'!$I:$I, 0, 'Picarro Output'!$J:$J, 1), "")</f>
        <v/>
      </c>
    </row>
    <row r="5242" spans="2:5" x14ac:dyDescent="0.2">
      <c r="B5242" s="1"/>
      <c r="E5242" s="38" t="str">
        <f>IFERROR(AVERAGEIFS('Picarro Output'!G:G, 'Picarro Output'!$B:$B, 'Uncalibrated Data'!$C5242, 'Picarro Output'!$I:$I, 0, 'Picarro Output'!$J:$J, 1), "")</f>
        <v/>
      </c>
    </row>
    <row r="5243" spans="2:5" x14ac:dyDescent="0.2">
      <c r="B5243" s="1"/>
      <c r="E5243" s="38" t="str">
        <f>IFERROR(AVERAGEIFS('Picarro Output'!G:G, 'Picarro Output'!$B:$B, 'Uncalibrated Data'!$C5243, 'Picarro Output'!$I:$I, 0, 'Picarro Output'!$J:$J, 1), "")</f>
        <v/>
      </c>
    </row>
    <row r="5244" spans="2:5" x14ac:dyDescent="0.2">
      <c r="B5244" s="1"/>
      <c r="E5244" s="38" t="str">
        <f>IFERROR(AVERAGEIFS('Picarro Output'!G:G, 'Picarro Output'!$B:$B, 'Uncalibrated Data'!$C5244, 'Picarro Output'!$I:$I, 0, 'Picarro Output'!$J:$J, 1), "")</f>
        <v/>
      </c>
    </row>
    <row r="5245" spans="2:5" x14ac:dyDescent="0.2">
      <c r="B5245" s="1"/>
      <c r="E5245" s="38" t="str">
        <f>IFERROR(AVERAGEIFS('Picarro Output'!G:G, 'Picarro Output'!$B:$B, 'Uncalibrated Data'!$C5245, 'Picarro Output'!$I:$I, 0, 'Picarro Output'!$J:$J, 1), "")</f>
        <v/>
      </c>
    </row>
    <row r="5246" spans="2:5" x14ac:dyDescent="0.2">
      <c r="B5246" s="1"/>
      <c r="E5246" s="38" t="str">
        <f>IFERROR(AVERAGEIFS('Picarro Output'!G:G, 'Picarro Output'!$B:$B, 'Uncalibrated Data'!$C5246, 'Picarro Output'!$I:$I, 0, 'Picarro Output'!$J:$J, 1), "")</f>
        <v/>
      </c>
    </row>
    <row r="5247" spans="2:5" x14ac:dyDescent="0.2">
      <c r="B5247" s="1"/>
      <c r="E5247" s="38" t="str">
        <f>IFERROR(AVERAGEIFS('Picarro Output'!G:G, 'Picarro Output'!$B:$B, 'Uncalibrated Data'!$C5247, 'Picarro Output'!$I:$I, 0, 'Picarro Output'!$J:$J, 1), "")</f>
        <v/>
      </c>
    </row>
    <row r="5248" spans="2:5" x14ac:dyDescent="0.2">
      <c r="B5248" s="1"/>
      <c r="E5248" s="38" t="str">
        <f>IFERROR(AVERAGEIFS('Picarro Output'!G:G, 'Picarro Output'!$B:$B, 'Uncalibrated Data'!$C5248, 'Picarro Output'!$I:$I, 0, 'Picarro Output'!$J:$J, 1), "")</f>
        <v/>
      </c>
    </row>
    <row r="5249" spans="2:5" x14ac:dyDescent="0.2">
      <c r="B5249" s="1"/>
      <c r="E5249" s="38" t="str">
        <f>IFERROR(AVERAGEIFS('Picarro Output'!G:G, 'Picarro Output'!$B:$B, 'Uncalibrated Data'!$C5249, 'Picarro Output'!$I:$I, 0, 'Picarro Output'!$J:$J, 1), "")</f>
        <v/>
      </c>
    </row>
    <row r="5250" spans="2:5" x14ac:dyDescent="0.2">
      <c r="B5250" s="1"/>
      <c r="E5250" s="38" t="str">
        <f>IFERROR(AVERAGEIFS('Picarro Output'!G:G, 'Picarro Output'!$B:$B, 'Uncalibrated Data'!$C5250, 'Picarro Output'!$I:$I, 0, 'Picarro Output'!$J:$J, 1), "")</f>
        <v/>
      </c>
    </row>
    <row r="5251" spans="2:5" x14ac:dyDescent="0.2">
      <c r="B5251" s="1"/>
      <c r="E5251" s="38" t="str">
        <f>IFERROR(AVERAGEIFS('Picarro Output'!G:G, 'Picarro Output'!$B:$B, 'Uncalibrated Data'!$C5251, 'Picarro Output'!$I:$I, 0, 'Picarro Output'!$J:$J, 1), "")</f>
        <v/>
      </c>
    </row>
    <row r="5252" spans="2:5" x14ac:dyDescent="0.2">
      <c r="B5252" s="1"/>
      <c r="E5252" s="38" t="str">
        <f>IFERROR(AVERAGEIFS('Picarro Output'!G:G, 'Picarro Output'!$B:$B, 'Uncalibrated Data'!$C5252, 'Picarro Output'!$I:$I, 0, 'Picarro Output'!$J:$J, 1), "")</f>
        <v/>
      </c>
    </row>
    <row r="5253" spans="2:5" x14ac:dyDescent="0.2">
      <c r="B5253" s="1"/>
      <c r="E5253" s="38" t="str">
        <f>IFERROR(AVERAGEIFS('Picarro Output'!G:G, 'Picarro Output'!$B:$B, 'Uncalibrated Data'!$C5253, 'Picarro Output'!$I:$I, 0, 'Picarro Output'!$J:$J, 1), "")</f>
        <v/>
      </c>
    </row>
    <row r="5254" spans="2:5" x14ac:dyDescent="0.2">
      <c r="B5254" s="1"/>
      <c r="E5254" s="38" t="str">
        <f>IFERROR(AVERAGEIFS('Picarro Output'!G:G, 'Picarro Output'!$B:$B, 'Uncalibrated Data'!$C5254, 'Picarro Output'!$I:$I, 0, 'Picarro Output'!$J:$J, 1), "")</f>
        <v/>
      </c>
    </row>
    <row r="5255" spans="2:5" x14ac:dyDescent="0.2">
      <c r="B5255" s="1"/>
      <c r="E5255" s="38" t="str">
        <f>IFERROR(AVERAGEIFS('Picarro Output'!G:G, 'Picarro Output'!$B:$B, 'Uncalibrated Data'!$C5255, 'Picarro Output'!$I:$I, 0, 'Picarro Output'!$J:$J, 1), "")</f>
        <v/>
      </c>
    </row>
    <row r="5256" spans="2:5" x14ac:dyDescent="0.2">
      <c r="B5256" s="1"/>
      <c r="E5256" s="38" t="str">
        <f>IFERROR(AVERAGEIFS('Picarro Output'!G:G, 'Picarro Output'!$B:$B, 'Uncalibrated Data'!$C5256, 'Picarro Output'!$I:$I, 0, 'Picarro Output'!$J:$J, 1), "")</f>
        <v/>
      </c>
    </row>
    <row r="5257" spans="2:5" x14ac:dyDescent="0.2">
      <c r="B5257" s="1"/>
      <c r="E5257" s="38" t="str">
        <f>IFERROR(AVERAGEIFS('Picarro Output'!G:G, 'Picarro Output'!$B:$B, 'Uncalibrated Data'!$C5257, 'Picarro Output'!$I:$I, 0, 'Picarro Output'!$J:$J, 1), "")</f>
        <v/>
      </c>
    </row>
    <row r="5258" spans="2:5" x14ac:dyDescent="0.2">
      <c r="B5258" s="1"/>
      <c r="E5258" s="38" t="str">
        <f>IFERROR(AVERAGEIFS('Picarro Output'!G:G, 'Picarro Output'!$B:$B, 'Uncalibrated Data'!$C5258, 'Picarro Output'!$I:$I, 0, 'Picarro Output'!$J:$J, 1), "")</f>
        <v/>
      </c>
    </row>
    <row r="5259" spans="2:5" x14ac:dyDescent="0.2">
      <c r="B5259" s="1"/>
      <c r="E5259" s="38" t="str">
        <f>IFERROR(AVERAGEIFS('Picarro Output'!G:G, 'Picarro Output'!$B:$B, 'Uncalibrated Data'!$C5259, 'Picarro Output'!$I:$I, 0, 'Picarro Output'!$J:$J, 1), "")</f>
        <v/>
      </c>
    </row>
    <row r="5260" spans="2:5" x14ac:dyDescent="0.2">
      <c r="B5260" s="1"/>
      <c r="E5260" s="38" t="str">
        <f>IFERROR(AVERAGEIFS('Picarro Output'!G:G, 'Picarro Output'!$B:$B, 'Uncalibrated Data'!$C5260, 'Picarro Output'!$I:$I, 0, 'Picarro Output'!$J:$J, 1), "")</f>
        <v/>
      </c>
    </row>
    <row r="5261" spans="2:5" x14ac:dyDescent="0.2">
      <c r="B5261" s="1"/>
      <c r="E5261" s="38" t="str">
        <f>IFERROR(AVERAGEIFS('Picarro Output'!G:G, 'Picarro Output'!$B:$B, 'Uncalibrated Data'!$C5261, 'Picarro Output'!$I:$I, 0, 'Picarro Output'!$J:$J, 1), "")</f>
        <v/>
      </c>
    </row>
    <row r="5262" spans="2:5" x14ac:dyDescent="0.2">
      <c r="B5262" s="1"/>
      <c r="E5262" s="38" t="str">
        <f>IFERROR(AVERAGEIFS('Picarro Output'!G:G, 'Picarro Output'!$B:$B, 'Uncalibrated Data'!$C5262, 'Picarro Output'!$I:$I, 0, 'Picarro Output'!$J:$J, 1), "")</f>
        <v/>
      </c>
    </row>
    <row r="5263" spans="2:5" x14ac:dyDescent="0.2">
      <c r="B5263" s="1"/>
      <c r="E5263" s="38" t="str">
        <f>IFERROR(AVERAGEIFS('Picarro Output'!G:G, 'Picarro Output'!$B:$B, 'Uncalibrated Data'!$C5263, 'Picarro Output'!$I:$I, 0, 'Picarro Output'!$J:$J, 1), "")</f>
        <v/>
      </c>
    </row>
    <row r="5264" spans="2:5" x14ac:dyDescent="0.2">
      <c r="B5264" s="1"/>
      <c r="E5264" s="38" t="str">
        <f>IFERROR(AVERAGEIFS('Picarro Output'!G:G, 'Picarro Output'!$B:$B, 'Uncalibrated Data'!$C5264, 'Picarro Output'!$I:$I, 0, 'Picarro Output'!$J:$J, 1), "")</f>
        <v/>
      </c>
    </row>
    <row r="5265" spans="2:5" x14ac:dyDescent="0.2">
      <c r="B5265" s="1"/>
      <c r="E5265" s="38" t="str">
        <f>IFERROR(AVERAGEIFS('Picarro Output'!G:G, 'Picarro Output'!$B:$B, 'Uncalibrated Data'!$C5265, 'Picarro Output'!$I:$I, 0, 'Picarro Output'!$J:$J, 1), "")</f>
        <v/>
      </c>
    </row>
    <row r="5266" spans="2:5" x14ac:dyDescent="0.2">
      <c r="B5266" s="1"/>
      <c r="E5266" s="38" t="str">
        <f>IFERROR(AVERAGEIFS('Picarro Output'!G:G, 'Picarro Output'!$B:$B, 'Uncalibrated Data'!$C5266, 'Picarro Output'!$I:$I, 0, 'Picarro Output'!$J:$J, 1), "")</f>
        <v/>
      </c>
    </row>
    <row r="5267" spans="2:5" x14ac:dyDescent="0.2">
      <c r="B5267" s="1"/>
      <c r="E5267" s="38" t="str">
        <f>IFERROR(AVERAGEIFS('Picarro Output'!G:G, 'Picarro Output'!$B:$B, 'Uncalibrated Data'!$C5267, 'Picarro Output'!$I:$I, 0, 'Picarro Output'!$J:$J, 1), "")</f>
        <v/>
      </c>
    </row>
    <row r="5268" spans="2:5" x14ac:dyDescent="0.2">
      <c r="B5268" s="1"/>
      <c r="E5268" s="38" t="str">
        <f>IFERROR(AVERAGEIFS('Picarro Output'!G:G, 'Picarro Output'!$B:$B, 'Uncalibrated Data'!$C5268, 'Picarro Output'!$I:$I, 0, 'Picarro Output'!$J:$J, 1), "")</f>
        <v/>
      </c>
    </row>
    <row r="5269" spans="2:5" x14ac:dyDescent="0.2">
      <c r="B5269" s="1"/>
      <c r="E5269" s="38" t="str">
        <f>IFERROR(AVERAGEIFS('Picarro Output'!G:G, 'Picarro Output'!$B:$B, 'Uncalibrated Data'!$C5269, 'Picarro Output'!$I:$I, 0, 'Picarro Output'!$J:$J, 1), "")</f>
        <v/>
      </c>
    </row>
    <row r="5270" spans="2:5" x14ac:dyDescent="0.2">
      <c r="B5270" s="1"/>
      <c r="E5270" s="38" t="str">
        <f>IFERROR(AVERAGEIFS('Picarro Output'!G:G, 'Picarro Output'!$B:$B, 'Uncalibrated Data'!$C5270, 'Picarro Output'!$I:$I, 0, 'Picarro Output'!$J:$J, 1), "")</f>
        <v/>
      </c>
    </row>
    <row r="5271" spans="2:5" x14ac:dyDescent="0.2">
      <c r="B5271" s="1"/>
      <c r="E5271" s="38" t="str">
        <f>IFERROR(AVERAGEIFS('Picarro Output'!G:G, 'Picarro Output'!$B:$B, 'Uncalibrated Data'!$C5271, 'Picarro Output'!$I:$I, 0, 'Picarro Output'!$J:$J, 1), "")</f>
        <v/>
      </c>
    </row>
    <row r="5272" spans="2:5" x14ac:dyDescent="0.2">
      <c r="B5272" s="1"/>
      <c r="E5272" s="38" t="str">
        <f>IFERROR(AVERAGEIFS('Picarro Output'!G:G, 'Picarro Output'!$B:$B, 'Uncalibrated Data'!$C5272, 'Picarro Output'!$I:$I, 0, 'Picarro Output'!$J:$J, 1), "")</f>
        <v/>
      </c>
    </row>
    <row r="5273" spans="2:5" x14ac:dyDescent="0.2">
      <c r="B5273" s="1"/>
      <c r="E5273" s="38" t="str">
        <f>IFERROR(AVERAGEIFS('Picarro Output'!G:G, 'Picarro Output'!$B:$B, 'Uncalibrated Data'!$C5273, 'Picarro Output'!$I:$I, 0, 'Picarro Output'!$J:$J, 1), "")</f>
        <v/>
      </c>
    </row>
    <row r="5274" spans="2:5" x14ac:dyDescent="0.2">
      <c r="B5274" s="1"/>
      <c r="E5274" s="38" t="str">
        <f>IFERROR(AVERAGEIFS('Picarro Output'!G:G, 'Picarro Output'!$B:$B, 'Uncalibrated Data'!$C5274, 'Picarro Output'!$I:$I, 0, 'Picarro Output'!$J:$J, 1), "")</f>
        <v/>
      </c>
    </row>
    <row r="5275" spans="2:5" x14ac:dyDescent="0.2">
      <c r="B5275" s="1"/>
      <c r="E5275" s="38" t="str">
        <f>IFERROR(AVERAGEIFS('Picarro Output'!G:G, 'Picarro Output'!$B:$B, 'Uncalibrated Data'!$C5275, 'Picarro Output'!$I:$I, 0, 'Picarro Output'!$J:$J, 1), "")</f>
        <v/>
      </c>
    </row>
    <row r="5276" spans="2:5" x14ac:dyDescent="0.2">
      <c r="B5276" s="1"/>
      <c r="E5276" s="38" t="str">
        <f>IFERROR(AVERAGEIFS('Picarro Output'!G:G, 'Picarro Output'!$B:$B, 'Uncalibrated Data'!$C5276, 'Picarro Output'!$I:$I, 0, 'Picarro Output'!$J:$J, 1), "")</f>
        <v/>
      </c>
    </row>
    <row r="5277" spans="2:5" x14ac:dyDescent="0.2">
      <c r="B5277" s="1"/>
      <c r="E5277" s="38" t="str">
        <f>IFERROR(AVERAGEIFS('Picarro Output'!G:G, 'Picarro Output'!$B:$B, 'Uncalibrated Data'!$C5277, 'Picarro Output'!$I:$I, 0, 'Picarro Output'!$J:$J, 1), "")</f>
        <v/>
      </c>
    </row>
    <row r="5278" spans="2:5" x14ac:dyDescent="0.2">
      <c r="B5278" s="1"/>
      <c r="E5278" s="38" t="str">
        <f>IFERROR(AVERAGEIFS('Picarro Output'!G:G, 'Picarro Output'!$B:$B, 'Uncalibrated Data'!$C5278, 'Picarro Output'!$I:$I, 0, 'Picarro Output'!$J:$J, 1), "")</f>
        <v/>
      </c>
    </row>
    <row r="5279" spans="2:5" x14ac:dyDescent="0.2">
      <c r="B5279" s="1"/>
      <c r="E5279" s="38" t="str">
        <f>IFERROR(AVERAGEIFS('Picarro Output'!G:G, 'Picarro Output'!$B:$B, 'Uncalibrated Data'!$C5279, 'Picarro Output'!$I:$I, 0, 'Picarro Output'!$J:$J, 1), "")</f>
        <v/>
      </c>
    </row>
    <row r="5280" spans="2:5" x14ac:dyDescent="0.2">
      <c r="B5280" s="1"/>
      <c r="E5280" s="38" t="str">
        <f>IFERROR(AVERAGEIFS('Picarro Output'!G:G, 'Picarro Output'!$B:$B, 'Uncalibrated Data'!$C5280, 'Picarro Output'!$I:$I, 0, 'Picarro Output'!$J:$J, 1), "")</f>
        <v/>
      </c>
    </row>
    <row r="5281" spans="2:5" x14ac:dyDescent="0.2">
      <c r="B5281" s="1"/>
      <c r="E5281" s="38" t="str">
        <f>IFERROR(AVERAGEIFS('Picarro Output'!G:G, 'Picarro Output'!$B:$B, 'Uncalibrated Data'!$C5281, 'Picarro Output'!$I:$I, 0, 'Picarro Output'!$J:$J, 1), "")</f>
        <v/>
      </c>
    </row>
    <row r="5282" spans="2:5" x14ac:dyDescent="0.2">
      <c r="B5282" s="1"/>
      <c r="E5282" s="38" t="str">
        <f>IFERROR(AVERAGEIFS('Picarro Output'!G:G, 'Picarro Output'!$B:$B, 'Uncalibrated Data'!$C5282, 'Picarro Output'!$I:$I, 0, 'Picarro Output'!$J:$J, 1), "")</f>
        <v/>
      </c>
    </row>
    <row r="5283" spans="2:5" x14ac:dyDescent="0.2">
      <c r="B5283" s="1"/>
      <c r="E5283" s="38" t="str">
        <f>IFERROR(AVERAGEIFS('Picarro Output'!G:G, 'Picarro Output'!$B:$B, 'Uncalibrated Data'!$C5283, 'Picarro Output'!$I:$I, 0, 'Picarro Output'!$J:$J, 1), "")</f>
        <v/>
      </c>
    </row>
    <row r="5284" spans="2:5" x14ac:dyDescent="0.2">
      <c r="B5284" s="1"/>
      <c r="E5284" s="38" t="str">
        <f>IFERROR(AVERAGEIFS('Picarro Output'!G:G, 'Picarro Output'!$B:$B, 'Uncalibrated Data'!$C5284, 'Picarro Output'!$I:$I, 0, 'Picarro Output'!$J:$J, 1), "")</f>
        <v/>
      </c>
    </row>
    <row r="5285" spans="2:5" x14ac:dyDescent="0.2">
      <c r="B5285" s="1"/>
      <c r="E5285" s="38" t="str">
        <f>IFERROR(AVERAGEIFS('Picarro Output'!G:G, 'Picarro Output'!$B:$B, 'Uncalibrated Data'!$C5285, 'Picarro Output'!$I:$I, 0, 'Picarro Output'!$J:$J, 1), "")</f>
        <v/>
      </c>
    </row>
    <row r="5286" spans="2:5" x14ac:dyDescent="0.2">
      <c r="B5286" s="1"/>
      <c r="E5286" s="38" t="str">
        <f>IFERROR(AVERAGEIFS('Picarro Output'!G:G, 'Picarro Output'!$B:$B, 'Uncalibrated Data'!$C5286, 'Picarro Output'!$I:$I, 0, 'Picarro Output'!$J:$J, 1), "")</f>
        <v/>
      </c>
    </row>
    <row r="5287" spans="2:5" x14ac:dyDescent="0.2">
      <c r="B5287" s="1"/>
      <c r="E5287" s="38" t="str">
        <f>IFERROR(AVERAGEIFS('Picarro Output'!G:G, 'Picarro Output'!$B:$B, 'Uncalibrated Data'!$C5287, 'Picarro Output'!$I:$I, 0, 'Picarro Output'!$J:$J, 1), "")</f>
        <v/>
      </c>
    </row>
    <row r="5288" spans="2:5" x14ac:dyDescent="0.2">
      <c r="B5288" s="1"/>
      <c r="E5288" s="38" t="str">
        <f>IFERROR(AVERAGEIFS('Picarro Output'!G:G, 'Picarro Output'!$B:$B, 'Uncalibrated Data'!$C5288, 'Picarro Output'!$I:$I, 0, 'Picarro Output'!$J:$J, 1), "")</f>
        <v/>
      </c>
    </row>
    <row r="5289" spans="2:5" x14ac:dyDescent="0.2">
      <c r="B5289" s="1"/>
      <c r="E5289" s="38" t="str">
        <f>IFERROR(AVERAGEIFS('Picarro Output'!G:G, 'Picarro Output'!$B:$B, 'Uncalibrated Data'!$C5289, 'Picarro Output'!$I:$I, 0, 'Picarro Output'!$J:$J, 1), "")</f>
        <v/>
      </c>
    </row>
    <row r="5290" spans="2:5" x14ac:dyDescent="0.2">
      <c r="B5290" s="1"/>
      <c r="E5290" s="38" t="str">
        <f>IFERROR(AVERAGEIFS('Picarro Output'!G:G, 'Picarro Output'!$B:$B, 'Uncalibrated Data'!$C5290, 'Picarro Output'!$I:$I, 0, 'Picarro Output'!$J:$J, 1), "")</f>
        <v/>
      </c>
    </row>
    <row r="5291" spans="2:5" x14ac:dyDescent="0.2">
      <c r="B5291" s="1"/>
      <c r="E5291" s="38" t="str">
        <f>IFERROR(AVERAGEIFS('Picarro Output'!G:G, 'Picarro Output'!$B:$B, 'Uncalibrated Data'!$C5291, 'Picarro Output'!$I:$I, 0, 'Picarro Output'!$J:$J, 1), "")</f>
        <v/>
      </c>
    </row>
    <row r="5292" spans="2:5" x14ac:dyDescent="0.2">
      <c r="B5292" s="1"/>
      <c r="E5292" s="38" t="str">
        <f>IFERROR(AVERAGEIFS('Picarro Output'!G:G, 'Picarro Output'!$B:$B, 'Uncalibrated Data'!$C5292, 'Picarro Output'!$I:$I, 0, 'Picarro Output'!$J:$J, 1), "")</f>
        <v/>
      </c>
    </row>
    <row r="5293" spans="2:5" x14ac:dyDescent="0.2">
      <c r="B5293" s="1"/>
      <c r="E5293" s="38" t="str">
        <f>IFERROR(AVERAGEIFS('Picarro Output'!G:G, 'Picarro Output'!$B:$B, 'Uncalibrated Data'!$C5293, 'Picarro Output'!$I:$I, 0, 'Picarro Output'!$J:$J, 1), "")</f>
        <v/>
      </c>
    </row>
    <row r="5294" spans="2:5" x14ac:dyDescent="0.2">
      <c r="B5294" s="1"/>
      <c r="E5294" s="38" t="str">
        <f>IFERROR(AVERAGEIFS('Picarro Output'!G:G, 'Picarro Output'!$B:$B, 'Uncalibrated Data'!$C5294, 'Picarro Output'!$I:$I, 0, 'Picarro Output'!$J:$J, 1), "")</f>
        <v/>
      </c>
    </row>
    <row r="5295" spans="2:5" x14ac:dyDescent="0.2">
      <c r="B5295" s="1"/>
      <c r="E5295" s="38" t="str">
        <f>IFERROR(AVERAGEIFS('Picarro Output'!G:G, 'Picarro Output'!$B:$B, 'Uncalibrated Data'!$C5295, 'Picarro Output'!$I:$I, 0, 'Picarro Output'!$J:$J, 1), "")</f>
        <v/>
      </c>
    </row>
    <row r="5296" spans="2:5" x14ac:dyDescent="0.2">
      <c r="B5296" s="1"/>
      <c r="E5296" s="38" t="str">
        <f>IFERROR(AVERAGEIFS('Picarro Output'!G:G, 'Picarro Output'!$B:$B, 'Uncalibrated Data'!$C5296, 'Picarro Output'!$I:$I, 0, 'Picarro Output'!$J:$J, 1), "")</f>
        <v/>
      </c>
    </row>
    <row r="5297" spans="2:5" x14ac:dyDescent="0.2">
      <c r="B5297" s="1"/>
      <c r="E5297" s="38" t="str">
        <f>IFERROR(AVERAGEIFS('Picarro Output'!G:G, 'Picarro Output'!$B:$B, 'Uncalibrated Data'!$C5297, 'Picarro Output'!$I:$I, 0, 'Picarro Output'!$J:$J, 1), "")</f>
        <v/>
      </c>
    </row>
    <row r="5298" spans="2:5" x14ac:dyDescent="0.2">
      <c r="B5298" s="1"/>
      <c r="E5298" s="38" t="str">
        <f>IFERROR(AVERAGEIFS('Picarro Output'!G:G, 'Picarro Output'!$B:$B, 'Uncalibrated Data'!$C5298, 'Picarro Output'!$I:$I, 0, 'Picarro Output'!$J:$J, 1), "")</f>
        <v/>
      </c>
    </row>
    <row r="5299" spans="2:5" x14ac:dyDescent="0.2">
      <c r="B5299" s="1"/>
      <c r="E5299" s="38" t="str">
        <f>IFERROR(AVERAGEIFS('Picarro Output'!G:G, 'Picarro Output'!$B:$B, 'Uncalibrated Data'!$C5299, 'Picarro Output'!$I:$I, 0, 'Picarro Output'!$J:$J, 1), "")</f>
        <v/>
      </c>
    </row>
    <row r="5300" spans="2:5" x14ac:dyDescent="0.2">
      <c r="B5300" s="1"/>
      <c r="E5300" s="38" t="str">
        <f>IFERROR(AVERAGEIFS('Picarro Output'!G:G, 'Picarro Output'!$B:$B, 'Uncalibrated Data'!$C5300, 'Picarro Output'!$I:$I, 0, 'Picarro Output'!$J:$J, 1), "")</f>
        <v/>
      </c>
    </row>
    <row r="5301" spans="2:5" x14ac:dyDescent="0.2">
      <c r="B5301" s="1"/>
      <c r="E5301" s="38" t="str">
        <f>IFERROR(AVERAGEIFS('Picarro Output'!G:G, 'Picarro Output'!$B:$B, 'Uncalibrated Data'!$C5301, 'Picarro Output'!$I:$I, 0, 'Picarro Output'!$J:$J, 1), "")</f>
        <v/>
      </c>
    </row>
    <row r="5302" spans="2:5" x14ac:dyDescent="0.2">
      <c r="B5302" s="1"/>
      <c r="E5302" s="38" t="str">
        <f>IFERROR(AVERAGEIFS('Picarro Output'!G:G, 'Picarro Output'!$B:$B, 'Uncalibrated Data'!$C5302, 'Picarro Output'!$I:$I, 0, 'Picarro Output'!$J:$J, 1), "")</f>
        <v/>
      </c>
    </row>
    <row r="5303" spans="2:5" x14ac:dyDescent="0.2">
      <c r="B5303" s="1"/>
      <c r="E5303" s="38" t="str">
        <f>IFERROR(AVERAGEIFS('Picarro Output'!G:G, 'Picarro Output'!$B:$B, 'Uncalibrated Data'!$C5303, 'Picarro Output'!$I:$I, 0, 'Picarro Output'!$J:$J, 1), "")</f>
        <v/>
      </c>
    </row>
    <row r="5304" spans="2:5" x14ac:dyDescent="0.2">
      <c r="B5304" s="1"/>
      <c r="E5304" s="38" t="str">
        <f>IFERROR(AVERAGEIFS('Picarro Output'!G:G, 'Picarro Output'!$B:$B, 'Uncalibrated Data'!$C5304, 'Picarro Output'!$I:$I, 0, 'Picarro Output'!$J:$J, 1), "")</f>
        <v/>
      </c>
    </row>
    <row r="5305" spans="2:5" x14ac:dyDescent="0.2">
      <c r="B5305" s="1"/>
      <c r="E5305" s="38" t="str">
        <f>IFERROR(AVERAGEIFS('Picarro Output'!G:G, 'Picarro Output'!$B:$B, 'Uncalibrated Data'!$C5305, 'Picarro Output'!$I:$I, 0, 'Picarro Output'!$J:$J, 1), "")</f>
        <v/>
      </c>
    </row>
    <row r="5306" spans="2:5" x14ac:dyDescent="0.2">
      <c r="B5306" s="1"/>
      <c r="E5306" s="38" t="str">
        <f>IFERROR(AVERAGEIFS('Picarro Output'!G:G, 'Picarro Output'!$B:$B, 'Uncalibrated Data'!$C5306, 'Picarro Output'!$I:$I, 0, 'Picarro Output'!$J:$J, 1), "")</f>
        <v/>
      </c>
    </row>
    <row r="5307" spans="2:5" x14ac:dyDescent="0.2">
      <c r="B5307" s="1"/>
      <c r="E5307" s="38" t="str">
        <f>IFERROR(AVERAGEIFS('Picarro Output'!G:G, 'Picarro Output'!$B:$B, 'Uncalibrated Data'!$C5307, 'Picarro Output'!$I:$I, 0, 'Picarro Output'!$J:$J, 1), "")</f>
        <v/>
      </c>
    </row>
    <row r="5308" spans="2:5" x14ac:dyDescent="0.2">
      <c r="B5308" s="1"/>
      <c r="E5308" s="38" t="str">
        <f>IFERROR(AVERAGEIFS('Picarro Output'!G:G, 'Picarro Output'!$B:$B, 'Uncalibrated Data'!$C5308, 'Picarro Output'!$I:$I, 0, 'Picarro Output'!$J:$J, 1), "")</f>
        <v/>
      </c>
    </row>
    <row r="5309" spans="2:5" x14ac:dyDescent="0.2">
      <c r="B5309" s="1"/>
      <c r="E5309" s="38" t="str">
        <f>IFERROR(AVERAGEIFS('Picarro Output'!G:G, 'Picarro Output'!$B:$B, 'Uncalibrated Data'!$C5309, 'Picarro Output'!$I:$I, 0, 'Picarro Output'!$J:$J, 1), "")</f>
        <v/>
      </c>
    </row>
    <row r="5310" spans="2:5" x14ac:dyDescent="0.2">
      <c r="B5310" s="1"/>
      <c r="E5310" s="38" t="str">
        <f>IFERROR(AVERAGEIFS('Picarro Output'!G:G, 'Picarro Output'!$B:$B, 'Uncalibrated Data'!$C5310, 'Picarro Output'!$I:$I, 0, 'Picarro Output'!$J:$J, 1), "")</f>
        <v/>
      </c>
    </row>
    <row r="5311" spans="2:5" x14ac:dyDescent="0.2">
      <c r="B5311" s="1"/>
      <c r="E5311" s="38" t="str">
        <f>IFERROR(AVERAGEIFS('Picarro Output'!G:G, 'Picarro Output'!$B:$B, 'Uncalibrated Data'!$C5311, 'Picarro Output'!$I:$I, 0, 'Picarro Output'!$J:$J, 1), "")</f>
        <v/>
      </c>
    </row>
    <row r="5312" spans="2:5" x14ac:dyDescent="0.2">
      <c r="B5312" s="1"/>
      <c r="E5312" s="38" t="str">
        <f>IFERROR(AVERAGEIFS('Picarro Output'!G:G, 'Picarro Output'!$B:$B, 'Uncalibrated Data'!$C5312, 'Picarro Output'!$I:$I, 0, 'Picarro Output'!$J:$J, 1), "")</f>
        <v/>
      </c>
    </row>
    <row r="5313" spans="2:5" x14ac:dyDescent="0.2">
      <c r="B5313" s="1"/>
      <c r="E5313" s="38" t="str">
        <f>IFERROR(AVERAGEIFS('Picarro Output'!G:G, 'Picarro Output'!$B:$B, 'Uncalibrated Data'!$C5313, 'Picarro Output'!$I:$I, 0, 'Picarro Output'!$J:$J, 1), "")</f>
        <v/>
      </c>
    </row>
    <row r="5314" spans="2:5" x14ac:dyDescent="0.2">
      <c r="B5314" s="1"/>
      <c r="E5314" s="38" t="str">
        <f>IFERROR(AVERAGEIFS('Picarro Output'!G:G, 'Picarro Output'!$B:$B, 'Uncalibrated Data'!$C5314, 'Picarro Output'!$I:$I, 0, 'Picarro Output'!$J:$J, 1), "")</f>
        <v/>
      </c>
    </row>
    <row r="5315" spans="2:5" x14ac:dyDescent="0.2">
      <c r="B5315" s="1"/>
      <c r="E5315" s="38" t="str">
        <f>IFERROR(AVERAGEIFS('Picarro Output'!G:G, 'Picarro Output'!$B:$B, 'Uncalibrated Data'!$C5315, 'Picarro Output'!$I:$I, 0, 'Picarro Output'!$J:$J, 1), "")</f>
        <v/>
      </c>
    </row>
    <row r="5316" spans="2:5" x14ac:dyDescent="0.2">
      <c r="B5316" s="1"/>
      <c r="E5316" s="38" t="str">
        <f>IFERROR(AVERAGEIFS('Picarro Output'!G:G, 'Picarro Output'!$B:$B, 'Uncalibrated Data'!$C5316, 'Picarro Output'!$I:$I, 0, 'Picarro Output'!$J:$J, 1), "")</f>
        <v/>
      </c>
    </row>
    <row r="5317" spans="2:5" x14ac:dyDescent="0.2">
      <c r="B5317" s="1"/>
      <c r="E5317" s="38" t="str">
        <f>IFERROR(AVERAGEIFS('Picarro Output'!G:G, 'Picarro Output'!$B:$B, 'Uncalibrated Data'!$C5317, 'Picarro Output'!$I:$I, 0, 'Picarro Output'!$J:$J, 1), "")</f>
        <v/>
      </c>
    </row>
    <row r="5318" spans="2:5" x14ac:dyDescent="0.2">
      <c r="B5318" s="1"/>
      <c r="E5318" s="38" t="str">
        <f>IFERROR(AVERAGEIFS('Picarro Output'!G:G, 'Picarro Output'!$B:$B, 'Uncalibrated Data'!$C5318, 'Picarro Output'!$I:$I, 0, 'Picarro Output'!$J:$J, 1), "")</f>
        <v/>
      </c>
    </row>
    <row r="5319" spans="2:5" x14ac:dyDescent="0.2">
      <c r="B5319" s="1"/>
      <c r="E5319" s="38" t="str">
        <f>IFERROR(AVERAGEIFS('Picarro Output'!G:G, 'Picarro Output'!$B:$B, 'Uncalibrated Data'!$C5319, 'Picarro Output'!$I:$I, 0, 'Picarro Output'!$J:$J, 1), "")</f>
        <v/>
      </c>
    </row>
    <row r="5320" spans="2:5" x14ac:dyDescent="0.2">
      <c r="B5320" s="1"/>
      <c r="E5320" s="38" t="str">
        <f>IFERROR(AVERAGEIFS('Picarro Output'!G:G, 'Picarro Output'!$B:$B, 'Uncalibrated Data'!$C5320, 'Picarro Output'!$I:$I, 0, 'Picarro Output'!$J:$J, 1), "")</f>
        <v/>
      </c>
    </row>
    <row r="5321" spans="2:5" x14ac:dyDescent="0.2">
      <c r="B5321" s="1"/>
      <c r="E5321" s="38" t="str">
        <f>IFERROR(AVERAGEIFS('Picarro Output'!G:G, 'Picarro Output'!$B:$B, 'Uncalibrated Data'!$C5321, 'Picarro Output'!$I:$I, 0, 'Picarro Output'!$J:$J, 1), "")</f>
        <v/>
      </c>
    </row>
    <row r="5322" spans="2:5" x14ac:dyDescent="0.2">
      <c r="B5322" s="1"/>
      <c r="E5322" s="38" t="str">
        <f>IFERROR(AVERAGEIFS('Picarro Output'!G:G, 'Picarro Output'!$B:$B, 'Uncalibrated Data'!$C5322, 'Picarro Output'!$I:$I, 0, 'Picarro Output'!$J:$J, 1), "")</f>
        <v/>
      </c>
    </row>
    <row r="5323" spans="2:5" x14ac:dyDescent="0.2">
      <c r="B5323" s="1"/>
      <c r="E5323" s="38" t="str">
        <f>IFERROR(AVERAGEIFS('Picarro Output'!G:G, 'Picarro Output'!$B:$B, 'Uncalibrated Data'!$C5323, 'Picarro Output'!$I:$I, 0, 'Picarro Output'!$J:$J, 1), "")</f>
        <v/>
      </c>
    </row>
    <row r="5324" spans="2:5" x14ac:dyDescent="0.2">
      <c r="B5324" s="1"/>
      <c r="E5324" s="38" t="str">
        <f>IFERROR(AVERAGEIFS('Picarro Output'!G:G, 'Picarro Output'!$B:$B, 'Uncalibrated Data'!$C5324, 'Picarro Output'!$I:$I, 0, 'Picarro Output'!$J:$J, 1), "")</f>
        <v/>
      </c>
    </row>
    <row r="5325" spans="2:5" x14ac:dyDescent="0.2">
      <c r="B5325" s="1"/>
      <c r="E5325" s="38" t="str">
        <f>IFERROR(AVERAGEIFS('Picarro Output'!G:G, 'Picarro Output'!$B:$B, 'Uncalibrated Data'!$C5325, 'Picarro Output'!$I:$I, 0, 'Picarro Output'!$J:$J, 1), "")</f>
        <v/>
      </c>
    </row>
    <row r="5326" spans="2:5" x14ac:dyDescent="0.2">
      <c r="B5326" s="1"/>
      <c r="E5326" s="38" t="str">
        <f>IFERROR(AVERAGEIFS('Picarro Output'!G:G, 'Picarro Output'!$B:$B, 'Uncalibrated Data'!$C5326, 'Picarro Output'!$I:$I, 0, 'Picarro Output'!$J:$J, 1), "")</f>
        <v/>
      </c>
    </row>
    <row r="5327" spans="2:5" x14ac:dyDescent="0.2">
      <c r="B5327" s="1"/>
      <c r="E5327" s="38" t="str">
        <f>IFERROR(AVERAGEIFS('Picarro Output'!G:G, 'Picarro Output'!$B:$B, 'Uncalibrated Data'!$C5327, 'Picarro Output'!$I:$I, 0, 'Picarro Output'!$J:$J, 1), "")</f>
        <v/>
      </c>
    </row>
    <row r="5328" spans="2:5" x14ac:dyDescent="0.2">
      <c r="B5328" s="1"/>
      <c r="E5328" s="38" t="str">
        <f>IFERROR(AVERAGEIFS('Picarro Output'!G:G, 'Picarro Output'!$B:$B, 'Uncalibrated Data'!$C5328, 'Picarro Output'!$I:$I, 0, 'Picarro Output'!$J:$J, 1), "")</f>
        <v/>
      </c>
    </row>
    <row r="5329" spans="2:5" x14ac:dyDescent="0.2">
      <c r="B5329" s="1"/>
      <c r="E5329" s="38" t="str">
        <f>IFERROR(AVERAGEIFS('Picarro Output'!G:G, 'Picarro Output'!$B:$B, 'Uncalibrated Data'!$C5329, 'Picarro Output'!$I:$I, 0, 'Picarro Output'!$J:$J, 1), "")</f>
        <v/>
      </c>
    </row>
    <row r="5330" spans="2:5" x14ac:dyDescent="0.2">
      <c r="B5330" s="1"/>
      <c r="E5330" s="38" t="str">
        <f>IFERROR(AVERAGEIFS('Picarro Output'!G:G, 'Picarro Output'!$B:$B, 'Uncalibrated Data'!$C5330, 'Picarro Output'!$I:$I, 0, 'Picarro Output'!$J:$J, 1), "")</f>
        <v/>
      </c>
    </row>
    <row r="5331" spans="2:5" x14ac:dyDescent="0.2">
      <c r="B5331" s="1"/>
      <c r="E5331" s="38" t="str">
        <f>IFERROR(AVERAGEIFS('Picarro Output'!G:G, 'Picarro Output'!$B:$B, 'Uncalibrated Data'!$C5331, 'Picarro Output'!$I:$I, 0, 'Picarro Output'!$J:$J, 1), "")</f>
        <v/>
      </c>
    </row>
    <row r="5332" spans="2:5" x14ac:dyDescent="0.2">
      <c r="B5332" s="1"/>
      <c r="E5332" s="38" t="str">
        <f>IFERROR(AVERAGEIFS('Picarro Output'!G:G, 'Picarro Output'!$B:$B, 'Uncalibrated Data'!$C5332, 'Picarro Output'!$I:$I, 0, 'Picarro Output'!$J:$J, 1), "")</f>
        <v/>
      </c>
    </row>
    <row r="5333" spans="2:5" x14ac:dyDescent="0.2">
      <c r="B5333" s="1"/>
      <c r="E5333" s="38" t="str">
        <f>IFERROR(AVERAGEIFS('Picarro Output'!G:G, 'Picarro Output'!$B:$B, 'Uncalibrated Data'!$C5333, 'Picarro Output'!$I:$I, 0, 'Picarro Output'!$J:$J, 1), "")</f>
        <v/>
      </c>
    </row>
    <row r="5334" spans="2:5" x14ac:dyDescent="0.2">
      <c r="B5334" s="1"/>
      <c r="E5334" s="38" t="str">
        <f>IFERROR(AVERAGEIFS('Picarro Output'!G:G, 'Picarro Output'!$B:$B, 'Uncalibrated Data'!$C5334, 'Picarro Output'!$I:$I, 0, 'Picarro Output'!$J:$J, 1), "")</f>
        <v/>
      </c>
    </row>
    <row r="5335" spans="2:5" x14ac:dyDescent="0.2">
      <c r="B5335" s="1"/>
      <c r="E5335" s="38" t="str">
        <f>IFERROR(AVERAGEIFS('Picarro Output'!G:G, 'Picarro Output'!$B:$B, 'Uncalibrated Data'!$C5335, 'Picarro Output'!$I:$I, 0, 'Picarro Output'!$J:$J, 1), "")</f>
        <v/>
      </c>
    </row>
    <row r="5336" spans="2:5" x14ac:dyDescent="0.2">
      <c r="B5336" s="1"/>
      <c r="E5336" s="38" t="str">
        <f>IFERROR(AVERAGEIFS('Picarro Output'!G:G, 'Picarro Output'!$B:$B, 'Uncalibrated Data'!$C5336, 'Picarro Output'!$I:$I, 0, 'Picarro Output'!$J:$J, 1), "")</f>
        <v/>
      </c>
    </row>
    <row r="5337" spans="2:5" x14ac:dyDescent="0.2">
      <c r="B5337" s="1"/>
      <c r="E5337" s="38" t="str">
        <f>IFERROR(AVERAGEIFS('Picarro Output'!G:G, 'Picarro Output'!$B:$B, 'Uncalibrated Data'!$C5337, 'Picarro Output'!$I:$I, 0, 'Picarro Output'!$J:$J, 1), "")</f>
        <v/>
      </c>
    </row>
    <row r="5338" spans="2:5" x14ac:dyDescent="0.2">
      <c r="B5338" s="1"/>
      <c r="E5338" s="38" t="str">
        <f>IFERROR(AVERAGEIFS('Picarro Output'!G:G, 'Picarro Output'!$B:$B, 'Uncalibrated Data'!$C5338, 'Picarro Output'!$I:$I, 0, 'Picarro Output'!$J:$J, 1), "")</f>
        <v/>
      </c>
    </row>
    <row r="5339" spans="2:5" x14ac:dyDescent="0.2">
      <c r="B5339" s="1"/>
      <c r="E5339" s="38" t="str">
        <f>IFERROR(AVERAGEIFS('Picarro Output'!G:G, 'Picarro Output'!$B:$B, 'Uncalibrated Data'!$C5339, 'Picarro Output'!$I:$I, 0, 'Picarro Output'!$J:$J, 1), "")</f>
        <v/>
      </c>
    </row>
    <row r="5340" spans="2:5" x14ac:dyDescent="0.2">
      <c r="B5340" s="1"/>
      <c r="E5340" s="38" t="str">
        <f>IFERROR(AVERAGEIFS('Picarro Output'!G:G, 'Picarro Output'!$B:$B, 'Uncalibrated Data'!$C5340, 'Picarro Output'!$I:$I, 0, 'Picarro Output'!$J:$J, 1), "")</f>
        <v/>
      </c>
    </row>
    <row r="5341" spans="2:5" x14ac:dyDescent="0.2">
      <c r="B5341" s="1"/>
      <c r="E5341" s="38" t="str">
        <f>IFERROR(AVERAGEIFS('Picarro Output'!G:G, 'Picarro Output'!$B:$B, 'Uncalibrated Data'!$C5341, 'Picarro Output'!$I:$I, 0, 'Picarro Output'!$J:$J, 1), "")</f>
        <v/>
      </c>
    </row>
    <row r="5342" spans="2:5" x14ac:dyDescent="0.2">
      <c r="B5342" s="1"/>
      <c r="E5342" s="38" t="str">
        <f>IFERROR(AVERAGEIFS('Picarro Output'!G:G, 'Picarro Output'!$B:$B, 'Uncalibrated Data'!$C5342, 'Picarro Output'!$I:$I, 0, 'Picarro Output'!$J:$J, 1), "")</f>
        <v/>
      </c>
    </row>
    <row r="5343" spans="2:5" x14ac:dyDescent="0.2">
      <c r="B5343" s="1"/>
      <c r="E5343" s="38" t="str">
        <f>IFERROR(AVERAGEIFS('Picarro Output'!G:G, 'Picarro Output'!$B:$B, 'Uncalibrated Data'!$C5343, 'Picarro Output'!$I:$I, 0, 'Picarro Output'!$J:$J, 1), "")</f>
        <v/>
      </c>
    </row>
    <row r="5344" spans="2:5" x14ac:dyDescent="0.2">
      <c r="B5344" s="1"/>
      <c r="E5344" s="38" t="str">
        <f>IFERROR(AVERAGEIFS('Picarro Output'!G:G, 'Picarro Output'!$B:$B, 'Uncalibrated Data'!$C5344, 'Picarro Output'!$I:$I, 0, 'Picarro Output'!$J:$J, 1), "")</f>
        <v/>
      </c>
    </row>
    <row r="5345" spans="2:5" x14ac:dyDescent="0.2">
      <c r="B5345" s="1"/>
      <c r="E5345" s="38" t="str">
        <f>IFERROR(AVERAGEIFS('Picarro Output'!G:G, 'Picarro Output'!$B:$B, 'Uncalibrated Data'!$C5345, 'Picarro Output'!$I:$I, 0, 'Picarro Output'!$J:$J, 1), "")</f>
        <v/>
      </c>
    </row>
    <row r="5346" spans="2:5" x14ac:dyDescent="0.2">
      <c r="B5346" s="1"/>
      <c r="E5346" s="38" t="str">
        <f>IFERROR(AVERAGEIFS('Picarro Output'!G:G, 'Picarro Output'!$B:$B, 'Uncalibrated Data'!$C5346, 'Picarro Output'!$I:$I, 0, 'Picarro Output'!$J:$J, 1), "")</f>
        <v/>
      </c>
    </row>
    <row r="5347" spans="2:5" x14ac:dyDescent="0.2">
      <c r="B5347" s="1"/>
      <c r="E5347" s="38" t="str">
        <f>IFERROR(AVERAGEIFS('Picarro Output'!G:G, 'Picarro Output'!$B:$B, 'Uncalibrated Data'!$C5347, 'Picarro Output'!$I:$I, 0, 'Picarro Output'!$J:$J, 1), "")</f>
        <v/>
      </c>
    </row>
    <row r="5348" spans="2:5" x14ac:dyDescent="0.2">
      <c r="B5348" s="1"/>
      <c r="E5348" s="38" t="str">
        <f>IFERROR(AVERAGEIFS('Picarro Output'!G:G, 'Picarro Output'!$B:$B, 'Uncalibrated Data'!$C5348, 'Picarro Output'!$I:$I, 0, 'Picarro Output'!$J:$J, 1), "")</f>
        <v/>
      </c>
    </row>
    <row r="5349" spans="2:5" x14ac:dyDescent="0.2">
      <c r="B5349" s="1"/>
      <c r="E5349" s="38" t="str">
        <f>IFERROR(AVERAGEIFS('Picarro Output'!G:G, 'Picarro Output'!$B:$B, 'Uncalibrated Data'!$C5349, 'Picarro Output'!$I:$I, 0, 'Picarro Output'!$J:$J, 1), "")</f>
        <v/>
      </c>
    </row>
    <row r="5350" spans="2:5" x14ac:dyDescent="0.2">
      <c r="B5350" s="1"/>
      <c r="E5350" s="38" t="str">
        <f>IFERROR(AVERAGEIFS('Picarro Output'!G:G, 'Picarro Output'!$B:$B, 'Uncalibrated Data'!$C5350, 'Picarro Output'!$I:$I, 0, 'Picarro Output'!$J:$J, 1), "")</f>
        <v/>
      </c>
    </row>
    <row r="5351" spans="2:5" x14ac:dyDescent="0.2">
      <c r="B5351" s="1"/>
      <c r="E5351" s="38" t="str">
        <f>IFERROR(AVERAGEIFS('Picarro Output'!G:G, 'Picarro Output'!$B:$B, 'Uncalibrated Data'!$C5351, 'Picarro Output'!$I:$I, 0, 'Picarro Output'!$J:$J, 1), "")</f>
        <v/>
      </c>
    </row>
    <row r="5352" spans="2:5" x14ac:dyDescent="0.2">
      <c r="B5352" s="1"/>
      <c r="E5352" s="38" t="str">
        <f>IFERROR(AVERAGEIFS('Picarro Output'!G:G, 'Picarro Output'!$B:$B, 'Uncalibrated Data'!$C5352, 'Picarro Output'!$I:$I, 0, 'Picarro Output'!$J:$J, 1), "")</f>
        <v/>
      </c>
    </row>
    <row r="5353" spans="2:5" x14ac:dyDescent="0.2">
      <c r="B5353" s="1"/>
      <c r="E5353" s="38" t="str">
        <f>IFERROR(AVERAGEIFS('Picarro Output'!G:G, 'Picarro Output'!$B:$B, 'Uncalibrated Data'!$C5353, 'Picarro Output'!$I:$I, 0, 'Picarro Output'!$J:$J, 1), "")</f>
        <v/>
      </c>
    </row>
    <row r="5354" spans="2:5" x14ac:dyDescent="0.2">
      <c r="B5354" s="1"/>
      <c r="E5354" s="38" t="str">
        <f>IFERROR(AVERAGEIFS('Picarro Output'!G:G, 'Picarro Output'!$B:$B, 'Uncalibrated Data'!$C5354, 'Picarro Output'!$I:$I, 0, 'Picarro Output'!$J:$J, 1), "")</f>
        <v/>
      </c>
    </row>
    <row r="5355" spans="2:5" x14ac:dyDescent="0.2">
      <c r="B5355" s="1"/>
      <c r="E5355" s="38" t="str">
        <f>IFERROR(AVERAGEIFS('Picarro Output'!G:G, 'Picarro Output'!$B:$B, 'Uncalibrated Data'!$C5355, 'Picarro Output'!$I:$I, 0, 'Picarro Output'!$J:$J, 1), "")</f>
        <v/>
      </c>
    </row>
    <row r="5356" spans="2:5" x14ac:dyDescent="0.2">
      <c r="B5356" s="1"/>
      <c r="E5356" s="38" t="str">
        <f>IFERROR(AVERAGEIFS('Picarro Output'!G:G, 'Picarro Output'!$B:$B, 'Uncalibrated Data'!$C5356, 'Picarro Output'!$I:$I, 0, 'Picarro Output'!$J:$J, 1), "")</f>
        <v/>
      </c>
    </row>
    <row r="5357" spans="2:5" x14ac:dyDescent="0.2">
      <c r="B5357" s="1"/>
      <c r="E5357" s="38" t="str">
        <f>IFERROR(AVERAGEIFS('Picarro Output'!G:G, 'Picarro Output'!$B:$B, 'Uncalibrated Data'!$C5357, 'Picarro Output'!$I:$I, 0, 'Picarro Output'!$J:$J, 1), "")</f>
        <v/>
      </c>
    </row>
    <row r="5358" spans="2:5" x14ac:dyDescent="0.2">
      <c r="B5358" s="1"/>
      <c r="E5358" s="38" t="str">
        <f>IFERROR(AVERAGEIFS('Picarro Output'!G:G, 'Picarro Output'!$B:$B, 'Uncalibrated Data'!$C5358, 'Picarro Output'!$I:$I, 0, 'Picarro Output'!$J:$J, 1), "")</f>
        <v/>
      </c>
    </row>
    <row r="5359" spans="2:5" x14ac:dyDescent="0.2">
      <c r="B5359" s="1"/>
      <c r="E5359" s="38" t="str">
        <f>IFERROR(AVERAGEIFS('Picarro Output'!G:G, 'Picarro Output'!$B:$B, 'Uncalibrated Data'!$C5359, 'Picarro Output'!$I:$I, 0, 'Picarro Output'!$J:$J, 1), "")</f>
        <v/>
      </c>
    </row>
    <row r="5360" spans="2:5" x14ac:dyDescent="0.2">
      <c r="B5360" s="1"/>
      <c r="E5360" s="38" t="str">
        <f>IFERROR(AVERAGEIFS('Picarro Output'!G:G, 'Picarro Output'!$B:$B, 'Uncalibrated Data'!$C5360, 'Picarro Output'!$I:$I, 0, 'Picarro Output'!$J:$J, 1), "")</f>
        <v/>
      </c>
    </row>
    <row r="5361" spans="2:5" x14ac:dyDescent="0.2">
      <c r="B5361" s="1"/>
      <c r="E5361" s="38" t="str">
        <f>IFERROR(AVERAGEIFS('Picarro Output'!G:G, 'Picarro Output'!$B:$B, 'Uncalibrated Data'!$C5361, 'Picarro Output'!$I:$I, 0, 'Picarro Output'!$J:$J, 1), "")</f>
        <v/>
      </c>
    </row>
    <row r="5362" spans="2:5" x14ac:dyDescent="0.2">
      <c r="B5362" s="1"/>
      <c r="E5362" s="38" t="str">
        <f>IFERROR(AVERAGEIFS('Picarro Output'!G:G, 'Picarro Output'!$B:$B, 'Uncalibrated Data'!$C5362, 'Picarro Output'!$I:$I, 0, 'Picarro Output'!$J:$J, 1), "")</f>
        <v/>
      </c>
    </row>
    <row r="5363" spans="2:5" x14ac:dyDescent="0.2">
      <c r="B5363" s="1"/>
      <c r="E5363" s="38" t="str">
        <f>IFERROR(AVERAGEIFS('Picarro Output'!G:G, 'Picarro Output'!$B:$B, 'Uncalibrated Data'!$C5363, 'Picarro Output'!$I:$I, 0, 'Picarro Output'!$J:$J, 1), "")</f>
        <v/>
      </c>
    </row>
    <row r="5364" spans="2:5" x14ac:dyDescent="0.2">
      <c r="B5364" s="1"/>
      <c r="E5364" s="38" t="str">
        <f>IFERROR(AVERAGEIFS('Picarro Output'!G:G, 'Picarro Output'!$B:$B, 'Uncalibrated Data'!$C5364, 'Picarro Output'!$I:$I, 0, 'Picarro Output'!$J:$J, 1), "")</f>
        <v/>
      </c>
    </row>
    <row r="5365" spans="2:5" x14ac:dyDescent="0.2">
      <c r="B5365" s="1"/>
      <c r="E5365" s="38" t="str">
        <f>IFERROR(AVERAGEIFS('Picarro Output'!G:G, 'Picarro Output'!$B:$B, 'Uncalibrated Data'!$C5365, 'Picarro Output'!$I:$I, 0, 'Picarro Output'!$J:$J, 1), "")</f>
        <v/>
      </c>
    </row>
    <row r="5366" spans="2:5" x14ac:dyDescent="0.2">
      <c r="B5366" s="1"/>
      <c r="E5366" s="38" t="str">
        <f>IFERROR(AVERAGEIFS('Picarro Output'!G:G, 'Picarro Output'!$B:$B, 'Uncalibrated Data'!$C5366, 'Picarro Output'!$I:$I, 0, 'Picarro Output'!$J:$J, 1), "")</f>
        <v/>
      </c>
    </row>
    <row r="5367" spans="2:5" x14ac:dyDescent="0.2">
      <c r="B5367" s="1"/>
      <c r="E5367" s="38" t="str">
        <f>IFERROR(AVERAGEIFS('Picarro Output'!G:G, 'Picarro Output'!$B:$B, 'Uncalibrated Data'!$C5367, 'Picarro Output'!$I:$I, 0, 'Picarro Output'!$J:$J, 1), "")</f>
        <v/>
      </c>
    </row>
    <row r="5368" spans="2:5" x14ac:dyDescent="0.2">
      <c r="B5368" s="1"/>
      <c r="E5368" s="38" t="str">
        <f>IFERROR(AVERAGEIFS('Picarro Output'!G:G, 'Picarro Output'!$B:$B, 'Uncalibrated Data'!$C5368, 'Picarro Output'!$I:$I, 0, 'Picarro Output'!$J:$J, 1), "")</f>
        <v/>
      </c>
    </row>
    <row r="5369" spans="2:5" x14ac:dyDescent="0.2">
      <c r="B5369" s="1"/>
      <c r="E5369" s="38" t="str">
        <f>IFERROR(AVERAGEIFS('Picarro Output'!G:G, 'Picarro Output'!$B:$B, 'Uncalibrated Data'!$C5369, 'Picarro Output'!$I:$I, 0, 'Picarro Output'!$J:$J, 1), "")</f>
        <v/>
      </c>
    </row>
    <row r="5370" spans="2:5" x14ac:dyDescent="0.2">
      <c r="B5370" s="1"/>
      <c r="E5370" s="38" t="str">
        <f>IFERROR(AVERAGEIFS('Picarro Output'!G:G, 'Picarro Output'!$B:$B, 'Uncalibrated Data'!$C5370, 'Picarro Output'!$I:$I, 0, 'Picarro Output'!$J:$J, 1), "")</f>
        <v/>
      </c>
    </row>
    <row r="5371" spans="2:5" x14ac:dyDescent="0.2">
      <c r="B5371" s="1"/>
      <c r="E5371" s="38" t="str">
        <f>IFERROR(AVERAGEIFS('Picarro Output'!G:G, 'Picarro Output'!$B:$B, 'Uncalibrated Data'!$C5371, 'Picarro Output'!$I:$I, 0, 'Picarro Output'!$J:$J, 1), "")</f>
        <v/>
      </c>
    </row>
    <row r="5372" spans="2:5" x14ac:dyDescent="0.2">
      <c r="B5372" s="1"/>
      <c r="E5372" s="38" t="str">
        <f>IFERROR(AVERAGEIFS('Picarro Output'!G:G, 'Picarro Output'!$B:$B, 'Uncalibrated Data'!$C5372, 'Picarro Output'!$I:$I, 0, 'Picarro Output'!$J:$J, 1), "")</f>
        <v/>
      </c>
    </row>
    <row r="5373" spans="2:5" x14ac:dyDescent="0.2">
      <c r="B5373" s="1"/>
      <c r="E5373" s="38" t="str">
        <f>IFERROR(AVERAGEIFS('Picarro Output'!G:G, 'Picarro Output'!$B:$B, 'Uncalibrated Data'!$C5373, 'Picarro Output'!$I:$I, 0, 'Picarro Output'!$J:$J, 1), "")</f>
        <v/>
      </c>
    </row>
    <row r="5374" spans="2:5" x14ac:dyDescent="0.2">
      <c r="B5374" s="1"/>
      <c r="E5374" s="38" t="str">
        <f>IFERROR(AVERAGEIFS('Picarro Output'!G:G, 'Picarro Output'!$B:$B, 'Uncalibrated Data'!$C5374, 'Picarro Output'!$I:$I, 0, 'Picarro Output'!$J:$J, 1), "")</f>
        <v/>
      </c>
    </row>
    <row r="5375" spans="2:5" x14ac:dyDescent="0.2">
      <c r="B5375" s="1"/>
      <c r="E5375" s="38" t="str">
        <f>IFERROR(AVERAGEIFS('Picarro Output'!G:G, 'Picarro Output'!$B:$B, 'Uncalibrated Data'!$C5375, 'Picarro Output'!$I:$I, 0, 'Picarro Output'!$J:$J, 1), "")</f>
        <v/>
      </c>
    </row>
    <row r="5376" spans="2:5" x14ac:dyDescent="0.2">
      <c r="B5376" s="1"/>
      <c r="E5376" s="38" t="str">
        <f>IFERROR(AVERAGEIFS('Picarro Output'!G:G, 'Picarro Output'!$B:$B, 'Uncalibrated Data'!$C5376, 'Picarro Output'!$I:$I, 0, 'Picarro Output'!$J:$J, 1), "")</f>
        <v/>
      </c>
    </row>
    <row r="5377" spans="2:5" x14ac:dyDescent="0.2">
      <c r="B5377" s="1"/>
      <c r="E5377" s="38" t="str">
        <f>IFERROR(AVERAGEIFS('Picarro Output'!G:G, 'Picarro Output'!$B:$B, 'Uncalibrated Data'!$C5377, 'Picarro Output'!$I:$I, 0, 'Picarro Output'!$J:$J, 1), "")</f>
        <v/>
      </c>
    </row>
    <row r="5378" spans="2:5" x14ac:dyDescent="0.2">
      <c r="B5378" s="1"/>
      <c r="E5378" s="38" t="str">
        <f>IFERROR(AVERAGEIFS('Picarro Output'!G:G, 'Picarro Output'!$B:$B, 'Uncalibrated Data'!$C5378, 'Picarro Output'!$I:$I, 0, 'Picarro Output'!$J:$J, 1), "")</f>
        <v/>
      </c>
    </row>
    <row r="5379" spans="2:5" x14ac:dyDescent="0.2">
      <c r="B5379" s="1"/>
      <c r="E5379" s="38" t="str">
        <f>IFERROR(AVERAGEIFS('Picarro Output'!G:G, 'Picarro Output'!$B:$B, 'Uncalibrated Data'!$C5379, 'Picarro Output'!$I:$I, 0, 'Picarro Output'!$J:$J, 1), "")</f>
        <v/>
      </c>
    </row>
    <row r="5380" spans="2:5" x14ac:dyDescent="0.2">
      <c r="B5380" s="1"/>
      <c r="E5380" s="38" t="str">
        <f>IFERROR(AVERAGEIFS('Picarro Output'!G:G, 'Picarro Output'!$B:$B, 'Uncalibrated Data'!$C5380, 'Picarro Output'!$I:$I, 0, 'Picarro Output'!$J:$J, 1), "")</f>
        <v/>
      </c>
    </row>
    <row r="5381" spans="2:5" x14ac:dyDescent="0.2">
      <c r="B5381" s="1"/>
      <c r="E5381" s="38" t="str">
        <f>IFERROR(AVERAGEIFS('Picarro Output'!G:G, 'Picarro Output'!$B:$B, 'Uncalibrated Data'!$C5381, 'Picarro Output'!$I:$I, 0, 'Picarro Output'!$J:$J, 1), "")</f>
        <v/>
      </c>
    </row>
    <row r="5382" spans="2:5" x14ac:dyDescent="0.2">
      <c r="B5382" s="1"/>
      <c r="E5382" s="38" t="str">
        <f>IFERROR(AVERAGEIFS('Picarro Output'!G:G, 'Picarro Output'!$B:$B, 'Uncalibrated Data'!$C5382, 'Picarro Output'!$I:$I, 0, 'Picarro Output'!$J:$J, 1), "")</f>
        <v/>
      </c>
    </row>
    <row r="5383" spans="2:5" x14ac:dyDescent="0.2">
      <c r="B5383" s="1"/>
      <c r="E5383" s="38" t="str">
        <f>IFERROR(AVERAGEIFS('Picarro Output'!G:G, 'Picarro Output'!$B:$B, 'Uncalibrated Data'!$C5383, 'Picarro Output'!$I:$I, 0, 'Picarro Output'!$J:$J, 1), "")</f>
        <v/>
      </c>
    </row>
    <row r="5384" spans="2:5" x14ac:dyDescent="0.2">
      <c r="B5384" s="1"/>
      <c r="E5384" s="38" t="str">
        <f>IFERROR(AVERAGEIFS('Picarro Output'!G:G, 'Picarro Output'!$B:$B, 'Uncalibrated Data'!$C5384, 'Picarro Output'!$I:$I, 0, 'Picarro Output'!$J:$J, 1), "")</f>
        <v/>
      </c>
    </row>
    <row r="5385" spans="2:5" x14ac:dyDescent="0.2">
      <c r="B5385" s="1"/>
      <c r="E5385" s="38" t="str">
        <f>IFERROR(AVERAGEIFS('Picarro Output'!G:G, 'Picarro Output'!$B:$B, 'Uncalibrated Data'!$C5385, 'Picarro Output'!$I:$I, 0, 'Picarro Output'!$J:$J, 1), "")</f>
        <v/>
      </c>
    </row>
    <row r="5386" spans="2:5" x14ac:dyDescent="0.2">
      <c r="B5386" s="1"/>
      <c r="E5386" s="38" t="str">
        <f>IFERROR(AVERAGEIFS('Picarro Output'!G:G, 'Picarro Output'!$B:$B, 'Uncalibrated Data'!$C5386, 'Picarro Output'!$I:$I, 0, 'Picarro Output'!$J:$J, 1), "")</f>
        <v/>
      </c>
    </row>
    <row r="5387" spans="2:5" x14ac:dyDescent="0.2">
      <c r="B5387" s="1"/>
      <c r="E5387" s="38" t="str">
        <f>IFERROR(AVERAGEIFS('Picarro Output'!G:G, 'Picarro Output'!$B:$B, 'Uncalibrated Data'!$C5387, 'Picarro Output'!$I:$I, 0, 'Picarro Output'!$J:$J, 1), "")</f>
        <v/>
      </c>
    </row>
    <row r="5388" spans="2:5" x14ac:dyDescent="0.2">
      <c r="B5388" s="1"/>
      <c r="E5388" s="38" t="str">
        <f>IFERROR(AVERAGEIFS('Picarro Output'!G:G, 'Picarro Output'!$B:$B, 'Uncalibrated Data'!$C5388, 'Picarro Output'!$I:$I, 0, 'Picarro Output'!$J:$J, 1), "")</f>
        <v/>
      </c>
    </row>
    <row r="5389" spans="2:5" x14ac:dyDescent="0.2">
      <c r="B5389" s="1"/>
      <c r="E5389" s="38" t="str">
        <f>IFERROR(AVERAGEIFS('Picarro Output'!G:G, 'Picarro Output'!$B:$B, 'Uncalibrated Data'!$C5389, 'Picarro Output'!$I:$I, 0, 'Picarro Output'!$J:$J, 1), "")</f>
        <v/>
      </c>
    </row>
    <row r="5390" spans="2:5" x14ac:dyDescent="0.2">
      <c r="B5390" s="1"/>
      <c r="E5390" s="38" t="str">
        <f>IFERROR(AVERAGEIFS('Picarro Output'!G:G, 'Picarro Output'!$B:$B, 'Uncalibrated Data'!$C5390, 'Picarro Output'!$I:$I, 0, 'Picarro Output'!$J:$J, 1), "")</f>
        <v/>
      </c>
    </row>
    <row r="5391" spans="2:5" x14ac:dyDescent="0.2">
      <c r="B5391" s="1"/>
      <c r="E5391" s="38" t="str">
        <f>IFERROR(AVERAGEIFS('Picarro Output'!G:G, 'Picarro Output'!$B:$B, 'Uncalibrated Data'!$C5391, 'Picarro Output'!$I:$I, 0, 'Picarro Output'!$J:$J, 1), "")</f>
        <v/>
      </c>
    </row>
    <row r="5392" spans="2:5" x14ac:dyDescent="0.2">
      <c r="B5392" s="1"/>
      <c r="E5392" s="38" t="str">
        <f>IFERROR(AVERAGEIFS('Picarro Output'!G:G, 'Picarro Output'!$B:$B, 'Uncalibrated Data'!$C5392, 'Picarro Output'!$I:$I, 0, 'Picarro Output'!$J:$J, 1), "")</f>
        <v/>
      </c>
    </row>
    <row r="5393" spans="2:5" x14ac:dyDescent="0.2">
      <c r="B5393" s="1"/>
      <c r="E5393" s="38" t="str">
        <f>IFERROR(AVERAGEIFS('Picarro Output'!G:G, 'Picarro Output'!$B:$B, 'Uncalibrated Data'!$C5393, 'Picarro Output'!$I:$I, 0, 'Picarro Output'!$J:$J, 1), "")</f>
        <v/>
      </c>
    </row>
    <row r="5394" spans="2:5" x14ac:dyDescent="0.2">
      <c r="B5394" s="1"/>
      <c r="E5394" s="38" t="str">
        <f>IFERROR(AVERAGEIFS('Picarro Output'!G:G, 'Picarro Output'!$B:$B, 'Uncalibrated Data'!$C5394, 'Picarro Output'!$I:$I, 0, 'Picarro Output'!$J:$J, 1), "")</f>
        <v/>
      </c>
    </row>
    <row r="5395" spans="2:5" x14ac:dyDescent="0.2">
      <c r="B5395" s="1"/>
      <c r="E5395" s="38" t="str">
        <f>IFERROR(AVERAGEIFS('Picarro Output'!G:G, 'Picarro Output'!$B:$B, 'Uncalibrated Data'!$C5395, 'Picarro Output'!$I:$I, 0, 'Picarro Output'!$J:$J, 1), "")</f>
        <v/>
      </c>
    </row>
    <row r="5396" spans="2:5" x14ac:dyDescent="0.2">
      <c r="B5396" s="1"/>
      <c r="E5396" s="38" t="str">
        <f>IFERROR(AVERAGEIFS('Picarro Output'!G:G, 'Picarro Output'!$B:$B, 'Uncalibrated Data'!$C5396, 'Picarro Output'!$I:$I, 0, 'Picarro Output'!$J:$J, 1), "")</f>
        <v/>
      </c>
    </row>
    <row r="5397" spans="2:5" x14ac:dyDescent="0.2">
      <c r="B5397" s="1"/>
      <c r="E5397" s="38" t="str">
        <f>IFERROR(AVERAGEIFS('Picarro Output'!G:G, 'Picarro Output'!$B:$B, 'Uncalibrated Data'!$C5397, 'Picarro Output'!$I:$I, 0, 'Picarro Output'!$J:$J, 1), "")</f>
        <v/>
      </c>
    </row>
    <row r="5398" spans="2:5" x14ac:dyDescent="0.2">
      <c r="B5398" s="1"/>
      <c r="E5398" s="38" t="str">
        <f>IFERROR(AVERAGEIFS('Picarro Output'!G:G, 'Picarro Output'!$B:$B, 'Uncalibrated Data'!$C5398, 'Picarro Output'!$I:$I, 0, 'Picarro Output'!$J:$J, 1), "")</f>
        <v/>
      </c>
    </row>
    <row r="5399" spans="2:5" x14ac:dyDescent="0.2">
      <c r="B5399" s="1"/>
      <c r="E5399" s="38" t="str">
        <f>IFERROR(AVERAGEIFS('Picarro Output'!G:G, 'Picarro Output'!$B:$B, 'Uncalibrated Data'!$C5399, 'Picarro Output'!$I:$I, 0, 'Picarro Output'!$J:$J, 1), "")</f>
        <v/>
      </c>
    </row>
    <row r="5400" spans="2:5" x14ac:dyDescent="0.2">
      <c r="B5400" s="1"/>
      <c r="E5400" s="38" t="str">
        <f>IFERROR(AVERAGEIFS('Picarro Output'!G:G, 'Picarro Output'!$B:$B, 'Uncalibrated Data'!$C5400, 'Picarro Output'!$I:$I, 0, 'Picarro Output'!$J:$J, 1), "")</f>
        <v/>
      </c>
    </row>
    <row r="5401" spans="2:5" x14ac:dyDescent="0.2">
      <c r="B5401" s="1"/>
      <c r="E5401" s="38" t="str">
        <f>IFERROR(AVERAGEIFS('Picarro Output'!G:G, 'Picarro Output'!$B:$B, 'Uncalibrated Data'!$C5401, 'Picarro Output'!$I:$I, 0, 'Picarro Output'!$J:$J, 1), "")</f>
        <v/>
      </c>
    </row>
    <row r="5402" spans="2:5" x14ac:dyDescent="0.2">
      <c r="B5402" s="1"/>
      <c r="E5402" s="38" t="str">
        <f>IFERROR(AVERAGEIFS('Picarro Output'!G:G, 'Picarro Output'!$B:$B, 'Uncalibrated Data'!$C5402, 'Picarro Output'!$I:$I, 0, 'Picarro Output'!$J:$J, 1), "")</f>
        <v/>
      </c>
    </row>
    <row r="5403" spans="2:5" x14ac:dyDescent="0.2">
      <c r="B5403" s="1"/>
      <c r="E5403" s="38" t="str">
        <f>IFERROR(AVERAGEIFS('Picarro Output'!G:G, 'Picarro Output'!$B:$B, 'Uncalibrated Data'!$C5403, 'Picarro Output'!$I:$I, 0, 'Picarro Output'!$J:$J, 1), "")</f>
        <v/>
      </c>
    </row>
    <row r="5404" spans="2:5" x14ac:dyDescent="0.2">
      <c r="B5404" s="1"/>
      <c r="E5404" s="38" t="str">
        <f>IFERROR(AVERAGEIFS('Picarro Output'!G:G, 'Picarro Output'!$B:$B, 'Uncalibrated Data'!$C5404, 'Picarro Output'!$I:$I, 0, 'Picarro Output'!$J:$J, 1), "")</f>
        <v/>
      </c>
    </row>
    <row r="5405" spans="2:5" x14ac:dyDescent="0.2">
      <c r="B5405" s="1"/>
      <c r="E5405" s="38" t="str">
        <f>IFERROR(AVERAGEIFS('Picarro Output'!G:G, 'Picarro Output'!$B:$B, 'Uncalibrated Data'!$C5405, 'Picarro Output'!$I:$I, 0, 'Picarro Output'!$J:$J, 1), "")</f>
        <v/>
      </c>
    </row>
    <row r="5406" spans="2:5" x14ac:dyDescent="0.2">
      <c r="B5406" s="1"/>
      <c r="E5406" s="38" t="str">
        <f>IFERROR(AVERAGEIFS('Picarro Output'!G:G, 'Picarro Output'!$B:$B, 'Uncalibrated Data'!$C5406, 'Picarro Output'!$I:$I, 0, 'Picarro Output'!$J:$J, 1), "")</f>
        <v/>
      </c>
    </row>
    <row r="5407" spans="2:5" x14ac:dyDescent="0.2">
      <c r="B5407" s="1"/>
      <c r="E5407" s="38" t="str">
        <f>IFERROR(AVERAGEIFS('Picarro Output'!G:G, 'Picarro Output'!$B:$B, 'Uncalibrated Data'!$C5407, 'Picarro Output'!$I:$I, 0, 'Picarro Output'!$J:$J, 1), "")</f>
        <v/>
      </c>
    </row>
    <row r="5408" spans="2:5" x14ac:dyDescent="0.2">
      <c r="B5408" s="1"/>
      <c r="E5408" s="38" t="str">
        <f>IFERROR(AVERAGEIFS('Picarro Output'!G:G, 'Picarro Output'!$B:$B, 'Uncalibrated Data'!$C5408, 'Picarro Output'!$I:$I, 0, 'Picarro Output'!$J:$J, 1), "")</f>
        <v/>
      </c>
    </row>
    <row r="5409" spans="2:5" x14ac:dyDescent="0.2">
      <c r="B5409" s="1"/>
      <c r="E5409" s="38" t="str">
        <f>IFERROR(AVERAGEIFS('Picarro Output'!G:G, 'Picarro Output'!$B:$B, 'Uncalibrated Data'!$C5409, 'Picarro Output'!$I:$I, 0, 'Picarro Output'!$J:$J, 1), "")</f>
        <v/>
      </c>
    </row>
    <row r="5410" spans="2:5" x14ac:dyDescent="0.2">
      <c r="B5410" s="1"/>
      <c r="E5410" s="38" t="str">
        <f>IFERROR(AVERAGEIFS('Picarro Output'!G:G, 'Picarro Output'!$B:$B, 'Uncalibrated Data'!$C5410, 'Picarro Output'!$I:$I, 0, 'Picarro Output'!$J:$J, 1), "")</f>
        <v/>
      </c>
    </row>
    <row r="5411" spans="2:5" x14ac:dyDescent="0.2">
      <c r="B5411" s="1"/>
      <c r="E5411" s="38" t="str">
        <f>IFERROR(AVERAGEIFS('Picarro Output'!G:G, 'Picarro Output'!$B:$B, 'Uncalibrated Data'!$C5411, 'Picarro Output'!$I:$I, 0, 'Picarro Output'!$J:$J, 1), "")</f>
        <v/>
      </c>
    </row>
    <row r="5412" spans="2:5" x14ac:dyDescent="0.2">
      <c r="B5412" s="1"/>
      <c r="E5412" s="38" t="str">
        <f>IFERROR(AVERAGEIFS('Picarro Output'!G:G, 'Picarro Output'!$B:$B, 'Uncalibrated Data'!$C5412, 'Picarro Output'!$I:$I, 0, 'Picarro Output'!$J:$J, 1), "")</f>
        <v/>
      </c>
    </row>
    <row r="5413" spans="2:5" x14ac:dyDescent="0.2">
      <c r="B5413" s="1"/>
      <c r="E5413" s="38" t="str">
        <f>IFERROR(AVERAGEIFS('Picarro Output'!G:G, 'Picarro Output'!$B:$B, 'Uncalibrated Data'!$C5413, 'Picarro Output'!$I:$I, 0, 'Picarro Output'!$J:$J, 1), "")</f>
        <v/>
      </c>
    </row>
    <row r="5414" spans="2:5" x14ac:dyDescent="0.2">
      <c r="B5414" s="1"/>
      <c r="E5414" s="38" t="str">
        <f>IFERROR(AVERAGEIFS('Picarro Output'!G:G, 'Picarro Output'!$B:$B, 'Uncalibrated Data'!$C5414, 'Picarro Output'!$I:$I, 0, 'Picarro Output'!$J:$J, 1), "")</f>
        <v/>
      </c>
    </row>
    <row r="5415" spans="2:5" x14ac:dyDescent="0.2">
      <c r="B5415" s="1"/>
      <c r="E5415" s="38" t="str">
        <f>IFERROR(AVERAGEIFS('Picarro Output'!G:G, 'Picarro Output'!$B:$B, 'Uncalibrated Data'!$C5415, 'Picarro Output'!$I:$I, 0, 'Picarro Output'!$J:$J, 1), "")</f>
        <v/>
      </c>
    </row>
    <row r="5416" spans="2:5" x14ac:dyDescent="0.2">
      <c r="B5416" s="1"/>
      <c r="E5416" s="38" t="str">
        <f>IFERROR(AVERAGEIFS('Picarro Output'!G:G, 'Picarro Output'!$B:$B, 'Uncalibrated Data'!$C5416, 'Picarro Output'!$I:$I, 0, 'Picarro Output'!$J:$J, 1), "")</f>
        <v/>
      </c>
    </row>
    <row r="5417" spans="2:5" x14ac:dyDescent="0.2">
      <c r="B5417" s="1"/>
      <c r="E5417" s="38" t="str">
        <f>IFERROR(AVERAGEIFS('Picarro Output'!G:G, 'Picarro Output'!$B:$B, 'Uncalibrated Data'!$C5417, 'Picarro Output'!$I:$I, 0, 'Picarro Output'!$J:$J, 1), "")</f>
        <v/>
      </c>
    </row>
    <row r="5418" spans="2:5" x14ac:dyDescent="0.2">
      <c r="B5418" s="1"/>
      <c r="E5418" s="38" t="str">
        <f>IFERROR(AVERAGEIFS('Picarro Output'!G:G, 'Picarro Output'!$B:$B, 'Uncalibrated Data'!$C5418, 'Picarro Output'!$I:$I, 0, 'Picarro Output'!$J:$J, 1), "")</f>
        <v/>
      </c>
    </row>
    <row r="5419" spans="2:5" x14ac:dyDescent="0.2">
      <c r="B5419" s="1"/>
      <c r="E5419" s="38" t="str">
        <f>IFERROR(AVERAGEIFS('Picarro Output'!G:G, 'Picarro Output'!$B:$B, 'Uncalibrated Data'!$C5419, 'Picarro Output'!$I:$I, 0, 'Picarro Output'!$J:$J, 1), "")</f>
        <v/>
      </c>
    </row>
    <row r="5420" spans="2:5" x14ac:dyDescent="0.2">
      <c r="B5420" s="1"/>
      <c r="E5420" s="38" t="str">
        <f>IFERROR(AVERAGEIFS('Picarro Output'!G:G, 'Picarro Output'!$B:$B, 'Uncalibrated Data'!$C5420, 'Picarro Output'!$I:$I, 0, 'Picarro Output'!$J:$J, 1), "")</f>
        <v/>
      </c>
    </row>
    <row r="5421" spans="2:5" x14ac:dyDescent="0.2">
      <c r="B5421" s="1"/>
      <c r="E5421" s="38" t="str">
        <f>IFERROR(AVERAGEIFS('Picarro Output'!G:G, 'Picarro Output'!$B:$B, 'Uncalibrated Data'!$C5421, 'Picarro Output'!$I:$I, 0, 'Picarro Output'!$J:$J, 1), "")</f>
        <v/>
      </c>
    </row>
    <row r="5422" spans="2:5" x14ac:dyDescent="0.2">
      <c r="B5422" s="1"/>
      <c r="E5422" s="38" t="str">
        <f>IFERROR(AVERAGEIFS('Picarro Output'!G:G, 'Picarro Output'!$B:$B, 'Uncalibrated Data'!$C5422, 'Picarro Output'!$I:$I, 0, 'Picarro Output'!$J:$J, 1), "")</f>
        <v/>
      </c>
    </row>
    <row r="5423" spans="2:5" x14ac:dyDescent="0.2">
      <c r="B5423" s="1"/>
      <c r="E5423" s="38" t="str">
        <f>IFERROR(AVERAGEIFS('Picarro Output'!G:G, 'Picarro Output'!$B:$B, 'Uncalibrated Data'!$C5423, 'Picarro Output'!$I:$I, 0, 'Picarro Output'!$J:$J, 1), "")</f>
        <v/>
      </c>
    </row>
    <row r="5424" spans="2:5" x14ac:dyDescent="0.2">
      <c r="B5424" s="1"/>
      <c r="E5424" s="38" t="str">
        <f>IFERROR(AVERAGEIFS('Picarro Output'!G:G, 'Picarro Output'!$B:$B, 'Uncalibrated Data'!$C5424, 'Picarro Output'!$I:$I, 0, 'Picarro Output'!$J:$J, 1), "")</f>
        <v/>
      </c>
    </row>
    <row r="5425" spans="2:5" x14ac:dyDescent="0.2">
      <c r="B5425" s="1"/>
      <c r="E5425" s="38" t="str">
        <f>IFERROR(AVERAGEIFS('Picarro Output'!G:G, 'Picarro Output'!$B:$B, 'Uncalibrated Data'!$C5425, 'Picarro Output'!$I:$I, 0, 'Picarro Output'!$J:$J, 1), "")</f>
        <v/>
      </c>
    </row>
    <row r="5426" spans="2:5" x14ac:dyDescent="0.2">
      <c r="B5426" s="1"/>
      <c r="E5426" s="38" t="str">
        <f>IFERROR(AVERAGEIFS('Picarro Output'!G:G, 'Picarro Output'!$B:$B, 'Uncalibrated Data'!$C5426, 'Picarro Output'!$I:$I, 0, 'Picarro Output'!$J:$J, 1), "")</f>
        <v/>
      </c>
    </row>
    <row r="5427" spans="2:5" x14ac:dyDescent="0.2">
      <c r="B5427" s="1"/>
      <c r="E5427" s="38" t="str">
        <f>IFERROR(AVERAGEIFS('Picarro Output'!G:G, 'Picarro Output'!$B:$B, 'Uncalibrated Data'!$C5427, 'Picarro Output'!$I:$I, 0, 'Picarro Output'!$J:$J, 1), "")</f>
        <v/>
      </c>
    </row>
    <row r="5428" spans="2:5" x14ac:dyDescent="0.2">
      <c r="B5428" s="1"/>
      <c r="E5428" s="38" t="str">
        <f>IFERROR(AVERAGEIFS('Picarro Output'!G:G, 'Picarro Output'!$B:$B, 'Uncalibrated Data'!$C5428, 'Picarro Output'!$I:$I, 0, 'Picarro Output'!$J:$J, 1), "")</f>
        <v/>
      </c>
    </row>
    <row r="5429" spans="2:5" x14ac:dyDescent="0.2">
      <c r="B5429" s="1"/>
      <c r="E5429" s="38" t="str">
        <f>IFERROR(AVERAGEIFS('Picarro Output'!G:G, 'Picarro Output'!$B:$B, 'Uncalibrated Data'!$C5429, 'Picarro Output'!$I:$I, 0, 'Picarro Output'!$J:$J, 1), "")</f>
        <v/>
      </c>
    </row>
    <row r="5430" spans="2:5" x14ac:dyDescent="0.2">
      <c r="B5430" s="1"/>
      <c r="E5430" s="38" t="str">
        <f>IFERROR(AVERAGEIFS('Picarro Output'!G:G, 'Picarro Output'!$B:$B, 'Uncalibrated Data'!$C5430, 'Picarro Output'!$I:$I, 0, 'Picarro Output'!$J:$J, 1), "")</f>
        <v/>
      </c>
    </row>
    <row r="5431" spans="2:5" x14ac:dyDescent="0.2">
      <c r="B5431" s="1"/>
      <c r="E5431" s="38" t="str">
        <f>IFERROR(AVERAGEIFS('Picarro Output'!G:G, 'Picarro Output'!$B:$B, 'Uncalibrated Data'!$C5431, 'Picarro Output'!$I:$I, 0, 'Picarro Output'!$J:$J, 1), "")</f>
        <v/>
      </c>
    </row>
    <row r="5432" spans="2:5" x14ac:dyDescent="0.2">
      <c r="B5432" s="1"/>
      <c r="E5432" s="38" t="str">
        <f>IFERROR(AVERAGEIFS('Picarro Output'!G:G, 'Picarro Output'!$B:$B, 'Uncalibrated Data'!$C5432, 'Picarro Output'!$I:$I, 0, 'Picarro Output'!$J:$J, 1), "")</f>
        <v/>
      </c>
    </row>
    <row r="5433" spans="2:5" x14ac:dyDescent="0.2">
      <c r="B5433" s="1"/>
      <c r="E5433" s="38" t="str">
        <f>IFERROR(AVERAGEIFS('Picarro Output'!G:G, 'Picarro Output'!$B:$B, 'Uncalibrated Data'!$C5433, 'Picarro Output'!$I:$I, 0, 'Picarro Output'!$J:$J, 1), "")</f>
        <v/>
      </c>
    </row>
    <row r="5434" spans="2:5" x14ac:dyDescent="0.2">
      <c r="B5434" s="1"/>
      <c r="E5434" s="38" t="str">
        <f>IFERROR(AVERAGEIFS('Picarro Output'!G:G, 'Picarro Output'!$B:$B, 'Uncalibrated Data'!$C5434, 'Picarro Output'!$I:$I, 0, 'Picarro Output'!$J:$J, 1), "")</f>
        <v/>
      </c>
    </row>
    <row r="5435" spans="2:5" x14ac:dyDescent="0.2">
      <c r="B5435" s="1"/>
      <c r="E5435" s="38" t="str">
        <f>IFERROR(AVERAGEIFS('Picarro Output'!G:G, 'Picarro Output'!$B:$B, 'Uncalibrated Data'!$C5435, 'Picarro Output'!$I:$I, 0, 'Picarro Output'!$J:$J, 1), "")</f>
        <v/>
      </c>
    </row>
    <row r="5436" spans="2:5" x14ac:dyDescent="0.2">
      <c r="B5436" s="1"/>
      <c r="E5436" s="38" t="str">
        <f>IFERROR(AVERAGEIFS('Picarro Output'!G:G, 'Picarro Output'!$B:$B, 'Uncalibrated Data'!$C5436, 'Picarro Output'!$I:$I, 0, 'Picarro Output'!$J:$J, 1), "")</f>
        <v/>
      </c>
    </row>
    <row r="5437" spans="2:5" x14ac:dyDescent="0.2">
      <c r="B5437" s="1"/>
      <c r="E5437" s="38" t="str">
        <f>IFERROR(AVERAGEIFS('Picarro Output'!G:G, 'Picarro Output'!$B:$B, 'Uncalibrated Data'!$C5437, 'Picarro Output'!$I:$I, 0, 'Picarro Output'!$J:$J, 1), "")</f>
        <v/>
      </c>
    </row>
    <row r="5438" spans="2:5" x14ac:dyDescent="0.2">
      <c r="B5438" s="1"/>
      <c r="E5438" s="38" t="str">
        <f>IFERROR(AVERAGEIFS('Picarro Output'!G:G, 'Picarro Output'!$B:$B, 'Uncalibrated Data'!$C5438, 'Picarro Output'!$I:$I, 0, 'Picarro Output'!$J:$J, 1), "")</f>
        <v/>
      </c>
    </row>
    <row r="5439" spans="2:5" x14ac:dyDescent="0.2">
      <c r="B5439" s="1"/>
      <c r="E5439" s="38" t="str">
        <f>IFERROR(AVERAGEIFS('Picarro Output'!G:G, 'Picarro Output'!$B:$B, 'Uncalibrated Data'!$C5439, 'Picarro Output'!$I:$I, 0, 'Picarro Output'!$J:$J, 1), "")</f>
        <v/>
      </c>
    </row>
    <row r="5440" spans="2:5" x14ac:dyDescent="0.2">
      <c r="B5440" s="1"/>
      <c r="E5440" s="38" t="str">
        <f>IFERROR(AVERAGEIFS('Picarro Output'!G:G, 'Picarro Output'!$B:$B, 'Uncalibrated Data'!$C5440, 'Picarro Output'!$I:$I, 0, 'Picarro Output'!$J:$J, 1), "")</f>
        <v/>
      </c>
    </row>
    <row r="5441" spans="2:5" x14ac:dyDescent="0.2">
      <c r="B5441" s="1"/>
      <c r="E5441" s="38" t="str">
        <f>IFERROR(AVERAGEIFS('Picarro Output'!G:G, 'Picarro Output'!$B:$B, 'Uncalibrated Data'!$C5441, 'Picarro Output'!$I:$I, 0, 'Picarro Output'!$J:$J, 1), "")</f>
        <v/>
      </c>
    </row>
    <row r="5442" spans="2:5" x14ac:dyDescent="0.2">
      <c r="B5442" s="1"/>
      <c r="E5442" s="38" t="str">
        <f>IFERROR(AVERAGEIFS('Picarro Output'!G:G, 'Picarro Output'!$B:$B, 'Uncalibrated Data'!$C5442, 'Picarro Output'!$I:$I, 0, 'Picarro Output'!$J:$J, 1), "")</f>
        <v/>
      </c>
    </row>
    <row r="5443" spans="2:5" x14ac:dyDescent="0.2">
      <c r="B5443" s="1"/>
      <c r="E5443" s="38" t="str">
        <f>IFERROR(AVERAGEIFS('Picarro Output'!G:G, 'Picarro Output'!$B:$B, 'Uncalibrated Data'!$C5443, 'Picarro Output'!$I:$I, 0, 'Picarro Output'!$J:$J, 1), "")</f>
        <v/>
      </c>
    </row>
    <row r="5444" spans="2:5" x14ac:dyDescent="0.2">
      <c r="B5444" s="1"/>
      <c r="E5444" s="38" t="str">
        <f>IFERROR(AVERAGEIFS('Picarro Output'!G:G, 'Picarro Output'!$B:$B, 'Uncalibrated Data'!$C5444, 'Picarro Output'!$I:$I, 0, 'Picarro Output'!$J:$J, 1), "")</f>
        <v/>
      </c>
    </row>
    <row r="5445" spans="2:5" x14ac:dyDescent="0.2">
      <c r="B5445" s="1"/>
      <c r="E5445" s="38" t="str">
        <f>IFERROR(AVERAGEIFS('Picarro Output'!G:G, 'Picarro Output'!$B:$B, 'Uncalibrated Data'!$C5445, 'Picarro Output'!$I:$I, 0, 'Picarro Output'!$J:$J, 1), "")</f>
        <v/>
      </c>
    </row>
    <row r="5446" spans="2:5" x14ac:dyDescent="0.2">
      <c r="B5446" s="1"/>
      <c r="E5446" s="38" t="str">
        <f>IFERROR(AVERAGEIFS('Picarro Output'!G:G, 'Picarro Output'!$B:$B, 'Uncalibrated Data'!$C5446, 'Picarro Output'!$I:$I, 0, 'Picarro Output'!$J:$J, 1), "")</f>
        <v/>
      </c>
    </row>
    <row r="5447" spans="2:5" x14ac:dyDescent="0.2">
      <c r="B5447" s="1"/>
      <c r="E5447" s="38" t="str">
        <f>IFERROR(AVERAGEIFS('Picarro Output'!G:G, 'Picarro Output'!$B:$B, 'Uncalibrated Data'!$C5447, 'Picarro Output'!$I:$I, 0, 'Picarro Output'!$J:$J, 1), "")</f>
        <v/>
      </c>
    </row>
    <row r="5448" spans="2:5" x14ac:dyDescent="0.2">
      <c r="B5448" s="1"/>
      <c r="E5448" s="38" t="str">
        <f>IFERROR(AVERAGEIFS('Picarro Output'!G:G, 'Picarro Output'!$B:$B, 'Uncalibrated Data'!$C5448, 'Picarro Output'!$I:$I, 0, 'Picarro Output'!$J:$J, 1), "")</f>
        <v/>
      </c>
    </row>
    <row r="5449" spans="2:5" x14ac:dyDescent="0.2">
      <c r="B5449" s="1"/>
      <c r="E5449" s="38" t="str">
        <f>IFERROR(AVERAGEIFS('Picarro Output'!G:G, 'Picarro Output'!$B:$B, 'Uncalibrated Data'!$C5449, 'Picarro Output'!$I:$I, 0, 'Picarro Output'!$J:$J, 1), "")</f>
        <v/>
      </c>
    </row>
    <row r="5450" spans="2:5" x14ac:dyDescent="0.2">
      <c r="B5450" s="1"/>
      <c r="E5450" s="38" t="str">
        <f>IFERROR(AVERAGEIFS('Picarro Output'!G:G, 'Picarro Output'!$B:$B, 'Uncalibrated Data'!$C5450, 'Picarro Output'!$I:$I, 0, 'Picarro Output'!$J:$J, 1), "")</f>
        <v/>
      </c>
    </row>
    <row r="5451" spans="2:5" x14ac:dyDescent="0.2">
      <c r="B5451" s="1"/>
      <c r="E5451" s="38" t="str">
        <f>IFERROR(AVERAGEIFS('Picarro Output'!G:G, 'Picarro Output'!$B:$B, 'Uncalibrated Data'!$C5451, 'Picarro Output'!$I:$I, 0, 'Picarro Output'!$J:$J, 1), "")</f>
        <v/>
      </c>
    </row>
    <row r="5452" spans="2:5" x14ac:dyDescent="0.2">
      <c r="B5452" s="1"/>
      <c r="E5452" s="38" t="str">
        <f>IFERROR(AVERAGEIFS('Picarro Output'!G:G, 'Picarro Output'!$B:$B, 'Uncalibrated Data'!$C5452, 'Picarro Output'!$I:$I, 0, 'Picarro Output'!$J:$J, 1), "")</f>
        <v/>
      </c>
    </row>
    <row r="5453" spans="2:5" x14ac:dyDescent="0.2">
      <c r="B5453" s="1"/>
      <c r="E5453" s="38" t="str">
        <f>IFERROR(AVERAGEIFS('Picarro Output'!G:G, 'Picarro Output'!$B:$B, 'Uncalibrated Data'!$C5453, 'Picarro Output'!$I:$I, 0, 'Picarro Output'!$J:$J, 1), "")</f>
        <v/>
      </c>
    </row>
    <row r="5454" spans="2:5" x14ac:dyDescent="0.2">
      <c r="B5454" s="1"/>
      <c r="E5454" s="38" t="str">
        <f>IFERROR(AVERAGEIFS('Picarro Output'!G:G, 'Picarro Output'!$B:$B, 'Uncalibrated Data'!$C5454, 'Picarro Output'!$I:$I, 0, 'Picarro Output'!$J:$J, 1), "")</f>
        <v/>
      </c>
    </row>
    <row r="5455" spans="2:5" x14ac:dyDescent="0.2">
      <c r="B5455" s="1"/>
      <c r="E5455" s="38" t="str">
        <f>IFERROR(AVERAGEIFS('Picarro Output'!G:G, 'Picarro Output'!$B:$B, 'Uncalibrated Data'!$C5455, 'Picarro Output'!$I:$I, 0, 'Picarro Output'!$J:$J, 1), "")</f>
        <v/>
      </c>
    </row>
    <row r="5456" spans="2:5" x14ac:dyDescent="0.2">
      <c r="B5456" s="1"/>
      <c r="E5456" s="38" t="str">
        <f>IFERROR(AVERAGEIFS('Picarro Output'!G:G, 'Picarro Output'!$B:$B, 'Uncalibrated Data'!$C5456, 'Picarro Output'!$I:$I, 0, 'Picarro Output'!$J:$J, 1), "")</f>
        <v/>
      </c>
    </row>
    <row r="5457" spans="2:5" x14ac:dyDescent="0.2">
      <c r="B5457" s="1"/>
      <c r="E5457" s="38" t="str">
        <f>IFERROR(AVERAGEIFS('Picarro Output'!G:G, 'Picarro Output'!$B:$B, 'Uncalibrated Data'!$C5457, 'Picarro Output'!$I:$I, 0, 'Picarro Output'!$J:$J, 1), "")</f>
        <v/>
      </c>
    </row>
    <row r="5458" spans="2:5" x14ac:dyDescent="0.2">
      <c r="B5458" s="1"/>
      <c r="E5458" s="38" t="str">
        <f>IFERROR(AVERAGEIFS('Picarro Output'!G:G, 'Picarro Output'!$B:$B, 'Uncalibrated Data'!$C5458, 'Picarro Output'!$I:$I, 0, 'Picarro Output'!$J:$J, 1), "")</f>
        <v/>
      </c>
    </row>
    <row r="5459" spans="2:5" x14ac:dyDescent="0.2">
      <c r="B5459" s="1"/>
      <c r="E5459" s="38" t="str">
        <f>IFERROR(AVERAGEIFS('Picarro Output'!G:G, 'Picarro Output'!$B:$B, 'Uncalibrated Data'!$C5459, 'Picarro Output'!$I:$I, 0, 'Picarro Output'!$J:$J, 1), "")</f>
        <v/>
      </c>
    </row>
    <row r="5460" spans="2:5" x14ac:dyDescent="0.2">
      <c r="B5460" s="1"/>
      <c r="E5460" s="38" t="str">
        <f>IFERROR(AVERAGEIFS('Picarro Output'!G:G, 'Picarro Output'!$B:$B, 'Uncalibrated Data'!$C5460, 'Picarro Output'!$I:$I, 0, 'Picarro Output'!$J:$J, 1), "")</f>
        <v/>
      </c>
    </row>
    <row r="5461" spans="2:5" x14ac:dyDescent="0.2">
      <c r="B5461" s="1"/>
      <c r="E5461" s="38" t="str">
        <f>IFERROR(AVERAGEIFS('Picarro Output'!G:G, 'Picarro Output'!$B:$B, 'Uncalibrated Data'!$C5461, 'Picarro Output'!$I:$I, 0, 'Picarro Output'!$J:$J, 1), "")</f>
        <v/>
      </c>
    </row>
    <row r="5462" spans="2:5" x14ac:dyDescent="0.2">
      <c r="B5462" s="1"/>
      <c r="E5462" s="38" t="str">
        <f>IFERROR(AVERAGEIFS('Picarro Output'!G:G, 'Picarro Output'!$B:$B, 'Uncalibrated Data'!$C5462, 'Picarro Output'!$I:$I, 0, 'Picarro Output'!$J:$J, 1), "")</f>
        <v/>
      </c>
    </row>
    <row r="5463" spans="2:5" x14ac:dyDescent="0.2">
      <c r="B5463" s="1"/>
      <c r="E5463" s="38" t="str">
        <f>IFERROR(AVERAGEIFS('Picarro Output'!G:G, 'Picarro Output'!$B:$B, 'Uncalibrated Data'!$C5463, 'Picarro Output'!$I:$I, 0, 'Picarro Output'!$J:$J, 1), "")</f>
        <v/>
      </c>
    </row>
    <row r="5464" spans="2:5" x14ac:dyDescent="0.2">
      <c r="B5464" s="1"/>
      <c r="E5464" s="38" t="str">
        <f>IFERROR(AVERAGEIFS('Picarro Output'!G:G, 'Picarro Output'!$B:$B, 'Uncalibrated Data'!$C5464, 'Picarro Output'!$I:$I, 0, 'Picarro Output'!$J:$J, 1), "")</f>
        <v/>
      </c>
    </row>
    <row r="5465" spans="2:5" x14ac:dyDescent="0.2">
      <c r="B5465" s="1"/>
      <c r="E5465" s="38" t="str">
        <f>IFERROR(AVERAGEIFS('Picarro Output'!G:G, 'Picarro Output'!$B:$B, 'Uncalibrated Data'!$C5465, 'Picarro Output'!$I:$I, 0, 'Picarro Output'!$J:$J, 1), "")</f>
        <v/>
      </c>
    </row>
    <row r="5466" spans="2:5" x14ac:dyDescent="0.2">
      <c r="B5466" s="1"/>
      <c r="E5466" s="38" t="str">
        <f>IFERROR(AVERAGEIFS('Picarro Output'!G:G, 'Picarro Output'!$B:$B, 'Uncalibrated Data'!$C5466, 'Picarro Output'!$I:$I, 0, 'Picarro Output'!$J:$J, 1), "")</f>
        <v/>
      </c>
    </row>
    <row r="5467" spans="2:5" x14ac:dyDescent="0.2">
      <c r="B5467" s="1"/>
      <c r="E5467" s="38" t="str">
        <f>IFERROR(AVERAGEIFS('Picarro Output'!G:G, 'Picarro Output'!$B:$B, 'Uncalibrated Data'!$C5467, 'Picarro Output'!$I:$I, 0, 'Picarro Output'!$J:$J, 1), "")</f>
        <v/>
      </c>
    </row>
    <row r="5468" spans="2:5" x14ac:dyDescent="0.2">
      <c r="B5468" s="1"/>
      <c r="E5468" s="38" t="str">
        <f>IFERROR(AVERAGEIFS('Picarro Output'!G:G, 'Picarro Output'!$B:$B, 'Uncalibrated Data'!$C5468, 'Picarro Output'!$I:$I, 0, 'Picarro Output'!$J:$J, 1), "")</f>
        <v/>
      </c>
    </row>
    <row r="5469" spans="2:5" x14ac:dyDescent="0.2">
      <c r="B5469" s="1"/>
      <c r="E5469" s="38" t="str">
        <f>IFERROR(AVERAGEIFS('Picarro Output'!G:G, 'Picarro Output'!$B:$B, 'Uncalibrated Data'!$C5469, 'Picarro Output'!$I:$I, 0, 'Picarro Output'!$J:$J, 1), "")</f>
        <v/>
      </c>
    </row>
    <row r="5470" spans="2:5" x14ac:dyDescent="0.2">
      <c r="B5470" s="1"/>
      <c r="E5470" s="38" t="str">
        <f>IFERROR(AVERAGEIFS('Picarro Output'!G:G, 'Picarro Output'!$B:$B, 'Uncalibrated Data'!$C5470, 'Picarro Output'!$I:$I, 0, 'Picarro Output'!$J:$J, 1), "")</f>
        <v/>
      </c>
    </row>
    <row r="5471" spans="2:5" x14ac:dyDescent="0.2">
      <c r="B5471" s="1"/>
      <c r="E5471" s="38" t="str">
        <f>IFERROR(AVERAGEIFS('Picarro Output'!G:G, 'Picarro Output'!$B:$B, 'Uncalibrated Data'!$C5471, 'Picarro Output'!$I:$I, 0, 'Picarro Output'!$J:$J, 1), "")</f>
        <v/>
      </c>
    </row>
    <row r="5472" spans="2:5" x14ac:dyDescent="0.2">
      <c r="B5472" s="1"/>
      <c r="E5472" s="38" t="str">
        <f>IFERROR(AVERAGEIFS('Picarro Output'!G:G, 'Picarro Output'!$B:$B, 'Uncalibrated Data'!$C5472, 'Picarro Output'!$I:$I, 0, 'Picarro Output'!$J:$J, 1), "")</f>
        <v/>
      </c>
    </row>
    <row r="5473" spans="2:5" x14ac:dyDescent="0.2">
      <c r="B5473" s="1"/>
      <c r="E5473" s="38" t="str">
        <f>IFERROR(AVERAGEIFS('Picarro Output'!G:G, 'Picarro Output'!$B:$B, 'Uncalibrated Data'!$C5473, 'Picarro Output'!$I:$I, 0, 'Picarro Output'!$J:$J, 1), "")</f>
        <v/>
      </c>
    </row>
    <row r="5474" spans="2:5" x14ac:dyDescent="0.2">
      <c r="B5474" s="1"/>
      <c r="E5474" s="38" t="str">
        <f>IFERROR(AVERAGEIFS('Picarro Output'!G:G, 'Picarro Output'!$B:$B, 'Uncalibrated Data'!$C5474, 'Picarro Output'!$I:$I, 0, 'Picarro Output'!$J:$J, 1), "")</f>
        <v/>
      </c>
    </row>
    <row r="5475" spans="2:5" x14ac:dyDescent="0.2">
      <c r="B5475" s="1"/>
      <c r="E5475" s="38" t="str">
        <f>IFERROR(AVERAGEIFS('Picarro Output'!G:G, 'Picarro Output'!$B:$B, 'Uncalibrated Data'!$C5475, 'Picarro Output'!$I:$I, 0, 'Picarro Output'!$J:$J, 1), "")</f>
        <v/>
      </c>
    </row>
    <row r="5476" spans="2:5" x14ac:dyDescent="0.2">
      <c r="B5476" s="1"/>
      <c r="E5476" s="38" t="str">
        <f>IFERROR(AVERAGEIFS('Picarro Output'!G:G, 'Picarro Output'!$B:$B, 'Uncalibrated Data'!$C5476, 'Picarro Output'!$I:$I, 0, 'Picarro Output'!$J:$J, 1), "")</f>
        <v/>
      </c>
    </row>
    <row r="5477" spans="2:5" x14ac:dyDescent="0.2">
      <c r="B5477" s="1"/>
      <c r="E5477" s="38" t="str">
        <f>IFERROR(AVERAGEIFS('Picarro Output'!G:G, 'Picarro Output'!$B:$B, 'Uncalibrated Data'!$C5477, 'Picarro Output'!$I:$I, 0, 'Picarro Output'!$J:$J, 1), "")</f>
        <v/>
      </c>
    </row>
    <row r="5478" spans="2:5" x14ac:dyDescent="0.2">
      <c r="B5478" s="1"/>
      <c r="E5478" s="38" t="str">
        <f>IFERROR(AVERAGEIFS('Picarro Output'!G:G, 'Picarro Output'!$B:$B, 'Uncalibrated Data'!$C5478, 'Picarro Output'!$I:$I, 0, 'Picarro Output'!$J:$J, 1), "")</f>
        <v/>
      </c>
    </row>
    <row r="5479" spans="2:5" x14ac:dyDescent="0.2">
      <c r="B5479" s="1"/>
      <c r="E5479" s="38" t="str">
        <f>IFERROR(AVERAGEIFS('Picarro Output'!G:G, 'Picarro Output'!$B:$B, 'Uncalibrated Data'!$C5479, 'Picarro Output'!$I:$I, 0, 'Picarro Output'!$J:$J, 1), "")</f>
        <v/>
      </c>
    </row>
    <row r="5480" spans="2:5" x14ac:dyDescent="0.2">
      <c r="B5480" s="1"/>
      <c r="E5480" s="38" t="str">
        <f>IFERROR(AVERAGEIFS('Picarro Output'!G:G, 'Picarro Output'!$B:$B, 'Uncalibrated Data'!$C5480, 'Picarro Output'!$I:$I, 0, 'Picarro Output'!$J:$J, 1), "")</f>
        <v/>
      </c>
    </row>
    <row r="5481" spans="2:5" x14ac:dyDescent="0.2">
      <c r="B5481" s="1"/>
      <c r="E5481" s="38" t="str">
        <f>IFERROR(AVERAGEIFS('Picarro Output'!G:G, 'Picarro Output'!$B:$B, 'Uncalibrated Data'!$C5481, 'Picarro Output'!$I:$I, 0, 'Picarro Output'!$J:$J, 1), "")</f>
        <v/>
      </c>
    </row>
    <row r="5482" spans="2:5" x14ac:dyDescent="0.2">
      <c r="B5482" s="1"/>
      <c r="E5482" s="38" t="str">
        <f>IFERROR(AVERAGEIFS('Picarro Output'!G:G, 'Picarro Output'!$B:$B, 'Uncalibrated Data'!$C5482, 'Picarro Output'!$I:$I, 0, 'Picarro Output'!$J:$J, 1), "")</f>
        <v/>
      </c>
    </row>
    <row r="5483" spans="2:5" x14ac:dyDescent="0.2">
      <c r="B5483" s="1"/>
      <c r="E5483" s="38" t="str">
        <f>IFERROR(AVERAGEIFS('Picarro Output'!G:G, 'Picarro Output'!$B:$B, 'Uncalibrated Data'!$C5483, 'Picarro Output'!$I:$I, 0, 'Picarro Output'!$J:$J, 1), "")</f>
        <v/>
      </c>
    </row>
    <row r="5484" spans="2:5" x14ac:dyDescent="0.2">
      <c r="B5484" s="1"/>
      <c r="E5484" s="38" t="str">
        <f>IFERROR(AVERAGEIFS('Picarro Output'!G:G, 'Picarro Output'!$B:$B, 'Uncalibrated Data'!$C5484, 'Picarro Output'!$I:$I, 0, 'Picarro Output'!$J:$J, 1), "")</f>
        <v/>
      </c>
    </row>
    <row r="5485" spans="2:5" x14ac:dyDescent="0.2">
      <c r="B5485" s="1"/>
      <c r="E5485" s="38" t="str">
        <f>IFERROR(AVERAGEIFS('Picarro Output'!G:G, 'Picarro Output'!$B:$B, 'Uncalibrated Data'!$C5485, 'Picarro Output'!$I:$I, 0, 'Picarro Output'!$J:$J, 1), "")</f>
        <v/>
      </c>
    </row>
    <row r="5486" spans="2:5" x14ac:dyDescent="0.2">
      <c r="B5486" s="1"/>
      <c r="E5486" s="38" t="str">
        <f>IFERROR(AVERAGEIFS('Picarro Output'!G:G, 'Picarro Output'!$B:$B, 'Uncalibrated Data'!$C5486, 'Picarro Output'!$I:$I, 0, 'Picarro Output'!$J:$J, 1), "")</f>
        <v/>
      </c>
    </row>
    <row r="5487" spans="2:5" x14ac:dyDescent="0.2">
      <c r="B5487" s="1"/>
      <c r="E5487" s="38" t="str">
        <f>IFERROR(AVERAGEIFS('Picarro Output'!G:G, 'Picarro Output'!$B:$B, 'Uncalibrated Data'!$C5487, 'Picarro Output'!$I:$I, 0, 'Picarro Output'!$J:$J, 1), "")</f>
        <v/>
      </c>
    </row>
    <row r="5488" spans="2:5" x14ac:dyDescent="0.2">
      <c r="B5488" s="1"/>
      <c r="E5488" s="38" t="str">
        <f>IFERROR(AVERAGEIFS('Picarro Output'!G:G, 'Picarro Output'!$B:$B, 'Uncalibrated Data'!$C5488, 'Picarro Output'!$I:$I, 0, 'Picarro Output'!$J:$J, 1), "")</f>
        <v/>
      </c>
    </row>
    <row r="5489" spans="2:5" x14ac:dyDescent="0.2">
      <c r="B5489" s="1"/>
      <c r="E5489" s="38" t="str">
        <f>IFERROR(AVERAGEIFS('Picarro Output'!G:G, 'Picarro Output'!$B:$B, 'Uncalibrated Data'!$C5489, 'Picarro Output'!$I:$I, 0, 'Picarro Output'!$J:$J, 1), "")</f>
        <v/>
      </c>
    </row>
    <row r="5490" spans="2:5" x14ac:dyDescent="0.2">
      <c r="B5490" s="1"/>
      <c r="E5490" s="38" t="str">
        <f>IFERROR(AVERAGEIFS('Picarro Output'!G:G, 'Picarro Output'!$B:$B, 'Uncalibrated Data'!$C5490, 'Picarro Output'!$I:$I, 0, 'Picarro Output'!$J:$J, 1), "")</f>
        <v/>
      </c>
    </row>
    <row r="5491" spans="2:5" x14ac:dyDescent="0.2">
      <c r="B5491" s="1"/>
      <c r="E5491" s="38" t="str">
        <f>IFERROR(AVERAGEIFS('Picarro Output'!G:G, 'Picarro Output'!$B:$B, 'Uncalibrated Data'!$C5491, 'Picarro Output'!$I:$I, 0, 'Picarro Output'!$J:$J, 1), "")</f>
        <v/>
      </c>
    </row>
    <row r="5492" spans="2:5" x14ac:dyDescent="0.2">
      <c r="B5492" s="1"/>
      <c r="E5492" s="38" t="str">
        <f>IFERROR(AVERAGEIFS('Picarro Output'!G:G, 'Picarro Output'!$B:$B, 'Uncalibrated Data'!$C5492, 'Picarro Output'!$I:$I, 0, 'Picarro Output'!$J:$J, 1), "")</f>
        <v/>
      </c>
    </row>
    <row r="5493" spans="2:5" x14ac:dyDescent="0.2">
      <c r="B5493" s="1"/>
      <c r="E5493" s="38" t="str">
        <f>IFERROR(AVERAGEIFS('Picarro Output'!G:G, 'Picarro Output'!$B:$B, 'Uncalibrated Data'!$C5493, 'Picarro Output'!$I:$I, 0, 'Picarro Output'!$J:$J, 1), "")</f>
        <v/>
      </c>
    </row>
    <row r="5494" spans="2:5" x14ac:dyDescent="0.2">
      <c r="B5494" s="1"/>
      <c r="E5494" s="38" t="str">
        <f>IFERROR(AVERAGEIFS('Picarro Output'!G:G, 'Picarro Output'!$B:$B, 'Uncalibrated Data'!$C5494, 'Picarro Output'!$I:$I, 0, 'Picarro Output'!$J:$J, 1), "")</f>
        <v/>
      </c>
    </row>
    <row r="5495" spans="2:5" x14ac:dyDescent="0.2">
      <c r="B5495" s="1"/>
      <c r="E5495" s="38" t="str">
        <f>IFERROR(AVERAGEIFS('Picarro Output'!G:G, 'Picarro Output'!$B:$B, 'Uncalibrated Data'!$C5495, 'Picarro Output'!$I:$I, 0, 'Picarro Output'!$J:$J, 1), "")</f>
        <v/>
      </c>
    </row>
    <row r="5496" spans="2:5" x14ac:dyDescent="0.2">
      <c r="B5496" s="1"/>
      <c r="E5496" s="38" t="str">
        <f>IFERROR(AVERAGEIFS('Picarro Output'!G:G, 'Picarro Output'!$B:$B, 'Uncalibrated Data'!$C5496, 'Picarro Output'!$I:$I, 0, 'Picarro Output'!$J:$J, 1), "")</f>
        <v/>
      </c>
    </row>
    <row r="5497" spans="2:5" x14ac:dyDescent="0.2">
      <c r="B5497" s="1"/>
      <c r="E5497" s="38" t="str">
        <f>IFERROR(AVERAGEIFS('Picarro Output'!G:G, 'Picarro Output'!$B:$B, 'Uncalibrated Data'!$C5497, 'Picarro Output'!$I:$I, 0, 'Picarro Output'!$J:$J, 1), "")</f>
        <v/>
      </c>
    </row>
    <row r="5498" spans="2:5" x14ac:dyDescent="0.2">
      <c r="B5498" s="1"/>
      <c r="E5498" s="38" t="str">
        <f>IFERROR(AVERAGEIFS('Picarro Output'!G:G, 'Picarro Output'!$B:$B, 'Uncalibrated Data'!$C5498, 'Picarro Output'!$I:$I, 0, 'Picarro Output'!$J:$J, 1), "")</f>
        <v/>
      </c>
    </row>
    <row r="5499" spans="2:5" x14ac:dyDescent="0.2">
      <c r="B5499" s="1"/>
      <c r="E5499" s="38" t="str">
        <f>IFERROR(AVERAGEIFS('Picarro Output'!G:G, 'Picarro Output'!$B:$B, 'Uncalibrated Data'!$C5499, 'Picarro Output'!$I:$I, 0, 'Picarro Output'!$J:$J, 1), "")</f>
        <v/>
      </c>
    </row>
    <row r="5500" spans="2:5" x14ac:dyDescent="0.2">
      <c r="B5500" s="1"/>
      <c r="E5500" s="38" t="str">
        <f>IFERROR(AVERAGEIFS('Picarro Output'!G:G, 'Picarro Output'!$B:$B, 'Uncalibrated Data'!$C5500, 'Picarro Output'!$I:$I, 0, 'Picarro Output'!$J:$J, 1), "")</f>
        <v/>
      </c>
    </row>
    <row r="5501" spans="2:5" x14ac:dyDescent="0.2">
      <c r="B5501" s="1"/>
      <c r="E5501" s="38" t="str">
        <f>IFERROR(AVERAGEIFS('Picarro Output'!G:G, 'Picarro Output'!$B:$B, 'Uncalibrated Data'!$C5501, 'Picarro Output'!$I:$I, 0, 'Picarro Output'!$J:$J, 1), "")</f>
        <v/>
      </c>
    </row>
    <row r="5502" spans="2:5" x14ac:dyDescent="0.2">
      <c r="B5502" s="1"/>
      <c r="E5502" s="38" t="str">
        <f>IFERROR(AVERAGEIFS('Picarro Output'!G:G, 'Picarro Output'!$B:$B, 'Uncalibrated Data'!$C5502, 'Picarro Output'!$I:$I, 0, 'Picarro Output'!$J:$J, 1), "")</f>
        <v/>
      </c>
    </row>
    <row r="5503" spans="2:5" x14ac:dyDescent="0.2">
      <c r="B5503" s="1"/>
      <c r="E5503" s="38" t="str">
        <f>IFERROR(AVERAGEIFS('Picarro Output'!G:G, 'Picarro Output'!$B:$B, 'Uncalibrated Data'!$C5503, 'Picarro Output'!$I:$I, 0, 'Picarro Output'!$J:$J, 1), "")</f>
        <v/>
      </c>
    </row>
    <row r="5504" spans="2:5" x14ac:dyDescent="0.2">
      <c r="B5504" s="1"/>
      <c r="E5504" s="38" t="str">
        <f>IFERROR(AVERAGEIFS('Picarro Output'!G:G, 'Picarro Output'!$B:$B, 'Uncalibrated Data'!$C5504, 'Picarro Output'!$I:$I, 0, 'Picarro Output'!$J:$J, 1), "")</f>
        <v/>
      </c>
    </row>
    <row r="5505" spans="2:5" x14ac:dyDescent="0.2">
      <c r="B5505" s="1"/>
      <c r="E5505" s="38" t="str">
        <f>IFERROR(AVERAGEIFS('Picarro Output'!G:G, 'Picarro Output'!$B:$B, 'Uncalibrated Data'!$C5505, 'Picarro Output'!$I:$I, 0, 'Picarro Output'!$J:$J, 1), "")</f>
        <v/>
      </c>
    </row>
    <row r="5506" spans="2:5" x14ac:dyDescent="0.2">
      <c r="B5506" s="1"/>
      <c r="E5506" s="38" t="str">
        <f>IFERROR(AVERAGEIFS('Picarro Output'!G:G, 'Picarro Output'!$B:$B, 'Uncalibrated Data'!$C5506, 'Picarro Output'!$I:$I, 0, 'Picarro Output'!$J:$J, 1), "")</f>
        <v/>
      </c>
    </row>
    <row r="5507" spans="2:5" x14ac:dyDescent="0.2">
      <c r="B5507" s="1"/>
      <c r="E5507" s="38" t="str">
        <f>IFERROR(AVERAGEIFS('Picarro Output'!G:G, 'Picarro Output'!$B:$B, 'Uncalibrated Data'!$C5507, 'Picarro Output'!$I:$I, 0, 'Picarro Output'!$J:$J, 1), "")</f>
        <v/>
      </c>
    </row>
    <row r="5508" spans="2:5" x14ac:dyDescent="0.2">
      <c r="B5508" s="1"/>
      <c r="E5508" s="38" t="str">
        <f>IFERROR(AVERAGEIFS('Picarro Output'!G:G, 'Picarro Output'!$B:$B, 'Uncalibrated Data'!$C5508, 'Picarro Output'!$I:$I, 0, 'Picarro Output'!$J:$J, 1), "")</f>
        <v/>
      </c>
    </row>
    <row r="5509" spans="2:5" x14ac:dyDescent="0.2">
      <c r="B5509" s="1"/>
      <c r="E5509" s="38" t="str">
        <f>IFERROR(AVERAGEIFS('Picarro Output'!G:G, 'Picarro Output'!$B:$B, 'Uncalibrated Data'!$C5509, 'Picarro Output'!$I:$I, 0, 'Picarro Output'!$J:$J, 1), "")</f>
        <v/>
      </c>
    </row>
    <row r="5510" spans="2:5" x14ac:dyDescent="0.2">
      <c r="B5510" s="1"/>
      <c r="E5510" s="38" t="str">
        <f>IFERROR(AVERAGEIFS('Picarro Output'!G:G, 'Picarro Output'!$B:$B, 'Uncalibrated Data'!$C5510, 'Picarro Output'!$I:$I, 0, 'Picarro Output'!$J:$J, 1), "")</f>
        <v/>
      </c>
    </row>
    <row r="5511" spans="2:5" x14ac:dyDescent="0.2">
      <c r="B5511" s="1"/>
      <c r="E5511" s="38" t="str">
        <f>IFERROR(AVERAGEIFS('Picarro Output'!G:G, 'Picarro Output'!$B:$B, 'Uncalibrated Data'!$C5511, 'Picarro Output'!$I:$I, 0, 'Picarro Output'!$J:$J, 1), "")</f>
        <v/>
      </c>
    </row>
    <row r="5512" spans="2:5" x14ac:dyDescent="0.2">
      <c r="B5512" s="1"/>
      <c r="E5512" s="38" t="str">
        <f>IFERROR(AVERAGEIFS('Picarro Output'!G:G, 'Picarro Output'!$B:$B, 'Uncalibrated Data'!$C5512, 'Picarro Output'!$I:$I, 0, 'Picarro Output'!$J:$J, 1), "")</f>
        <v/>
      </c>
    </row>
    <row r="5513" spans="2:5" x14ac:dyDescent="0.2">
      <c r="B5513" s="1"/>
      <c r="E5513" s="38" t="str">
        <f>IFERROR(AVERAGEIFS('Picarro Output'!G:G, 'Picarro Output'!$B:$B, 'Uncalibrated Data'!$C5513, 'Picarro Output'!$I:$I, 0, 'Picarro Output'!$J:$J, 1), "")</f>
        <v/>
      </c>
    </row>
    <row r="5514" spans="2:5" x14ac:dyDescent="0.2">
      <c r="B5514" s="1"/>
      <c r="E5514" s="38" t="str">
        <f>IFERROR(AVERAGEIFS('Picarro Output'!G:G, 'Picarro Output'!$B:$B, 'Uncalibrated Data'!$C5514, 'Picarro Output'!$I:$I, 0, 'Picarro Output'!$J:$J, 1), "")</f>
        <v/>
      </c>
    </row>
    <row r="5515" spans="2:5" x14ac:dyDescent="0.2">
      <c r="B5515" s="1"/>
      <c r="E5515" s="38" t="str">
        <f>IFERROR(AVERAGEIFS('Picarro Output'!G:G, 'Picarro Output'!$B:$B, 'Uncalibrated Data'!$C5515, 'Picarro Output'!$I:$I, 0, 'Picarro Output'!$J:$J, 1), "")</f>
        <v/>
      </c>
    </row>
    <row r="5516" spans="2:5" x14ac:dyDescent="0.2">
      <c r="B5516" s="1"/>
      <c r="E5516" s="38" t="str">
        <f>IFERROR(AVERAGEIFS('Picarro Output'!G:G, 'Picarro Output'!$B:$B, 'Uncalibrated Data'!$C5516, 'Picarro Output'!$I:$I, 0, 'Picarro Output'!$J:$J, 1), "")</f>
        <v/>
      </c>
    </row>
    <row r="5517" spans="2:5" x14ac:dyDescent="0.2">
      <c r="B5517" s="1"/>
      <c r="E5517" s="38" t="str">
        <f>IFERROR(AVERAGEIFS('Picarro Output'!G:G, 'Picarro Output'!$B:$B, 'Uncalibrated Data'!$C5517, 'Picarro Output'!$I:$I, 0, 'Picarro Output'!$J:$J, 1), "")</f>
        <v/>
      </c>
    </row>
    <row r="5518" spans="2:5" x14ac:dyDescent="0.2">
      <c r="B5518" s="1"/>
      <c r="E5518" s="38" t="str">
        <f>IFERROR(AVERAGEIFS('Picarro Output'!G:G, 'Picarro Output'!$B:$B, 'Uncalibrated Data'!$C5518, 'Picarro Output'!$I:$I, 0, 'Picarro Output'!$J:$J, 1), "")</f>
        <v/>
      </c>
    </row>
    <row r="5519" spans="2:5" x14ac:dyDescent="0.2">
      <c r="B5519" s="1"/>
      <c r="E5519" s="38" t="str">
        <f>IFERROR(AVERAGEIFS('Picarro Output'!G:G, 'Picarro Output'!$B:$B, 'Uncalibrated Data'!$C5519, 'Picarro Output'!$I:$I, 0, 'Picarro Output'!$J:$J, 1), "")</f>
        <v/>
      </c>
    </row>
    <row r="5520" spans="2:5" x14ac:dyDescent="0.2">
      <c r="B5520" s="1"/>
      <c r="E5520" s="38" t="str">
        <f>IFERROR(AVERAGEIFS('Picarro Output'!G:G, 'Picarro Output'!$B:$B, 'Uncalibrated Data'!$C5520, 'Picarro Output'!$I:$I, 0, 'Picarro Output'!$J:$J, 1), "")</f>
        <v/>
      </c>
    </row>
    <row r="5521" spans="2:5" x14ac:dyDescent="0.2">
      <c r="B5521" s="1"/>
      <c r="E5521" s="38" t="str">
        <f>IFERROR(AVERAGEIFS('Picarro Output'!G:G, 'Picarro Output'!$B:$B, 'Uncalibrated Data'!$C5521, 'Picarro Output'!$I:$I, 0, 'Picarro Output'!$J:$J, 1), "")</f>
        <v/>
      </c>
    </row>
    <row r="5522" spans="2:5" x14ac:dyDescent="0.2">
      <c r="B5522" s="1"/>
      <c r="E5522" s="38" t="str">
        <f>IFERROR(AVERAGEIFS('Picarro Output'!G:G, 'Picarro Output'!$B:$B, 'Uncalibrated Data'!$C5522, 'Picarro Output'!$I:$I, 0, 'Picarro Output'!$J:$J, 1), "")</f>
        <v/>
      </c>
    </row>
    <row r="5523" spans="2:5" x14ac:dyDescent="0.2">
      <c r="B5523" s="1"/>
      <c r="E5523" s="38" t="str">
        <f>IFERROR(AVERAGEIFS('Picarro Output'!G:G, 'Picarro Output'!$B:$B, 'Uncalibrated Data'!$C5523, 'Picarro Output'!$I:$I, 0, 'Picarro Output'!$J:$J, 1), "")</f>
        <v/>
      </c>
    </row>
    <row r="5524" spans="2:5" x14ac:dyDescent="0.2">
      <c r="B5524" s="1"/>
      <c r="E5524" s="38" t="str">
        <f>IFERROR(AVERAGEIFS('Picarro Output'!G:G, 'Picarro Output'!$B:$B, 'Uncalibrated Data'!$C5524, 'Picarro Output'!$I:$I, 0, 'Picarro Output'!$J:$J, 1), "")</f>
        <v/>
      </c>
    </row>
    <row r="5525" spans="2:5" x14ac:dyDescent="0.2">
      <c r="B5525" s="1"/>
      <c r="E5525" s="38" t="str">
        <f>IFERROR(AVERAGEIFS('Picarro Output'!G:G, 'Picarro Output'!$B:$B, 'Uncalibrated Data'!$C5525, 'Picarro Output'!$I:$I, 0, 'Picarro Output'!$J:$J, 1), "")</f>
        <v/>
      </c>
    </row>
    <row r="5526" spans="2:5" x14ac:dyDescent="0.2">
      <c r="B5526" s="1"/>
      <c r="E5526" s="38" t="str">
        <f>IFERROR(AVERAGEIFS('Picarro Output'!G:G, 'Picarro Output'!$B:$B, 'Uncalibrated Data'!$C5526, 'Picarro Output'!$I:$I, 0, 'Picarro Output'!$J:$J, 1), "")</f>
        <v/>
      </c>
    </row>
    <row r="5527" spans="2:5" x14ac:dyDescent="0.2">
      <c r="B5527" s="1"/>
      <c r="E5527" s="38" t="str">
        <f>IFERROR(AVERAGEIFS('Picarro Output'!G:G, 'Picarro Output'!$B:$B, 'Uncalibrated Data'!$C5527, 'Picarro Output'!$I:$I, 0, 'Picarro Output'!$J:$J, 1), "")</f>
        <v/>
      </c>
    </row>
    <row r="5528" spans="2:5" x14ac:dyDescent="0.2">
      <c r="B5528" s="1"/>
      <c r="E5528" s="38" t="str">
        <f>IFERROR(AVERAGEIFS('Picarro Output'!G:G, 'Picarro Output'!$B:$B, 'Uncalibrated Data'!$C5528, 'Picarro Output'!$I:$I, 0, 'Picarro Output'!$J:$J, 1), "")</f>
        <v/>
      </c>
    </row>
    <row r="5529" spans="2:5" x14ac:dyDescent="0.2">
      <c r="B5529" s="1"/>
      <c r="E5529" s="38" t="str">
        <f>IFERROR(AVERAGEIFS('Picarro Output'!G:G, 'Picarro Output'!$B:$B, 'Uncalibrated Data'!$C5529, 'Picarro Output'!$I:$I, 0, 'Picarro Output'!$J:$J, 1), "")</f>
        <v/>
      </c>
    </row>
    <row r="5530" spans="2:5" x14ac:dyDescent="0.2">
      <c r="B5530" s="1"/>
      <c r="E5530" s="38" t="str">
        <f>IFERROR(AVERAGEIFS('Picarro Output'!G:G, 'Picarro Output'!$B:$B, 'Uncalibrated Data'!$C5530, 'Picarro Output'!$I:$I, 0, 'Picarro Output'!$J:$J, 1), "")</f>
        <v/>
      </c>
    </row>
    <row r="5531" spans="2:5" x14ac:dyDescent="0.2">
      <c r="B5531" s="1"/>
      <c r="E5531" s="38" t="str">
        <f>IFERROR(AVERAGEIFS('Picarro Output'!G:G, 'Picarro Output'!$B:$B, 'Uncalibrated Data'!$C5531, 'Picarro Output'!$I:$I, 0, 'Picarro Output'!$J:$J, 1), "")</f>
        <v/>
      </c>
    </row>
    <row r="5532" spans="2:5" x14ac:dyDescent="0.2">
      <c r="B5532" s="1"/>
      <c r="E5532" s="38" t="str">
        <f>IFERROR(AVERAGEIFS('Picarro Output'!G:G, 'Picarro Output'!$B:$B, 'Uncalibrated Data'!$C5532, 'Picarro Output'!$I:$I, 0, 'Picarro Output'!$J:$J, 1), "")</f>
        <v/>
      </c>
    </row>
    <row r="5533" spans="2:5" x14ac:dyDescent="0.2">
      <c r="B5533" s="1"/>
      <c r="E5533" s="38" t="str">
        <f>IFERROR(AVERAGEIFS('Picarro Output'!G:G, 'Picarro Output'!$B:$B, 'Uncalibrated Data'!$C5533, 'Picarro Output'!$I:$I, 0, 'Picarro Output'!$J:$J, 1), "")</f>
        <v/>
      </c>
    </row>
    <row r="5534" spans="2:5" x14ac:dyDescent="0.2">
      <c r="B5534" s="1"/>
      <c r="E5534" s="38" t="str">
        <f>IFERROR(AVERAGEIFS('Picarro Output'!G:G, 'Picarro Output'!$B:$B, 'Uncalibrated Data'!$C5534, 'Picarro Output'!$I:$I, 0, 'Picarro Output'!$J:$J, 1), "")</f>
        <v/>
      </c>
    </row>
    <row r="5535" spans="2:5" x14ac:dyDescent="0.2">
      <c r="B5535" s="1"/>
      <c r="E5535" s="38" t="str">
        <f>IFERROR(AVERAGEIFS('Picarro Output'!G:G, 'Picarro Output'!$B:$B, 'Uncalibrated Data'!$C5535, 'Picarro Output'!$I:$I, 0, 'Picarro Output'!$J:$J, 1), "")</f>
        <v/>
      </c>
    </row>
    <row r="5536" spans="2:5" x14ac:dyDescent="0.2">
      <c r="B5536" s="1"/>
      <c r="E5536" s="38" t="str">
        <f>IFERROR(AVERAGEIFS('Picarro Output'!G:G, 'Picarro Output'!$B:$B, 'Uncalibrated Data'!$C5536, 'Picarro Output'!$I:$I, 0, 'Picarro Output'!$J:$J, 1), "")</f>
        <v/>
      </c>
    </row>
    <row r="5537" spans="2:5" x14ac:dyDescent="0.2">
      <c r="B5537" s="1"/>
      <c r="E5537" s="38" t="str">
        <f>IFERROR(AVERAGEIFS('Picarro Output'!G:G, 'Picarro Output'!$B:$B, 'Uncalibrated Data'!$C5537, 'Picarro Output'!$I:$I, 0, 'Picarro Output'!$J:$J, 1), "")</f>
        <v/>
      </c>
    </row>
    <row r="5538" spans="2:5" x14ac:dyDescent="0.2">
      <c r="B5538" s="1"/>
      <c r="E5538" s="38" t="str">
        <f>IFERROR(AVERAGEIFS('Picarro Output'!G:G, 'Picarro Output'!$B:$B, 'Uncalibrated Data'!$C5538, 'Picarro Output'!$I:$I, 0, 'Picarro Output'!$J:$J, 1), "")</f>
        <v/>
      </c>
    </row>
    <row r="5539" spans="2:5" x14ac:dyDescent="0.2">
      <c r="B5539" s="1"/>
      <c r="E5539" s="38" t="str">
        <f>IFERROR(AVERAGEIFS('Picarro Output'!G:G, 'Picarro Output'!$B:$B, 'Uncalibrated Data'!$C5539, 'Picarro Output'!$I:$I, 0, 'Picarro Output'!$J:$J, 1), "")</f>
        <v/>
      </c>
    </row>
    <row r="5540" spans="2:5" x14ac:dyDescent="0.2">
      <c r="B5540" s="1"/>
      <c r="E5540" s="38" t="str">
        <f>IFERROR(AVERAGEIFS('Picarro Output'!G:G, 'Picarro Output'!$B:$B, 'Uncalibrated Data'!$C5540, 'Picarro Output'!$I:$I, 0, 'Picarro Output'!$J:$J, 1), "")</f>
        <v/>
      </c>
    </row>
    <row r="5541" spans="2:5" x14ac:dyDescent="0.2">
      <c r="B5541" s="1"/>
      <c r="E5541" s="38" t="str">
        <f>IFERROR(AVERAGEIFS('Picarro Output'!G:G, 'Picarro Output'!$B:$B, 'Uncalibrated Data'!$C5541, 'Picarro Output'!$I:$I, 0, 'Picarro Output'!$J:$J, 1), "")</f>
        <v/>
      </c>
    </row>
    <row r="5542" spans="2:5" x14ac:dyDescent="0.2">
      <c r="B5542" s="1"/>
      <c r="E5542" s="38" t="str">
        <f>IFERROR(AVERAGEIFS('Picarro Output'!G:G, 'Picarro Output'!$B:$B, 'Uncalibrated Data'!$C5542, 'Picarro Output'!$I:$I, 0, 'Picarro Output'!$J:$J, 1), "")</f>
        <v/>
      </c>
    </row>
    <row r="5543" spans="2:5" x14ac:dyDescent="0.2">
      <c r="B5543" s="1"/>
      <c r="E5543" s="38" t="str">
        <f>IFERROR(AVERAGEIFS('Picarro Output'!G:G, 'Picarro Output'!$B:$B, 'Uncalibrated Data'!$C5543, 'Picarro Output'!$I:$I, 0, 'Picarro Output'!$J:$J, 1), "")</f>
        <v/>
      </c>
    </row>
    <row r="5544" spans="2:5" x14ac:dyDescent="0.2">
      <c r="B5544" s="1"/>
      <c r="E5544" s="38" t="str">
        <f>IFERROR(AVERAGEIFS('Picarro Output'!G:G, 'Picarro Output'!$B:$B, 'Uncalibrated Data'!$C5544, 'Picarro Output'!$I:$I, 0, 'Picarro Output'!$J:$J, 1), "")</f>
        <v/>
      </c>
    </row>
    <row r="5545" spans="2:5" x14ac:dyDescent="0.2">
      <c r="B5545" s="1"/>
      <c r="E5545" s="38" t="str">
        <f>IFERROR(AVERAGEIFS('Picarro Output'!G:G, 'Picarro Output'!$B:$B, 'Uncalibrated Data'!$C5545, 'Picarro Output'!$I:$I, 0, 'Picarro Output'!$J:$J, 1), "")</f>
        <v/>
      </c>
    </row>
    <row r="5546" spans="2:5" x14ac:dyDescent="0.2">
      <c r="B5546" s="1"/>
      <c r="E5546" s="38" t="str">
        <f>IFERROR(AVERAGEIFS('Picarro Output'!G:G, 'Picarro Output'!$B:$B, 'Uncalibrated Data'!$C5546, 'Picarro Output'!$I:$I, 0, 'Picarro Output'!$J:$J, 1), "")</f>
        <v/>
      </c>
    </row>
    <row r="5547" spans="2:5" x14ac:dyDescent="0.2">
      <c r="B5547" s="1"/>
      <c r="E5547" s="38" t="str">
        <f>IFERROR(AVERAGEIFS('Picarro Output'!G:G, 'Picarro Output'!$B:$B, 'Uncalibrated Data'!$C5547, 'Picarro Output'!$I:$I, 0, 'Picarro Output'!$J:$J, 1), "")</f>
        <v/>
      </c>
    </row>
    <row r="5548" spans="2:5" x14ac:dyDescent="0.2">
      <c r="B5548" s="1"/>
      <c r="E5548" s="38" t="str">
        <f>IFERROR(AVERAGEIFS('Picarro Output'!G:G, 'Picarro Output'!$B:$B, 'Uncalibrated Data'!$C5548, 'Picarro Output'!$I:$I, 0, 'Picarro Output'!$J:$J, 1), "")</f>
        <v/>
      </c>
    </row>
    <row r="5549" spans="2:5" x14ac:dyDescent="0.2">
      <c r="B5549" s="1"/>
      <c r="E5549" s="38" t="str">
        <f>IFERROR(AVERAGEIFS('Picarro Output'!G:G, 'Picarro Output'!$B:$B, 'Uncalibrated Data'!$C5549, 'Picarro Output'!$I:$I, 0, 'Picarro Output'!$J:$J, 1), "")</f>
        <v/>
      </c>
    </row>
    <row r="5550" spans="2:5" x14ac:dyDescent="0.2">
      <c r="B5550" s="1"/>
      <c r="E5550" s="38" t="str">
        <f>IFERROR(AVERAGEIFS('Picarro Output'!G:G, 'Picarro Output'!$B:$B, 'Uncalibrated Data'!$C5550, 'Picarro Output'!$I:$I, 0, 'Picarro Output'!$J:$J, 1), "")</f>
        <v/>
      </c>
    </row>
    <row r="5551" spans="2:5" x14ac:dyDescent="0.2">
      <c r="B5551" s="1"/>
      <c r="E5551" s="38" t="str">
        <f>IFERROR(AVERAGEIFS('Picarro Output'!G:G, 'Picarro Output'!$B:$B, 'Uncalibrated Data'!$C5551, 'Picarro Output'!$I:$I, 0, 'Picarro Output'!$J:$J, 1), "")</f>
        <v/>
      </c>
    </row>
    <row r="5552" spans="2:5" x14ac:dyDescent="0.2">
      <c r="B5552" s="1"/>
      <c r="E5552" s="38" t="str">
        <f>IFERROR(AVERAGEIFS('Picarro Output'!G:G, 'Picarro Output'!$B:$B, 'Uncalibrated Data'!$C5552, 'Picarro Output'!$I:$I, 0, 'Picarro Output'!$J:$J, 1), "")</f>
        <v/>
      </c>
    </row>
    <row r="5553" spans="2:5" x14ac:dyDescent="0.2">
      <c r="B5553" s="1"/>
      <c r="E5553" s="38" t="str">
        <f>IFERROR(AVERAGEIFS('Picarro Output'!G:G, 'Picarro Output'!$B:$B, 'Uncalibrated Data'!$C5553, 'Picarro Output'!$I:$I, 0, 'Picarro Output'!$J:$J, 1), "")</f>
        <v/>
      </c>
    </row>
    <row r="5554" spans="2:5" x14ac:dyDescent="0.2">
      <c r="B5554" s="1"/>
      <c r="E5554" s="38" t="str">
        <f>IFERROR(AVERAGEIFS('Picarro Output'!G:G, 'Picarro Output'!$B:$B, 'Uncalibrated Data'!$C5554, 'Picarro Output'!$I:$I, 0, 'Picarro Output'!$J:$J, 1), "")</f>
        <v/>
      </c>
    </row>
    <row r="5555" spans="2:5" x14ac:dyDescent="0.2">
      <c r="B5555" s="1"/>
      <c r="E5555" s="38" t="str">
        <f>IFERROR(AVERAGEIFS('Picarro Output'!G:G, 'Picarro Output'!$B:$B, 'Uncalibrated Data'!$C5555, 'Picarro Output'!$I:$I, 0, 'Picarro Output'!$J:$J, 1), "")</f>
        <v/>
      </c>
    </row>
    <row r="5556" spans="2:5" x14ac:dyDescent="0.2">
      <c r="B5556" s="1"/>
      <c r="E5556" s="38" t="str">
        <f>IFERROR(AVERAGEIFS('Picarro Output'!G:G, 'Picarro Output'!$B:$B, 'Uncalibrated Data'!$C5556, 'Picarro Output'!$I:$I, 0, 'Picarro Output'!$J:$J, 1), "")</f>
        <v/>
      </c>
    </row>
    <row r="5557" spans="2:5" x14ac:dyDescent="0.2">
      <c r="B5557" s="1"/>
      <c r="E5557" s="38" t="str">
        <f>IFERROR(AVERAGEIFS('Picarro Output'!G:G, 'Picarro Output'!$B:$B, 'Uncalibrated Data'!$C5557, 'Picarro Output'!$I:$I, 0, 'Picarro Output'!$J:$J, 1), "")</f>
        <v/>
      </c>
    </row>
    <row r="5558" spans="2:5" x14ac:dyDescent="0.2">
      <c r="B5558" s="1"/>
      <c r="E5558" s="38" t="str">
        <f>IFERROR(AVERAGEIFS('Picarro Output'!G:G, 'Picarro Output'!$B:$B, 'Uncalibrated Data'!$C5558, 'Picarro Output'!$I:$I, 0, 'Picarro Output'!$J:$J, 1), "")</f>
        <v/>
      </c>
    </row>
    <row r="5559" spans="2:5" x14ac:dyDescent="0.2">
      <c r="B5559" s="1"/>
      <c r="E5559" s="38" t="str">
        <f>IFERROR(AVERAGEIFS('Picarro Output'!G:G, 'Picarro Output'!$B:$B, 'Uncalibrated Data'!$C5559, 'Picarro Output'!$I:$I, 0, 'Picarro Output'!$J:$J, 1), "")</f>
        <v/>
      </c>
    </row>
    <row r="5560" spans="2:5" x14ac:dyDescent="0.2">
      <c r="B5560" s="1"/>
      <c r="E5560" s="38" t="str">
        <f>IFERROR(AVERAGEIFS('Picarro Output'!G:G, 'Picarro Output'!$B:$B, 'Uncalibrated Data'!$C5560, 'Picarro Output'!$I:$I, 0, 'Picarro Output'!$J:$J, 1), "")</f>
        <v/>
      </c>
    </row>
    <row r="5561" spans="2:5" x14ac:dyDescent="0.2">
      <c r="B5561" s="1"/>
      <c r="E5561" s="38" t="str">
        <f>IFERROR(AVERAGEIFS('Picarro Output'!G:G, 'Picarro Output'!$B:$B, 'Uncalibrated Data'!$C5561, 'Picarro Output'!$I:$I, 0, 'Picarro Output'!$J:$J, 1), "")</f>
        <v/>
      </c>
    </row>
    <row r="5562" spans="2:5" x14ac:dyDescent="0.2">
      <c r="B5562" s="1"/>
      <c r="E5562" s="38" t="str">
        <f>IFERROR(AVERAGEIFS('Picarro Output'!G:G, 'Picarro Output'!$B:$B, 'Uncalibrated Data'!$C5562, 'Picarro Output'!$I:$I, 0, 'Picarro Output'!$J:$J, 1), "")</f>
        <v/>
      </c>
    </row>
    <row r="5563" spans="2:5" x14ac:dyDescent="0.2">
      <c r="B5563" s="1"/>
      <c r="E5563" s="38" t="str">
        <f>IFERROR(AVERAGEIFS('Picarro Output'!G:G, 'Picarro Output'!$B:$B, 'Uncalibrated Data'!$C5563, 'Picarro Output'!$I:$I, 0, 'Picarro Output'!$J:$J, 1), "")</f>
        <v/>
      </c>
    </row>
    <row r="5564" spans="2:5" x14ac:dyDescent="0.2">
      <c r="B5564" s="1"/>
      <c r="E5564" s="38" t="str">
        <f>IFERROR(AVERAGEIFS('Picarro Output'!G:G, 'Picarro Output'!$B:$B, 'Uncalibrated Data'!$C5564, 'Picarro Output'!$I:$I, 0, 'Picarro Output'!$J:$J, 1), "")</f>
        <v/>
      </c>
    </row>
    <row r="5565" spans="2:5" x14ac:dyDescent="0.2">
      <c r="B5565" s="1"/>
      <c r="E5565" s="38" t="str">
        <f>IFERROR(AVERAGEIFS('Picarro Output'!G:G, 'Picarro Output'!$B:$B, 'Uncalibrated Data'!$C5565, 'Picarro Output'!$I:$I, 0, 'Picarro Output'!$J:$J, 1), "")</f>
        <v/>
      </c>
    </row>
    <row r="5566" spans="2:5" x14ac:dyDescent="0.2">
      <c r="B5566" s="1"/>
      <c r="E5566" s="38" t="str">
        <f>IFERROR(AVERAGEIFS('Picarro Output'!G:G, 'Picarro Output'!$B:$B, 'Uncalibrated Data'!$C5566, 'Picarro Output'!$I:$I, 0, 'Picarro Output'!$J:$J, 1), "")</f>
        <v/>
      </c>
    </row>
    <row r="5567" spans="2:5" x14ac:dyDescent="0.2">
      <c r="B5567" s="1"/>
      <c r="E5567" s="38" t="str">
        <f>IFERROR(AVERAGEIFS('Picarro Output'!G:G, 'Picarro Output'!$B:$B, 'Uncalibrated Data'!$C5567, 'Picarro Output'!$I:$I, 0, 'Picarro Output'!$J:$J, 1), "")</f>
        <v/>
      </c>
    </row>
    <row r="5568" spans="2:5" x14ac:dyDescent="0.2">
      <c r="B5568" s="1"/>
      <c r="E5568" s="38" t="str">
        <f>IFERROR(AVERAGEIFS('Picarro Output'!G:G, 'Picarro Output'!$B:$B, 'Uncalibrated Data'!$C5568, 'Picarro Output'!$I:$I, 0, 'Picarro Output'!$J:$J, 1), "")</f>
        <v/>
      </c>
    </row>
    <row r="5569" spans="2:5" x14ac:dyDescent="0.2">
      <c r="B5569" s="1"/>
      <c r="E5569" s="38" t="str">
        <f>IFERROR(AVERAGEIFS('Picarro Output'!G:G, 'Picarro Output'!$B:$B, 'Uncalibrated Data'!$C5569, 'Picarro Output'!$I:$I, 0, 'Picarro Output'!$J:$J, 1), "")</f>
        <v/>
      </c>
    </row>
    <row r="5570" spans="2:5" x14ac:dyDescent="0.2">
      <c r="B5570" s="1"/>
      <c r="E5570" s="38" t="str">
        <f>IFERROR(AVERAGEIFS('Picarro Output'!G:G, 'Picarro Output'!$B:$B, 'Uncalibrated Data'!$C5570, 'Picarro Output'!$I:$I, 0, 'Picarro Output'!$J:$J, 1), "")</f>
        <v/>
      </c>
    </row>
    <row r="5571" spans="2:5" x14ac:dyDescent="0.2">
      <c r="B5571" s="1"/>
      <c r="E5571" s="38" t="str">
        <f>IFERROR(AVERAGEIFS('Picarro Output'!G:G, 'Picarro Output'!$B:$B, 'Uncalibrated Data'!$C5571, 'Picarro Output'!$I:$I, 0, 'Picarro Output'!$J:$J, 1), "")</f>
        <v/>
      </c>
    </row>
    <row r="5572" spans="2:5" x14ac:dyDescent="0.2">
      <c r="B5572" s="1"/>
      <c r="E5572" s="38" t="str">
        <f>IFERROR(AVERAGEIFS('Picarro Output'!G:G, 'Picarro Output'!$B:$B, 'Uncalibrated Data'!$C5572, 'Picarro Output'!$I:$I, 0, 'Picarro Output'!$J:$J, 1), "")</f>
        <v/>
      </c>
    </row>
    <row r="5573" spans="2:5" x14ac:dyDescent="0.2">
      <c r="B5573" s="1"/>
      <c r="E5573" s="38" t="str">
        <f>IFERROR(AVERAGEIFS('Picarro Output'!G:G, 'Picarro Output'!$B:$B, 'Uncalibrated Data'!$C5573, 'Picarro Output'!$I:$I, 0, 'Picarro Output'!$J:$J, 1), "")</f>
        <v/>
      </c>
    </row>
    <row r="5574" spans="2:5" x14ac:dyDescent="0.2">
      <c r="B5574" s="1"/>
      <c r="E5574" s="38" t="str">
        <f>IFERROR(AVERAGEIFS('Picarro Output'!G:G, 'Picarro Output'!$B:$B, 'Uncalibrated Data'!$C5574, 'Picarro Output'!$I:$I, 0, 'Picarro Output'!$J:$J, 1), "")</f>
        <v/>
      </c>
    </row>
    <row r="5575" spans="2:5" x14ac:dyDescent="0.2">
      <c r="B5575" s="1"/>
      <c r="E5575" s="38" t="str">
        <f>IFERROR(AVERAGEIFS('Picarro Output'!G:G, 'Picarro Output'!$B:$B, 'Uncalibrated Data'!$C5575, 'Picarro Output'!$I:$I, 0, 'Picarro Output'!$J:$J, 1), "")</f>
        <v/>
      </c>
    </row>
    <row r="5576" spans="2:5" x14ac:dyDescent="0.2">
      <c r="B5576" s="1"/>
      <c r="E5576" s="38" t="str">
        <f>IFERROR(AVERAGEIFS('Picarro Output'!G:G, 'Picarro Output'!$B:$B, 'Uncalibrated Data'!$C5576, 'Picarro Output'!$I:$I, 0, 'Picarro Output'!$J:$J, 1), "")</f>
        <v/>
      </c>
    </row>
    <row r="5577" spans="2:5" x14ac:dyDescent="0.2">
      <c r="B5577" s="1"/>
      <c r="E5577" s="38" t="str">
        <f>IFERROR(AVERAGEIFS('Picarro Output'!G:G, 'Picarro Output'!$B:$B, 'Uncalibrated Data'!$C5577, 'Picarro Output'!$I:$I, 0, 'Picarro Output'!$J:$J, 1), "")</f>
        <v/>
      </c>
    </row>
    <row r="5578" spans="2:5" x14ac:dyDescent="0.2">
      <c r="B5578" s="1"/>
      <c r="E5578" s="38" t="str">
        <f>IFERROR(AVERAGEIFS('Picarro Output'!G:G, 'Picarro Output'!$B:$B, 'Uncalibrated Data'!$C5578, 'Picarro Output'!$I:$I, 0, 'Picarro Output'!$J:$J, 1), "")</f>
        <v/>
      </c>
    </row>
    <row r="5579" spans="2:5" x14ac:dyDescent="0.2">
      <c r="B5579" s="1"/>
      <c r="E5579" s="38" t="str">
        <f>IFERROR(AVERAGEIFS('Picarro Output'!G:G, 'Picarro Output'!$B:$B, 'Uncalibrated Data'!$C5579, 'Picarro Output'!$I:$I, 0, 'Picarro Output'!$J:$J, 1), "")</f>
        <v/>
      </c>
    </row>
    <row r="5580" spans="2:5" x14ac:dyDescent="0.2">
      <c r="B5580" s="1"/>
      <c r="E5580" s="38" t="str">
        <f>IFERROR(AVERAGEIFS('Picarro Output'!G:G, 'Picarro Output'!$B:$B, 'Uncalibrated Data'!$C5580, 'Picarro Output'!$I:$I, 0, 'Picarro Output'!$J:$J, 1), "")</f>
        <v/>
      </c>
    </row>
    <row r="5581" spans="2:5" x14ac:dyDescent="0.2">
      <c r="B5581" s="1"/>
      <c r="E5581" s="38" t="str">
        <f>IFERROR(AVERAGEIFS('Picarro Output'!G:G, 'Picarro Output'!$B:$B, 'Uncalibrated Data'!$C5581, 'Picarro Output'!$I:$I, 0, 'Picarro Output'!$J:$J, 1), "")</f>
        <v/>
      </c>
    </row>
    <row r="5582" spans="2:5" x14ac:dyDescent="0.2">
      <c r="B5582" s="1"/>
      <c r="E5582" s="38" t="str">
        <f>IFERROR(AVERAGEIFS('Picarro Output'!G:G, 'Picarro Output'!$B:$B, 'Uncalibrated Data'!$C5582, 'Picarro Output'!$I:$I, 0, 'Picarro Output'!$J:$J, 1), "")</f>
        <v/>
      </c>
    </row>
    <row r="5583" spans="2:5" x14ac:dyDescent="0.2">
      <c r="B5583" s="1"/>
      <c r="E5583" s="38" t="str">
        <f>IFERROR(AVERAGEIFS('Picarro Output'!G:G, 'Picarro Output'!$B:$B, 'Uncalibrated Data'!$C5583, 'Picarro Output'!$I:$I, 0, 'Picarro Output'!$J:$J, 1), "")</f>
        <v/>
      </c>
    </row>
    <row r="5584" spans="2:5" x14ac:dyDescent="0.2">
      <c r="B5584" s="1"/>
      <c r="E5584" s="38" t="str">
        <f>IFERROR(AVERAGEIFS('Picarro Output'!G:G, 'Picarro Output'!$B:$B, 'Uncalibrated Data'!$C5584, 'Picarro Output'!$I:$I, 0, 'Picarro Output'!$J:$J, 1), "")</f>
        <v/>
      </c>
    </row>
    <row r="5585" spans="2:5" x14ac:dyDescent="0.2">
      <c r="B5585" s="1"/>
      <c r="E5585" s="38" t="str">
        <f>IFERROR(AVERAGEIFS('Picarro Output'!G:G, 'Picarro Output'!$B:$B, 'Uncalibrated Data'!$C5585, 'Picarro Output'!$I:$I, 0, 'Picarro Output'!$J:$J, 1), "")</f>
        <v/>
      </c>
    </row>
    <row r="5586" spans="2:5" x14ac:dyDescent="0.2">
      <c r="B5586" s="1"/>
      <c r="E5586" s="38" t="str">
        <f>IFERROR(AVERAGEIFS('Picarro Output'!G:G, 'Picarro Output'!$B:$B, 'Uncalibrated Data'!$C5586, 'Picarro Output'!$I:$I, 0, 'Picarro Output'!$J:$J, 1), "")</f>
        <v/>
      </c>
    </row>
    <row r="5587" spans="2:5" x14ac:dyDescent="0.2">
      <c r="B5587" s="1"/>
      <c r="E5587" s="38" t="str">
        <f>IFERROR(AVERAGEIFS('Picarro Output'!G:G, 'Picarro Output'!$B:$B, 'Uncalibrated Data'!$C5587, 'Picarro Output'!$I:$I, 0, 'Picarro Output'!$J:$J, 1), "")</f>
        <v/>
      </c>
    </row>
    <row r="5588" spans="2:5" x14ac:dyDescent="0.2">
      <c r="B5588" s="1"/>
      <c r="E5588" s="38" t="str">
        <f>IFERROR(AVERAGEIFS('Picarro Output'!G:G, 'Picarro Output'!$B:$B, 'Uncalibrated Data'!$C5588, 'Picarro Output'!$I:$I, 0, 'Picarro Output'!$J:$J, 1), "")</f>
        <v/>
      </c>
    </row>
    <row r="5589" spans="2:5" x14ac:dyDescent="0.2">
      <c r="B5589" s="1"/>
      <c r="E5589" s="38" t="str">
        <f>IFERROR(AVERAGEIFS('Picarro Output'!G:G, 'Picarro Output'!$B:$B, 'Uncalibrated Data'!$C5589, 'Picarro Output'!$I:$I, 0, 'Picarro Output'!$J:$J, 1), "")</f>
        <v/>
      </c>
    </row>
    <row r="5590" spans="2:5" x14ac:dyDescent="0.2">
      <c r="B5590" s="1"/>
      <c r="E5590" s="38" t="str">
        <f>IFERROR(AVERAGEIFS('Picarro Output'!G:G, 'Picarro Output'!$B:$B, 'Uncalibrated Data'!$C5590, 'Picarro Output'!$I:$I, 0, 'Picarro Output'!$J:$J, 1), "")</f>
        <v/>
      </c>
    </row>
    <row r="5591" spans="2:5" x14ac:dyDescent="0.2">
      <c r="B5591" s="1"/>
      <c r="E5591" s="38" t="str">
        <f>IFERROR(AVERAGEIFS('Picarro Output'!G:G, 'Picarro Output'!$B:$B, 'Uncalibrated Data'!$C5591, 'Picarro Output'!$I:$I, 0, 'Picarro Output'!$J:$J, 1), "")</f>
        <v/>
      </c>
    </row>
    <row r="5592" spans="2:5" x14ac:dyDescent="0.2">
      <c r="B5592" s="1"/>
      <c r="E5592" s="38" t="str">
        <f>IFERROR(AVERAGEIFS('Picarro Output'!G:G, 'Picarro Output'!$B:$B, 'Uncalibrated Data'!$C5592, 'Picarro Output'!$I:$I, 0, 'Picarro Output'!$J:$J, 1), "")</f>
        <v/>
      </c>
    </row>
    <row r="5593" spans="2:5" x14ac:dyDescent="0.2">
      <c r="B5593" s="1"/>
      <c r="E5593" s="38" t="str">
        <f>IFERROR(AVERAGEIFS('Picarro Output'!G:G, 'Picarro Output'!$B:$B, 'Uncalibrated Data'!$C5593, 'Picarro Output'!$I:$I, 0, 'Picarro Output'!$J:$J, 1), "")</f>
        <v/>
      </c>
    </row>
    <row r="5594" spans="2:5" x14ac:dyDescent="0.2">
      <c r="B5594" s="1"/>
      <c r="E5594" s="38" t="str">
        <f>IFERROR(AVERAGEIFS('Picarro Output'!G:G, 'Picarro Output'!$B:$B, 'Uncalibrated Data'!$C5594, 'Picarro Output'!$I:$I, 0, 'Picarro Output'!$J:$J, 1), "")</f>
        <v/>
      </c>
    </row>
    <row r="5595" spans="2:5" x14ac:dyDescent="0.2">
      <c r="B5595" s="1"/>
      <c r="E5595" s="38" t="str">
        <f>IFERROR(AVERAGEIFS('Picarro Output'!G:G, 'Picarro Output'!$B:$B, 'Uncalibrated Data'!$C5595, 'Picarro Output'!$I:$I, 0, 'Picarro Output'!$J:$J, 1), "")</f>
        <v/>
      </c>
    </row>
    <row r="5596" spans="2:5" x14ac:dyDescent="0.2">
      <c r="B5596" s="1"/>
      <c r="E5596" s="38" t="str">
        <f>IFERROR(AVERAGEIFS('Picarro Output'!G:G, 'Picarro Output'!$B:$B, 'Uncalibrated Data'!$C5596, 'Picarro Output'!$I:$I, 0, 'Picarro Output'!$J:$J, 1), "")</f>
        <v/>
      </c>
    </row>
    <row r="5597" spans="2:5" x14ac:dyDescent="0.2">
      <c r="B5597" s="1"/>
      <c r="E5597" s="38" t="str">
        <f>IFERROR(AVERAGEIFS('Picarro Output'!G:G, 'Picarro Output'!$B:$B, 'Uncalibrated Data'!$C5597, 'Picarro Output'!$I:$I, 0, 'Picarro Output'!$J:$J, 1), "")</f>
        <v/>
      </c>
    </row>
    <row r="5598" spans="2:5" x14ac:dyDescent="0.2">
      <c r="B5598" s="1"/>
      <c r="E5598" s="38" t="str">
        <f>IFERROR(AVERAGEIFS('Picarro Output'!G:G, 'Picarro Output'!$B:$B, 'Uncalibrated Data'!$C5598, 'Picarro Output'!$I:$I, 0, 'Picarro Output'!$J:$J, 1), "")</f>
        <v/>
      </c>
    </row>
    <row r="5599" spans="2:5" x14ac:dyDescent="0.2">
      <c r="B5599" s="1"/>
      <c r="E5599" s="38" t="str">
        <f>IFERROR(AVERAGEIFS('Picarro Output'!G:G, 'Picarro Output'!$B:$B, 'Uncalibrated Data'!$C5599, 'Picarro Output'!$I:$I, 0, 'Picarro Output'!$J:$J, 1), "")</f>
        <v/>
      </c>
    </row>
    <row r="5600" spans="2:5" x14ac:dyDescent="0.2">
      <c r="B5600" s="1"/>
      <c r="E5600" s="38" t="str">
        <f>IFERROR(AVERAGEIFS('Picarro Output'!G:G, 'Picarro Output'!$B:$B, 'Uncalibrated Data'!$C5600, 'Picarro Output'!$I:$I, 0, 'Picarro Output'!$J:$J, 1), "")</f>
        <v/>
      </c>
    </row>
    <row r="5601" spans="2:5" x14ac:dyDescent="0.2">
      <c r="B5601" s="1"/>
      <c r="E5601" s="38" t="str">
        <f>IFERROR(AVERAGEIFS('Picarro Output'!G:G, 'Picarro Output'!$B:$B, 'Uncalibrated Data'!$C5601, 'Picarro Output'!$I:$I, 0, 'Picarro Output'!$J:$J, 1), "")</f>
        <v/>
      </c>
    </row>
    <row r="5602" spans="2:5" x14ac:dyDescent="0.2">
      <c r="B5602" s="1"/>
      <c r="E5602" s="38" t="str">
        <f>IFERROR(AVERAGEIFS('Picarro Output'!G:G, 'Picarro Output'!$B:$B, 'Uncalibrated Data'!$C5602, 'Picarro Output'!$I:$I, 0, 'Picarro Output'!$J:$J, 1), "")</f>
        <v/>
      </c>
    </row>
    <row r="5603" spans="2:5" x14ac:dyDescent="0.2">
      <c r="B5603" s="1"/>
      <c r="E5603" s="38" t="str">
        <f>IFERROR(AVERAGEIFS('Picarro Output'!G:G, 'Picarro Output'!$B:$B, 'Uncalibrated Data'!$C5603, 'Picarro Output'!$I:$I, 0, 'Picarro Output'!$J:$J, 1), "")</f>
        <v/>
      </c>
    </row>
    <row r="5604" spans="2:5" x14ac:dyDescent="0.2">
      <c r="B5604" s="1"/>
      <c r="E5604" s="38" t="str">
        <f>IFERROR(AVERAGEIFS('Picarro Output'!G:G, 'Picarro Output'!$B:$B, 'Uncalibrated Data'!$C5604, 'Picarro Output'!$I:$I, 0, 'Picarro Output'!$J:$J, 1), "")</f>
        <v/>
      </c>
    </row>
    <row r="5605" spans="2:5" x14ac:dyDescent="0.2">
      <c r="B5605" s="1"/>
      <c r="E5605" s="38" t="str">
        <f>IFERROR(AVERAGEIFS('Picarro Output'!G:G, 'Picarro Output'!$B:$B, 'Uncalibrated Data'!$C5605, 'Picarro Output'!$I:$I, 0, 'Picarro Output'!$J:$J, 1), "")</f>
        <v/>
      </c>
    </row>
    <row r="5606" spans="2:5" x14ac:dyDescent="0.2">
      <c r="B5606" s="1"/>
      <c r="E5606" s="38" t="str">
        <f>IFERROR(AVERAGEIFS('Picarro Output'!G:G, 'Picarro Output'!$B:$B, 'Uncalibrated Data'!$C5606, 'Picarro Output'!$I:$I, 0, 'Picarro Output'!$J:$J, 1), "")</f>
        <v/>
      </c>
    </row>
    <row r="5607" spans="2:5" x14ac:dyDescent="0.2">
      <c r="B5607" s="1"/>
      <c r="E5607" s="38" t="str">
        <f>IFERROR(AVERAGEIFS('Picarro Output'!G:G, 'Picarro Output'!$B:$B, 'Uncalibrated Data'!$C5607, 'Picarro Output'!$I:$I, 0, 'Picarro Output'!$J:$J, 1), "")</f>
        <v/>
      </c>
    </row>
    <row r="5608" spans="2:5" x14ac:dyDescent="0.2">
      <c r="B5608" s="1"/>
      <c r="E5608" s="38" t="str">
        <f>IFERROR(AVERAGEIFS('Picarro Output'!G:G, 'Picarro Output'!$B:$B, 'Uncalibrated Data'!$C5608, 'Picarro Output'!$I:$I, 0, 'Picarro Output'!$J:$J, 1), "")</f>
        <v/>
      </c>
    </row>
    <row r="5609" spans="2:5" x14ac:dyDescent="0.2">
      <c r="B5609" s="1"/>
      <c r="E5609" s="38" t="str">
        <f>IFERROR(AVERAGEIFS('Picarro Output'!G:G, 'Picarro Output'!$B:$B, 'Uncalibrated Data'!$C5609, 'Picarro Output'!$I:$I, 0, 'Picarro Output'!$J:$J, 1), "")</f>
        <v/>
      </c>
    </row>
    <row r="5610" spans="2:5" x14ac:dyDescent="0.2">
      <c r="B5610" s="1"/>
      <c r="E5610" s="38" t="str">
        <f>IFERROR(AVERAGEIFS('Picarro Output'!G:G, 'Picarro Output'!$B:$B, 'Uncalibrated Data'!$C5610, 'Picarro Output'!$I:$I, 0, 'Picarro Output'!$J:$J, 1), "")</f>
        <v/>
      </c>
    </row>
    <row r="5611" spans="2:5" x14ac:dyDescent="0.2">
      <c r="B5611" s="1"/>
      <c r="E5611" s="38" t="str">
        <f>IFERROR(AVERAGEIFS('Picarro Output'!G:G, 'Picarro Output'!$B:$B, 'Uncalibrated Data'!$C5611, 'Picarro Output'!$I:$I, 0, 'Picarro Output'!$J:$J, 1), "")</f>
        <v/>
      </c>
    </row>
    <row r="5612" spans="2:5" x14ac:dyDescent="0.2">
      <c r="B5612" s="1"/>
      <c r="E5612" s="38" t="str">
        <f>IFERROR(AVERAGEIFS('Picarro Output'!G:G, 'Picarro Output'!$B:$B, 'Uncalibrated Data'!$C5612, 'Picarro Output'!$I:$I, 0, 'Picarro Output'!$J:$J, 1), "")</f>
        <v/>
      </c>
    </row>
    <row r="5613" spans="2:5" x14ac:dyDescent="0.2">
      <c r="B5613" s="1"/>
      <c r="E5613" s="38" t="str">
        <f>IFERROR(AVERAGEIFS('Picarro Output'!G:G, 'Picarro Output'!$B:$B, 'Uncalibrated Data'!$C5613, 'Picarro Output'!$I:$I, 0, 'Picarro Output'!$J:$J, 1), "")</f>
        <v/>
      </c>
    </row>
    <row r="5614" spans="2:5" x14ac:dyDescent="0.2">
      <c r="B5614" s="1"/>
      <c r="E5614" s="38" t="str">
        <f>IFERROR(AVERAGEIFS('Picarro Output'!G:G, 'Picarro Output'!$B:$B, 'Uncalibrated Data'!$C5614, 'Picarro Output'!$I:$I, 0, 'Picarro Output'!$J:$J, 1), "")</f>
        <v/>
      </c>
    </row>
    <row r="5615" spans="2:5" x14ac:dyDescent="0.2">
      <c r="B5615" s="1"/>
      <c r="E5615" s="38" t="str">
        <f>IFERROR(AVERAGEIFS('Picarro Output'!G:G, 'Picarro Output'!$B:$B, 'Uncalibrated Data'!$C5615, 'Picarro Output'!$I:$I, 0, 'Picarro Output'!$J:$J, 1), "")</f>
        <v/>
      </c>
    </row>
    <row r="5616" spans="2:5" x14ac:dyDescent="0.2">
      <c r="B5616" s="1"/>
      <c r="E5616" s="38" t="str">
        <f>IFERROR(AVERAGEIFS('Picarro Output'!G:G, 'Picarro Output'!$B:$B, 'Uncalibrated Data'!$C5616, 'Picarro Output'!$I:$I, 0, 'Picarro Output'!$J:$J, 1), "")</f>
        <v/>
      </c>
    </row>
    <row r="5617" spans="2:5" x14ac:dyDescent="0.2">
      <c r="B5617" s="1"/>
      <c r="E5617" s="38" t="str">
        <f>IFERROR(AVERAGEIFS('Picarro Output'!G:G, 'Picarro Output'!$B:$B, 'Uncalibrated Data'!$C5617, 'Picarro Output'!$I:$I, 0, 'Picarro Output'!$J:$J, 1), "")</f>
        <v/>
      </c>
    </row>
    <row r="5618" spans="2:5" x14ac:dyDescent="0.2">
      <c r="B5618" s="1"/>
      <c r="E5618" s="38" t="str">
        <f>IFERROR(AVERAGEIFS('Picarro Output'!G:G, 'Picarro Output'!$B:$B, 'Uncalibrated Data'!$C5618, 'Picarro Output'!$I:$I, 0, 'Picarro Output'!$J:$J, 1), "")</f>
        <v/>
      </c>
    </row>
    <row r="5619" spans="2:5" x14ac:dyDescent="0.2">
      <c r="B5619" s="1"/>
      <c r="E5619" s="38" t="str">
        <f>IFERROR(AVERAGEIFS('Picarro Output'!G:G, 'Picarro Output'!$B:$B, 'Uncalibrated Data'!$C5619, 'Picarro Output'!$I:$I, 0, 'Picarro Output'!$J:$J, 1), "")</f>
        <v/>
      </c>
    </row>
    <row r="5620" spans="2:5" x14ac:dyDescent="0.2">
      <c r="B5620" s="1"/>
      <c r="E5620" s="38" t="str">
        <f>IFERROR(AVERAGEIFS('Picarro Output'!G:G, 'Picarro Output'!$B:$B, 'Uncalibrated Data'!$C5620, 'Picarro Output'!$I:$I, 0, 'Picarro Output'!$J:$J, 1), "")</f>
        <v/>
      </c>
    </row>
    <row r="5621" spans="2:5" x14ac:dyDescent="0.2">
      <c r="B5621" s="1"/>
      <c r="E5621" s="38" t="str">
        <f>IFERROR(AVERAGEIFS('Picarro Output'!G:G, 'Picarro Output'!$B:$B, 'Uncalibrated Data'!$C5621, 'Picarro Output'!$I:$I, 0, 'Picarro Output'!$J:$J, 1), "")</f>
        <v/>
      </c>
    </row>
    <row r="5622" spans="2:5" x14ac:dyDescent="0.2">
      <c r="B5622" s="1"/>
      <c r="E5622" s="38" t="str">
        <f>IFERROR(AVERAGEIFS('Picarro Output'!G:G, 'Picarro Output'!$B:$B, 'Uncalibrated Data'!$C5622, 'Picarro Output'!$I:$I, 0, 'Picarro Output'!$J:$J, 1), "")</f>
        <v/>
      </c>
    </row>
    <row r="5623" spans="2:5" x14ac:dyDescent="0.2">
      <c r="B5623" s="1"/>
      <c r="E5623" s="38" t="str">
        <f>IFERROR(AVERAGEIFS('Picarro Output'!G:G, 'Picarro Output'!$B:$B, 'Uncalibrated Data'!$C5623, 'Picarro Output'!$I:$I, 0, 'Picarro Output'!$J:$J, 1), "")</f>
        <v/>
      </c>
    </row>
    <row r="5624" spans="2:5" x14ac:dyDescent="0.2">
      <c r="B5624" s="1"/>
      <c r="E5624" s="38" t="str">
        <f>IFERROR(AVERAGEIFS('Picarro Output'!G:G, 'Picarro Output'!$B:$B, 'Uncalibrated Data'!$C5624, 'Picarro Output'!$I:$I, 0, 'Picarro Output'!$J:$J, 1), "")</f>
        <v/>
      </c>
    </row>
    <row r="5625" spans="2:5" x14ac:dyDescent="0.2">
      <c r="B5625" s="1"/>
      <c r="E5625" s="38" t="str">
        <f>IFERROR(AVERAGEIFS('Picarro Output'!G:G, 'Picarro Output'!$B:$B, 'Uncalibrated Data'!$C5625, 'Picarro Output'!$I:$I, 0, 'Picarro Output'!$J:$J, 1), "")</f>
        <v/>
      </c>
    </row>
    <row r="5626" spans="2:5" x14ac:dyDescent="0.2">
      <c r="B5626" s="1"/>
      <c r="E5626" s="38" t="str">
        <f>IFERROR(AVERAGEIFS('Picarro Output'!G:G, 'Picarro Output'!$B:$B, 'Uncalibrated Data'!$C5626, 'Picarro Output'!$I:$I, 0, 'Picarro Output'!$J:$J, 1), "")</f>
        <v/>
      </c>
    </row>
    <row r="5627" spans="2:5" x14ac:dyDescent="0.2">
      <c r="B5627" s="1"/>
      <c r="E5627" s="38" t="str">
        <f>IFERROR(AVERAGEIFS('Picarro Output'!G:G, 'Picarro Output'!$B:$B, 'Uncalibrated Data'!$C5627, 'Picarro Output'!$I:$I, 0, 'Picarro Output'!$J:$J, 1), "")</f>
        <v/>
      </c>
    </row>
    <row r="5628" spans="2:5" x14ac:dyDescent="0.2">
      <c r="B5628" s="1"/>
      <c r="E5628" s="38" t="str">
        <f>IFERROR(AVERAGEIFS('Picarro Output'!G:G, 'Picarro Output'!$B:$B, 'Uncalibrated Data'!$C5628, 'Picarro Output'!$I:$I, 0, 'Picarro Output'!$J:$J, 1), "")</f>
        <v/>
      </c>
    </row>
    <row r="5629" spans="2:5" x14ac:dyDescent="0.2">
      <c r="B5629" s="1"/>
      <c r="E5629" s="38" t="str">
        <f>IFERROR(AVERAGEIFS('Picarro Output'!G:G, 'Picarro Output'!$B:$B, 'Uncalibrated Data'!$C5629, 'Picarro Output'!$I:$I, 0, 'Picarro Output'!$J:$J, 1), "")</f>
        <v/>
      </c>
    </row>
    <row r="5630" spans="2:5" x14ac:dyDescent="0.2">
      <c r="B5630" s="1"/>
      <c r="E5630" s="38" t="str">
        <f>IFERROR(AVERAGEIFS('Picarro Output'!G:G, 'Picarro Output'!$B:$B, 'Uncalibrated Data'!$C5630, 'Picarro Output'!$I:$I, 0, 'Picarro Output'!$J:$J, 1), "")</f>
        <v/>
      </c>
    </row>
    <row r="5631" spans="2:5" x14ac:dyDescent="0.2">
      <c r="B5631" s="1"/>
      <c r="E5631" s="38" t="str">
        <f>IFERROR(AVERAGEIFS('Picarro Output'!G:G, 'Picarro Output'!$B:$B, 'Uncalibrated Data'!$C5631, 'Picarro Output'!$I:$I, 0, 'Picarro Output'!$J:$J, 1), "")</f>
        <v/>
      </c>
    </row>
    <row r="5632" spans="2:5" x14ac:dyDescent="0.2">
      <c r="B5632" s="1"/>
      <c r="E5632" s="38" t="str">
        <f>IFERROR(AVERAGEIFS('Picarro Output'!G:G, 'Picarro Output'!$B:$B, 'Uncalibrated Data'!$C5632, 'Picarro Output'!$I:$I, 0, 'Picarro Output'!$J:$J, 1), "")</f>
        <v/>
      </c>
    </row>
    <row r="5633" spans="2:5" x14ac:dyDescent="0.2">
      <c r="B5633" s="1"/>
      <c r="E5633" s="38" t="str">
        <f>IFERROR(AVERAGEIFS('Picarro Output'!G:G, 'Picarro Output'!$B:$B, 'Uncalibrated Data'!$C5633, 'Picarro Output'!$I:$I, 0, 'Picarro Output'!$J:$J, 1), "")</f>
        <v/>
      </c>
    </row>
    <row r="5634" spans="2:5" x14ac:dyDescent="0.2">
      <c r="B5634" s="1"/>
      <c r="E5634" s="38" t="str">
        <f>IFERROR(AVERAGEIFS('Picarro Output'!G:G, 'Picarro Output'!$B:$B, 'Uncalibrated Data'!$C5634, 'Picarro Output'!$I:$I, 0, 'Picarro Output'!$J:$J, 1), "")</f>
        <v/>
      </c>
    </row>
    <row r="5635" spans="2:5" x14ac:dyDescent="0.2">
      <c r="B5635" s="1"/>
      <c r="E5635" s="38" t="str">
        <f>IFERROR(AVERAGEIFS('Picarro Output'!G:G, 'Picarro Output'!$B:$B, 'Uncalibrated Data'!$C5635, 'Picarro Output'!$I:$I, 0, 'Picarro Output'!$J:$J, 1), "")</f>
        <v/>
      </c>
    </row>
    <row r="5636" spans="2:5" x14ac:dyDescent="0.2">
      <c r="B5636" s="1"/>
      <c r="E5636" s="38" t="str">
        <f>IFERROR(AVERAGEIFS('Picarro Output'!G:G, 'Picarro Output'!$B:$B, 'Uncalibrated Data'!$C5636, 'Picarro Output'!$I:$I, 0, 'Picarro Output'!$J:$J, 1), "")</f>
        <v/>
      </c>
    </row>
    <row r="5637" spans="2:5" x14ac:dyDescent="0.2">
      <c r="B5637" s="1"/>
      <c r="E5637" s="38" t="str">
        <f>IFERROR(AVERAGEIFS('Picarro Output'!G:G, 'Picarro Output'!$B:$B, 'Uncalibrated Data'!$C5637, 'Picarro Output'!$I:$I, 0, 'Picarro Output'!$J:$J, 1), "")</f>
        <v/>
      </c>
    </row>
    <row r="5638" spans="2:5" x14ac:dyDescent="0.2">
      <c r="B5638" s="1"/>
      <c r="E5638" s="38" t="str">
        <f>IFERROR(AVERAGEIFS('Picarro Output'!G:G, 'Picarro Output'!$B:$B, 'Uncalibrated Data'!$C5638, 'Picarro Output'!$I:$I, 0, 'Picarro Output'!$J:$J, 1), "")</f>
        <v/>
      </c>
    </row>
    <row r="5639" spans="2:5" x14ac:dyDescent="0.2">
      <c r="B5639" s="1"/>
      <c r="E5639" s="38" t="str">
        <f>IFERROR(AVERAGEIFS('Picarro Output'!G:G, 'Picarro Output'!$B:$B, 'Uncalibrated Data'!$C5639, 'Picarro Output'!$I:$I, 0, 'Picarro Output'!$J:$J, 1), "")</f>
        <v/>
      </c>
    </row>
    <row r="5640" spans="2:5" x14ac:dyDescent="0.2">
      <c r="B5640" s="1"/>
      <c r="E5640" s="38" t="str">
        <f>IFERROR(AVERAGEIFS('Picarro Output'!G:G, 'Picarro Output'!$B:$B, 'Uncalibrated Data'!$C5640, 'Picarro Output'!$I:$I, 0, 'Picarro Output'!$J:$J, 1), "")</f>
        <v/>
      </c>
    </row>
    <row r="5641" spans="2:5" x14ac:dyDescent="0.2">
      <c r="B5641" s="1"/>
      <c r="E5641" s="38" t="str">
        <f>IFERROR(AVERAGEIFS('Picarro Output'!G:G, 'Picarro Output'!$B:$B, 'Uncalibrated Data'!$C5641, 'Picarro Output'!$I:$I, 0, 'Picarro Output'!$J:$J, 1), "")</f>
        <v/>
      </c>
    </row>
    <row r="5642" spans="2:5" x14ac:dyDescent="0.2">
      <c r="B5642" s="1"/>
      <c r="E5642" s="38" t="str">
        <f>IFERROR(AVERAGEIFS('Picarro Output'!G:G, 'Picarro Output'!$B:$B, 'Uncalibrated Data'!$C5642, 'Picarro Output'!$I:$I, 0, 'Picarro Output'!$J:$J, 1), "")</f>
        <v/>
      </c>
    </row>
    <row r="5643" spans="2:5" x14ac:dyDescent="0.2">
      <c r="B5643" s="1"/>
      <c r="E5643" s="38" t="str">
        <f>IFERROR(AVERAGEIFS('Picarro Output'!G:G, 'Picarro Output'!$B:$B, 'Uncalibrated Data'!$C5643, 'Picarro Output'!$I:$I, 0, 'Picarro Output'!$J:$J, 1), "")</f>
        <v/>
      </c>
    </row>
    <row r="5644" spans="2:5" x14ac:dyDescent="0.2">
      <c r="B5644" s="1"/>
      <c r="E5644" s="38" t="str">
        <f>IFERROR(AVERAGEIFS('Picarro Output'!G:G, 'Picarro Output'!$B:$B, 'Uncalibrated Data'!$C5644, 'Picarro Output'!$I:$I, 0, 'Picarro Output'!$J:$J, 1), "")</f>
        <v/>
      </c>
    </row>
    <row r="5645" spans="2:5" x14ac:dyDescent="0.2">
      <c r="B5645" s="1"/>
      <c r="E5645" s="38" t="str">
        <f>IFERROR(AVERAGEIFS('Picarro Output'!G:G, 'Picarro Output'!$B:$B, 'Uncalibrated Data'!$C5645, 'Picarro Output'!$I:$I, 0, 'Picarro Output'!$J:$J, 1), "")</f>
        <v/>
      </c>
    </row>
    <row r="5646" spans="2:5" x14ac:dyDescent="0.2">
      <c r="B5646" s="1"/>
      <c r="E5646" s="38" t="str">
        <f>IFERROR(AVERAGEIFS('Picarro Output'!G:G, 'Picarro Output'!$B:$B, 'Uncalibrated Data'!$C5646, 'Picarro Output'!$I:$I, 0, 'Picarro Output'!$J:$J, 1), "")</f>
        <v/>
      </c>
    </row>
    <row r="5647" spans="2:5" x14ac:dyDescent="0.2">
      <c r="B5647" s="1"/>
      <c r="E5647" s="38" t="str">
        <f>IFERROR(AVERAGEIFS('Picarro Output'!G:G, 'Picarro Output'!$B:$B, 'Uncalibrated Data'!$C5647, 'Picarro Output'!$I:$I, 0, 'Picarro Output'!$J:$J, 1), "")</f>
        <v/>
      </c>
    </row>
    <row r="5648" spans="2:5" x14ac:dyDescent="0.2">
      <c r="B5648" s="1"/>
      <c r="E5648" s="38" t="str">
        <f>IFERROR(AVERAGEIFS('Picarro Output'!G:G, 'Picarro Output'!$B:$B, 'Uncalibrated Data'!$C5648, 'Picarro Output'!$I:$I, 0, 'Picarro Output'!$J:$J, 1), "")</f>
        <v/>
      </c>
    </row>
    <row r="5649" spans="2:5" x14ac:dyDescent="0.2">
      <c r="B5649" s="1"/>
      <c r="E5649" s="38" t="str">
        <f>IFERROR(AVERAGEIFS('Picarro Output'!G:G, 'Picarro Output'!$B:$B, 'Uncalibrated Data'!$C5649, 'Picarro Output'!$I:$I, 0, 'Picarro Output'!$J:$J, 1), "")</f>
        <v/>
      </c>
    </row>
    <row r="5650" spans="2:5" x14ac:dyDescent="0.2">
      <c r="B5650" s="1"/>
      <c r="E5650" s="38" t="str">
        <f>IFERROR(AVERAGEIFS('Picarro Output'!G:G, 'Picarro Output'!$B:$B, 'Uncalibrated Data'!$C5650, 'Picarro Output'!$I:$I, 0, 'Picarro Output'!$J:$J, 1), "")</f>
        <v/>
      </c>
    </row>
    <row r="5651" spans="2:5" x14ac:dyDescent="0.2">
      <c r="B5651" s="1"/>
      <c r="E5651" s="38" t="str">
        <f>IFERROR(AVERAGEIFS('Picarro Output'!G:G, 'Picarro Output'!$B:$B, 'Uncalibrated Data'!$C5651, 'Picarro Output'!$I:$I, 0, 'Picarro Output'!$J:$J, 1), "")</f>
        <v/>
      </c>
    </row>
    <row r="5652" spans="2:5" x14ac:dyDescent="0.2">
      <c r="B5652" s="1"/>
      <c r="E5652" s="38" t="str">
        <f>IFERROR(AVERAGEIFS('Picarro Output'!G:G, 'Picarro Output'!$B:$B, 'Uncalibrated Data'!$C5652, 'Picarro Output'!$I:$I, 0, 'Picarro Output'!$J:$J, 1), "")</f>
        <v/>
      </c>
    </row>
    <row r="5653" spans="2:5" x14ac:dyDescent="0.2">
      <c r="B5653" s="1"/>
      <c r="E5653" s="38" t="str">
        <f>IFERROR(AVERAGEIFS('Picarro Output'!G:G, 'Picarro Output'!$B:$B, 'Uncalibrated Data'!$C5653, 'Picarro Output'!$I:$I, 0, 'Picarro Output'!$J:$J, 1), "")</f>
        <v/>
      </c>
    </row>
    <row r="5654" spans="2:5" x14ac:dyDescent="0.2">
      <c r="B5654" s="1"/>
      <c r="E5654" s="38" t="str">
        <f>IFERROR(AVERAGEIFS('Picarro Output'!G:G, 'Picarro Output'!$B:$B, 'Uncalibrated Data'!$C5654, 'Picarro Output'!$I:$I, 0, 'Picarro Output'!$J:$J, 1), "")</f>
        <v/>
      </c>
    </row>
    <row r="5655" spans="2:5" x14ac:dyDescent="0.2">
      <c r="B5655" s="1"/>
      <c r="E5655" s="38" t="str">
        <f>IFERROR(AVERAGEIFS('Picarro Output'!G:G, 'Picarro Output'!$B:$B, 'Uncalibrated Data'!$C5655, 'Picarro Output'!$I:$I, 0, 'Picarro Output'!$J:$J, 1), "")</f>
        <v/>
      </c>
    </row>
    <row r="5656" spans="2:5" x14ac:dyDescent="0.2">
      <c r="B5656" s="1"/>
      <c r="E5656" s="38" t="str">
        <f>IFERROR(AVERAGEIFS('Picarro Output'!G:G, 'Picarro Output'!$B:$B, 'Uncalibrated Data'!$C5656, 'Picarro Output'!$I:$I, 0, 'Picarro Output'!$J:$J, 1), "")</f>
        <v/>
      </c>
    </row>
    <row r="5657" spans="2:5" x14ac:dyDescent="0.2">
      <c r="B5657" s="1"/>
      <c r="E5657" s="38" t="str">
        <f>IFERROR(AVERAGEIFS('Picarro Output'!G:G, 'Picarro Output'!$B:$B, 'Uncalibrated Data'!$C5657, 'Picarro Output'!$I:$I, 0, 'Picarro Output'!$J:$J, 1), "")</f>
        <v/>
      </c>
    </row>
    <row r="5658" spans="2:5" x14ac:dyDescent="0.2">
      <c r="B5658" s="1"/>
      <c r="E5658" s="38" t="str">
        <f>IFERROR(AVERAGEIFS('Picarro Output'!G:G, 'Picarro Output'!$B:$B, 'Uncalibrated Data'!$C5658, 'Picarro Output'!$I:$I, 0, 'Picarro Output'!$J:$J, 1), "")</f>
        <v/>
      </c>
    </row>
    <row r="5659" spans="2:5" x14ac:dyDescent="0.2">
      <c r="B5659" s="1"/>
      <c r="E5659" s="38" t="str">
        <f>IFERROR(AVERAGEIFS('Picarro Output'!G:G, 'Picarro Output'!$B:$B, 'Uncalibrated Data'!$C5659, 'Picarro Output'!$I:$I, 0, 'Picarro Output'!$J:$J, 1), "")</f>
        <v/>
      </c>
    </row>
    <row r="5660" spans="2:5" x14ac:dyDescent="0.2">
      <c r="B5660" s="1"/>
      <c r="E5660" s="38" t="str">
        <f>IFERROR(AVERAGEIFS('Picarro Output'!G:G, 'Picarro Output'!$B:$B, 'Uncalibrated Data'!$C5660, 'Picarro Output'!$I:$I, 0, 'Picarro Output'!$J:$J, 1), "")</f>
        <v/>
      </c>
    </row>
    <row r="5661" spans="2:5" x14ac:dyDescent="0.2">
      <c r="B5661" s="1"/>
      <c r="E5661" s="38" t="str">
        <f>IFERROR(AVERAGEIFS('Picarro Output'!G:G, 'Picarro Output'!$B:$B, 'Uncalibrated Data'!$C5661, 'Picarro Output'!$I:$I, 0, 'Picarro Output'!$J:$J, 1), "")</f>
        <v/>
      </c>
    </row>
    <row r="5662" spans="2:5" x14ac:dyDescent="0.2">
      <c r="B5662" s="1"/>
      <c r="E5662" s="38" t="str">
        <f>IFERROR(AVERAGEIFS('Picarro Output'!G:G, 'Picarro Output'!$B:$B, 'Uncalibrated Data'!$C5662, 'Picarro Output'!$I:$I, 0, 'Picarro Output'!$J:$J, 1), "")</f>
        <v/>
      </c>
    </row>
    <row r="5663" spans="2:5" x14ac:dyDescent="0.2">
      <c r="B5663" s="1"/>
      <c r="E5663" s="38" t="str">
        <f>IFERROR(AVERAGEIFS('Picarro Output'!G:G, 'Picarro Output'!$B:$B, 'Uncalibrated Data'!$C5663, 'Picarro Output'!$I:$I, 0, 'Picarro Output'!$J:$J, 1), "")</f>
        <v/>
      </c>
    </row>
    <row r="5664" spans="2:5" x14ac:dyDescent="0.2">
      <c r="B5664" s="1"/>
      <c r="E5664" s="38" t="str">
        <f>IFERROR(AVERAGEIFS('Picarro Output'!G:G, 'Picarro Output'!$B:$B, 'Uncalibrated Data'!$C5664, 'Picarro Output'!$I:$I, 0, 'Picarro Output'!$J:$J, 1), "")</f>
        <v/>
      </c>
    </row>
    <row r="5665" spans="2:5" x14ac:dyDescent="0.2">
      <c r="B5665" s="1"/>
      <c r="E5665" s="38" t="str">
        <f>IFERROR(AVERAGEIFS('Picarro Output'!G:G, 'Picarro Output'!$B:$B, 'Uncalibrated Data'!$C5665, 'Picarro Output'!$I:$I, 0, 'Picarro Output'!$J:$J, 1), "")</f>
        <v/>
      </c>
    </row>
    <row r="5666" spans="2:5" x14ac:dyDescent="0.2">
      <c r="B5666" s="1"/>
      <c r="E5666" s="38" t="str">
        <f>IFERROR(AVERAGEIFS('Picarro Output'!G:G, 'Picarro Output'!$B:$B, 'Uncalibrated Data'!$C5666, 'Picarro Output'!$I:$I, 0, 'Picarro Output'!$J:$J, 1), "")</f>
        <v/>
      </c>
    </row>
    <row r="5667" spans="2:5" x14ac:dyDescent="0.2">
      <c r="B5667" s="1"/>
      <c r="E5667" s="38" t="str">
        <f>IFERROR(AVERAGEIFS('Picarro Output'!G:G, 'Picarro Output'!$B:$B, 'Uncalibrated Data'!$C5667, 'Picarro Output'!$I:$I, 0, 'Picarro Output'!$J:$J, 1), "")</f>
        <v/>
      </c>
    </row>
    <row r="5668" spans="2:5" x14ac:dyDescent="0.2">
      <c r="B5668" s="1"/>
      <c r="E5668" s="38" t="str">
        <f>IFERROR(AVERAGEIFS('Picarro Output'!G:G, 'Picarro Output'!$B:$B, 'Uncalibrated Data'!$C5668, 'Picarro Output'!$I:$I, 0, 'Picarro Output'!$J:$J, 1), "")</f>
        <v/>
      </c>
    </row>
    <row r="5669" spans="2:5" x14ac:dyDescent="0.2">
      <c r="B5669" s="1"/>
      <c r="E5669" s="38" t="str">
        <f>IFERROR(AVERAGEIFS('Picarro Output'!G:G, 'Picarro Output'!$B:$B, 'Uncalibrated Data'!$C5669, 'Picarro Output'!$I:$I, 0, 'Picarro Output'!$J:$J, 1), "")</f>
        <v/>
      </c>
    </row>
    <row r="5670" spans="2:5" x14ac:dyDescent="0.2">
      <c r="B5670" s="1"/>
      <c r="E5670" s="38" t="str">
        <f>IFERROR(AVERAGEIFS('Picarro Output'!G:G, 'Picarro Output'!$B:$B, 'Uncalibrated Data'!$C5670, 'Picarro Output'!$I:$I, 0, 'Picarro Output'!$J:$J, 1), "")</f>
        <v/>
      </c>
    </row>
    <row r="5671" spans="2:5" x14ac:dyDescent="0.2">
      <c r="B5671" s="1"/>
      <c r="E5671" s="38" t="str">
        <f>IFERROR(AVERAGEIFS('Picarro Output'!G:G, 'Picarro Output'!$B:$B, 'Uncalibrated Data'!$C5671, 'Picarro Output'!$I:$I, 0, 'Picarro Output'!$J:$J, 1), "")</f>
        <v/>
      </c>
    </row>
    <row r="5672" spans="2:5" x14ac:dyDescent="0.2">
      <c r="B5672" s="1"/>
      <c r="E5672" s="38" t="str">
        <f>IFERROR(AVERAGEIFS('Picarro Output'!G:G, 'Picarro Output'!$B:$B, 'Uncalibrated Data'!$C5672, 'Picarro Output'!$I:$I, 0, 'Picarro Output'!$J:$J, 1), "")</f>
        <v/>
      </c>
    </row>
    <row r="5673" spans="2:5" x14ac:dyDescent="0.2">
      <c r="B5673" s="1"/>
      <c r="E5673" s="38" t="str">
        <f>IFERROR(AVERAGEIFS('Picarro Output'!G:G, 'Picarro Output'!$B:$B, 'Uncalibrated Data'!$C5673, 'Picarro Output'!$I:$I, 0, 'Picarro Output'!$J:$J, 1), "")</f>
        <v/>
      </c>
    </row>
    <row r="5674" spans="2:5" x14ac:dyDescent="0.2">
      <c r="B5674" s="1"/>
      <c r="E5674" s="38" t="str">
        <f>IFERROR(AVERAGEIFS('Picarro Output'!G:G, 'Picarro Output'!$B:$B, 'Uncalibrated Data'!$C5674, 'Picarro Output'!$I:$I, 0, 'Picarro Output'!$J:$J, 1), "")</f>
        <v/>
      </c>
    </row>
    <row r="5675" spans="2:5" x14ac:dyDescent="0.2">
      <c r="B5675" s="1"/>
      <c r="E5675" s="38" t="str">
        <f>IFERROR(AVERAGEIFS('Picarro Output'!G:G, 'Picarro Output'!$B:$B, 'Uncalibrated Data'!$C5675, 'Picarro Output'!$I:$I, 0, 'Picarro Output'!$J:$J, 1), "")</f>
        <v/>
      </c>
    </row>
    <row r="5676" spans="2:5" x14ac:dyDescent="0.2">
      <c r="B5676" s="1"/>
      <c r="E5676" s="38" t="str">
        <f>IFERROR(AVERAGEIFS('Picarro Output'!G:G, 'Picarro Output'!$B:$B, 'Uncalibrated Data'!$C5676, 'Picarro Output'!$I:$I, 0, 'Picarro Output'!$J:$J, 1), "")</f>
        <v/>
      </c>
    </row>
    <row r="5677" spans="2:5" x14ac:dyDescent="0.2">
      <c r="B5677" s="1"/>
      <c r="E5677" s="38" t="str">
        <f>IFERROR(AVERAGEIFS('Picarro Output'!G:G, 'Picarro Output'!$B:$B, 'Uncalibrated Data'!$C5677, 'Picarro Output'!$I:$I, 0, 'Picarro Output'!$J:$J, 1), "")</f>
        <v/>
      </c>
    </row>
    <row r="5678" spans="2:5" x14ac:dyDescent="0.2">
      <c r="B5678" s="1"/>
      <c r="E5678" s="38" t="str">
        <f>IFERROR(AVERAGEIFS('Picarro Output'!G:G, 'Picarro Output'!$B:$B, 'Uncalibrated Data'!$C5678, 'Picarro Output'!$I:$I, 0, 'Picarro Output'!$J:$J, 1), "")</f>
        <v/>
      </c>
    </row>
    <row r="5679" spans="2:5" x14ac:dyDescent="0.2">
      <c r="B5679" s="1"/>
      <c r="E5679" s="38" t="str">
        <f>IFERROR(AVERAGEIFS('Picarro Output'!G:G, 'Picarro Output'!$B:$B, 'Uncalibrated Data'!$C5679, 'Picarro Output'!$I:$I, 0, 'Picarro Output'!$J:$J, 1), "")</f>
        <v/>
      </c>
    </row>
    <row r="5680" spans="2:5" x14ac:dyDescent="0.2">
      <c r="B5680" s="1"/>
      <c r="E5680" s="38" t="str">
        <f>IFERROR(AVERAGEIFS('Picarro Output'!G:G, 'Picarro Output'!$B:$B, 'Uncalibrated Data'!$C5680, 'Picarro Output'!$I:$I, 0, 'Picarro Output'!$J:$J, 1), "")</f>
        <v/>
      </c>
    </row>
    <row r="5681" spans="2:5" x14ac:dyDescent="0.2">
      <c r="B5681" s="1"/>
      <c r="E5681" s="38" t="str">
        <f>IFERROR(AVERAGEIFS('Picarro Output'!G:G, 'Picarro Output'!$B:$B, 'Uncalibrated Data'!$C5681, 'Picarro Output'!$I:$I, 0, 'Picarro Output'!$J:$J, 1), "")</f>
        <v/>
      </c>
    </row>
    <row r="5682" spans="2:5" x14ac:dyDescent="0.2">
      <c r="B5682" s="1"/>
      <c r="E5682" s="38" t="str">
        <f>IFERROR(AVERAGEIFS('Picarro Output'!G:G, 'Picarro Output'!$B:$B, 'Uncalibrated Data'!$C5682, 'Picarro Output'!$I:$I, 0, 'Picarro Output'!$J:$J, 1), "")</f>
        <v/>
      </c>
    </row>
    <row r="5683" spans="2:5" x14ac:dyDescent="0.2">
      <c r="B5683" s="1"/>
      <c r="E5683" s="38" t="str">
        <f>IFERROR(AVERAGEIFS('Picarro Output'!G:G, 'Picarro Output'!$B:$B, 'Uncalibrated Data'!$C5683, 'Picarro Output'!$I:$I, 0, 'Picarro Output'!$J:$J, 1), "")</f>
        <v/>
      </c>
    </row>
    <row r="5684" spans="2:5" x14ac:dyDescent="0.2">
      <c r="B5684" s="1"/>
      <c r="E5684" s="38" t="str">
        <f>IFERROR(AVERAGEIFS('Picarro Output'!G:G, 'Picarro Output'!$B:$B, 'Uncalibrated Data'!$C5684, 'Picarro Output'!$I:$I, 0, 'Picarro Output'!$J:$J, 1), "")</f>
        <v/>
      </c>
    </row>
    <row r="5685" spans="2:5" x14ac:dyDescent="0.2">
      <c r="B5685" s="1"/>
      <c r="E5685" s="38" t="str">
        <f>IFERROR(AVERAGEIFS('Picarro Output'!G:G, 'Picarro Output'!$B:$B, 'Uncalibrated Data'!$C5685, 'Picarro Output'!$I:$I, 0, 'Picarro Output'!$J:$J, 1), "")</f>
        <v/>
      </c>
    </row>
    <row r="5686" spans="2:5" x14ac:dyDescent="0.2">
      <c r="B5686" s="1"/>
      <c r="E5686" s="38" t="str">
        <f>IFERROR(AVERAGEIFS('Picarro Output'!G:G, 'Picarro Output'!$B:$B, 'Uncalibrated Data'!$C5686, 'Picarro Output'!$I:$I, 0, 'Picarro Output'!$J:$J, 1), "")</f>
        <v/>
      </c>
    </row>
    <row r="5687" spans="2:5" x14ac:dyDescent="0.2">
      <c r="B5687" s="1"/>
      <c r="E5687" s="38" t="str">
        <f>IFERROR(AVERAGEIFS('Picarro Output'!G:G, 'Picarro Output'!$B:$B, 'Uncalibrated Data'!$C5687, 'Picarro Output'!$I:$I, 0, 'Picarro Output'!$J:$J, 1), "")</f>
        <v/>
      </c>
    </row>
    <row r="5688" spans="2:5" x14ac:dyDescent="0.2">
      <c r="B5688" s="1"/>
      <c r="E5688" s="38" t="str">
        <f>IFERROR(AVERAGEIFS('Picarro Output'!G:G, 'Picarro Output'!$B:$B, 'Uncalibrated Data'!$C5688, 'Picarro Output'!$I:$I, 0, 'Picarro Output'!$J:$J, 1), "")</f>
        <v/>
      </c>
    </row>
    <row r="5689" spans="2:5" x14ac:dyDescent="0.2">
      <c r="B5689" s="1"/>
      <c r="E5689" s="38" t="str">
        <f>IFERROR(AVERAGEIFS('Picarro Output'!G:G, 'Picarro Output'!$B:$B, 'Uncalibrated Data'!$C5689, 'Picarro Output'!$I:$I, 0, 'Picarro Output'!$J:$J, 1), "")</f>
        <v/>
      </c>
    </row>
    <row r="5690" spans="2:5" x14ac:dyDescent="0.2">
      <c r="B5690" s="1"/>
      <c r="E5690" s="38" t="str">
        <f>IFERROR(AVERAGEIFS('Picarro Output'!G:G, 'Picarro Output'!$B:$B, 'Uncalibrated Data'!$C5690, 'Picarro Output'!$I:$I, 0, 'Picarro Output'!$J:$J, 1), "")</f>
        <v/>
      </c>
    </row>
    <row r="5691" spans="2:5" x14ac:dyDescent="0.2">
      <c r="B5691" s="1"/>
      <c r="E5691" s="38" t="str">
        <f>IFERROR(AVERAGEIFS('Picarro Output'!G:G, 'Picarro Output'!$B:$B, 'Uncalibrated Data'!$C5691, 'Picarro Output'!$I:$I, 0, 'Picarro Output'!$J:$J, 1), "")</f>
        <v/>
      </c>
    </row>
    <row r="5692" spans="2:5" x14ac:dyDescent="0.2">
      <c r="B5692" s="1"/>
      <c r="E5692" s="38" t="str">
        <f>IFERROR(AVERAGEIFS('Picarro Output'!G:G, 'Picarro Output'!$B:$B, 'Uncalibrated Data'!$C5692, 'Picarro Output'!$I:$I, 0, 'Picarro Output'!$J:$J, 1), "")</f>
        <v/>
      </c>
    </row>
    <row r="5693" spans="2:5" x14ac:dyDescent="0.2">
      <c r="B5693" s="1"/>
      <c r="E5693" s="38" t="str">
        <f>IFERROR(AVERAGEIFS('Picarro Output'!G:G, 'Picarro Output'!$B:$B, 'Uncalibrated Data'!$C5693, 'Picarro Output'!$I:$I, 0, 'Picarro Output'!$J:$J, 1), "")</f>
        <v/>
      </c>
    </row>
    <row r="5694" spans="2:5" x14ac:dyDescent="0.2">
      <c r="B5694" s="1"/>
      <c r="E5694" s="38" t="str">
        <f>IFERROR(AVERAGEIFS('Picarro Output'!G:G, 'Picarro Output'!$B:$B, 'Uncalibrated Data'!$C5694, 'Picarro Output'!$I:$I, 0, 'Picarro Output'!$J:$J, 1), "")</f>
        <v/>
      </c>
    </row>
    <row r="5695" spans="2:5" x14ac:dyDescent="0.2">
      <c r="B5695" s="1"/>
      <c r="E5695" s="38" t="str">
        <f>IFERROR(AVERAGEIFS('Picarro Output'!G:G, 'Picarro Output'!$B:$B, 'Uncalibrated Data'!$C5695, 'Picarro Output'!$I:$I, 0, 'Picarro Output'!$J:$J, 1), "")</f>
        <v/>
      </c>
    </row>
    <row r="5696" spans="2:5" x14ac:dyDescent="0.2">
      <c r="B5696" s="1"/>
      <c r="E5696" s="38" t="str">
        <f>IFERROR(AVERAGEIFS('Picarro Output'!G:G, 'Picarro Output'!$B:$B, 'Uncalibrated Data'!$C5696, 'Picarro Output'!$I:$I, 0, 'Picarro Output'!$J:$J, 1), "")</f>
        <v/>
      </c>
    </row>
    <row r="5697" spans="2:5" x14ac:dyDescent="0.2">
      <c r="B5697" s="1"/>
      <c r="E5697" s="38" t="str">
        <f>IFERROR(AVERAGEIFS('Picarro Output'!G:G, 'Picarro Output'!$B:$B, 'Uncalibrated Data'!$C5697, 'Picarro Output'!$I:$I, 0, 'Picarro Output'!$J:$J, 1), "")</f>
        <v/>
      </c>
    </row>
    <row r="5698" spans="2:5" x14ac:dyDescent="0.2">
      <c r="B5698" s="1"/>
      <c r="E5698" s="38" t="str">
        <f>IFERROR(AVERAGEIFS('Picarro Output'!G:G, 'Picarro Output'!$B:$B, 'Uncalibrated Data'!$C5698, 'Picarro Output'!$I:$I, 0, 'Picarro Output'!$J:$J, 1), "")</f>
        <v/>
      </c>
    </row>
    <row r="5699" spans="2:5" x14ac:dyDescent="0.2">
      <c r="B5699" s="1"/>
      <c r="E5699" s="38" t="str">
        <f>IFERROR(AVERAGEIFS('Picarro Output'!G:G, 'Picarro Output'!$B:$B, 'Uncalibrated Data'!$C5699, 'Picarro Output'!$I:$I, 0, 'Picarro Output'!$J:$J, 1), "")</f>
        <v/>
      </c>
    </row>
    <row r="5700" spans="2:5" x14ac:dyDescent="0.2">
      <c r="B5700" s="1"/>
      <c r="E5700" s="38" t="str">
        <f>IFERROR(AVERAGEIFS('Picarro Output'!G:G, 'Picarro Output'!$B:$B, 'Uncalibrated Data'!$C5700, 'Picarro Output'!$I:$I, 0, 'Picarro Output'!$J:$J, 1), "")</f>
        <v/>
      </c>
    </row>
    <row r="5701" spans="2:5" x14ac:dyDescent="0.2">
      <c r="B5701" s="1"/>
      <c r="E5701" s="38" t="str">
        <f>IFERROR(AVERAGEIFS('Picarro Output'!G:G, 'Picarro Output'!$B:$B, 'Uncalibrated Data'!$C5701, 'Picarro Output'!$I:$I, 0, 'Picarro Output'!$J:$J, 1), "")</f>
        <v/>
      </c>
    </row>
    <row r="5702" spans="2:5" x14ac:dyDescent="0.2">
      <c r="B5702" s="1"/>
      <c r="E5702" s="38" t="str">
        <f>IFERROR(AVERAGEIFS('Picarro Output'!G:G, 'Picarro Output'!$B:$B, 'Uncalibrated Data'!$C5702, 'Picarro Output'!$I:$I, 0, 'Picarro Output'!$J:$J, 1), "")</f>
        <v/>
      </c>
    </row>
    <row r="5703" spans="2:5" x14ac:dyDescent="0.2">
      <c r="B5703" s="1"/>
      <c r="E5703" s="38" t="str">
        <f>IFERROR(AVERAGEIFS('Picarro Output'!G:G, 'Picarro Output'!$B:$B, 'Uncalibrated Data'!$C5703, 'Picarro Output'!$I:$I, 0, 'Picarro Output'!$J:$J, 1), "")</f>
        <v/>
      </c>
    </row>
    <row r="5704" spans="2:5" x14ac:dyDescent="0.2">
      <c r="B5704" s="1"/>
      <c r="E5704" s="38" t="str">
        <f>IFERROR(AVERAGEIFS('Picarro Output'!G:G, 'Picarro Output'!$B:$B, 'Uncalibrated Data'!$C5704, 'Picarro Output'!$I:$I, 0, 'Picarro Output'!$J:$J, 1), "")</f>
        <v/>
      </c>
    </row>
    <row r="5705" spans="2:5" x14ac:dyDescent="0.2">
      <c r="B5705" s="1"/>
      <c r="E5705" s="38" t="str">
        <f>IFERROR(AVERAGEIFS('Picarro Output'!G:G, 'Picarro Output'!$B:$B, 'Uncalibrated Data'!$C5705, 'Picarro Output'!$I:$I, 0, 'Picarro Output'!$J:$J, 1), "")</f>
        <v/>
      </c>
    </row>
    <row r="5706" spans="2:5" x14ac:dyDescent="0.2">
      <c r="B5706" s="1"/>
      <c r="E5706" s="38" t="str">
        <f>IFERROR(AVERAGEIFS('Picarro Output'!G:G, 'Picarro Output'!$B:$B, 'Uncalibrated Data'!$C5706, 'Picarro Output'!$I:$I, 0, 'Picarro Output'!$J:$J, 1), "")</f>
        <v/>
      </c>
    </row>
    <row r="5707" spans="2:5" x14ac:dyDescent="0.2">
      <c r="B5707" s="1"/>
      <c r="E5707" s="38" t="str">
        <f>IFERROR(AVERAGEIFS('Picarro Output'!G:G, 'Picarro Output'!$B:$B, 'Uncalibrated Data'!$C5707, 'Picarro Output'!$I:$I, 0, 'Picarro Output'!$J:$J, 1), "")</f>
        <v/>
      </c>
    </row>
    <row r="5708" spans="2:5" x14ac:dyDescent="0.2">
      <c r="B5708" s="1"/>
      <c r="E5708" s="38" t="str">
        <f>IFERROR(AVERAGEIFS('Picarro Output'!G:G, 'Picarro Output'!$B:$B, 'Uncalibrated Data'!$C5708, 'Picarro Output'!$I:$I, 0, 'Picarro Output'!$J:$J, 1), "")</f>
        <v/>
      </c>
    </row>
    <row r="5709" spans="2:5" x14ac:dyDescent="0.2">
      <c r="B5709" s="1"/>
      <c r="E5709" s="38" t="str">
        <f>IFERROR(AVERAGEIFS('Picarro Output'!G:G, 'Picarro Output'!$B:$B, 'Uncalibrated Data'!$C5709, 'Picarro Output'!$I:$I, 0, 'Picarro Output'!$J:$J, 1), "")</f>
        <v/>
      </c>
    </row>
    <row r="5710" spans="2:5" x14ac:dyDescent="0.2">
      <c r="B5710" s="1"/>
      <c r="E5710" s="38" t="str">
        <f>IFERROR(AVERAGEIFS('Picarro Output'!G:G, 'Picarro Output'!$B:$B, 'Uncalibrated Data'!$C5710, 'Picarro Output'!$I:$I, 0, 'Picarro Output'!$J:$J, 1), "")</f>
        <v/>
      </c>
    </row>
    <row r="5711" spans="2:5" x14ac:dyDescent="0.2">
      <c r="B5711" s="1"/>
      <c r="E5711" s="38" t="str">
        <f>IFERROR(AVERAGEIFS('Picarro Output'!G:G, 'Picarro Output'!$B:$B, 'Uncalibrated Data'!$C5711, 'Picarro Output'!$I:$I, 0, 'Picarro Output'!$J:$J, 1), "")</f>
        <v/>
      </c>
    </row>
    <row r="5712" spans="2:5" x14ac:dyDescent="0.2">
      <c r="B5712" s="1"/>
      <c r="E5712" s="38" t="str">
        <f>IFERROR(AVERAGEIFS('Picarro Output'!G:G, 'Picarro Output'!$B:$B, 'Uncalibrated Data'!$C5712, 'Picarro Output'!$I:$I, 0, 'Picarro Output'!$J:$J, 1), "")</f>
        <v/>
      </c>
    </row>
    <row r="5713" spans="2:5" x14ac:dyDescent="0.2">
      <c r="B5713" s="1"/>
      <c r="E5713" s="38" t="str">
        <f>IFERROR(AVERAGEIFS('Picarro Output'!G:G, 'Picarro Output'!$B:$B, 'Uncalibrated Data'!$C5713, 'Picarro Output'!$I:$I, 0, 'Picarro Output'!$J:$J, 1), "")</f>
        <v/>
      </c>
    </row>
    <row r="5714" spans="2:5" x14ac:dyDescent="0.2">
      <c r="B5714" s="1"/>
      <c r="E5714" s="38" t="str">
        <f>IFERROR(AVERAGEIFS('Picarro Output'!G:G, 'Picarro Output'!$B:$B, 'Uncalibrated Data'!$C5714, 'Picarro Output'!$I:$I, 0, 'Picarro Output'!$J:$J, 1), "")</f>
        <v/>
      </c>
    </row>
    <row r="5715" spans="2:5" x14ac:dyDescent="0.2">
      <c r="B5715" s="1"/>
      <c r="E5715" s="38" t="str">
        <f>IFERROR(AVERAGEIFS('Picarro Output'!G:G, 'Picarro Output'!$B:$B, 'Uncalibrated Data'!$C5715, 'Picarro Output'!$I:$I, 0, 'Picarro Output'!$J:$J, 1), "")</f>
        <v/>
      </c>
    </row>
    <row r="5716" spans="2:5" x14ac:dyDescent="0.2">
      <c r="B5716" s="1"/>
      <c r="E5716" s="38" t="str">
        <f>IFERROR(AVERAGEIFS('Picarro Output'!G:G, 'Picarro Output'!$B:$B, 'Uncalibrated Data'!$C5716, 'Picarro Output'!$I:$I, 0, 'Picarro Output'!$J:$J, 1), "")</f>
        <v/>
      </c>
    </row>
    <row r="5717" spans="2:5" x14ac:dyDescent="0.2">
      <c r="B5717" s="1"/>
      <c r="E5717" s="38" t="str">
        <f>IFERROR(AVERAGEIFS('Picarro Output'!G:G, 'Picarro Output'!$B:$B, 'Uncalibrated Data'!$C5717, 'Picarro Output'!$I:$I, 0, 'Picarro Output'!$J:$J, 1), "")</f>
        <v/>
      </c>
    </row>
    <row r="5718" spans="2:5" x14ac:dyDescent="0.2">
      <c r="B5718" s="1"/>
      <c r="E5718" s="38" t="str">
        <f>IFERROR(AVERAGEIFS('Picarro Output'!G:G, 'Picarro Output'!$B:$B, 'Uncalibrated Data'!$C5718, 'Picarro Output'!$I:$I, 0, 'Picarro Output'!$J:$J, 1), "")</f>
        <v/>
      </c>
    </row>
    <row r="5719" spans="2:5" x14ac:dyDescent="0.2">
      <c r="B5719" s="1"/>
      <c r="E5719" s="38" t="str">
        <f>IFERROR(AVERAGEIFS('Picarro Output'!G:G, 'Picarro Output'!$B:$B, 'Uncalibrated Data'!$C5719, 'Picarro Output'!$I:$I, 0, 'Picarro Output'!$J:$J, 1), "")</f>
        <v/>
      </c>
    </row>
    <row r="5720" spans="2:5" x14ac:dyDescent="0.2">
      <c r="B5720" s="1"/>
      <c r="E5720" s="38" t="str">
        <f>IFERROR(AVERAGEIFS('Picarro Output'!G:G, 'Picarro Output'!$B:$B, 'Uncalibrated Data'!$C5720, 'Picarro Output'!$I:$I, 0, 'Picarro Output'!$J:$J, 1), "")</f>
        <v/>
      </c>
    </row>
    <row r="5721" spans="2:5" x14ac:dyDescent="0.2">
      <c r="B5721" s="1"/>
      <c r="E5721" s="38" t="str">
        <f>IFERROR(AVERAGEIFS('Picarro Output'!G:G, 'Picarro Output'!$B:$B, 'Uncalibrated Data'!$C5721, 'Picarro Output'!$I:$I, 0, 'Picarro Output'!$J:$J, 1), "")</f>
        <v/>
      </c>
    </row>
    <row r="5722" spans="2:5" x14ac:dyDescent="0.2">
      <c r="B5722" s="1"/>
      <c r="E5722" s="38" t="str">
        <f>IFERROR(AVERAGEIFS('Picarro Output'!G:G, 'Picarro Output'!$B:$B, 'Uncalibrated Data'!$C5722, 'Picarro Output'!$I:$I, 0, 'Picarro Output'!$J:$J, 1), "")</f>
        <v/>
      </c>
    </row>
    <row r="5723" spans="2:5" x14ac:dyDescent="0.2">
      <c r="B5723" s="1"/>
      <c r="E5723" s="38" t="str">
        <f>IFERROR(AVERAGEIFS('Picarro Output'!G:G, 'Picarro Output'!$B:$B, 'Uncalibrated Data'!$C5723, 'Picarro Output'!$I:$I, 0, 'Picarro Output'!$J:$J, 1), "")</f>
        <v/>
      </c>
    </row>
    <row r="5724" spans="2:5" x14ac:dyDescent="0.2">
      <c r="B5724" s="1"/>
      <c r="E5724" s="38" t="str">
        <f>IFERROR(AVERAGEIFS('Picarro Output'!G:G, 'Picarro Output'!$B:$B, 'Uncalibrated Data'!$C5724, 'Picarro Output'!$I:$I, 0, 'Picarro Output'!$J:$J, 1), "")</f>
        <v/>
      </c>
    </row>
    <row r="5725" spans="2:5" x14ac:dyDescent="0.2">
      <c r="B5725" s="1"/>
      <c r="E5725" s="38" t="str">
        <f>IFERROR(AVERAGEIFS('Picarro Output'!G:G, 'Picarro Output'!$B:$B, 'Uncalibrated Data'!$C5725, 'Picarro Output'!$I:$I, 0, 'Picarro Output'!$J:$J, 1), "")</f>
        <v/>
      </c>
    </row>
    <row r="5726" spans="2:5" x14ac:dyDescent="0.2">
      <c r="B5726" s="1"/>
      <c r="E5726" s="38" t="str">
        <f>IFERROR(AVERAGEIFS('Picarro Output'!G:G, 'Picarro Output'!$B:$B, 'Uncalibrated Data'!$C5726, 'Picarro Output'!$I:$I, 0, 'Picarro Output'!$J:$J, 1), "")</f>
        <v/>
      </c>
    </row>
    <row r="5727" spans="2:5" x14ac:dyDescent="0.2">
      <c r="B5727" s="1"/>
      <c r="E5727" s="38" t="str">
        <f>IFERROR(AVERAGEIFS('Picarro Output'!G:G, 'Picarro Output'!$B:$B, 'Uncalibrated Data'!$C5727, 'Picarro Output'!$I:$I, 0, 'Picarro Output'!$J:$J, 1), "")</f>
        <v/>
      </c>
    </row>
    <row r="5728" spans="2:5" x14ac:dyDescent="0.2">
      <c r="B5728" s="1"/>
      <c r="E5728" s="38" t="str">
        <f>IFERROR(AVERAGEIFS('Picarro Output'!G:G, 'Picarro Output'!$B:$B, 'Uncalibrated Data'!$C5728, 'Picarro Output'!$I:$I, 0, 'Picarro Output'!$J:$J, 1), "")</f>
        <v/>
      </c>
    </row>
    <row r="5729" spans="2:5" x14ac:dyDescent="0.2">
      <c r="B5729" s="1"/>
      <c r="E5729" s="38" t="str">
        <f>IFERROR(AVERAGEIFS('Picarro Output'!G:G, 'Picarro Output'!$B:$B, 'Uncalibrated Data'!$C5729, 'Picarro Output'!$I:$I, 0, 'Picarro Output'!$J:$J, 1), "")</f>
        <v/>
      </c>
    </row>
    <row r="5730" spans="2:5" x14ac:dyDescent="0.2">
      <c r="B5730" s="1"/>
      <c r="E5730" s="38" t="str">
        <f>IFERROR(AVERAGEIFS('Picarro Output'!G:G, 'Picarro Output'!$B:$B, 'Uncalibrated Data'!$C5730, 'Picarro Output'!$I:$I, 0, 'Picarro Output'!$J:$J, 1), "")</f>
        <v/>
      </c>
    </row>
    <row r="5731" spans="2:5" x14ac:dyDescent="0.2">
      <c r="B5731" s="1"/>
      <c r="E5731" s="38" t="str">
        <f>IFERROR(AVERAGEIFS('Picarro Output'!G:G, 'Picarro Output'!$B:$B, 'Uncalibrated Data'!$C5731, 'Picarro Output'!$I:$I, 0, 'Picarro Output'!$J:$J, 1), "")</f>
        <v/>
      </c>
    </row>
    <row r="5732" spans="2:5" x14ac:dyDescent="0.2">
      <c r="B5732" s="1"/>
      <c r="E5732" s="38" t="str">
        <f>IFERROR(AVERAGEIFS('Picarro Output'!G:G, 'Picarro Output'!$B:$B, 'Uncalibrated Data'!$C5732, 'Picarro Output'!$I:$I, 0, 'Picarro Output'!$J:$J, 1), "")</f>
        <v/>
      </c>
    </row>
    <row r="5733" spans="2:5" x14ac:dyDescent="0.2">
      <c r="B5733" s="1"/>
      <c r="E5733" s="38" t="str">
        <f>IFERROR(AVERAGEIFS('Picarro Output'!G:G, 'Picarro Output'!$B:$B, 'Uncalibrated Data'!$C5733, 'Picarro Output'!$I:$I, 0, 'Picarro Output'!$J:$J, 1), "")</f>
        <v/>
      </c>
    </row>
    <row r="5734" spans="2:5" x14ac:dyDescent="0.2">
      <c r="B5734" s="1"/>
      <c r="E5734" s="38" t="str">
        <f>IFERROR(AVERAGEIFS('Picarro Output'!G:G, 'Picarro Output'!$B:$B, 'Uncalibrated Data'!$C5734, 'Picarro Output'!$I:$I, 0, 'Picarro Output'!$J:$J, 1), "")</f>
        <v/>
      </c>
    </row>
    <row r="5735" spans="2:5" x14ac:dyDescent="0.2">
      <c r="B5735" s="1"/>
      <c r="E5735" s="38" t="str">
        <f>IFERROR(AVERAGEIFS('Picarro Output'!G:G, 'Picarro Output'!$B:$B, 'Uncalibrated Data'!$C5735, 'Picarro Output'!$I:$I, 0, 'Picarro Output'!$J:$J, 1), "")</f>
        <v/>
      </c>
    </row>
    <row r="5736" spans="2:5" x14ac:dyDescent="0.2">
      <c r="B5736" s="1"/>
      <c r="E5736" s="38" t="str">
        <f>IFERROR(AVERAGEIFS('Picarro Output'!G:G, 'Picarro Output'!$B:$B, 'Uncalibrated Data'!$C5736, 'Picarro Output'!$I:$I, 0, 'Picarro Output'!$J:$J, 1), "")</f>
        <v/>
      </c>
    </row>
    <row r="5737" spans="2:5" x14ac:dyDescent="0.2">
      <c r="B5737" s="1"/>
      <c r="E5737" s="38" t="str">
        <f>IFERROR(AVERAGEIFS('Picarro Output'!G:G, 'Picarro Output'!$B:$B, 'Uncalibrated Data'!$C5737, 'Picarro Output'!$I:$I, 0, 'Picarro Output'!$J:$J, 1), "")</f>
        <v/>
      </c>
    </row>
    <row r="5738" spans="2:5" x14ac:dyDescent="0.2">
      <c r="B5738" s="1"/>
      <c r="E5738" s="38" t="str">
        <f>IFERROR(AVERAGEIFS('Picarro Output'!G:G, 'Picarro Output'!$B:$B, 'Uncalibrated Data'!$C5738, 'Picarro Output'!$I:$I, 0, 'Picarro Output'!$J:$J, 1), "")</f>
        <v/>
      </c>
    </row>
    <row r="5739" spans="2:5" x14ac:dyDescent="0.2">
      <c r="B5739" s="1"/>
      <c r="E5739" s="38" t="str">
        <f>IFERROR(AVERAGEIFS('Picarro Output'!G:G, 'Picarro Output'!$B:$B, 'Uncalibrated Data'!$C5739, 'Picarro Output'!$I:$I, 0, 'Picarro Output'!$J:$J, 1), "")</f>
        <v/>
      </c>
    </row>
    <row r="5740" spans="2:5" x14ac:dyDescent="0.2">
      <c r="B5740" s="1"/>
      <c r="E5740" s="38" t="str">
        <f>IFERROR(AVERAGEIFS('Picarro Output'!G:G, 'Picarro Output'!$B:$B, 'Uncalibrated Data'!$C5740, 'Picarro Output'!$I:$I, 0, 'Picarro Output'!$J:$J, 1), "")</f>
        <v/>
      </c>
    </row>
    <row r="5741" spans="2:5" x14ac:dyDescent="0.2">
      <c r="B5741" s="1"/>
      <c r="E5741" s="38" t="str">
        <f>IFERROR(AVERAGEIFS('Picarro Output'!G:G, 'Picarro Output'!$B:$B, 'Uncalibrated Data'!$C5741, 'Picarro Output'!$I:$I, 0, 'Picarro Output'!$J:$J, 1), "")</f>
        <v/>
      </c>
    </row>
    <row r="5742" spans="2:5" x14ac:dyDescent="0.2">
      <c r="B5742" s="1"/>
      <c r="E5742" s="38" t="str">
        <f>IFERROR(AVERAGEIFS('Picarro Output'!G:G, 'Picarro Output'!$B:$B, 'Uncalibrated Data'!$C5742, 'Picarro Output'!$I:$I, 0, 'Picarro Output'!$J:$J, 1), "")</f>
        <v/>
      </c>
    </row>
    <row r="5743" spans="2:5" x14ac:dyDescent="0.2">
      <c r="B5743" s="1"/>
      <c r="E5743" s="38" t="str">
        <f>IFERROR(AVERAGEIFS('Picarro Output'!G:G, 'Picarro Output'!$B:$B, 'Uncalibrated Data'!$C5743, 'Picarro Output'!$I:$I, 0, 'Picarro Output'!$J:$J, 1), "")</f>
        <v/>
      </c>
    </row>
    <row r="5744" spans="2:5" x14ac:dyDescent="0.2">
      <c r="B5744" s="1"/>
      <c r="E5744" s="38" t="str">
        <f>IFERROR(AVERAGEIFS('Picarro Output'!G:G, 'Picarro Output'!$B:$B, 'Uncalibrated Data'!$C5744, 'Picarro Output'!$I:$I, 0, 'Picarro Output'!$J:$J, 1), "")</f>
        <v/>
      </c>
    </row>
    <row r="5745" spans="2:5" x14ac:dyDescent="0.2">
      <c r="B5745" s="1"/>
      <c r="E5745" s="38" t="str">
        <f>IFERROR(AVERAGEIFS('Picarro Output'!G:G, 'Picarro Output'!$B:$B, 'Uncalibrated Data'!$C5745, 'Picarro Output'!$I:$I, 0, 'Picarro Output'!$J:$J, 1), "")</f>
        <v/>
      </c>
    </row>
    <row r="5746" spans="2:5" x14ac:dyDescent="0.2">
      <c r="B5746" s="1"/>
      <c r="E5746" s="38" t="str">
        <f>IFERROR(AVERAGEIFS('Picarro Output'!G:G, 'Picarro Output'!$B:$B, 'Uncalibrated Data'!$C5746, 'Picarro Output'!$I:$I, 0, 'Picarro Output'!$J:$J, 1), "")</f>
        <v/>
      </c>
    </row>
    <row r="5747" spans="2:5" x14ac:dyDescent="0.2">
      <c r="B5747" s="1"/>
      <c r="E5747" s="38" t="str">
        <f>IFERROR(AVERAGEIFS('Picarro Output'!G:G, 'Picarro Output'!$B:$B, 'Uncalibrated Data'!$C5747, 'Picarro Output'!$I:$I, 0, 'Picarro Output'!$J:$J, 1), "")</f>
        <v/>
      </c>
    </row>
    <row r="5748" spans="2:5" x14ac:dyDescent="0.2">
      <c r="B5748" s="1"/>
      <c r="E5748" s="38" t="str">
        <f>IFERROR(AVERAGEIFS('Picarro Output'!G:G, 'Picarro Output'!$B:$B, 'Uncalibrated Data'!$C5748, 'Picarro Output'!$I:$I, 0, 'Picarro Output'!$J:$J, 1), "")</f>
        <v/>
      </c>
    </row>
    <row r="5749" spans="2:5" x14ac:dyDescent="0.2">
      <c r="B5749" s="1"/>
      <c r="E5749" s="38" t="str">
        <f>IFERROR(AVERAGEIFS('Picarro Output'!G:G, 'Picarro Output'!$B:$B, 'Uncalibrated Data'!$C5749, 'Picarro Output'!$I:$I, 0, 'Picarro Output'!$J:$J, 1), "")</f>
        <v/>
      </c>
    </row>
    <row r="5750" spans="2:5" x14ac:dyDescent="0.2">
      <c r="B5750" s="1"/>
      <c r="E5750" s="38" t="str">
        <f>IFERROR(AVERAGEIFS('Picarro Output'!G:G, 'Picarro Output'!$B:$B, 'Uncalibrated Data'!$C5750, 'Picarro Output'!$I:$I, 0, 'Picarro Output'!$J:$J, 1), "")</f>
        <v/>
      </c>
    </row>
    <row r="5751" spans="2:5" x14ac:dyDescent="0.2">
      <c r="B5751" s="1"/>
      <c r="E5751" s="38" t="str">
        <f>IFERROR(AVERAGEIFS('Picarro Output'!G:G, 'Picarro Output'!$B:$B, 'Uncalibrated Data'!$C5751, 'Picarro Output'!$I:$I, 0, 'Picarro Output'!$J:$J, 1), "")</f>
        <v/>
      </c>
    </row>
    <row r="5752" spans="2:5" x14ac:dyDescent="0.2">
      <c r="B5752" s="1"/>
      <c r="E5752" s="38" t="str">
        <f>IFERROR(AVERAGEIFS('Picarro Output'!G:G, 'Picarro Output'!$B:$B, 'Uncalibrated Data'!$C5752, 'Picarro Output'!$I:$I, 0, 'Picarro Output'!$J:$J, 1), "")</f>
        <v/>
      </c>
    </row>
    <row r="5753" spans="2:5" x14ac:dyDescent="0.2">
      <c r="B5753" s="1"/>
      <c r="E5753" s="38" t="str">
        <f>IFERROR(AVERAGEIFS('Picarro Output'!G:G, 'Picarro Output'!$B:$B, 'Uncalibrated Data'!$C5753, 'Picarro Output'!$I:$I, 0, 'Picarro Output'!$J:$J, 1), "")</f>
        <v/>
      </c>
    </row>
    <row r="5754" spans="2:5" x14ac:dyDescent="0.2">
      <c r="B5754" s="1"/>
      <c r="E5754" s="38" t="str">
        <f>IFERROR(AVERAGEIFS('Picarro Output'!G:G, 'Picarro Output'!$B:$B, 'Uncalibrated Data'!$C5754, 'Picarro Output'!$I:$I, 0, 'Picarro Output'!$J:$J, 1), "")</f>
        <v/>
      </c>
    </row>
    <row r="5755" spans="2:5" x14ac:dyDescent="0.2">
      <c r="B5755" s="1"/>
      <c r="E5755" s="38" t="str">
        <f>IFERROR(AVERAGEIFS('Picarro Output'!G:G, 'Picarro Output'!$B:$B, 'Uncalibrated Data'!$C5755, 'Picarro Output'!$I:$I, 0, 'Picarro Output'!$J:$J, 1), "")</f>
        <v/>
      </c>
    </row>
    <row r="5756" spans="2:5" x14ac:dyDescent="0.2">
      <c r="B5756" s="1"/>
      <c r="E5756" s="38" t="str">
        <f>IFERROR(AVERAGEIFS('Picarro Output'!G:G, 'Picarro Output'!$B:$B, 'Uncalibrated Data'!$C5756, 'Picarro Output'!$I:$I, 0, 'Picarro Output'!$J:$J, 1), "")</f>
        <v/>
      </c>
    </row>
    <row r="5757" spans="2:5" x14ac:dyDescent="0.2">
      <c r="B5757" s="1"/>
      <c r="E5757" s="38" t="str">
        <f>IFERROR(AVERAGEIFS('Picarro Output'!G:G, 'Picarro Output'!$B:$B, 'Uncalibrated Data'!$C5757, 'Picarro Output'!$I:$I, 0, 'Picarro Output'!$J:$J, 1), "")</f>
        <v/>
      </c>
    </row>
    <row r="5758" spans="2:5" x14ac:dyDescent="0.2">
      <c r="B5758" s="1"/>
      <c r="E5758" s="38" t="str">
        <f>IFERROR(AVERAGEIFS('Picarro Output'!G:G, 'Picarro Output'!$B:$B, 'Uncalibrated Data'!$C5758, 'Picarro Output'!$I:$I, 0, 'Picarro Output'!$J:$J, 1), "")</f>
        <v/>
      </c>
    </row>
    <row r="5759" spans="2:5" x14ac:dyDescent="0.2">
      <c r="B5759" s="1"/>
      <c r="E5759" s="38" t="str">
        <f>IFERROR(AVERAGEIFS('Picarro Output'!G:G, 'Picarro Output'!$B:$B, 'Uncalibrated Data'!$C5759, 'Picarro Output'!$I:$I, 0, 'Picarro Output'!$J:$J, 1), "")</f>
        <v/>
      </c>
    </row>
    <row r="5760" spans="2:5" x14ac:dyDescent="0.2">
      <c r="B5760" s="1"/>
      <c r="E5760" s="38" t="str">
        <f>IFERROR(AVERAGEIFS('Picarro Output'!G:G, 'Picarro Output'!$B:$B, 'Uncalibrated Data'!$C5760, 'Picarro Output'!$I:$I, 0, 'Picarro Output'!$J:$J, 1), "")</f>
        <v/>
      </c>
    </row>
    <row r="5761" spans="2:5" x14ac:dyDescent="0.2">
      <c r="B5761" s="1"/>
      <c r="E5761" s="38" t="str">
        <f>IFERROR(AVERAGEIFS('Picarro Output'!G:G, 'Picarro Output'!$B:$B, 'Uncalibrated Data'!$C5761, 'Picarro Output'!$I:$I, 0, 'Picarro Output'!$J:$J, 1), "")</f>
        <v/>
      </c>
    </row>
    <row r="5762" spans="2:5" x14ac:dyDescent="0.2">
      <c r="B5762" s="1"/>
      <c r="E5762" s="38" t="str">
        <f>IFERROR(AVERAGEIFS('Picarro Output'!G:G, 'Picarro Output'!$B:$B, 'Uncalibrated Data'!$C5762, 'Picarro Output'!$I:$I, 0, 'Picarro Output'!$J:$J, 1), "")</f>
        <v/>
      </c>
    </row>
    <row r="5763" spans="2:5" x14ac:dyDescent="0.2">
      <c r="B5763" s="1"/>
      <c r="E5763" s="38" t="str">
        <f>IFERROR(AVERAGEIFS('Picarro Output'!G:G, 'Picarro Output'!$B:$B, 'Uncalibrated Data'!$C5763, 'Picarro Output'!$I:$I, 0, 'Picarro Output'!$J:$J, 1), "")</f>
        <v/>
      </c>
    </row>
    <row r="5764" spans="2:5" x14ac:dyDescent="0.2">
      <c r="B5764" s="1"/>
      <c r="E5764" s="38" t="str">
        <f>IFERROR(AVERAGEIFS('Picarro Output'!G:G, 'Picarro Output'!$B:$B, 'Uncalibrated Data'!$C5764, 'Picarro Output'!$I:$I, 0, 'Picarro Output'!$J:$J, 1), "")</f>
        <v/>
      </c>
    </row>
    <row r="5765" spans="2:5" x14ac:dyDescent="0.2">
      <c r="B5765" s="1"/>
      <c r="E5765" s="38" t="str">
        <f>IFERROR(AVERAGEIFS('Picarro Output'!G:G, 'Picarro Output'!$B:$B, 'Uncalibrated Data'!$C5765, 'Picarro Output'!$I:$I, 0, 'Picarro Output'!$J:$J, 1), "")</f>
        <v/>
      </c>
    </row>
    <row r="5766" spans="2:5" x14ac:dyDescent="0.2">
      <c r="B5766" s="1"/>
      <c r="E5766" s="38" t="str">
        <f>IFERROR(AVERAGEIFS('Picarro Output'!G:G, 'Picarro Output'!$B:$B, 'Uncalibrated Data'!$C5766, 'Picarro Output'!$I:$I, 0, 'Picarro Output'!$J:$J, 1), "")</f>
        <v/>
      </c>
    </row>
    <row r="5767" spans="2:5" x14ac:dyDescent="0.2">
      <c r="B5767" s="1"/>
      <c r="E5767" s="38" t="str">
        <f>IFERROR(AVERAGEIFS('Picarro Output'!G:G, 'Picarro Output'!$B:$B, 'Uncalibrated Data'!$C5767, 'Picarro Output'!$I:$I, 0, 'Picarro Output'!$J:$J, 1), "")</f>
        <v/>
      </c>
    </row>
    <row r="5768" spans="2:5" x14ac:dyDescent="0.2">
      <c r="B5768" s="1"/>
      <c r="E5768" s="38" t="str">
        <f>IFERROR(AVERAGEIFS('Picarro Output'!G:G, 'Picarro Output'!$B:$B, 'Uncalibrated Data'!$C5768, 'Picarro Output'!$I:$I, 0, 'Picarro Output'!$J:$J, 1), "")</f>
        <v/>
      </c>
    </row>
    <row r="5769" spans="2:5" x14ac:dyDescent="0.2">
      <c r="B5769" s="1"/>
      <c r="E5769" s="38" t="str">
        <f>IFERROR(AVERAGEIFS('Picarro Output'!G:G, 'Picarro Output'!$B:$B, 'Uncalibrated Data'!$C5769, 'Picarro Output'!$I:$I, 0, 'Picarro Output'!$J:$J, 1), "")</f>
        <v/>
      </c>
    </row>
    <row r="5770" spans="2:5" x14ac:dyDescent="0.2">
      <c r="B5770" s="1"/>
      <c r="E5770" s="38" t="str">
        <f>IFERROR(AVERAGEIFS('Picarro Output'!G:G, 'Picarro Output'!$B:$B, 'Uncalibrated Data'!$C5770, 'Picarro Output'!$I:$I, 0, 'Picarro Output'!$J:$J, 1), "")</f>
        <v/>
      </c>
    </row>
    <row r="5771" spans="2:5" x14ac:dyDescent="0.2">
      <c r="B5771" s="1"/>
      <c r="E5771" s="38" t="str">
        <f>IFERROR(AVERAGEIFS('Picarro Output'!G:G, 'Picarro Output'!$B:$B, 'Uncalibrated Data'!$C5771, 'Picarro Output'!$I:$I, 0, 'Picarro Output'!$J:$J, 1), "")</f>
        <v/>
      </c>
    </row>
    <row r="5772" spans="2:5" x14ac:dyDescent="0.2">
      <c r="B5772" s="1"/>
      <c r="E5772" s="38" t="str">
        <f>IFERROR(AVERAGEIFS('Picarro Output'!G:G, 'Picarro Output'!$B:$B, 'Uncalibrated Data'!$C5772, 'Picarro Output'!$I:$I, 0, 'Picarro Output'!$J:$J, 1), "")</f>
        <v/>
      </c>
    </row>
    <row r="5773" spans="2:5" x14ac:dyDescent="0.2">
      <c r="B5773" s="1"/>
      <c r="E5773" s="38" t="str">
        <f>IFERROR(AVERAGEIFS('Picarro Output'!G:G, 'Picarro Output'!$B:$B, 'Uncalibrated Data'!$C5773, 'Picarro Output'!$I:$I, 0, 'Picarro Output'!$J:$J, 1), "")</f>
        <v/>
      </c>
    </row>
    <row r="5774" spans="2:5" x14ac:dyDescent="0.2">
      <c r="B5774" s="1"/>
      <c r="E5774" s="38" t="str">
        <f>IFERROR(AVERAGEIFS('Picarro Output'!G:G, 'Picarro Output'!$B:$B, 'Uncalibrated Data'!$C5774, 'Picarro Output'!$I:$I, 0, 'Picarro Output'!$J:$J, 1), "")</f>
        <v/>
      </c>
    </row>
    <row r="5775" spans="2:5" x14ac:dyDescent="0.2">
      <c r="B5775" s="1"/>
      <c r="E5775" s="38" t="str">
        <f>IFERROR(AVERAGEIFS('Picarro Output'!G:G, 'Picarro Output'!$B:$B, 'Uncalibrated Data'!$C5775, 'Picarro Output'!$I:$I, 0, 'Picarro Output'!$J:$J, 1), "")</f>
        <v/>
      </c>
    </row>
    <row r="5776" spans="2:5" x14ac:dyDescent="0.2">
      <c r="B5776" s="1"/>
      <c r="E5776" s="38" t="str">
        <f>IFERROR(AVERAGEIFS('Picarro Output'!G:G, 'Picarro Output'!$B:$B, 'Uncalibrated Data'!$C5776, 'Picarro Output'!$I:$I, 0, 'Picarro Output'!$J:$J, 1), "")</f>
        <v/>
      </c>
    </row>
    <row r="5777" spans="2:5" x14ac:dyDescent="0.2">
      <c r="B5777" s="1"/>
      <c r="E5777" s="38" t="str">
        <f>IFERROR(AVERAGEIFS('Picarro Output'!G:G, 'Picarro Output'!$B:$B, 'Uncalibrated Data'!$C5777, 'Picarro Output'!$I:$I, 0, 'Picarro Output'!$J:$J, 1), "")</f>
        <v/>
      </c>
    </row>
    <row r="5778" spans="2:5" x14ac:dyDescent="0.2">
      <c r="B5778" s="1"/>
      <c r="E5778" s="38" t="str">
        <f>IFERROR(AVERAGEIFS('Picarro Output'!G:G, 'Picarro Output'!$B:$B, 'Uncalibrated Data'!$C5778, 'Picarro Output'!$I:$I, 0, 'Picarro Output'!$J:$J, 1), "")</f>
        <v/>
      </c>
    </row>
    <row r="5779" spans="2:5" x14ac:dyDescent="0.2">
      <c r="B5779" s="1"/>
      <c r="E5779" s="38" t="str">
        <f>IFERROR(AVERAGEIFS('Picarro Output'!G:G, 'Picarro Output'!$B:$B, 'Uncalibrated Data'!$C5779, 'Picarro Output'!$I:$I, 0, 'Picarro Output'!$J:$J, 1), "")</f>
        <v/>
      </c>
    </row>
    <row r="5780" spans="2:5" x14ac:dyDescent="0.2">
      <c r="B5780" s="1"/>
      <c r="E5780" s="38" t="str">
        <f>IFERROR(AVERAGEIFS('Picarro Output'!G:G, 'Picarro Output'!$B:$B, 'Uncalibrated Data'!$C5780, 'Picarro Output'!$I:$I, 0, 'Picarro Output'!$J:$J, 1), "")</f>
        <v/>
      </c>
    </row>
    <row r="5781" spans="2:5" x14ac:dyDescent="0.2">
      <c r="B5781" s="1"/>
      <c r="E5781" s="38" t="str">
        <f>IFERROR(AVERAGEIFS('Picarro Output'!G:G, 'Picarro Output'!$B:$B, 'Uncalibrated Data'!$C5781, 'Picarro Output'!$I:$I, 0, 'Picarro Output'!$J:$J, 1), "")</f>
        <v/>
      </c>
    </row>
    <row r="5782" spans="2:5" x14ac:dyDescent="0.2">
      <c r="B5782" s="1"/>
      <c r="E5782" s="38" t="str">
        <f>IFERROR(AVERAGEIFS('Picarro Output'!G:G, 'Picarro Output'!$B:$B, 'Uncalibrated Data'!$C5782, 'Picarro Output'!$I:$I, 0, 'Picarro Output'!$J:$J, 1), "")</f>
        <v/>
      </c>
    </row>
    <row r="5783" spans="2:5" x14ac:dyDescent="0.2">
      <c r="B5783" s="1"/>
      <c r="E5783" s="38" t="str">
        <f>IFERROR(AVERAGEIFS('Picarro Output'!G:G, 'Picarro Output'!$B:$B, 'Uncalibrated Data'!$C5783, 'Picarro Output'!$I:$I, 0, 'Picarro Output'!$J:$J, 1), "")</f>
        <v/>
      </c>
    </row>
    <row r="5784" spans="2:5" x14ac:dyDescent="0.2">
      <c r="B5784" s="1"/>
      <c r="E5784" s="38" t="str">
        <f>IFERROR(AVERAGEIFS('Picarro Output'!G:G, 'Picarro Output'!$B:$B, 'Uncalibrated Data'!$C5784, 'Picarro Output'!$I:$I, 0, 'Picarro Output'!$J:$J, 1), "")</f>
        <v/>
      </c>
    </row>
    <row r="5785" spans="2:5" x14ac:dyDescent="0.2">
      <c r="B5785" s="1"/>
      <c r="E5785" s="38" t="str">
        <f>IFERROR(AVERAGEIFS('Picarro Output'!G:G, 'Picarro Output'!$B:$B, 'Uncalibrated Data'!$C5785, 'Picarro Output'!$I:$I, 0, 'Picarro Output'!$J:$J, 1), "")</f>
        <v/>
      </c>
    </row>
    <row r="5786" spans="2:5" x14ac:dyDescent="0.2">
      <c r="B5786" s="1"/>
      <c r="E5786" s="38" t="str">
        <f>IFERROR(AVERAGEIFS('Picarro Output'!G:G, 'Picarro Output'!$B:$B, 'Uncalibrated Data'!$C5786, 'Picarro Output'!$I:$I, 0, 'Picarro Output'!$J:$J, 1), "")</f>
        <v/>
      </c>
    </row>
    <row r="5787" spans="2:5" x14ac:dyDescent="0.2">
      <c r="B5787" s="1"/>
      <c r="E5787" s="38" t="str">
        <f>IFERROR(AVERAGEIFS('Picarro Output'!G:G, 'Picarro Output'!$B:$B, 'Uncalibrated Data'!$C5787, 'Picarro Output'!$I:$I, 0, 'Picarro Output'!$J:$J, 1), "")</f>
        <v/>
      </c>
    </row>
    <row r="5788" spans="2:5" x14ac:dyDescent="0.2">
      <c r="B5788" s="1"/>
      <c r="E5788" s="38" t="str">
        <f>IFERROR(AVERAGEIFS('Picarro Output'!G:G, 'Picarro Output'!$B:$B, 'Uncalibrated Data'!$C5788, 'Picarro Output'!$I:$I, 0, 'Picarro Output'!$J:$J, 1), "")</f>
        <v/>
      </c>
    </row>
    <row r="5789" spans="2:5" x14ac:dyDescent="0.2">
      <c r="B5789" s="1"/>
      <c r="E5789" s="38" t="str">
        <f>IFERROR(AVERAGEIFS('Picarro Output'!G:G, 'Picarro Output'!$B:$B, 'Uncalibrated Data'!$C5789, 'Picarro Output'!$I:$I, 0, 'Picarro Output'!$J:$J, 1), "")</f>
        <v/>
      </c>
    </row>
    <row r="5790" spans="2:5" x14ac:dyDescent="0.2">
      <c r="B5790" s="1"/>
      <c r="E5790" s="38" t="str">
        <f>IFERROR(AVERAGEIFS('Picarro Output'!G:G, 'Picarro Output'!$B:$B, 'Uncalibrated Data'!$C5790, 'Picarro Output'!$I:$I, 0, 'Picarro Output'!$J:$J, 1), "")</f>
        <v/>
      </c>
    </row>
    <row r="5791" spans="2:5" x14ac:dyDescent="0.2">
      <c r="B5791" s="1"/>
      <c r="E5791" s="38" t="str">
        <f>IFERROR(AVERAGEIFS('Picarro Output'!G:G, 'Picarro Output'!$B:$B, 'Uncalibrated Data'!$C5791, 'Picarro Output'!$I:$I, 0, 'Picarro Output'!$J:$J, 1), "")</f>
        <v/>
      </c>
    </row>
    <row r="5792" spans="2:5" x14ac:dyDescent="0.2">
      <c r="B5792" s="1"/>
      <c r="E5792" s="38" t="str">
        <f>IFERROR(AVERAGEIFS('Picarro Output'!G:G, 'Picarro Output'!$B:$B, 'Uncalibrated Data'!$C5792, 'Picarro Output'!$I:$I, 0, 'Picarro Output'!$J:$J, 1), "")</f>
        <v/>
      </c>
    </row>
    <row r="5793" spans="2:5" x14ac:dyDescent="0.2">
      <c r="B5793" s="1"/>
      <c r="E5793" s="38" t="str">
        <f>IFERROR(AVERAGEIFS('Picarro Output'!G:G, 'Picarro Output'!$B:$B, 'Uncalibrated Data'!$C5793, 'Picarro Output'!$I:$I, 0, 'Picarro Output'!$J:$J, 1), "")</f>
        <v/>
      </c>
    </row>
    <row r="5794" spans="2:5" x14ac:dyDescent="0.2">
      <c r="B5794" s="1"/>
      <c r="E5794" s="38" t="str">
        <f>IFERROR(AVERAGEIFS('Picarro Output'!G:G, 'Picarro Output'!$B:$B, 'Uncalibrated Data'!$C5794, 'Picarro Output'!$I:$I, 0, 'Picarro Output'!$J:$J, 1), "")</f>
        <v/>
      </c>
    </row>
    <row r="5795" spans="2:5" x14ac:dyDescent="0.2">
      <c r="B5795" s="1"/>
      <c r="E5795" s="38" t="str">
        <f>IFERROR(AVERAGEIFS('Picarro Output'!G:G, 'Picarro Output'!$B:$B, 'Uncalibrated Data'!$C5795, 'Picarro Output'!$I:$I, 0, 'Picarro Output'!$J:$J, 1), "")</f>
        <v/>
      </c>
    </row>
    <row r="5796" spans="2:5" x14ac:dyDescent="0.2">
      <c r="B5796" s="1"/>
      <c r="E5796" s="38" t="str">
        <f>IFERROR(AVERAGEIFS('Picarro Output'!G:G, 'Picarro Output'!$B:$B, 'Uncalibrated Data'!$C5796, 'Picarro Output'!$I:$I, 0, 'Picarro Output'!$J:$J, 1), "")</f>
        <v/>
      </c>
    </row>
    <row r="5797" spans="2:5" x14ac:dyDescent="0.2">
      <c r="B5797" s="1"/>
      <c r="E5797" s="38" t="str">
        <f>IFERROR(AVERAGEIFS('Picarro Output'!G:G, 'Picarro Output'!$B:$B, 'Uncalibrated Data'!$C5797, 'Picarro Output'!$I:$I, 0, 'Picarro Output'!$J:$J, 1), "")</f>
        <v/>
      </c>
    </row>
    <row r="5798" spans="2:5" x14ac:dyDescent="0.2">
      <c r="B5798" s="1"/>
      <c r="E5798" s="38" t="str">
        <f>IFERROR(AVERAGEIFS('Picarro Output'!G:G, 'Picarro Output'!$B:$B, 'Uncalibrated Data'!$C5798, 'Picarro Output'!$I:$I, 0, 'Picarro Output'!$J:$J, 1), "")</f>
        <v/>
      </c>
    </row>
    <row r="5799" spans="2:5" x14ac:dyDescent="0.2">
      <c r="B5799" s="1"/>
      <c r="E5799" s="38" t="str">
        <f>IFERROR(AVERAGEIFS('Picarro Output'!G:G, 'Picarro Output'!$B:$B, 'Uncalibrated Data'!$C5799, 'Picarro Output'!$I:$I, 0, 'Picarro Output'!$J:$J, 1), "")</f>
        <v/>
      </c>
    </row>
    <row r="5800" spans="2:5" x14ac:dyDescent="0.2">
      <c r="B5800" s="1"/>
      <c r="E5800" s="38" t="str">
        <f>IFERROR(AVERAGEIFS('Picarro Output'!G:G, 'Picarro Output'!$B:$B, 'Uncalibrated Data'!$C5800, 'Picarro Output'!$I:$I, 0, 'Picarro Output'!$J:$J, 1), "")</f>
        <v/>
      </c>
    </row>
    <row r="5801" spans="2:5" x14ac:dyDescent="0.2">
      <c r="B5801" s="1"/>
      <c r="E5801" s="38" t="str">
        <f>IFERROR(AVERAGEIFS('Picarro Output'!G:G, 'Picarro Output'!$B:$B, 'Uncalibrated Data'!$C5801, 'Picarro Output'!$I:$I, 0, 'Picarro Output'!$J:$J, 1), "")</f>
        <v/>
      </c>
    </row>
    <row r="5802" spans="2:5" x14ac:dyDescent="0.2">
      <c r="B5802" s="1"/>
      <c r="E5802" s="38" t="str">
        <f>IFERROR(AVERAGEIFS('Picarro Output'!G:G, 'Picarro Output'!$B:$B, 'Uncalibrated Data'!$C5802, 'Picarro Output'!$I:$I, 0, 'Picarro Output'!$J:$J, 1), "")</f>
        <v/>
      </c>
    </row>
    <row r="5803" spans="2:5" x14ac:dyDescent="0.2">
      <c r="B5803" s="1"/>
      <c r="E5803" s="38" t="str">
        <f>IFERROR(AVERAGEIFS('Picarro Output'!G:G, 'Picarro Output'!$B:$B, 'Uncalibrated Data'!$C5803, 'Picarro Output'!$I:$I, 0, 'Picarro Output'!$J:$J, 1), "")</f>
        <v/>
      </c>
    </row>
    <row r="5804" spans="2:5" x14ac:dyDescent="0.2">
      <c r="B5804" s="1"/>
      <c r="E5804" s="38" t="str">
        <f>IFERROR(AVERAGEIFS('Picarro Output'!G:G, 'Picarro Output'!$B:$B, 'Uncalibrated Data'!$C5804, 'Picarro Output'!$I:$I, 0, 'Picarro Output'!$J:$J, 1), "")</f>
        <v/>
      </c>
    </row>
    <row r="5805" spans="2:5" x14ac:dyDescent="0.2">
      <c r="B5805" s="1"/>
      <c r="E5805" s="38" t="str">
        <f>IFERROR(AVERAGEIFS('Picarro Output'!G:G, 'Picarro Output'!$B:$B, 'Uncalibrated Data'!$C5805, 'Picarro Output'!$I:$I, 0, 'Picarro Output'!$J:$J, 1), "")</f>
        <v/>
      </c>
    </row>
    <row r="5806" spans="2:5" x14ac:dyDescent="0.2">
      <c r="B5806" s="1"/>
      <c r="E5806" s="38" t="str">
        <f>IFERROR(AVERAGEIFS('Picarro Output'!G:G, 'Picarro Output'!$B:$B, 'Uncalibrated Data'!$C5806, 'Picarro Output'!$I:$I, 0, 'Picarro Output'!$J:$J, 1), "")</f>
        <v/>
      </c>
    </row>
    <row r="5807" spans="2:5" x14ac:dyDescent="0.2">
      <c r="B5807" s="1"/>
      <c r="E5807" s="38" t="str">
        <f>IFERROR(AVERAGEIFS('Picarro Output'!G:G, 'Picarro Output'!$B:$B, 'Uncalibrated Data'!$C5807, 'Picarro Output'!$I:$I, 0, 'Picarro Output'!$J:$J, 1), "")</f>
        <v/>
      </c>
    </row>
    <row r="5808" spans="2:5" x14ac:dyDescent="0.2">
      <c r="B5808" s="1"/>
      <c r="E5808" s="38" t="str">
        <f>IFERROR(AVERAGEIFS('Picarro Output'!G:G, 'Picarro Output'!$B:$B, 'Uncalibrated Data'!$C5808, 'Picarro Output'!$I:$I, 0, 'Picarro Output'!$J:$J, 1), "")</f>
        <v/>
      </c>
    </row>
    <row r="5809" spans="2:5" x14ac:dyDescent="0.2">
      <c r="B5809" s="1"/>
      <c r="E5809" s="38" t="str">
        <f>IFERROR(AVERAGEIFS('Picarro Output'!G:G, 'Picarro Output'!$B:$B, 'Uncalibrated Data'!$C5809, 'Picarro Output'!$I:$I, 0, 'Picarro Output'!$J:$J, 1), "")</f>
        <v/>
      </c>
    </row>
    <row r="5810" spans="2:5" x14ac:dyDescent="0.2">
      <c r="B5810" s="1"/>
      <c r="E5810" s="38" t="str">
        <f>IFERROR(AVERAGEIFS('Picarro Output'!G:G, 'Picarro Output'!$B:$B, 'Uncalibrated Data'!$C5810, 'Picarro Output'!$I:$I, 0, 'Picarro Output'!$J:$J, 1), "")</f>
        <v/>
      </c>
    </row>
    <row r="5811" spans="2:5" x14ac:dyDescent="0.2">
      <c r="B5811" s="1"/>
      <c r="E5811" s="38" t="str">
        <f>IFERROR(AVERAGEIFS('Picarro Output'!G:G, 'Picarro Output'!$B:$B, 'Uncalibrated Data'!$C5811, 'Picarro Output'!$I:$I, 0, 'Picarro Output'!$J:$J, 1), "")</f>
        <v/>
      </c>
    </row>
    <row r="5812" spans="2:5" x14ac:dyDescent="0.2">
      <c r="B5812" s="1"/>
      <c r="E5812" s="38" t="str">
        <f>IFERROR(AVERAGEIFS('Picarro Output'!G:G, 'Picarro Output'!$B:$B, 'Uncalibrated Data'!$C5812, 'Picarro Output'!$I:$I, 0, 'Picarro Output'!$J:$J, 1), "")</f>
        <v/>
      </c>
    </row>
    <row r="5813" spans="2:5" x14ac:dyDescent="0.2">
      <c r="B5813" s="1"/>
      <c r="E5813" s="38" t="str">
        <f>IFERROR(AVERAGEIFS('Picarro Output'!G:G, 'Picarro Output'!$B:$B, 'Uncalibrated Data'!$C5813, 'Picarro Output'!$I:$I, 0, 'Picarro Output'!$J:$J, 1), "")</f>
        <v/>
      </c>
    </row>
    <row r="5814" spans="2:5" x14ac:dyDescent="0.2">
      <c r="B5814" s="1"/>
      <c r="E5814" s="38" t="str">
        <f>IFERROR(AVERAGEIFS('Picarro Output'!G:G, 'Picarro Output'!$B:$B, 'Uncalibrated Data'!$C5814, 'Picarro Output'!$I:$I, 0, 'Picarro Output'!$J:$J, 1), "")</f>
        <v/>
      </c>
    </row>
    <row r="5815" spans="2:5" x14ac:dyDescent="0.2">
      <c r="B5815" s="1"/>
      <c r="E5815" s="38" t="str">
        <f>IFERROR(AVERAGEIFS('Picarro Output'!G:G, 'Picarro Output'!$B:$B, 'Uncalibrated Data'!$C5815, 'Picarro Output'!$I:$I, 0, 'Picarro Output'!$J:$J, 1), "")</f>
        <v/>
      </c>
    </row>
    <row r="5816" spans="2:5" x14ac:dyDescent="0.2">
      <c r="B5816" s="1"/>
      <c r="E5816" s="38" t="str">
        <f>IFERROR(AVERAGEIFS('Picarro Output'!G:G, 'Picarro Output'!$B:$B, 'Uncalibrated Data'!$C5816, 'Picarro Output'!$I:$I, 0, 'Picarro Output'!$J:$J, 1), "")</f>
        <v/>
      </c>
    </row>
    <row r="5817" spans="2:5" x14ac:dyDescent="0.2">
      <c r="B5817" s="1"/>
      <c r="E5817" s="38" t="str">
        <f>IFERROR(AVERAGEIFS('Picarro Output'!G:G, 'Picarro Output'!$B:$B, 'Uncalibrated Data'!$C5817, 'Picarro Output'!$I:$I, 0, 'Picarro Output'!$J:$J, 1), "")</f>
        <v/>
      </c>
    </row>
    <row r="5818" spans="2:5" x14ac:dyDescent="0.2">
      <c r="B5818" s="1"/>
      <c r="E5818" s="38" t="str">
        <f>IFERROR(AVERAGEIFS('Picarro Output'!G:G, 'Picarro Output'!$B:$B, 'Uncalibrated Data'!$C5818, 'Picarro Output'!$I:$I, 0, 'Picarro Output'!$J:$J, 1), "")</f>
        <v/>
      </c>
    </row>
    <row r="5819" spans="2:5" x14ac:dyDescent="0.2">
      <c r="B5819" s="1"/>
      <c r="E5819" s="38" t="str">
        <f>IFERROR(AVERAGEIFS('Picarro Output'!G:G, 'Picarro Output'!$B:$B, 'Uncalibrated Data'!$C5819, 'Picarro Output'!$I:$I, 0, 'Picarro Output'!$J:$J, 1), "")</f>
        <v/>
      </c>
    </row>
    <row r="5820" spans="2:5" x14ac:dyDescent="0.2">
      <c r="B5820" s="1"/>
      <c r="E5820" s="38" t="str">
        <f>IFERROR(AVERAGEIFS('Picarro Output'!G:G, 'Picarro Output'!$B:$B, 'Uncalibrated Data'!$C5820, 'Picarro Output'!$I:$I, 0, 'Picarro Output'!$J:$J, 1), "")</f>
        <v/>
      </c>
    </row>
    <row r="5821" spans="2:5" x14ac:dyDescent="0.2">
      <c r="B5821" s="1"/>
      <c r="E5821" s="38" t="str">
        <f>IFERROR(AVERAGEIFS('Picarro Output'!G:G, 'Picarro Output'!$B:$B, 'Uncalibrated Data'!$C5821, 'Picarro Output'!$I:$I, 0, 'Picarro Output'!$J:$J, 1), "")</f>
        <v/>
      </c>
    </row>
    <row r="5822" spans="2:5" x14ac:dyDescent="0.2">
      <c r="B5822" s="1"/>
      <c r="E5822" s="38" t="str">
        <f>IFERROR(AVERAGEIFS('Picarro Output'!G:G, 'Picarro Output'!$B:$B, 'Uncalibrated Data'!$C5822, 'Picarro Output'!$I:$I, 0, 'Picarro Output'!$J:$J, 1), "")</f>
        <v/>
      </c>
    </row>
    <row r="5823" spans="2:5" x14ac:dyDescent="0.2">
      <c r="B5823" s="1"/>
      <c r="E5823" s="38" t="str">
        <f>IFERROR(AVERAGEIFS('Picarro Output'!G:G, 'Picarro Output'!$B:$B, 'Uncalibrated Data'!$C5823, 'Picarro Output'!$I:$I, 0, 'Picarro Output'!$J:$J, 1), "")</f>
        <v/>
      </c>
    </row>
    <row r="5824" spans="2:5" x14ac:dyDescent="0.2">
      <c r="B5824" s="1"/>
      <c r="E5824" s="38" t="str">
        <f>IFERROR(AVERAGEIFS('Picarro Output'!G:G, 'Picarro Output'!$B:$B, 'Uncalibrated Data'!$C5824, 'Picarro Output'!$I:$I, 0, 'Picarro Output'!$J:$J, 1), "")</f>
        <v/>
      </c>
    </row>
    <row r="5825" spans="2:5" x14ac:dyDescent="0.2">
      <c r="B5825" s="1"/>
      <c r="E5825" s="38" t="str">
        <f>IFERROR(AVERAGEIFS('Picarro Output'!G:G, 'Picarro Output'!$B:$B, 'Uncalibrated Data'!$C5825, 'Picarro Output'!$I:$I, 0, 'Picarro Output'!$J:$J, 1), "")</f>
        <v/>
      </c>
    </row>
    <row r="5826" spans="2:5" x14ac:dyDescent="0.2">
      <c r="B5826" s="1"/>
      <c r="E5826" s="38" t="str">
        <f>IFERROR(AVERAGEIFS('Picarro Output'!G:G, 'Picarro Output'!$B:$B, 'Uncalibrated Data'!$C5826, 'Picarro Output'!$I:$I, 0, 'Picarro Output'!$J:$J, 1), "")</f>
        <v/>
      </c>
    </row>
    <row r="5827" spans="2:5" x14ac:dyDescent="0.2">
      <c r="B5827" s="1"/>
      <c r="E5827" s="38" t="str">
        <f>IFERROR(AVERAGEIFS('Picarro Output'!G:G, 'Picarro Output'!$B:$B, 'Uncalibrated Data'!$C5827, 'Picarro Output'!$I:$I, 0, 'Picarro Output'!$J:$J, 1), "")</f>
        <v/>
      </c>
    </row>
    <row r="5828" spans="2:5" x14ac:dyDescent="0.2">
      <c r="B5828" s="1"/>
      <c r="E5828" s="38" t="str">
        <f>IFERROR(AVERAGEIFS('Picarro Output'!G:G, 'Picarro Output'!$B:$B, 'Uncalibrated Data'!$C5828, 'Picarro Output'!$I:$I, 0, 'Picarro Output'!$J:$J, 1), "")</f>
        <v/>
      </c>
    </row>
    <row r="5829" spans="2:5" x14ac:dyDescent="0.2">
      <c r="B5829" s="1"/>
      <c r="E5829" s="38" t="str">
        <f>IFERROR(AVERAGEIFS('Picarro Output'!G:G, 'Picarro Output'!$B:$B, 'Uncalibrated Data'!$C5829, 'Picarro Output'!$I:$I, 0, 'Picarro Output'!$J:$J, 1), "")</f>
        <v/>
      </c>
    </row>
    <row r="5830" spans="2:5" x14ac:dyDescent="0.2">
      <c r="B5830" s="1"/>
      <c r="E5830" s="38" t="str">
        <f>IFERROR(AVERAGEIFS('Picarro Output'!G:G, 'Picarro Output'!$B:$B, 'Uncalibrated Data'!$C5830, 'Picarro Output'!$I:$I, 0, 'Picarro Output'!$J:$J, 1), "")</f>
        <v/>
      </c>
    </row>
    <row r="5831" spans="2:5" x14ac:dyDescent="0.2">
      <c r="B5831" s="1"/>
      <c r="E5831" s="38" t="str">
        <f>IFERROR(AVERAGEIFS('Picarro Output'!G:G, 'Picarro Output'!$B:$B, 'Uncalibrated Data'!$C5831, 'Picarro Output'!$I:$I, 0, 'Picarro Output'!$J:$J, 1), "")</f>
        <v/>
      </c>
    </row>
    <row r="5832" spans="2:5" x14ac:dyDescent="0.2">
      <c r="B5832" s="1"/>
      <c r="E5832" s="38" t="str">
        <f>IFERROR(AVERAGEIFS('Picarro Output'!G:G, 'Picarro Output'!$B:$B, 'Uncalibrated Data'!$C5832, 'Picarro Output'!$I:$I, 0, 'Picarro Output'!$J:$J, 1), "")</f>
        <v/>
      </c>
    </row>
    <row r="5833" spans="2:5" x14ac:dyDescent="0.2">
      <c r="B5833" s="1"/>
      <c r="E5833" s="38" t="str">
        <f>IFERROR(AVERAGEIFS('Picarro Output'!G:G, 'Picarro Output'!$B:$B, 'Uncalibrated Data'!$C5833, 'Picarro Output'!$I:$I, 0, 'Picarro Output'!$J:$J, 1), "")</f>
        <v/>
      </c>
    </row>
    <row r="5834" spans="2:5" x14ac:dyDescent="0.2">
      <c r="B5834" s="1"/>
      <c r="E5834" s="38" t="str">
        <f>IFERROR(AVERAGEIFS('Picarro Output'!G:G, 'Picarro Output'!$B:$B, 'Uncalibrated Data'!$C5834, 'Picarro Output'!$I:$I, 0, 'Picarro Output'!$J:$J, 1), "")</f>
        <v/>
      </c>
    </row>
    <row r="5835" spans="2:5" x14ac:dyDescent="0.2">
      <c r="B5835" s="1"/>
      <c r="E5835" s="38" t="str">
        <f>IFERROR(AVERAGEIFS('Picarro Output'!G:G, 'Picarro Output'!$B:$B, 'Uncalibrated Data'!$C5835, 'Picarro Output'!$I:$I, 0, 'Picarro Output'!$J:$J, 1), "")</f>
        <v/>
      </c>
    </row>
    <row r="5836" spans="2:5" x14ac:dyDescent="0.2">
      <c r="B5836" s="1"/>
      <c r="E5836" s="38" t="str">
        <f>IFERROR(AVERAGEIFS('Picarro Output'!G:G, 'Picarro Output'!$B:$B, 'Uncalibrated Data'!$C5836, 'Picarro Output'!$I:$I, 0, 'Picarro Output'!$J:$J, 1), "")</f>
        <v/>
      </c>
    </row>
    <row r="5837" spans="2:5" x14ac:dyDescent="0.2">
      <c r="B5837" s="1"/>
      <c r="E5837" s="38" t="str">
        <f>IFERROR(AVERAGEIFS('Picarro Output'!G:G, 'Picarro Output'!$B:$B, 'Uncalibrated Data'!$C5837, 'Picarro Output'!$I:$I, 0, 'Picarro Output'!$J:$J, 1), "")</f>
        <v/>
      </c>
    </row>
    <row r="5838" spans="2:5" x14ac:dyDescent="0.2">
      <c r="B5838" s="1"/>
      <c r="E5838" s="38" t="str">
        <f>IFERROR(AVERAGEIFS('Picarro Output'!G:G, 'Picarro Output'!$B:$B, 'Uncalibrated Data'!$C5838, 'Picarro Output'!$I:$I, 0, 'Picarro Output'!$J:$J, 1), "")</f>
        <v/>
      </c>
    </row>
    <row r="5839" spans="2:5" x14ac:dyDescent="0.2">
      <c r="B5839" s="1"/>
      <c r="E5839" s="38" t="str">
        <f>IFERROR(AVERAGEIFS('Picarro Output'!G:G, 'Picarro Output'!$B:$B, 'Uncalibrated Data'!$C5839, 'Picarro Output'!$I:$I, 0, 'Picarro Output'!$J:$J, 1), "")</f>
        <v/>
      </c>
    </row>
    <row r="5840" spans="2:5" x14ac:dyDescent="0.2">
      <c r="B5840" s="1"/>
      <c r="E5840" s="38" t="str">
        <f>IFERROR(AVERAGEIFS('Picarro Output'!G:G, 'Picarro Output'!$B:$B, 'Uncalibrated Data'!$C5840, 'Picarro Output'!$I:$I, 0, 'Picarro Output'!$J:$J, 1), "")</f>
        <v/>
      </c>
    </row>
    <row r="5841" spans="2:5" x14ac:dyDescent="0.2">
      <c r="B5841" s="1"/>
      <c r="E5841" s="38" t="str">
        <f>IFERROR(AVERAGEIFS('Picarro Output'!G:G, 'Picarro Output'!$B:$B, 'Uncalibrated Data'!$C5841, 'Picarro Output'!$I:$I, 0, 'Picarro Output'!$J:$J, 1), "")</f>
        <v/>
      </c>
    </row>
    <row r="5842" spans="2:5" x14ac:dyDescent="0.2">
      <c r="B5842" s="1"/>
      <c r="E5842" s="38" t="str">
        <f>IFERROR(AVERAGEIFS('Picarro Output'!G:G, 'Picarro Output'!$B:$B, 'Uncalibrated Data'!$C5842, 'Picarro Output'!$I:$I, 0, 'Picarro Output'!$J:$J, 1), "")</f>
        <v/>
      </c>
    </row>
    <row r="5843" spans="2:5" x14ac:dyDescent="0.2">
      <c r="B5843" s="1"/>
      <c r="E5843" s="38" t="str">
        <f>IFERROR(AVERAGEIFS('Picarro Output'!G:G, 'Picarro Output'!$B:$B, 'Uncalibrated Data'!$C5843, 'Picarro Output'!$I:$I, 0, 'Picarro Output'!$J:$J, 1), "")</f>
        <v/>
      </c>
    </row>
    <row r="5844" spans="2:5" x14ac:dyDescent="0.2">
      <c r="B5844" s="1"/>
      <c r="E5844" s="38" t="str">
        <f>IFERROR(AVERAGEIFS('Picarro Output'!G:G, 'Picarro Output'!$B:$B, 'Uncalibrated Data'!$C5844, 'Picarro Output'!$I:$I, 0, 'Picarro Output'!$J:$J, 1), "")</f>
        <v/>
      </c>
    </row>
    <row r="5845" spans="2:5" x14ac:dyDescent="0.2">
      <c r="B5845" s="1"/>
      <c r="E5845" s="38" t="str">
        <f>IFERROR(AVERAGEIFS('Picarro Output'!G:G, 'Picarro Output'!$B:$B, 'Uncalibrated Data'!$C5845, 'Picarro Output'!$I:$I, 0, 'Picarro Output'!$J:$J, 1), "")</f>
        <v/>
      </c>
    </row>
    <row r="5846" spans="2:5" x14ac:dyDescent="0.2">
      <c r="B5846" s="1"/>
      <c r="E5846" s="38" t="str">
        <f>IFERROR(AVERAGEIFS('Picarro Output'!G:G, 'Picarro Output'!$B:$B, 'Uncalibrated Data'!$C5846, 'Picarro Output'!$I:$I, 0, 'Picarro Output'!$J:$J, 1), "")</f>
        <v/>
      </c>
    </row>
    <row r="5847" spans="2:5" x14ac:dyDescent="0.2">
      <c r="B5847" s="1"/>
      <c r="E5847" s="38" t="str">
        <f>IFERROR(AVERAGEIFS('Picarro Output'!G:G, 'Picarro Output'!$B:$B, 'Uncalibrated Data'!$C5847, 'Picarro Output'!$I:$I, 0, 'Picarro Output'!$J:$J, 1), "")</f>
        <v/>
      </c>
    </row>
    <row r="5848" spans="2:5" x14ac:dyDescent="0.2">
      <c r="B5848" s="1"/>
      <c r="E5848" s="38" t="str">
        <f>IFERROR(AVERAGEIFS('Picarro Output'!G:G, 'Picarro Output'!$B:$B, 'Uncalibrated Data'!$C5848, 'Picarro Output'!$I:$I, 0, 'Picarro Output'!$J:$J, 1), "")</f>
        <v/>
      </c>
    </row>
    <row r="5849" spans="2:5" x14ac:dyDescent="0.2">
      <c r="B5849" s="1"/>
      <c r="E5849" s="38" t="str">
        <f>IFERROR(AVERAGEIFS('Picarro Output'!G:G, 'Picarro Output'!$B:$B, 'Uncalibrated Data'!$C5849, 'Picarro Output'!$I:$I, 0, 'Picarro Output'!$J:$J, 1), "")</f>
        <v/>
      </c>
    </row>
    <row r="5850" spans="2:5" x14ac:dyDescent="0.2">
      <c r="B5850" s="1"/>
      <c r="E5850" s="38" t="str">
        <f>IFERROR(AVERAGEIFS('Picarro Output'!G:G, 'Picarro Output'!$B:$B, 'Uncalibrated Data'!$C5850, 'Picarro Output'!$I:$I, 0, 'Picarro Output'!$J:$J, 1), "")</f>
        <v/>
      </c>
    </row>
    <row r="5851" spans="2:5" x14ac:dyDescent="0.2">
      <c r="B5851" s="1"/>
      <c r="E5851" s="38" t="str">
        <f>IFERROR(AVERAGEIFS('Picarro Output'!G:G, 'Picarro Output'!$B:$B, 'Uncalibrated Data'!$C5851, 'Picarro Output'!$I:$I, 0, 'Picarro Output'!$J:$J, 1), "")</f>
        <v/>
      </c>
    </row>
    <row r="5852" spans="2:5" x14ac:dyDescent="0.2">
      <c r="B5852" s="1"/>
      <c r="E5852" s="38" t="str">
        <f>IFERROR(AVERAGEIFS('Picarro Output'!G:G, 'Picarro Output'!$B:$B, 'Uncalibrated Data'!$C5852, 'Picarro Output'!$I:$I, 0, 'Picarro Output'!$J:$J, 1), "")</f>
        <v/>
      </c>
    </row>
    <row r="5853" spans="2:5" x14ac:dyDescent="0.2">
      <c r="B5853" s="1"/>
      <c r="E5853" s="38" t="str">
        <f>IFERROR(AVERAGEIFS('Picarro Output'!G:G, 'Picarro Output'!$B:$B, 'Uncalibrated Data'!$C5853, 'Picarro Output'!$I:$I, 0, 'Picarro Output'!$J:$J, 1), "")</f>
        <v/>
      </c>
    </row>
    <row r="5854" spans="2:5" x14ac:dyDescent="0.2">
      <c r="B5854" s="1"/>
      <c r="E5854" s="38" t="str">
        <f>IFERROR(AVERAGEIFS('Picarro Output'!G:G, 'Picarro Output'!$B:$B, 'Uncalibrated Data'!$C5854, 'Picarro Output'!$I:$I, 0, 'Picarro Output'!$J:$J, 1), "")</f>
        <v/>
      </c>
    </row>
    <row r="5855" spans="2:5" x14ac:dyDescent="0.2">
      <c r="B5855" s="1"/>
      <c r="E5855" s="38" t="str">
        <f>IFERROR(AVERAGEIFS('Picarro Output'!G:G, 'Picarro Output'!$B:$B, 'Uncalibrated Data'!$C5855, 'Picarro Output'!$I:$I, 0, 'Picarro Output'!$J:$J, 1), "")</f>
        <v/>
      </c>
    </row>
    <row r="5856" spans="2:5" x14ac:dyDescent="0.2">
      <c r="B5856" s="1"/>
      <c r="E5856" s="38" t="str">
        <f>IFERROR(AVERAGEIFS('Picarro Output'!G:G, 'Picarro Output'!$B:$B, 'Uncalibrated Data'!$C5856, 'Picarro Output'!$I:$I, 0, 'Picarro Output'!$J:$J, 1), "")</f>
        <v/>
      </c>
    </row>
    <row r="5857" spans="2:5" x14ac:dyDescent="0.2">
      <c r="B5857" s="1"/>
      <c r="E5857" s="38" t="str">
        <f>IFERROR(AVERAGEIFS('Picarro Output'!G:G, 'Picarro Output'!$B:$B, 'Uncalibrated Data'!$C5857, 'Picarro Output'!$I:$I, 0, 'Picarro Output'!$J:$J, 1), "")</f>
        <v/>
      </c>
    </row>
    <row r="5858" spans="2:5" x14ac:dyDescent="0.2">
      <c r="B5858" s="1"/>
      <c r="E5858" s="38" t="str">
        <f>IFERROR(AVERAGEIFS('Picarro Output'!G:G, 'Picarro Output'!$B:$B, 'Uncalibrated Data'!$C5858, 'Picarro Output'!$I:$I, 0, 'Picarro Output'!$J:$J, 1), "")</f>
        <v/>
      </c>
    </row>
    <row r="5859" spans="2:5" x14ac:dyDescent="0.2">
      <c r="B5859" s="1"/>
      <c r="E5859" s="38" t="str">
        <f>IFERROR(AVERAGEIFS('Picarro Output'!G:G, 'Picarro Output'!$B:$B, 'Uncalibrated Data'!$C5859, 'Picarro Output'!$I:$I, 0, 'Picarro Output'!$J:$J, 1), "")</f>
        <v/>
      </c>
    </row>
    <row r="5860" spans="2:5" x14ac:dyDescent="0.2">
      <c r="B5860" s="1"/>
      <c r="E5860" s="38" t="str">
        <f>IFERROR(AVERAGEIFS('Picarro Output'!G:G, 'Picarro Output'!$B:$B, 'Uncalibrated Data'!$C5860, 'Picarro Output'!$I:$I, 0, 'Picarro Output'!$J:$J, 1), "")</f>
        <v/>
      </c>
    </row>
    <row r="5861" spans="2:5" x14ac:dyDescent="0.2">
      <c r="B5861" s="1"/>
      <c r="E5861" s="38" t="str">
        <f>IFERROR(AVERAGEIFS('Picarro Output'!G:G, 'Picarro Output'!$B:$B, 'Uncalibrated Data'!$C5861, 'Picarro Output'!$I:$I, 0, 'Picarro Output'!$J:$J, 1), "")</f>
        <v/>
      </c>
    </row>
    <row r="5862" spans="2:5" x14ac:dyDescent="0.2">
      <c r="B5862" s="1"/>
      <c r="E5862" s="38" t="str">
        <f>IFERROR(AVERAGEIFS('Picarro Output'!G:G, 'Picarro Output'!$B:$B, 'Uncalibrated Data'!$C5862, 'Picarro Output'!$I:$I, 0, 'Picarro Output'!$J:$J, 1), "")</f>
        <v/>
      </c>
    </row>
    <row r="5863" spans="2:5" x14ac:dyDescent="0.2">
      <c r="B5863" s="1"/>
      <c r="E5863" s="38" t="str">
        <f>IFERROR(AVERAGEIFS('Picarro Output'!G:G, 'Picarro Output'!$B:$B, 'Uncalibrated Data'!$C5863, 'Picarro Output'!$I:$I, 0, 'Picarro Output'!$J:$J, 1), "")</f>
        <v/>
      </c>
    </row>
    <row r="5864" spans="2:5" x14ac:dyDescent="0.2">
      <c r="B5864" s="1"/>
      <c r="E5864" s="38" t="str">
        <f>IFERROR(AVERAGEIFS('Picarro Output'!G:G, 'Picarro Output'!$B:$B, 'Uncalibrated Data'!$C5864, 'Picarro Output'!$I:$I, 0, 'Picarro Output'!$J:$J, 1), "")</f>
        <v/>
      </c>
    </row>
    <row r="5865" spans="2:5" x14ac:dyDescent="0.2">
      <c r="B5865" s="1"/>
      <c r="E5865" s="38" t="str">
        <f>IFERROR(AVERAGEIFS('Picarro Output'!G:G, 'Picarro Output'!$B:$B, 'Uncalibrated Data'!$C5865, 'Picarro Output'!$I:$I, 0, 'Picarro Output'!$J:$J, 1), "")</f>
        <v/>
      </c>
    </row>
    <row r="5866" spans="2:5" x14ac:dyDescent="0.2">
      <c r="B5866" s="1"/>
      <c r="E5866" s="38" t="str">
        <f>IFERROR(AVERAGEIFS('Picarro Output'!G:G, 'Picarro Output'!$B:$B, 'Uncalibrated Data'!$C5866, 'Picarro Output'!$I:$I, 0, 'Picarro Output'!$J:$J, 1), "")</f>
        <v/>
      </c>
    </row>
    <row r="5867" spans="2:5" x14ac:dyDescent="0.2">
      <c r="B5867" s="1"/>
      <c r="E5867" s="38" t="str">
        <f>IFERROR(AVERAGEIFS('Picarro Output'!G:G, 'Picarro Output'!$B:$B, 'Uncalibrated Data'!$C5867, 'Picarro Output'!$I:$I, 0, 'Picarro Output'!$J:$J, 1), "")</f>
        <v/>
      </c>
    </row>
    <row r="5868" spans="2:5" x14ac:dyDescent="0.2">
      <c r="B5868" s="1"/>
      <c r="E5868" s="38" t="str">
        <f>IFERROR(AVERAGEIFS('Picarro Output'!G:G, 'Picarro Output'!$B:$B, 'Uncalibrated Data'!$C5868, 'Picarro Output'!$I:$I, 0, 'Picarro Output'!$J:$J, 1), "")</f>
        <v/>
      </c>
    </row>
    <row r="5869" spans="2:5" x14ac:dyDescent="0.2">
      <c r="B5869" s="1"/>
      <c r="E5869" s="38" t="str">
        <f>IFERROR(AVERAGEIFS('Picarro Output'!G:G, 'Picarro Output'!$B:$B, 'Uncalibrated Data'!$C5869, 'Picarro Output'!$I:$I, 0, 'Picarro Output'!$J:$J, 1), "")</f>
        <v/>
      </c>
    </row>
    <row r="5870" spans="2:5" x14ac:dyDescent="0.2">
      <c r="B5870" s="1"/>
      <c r="E5870" s="38" t="str">
        <f>IFERROR(AVERAGEIFS('Picarro Output'!G:G, 'Picarro Output'!$B:$B, 'Uncalibrated Data'!$C5870, 'Picarro Output'!$I:$I, 0, 'Picarro Output'!$J:$J, 1), "")</f>
        <v/>
      </c>
    </row>
    <row r="5871" spans="2:5" x14ac:dyDescent="0.2">
      <c r="B5871" s="1"/>
      <c r="E5871" s="38" t="str">
        <f>IFERROR(AVERAGEIFS('Picarro Output'!G:G, 'Picarro Output'!$B:$B, 'Uncalibrated Data'!$C5871, 'Picarro Output'!$I:$I, 0, 'Picarro Output'!$J:$J, 1), "")</f>
        <v/>
      </c>
    </row>
    <row r="5872" spans="2:5" x14ac:dyDescent="0.2">
      <c r="B5872" s="1"/>
      <c r="E5872" s="38" t="str">
        <f>IFERROR(AVERAGEIFS('Picarro Output'!G:G, 'Picarro Output'!$B:$B, 'Uncalibrated Data'!$C5872, 'Picarro Output'!$I:$I, 0, 'Picarro Output'!$J:$J, 1), "")</f>
        <v/>
      </c>
    </row>
    <row r="5873" spans="2:5" x14ac:dyDescent="0.2">
      <c r="B5873" s="1"/>
      <c r="E5873" s="38" t="str">
        <f>IFERROR(AVERAGEIFS('Picarro Output'!G:G, 'Picarro Output'!$B:$B, 'Uncalibrated Data'!$C5873, 'Picarro Output'!$I:$I, 0, 'Picarro Output'!$J:$J, 1), "")</f>
        <v/>
      </c>
    </row>
    <row r="5874" spans="2:5" x14ac:dyDescent="0.2">
      <c r="B5874" s="1"/>
      <c r="E5874" s="38" t="str">
        <f>IFERROR(AVERAGEIFS('Picarro Output'!G:G, 'Picarro Output'!$B:$B, 'Uncalibrated Data'!$C5874, 'Picarro Output'!$I:$I, 0, 'Picarro Output'!$J:$J, 1), "")</f>
        <v/>
      </c>
    </row>
    <row r="5875" spans="2:5" x14ac:dyDescent="0.2">
      <c r="B5875" s="1"/>
      <c r="E5875" s="38" t="str">
        <f>IFERROR(AVERAGEIFS('Picarro Output'!G:G, 'Picarro Output'!$B:$B, 'Uncalibrated Data'!$C5875, 'Picarro Output'!$I:$I, 0, 'Picarro Output'!$J:$J, 1), "")</f>
        <v/>
      </c>
    </row>
    <row r="5876" spans="2:5" x14ac:dyDescent="0.2">
      <c r="B5876" s="1"/>
      <c r="E5876" s="38" t="str">
        <f>IFERROR(AVERAGEIFS('Picarro Output'!G:G, 'Picarro Output'!$B:$B, 'Uncalibrated Data'!$C5876, 'Picarro Output'!$I:$I, 0, 'Picarro Output'!$J:$J, 1), "")</f>
        <v/>
      </c>
    </row>
    <row r="5877" spans="2:5" x14ac:dyDescent="0.2">
      <c r="B5877" s="1"/>
      <c r="E5877" s="38" t="str">
        <f>IFERROR(AVERAGEIFS('Picarro Output'!G:G, 'Picarro Output'!$B:$B, 'Uncalibrated Data'!$C5877, 'Picarro Output'!$I:$I, 0, 'Picarro Output'!$J:$J, 1), "")</f>
        <v/>
      </c>
    </row>
    <row r="5878" spans="2:5" x14ac:dyDescent="0.2">
      <c r="B5878" s="1"/>
      <c r="E5878" s="38" t="str">
        <f>IFERROR(AVERAGEIFS('Picarro Output'!G:G, 'Picarro Output'!$B:$B, 'Uncalibrated Data'!$C5878, 'Picarro Output'!$I:$I, 0, 'Picarro Output'!$J:$J, 1), "")</f>
        <v/>
      </c>
    </row>
    <row r="5879" spans="2:5" x14ac:dyDescent="0.2">
      <c r="B5879" s="1"/>
      <c r="E5879" s="38" t="str">
        <f>IFERROR(AVERAGEIFS('Picarro Output'!G:G, 'Picarro Output'!$B:$B, 'Uncalibrated Data'!$C5879, 'Picarro Output'!$I:$I, 0, 'Picarro Output'!$J:$J, 1), "")</f>
        <v/>
      </c>
    </row>
    <row r="5880" spans="2:5" x14ac:dyDescent="0.2">
      <c r="B5880" s="1"/>
      <c r="E5880" s="38" t="str">
        <f>IFERROR(AVERAGEIFS('Picarro Output'!G:G, 'Picarro Output'!$B:$B, 'Uncalibrated Data'!$C5880, 'Picarro Output'!$I:$I, 0, 'Picarro Output'!$J:$J, 1), "")</f>
        <v/>
      </c>
    </row>
    <row r="5881" spans="2:5" x14ac:dyDescent="0.2">
      <c r="B5881" s="1"/>
      <c r="E5881" s="38" t="str">
        <f>IFERROR(AVERAGEIFS('Picarro Output'!G:G, 'Picarro Output'!$B:$B, 'Uncalibrated Data'!$C5881, 'Picarro Output'!$I:$I, 0, 'Picarro Output'!$J:$J, 1), "")</f>
        <v/>
      </c>
    </row>
    <row r="5882" spans="2:5" x14ac:dyDescent="0.2">
      <c r="B5882" s="1"/>
      <c r="E5882" s="38" t="str">
        <f>IFERROR(AVERAGEIFS('Picarro Output'!G:G, 'Picarro Output'!$B:$B, 'Uncalibrated Data'!$C5882, 'Picarro Output'!$I:$I, 0, 'Picarro Output'!$J:$J, 1), "")</f>
        <v/>
      </c>
    </row>
    <row r="5883" spans="2:5" x14ac:dyDescent="0.2">
      <c r="B5883" s="1"/>
      <c r="E5883" s="38" t="str">
        <f>IFERROR(AVERAGEIFS('Picarro Output'!G:G, 'Picarro Output'!$B:$B, 'Uncalibrated Data'!$C5883, 'Picarro Output'!$I:$I, 0, 'Picarro Output'!$J:$J, 1), "")</f>
        <v/>
      </c>
    </row>
    <row r="5884" spans="2:5" x14ac:dyDescent="0.2">
      <c r="B5884" s="1"/>
      <c r="E5884" s="38" t="str">
        <f>IFERROR(AVERAGEIFS('Picarro Output'!G:G, 'Picarro Output'!$B:$B, 'Uncalibrated Data'!$C5884, 'Picarro Output'!$I:$I, 0, 'Picarro Output'!$J:$J, 1), "")</f>
        <v/>
      </c>
    </row>
    <row r="5885" spans="2:5" x14ac:dyDescent="0.2">
      <c r="B5885" s="1"/>
      <c r="E5885" s="38" t="str">
        <f>IFERROR(AVERAGEIFS('Picarro Output'!G:G, 'Picarro Output'!$B:$B, 'Uncalibrated Data'!$C5885, 'Picarro Output'!$I:$I, 0, 'Picarro Output'!$J:$J, 1), "")</f>
        <v/>
      </c>
    </row>
    <row r="5886" spans="2:5" x14ac:dyDescent="0.2">
      <c r="B5886" s="1"/>
      <c r="E5886" s="38" t="str">
        <f>IFERROR(AVERAGEIFS('Picarro Output'!G:G, 'Picarro Output'!$B:$B, 'Uncalibrated Data'!$C5886, 'Picarro Output'!$I:$I, 0, 'Picarro Output'!$J:$J, 1), "")</f>
        <v/>
      </c>
    </row>
    <row r="5887" spans="2:5" x14ac:dyDescent="0.2">
      <c r="B5887" s="1"/>
      <c r="E5887" s="38" t="str">
        <f>IFERROR(AVERAGEIFS('Picarro Output'!G:G, 'Picarro Output'!$B:$B, 'Uncalibrated Data'!$C5887, 'Picarro Output'!$I:$I, 0, 'Picarro Output'!$J:$J, 1), "")</f>
        <v/>
      </c>
    </row>
    <row r="5888" spans="2:5" x14ac:dyDescent="0.2">
      <c r="B5888" s="1"/>
      <c r="E5888" s="38" t="str">
        <f>IFERROR(AVERAGEIFS('Picarro Output'!G:G, 'Picarro Output'!$B:$B, 'Uncalibrated Data'!$C5888, 'Picarro Output'!$I:$I, 0, 'Picarro Output'!$J:$J, 1), "")</f>
        <v/>
      </c>
    </row>
    <row r="5889" spans="2:5" x14ac:dyDescent="0.2">
      <c r="B5889" s="1"/>
      <c r="E5889" s="38" t="str">
        <f>IFERROR(AVERAGEIFS('Picarro Output'!G:G, 'Picarro Output'!$B:$B, 'Uncalibrated Data'!$C5889, 'Picarro Output'!$I:$I, 0, 'Picarro Output'!$J:$J, 1), "")</f>
        <v/>
      </c>
    </row>
    <row r="5890" spans="2:5" x14ac:dyDescent="0.2">
      <c r="B5890" s="1"/>
      <c r="E5890" s="38" t="str">
        <f>IFERROR(AVERAGEIFS('Picarro Output'!G:G, 'Picarro Output'!$B:$B, 'Uncalibrated Data'!$C5890, 'Picarro Output'!$I:$I, 0, 'Picarro Output'!$J:$J, 1), "")</f>
        <v/>
      </c>
    </row>
    <row r="5891" spans="2:5" x14ac:dyDescent="0.2">
      <c r="B5891" s="1"/>
      <c r="E5891" s="38" t="str">
        <f>IFERROR(AVERAGEIFS('Picarro Output'!G:G, 'Picarro Output'!$B:$B, 'Uncalibrated Data'!$C5891, 'Picarro Output'!$I:$I, 0, 'Picarro Output'!$J:$J, 1), "")</f>
        <v/>
      </c>
    </row>
    <row r="5892" spans="2:5" x14ac:dyDescent="0.2">
      <c r="B5892" s="1"/>
      <c r="E5892" s="38" t="str">
        <f>IFERROR(AVERAGEIFS('Picarro Output'!G:G, 'Picarro Output'!$B:$B, 'Uncalibrated Data'!$C5892, 'Picarro Output'!$I:$I, 0, 'Picarro Output'!$J:$J, 1), "")</f>
        <v/>
      </c>
    </row>
    <row r="5893" spans="2:5" x14ac:dyDescent="0.2">
      <c r="B5893" s="1"/>
      <c r="E5893" s="38" t="str">
        <f>IFERROR(AVERAGEIFS('Picarro Output'!G:G, 'Picarro Output'!$B:$B, 'Uncalibrated Data'!$C5893, 'Picarro Output'!$I:$I, 0, 'Picarro Output'!$J:$J, 1), "")</f>
        <v/>
      </c>
    </row>
    <row r="5894" spans="2:5" x14ac:dyDescent="0.2">
      <c r="B5894" s="1"/>
      <c r="E5894" s="38" t="str">
        <f>IFERROR(AVERAGEIFS('Picarro Output'!G:G, 'Picarro Output'!$B:$B, 'Uncalibrated Data'!$C5894, 'Picarro Output'!$I:$I, 0, 'Picarro Output'!$J:$J, 1), "")</f>
        <v/>
      </c>
    </row>
    <row r="5895" spans="2:5" x14ac:dyDescent="0.2">
      <c r="B5895" s="1"/>
      <c r="E5895" s="38" t="str">
        <f>IFERROR(AVERAGEIFS('Picarro Output'!G:G, 'Picarro Output'!$B:$B, 'Uncalibrated Data'!$C5895, 'Picarro Output'!$I:$I, 0, 'Picarro Output'!$J:$J, 1), "")</f>
        <v/>
      </c>
    </row>
    <row r="5896" spans="2:5" x14ac:dyDescent="0.2">
      <c r="B5896" s="1"/>
      <c r="E5896" s="38" t="str">
        <f>IFERROR(AVERAGEIFS('Picarro Output'!G:G, 'Picarro Output'!$B:$B, 'Uncalibrated Data'!$C5896, 'Picarro Output'!$I:$I, 0, 'Picarro Output'!$J:$J, 1), "")</f>
        <v/>
      </c>
    </row>
    <row r="5897" spans="2:5" x14ac:dyDescent="0.2">
      <c r="B5897" s="1"/>
      <c r="E5897" s="38" t="str">
        <f>IFERROR(AVERAGEIFS('Picarro Output'!G:G, 'Picarro Output'!$B:$B, 'Uncalibrated Data'!$C5897, 'Picarro Output'!$I:$I, 0, 'Picarro Output'!$J:$J, 1), "")</f>
        <v/>
      </c>
    </row>
    <row r="5898" spans="2:5" x14ac:dyDescent="0.2">
      <c r="B5898" s="1"/>
      <c r="E5898" s="38" t="str">
        <f>IFERROR(AVERAGEIFS('Picarro Output'!G:G, 'Picarro Output'!$B:$B, 'Uncalibrated Data'!$C5898, 'Picarro Output'!$I:$I, 0, 'Picarro Output'!$J:$J, 1), "")</f>
        <v/>
      </c>
    </row>
    <row r="5899" spans="2:5" x14ac:dyDescent="0.2">
      <c r="B5899" s="1"/>
      <c r="E5899" s="38" t="str">
        <f>IFERROR(AVERAGEIFS('Picarro Output'!G:G, 'Picarro Output'!$B:$B, 'Uncalibrated Data'!$C5899, 'Picarro Output'!$I:$I, 0, 'Picarro Output'!$J:$J, 1), "")</f>
        <v/>
      </c>
    </row>
    <row r="5900" spans="2:5" x14ac:dyDescent="0.2">
      <c r="B5900" s="1"/>
      <c r="E5900" s="38" t="str">
        <f>IFERROR(AVERAGEIFS('Picarro Output'!G:G, 'Picarro Output'!$B:$B, 'Uncalibrated Data'!$C5900, 'Picarro Output'!$I:$I, 0, 'Picarro Output'!$J:$J, 1), "")</f>
        <v/>
      </c>
    </row>
    <row r="5901" spans="2:5" x14ac:dyDescent="0.2">
      <c r="B5901" s="1"/>
      <c r="E5901" s="38" t="str">
        <f>IFERROR(AVERAGEIFS('Picarro Output'!G:G, 'Picarro Output'!$B:$B, 'Uncalibrated Data'!$C5901, 'Picarro Output'!$I:$I, 0, 'Picarro Output'!$J:$J, 1), "")</f>
        <v/>
      </c>
    </row>
    <row r="5902" spans="2:5" x14ac:dyDescent="0.2">
      <c r="B5902" s="1"/>
      <c r="E5902" s="38" t="str">
        <f>IFERROR(AVERAGEIFS('Picarro Output'!G:G, 'Picarro Output'!$B:$B, 'Uncalibrated Data'!$C5902, 'Picarro Output'!$I:$I, 0, 'Picarro Output'!$J:$J, 1), "")</f>
        <v/>
      </c>
    </row>
    <row r="5903" spans="2:5" x14ac:dyDescent="0.2">
      <c r="B5903" s="1"/>
      <c r="E5903" s="38" t="str">
        <f>IFERROR(AVERAGEIFS('Picarro Output'!G:G, 'Picarro Output'!$B:$B, 'Uncalibrated Data'!$C5903, 'Picarro Output'!$I:$I, 0, 'Picarro Output'!$J:$J, 1), "")</f>
        <v/>
      </c>
    </row>
    <row r="5904" spans="2:5" x14ac:dyDescent="0.2">
      <c r="B5904" s="1"/>
      <c r="E5904" s="38" t="str">
        <f>IFERROR(AVERAGEIFS('Picarro Output'!G:G, 'Picarro Output'!$B:$B, 'Uncalibrated Data'!$C5904, 'Picarro Output'!$I:$I, 0, 'Picarro Output'!$J:$J, 1), "")</f>
        <v/>
      </c>
    </row>
    <row r="5905" spans="2:5" x14ac:dyDescent="0.2">
      <c r="B5905" s="1"/>
      <c r="E5905" s="38" t="str">
        <f>IFERROR(AVERAGEIFS('Picarro Output'!G:G, 'Picarro Output'!$B:$B, 'Uncalibrated Data'!$C5905, 'Picarro Output'!$I:$I, 0, 'Picarro Output'!$J:$J, 1), "")</f>
        <v/>
      </c>
    </row>
    <row r="5906" spans="2:5" x14ac:dyDescent="0.2">
      <c r="B5906" s="1"/>
      <c r="E5906" s="38" t="str">
        <f>IFERROR(AVERAGEIFS('Picarro Output'!G:G, 'Picarro Output'!$B:$B, 'Uncalibrated Data'!$C5906, 'Picarro Output'!$I:$I, 0, 'Picarro Output'!$J:$J, 1), "")</f>
        <v/>
      </c>
    </row>
    <row r="5907" spans="2:5" x14ac:dyDescent="0.2">
      <c r="B5907" s="1"/>
      <c r="E5907" s="38" t="str">
        <f>IFERROR(AVERAGEIFS('Picarro Output'!G:G, 'Picarro Output'!$B:$B, 'Uncalibrated Data'!$C5907, 'Picarro Output'!$I:$I, 0, 'Picarro Output'!$J:$J, 1), "")</f>
        <v/>
      </c>
    </row>
    <row r="5908" spans="2:5" x14ac:dyDescent="0.2">
      <c r="B5908" s="1"/>
      <c r="E5908" s="38" t="str">
        <f>IFERROR(AVERAGEIFS('Picarro Output'!G:G, 'Picarro Output'!$B:$B, 'Uncalibrated Data'!$C5908, 'Picarro Output'!$I:$I, 0, 'Picarro Output'!$J:$J, 1), "")</f>
        <v/>
      </c>
    </row>
    <row r="5909" spans="2:5" x14ac:dyDescent="0.2">
      <c r="B5909" s="1"/>
      <c r="E5909" s="38" t="str">
        <f>IFERROR(AVERAGEIFS('Picarro Output'!G:G, 'Picarro Output'!$B:$B, 'Uncalibrated Data'!$C5909, 'Picarro Output'!$I:$I, 0, 'Picarro Output'!$J:$J, 1), "")</f>
        <v/>
      </c>
    </row>
    <row r="5910" spans="2:5" x14ac:dyDescent="0.2">
      <c r="B5910" s="1"/>
      <c r="E5910" s="38" t="str">
        <f>IFERROR(AVERAGEIFS('Picarro Output'!G:G, 'Picarro Output'!$B:$B, 'Uncalibrated Data'!$C5910, 'Picarro Output'!$I:$I, 0, 'Picarro Output'!$J:$J, 1), "")</f>
        <v/>
      </c>
    </row>
    <row r="5911" spans="2:5" x14ac:dyDescent="0.2">
      <c r="B5911" s="1"/>
      <c r="E5911" s="38" t="str">
        <f>IFERROR(AVERAGEIFS('Picarro Output'!G:G, 'Picarro Output'!$B:$B, 'Uncalibrated Data'!$C5911, 'Picarro Output'!$I:$I, 0, 'Picarro Output'!$J:$J, 1), "")</f>
        <v/>
      </c>
    </row>
    <row r="5912" spans="2:5" x14ac:dyDescent="0.2">
      <c r="B5912" s="1"/>
      <c r="E5912" s="38" t="str">
        <f>IFERROR(AVERAGEIFS('Picarro Output'!G:G, 'Picarro Output'!$B:$B, 'Uncalibrated Data'!$C5912, 'Picarro Output'!$I:$I, 0, 'Picarro Output'!$J:$J, 1), "")</f>
        <v/>
      </c>
    </row>
    <row r="5913" spans="2:5" x14ac:dyDescent="0.2">
      <c r="B5913" s="1"/>
      <c r="E5913" s="38" t="str">
        <f>IFERROR(AVERAGEIFS('Picarro Output'!G:G, 'Picarro Output'!$B:$B, 'Uncalibrated Data'!$C5913, 'Picarro Output'!$I:$I, 0, 'Picarro Output'!$J:$J, 1), "")</f>
        <v/>
      </c>
    </row>
    <row r="5914" spans="2:5" x14ac:dyDescent="0.2">
      <c r="B5914" s="1"/>
      <c r="E5914" s="38" t="str">
        <f>IFERROR(AVERAGEIFS('Picarro Output'!G:G, 'Picarro Output'!$B:$B, 'Uncalibrated Data'!$C5914, 'Picarro Output'!$I:$I, 0, 'Picarro Output'!$J:$J, 1), "")</f>
        <v/>
      </c>
    </row>
    <row r="5915" spans="2:5" x14ac:dyDescent="0.2">
      <c r="B5915" s="1"/>
      <c r="E5915" s="38" t="str">
        <f>IFERROR(AVERAGEIFS('Picarro Output'!G:G, 'Picarro Output'!$B:$B, 'Uncalibrated Data'!$C5915, 'Picarro Output'!$I:$I, 0, 'Picarro Output'!$J:$J, 1), "")</f>
        <v/>
      </c>
    </row>
    <row r="5916" spans="2:5" x14ac:dyDescent="0.2">
      <c r="B5916" s="1"/>
      <c r="E5916" s="38" t="str">
        <f>IFERROR(AVERAGEIFS('Picarro Output'!G:G, 'Picarro Output'!$B:$B, 'Uncalibrated Data'!$C5916, 'Picarro Output'!$I:$I, 0, 'Picarro Output'!$J:$J, 1), "")</f>
        <v/>
      </c>
    </row>
    <row r="5917" spans="2:5" x14ac:dyDescent="0.2">
      <c r="B5917" s="1"/>
      <c r="E5917" s="38" t="str">
        <f>IFERROR(AVERAGEIFS('Picarro Output'!G:G, 'Picarro Output'!$B:$B, 'Uncalibrated Data'!$C5917, 'Picarro Output'!$I:$I, 0, 'Picarro Output'!$J:$J, 1), "")</f>
        <v/>
      </c>
    </row>
    <row r="5918" spans="2:5" x14ac:dyDescent="0.2">
      <c r="B5918" s="1"/>
      <c r="E5918" s="38" t="str">
        <f>IFERROR(AVERAGEIFS('Picarro Output'!G:G, 'Picarro Output'!$B:$B, 'Uncalibrated Data'!$C5918, 'Picarro Output'!$I:$I, 0, 'Picarro Output'!$J:$J, 1), "")</f>
        <v/>
      </c>
    </row>
    <row r="5919" spans="2:5" x14ac:dyDescent="0.2">
      <c r="B5919" s="1"/>
      <c r="E5919" s="38" t="str">
        <f>IFERROR(AVERAGEIFS('Picarro Output'!G:G, 'Picarro Output'!$B:$B, 'Uncalibrated Data'!$C5919, 'Picarro Output'!$I:$I, 0, 'Picarro Output'!$J:$J, 1), "")</f>
        <v/>
      </c>
    </row>
    <row r="5920" spans="2:5" x14ac:dyDescent="0.2">
      <c r="B5920" s="1"/>
      <c r="E5920" s="38" t="str">
        <f>IFERROR(AVERAGEIFS('Picarro Output'!G:G, 'Picarro Output'!$B:$B, 'Uncalibrated Data'!$C5920, 'Picarro Output'!$I:$I, 0, 'Picarro Output'!$J:$J, 1), "")</f>
        <v/>
      </c>
    </row>
    <row r="5921" spans="2:5" x14ac:dyDescent="0.2">
      <c r="B5921" s="1"/>
      <c r="E5921" s="38" t="str">
        <f>IFERROR(AVERAGEIFS('Picarro Output'!G:G, 'Picarro Output'!$B:$B, 'Uncalibrated Data'!$C5921, 'Picarro Output'!$I:$I, 0, 'Picarro Output'!$J:$J, 1), "")</f>
        <v/>
      </c>
    </row>
    <row r="5922" spans="2:5" x14ac:dyDescent="0.2">
      <c r="B5922" s="1"/>
      <c r="E5922" s="38" t="str">
        <f>IFERROR(AVERAGEIFS('Picarro Output'!G:G, 'Picarro Output'!$B:$B, 'Uncalibrated Data'!$C5922, 'Picarro Output'!$I:$I, 0, 'Picarro Output'!$J:$J, 1), "")</f>
        <v/>
      </c>
    </row>
    <row r="5923" spans="2:5" x14ac:dyDescent="0.2">
      <c r="B5923" s="1"/>
      <c r="E5923" s="38" t="str">
        <f>IFERROR(AVERAGEIFS('Picarro Output'!G:G, 'Picarro Output'!$B:$B, 'Uncalibrated Data'!$C5923, 'Picarro Output'!$I:$I, 0, 'Picarro Output'!$J:$J, 1), "")</f>
        <v/>
      </c>
    </row>
    <row r="5924" spans="2:5" x14ac:dyDescent="0.2">
      <c r="B5924" s="1"/>
      <c r="E5924" s="38" t="str">
        <f>IFERROR(AVERAGEIFS('Picarro Output'!G:G, 'Picarro Output'!$B:$B, 'Uncalibrated Data'!$C5924, 'Picarro Output'!$I:$I, 0, 'Picarro Output'!$J:$J, 1), "")</f>
        <v/>
      </c>
    </row>
    <row r="5925" spans="2:5" x14ac:dyDescent="0.2">
      <c r="B5925" s="1"/>
      <c r="E5925" s="38" t="str">
        <f>IFERROR(AVERAGEIFS('Picarro Output'!G:G, 'Picarro Output'!$B:$B, 'Uncalibrated Data'!$C5925, 'Picarro Output'!$I:$I, 0, 'Picarro Output'!$J:$J, 1), "")</f>
        <v/>
      </c>
    </row>
    <row r="5926" spans="2:5" x14ac:dyDescent="0.2">
      <c r="B5926" s="1"/>
      <c r="E5926" s="38" t="str">
        <f>IFERROR(AVERAGEIFS('Picarro Output'!G:G, 'Picarro Output'!$B:$B, 'Uncalibrated Data'!$C5926, 'Picarro Output'!$I:$I, 0, 'Picarro Output'!$J:$J, 1), "")</f>
        <v/>
      </c>
    </row>
    <row r="5927" spans="2:5" x14ac:dyDescent="0.2">
      <c r="B5927" s="1"/>
      <c r="E5927" s="38" t="str">
        <f>IFERROR(AVERAGEIFS('Picarro Output'!G:G, 'Picarro Output'!$B:$B, 'Uncalibrated Data'!$C5927, 'Picarro Output'!$I:$I, 0, 'Picarro Output'!$J:$J, 1), "")</f>
        <v/>
      </c>
    </row>
    <row r="5928" spans="2:5" x14ac:dyDescent="0.2">
      <c r="B5928" s="1"/>
      <c r="E5928" s="38" t="str">
        <f>IFERROR(AVERAGEIFS('Picarro Output'!G:G, 'Picarro Output'!$B:$B, 'Uncalibrated Data'!$C5928, 'Picarro Output'!$I:$I, 0, 'Picarro Output'!$J:$J, 1), "")</f>
        <v/>
      </c>
    </row>
    <row r="5929" spans="2:5" x14ac:dyDescent="0.2">
      <c r="B5929" s="1"/>
      <c r="E5929" s="38" t="str">
        <f>IFERROR(AVERAGEIFS('Picarro Output'!G:G, 'Picarro Output'!$B:$B, 'Uncalibrated Data'!$C5929, 'Picarro Output'!$I:$I, 0, 'Picarro Output'!$J:$J, 1), "")</f>
        <v/>
      </c>
    </row>
    <row r="5930" spans="2:5" x14ac:dyDescent="0.2">
      <c r="B5930" s="1"/>
      <c r="E5930" s="38" t="str">
        <f>IFERROR(AVERAGEIFS('Picarro Output'!G:G, 'Picarro Output'!$B:$B, 'Uncalibrated Data'!$C5930, 'Picarro Output'!$I:$I, 0, 'Picarro Output'!$J:$J, 1), "")</f>
        <v/>
      </c>
    </row>
    <row r="5931" spans="2:5" x14ac:dyDescent="0.2">
      <c r="B5931" s="1"/>
      <c r="E5931" s="38" t="str">
        <f>IFERROR(AVERAGEIFS('Picarro Output'!G:G, 'Picarro Output'!$B:$B, 'Uncalibrated Data'!$C5931, 'Picarro Output'!$I:$I, 0, 'Picarro Output'!$J:$J, 1), "")</f>
        <v/>
      </c>
    </row>
    <row r="5932" spans="2:5" x14ac:dyDescent="0.2">
      <c r="B5932" s="1"/>
      <c r="E5932" s="38" t="str">
        <f>IFERROR(AVERAGEIFS('Picarro Output'!G:G, 'Picarro Output'!$B:$B, 'Uncalibrated Data'!$C5932, 'Picarro Output'!$I:$I, 0, 'Picarro Output'!$J:$J, 1), "")</f>
        <v/>
      </c>
    </row>
    <row r="5933" spans="2:5" x14ac:dyDescent="0.2">
      <c r="B5933" s="1"/>
      <c r="E5933" s="38" t="str">
        <f>IFERROR(AVERAGEIFS('Picarro Output'!G:G, 'Picarro Output'!$B:$B, 'Uncalibrated Data'!$C5933, 'Picarro Output'!$I:$I, 0, 'Picarro Output'!$J:$J, 1), "")</f>
        <v/>
      </c>
    </row>
    <row r="5934" spans="2:5" x14ac:dyDescent="0.2">
      <c r="B5934" s="1"/>
      <c r="E5934" s="38" t="str">
        <f>IFERROR(AVERAGEIFS('Picarro Output'!G:G, 'Picarro Output'!$B:$B, 'Uncalibrated Data'!$C5934, 'Picarro Output'!$I:$I, 0, 'Picarro Output'!$J:$J, 1), "")</f>
        <v/>
      </c>
    </row>
    <row r="5935" spans="2:5" x14ac:dyDescent="0.2">
      <c r="B5935" s="1"/>
      <c r="E5935" s="38" t="str">
        <f>IFERROR(AVERAGEIFS('Picarro Output'!G:G, 'Picarro Output'!$B:$B, 'Uncalibrated Data'!$C5935, 'Picarro Output'!$I:$I, 0, 'Picarro Output'!$J:$J, 1), "")</f>
        <v/>
      </c>
    </row>
    <row r="5936" spans="2:5" x14ac:dyDescent="0.2">
      <c r="B5936" s="1"/>
      <c r="E5936" s="38" t="str">
        <f>IFERROR(AVERAGEIFS('Picarro Output'!G:G, 'Picarro Output'!$B:$B, 'Uncalibrated Data'!$C5936, 'Picarro Output'!$I:$I, 0, 'Picarro Output'!$J:$J, 1), "")</f>
        <v/>
      </c>
    </row>
    <row r="5937" spans="2:5" x14ac:dyDescent="0.2">
      <c r="B5937" s="1"/>
      <c r="E5937" s="38" t="str">
        <f>IFERROR(AVERAGEIFS('Picarro Output'!G:G, 'Picarro Output'!$B:$B, 'Uncalibrated Data'!$C5937, 'Picarro Output'!$I:$I, 0, 'Picarro Output'!$J:$J, 1), "")</f>
        <v/>
      </c>
    </row>
    <row r="5938" spans="2:5" x14ac:dyDescent="0.2">
      <c r="B5938" s="1"/>
      <c r="E5938" s="38" t="str">
        <f>IFERROR(AVERAGEIFS('Picarro Output'!G:G, 'Picarro Output'!$B:$B, 'Uncalibrated Data'!$C5938, 'Picarro Output'!$I:$I, 0, 'Picarro Output'!$J:$J, 1), "")</f>
        <v/>
      </c>
    </row>
    <row r="5939" spans="2:5" x14ac:dyDescent="0.2">
      <c r="B5939" s="1"/>
      <c r="E5939" s="38" t="str">
        <f>IFERROR(AVERAGEIFS('Picarro Output'!G:G, 'Picarro Output'!$B:$B, 'Uncalibrated Data'!$C5939, 'Picarro Output'!$I:$I, 0, 'Picarro Output'!$J:$J, 1), "")</f>
        <v/>
      </c>
    </row>
    <row r="5940" spans="2:5" x14ac:dyDescent="0.2">
      <c r="B5940" s="1"/>
      <c r="E5940" s="38" t="str">
        <f>IFERROR(AVERAGEIFS('Picarro Output'!G:G, 'Picarro Output'!$B:$B, 'Uncalibrated Data'!$C5940, 'Picarro Output'!$I:$I, 0, 'Picarro Output'!$J:$J, 1), "")</f>
        <v/>
      </c>
    </row>
    <row r="5941" spans="2:5" x14ac:dyDescent="0.2">
      <c r="B5941" s="1"/>
      <c r="E5941" s="38" t="str">
        <f>IFERROR(AVERAGEIFS('Picarro Output'!G:G, 'Picarro Output'!$B:$B, 'Uncalibrated Data'!$C5941, 'Picarro Output'!$I:$I, 0, 'Picarro Output'!$J:$J, 1), "")</f>
        <v/>
      </c>
    </row>
    <row r="5942" spans="2:5" x14ac:dyDescent="0.2">
      <c r="B5942" s="1"/>
      <c r="E5942" s="38" t="str">
        <f>IFERROR(AVERAGEIFS('Picarro Output'!G:G, 'Picarro Output'!$B:$B, 'Uncalibrated Data'!$C5942, 'Picarro Output'!$I:$I, 0, 'Picarro Output'!$J:$J, 1), "")</f>
        <v/>
      </c>
    </row>
    <row r="5943" spans="2:5" x14ac:dyDescent="0.2">
      <c r="B5943" s="1"/>
      <c r="E5943" s="38" t="str">
        <f>IFERROR(AVERAGEIFS('Picarro Output'!G:G, 'Picarro Output'!$B:$B, 'Uncalibrated Data'!$C5943, 'Picarro Output'!$I:$I, 0, 'Picarro Output'!$J:$J, 1), "")</f>
        <v/>
      </c>
    </row>
    <row r="5944" spans="2:5" x14ac:dyDescent="0.2">
      <c r="B5944" s="1"/>
      <c r="E5944" s="38" t="str">
        <f>IFERROR(AVERAGEIFS('Picarro Output'!G:G, 'Picarro Output'!$B:$B, 'Uncalibrated Data'!$C5944, 'Picarro Output'!$I:$I, 0, 'Picarro Output'!$J:$J, 1), "")</f>
        <v/>
      </c>
    </row>
    <row r="5945" spans="2:5" x14ac:dyDescent="0.2">
      <c r="B5945" s="1"/>
      <c r="E5945" s="38" t="str">
        <f>IFERROR(AVERAGEIFS('Picarro Output'!G:G, 'Picarro Output'!$B:$B, 'Uncalibrated Data'!$C5945, 'Picarro Output'!$I:$I, 0, 'Picarro Output'!$J:$J, 1), "")</f>
        <v/>
      </c>
    </row>
    <row r="5946" spans="2:5" x14ac:dyDescent="0.2">
      <c r="B5946" s="1"/>
      <c r="E5946" s="38" t="str">
        <f>IFERROR(AVERAGEIFS('Picarro Output'!G:G, 'Picarro Output'!$B:$B, 'Uncalibrated Data'!$C5946, 'Picarro Output'!$I:$I, 0, 'Picarro Output'!$J:$J, 1), "")</f>
        <v/>
      </c>
    </row>
    <row r="5947" spans="2:5" x14ac:dyDescent="0.2">
      <c r="B5947" s="1"/>
      <c r="E5947" s="38" t="str">
        <f>IFERROR(AVERAGEIFS('Picarro Output'!G:G, 'Picarro Output'!$B:$B, 'Uncalibrated Data'!$C5947, 'Picarro Output'!$I:$I, 0, 'Picarro Output'!$J:$J, 1), "")</f>
        <v/>
      </c>
    </row>
    <row r="5948" spans="2:5" x14ac:dyDescent="0.2">
      <c r="B5948" s="1"/>
      <c r="E5948" s="38" t="str">
        <f>IFERROR(AVERAGEIFS('Picarro Output'!G:G, 'Picarro Output'!$B:$B, 'Uncalibrated Data'!$C5948, 'Picarro Output'!$I:$I, 0, 'Picarro Output'!$J:$J, 1), "")</f>
        <v/>
      </c>
    </row>
    <row r="5949" spans="2:5" x14ac:dyDescent="0.2">
      <c r="B5949" s="1"/>
      <c r="E5949" s="38" t="str">
        <f>IFERROR(AVERAGEIFS('Picarro Output'!G:G, 'Picarro Output'!$B:$B, 'Uncalibrated Data'!$C5949, 'Picarro Output'!$I:$I, 0, 'Picarro Output'!$J:$J, 1), "")</f>
        <v/>
      </c>
    </row>
    <row r="5950" spans="2:5" x14ac:dyDescent="0.2">
      <c r="B5950" s="1"/>
      <c r="E5950" s="38" t="str">
        <f>IFERROR(AVERAGEIFS('Picarro Output'!G:G, 'Picarro Output'!$B:$B, 'Uncalibrated Data'!$C5950, 'Picarro Output'!$I:$I, 0, 'Picarro Output'!$J:$J, 1), "")</f>
        <v/>
      </c>
    </row>
    <row r="5951" spans="2:5" x14ac:dyDescent="0.2">
      <c r="B5951" s="1"/>
      <c r="E5951" s="38" t="str">
        <f>IFERROR(AVERAGEIFS('Picarro Output'!G:G, 'Picarro Output'!$B:$B, 'Uncalibrated Data'!$C5951, 'Picarro Output'!$I:$I, 0, 'Picarro Output'!$J:$J, 1), "")</f>
        <v/>
      </c>
    </row>
    <row r="5952" spans="2:5" x14ac:dyDescent="0.2">
      <c r="B5952" s="1"/>
      <c r="E5952" s="38" t="str">
        <f>IFERROR(AVERAGEIFS('Picarro Output'!G:G, 'Picarro Output'!$B:$B, 'Uncalibrated Data'!$C5952, 'Picarro Output'!$I:$I, 0, 'Picarro Output'!$J:$J, 1), "")</f>
        <v/>
      </c>
    </row>
    <row r="5953" spans="2:5" x14ac:dyDescent="0.2">
      <c r="B5953" s="1"/>
      <c r="E5953" s="38" t="str">
        <f>IFERROR(AVERAGEIFS('Picarro Output'!G:G, 'Picarro Output'!$B:$B, 'Uncalibrated Data'!$C5953, 'Picarro Output'!$I:$I, 0, 'Picarro Output'!$J:$J, 1), "")</f>
        <v/>
      </c>
    </row>
    <row r="5954" spans="2:5" x14ac:dyDescent="0.2">
      <c r="B5954" s="1"/>
      <c r="E5954" s="38" t="str">
        <f>IFERROR(AVERAGEIFS('Picarro Output'!G:G, 'Picarro Output'!$B:$B, 'Uncalibrated Data'!$C5954, 'Picarro Output'!$I:$I, 0, 'Picarro Output'!$J:$J, 1), "")</f>
        <v/>
      </c>
    </row>
    <row r="5955" spans="2:5" x14ac:dyDescent="0.2">
      <c r="B5955" s="1"/>
      <c r="E5955" s="38" t="str">
        <f>IFERROR(AVERAGEIFS('Picarro Output'!G:G, 'Picarro Output'!$B:$B, 'Uncalibrated Data'!$C5955, 'Picarro Output'!$I:$I, 0, 'Picarro Output'!$J:$J, 1), "")</f>
        <v/>
      </c>
    </row>
    <row r="5956" spans="2:5" x14ac:dyDescent="0.2">
      <c r="B5956" s="1"/>
      <c r="E5956" s="38" t="str">
        <f>IFERROR(AVERAGEIFS('Picarro Output'!G:G, 'Picarro Output'!$B:$B, 'Uncalibrated Data'!$C5956, 'Picarro Output'!$I:$I, 0, 'Picarro Output'!$J:$J, 1), "")</f>
        <v/>
      </c>
    </row>
    <row r="5957" spans="2:5" x14ac:dyDescent="0.2">
      <c r="B5957" s="1"/>
      <c r="E5957" s="38" t="str">
        <f>IFERROR(AVERAGEIFS('Picarro Output'!G:G, 'Picarro Output'!$B:$B, 'Uncalibrated Data'!$C5957, 'Picarro Output'!$I:$I, 0, 'Picarro Output'!$J:$J, 1), "")</f>
        <v/>
      </c>
    </row>
    <row r="5958" spans="2:5" x14ac:dyDescent="0.2">
      <c r="B5958" s="1"/>
      <c r="E5958" s="38" t="str">
        <f>IFERROR(AVERAGEIFS('Picarro Output'!G:G, 'Picarro Output'!$B:$B, 'Uncalibrated Data'!$C5958, 'Picarro Output'!$I:$I, 0, 'Picarro Output'!$J:$J, 1), "")</f>
        <v/>
      </c>
    </row>
    <row r="5959" spans="2:5" x14ac:dyDescent="0.2">
      <c r="B5959" s="1"/>
      <c r="E5959" s="38" t="str">
        <f>IFERROR(AVERAGEIFS('Picarro Output'!G:G, 'Picarro Output'!$B:$B, 'Uncalibrated Data'!$C5959, 'Picarro Output'!$I:$I, 0, 'Picarro Output'!$J:$J, 1), "")</f>
        <v/>
      </c>
    </row>
    <row r="5960" spans="2:5" x14ac:dyDescent="0.2">
      <c r="B5960" s="1"/>
      <c r="E5960" s="38" t="str">
        <f>IFERROR(AVERAGEIFS('Picarro Output'!G:G, 'Picarro Output'!$B:$B, 'Uncalibrated Data'!$C5960, 'Picarro Output'!$I:$I, 0, 'Picarro Output'!$J:$J, 1), "")</f>
        <v/>
      </c>
    </row>
    <row r="5961" spans="2:5" x14ac:dyDescent="0.2">
      <c r="B5961" s="1"/>
      <c r="E5961" s="38" t="str">
        <f>IFERROR(AVERAGEIFS('Picarro Output'!G:G, 'Picarro Output'!$B:$B, 'Uncalibrated Data'!$C5961, 'Picarro Output'!$I:$I, 0, 'Picarro Output'!$J:$J, 1), "")</f>
        <v/>
      </c>
    </row>
    <row r="5962" spans="2:5" x14ac:dyDescent="0.2">
      <c r="B5962" s="1"/>
      <c r="E5962" s="38" t="str">
        <f>IFERROR(AVERAGEIFS('Picarro Output'!G:G, 'Picarro Output'!$B:$B, 'Uncalibrated Data'!$C5962, 'Picarro Output'!$I:$I, 0, 'Picarro Output'!$J:$J, 1), "")</f>
        <v/>
      </c>
    </row>
    <row r="5963" spans="2:5" x14ac:dyDescent="0.2">
      <c r="B5963" s="1"/>
      <c r="E5963" s="38" t="str">
        <f>IFERROR(AVERAGEIFS('Picarro Output'!G:G, 'Picarro Output'!$B:$B, 'Uncalibrated Data'!$C5963, 'Picarro Output'!$I:$I, 0, 'Picarro Output'!$J:$J, 1), "")</f>
        <v/>
      </c>
    </row>
    <row r="5964" spans="2:5" x14ac:dyDescent="0.2">
      <c r="B5964" s="1"/>
      <c r="E5964" s="38" t="str">
        <f>IFERROR(AVERAGEIFS('Picarro Output'!G:G, 'Picarro Output'!$B:$B, 'Uncalibrated Data'!$C5964, 'Picarro Output'!$I:$I, 0, 'Picarro Output'!$J:$J, 1), "")</f>
        <v/>
      </c>
    </row>
    <row r="5965" spans="2:5" x14ac:dyDescent="0.2">
      <c r="B5965" s="1"/>
      <c r="E5965" s="38" t="str">
        <f>IFERROR(AVERAGEIFS('Picarro Output'!G:G, 'Picarro Output'!$B:$B, 'Uncalibrated Data'!$C5965, 'Picarro Output'!$I:$I, 0, 'Picarro Output'!$J:$J, 1), "")</f>
        <v/>
      </c>
    </row>
    <row r="5966" spans="2:5" x14ac:dyDescent="0.2">
      <c r="B5966" s="1"/>
      <c r="E5966" s="38" t="str">
        <f>IFERROR(AVERAGEIFS('Picarro Output'!G:G, 'Picarro Output'!$B:$B, 'Uncalibrated Data'!$C5966, 'Picarro Output'!$I:$I, 0, 'Picarro Output'!$J:$J, 1), "")</f>
        <v/>
      </c>
    </row>
    <row r="5967" spans="2:5" x14ac:dyDescent="0.2">
      <c r="B5967" s="1"/>
      <c r="E5967" s="38" t="str">
        <f>IFERROR(AVERAGEIFS('Picarro Output'!G:G, 'Picarro Output'!$B:$B, 'Uncalibrated Data'!$C5967, 'Picarro Output'!$I:$I, 0, 'Picarro Output'!$J:$J, 1), "")</f>
        <v/>
      </c>
    </row>
    <row r="5968" spans="2:5" x14ac:dyDescent="0.2">
      <c r="B5968" s="1"/>
      <c r="E5968" s="38" t="str">
        <f>IFERROR(AVERAGEIFS('Picarro Output'!G:G, 'Picarro Output'!$B:$B, 'Uncalibrated Data'!$C5968, 'Picarro Output'!$I:$I, 0, 'Picarro Output'!$J:$J, 1), "")</f>
        <v/>
      </c>
    </row>
    <row r="5969" spans="2:5" x14ac:dyDescent="0.2">
      <c r="B5969" s="1"/>
      <c r="E5969" s="38" t="str">
        <f>IFERROR(AVERAGEIFS('Picarro Output'!G:G, 'Picarro Output'!$B:$B, 'Uncalibrated Data'!$C5969, 'Picarro Output'!$I:$I, 0, 'Picarro Output'!$J:$J, 1), "")</f>
        <v/>
      </c>
    </row>
    <row r="5970" spans="2:5" x14ac:dyDescent="0.2">
      <c r="B5970" s="1"/>
      <c r="E5970" s="38" t="str">
        <f>IFERROR(AVERAGEIFS('Picarro Output'!G:G, 'Picarro Output'!$B:$B, 'Uncalibrated Data'!$C5970, 'Picarro Output'!$I:$I, 0, 'Picarro Output'!$J:$J, 1), "")</f>
        <v/>
      </c>
    </row>
    <row r="5971" spans="2:5" x14ac:dyDescent="0.2">
      <c r="B5971" s="1"/>
      <c r="E5971" s="38" t="str">
        <f>IFERROR(AVERAGEIFS('Picarro Output'!G:G, 'Picarro Output'!$B:$B, 'Uncalibrated Data'!$C5971, 'Picarro Output'!$I:$I, 0, 'Picarro Output'!$J:$J, 1), "")</f>
        <v/>
      </c>
    </row>
    <row r="5972" spans="2:5" x14ac:dyDescent="0.2">
      <c r="B5972" s="1"/>
      <c r="E5972" s="38" t="str">
        <f>IFERROR(AVERAGEIFS('Picarro Output'!G:G, 'Picarro Output'!$B:$B, 'Uncalibrated Data'!$C5972, 'Picarro Output'!$I:$I, 0, 'Picarro Output'!$J:$J, 1), "")</f>
        <v/>
      </c>
    </row>
    <row r="5973" spans="2:5" x14ac:dyDescent="0.2">
      <c r="B5973" s="1"/>
      <c r="E5973" s="38" t="str">
        <f>IFERROR(AVERAGEIFS('Picarro Output'!G:G, 'Picarro Output'!$B:$B, 'Uncalibrated Data'!$C5973, 'Picarro Output'!$I:$I, 0, 'Picarro Output'!$J:$J, 1), "")</f>
        <v/>
      </c>
    </row>
    <row r="5974" spans="2:5" x14ac:dyDescent="0.2">
      <c r="B5974" s="1"/>
      <c r="E5974" s="38" t="str">
        <f>IFERROR(AVERAGEIFS('Picarro Output'!G:G, 'Picarro Output'!$B:$B, 'Uncalibrated Data'!$C5974, 'Picarro Output'!$I:$I, 0, 'Picarro Output'!$J:$J, 1), "")</f>
        <v/>
      </c>
    </row>
    <row r="5975" spans="2:5" x14ac:dyDescent="0.2">
      <c r="B5975" s="1"/>
      <c r="E5975" s="38" t="str">
        <f>IFERROR(AVERAGEIFS('Picarro Output'!G:G, 'Picarro Output'!$B:$B, 'Uncalibrated Data'!$C5975, 'Picarro Output'!$I:$I, 0, 'Picarro Output'!$J:$J, 1), "")</f>
        <v/>
      </c>
    </row>
    <row r="5976" spans="2:5" x14ac:dyDescent="0.2">
      <c r="B5976" s="1"/>
      <c r="E5976" s="38" t="str">
        <f>IFERROR(AVERAGEIFS('Picarro Output'!G:G, 'Picarro Output'!$B:$B, 'Uncalibrated Data'!$C5976, 'Picarro Output'!$I:$I, 0, 'Picarro Output'!$J:$J, 1), "")</f>
        <v/>
      </c>
    </row>
    <row r="5977" spans="2:5" x14ac:dyDescent="0.2">
      <c r="B5977" s="1"/>
      <c r="E5977" s="38" t="str">
        <f>IFERROR(AVERAGEIFS('Picarro Output'!G:G, 'Picarro Output'!$B:$B, 'Uncalibrated Data'!$C5977, 'Picarro Output'!$I:$I, 0, 'Picarro Output'!$J:$J, 1), "")</f>
        <v/>
      </c>
    </row>
    <row r="5978" spans="2:5" x14ac:dyDescent="0.2">
      <c r="B5978" s="1"/>
      <c r="E5978" s="38" t="str">
        <f>IFERROR(AVERAGEIFS('Picarro Output'!G:G, 'Picarro Output'!$B:$B, 'Uncalibrated Data'!$C5978, 'Picarro Output'!$I:$I, 0, 'Picarro Output'!$J:$J, 1), "")</f>
        <v/>
      </c>
    </row>
    <row r="5979" spans="2:5" x14ac:dyDescent="0.2">
      <c r="B5979" s="1"/>
      <c r="E5979" s="38" t="str">
        <f>IFERROR(AVERAGEIFS('Picarro Output'!G:G, 'Picarro Output'!$B:$B, 'Uncalibrated Data'!$C5979, 'Picarro Output'!$I:$I, 0, 'Picarro Output'!$J:$J, 1), "")</f>
        <v/>
      </c>
    </row>
    <row r="5980" spans="2:5" x14ac:dyDescent="0.2">
      <c r="B5980" s="1"/>
      <c r="E5980" s="38" t="str">
        <f>IFERROR(AVERAGEIFS('Picarro Output'!G:G, 'Picarro Output'!$B:$B, 'Uncalibrated Data'!$C5980, 'Picarro Output'!$I:$I, 0, 'Picarro Output'!$J:$J, 1), "")</f>
        <v/>
      </c>
    </row>
    <row r="5981" spans="2:5" x14ac:dyDescent="0.2">
      <c r="B5981" s="1"/>
      <c r="E5981" s="38" t="str">
        <f>IFERROR(AVERAGEIFS('Picarro Output'!G:G, 'Picarro Output'!$B:$B, 'Uncalibrated Data'!$C5981, 'Picarro Output'!$I:$I, 0, 'Picarro Output'!$J:$J, 1), "")</f>
        <v/>
      </c>
    </row>
    <row r="5982" spans="2:5" x14ac:dyDescent="0.2">
      <c r="B5982" s="1"/>
      <c r="E5982" s="38" t="str">
        <f>IFERROR(AVERAGEIFS('Picarro Output'!G:G, 'Picarro Output'!$B:$B, 'Uncalibrated Data'!$C5982, 'Picarro Output'!$I:$I, 0, 'Picarro Output'!$J:$J, 1), "")</f>
        <v/>
      </c>
    </row>
    <row r="5983" spans="2:5" x14ac:dyDescent="0.2">
      <c r="B5983" s="1"/>
      <c r="E5983" s="38" t="str">
        <f>IFERROR(AVERAGEIFS('Picarro Output'!G:G, 'Picarro Output'!$B:$B, 'Uncalibrated Data'!$C5983, 'Picarro Output'!$I:$I, 0, 'Picarro Output'!$J:$J, 1), "")</f>
        <v/>
      </c>
    </row>
    <row r="5984" spans="2:5" x14ac:dyDescent="0.2">
      <c r="B5984" s="1"/>
      <c r="E5984" s="38" t="str">
        <f>IFERROR(AVERAGEIFS('Picarro Output'!G:G, 'Picarro Output'!$B:$B, 'Uncalibrated Data'!$C5984, 'Picarro Output'!$I:$I, 0, 'Picarro Output'!$J:$J, 1), "")</f>
        <v/>
      </c>
    </row>
    <row r="5985" spans="2:5" x14ac:dyDescent="0.2">
      <c r="B5985" s="1"/>
      <c r="E5985" s="38" t="str">
        <f>IFERROR(AVERAGEIFS('Picarro Output'!G:G, 'Picarro Output'!$B:$B, 'Uncalibrated Data'!$C5985, 'Picarro Output'!$I:$I, 0, 'Picarro Output'!$J:$J, 1), "")</f>
        <v/>
      </c>
    </row>
    <row r="5986" spans="2:5" x14ac:dyDescent="0.2">
      <c r="B5986" s="1"/>
      <c r="E5986" s="38" t="str">
        <f>IFERROR(AVERAGEIFS('Picarro Output'!G:G, 'Picarro Output'!$B:$B, 'Uncalibrated Data'!$C5986, 'Picarro Output'!$I:$I, 0, 'Picarro Output'!$J:$J, 1), "")</f>
        <v/>
      </c>
    </row>
    <row r="5987" spans="2:5" x14ac:dyDescent="0.2">
      <c r="B5987" s="1"/>
      <c r="E5987" s="38" t="str">
        <f>IFERROR(AVERAGEIFS('Picarro Output'!G:G, 'Picarro Output'!$B:$B, 'Uncalibrated Data'!$C5987, 'Picarro Output'!$I:$I, 0, 'Picarro Output'!$J:$J, 1), "")</f>
        <v/>
      </c>
    </row>
    <row r="5988" spans="2:5" x14ac:dyDescent="0.2">
      <c r="B5988" s="1"/>
      <c r="E5988" s="38" t="str">
        <f>IFERROR(AVERAGEIFS('Picarro Output'!G:G, 'Picarro Output'!$B:$B, 'Uncalibrated Data'!$C5988, 'Picarro Output'!$I:$I, 0, 'Picarro Output'!$J:$J, 1), "")</f>
        <v/>
      </c>
    </row>
    <row r="5989" spans="2:5" x14ac:dyDescent="0.2">
      <c r="B5989" s="1"/>
      <c r="E5989" s="38" t="str">
        <f>IFERROR(AVERAGEIFS('Picarro Output'!G:G, 'Picarro Output'!$B:$B, 'Uncalibrated Data'!$C5989, 'Picarro Output'!$I:$I, 0, 'Picarro Output'!$J:$J, 1), "")</f>
        <v/>
      </c>
    </row>
    <row r="5990" spans="2:5" x14ac:dyDescent="0.2">
      <c r="B5990" s="1"/>
      <c r="E5990" s="38" t="str">
        <f>IFERROR(AVERAGEIFS('Picarro Output'!G:G, 'Picarro Output'!$B:$B, 'Uncalibrated Data'!$C5990, 'Picarro Output'!$I:$I, 0, 'Picarro Output'!$J:$J, 1), "")</f>
        <v/>
      </c>
    </row>
    <row r="5991" spans="2:5" x14ac:dyDescent="0.2">
      <c r="B5991" s="1"/>
      <c r="E5991" s="38" t="str">
        <f>IFERROR(AVERAGEIFS('Picarro Output'!G:G, 'Picarro Output'!$B:$B, 'Uncalibrated Data'!$C5991, 'Picarro Output'!$I:$I, 0, 'Picarro Output'!$J:$J, 1), "")</f>
        <v/>
      </c>
    </row>
    <row r="5992" spans="2:5" x14ac:dyDescent="0.2">
      <c r="B5992" s="1"/>
      <c r="E5992" s="38" t="str">
        <f>IFERROR(AVERAGEIFS('Picarro Output'!G:G, 'Picarro Output'!$B:$B, 'Uncalibrated Data'!$C5992, 'Picarro Output'!$I:$I, 0, 'Picarro Output'!$J:$J, 1), "")</f>
        <v/>
      </c>
    </row>
    <row r="5993" spans="2:5" x14ac:dyDescent="0.2">
      <c r="B5993" s="1"/>
      <c r="E5993" s="38" t="str">
        <f>IFERROR(AVERAGEIFS('Picarro Output'!G:G, 'Picarro Output'!$B:$B, 'Uncalibrated Data'!$C5993, 'Picarro Output'!$I:$I, 0, 'Picarro Output'!$J:$J, 1), "")</f>
        <v/>
      </c>
    </row>
    <row r="5994" spans="2:5" x14ac:dyDescent="0.2">
      <c r="B5994" s="1"/>
      <c r="E5994" s="38" t="str">
        <f>IFERROR(AVERAGEIFS('Picarro Output'!G:G, 'Picarro Output'!$B:$B, 'Uncalibrated Data'!$C5994, 'Picarro Output'!$I:$I, 0, 'Picarro Output'!$J:$J, 1), "")</f>
        <v/>
      </c>
    </row>
    <row r="5995" spans="2:5" x14ac:dyDescent="0.2">
      <c r="B5995" s="1"/>
      <c r="E5995" s="38" t="str">
        <f>IFERROR(AVERAGEIFS('Picarro Output'!G:G, 'Picarro Output'!$B:$B, 'Uncalibrated Data'!$C5995, 'Picarro Output'!$I:$I, 0, 'Picarro Output'!$J:$J, 1), "")</f>
        <v/>
      </c>
    </row>
    <row r="5996" spans="2:5" x14ac:dyDescent="0.2">
      <c r="B5996" s="1"/>
      <c r="E5996" s="38" t="str">
        <f>IFERROR(AVERAGEIFS('Picarro Output'!G:G, 'Picarro Output'!$B:$B, 'Uncalibrated Data'!$C5996, 'Picarro Output'!$I:$I, 0, 'Picarro Output'!$J:$J, 1), "")</f>
        <v/>
      </c>
    </row>
    <row r="5997" spans="2:5" x14ac:dyDescent="0.2">
      <c r="B5997" s="1"/>
      <c r="E5997" s="38" t="str">
        <f>IFERROR(AVERAGEIFS('Picarro Output'!G:G, 'Picarro Output'!$B:$B, 'Uncalibrated Data'!$C5997, 'Picarro Output'!$I:$I, 0, 'Picarro Output'!$J:$J, 1), "")</f>
        <v/>
      </c>
    </row>
    <row r="5998" spans="2:5" x14ac:dyDescent="0.2">
      <c r="B5998" s="1"/>
      <c r="E5998" s="38" t="str">
        <f>IFERROR(AVERAGEIFS('Picarro Output'!G:G, 'Picarro Output'!$B:$B, 'Uncalibrated Data'!$C5998, 'Picarro Output'!$I:$I, 0, 'Picarro Output'!$J:$J, 1), "")</f>
        <v/>
      </c>
    </row>
    <row r="5999" spans="2:5" x14ac:dyDescent="0.2">
      <c r="B5999" s="1"/>
      <c r="E5999" s="38" t="str">
        <f>IFERROR(AVERAGEIFS('Picarro Output'!G:G, 'Picarro Output'!$B:$B, 'Uncalibrated Data'!$C5999, 'Picarro Output'!$I:$I, 0, 'Picarro Output'!$J:$J, 1), "")</f>
        <v/>
      </c>
    </row>
    <row r="6000" spans="2:5" x14ac:dyDescent="0.2">
      <c r="B6000" s="1"/>
      <c r="E6000" s="38" t="str">
        <f>IFERROR(AVERAGEIFS('Picarro Output'!G:G, 'Picarro Output'!$B:$B, 'Uncalibrated Data'!$C6000, 'Picarro Output'!$I:$I, 0, 'Picarro Output'!$J:$J, 1), "")</f>
        <v/>
      </c>
    </row>
    <row r="6001" spans="2:5" x14ac:dyDescent="0.2">
      <c r="B6001" s="1"/>
      <c r="E6001" s="38" t="str">
        <f>IFERROR(AVERAGEIFS('Picarro Output'!G:G, 'Picarro Output'!$B:$B, 'Uncalibrated Data'!$C6001, 'Picarro Output'!$I:$I, 0, 'Picarro Output'!$J:$J, 1), "")</f>
        <v/>
      </c>
    </row>
    <row r="6002" spans="2:5" x14ac:dyDescent="0.2">
      <c r="B6002" s="1"/>
      <c r="E6002" s="38" t="str">
        <f>IFERROR(AVERAGEIFS('Picarro Output'!G:G, 'Picarro Output'!$B:$B, 'Uncalibrated Data'!$C6002, 'Picarro Output'!$I:$I, 0, 'Picarro Output'!$J:$J, 1), "")</f>
        <v/>
      </c>
    </row>
    <row r="6003" spans="2:5" x14ac:dyDescent="0.2">
      <c r="B6003" s="1"/>
      <c r="E6003" s="38" t="str">
        <f>IFERROR(AVERAGEIFS('Picarro Output'!G:G, 'Picarro Output'!$B:$B, 'Uncalibrated Data'!$C6003, 'Picarro Output'!$I:$I, 0, 'Picarro Output'!$J:$J, 1), "")</f>
        <v/>
      </c>
    </row>
    <row r="6004" spans="2:5" x14ac:dyDescent="0.2">
      <c r="B6004" s="1"/>
      <c r="E6004" s="38" t="str">
        <f>IFERROR(AVERAGEIFS('Picarro Output'!G:G, 'Picarro Output'!$B:$B, 'Uncalibrated Data'!$C6004, 'Picarro Output'!$I:$I, 0, 'Picarro Output'!$J:$J, 1), "")</f>
        <v/>
      </c>
    </row>
    <row r="6005" spans="2:5" x14ac:dyDescent="0.2">
      <c r="B6005" s="1"/>
      <c r="E6005" s="38" t="str">
        <f>IFERROR(AVERAGEIFS('Picarro Output'!G:G, 'Picarro Output'!$B:$B, 'Uncalibrated Data'!$C6005, 'Picarro Output'!$I:$I, 0, 'Picarro Output'!$J:$J, 1), "")</f>
        <v/>
      </c>
    </row>
    <row r="6006" spans="2:5" x14ac:dyDescent="0.2">
      <c r="B6006" s="1"/>
      <c r="E6006" s="38" t="str">
        <f>IFERROR(AVERAGEIFS('Picarro Output'!G:G, 'Picarro Output'!$B:$B, 'Uncalibrated Data'!$C6006, 'Picarro Output'!$I:$I, 0, 'Picarro Output'!$J:$J, 1), "")</f>
        <v/>
      </c>
    </row>
    <row r="6007" spans="2:5" x14ac:dyDescent="0.2">
      <c r="B6007" s="1"/>
      <c r="E6007" s="38" t="str">
        <f>IFERROR(AVERAGEIFS('Picarro Output'!G:G, 'Picarro Output'!$B:$B, 'Uncalibrated Data'!$C6007, 'Picarro Output'!$I:$I, 0, 'Picarro Output'!$J:$J, 1), "")</f>
        <v/>
      </c>
    </row>
    <row r="6008" spans="2:5" x14ac:dyDescent="0.2">
      <c r="B6008" s="1"/>
      <c r="E6008" s="38" t="str">
        <f>IFERROR(AVERAGEIFS('Picarro Output'!G:G, 'Picarro Output'!$B:$B, 'Uncalibrated Data'!$C6008, 'Picarro Output'!$I:$I, 0, 'Picarro Output'!$J:$J, 1), "")</f>
        <v/>
      </c>
    </row>
    <row r="6009" spans="2:5" x14ac:dyDescent="0.2">
      <c r="B6009" s="1"/>
      <c r="E6009" s="38" t="str">
        <f>IFERROR(AVERAGEIFS('Picarro Output'!G:G, 'Picarro Output'!$B:$B, 'Uncalibrated Data'!$C6009, 'Picarro Output'!$I:$I, 0, 'Picarro Output'!$J:$J, 1), "")</f>
        <v/>
      </c>
    </row>
    <row r="6010" spans="2:5" x14ac:dyDescent="0.2">
      <c r="B6010" s="1"/>
      <c r="E6010" s="38" t="str">
        <f>IFERROR(AVERAGEIFS('Picarro Output'!G:G, 'Picarro Output'!$B:$B, 'Uncalibrated Data'!$C6010, 'Picarro Output'!$I:$I, 0, 'Picarro Output'!$J:$J, 1), "")</f>
        <v/>
      </c>
    </row>
    <row r="6011" spans="2:5" x14ac:dyDescent="0.2">
      <c r="B6011" s="1"/>
      <c r="E6011" s="38" t="str">
        <f>IFERROR(AVERAGEIFS('Picarro Output'!G:G, 'Picarro Output'!$B:$B, 'Uncalibrated Data'!$C6011, 'Picarro Output'!$I:$I, 0, 'Picarro Output'!$J:$J, 1), "")</f>
        <v/>
      </c>
    </row>
    <row r="6012" spans="2:5" x14ac:dyDescent="0.2">
      <c r="B6012" s="1"/>
      <c r="E6012" s="38" t="str">
        <f>IFERROR(AVERAGEIFS('Picarro Output'!G:G, 'Picarro Output'!$B:$B, 'Uncalibrated Data'!$C6012, 'Picarro Output'!$I:$I, 0, 'Picarro Output'!$J:$J, 1), "")</f>
        <v/>
      </c>
    </row>
    <row r="6013" spans="2:5" x14ac:dyDescent="0.2">
      <c r="B6013" s="1"/>
      <c r="E6013" s="38" t="str">
        <f>IFERROR(AVERAGEIFS('Picarro Output'!G:G, 'Picarro Output'!$B:$B, 'Uncalibrated Data'!$C6013, 'Picarro Output'!$I:$I, 0, 'Picarro Output'!$J:$J, 1), "")</f>
        <v/>
      </c>
    </row>
    <row r="6014" spans="2:5" x14ac:dyDescent="0.2">
      <c r="B6014" s="1"/>
      <c r="E6014" s="38" t="str">
        <f>IFERROR(AVERAGEIFS('Picarro Output'!G:G, 'Picarro Output'!$B:$B, 'Uncalibrated Data'!$C6014, 'Picarro Output'!$I:$I, 0, 'Picarro Output'!$J:$J, 1), "")</f>
        <v/>
      </c>
    </row>
    <row r="6015" spans="2:5" x14ac:dyDescent="0.2">
      <c r="B6015" s="1"/>
      <c r="E6015" s="38" t="str">
        <f>IFERROR(AVERAGEIFS('Picarro Output'!G:G, 'Picarro Output'!$B:$B, 'Uncalibrated Data'!$C6015, 'Picarro Output'!$I:$I, 0, 'Picarro Output'!$J:$J, 1), "")</f>
        <v/>
      </c>
    </row>
    <row r="6016" spans="2:5" x14ac:dyDescent="0.2">
      <c r="B6016" s="1"/>
      <c r="E6016" s="38" t="str">
        <f>IFERROR(AVERAGEIFS('Picarro Output'!G:G, 'Picarro Output'!$B:$B, 'Uncalibrated Data'!$C6016, 'Picarro Output'!$I:$I, 0, 'Picarro Output'!$J:$J, 1), "")</f>
        <v/>
      </c>
    </row>
    <row r="6017" spans="2:5" x14ac:dyDescent="0.2">
      <c r="B6017" s="1"/>
      <c r="E6017" s="38" t="str">
        <f>IFERROR(AVERAGEIFS('Picarro Output'!G:G, 'Picarro Output'!$B:$B, 'Uncalibrated Data'!$C6017, 'Picarro Output'!$I:$I, 0, 'Picarro Output'!$J:$J, 1), "")</f>
        <v/>
      </c>
    </row>
    <row r="6018" spans="2:5" x14ac:dyDescent="0.2">
      <c r="B6018" s="1"/>
      <c r="E6018" s="38" t="str">
        <f>IFERROR(AVERAGEIFS('Picarro Output'!G:G, 'Picarro Output'!$B:$B, 'Uncalibrated Data'!$C6018, 'Picarro Output'!$I:$I, 0, 'Picarro Output'!$J:$J, 1), "")</f>
        <v/>
      </c>
    </row>
    <row r="6019" spans="2:5" x14ac:dyDescent="0.2">
      <c r="B6019" s="1"/>
      <c r="E6019" s="38" t="str">
        <f>IFERROR(AVERAGEIFS('Picarro Output'!G:G, 'Picarro Output'!$B:$B, 'Uncalibrated Data'!$C6019, 'Picarro Output'!$I:$I, 0, 'Picarro Output'!$J:$J, 1), "")</f>
        <v/>
      </c>
    </row>
    <row r="6020" spans="2:5" x14ac:dyDescent="0.2">
      <c r="B6020" s="1"/>
      <c r="E6020" s="38" t="str">
        <f>IFERROR(AVERAGEIFS('Picarro Output'!G:G, 'Picarro Output'!$B:$B, 'Uncalibrated Data'!$C6020, 'Picarro Output'!$I:$I, 0, 'Picarro Output'!$J:$J, 1), "")</f>
        <v/>
      </c>
    </row>
    <row r="6021" spans="2:5" x14ac:dyDescent="0.2">
      <c r="B6021" s="1"/>
      <c r="E6021" s="38" t="str">
        <f>IFERROR(AVERAGEIFS('Picarro Output'!G:G, 'Picarro Output'!$B:$B, 'Uncalibrated Data'!$C6021, 'Picarro Output'!$I:$I, 0, 'Picarro Output'!$J:$J, 1), "")</f>
        <v/>
      </c>
    </row>
    <row r="6022" spans="2:5" x14ac:dyDescent="0.2">
      <c r="B6022" s="1"/>
      <c r="E6022" s="38" t="str">
        <f>IFERROR(AVERAGEIFS('Picarro Output'!G:G, 'Picarro Output'!$B:$B, 'Uncalibrated Data'!$C6022, 'Picarro Output'!$I:$I, 0, 'Picarro Output'!$J:$J, 1), "")</f>
        <v/>
      </c>
    </row>
    <row r="6023" spans="2:5" x14ac:dyDescent="0.2">
      <c r="B6023" s="1"/>
      <c r="E6023" s="38" t="str">
        <f>IFERROR(AVERAGEIFS('Picarro Output'!G:G, 'Picarro Output'!$B:$B, 'Uncalibrated Data'!$C6023, 'Picarro Output'!$I:$I, 0, 'Picarro Output'!$J:$J, 1), "")</f>
        <v/>
      </c>
    </row>
    <row r="6024" spans="2:5" x14ac:dyDescent="0.2">
      <c r="B6024" s="1"/>
      <c r="E6024" s="38" t="str">
        <f>IFERROR(AVERAGEIFS('Picarro Output'!G:G, 'Picarro Output'!$B:$B, 'Uncalibrated Data'!$C6024, 'Picarro Output'!$I:$I, 0, 'Picarro Output'!$J:$J, 1), "")</f>
        <v/>
      </c>
    </row>
    <row r="6025" spans="2:5" x14ac:dyDescent="0.2">
      <c r="B6025" s="1"/>
      <c r="E6025" s="38" t="str">
        <f>IFERROR(AVERAGEIFS('Picarro Output'!G:G, 'Picarro Output'!$B:$B, 'Uncalibrated Data'!$C6025, 'Picarro Output'!$I:$I, 0, 'Picarro Output'!$J:$J, 1), "")</f>
        <v/>
      </c>
    </row>
    <row r="6026" spans="2:5" x14ac:dyDescent="0.2">
      <c r="B6026" s="1"/>
      <c r="E6026" s="38" t="str">
        <f>IFERROR(AVERAGEIFS('Picarro Output'!G:G, 'Picarro Output'!$B:$B, 'Uncalibrated Data'!$C6026, 'Picarro Output'!$I:$I, 0, 'Picarro Output'!$J:$J, 1), "")</f>
        <v/>
      </c>
    </row>
    <row r="6027" spans="2:5" x14ac:dyDescent="0.2">
      <c r="B6027" s="1"/>
      <c r="E6027" s="38" t="str">
        <f>IFERROR(AVERAGEIFS('Picarro Output'!G:G, 'Picarro Output'!$B:$B, 'Uncalibrated Data'!$C6027, 'Picarro Output'!$I:$I, 0, 'Picarro Output'!$J:$J, 1), "")</f>
        <v/>
      </c>
    </row>
    <row r="6028" spans="2:5" x14ac:dyDescent="0.2">
      <c r="B6028" s="1"/>
      <c r="E6028" s="38" t="str">
        <f>IFERROR(AVERAGEIFS('Picarro Output'!G:G, 'Picarro Output'!$B:$B, 'Uncalibrated Data'!$C6028, 'Picarro Output'!$I:$I, 0, 'Picarro Output'!$J:$J, 1), "")</f>
        <v/>
      </c>
    </row>
    <row r="6029" spans="2:5" x14ac:dyDescent="0.2">
      <c r="B6029" s="1"/>
      <c r="E6029" s="38" t="str">
        <f>IFERROR(AVERAGEIFS('Picarro Output'!G:G, 'Picarro Output'!$B:$B, 'Uncalibrated Data'!$C6029, 'Picarro Output'!$I:$I, 0, 'Picarro Output'!$J:$J, 1), "")</f>
        <v/>
      </c>
    </row>
    <row r="6030" spans="2:5" x14ac:dyDescent="0.2">
      <c r="B6030" s="1"/>
      <c r="E6030" s="38" t="str">
        <f>IFERROR(AVERAGEIFS('Picarro Output'!G:G, 'Picarro Output'!$B:$B, 'Uncalibrated Data'!$C6030, 'Picarro Output'!$I:$I, 0, 'Picarro Output'!$J:$J, 1), "")</f>
        <v/>
      </c>
    </row>
    <row r="6031" spans="2:5" x14ac:dyDescent="0.2">
      <c r="B6031" s="1"/>
      <c r="E6031" s="38" t="str">
        <f>IFERROR(AVERAGEIFS('Picarro Output'!G:G, 'Picarro Output'!$B:$B, 'Uncalibrated Data'!$C6031, 'Picarro Output'!$I:$I, 0, 'Picarro Output'!$J:$J, 1), "")</f>
        <v/>
      </c>
    </row>
    <row r="6032" spans="2:5" x14ac:dyDescent="0.2">
      <c r="B6032" s="1"/>
      <c r="E6032" s="38" t="str">
        <f>IFERROR(AVERAGEIFS('Picarro Output'!G:G, 'Picarro Output'!$B:$B, 'Uncalibrated Data'!$C6032, 'Picarro Output'!$I:$I, 0, 'Picarro Output'!$J:$J, 1), "")</f>
        <v/>
      </c>
    </row>
    <row r="6033" spans="2:5" x14ac:dyDescent="0.2">
      <c r="B6033" s="1"/>
      <c r="E6033" s="38" t="str">
        <f>IFERROR(AVERAGEIFS('Picarro Output'!G:G, 'Picarro Output'!$B:$B, 'Uncalibrated Data'!$C6033, 'Picarro Output'!$I:$I, 0, 'Picarro Output'!$J:$J, 1), "")</f>
        <v/>
      </c>
    </row>
    <row r="6034" spans="2:5" x14ac:dyDescent="0.2">
      <c r="B6034" s="1"/>
      <c r="E6034" s="38" t="str">
        <f>IFERROR(AVERAGEIFS('Picarro Output'!G:G, 'Picarro Output'!$B:$B, 'Uncalibrated Data'!$C6034, 'Picarro Output'!$I:$I, 0, 'Picarro Output'!$J:$J, 1), "")</f>
        <v/>
      </c>
    </row>
    <row r="6035" spans="2:5" x14ac:dyDescent="0.2">
      <c r="B6035" s="1"/>
      <c r="E6035" s="38" t="str">
        <f>IFERROR(AVERAGEIFS('Picarro Output'!G:G, 'Picarro Output'!$B:$B, 'Uncalibrated Data'!$C6035, 'Picarro Output'!$I:$I, 0, 'Picarro Output'!$J:$J, 1), "")</f>
        <v/>
      </c>
    </row>
    <row r="6036" spans="2:5" x14ac:dyDescent="0.2">
      <c r="B6036" s="1"/>
      <c r="E6036" s="38" t="str">
        <f>IFERROR(AVERAGEIFS('Picarro Output'!G:G, 'Picarro Output'!$B:$B, 'Uncalibrated Data'!$C6036, 'Picarro Output'!$I:$I, 0, 'Picarro Output'!$J:$J, 1), "")</f>
        <v/>
      </c>
    </row>
    <row r="6037" spans="2:5" x14ac:dyDescent="0.2">
      <c r="B6037" s="1"/>
      <c r="E6037" s="38" t="str">
        <f>IFERROR(AVERAGEIFS('Picarro Output'!G:G, 'Picarro Output'!$B:$B, 'Uncalibrated Data'!$C6037, 'Picarro Output'!$I:$I, 0, 'Picarro Output'!$J:$J, 1), "")</f>
        <v/>
      </c>
    </row>
    <row r="6038" spans="2:5" x14ac:dyDescent="0.2">
      <c r="B6038" s="1"/>
      <c r="E6038" s="38" t="str">
        <f>IFERROR(AVERAGEIFS('Picarro Output'!G:G, 'Picarro Output'!$B:$B, 'Uncalibrated Data'!$C6038, 'Picarro Output'!$I:$I, 0, 'Picarro Output'!$J:$J, 1), "")</f>
        <v/>
      </c>
    </row>
    <row r="6039" spans="2:5" x14ac:dyDescent="0.2">
      <c r="B6039" s="1"/>
      <c r="E6039" s="38" t="str">
        <f>IFERROR(AVERAGEIFS('Picarro Output'!G:G, 'Picarro Output'!$B:$B, 'Uncalibrated Data'!$C6039, 'Picarro Output'!$I:$I, 0, 'Picarro Output'!$J:$J, 1), "")</f>
        <v/>
      </c>
    </row>
    <row r="6040" spans="2:5" x14ac:dyDescent="0.2">
      <c r="B6040" s="1"/>
      <c r="E6040" s="38" t="str">
        <f>IFERROR(AVERAGEIFS('Picarro Output'!G:G, 'Picarro Output'!$B:$B, 'Uncalibrated Data'!$C6040, 'Picarro Output'!$I:$I, 0, 'Picarro Output'!$J:$J, 1), "")</f>
        <v/>
      </c>
    </row>
    <row r="6041" spans="2:5" x14ac:dyDescent="0.2">
      <c r="B6041" s="1"/>
      <c r="E6041" s="38" t="str">
        <f>IFERROR(AVERAGEIFS('Picarro Output'!G:G, 'Picarro Output'!$B:$B, 'Uncalibrated Data'!$C6041, 'Picarro Output'!$I:$I, 0, 'Picarro Output'!$J:$J, 1), "")</f>
        <v/>
      </c>
    </row>
    <row r="6042" spans="2:5" x14ac:dyDescent="0.2">
      <c r="B6042" s="1"/>
      <c r="E6042" s="38" t="str">
        <f>IFERROR(AVERAGEIFS('Picarro Output'!G:G, 'Picarro Output'!$B:$B, 'Uncalibrated Data'!$C6042, 'Picarro Output'!$I:$I, 0, 'Picarro Output'!$J:$J, 1), "")</f>
        <v/>
      </c>
    </row>
    <row r="6043" spans="2:5" x14ac:dyDescent="0.2">
      <c r="B6043" s="1"/>
      <c r="E6043" s="38" t="str">
        <f>IFERROR(AVERAGEIFS('Picarro Output'!G:G, 'Picarro Output'!$B:$B, 'Uncalibrated Data'!$C6043, 'Picarro Output'!$I:$I, 0, 'Picarro Output'!$J:$J, 1), "")</f>
        <v/>
      </c>
    </row>
    <row r="6044" spans="2:5" x14ac:dyDescent="0.2">
      <c r="B6044" s="1"/>
      <c r="E6044" s="38" t="str">
        <f>IFERROR(AVERAGEIFS('Picarro Output'!G:G, 'Picarro Output'!$B:$B, 'Uncalibrated Data'!$C6044, 'Picarro Output'!$I:$I, 0, 'Picarro Output'!$J:$J, 1), "")</f>
        <v/>
      </c>
    </row>
    <row r="6045" spans="2:5" x14ac:dyDescent="0.2">
      <c r="B6045" s="1"/>
      <c r="E6045" s="38" t="str">
        <f>IFERROR(AVERAGEIFS('Picarro Output'!G:G, 'Picarro Output'!$B:$B, 'Uncalibrated Data'!$C6045, 'Picarro Output'!$I:$I, 0, 'Picarro Output'!$J:$J, 1), "")</f>
        <v/>
      </c>
    </row>
    <row r="6046" spans="2:5" x14ac:dyDescent="0.2">
      <c r="B6046" s="1"/>
      <c r="E6046" s="38" t="str">
        <f>IFERROR(AVERAGEIFS('Picarro Output'!G:G, 'Picarro Output'!$B:$B, 'Uncalibrated Data'!$C6046, 'Picarro Output'!$I:$I, 0, 'Picarro Output'!$J:$J, 1), "")</f>
        <v/>
      </c>
    </row>
    <row r="6047" spans="2:5" x14ac:dyDescent="0.2">
      <c r="B6047" s="1"/>
      <c r="E6047" s="38" t="str">
        <f>IFERROR(AVERAGEIFS('Picarro Output'!G:G, 'Picarro Output'!$B:$B, 'Uncalibrated Data'!$C6047, 'Picarro Output'!$I:$I, 0, 'Picarro Output'!$J:$J, 1), "")</f>
        <v/>
      </c>
    </row>
    <row r="6048" spans="2:5" x14ac:dyDescent="0.2">
      <c r="B6048" s="1"/>
      <c r="E6048" s="38" t="str">
        <f>IFERROR(AVERAGEIFS('Picarro Output'!G:G, 'Picarro Output'!$B:$B, 'Uncalibrated Data'!$C6048, 'Picarro Output'!$I:$I, 0, 'Picarro Output'!$J:$J, 1), "")</f>
        <v/>
      </c>
    </row>
    <row r="6049" spans="2:5" x14ac:dyDescent="0.2">
      <c r="B6049" s="1"/>
      <c r="E6049" s="38" t="str">
        <f>IFERROR(AVERAGEIFS('Picarro Output'!G:G, 'Picarro Output'!$B:$B, 'Uncalibrated Data'!$C6049, 'Picarro Output'!$I:$I, 0, 'Picarro Output'!$J:$J, 1), "")</f>
        <v/>
      </c>
    </row>
    <row r="6050" spans="2:5" x14ac:dyDescent="0.2">
      <c r="B6050" s="1"/>
      <c r="E6050" s="38" t="str">
        <f>IFERROR(AVERAGEIFS('Picarro Output'!G:G, 'Picarro Output'!$B:$B, 'Uncalibrated Data'!$C6050, 'Picarro Output'!$I:$I, 0, 'Picarro Output'!$J:$J, 1), "")</f>
        <v/>
      </c>
    </row>
    <row r="6051" spans="2:5" x14ac:dyDescent="0.2">
      <c r="B6051" s="1"/>
      <c r="E6051" s="38" t="str">
        <f>IFERROR(AVERAGEIFS('Picarro Output'!G:G, 'Picarro Output'!$B:$B, 'Uncalibrated Data'!$C6051, 'Picarro Output'!$I:$I, 0, 'Picarro Output'!$J:$J, 1), "")</f>
        <v/>
      </c>
    </row>
    <row r="6052" spans="2:5" x14ac:dyDescent="0.2">
      <c r="B6052" s="1"/>
      <c r="E6052" s="38" t="str">
        <f>IFERROR(AVERAGEIFS('Picarro Output'!G:G, 'Picarro Output'!$B:$B, 'Uncalibrated Data'!$C6052, 'Picarro Output'!$I:$I, 0, 'Picarro Output'!$J:$J, 1), "")</f>
        <v/>
      </c>
    </row>
    <row r="6053" spans="2:5" x14ac:dyDescent="0.2">
      <c r="B6053" s="1"/>
      <c r="E6053" s="38" t="str">
        <f>IFERROR(AVERAGEIFS('Picarro Output'!G:G, 'Picarro Output'!$B:$B, 'Uncalibrated Data'!$C6053, 'Picarro Output'!$I:$I, 0, 'Picarro Output'!$J:$J, 1), "")</f>
        <v/>
      </c>
    </row>
    <row r="6054" spans="2:5" x14ac:dyDescent="0.2">
      <c r="B6054" s="1"/>
      <c r="E6054" s="38" t="str">
        <f>IFERROR(AVERAGEIFS('Picarro Output'!G:G, 'Picarro Output'!$B:$B, 'Uncalibrated Data'!$C6054, 'Picarro Output'!$I:$I, 0, 'Picarro Output'!$J:$J, 1), "")</f>
        <v/>
      </c>
    </row>
    <row r="6055" spans="2:5" x14ac:dyDescent="0.2">
      <c r="B6055" s="1"/>
      <c r="E6055" s="38" t="str">
        <f>IFERROR(AVERAGEIFS('Picarro Output'!G:G, 'Picarro Output'!$B:$B, 'Uncalibrated Data'!$C6055, 'Picarro Output'!$I:$I, 0, 'Picarro Output'!$J:$J, 1), "")</f>
        <v/>
      </c>
    </row>
    <row r="6056" spans="2:5" x14ac:dyDescent="0.2">
      <c r="B6056" s="1"/>
      <c r="E6056" s="38" t="str">
        <f>IFERROR(AVERAGEIFS('Picarro Output'!G:G, 'Picarro Output'!$B:$B, 'Uncalibrated Data'!$C6056, 'Picarro Output'!$I:$I, 0, 'Picarro Output'!$J:$J, 1), "")</f>
        <v/>
      </c>
    </row>
    <row r="6057" spans="2:5" x14ac:dyDescent="0.2">
      <c r="B6057" s="1"/>
      <c r="E6057" s="38" t="str">
        <f>IFERROR(AVERAGEIFS('Picarro Output'!G:G, 'Picarro Output'!$B:$B, 'Uncalibrated Data'!$C6057, 'Picarro Output'!$I:$I, 0, 'Picarro Output'!$J:$J, 1), "")</f>
        <v/>
      </c>
    </row>
    <row r="6058" spans="2:5" x14ac:dyDescent="0.2">
      <c r="B6058" s="1"/>
      <c r="E6058" s="38" t="str">
        <f>IFERROR(AVERAGEIFS('Picarro Output'!G:G, 'Picarro Output'!$B:$B, 'Uncalibrated Data'!$C6058, 'Picarro Output'!$I:$I, 0, 'Picarro Output'!$J:$J, 1), "")</f>
        <v/>
      </c>
    </row>
    <row r="6059" spans="2:5" x14ac:dyDescent="0.2">
      <c r="B6059" s="1"/>
      <c r="E6059" s="38" t="str">
        <f>IFERROR(AVERAGEIFS('Picarro Output'!G:G, 'Picarro Output'!$B:$B, 'Uncalibrated Data'!$C6059, 'Picarro Output'!$I:$I, 0, 'Picarro Output'!$J:$J, 1), "")</f>
        <v/>
      </c>
    </row>
    <row r="6060" spans="2:5" x14ac:dyDescent="0.2">
      <c r="B6060" s="1"/>
      <c r="E6060" s="38" t="str">
        <f>IFERROR(AVERAGEIFS('Picarro Output'!G:G, 'Picarro Output'!$B:$B, 'Uncalibrated Data'!$C6060, 'Picarro Output'!$I:$I, 0, 'Picarro Output'!$J:$J, 1), "")</f>
        <v/>
      </c>
    </row>
    <row r="6061" spans="2:5" x14ac:dyDescent="0.2">
      <c r="B6061" s="1"/>
      <c r="E6061" s="38" t="str">
        <f>IFERROR(AVERAGEIFS('Picarro Output'!G:G, 'Picarro Output'!$B:$B, 'Uncalibrated Data'!$C6061, 'Picarro Output'!$I:$I, 0, 'Picarro Output'!$J:$J, 1), "")</f>
        <v/>
      </c>
    </row>
    <row r="6062" spans="2:5" x14ac:dyDescent="0.2">
      <c r="B6062" s="1"/>
      <c r="E6062" s="38" t="str">
        <f>IFERROR(AVERAGEIFS('Picarro Output'!G:G, 'Picarro Output'!$B:$B, 'Uncalibrated Data'!$C6062, 'Picarro Output'!$I:$I, 0, 'Picarro Output'!$J:$J, 1), "")</f>
        <v/>
      </c>
    </row>
    <row r="6063" spans="2:5" x14ac:dyDescent="0.2">
      <c r="B6063" s="1"/>
      <c r="E6063" s="38" t="str">
        <f>IFERROR(AVERAGEIFS('Picarro Output'!G:G, 'Picarro Output'!$B:$B, 'Uncalibrated Data'!$C6063, 'Picarro Output'!$I:$I, 0, 'Picarro Output'!$J:$J, 1), "")</f>
        <v/>
      </c>
    </row>
    <row r="6064" spans="2:5" x14ac:dyDescent="0.2">
      <c r="B6064" s="1"/>
      <c r="E6064" s="38" t="str">
        <f>IFERROR(AVERAGEIFS('Picarro Output'!G:G, 'Picarro Output'!$B:$B, 'Uncalibrated Data'!$C6064, 'Picarro Output'!$I:$I, 0, 'Picarro Output'!$J:$J, 1), "")</f>
        <v/>
      </c>
    </row>
    <row r="6065" spans="2:5" x14ac:dyDescent="0.2">
      <c r="B6065" s="1"/>
      <c r="E6065" s="38" t="str">
        <f>IFERROR(AVERAGEIFS('Picarro Output'!G:G, 'Picarro Output'!$B:$B, 'Uncalibrated Data'!$C6065, 'Picarro Output'!$I:$I, 0, 'Picarro Output'!$J:$J, 1), "")</f>
        <v/>
      </c>
    </row>
    <row r="6066" spans="2:5" x14ac:dyDescent="0.2">
      <c r="B6066" s="1"/>
      <c r="E6066" s="38" t="str">
        <f>IFERROR(AVERAGEIFS('Picarro Output'!G:G, 'Picarro Output'!$B:$B, 'Uncalibrated Data'!$C6066, 'Picarro Output'!$I:$I, 0, 'Picarro Output'!$J:$J, 1), "")</f>
        <v/>
      </c>
    </row>
    <row r="6067" spans="2:5" x14ac:dyDescent="0.2">
      <c r="B6067" s="1"/>
      <c r="E6067" s="38" t="str">
        <f>IFERROR(AVERAGEIFS('Picarro Output'!G:G, 'Picarro Output'!$B:$B, 'Uncalibrated Data'!$C6067, 'Picarro Output'!$I:$I, 0, 'Picarro Output'!$J:$J, 1), "")</f>
        <v/>
      </c>
    </row>
    <row r="6068" spans="2:5" x14ac:dyDescent="0.2">
      <c r="B6068" s="1"/>
      <c r="E6068" s="38" t="str">
        <f>IFERROR(AVERAGEIFS('Picarro Output'!G:G, 'Picarro Output'!$B:$B, 'Uncalibrated Data'!$C6068, 'Picarro Output'!$I:$I, 0, 'Picarro Output'!$J:$J, 1), "")</f>
        <v/>
      </c>
    </row>
    <row r="6069" spans="2:5" x14ac:dyDescent="0.2">
      <c r="B6069" s="1"/>
      <c r="E6069" s="38" t="str">
        <f>IFERROR(AVERAGEIFS('Picarro Output'!G:G, 'Picarro Output'!$B:$B, 'Uncalibrated Data'!$C6069, 'Picarro Output'!$I:$I, 0, 'Picarro Output'!$J:$J, 1), "")</f>
        <v/>
      </c>
    </row>
    <row r="6070" spans="2:5" x14ac:dyDescent="0.2">
      <c r="B6070" s="1"/>
      <c r="E6070" s="38" t="str">
        <f>IFERROR(AVERAGEIFS('Picarro Output'!G:G, 'Picarro Output'!$B:$B, 'Uncalibrated Data'!$C6070, 'Picarro Output'!$I:$I, 0, 'Picarro Output'!$J:$J, 1), "")</f>
        <v/>
      </c>
    </row>
    <row r="6071" spans="2:5" x14ac:dyDescent="0.2">
      <c r="B6071" s="1"/>
      <c r="E6071" s="38" t="str">
        <f>IFERROR(AVERAGEIFS('Picarro Output'!G:G, 'Picarro Output'!$B:$B, 'Uncalibrated Data'!$C6071, 'Picarro Output'!$I:$I, 0, 'Picarro Output'!$J:$J, 1), "")</f>
        <v/>
      </c>
    </row>
    <row r="6072" spans="2:5" x14ac:dyDescent="0.2">
      <c r="B6072" s="1"/>
      <c r="E6072" s="38" t="str">
        <f>IFERROR(AVERAGEIFS('Picarro Output'!G:G, 'Picarro Output'!$B:$B, 'Uncalibrated Data'!$C6072, 'Picarro Output'!$I:$I, 0, 'Picarro Output'!$J:$J, 1), "")</f>
        <v/>
      </c>
    </row>
    <row r="6073" spans="2:5" x14ac:dyDescent="0.2">
      <c r="B6073" s="1"/>
      <c r="E6073" s="38" t="str">
        <f>IFERROR(AVERAGEIFS('Picarro Output'!G:G, 'Picarro Output'!$B:$B, 'Uncalibrated Data'!$C6073, 'Picarro Output'!$I:$I, 0, 'Picarro Output'!$J:$J, 1), "")</f>
        <v/>
      </c>
    </row>
    <row r="6074" spans="2:5" x14ac:dyDescent="0.2">
      <c r="B6074" s="1"/>
      <c r="E6074" s="38" t="str">
        <f>IFERROR(AVERAGEIFS('Picarro Output'!G:G, 'Picarro Output'!$B:$B, 'Uncalibrated Data'!$C6074, 'Picarro Output'!$I:$I, 0, 'Picarro Output'!$J:$J, 1), "")</f>
        <v/>
      </c>
    </row>
    <row r="6075" spans="2:5" x14ac:dyDescent="0.2">
      <c r="B6075" s="1"/>
      <c r="E6075" s="38" t="str">
        <f>IFERROR(AVERAGEIFS('Picarro Output'!G:G, 'Picarro Output'!$B:$B, 'Uncalibrated Data'!$C6075, 'Picarro Output'!$I:$I, 0, 'Picarro Output'!$J:$J, 1), "")</f>
        <v/>
      </c>
    </row>
    <row r="6076" spans="2:5" x14ac:dyDescent="0.2">
      <c r="B6076" s="1"/>
      <c r="E6076" s="38" t="str">
        <f>IFERROR(AVERAGEIFS('Picarro Output'!G:G, 'Picarro Output'!$B:$B, 'Uncalibrated Data'!$C6076, 'Picarro Output'!$I:$I, 0, 'Picarro Output'!$J:$J, 1), "")</f>
        <v/>
      </c>
    </row>
    <row r="6077" spans="2:5" x14ac:dyDescent="0.2">
      <c r="B6077" s="1"/>
      <c r="E6077" s="38" t="str">
        <f>IFERROR(AVERAGEIFS('Picarro Output'!G:G, 'Picarro Output'!$B:$B, 'Uncalibrated Data'!$C6077, 'Picarro Output'!$I:$I, 0, 'Picarro Output'!$J:$J, 1), "")</f>
        <v/>
      </c>
    </row>
    <row r="6078" spans="2:5" x14ac:dyDescent="0.2">
      <c r="B6078" s="1"/>
      <c r="E6078" s="38" t="str">
        <f>IFERROR(AVERAGEIFS('Picarro Output'!G:G, 'Picarro Output'!$B:$B, 'Uncalibrated Data'!$C6078, 'Picarro Output'!$I:$I, 0, 'Picarro Output'!$J:$J, 1), "")</f>
        <v/>
      </c>
    </row>
    <row r="6079" spans="2:5" x14ac:dyDescent="0.2">
      <c r="B6079" s="1"/>
      <c r="E6079" s="38" t="str">
        <f>IFERROR(AVERAGEIFS('Picarro Output'!G:G, 'Picarro Output'!$B:$B, 'Uncalibrated Data'!$C6079, 'Picarro Output'!$I:$I, 0, 'Picarro Output'!$J:$J, 1), "")</f>
        <v/>
      </c>
    </row>
    <row r="6080" spans="2:5" x14ac:dyDescent="0.2">
      <c r="B6080" s="1"/>
      <c r="E6080" s="38" t="str">
        <f>IFERROR(AVERAGEIFS('Picarro Output'!G:G, 'Picarro Output'!$B:$B, 'Uncalibrated Data'!$C6080, 'Picarro Output'!$I:$I, 0, 'Picarro Output'!$J:$J, 1), "")</f>
        <v/>
      </c>
    </row>
    <row r="6081" spans="2:5" x14ac:dyDescent="0.2">
      <c r="B6081" s="1"/>
      <c r="E6081" s="38" t="str">
        <f>IFERROR(AVERAGEIFS('Picarro Output'!G:G, 'Picarro Output'!$B:$B, 'Uncalibrated Data'!$C6081, 'Picarro Output'!$I:$I, 0, 'Picarro Output'!$J:$J, 1), "")</f>
        <v/>
      </c>
    </row>
    <row r="6082" spans="2:5" x14ac:dyDescent="0.2">
      <c r="B6082" s="1"/>
      <c r="E6082" s="38" t="str">
        <f>IFERROR(AVERAGEIFS('Picarro Output'!G:G, 'Picarro Output'!$B:$B, 'Uncalibrated Data'!$C6082, 'Picarro Output'!$I:$I, 0, 'Picarro Output'!$J:$J, 1), "")</f>
        <v/>
      </c>
    </row>
    <row r="6083" spans="2:5" x14ac:dyDescent="0.2">
      <c r="B6083" s="1"/>
      <c r="E6083" s="38" t="str">
        <f>IFERROR(AVERAGEIFS('Picarro Output'!G:G, 'Picarro Output'!$B:$B, 'Uncalibrated Data'!$C6083, 'Picarro Output'!$I:$I, 0, 'Picarro Output'!$J:$J, 1), "")</f>
        <v/>
      </c>
    </row>
    <row r="6084" spans="2:5" x14ac:dyDescent="0.2">
      <c r="B6084" s="1"/>
      <c r="E6084" s="38" t="str">
        <f>IFERROR(AVERAGEIFS('Picarro Output'!G:G, 'Picarro Output'!$B:$B, 'Uncalibrated Data'!$C6084, 'Picarro Output'!$I:$I, 0, 'Picarro Output'!$J:$J, 1), "")</f>
        <v/>
      </c>
    </row>
    <row r="6085" spans="2:5" x14ac:dyDescent="0.2">
      <c r="B6085" s="1"/>
      <c r="E6085" s="38" t="str">
        <f>IFERROR(AVERAGEIFS('Picarro Output'!G:G, 'Picarro Output'!$B:$B, 'Uncalibrated Data'!$C6085, 'Picarro Output'!$I:$I, 0, 'Picarro Output'!$J:$J, 1), "")</f>
        <v/>
      </c>
    </row>
    <row r="6086" spans="2:5" x14ac:dyDescent="0.2">
      <c r="B6086" s="1"/>
      <c r="E6086" s="38" t="str">
        <f>IFERROR(AVERAGEIFS('Picarro Output'!G:G, 'Picarro Output'!$B:$B, 'Uncalibrated Data'!$C6086, 'Picarro Output'!$I:$I, 0, 'Picarro Output'!$J:$J, 1), "")</f>
        <v/>
      </c>
    </row>
    <row r="6087" spans="2:5" x14ac:dyDescent="0.2">
      <c r="B6087" s="1"/>
      <c r="E6087" s="38" t="str">
        <f>IFERROR(AVERAGEIFS('Picarro Output'!G:G, 'Picarro Output'!$B:$B, 'Uncalibrated Data'!$C6087, 'Picarro Output'!$I:$I, 0, 'Picarro Output'!$J:$J, 1), "")</f>
        <v/>
      </c>
    </row>
    <row r="6088" spans="2:5" x14ac:dyDescent="0.2">
      <c r="B6088" s="1"/>
      <c r="E6088" s="38" t="str">
        <f>IFERROR(AVERAGEIFS('Picarro Output'!G:G, 'Picarro Output'!$B:$B, 'Uncalibrated Data'!$C6088, 'Picarro Output'!$I:$I, 0, 'Picarro Output'!$J:$J, 1), "")</f>
        <v/>
      </c>
    </row>
    <row r="6089" spans="2:5" x14ac:dyDescent="0.2">
      <c r="B6089" s="1"/>
      <c r="E6089" s="38" t="str">
        <f>IFERROR(AVERAGEIFS('Picarro Output'!G:G, 'Picarro Output'!$B:$B, 'Uncalibrated Data'!$C6089, 'Picarro Output'!$I:$I, 0, 'Picarro Output'!$J:$J, 1), "")</f>
        <v/>
      </c>
    </row>
    <row r="6090" spans="2:5" x14ac:dyDescent="0.2">
      <c r="B6090" s="1"/>
      <c r="E6090" s="38" t="str">
        <f>IFERROR(AVERAGEIFS('Picarro Output'!G:G, 'Picarro Output'!$B:$B, 'Uncalibrated Data'!$C6090, 'Picarro Output'!$I:$I, 0, 'Picarro Output'!$J:$J, 1), "")</f>
        <v/>
      </c>
    </row>
    <row r="6091" spans="2:5" x14ac:dyDescent="0.2">
      <c r="B6091" s="1"/>
      <c r="E6091" s="38" t="str">
        <f>IFERROR(AVERAGEIFS('Picarro Output'!G:G, 'Picarro Output'!$B:$B, 'Uncalibrated Data'!$C6091, 'Picarro Output'!$I:$I, 0, 'Picarro Output'!$J:$J, 1), "")</f>
        <v/>
      </c>
    </row>
    <row r="6092" spans="2:5" x14ac:dyDescent="0.2">
      <c r="B6092" s="1"/>
      <c r="E6092" s="38" t="str">
        <f>IFERROR(AVERAGEIFS('Picarro Output'!G:G, 'Picarro Output'!$B:$B, 'Uncalibrated Data'!$C6092, 'Picarro Output'!$I:$I, 0, 'Picarro Output'!$J:$J, 1), "")</f>
        <v/>
      </c>
    </row>
    <row r="6093" spans="2:5" x14ac:dyDescent="0.2">
      <c r="B6093" s="1"/>
      <c r="E6093" s="38" t="str">
        <f>IFERROR(AVERAGEIFS('Picarro Output'!G:G, 'Picarro Output'!$B:$B, 'Uncalibrated Data'!$C6093, 'Picarro Output'!$I:$I, 0, 'Picarro Output'!$J:$J, 1), "")</f>
        <v/>
      </c>
    </row>
    <row r="6094" spans="2:5" x14ac:dyDescent="0.2">
      <c r="B6094" s="1"/>
      <c r="E6094" s="38" t="str">
        <f>IFERROR(AVERAGEIFS('Picarro Output'!G:G, 'Picarro Output'!$B:$B, 'Uncalibrated Data'!$C6094, 'Picarro Output'!$I:$I, 0, 'Picarro Output'!$J:$J, 1), "")</f>
        <v/>
      </c>
    </row>
    <row r="6095" spans="2:5" x14ac:dyDescent="0.2">
      <c r="B6095" s="1"/>
      <c r="E6095" s="38" t="str">
        <f>IFERROR(AVERAGEIFS('Picarro Output'!G:G, 'Picarro Output'!$B:$B, 'Uncalibrated Data'!$C6095, 'Picarro Output'!$I:$I, 0, 'Picarro Output'!$J:$J, 1), "")</f>
        <v/>
      </c>
    </row>
    <row r="6096" spans="2:5" x14ac:dyDescent="0.2">
      <c r="B6096" s="1"/>
      <c r="E6096" s="38" t="str">
        <f>IFERROR(AVERAGEIFS('Picarro Output'!G:G, 'Picarro Output'!$B:$B, 'Uncalibrated Data'!$C6096, 'Picarro Output'!$I:$I, 0, 'Picarro Output'!$J:$J, 1), "")</f>
        <v/>
      </c>
    </row>
    <row r="6097" spans="2:5" x14ac:dyDescent="0.2">
      <c r="B6097" s="1"/>
      <c r="E6097" s="38" t="str">
        <f>IFERROR(AVERAGEIFS('Picarro Output'!G:G, 'Picarro Output'!$B:$B, 'Uncalibrated Data'!$C6097, 'Picarro Output'!$I:$I, 0, 'Picarro Output'!$J:$J, 1), "")</f>
        <v/>
      </c>
    </row>
    <row r="6098" spans="2:5" x14ac:dyDescent="0.2">
      <c r="B6098" s="1"/>
      <c r="E6098" s="38" t="str">
        <f>IFERROR(AVERAGEIFS('Picarro Output'!G:G, 'Picarro Output'!$B:$B, 'Uncalibrated Data'!$C6098, 'Picarro Output'!$I:$I, 0, 'Picarro Output'!$J:$J, 1), "")</f>
        <v/>
      </c>
    </row>
    <row r="6099" spans="2:5" x14ac:dyDescent="0.2">
      <c r="B6099" s="1"/>
      <c r="E6099" s="38" t="str">
        <f>IFERROR(AVERAGEIFS('Picarro Output'!G:G, 'Picarro Output'!$B:$B, 'Uncalibrated Data'!$C6099, 'Picarro Output'!$I:$I, 0, 'Picarro Output'!$J:$J, 1), "")</f>
        <v/>
      </c>
    </row>
    <row r="6100" spans="2:5" x14ac:dyDescent="0.2">
      <c r="B6100" s="1"/>
      <c r="E6100" s="38" t="str">
        <f>IFERROR(AVERAGEIFS('Picarro Output'!G:G, 'Picarro Output'!$B:$B, 'Uncalibrated Data'!$C6100, 'Picarro Output'!$I:$I, 0, 'Picarro Output'!$J:$J, 1), "")</f>
        <v/>
      </c>
    </row>
    <row r="6101" spans="2:5" x14ac:dyDescent="0.2">
      <c r="B6101" s="1"/>
      <c r="E6101" s="38" t="str">
        <f>IFERROR(AVERAGEIFS('Picarro Output'!G:G, 'Picarro Output'!$B:$B, 'Uncalibrated Data'!$C6101, 'Picarro Output'!$I:$I, 0, 'Picarro Output'!$J:$J, 1), "")</f>
        <v/>
      </c>
    </row>
    <row r="6102" spans="2:5" x14ac:dyDescent="0.2">
      <c r="B6102" s="1"/>
      <c r="E6102" s="38" t="str">
        <f>IFERROR(AVERAGEIFS('Picarro Output'!G:G, 'Picarro Output'!$B:$B, 'Uncalibrated Data'!$C6102, 'Picarro Output'!$I:$I, 0, 'Picarro Output'!$J:$J, 1), "")</f>
        <v/>
      </c>
    </row>
    <row r="6103" spans="2:5" x14ac:dyDescent="0.2">
      <c r="B6103" s="1"/>
      <c r="E6103" s="38" t="str">
        <f>IFERROR(AVERAGEIFS('Picarro Output'!G:G, 'Picarro Output'!$B:$B, 'Uncalibrated Data'!$C6103, 'Picarro Output'!$I:$I, 0, 'Picarro Output'!$J:$J, 1), "")</f>
        <v/>
      </c>
    </row>
    <row r="6104" spans="2:5" x14ac:dyDescent="0.2">
      <c r="B6104" s="1"/>
      <c r="E6104" s="38" t="str">
        <f>IFERROR(AVERAGEIFS('Picarro Output'!G:G, 'Picarro Output'!$B:$B, 'Uncalibrated Data'!$C6104, 'Picarro Output'!$I:$I, 0, 'Picarro Output'!$J:$J, 1), "")</f>
        <v/>
      </c>
    </row>
    <row r="6105" spans="2:5" x14ac:dyDescent="0.2">
      <c r="B6105" s="1"/>
      <c r="E6105" s="38" t="str">
        <f>IFERROR(AVERAGEIFS('Picarro Output'!G:G, 'Picarro Output'!$B:$B, 'Uncalibrated Data'!$C6105, 'Picarro Output'!$I:$I, 0, 'Picarro Output'!$J:$J, 1), "")</f>
        <v/>
      </c>
    </row>
    <row r="6106" spans="2:5" x14ac:dyDescent="0.2">
      <c r="B6106" s="1"/>
      <c r="E6106" s="38" t="str">
        <f>IFERROR(AVERAGEIFS('Picarro Output'!G:G, 'Picarro Output'!$B:$B, 'Uncalibrated Data'!$C6106, 'Picarro Output'!$I:$I, 0, 'Picarro Output'!$J:$J, 1), "")</f>
        <v/>
      </c>
    </row>
    <row r="6107" spans="2:5" x14ac:dyDescent="0.2">
      <c r="B6107" s="1"/>
      <c r="E6107" s="38" t="str">
        <f>IFERROR(AVERAGEIFS('Picarro Output'!G:G, 'Picarro Output'!$B:$B, 'Uncalibrated Data'!$C6107, 'Picarro Output'!$I:$I, 0, 'Picarro Output'!$J:$J, 1), "")</f>
        <v/>
      </c>
    </row>
    <row r="6108" spans="2:5" x14ac:dyDescent="0.2">
      <c r="B6108" s="1"/>
      <c r="E6108" s="38" t="str">
        <f>IFERROR(AVERAGEIFS('Picarro Output'!G:G, 'Picarro Output'!$B:$B, 'Uncalibrated Data'!$C6108, 'Picarro Output'!$I:$I, 0, 'Picarro Output'!$J:$J, 1), "")</f>
        <v/>
      </c>
    </row>
    <row r="6109" spans="2:5" x14ac:dyDescent="0.2">
      <c r="B6109" s="1"/>
      <c r="E6109" s="38" t="str">
        <f>IFERROR(AVERAGEIFS('Picarro Output'!G:G, 'Picarro Output'!$B:$B, 'Uncalibrated Data'!$C6109, 'Picarro Output'!$I:$I, 0, 'Picarro Output'!$J:$J, 1), "")</f>
        <v/>
      </c>
    </row>
    <row r="6110" spans="2:5" x14ac:dyDescent="0.2">
      <c r="B6110" s="1"/>
      <c r="E6110" s="38" t="str">
        <f>IFERROR(AVERAGEIFS('Picarro Output'!G:G, 'Picarro Output'!$B:$B, 'Uncalibrated Data'!$C6110, 'Picarro Output'!$I:$I, 0, 'Picarro Output'!$J:$J, 1), "")</f>
        <v/>
      </c>
    </row>
    <row r="6111" spans="2:5" x14ac:dyDescent="0.2">
      <c r="B6111" s="1"/>
      <c r="E6111" s="38" t="str">
        <f>IFERROR(AVERAGEIFS('Picarro Output'!G:G, 'Picarro Output'!$B:$B, 'Uncalibrated Data'!$C6111, 'Picarro Output'!$I:$I, 0, 'Picarro Output'!$J:$J, 1), "")</f>
        <v/>
      </c>
    </row>
    <row r="6112" spans="2:5" x14ac:dyDescent="0.2">
      <c r="B6112" s="1"/>
      <c r="E6112" s="38" t="str">
        <f>IFERROR(AVERAGEIFS('Picarro Output'!G:G, 'Picarro Output'!$B:$B, 'Uncalibrated Data'!$C6112, 'Picarro Output'!$I:$I, 0, 'Picarro Output'!$J:$J, 1), "")</f>
        <v/>
      </c>
    </row>
    <row r="6113" spans="2:5" x14ac:dyDescent="0.2">
      <c r="B6113" s="1"/>
      <c r="E6113" s="38" t="str">
        <f>IFERROR(AVERAGEIFS('Picarro Output'!G:G, 'Picarro Output'!$B:$B, 'Uncalibrated Data'!$C6113, 'Picarro Output'!$I:$I, 0, 'Picarro Output'!$J:$J, 1), "")</f>
        <v/>
      </c>
    </row>
    <row r="6114" spans="2:5" x14ac:dyDescent="0.2">
      <c r="B6114" s="1"/>
      <c r="E6114" s="38" t="str">
        <f>IFERROR(AVERAGEIFS('Picarro Output'!G:G, 'Picarro Output'!$B:$B, 'Uncalibrated Data'!$C6114, 'Picarro Output'!$I:$I, 0, 'Picarro Output'!$J:$J, 1), "")</f>
        <v/>
      </c>
    </row>
    <row r="6115" spans="2:5" x14ac:dyDescent="0.2">
      <c r="B6115" s="1"/>
      <c r="E6115" s="38" t="str">
        <f>IFERROR(AVERAGEIFS('Picarro Output'!G:G, 'Picarro Output'!$B:$B, 'Uncalibrated Data'!$C6115, 'Picarro Output'!$I:$I, 0, 'Picarro Output'!$J:$J, 1), "")</f>
        <v/>
      </c>
    </row>
    <row r="6116" spans="2:5" x14ac:dyDescent="0.2">
      <c r="B6116" s="1"/>
      <c r="E6116" s="38" t="str">
        <f>IFERROR(AVERAGEIFS('Picarro Output'!G:G, 'Picarro Output'!$B:$B, 'Uncalibrated Data'!$C6116, 'Picarro Output'!$I:$I, 0, 'Picarro Output'!$J:$J, 1), "")</f>
        <v/>
      </c>
    </row>
    <row r="6117" spans="2:5" x14ac:dyDescent="0.2">
      <c r="B6117" s="1"/>
      <c r="E6117" s="38" t="str">
        <f>IFERROR(AVERAGEIFS('Picarro Output'!G:G, 'Picarro Output'!$B:$B, 'Uncalibrated Data'!$C6117, 'Picarro Output'!$I:$I, 0, 'Picarro Output'!$J:$J, 1), "")</f>
        <v/>
      </c>
    </row>
    <row r="6118" spans="2:5" x14ac:dyDescent="0.2">
      <c r="B6118" s="1"/>
      <c r="E6118" s="38" t="str">
        <f>IFERROR(AVERAGEIFS('Picarro Output'!G:G, 'Picarro Output'!$B:$B, 'Uncalibrated Data'!$C6118, 'Picarro Output'!$I:$I, 0, 'Picarro Output'!$J:$J, 1), "")</f>
        <v/>
      </c>
    </row>
    <row r="6119" spans="2:5" x14ac:dyDescent="0.2">
      <c r="B6119" s="1"/>
      <c r="E6119" s="38" t="str">
        <f>IFERROR(AVERAGEIFS('Picarro Output'!G:G, 'Picarro Output'!$B:$B, 'Uncalibrated Data'!$C6119, 'Picarro Output'!$I:$I, 0, 'Picarro Output'!$J:$J, 1), "")</f>
        <v/>
      </c>
    </row>
    <row r="6120" spans="2:5" x14ac:dyDescent="0.2">
      <c r="B6120" s="1"/>
      <c r="E6120" s="38" t="str">
        <f>IFERROR(AVERAGEIFS('Picarro Output'!G:G, 'Picarro Output'!$B:$B, 'Uncalibrated Data'!$C6120, 'Picarro Output'!$I:$I, 0, 'Picarro Output'!$J:$J, 1), "")</f>
        <v/>
      </c>
    </row>
    <row r="6121" spans="2:5" x14ac:dyDescent="0.2">
      <c r="B6121" s="1"/>
      <c r="E6121" s="38" t="str">
        <f>IFERROR(AVERAGEIFS('Picarro Output'!G:G, 'Picarro Output'!$B:$B, 'Uncalibrated Data'!$C6121, 'Picarro Output'!$I:$I, 0, 'Picarro Output'!$J:$J, 1), "")</f>
        <v/>
      </c>
    </row>
    <row r="6122" spans="2:5" x14ac:dyDescent="0.2">
      <c r="B6122" s="1"/>
      <c r="E6122" s="38" t="str">
        <f>IFERROR(AVERAGEIFS('Picarro Output'!G:G, 'Picarro Output'!$B:$B, 'Uncalibrated Data'!$C6122, 'Picarro Output'!$I:$I, 0, 'Picarro Output'!$J:$J, 1), "")</f>
        <v/>
      </c>
    </row>
    <row r="6123" spans="2:5" x14ac:dyDescent="0.2">
      <c r="B6123" s="1"/>
      <c r="E6123" s="38" t="str">
        <f>IFERROR(AVERAGEIFS('Picarro Output'!G:G, 'Picarro Output'!$B:$B, 'Uncalibrated Data'!$C6123, 'Picarro Output'!$I:$I, 0, 'Picarro Output'!$J:$J, 1), "")</f>
        <v/>
      </c>
    </row>
    <row r="6124" spans="2:5" x14ac:dyDescent="0.2">
      <c r="B6124" s="1"/>
      <c r="E6124" s="38" t="str">
        <f>IFERROR(AVERAGEIFS('Picarro Output'!G:G, 'Picarro Output'!$B:$B, 'Uncalibrated Data'!$C6124, 'Picarro Output'!$I:$I, 0, 'Picarro Output'!$J:$J, 1), "")</f>
        <v/>
      </c>
    </row>
    <row r="6125" spans="2:5" x14ac:dyDescent="0.2">
      <c r="B6125" s="1"/>
      <c r="E6125" s="38" t="str">
        <f>IFERROR(AVERAGEIFS('Picarro Output'!G:G, 'Picarro Output'!$B:$B, 'Uncalibrated Data'!$C6125, 'Picarro Output'!$I:$I, 0, 'Picarro Output'!$J:$J, 1), "")</f>
        <v/>
      </c>
    </row>
    <row r="6126" spans="2:5" x14ac:dyDescent="0.2">
      <c r="B6126" s="1"/>
      <c r="E6126" s="38" t="str">
        <f>IFERROR(AVERAGEIFS('Picarro Output'!G:G, 'Picarro Output'!$B:$B, 'Uncalibrated Data'!$C6126, 'Picarro Output'!$I:$I, 0, 'Picarro Output'!$J:$J, 1), "")</f>
        <v/>
      </c>
    </row>
    <row r="6127" spans="2:5" x14ac:dyDescent="0.2">
      <c r="B6127" s="1"/>
      <c r="E6127" s="38" t="str">
        <f>IFERROR(AVERAGEIFS('Picarro Output'!G:G, 'Picarro Output'!$B:$B, 'Uncalibrated Data'!$C6127, 'Picarro Output'!$I:$I, 0, 'Picarro Output'!$J:$J, 1), "")</f>
        <v/>
      </c>
    </row>
    <row r="6128" spans="2:5" x14ac:dyDescent="0.2">
      <c r="B6128" s="1"/>
      <c r="E6128" s="38" t="str">
        <f>IFERROR(AVERAGEIFS('Picarro Output'!G:G, 'Picarro Output'!$B:$B, 'Uncalibrated Data'!$C6128, 'Picarro Output'!$I:$I, 0, 'Picarro Output'!$J:$J, 1), "")</f>
        <v/>
      </c>
    </row>
    <row r="6129" spans="2:5" x14ac:dyDescent="0.2">
      <c r="B6129" s="1"/>
      <c r="E6129" s="38" t="str">
        <f>IFERROR(AVERAGEIFS('Picarro Output'!G:G, 'Picarro Output'!$B:$B, 'Uncalibrated Data'!$C6129, 'Picarro Output'!$I:$I, 0, 'Picarro Output'!$J:$J, 1), "")</f>
        <v/>
      </c>
    </row>
    <row r="6130" spans="2:5" x14ac:dyDescent="0.2">
      <c r="B6130" s="1"/>
      <c r="E6130" s="38" t="str">
        <f>IFERROR(AVERAGEIFS('Picarro Output'!G:G, 'Picarro Output'!$B:$B, 'Uncalibrated Data'!$C6130, 'Picarro Output'!$I:$I, 0, 'Picarro Output'!$J:$J, 1), "")</f>
        <v/>
      </c>
    </row>
    <row r="6131" spans="2:5" x14ac:dyDescent="0.2">
      <c r="B6131" s="1"/>
      <c r="E6131" s="38" t="str">
        <f>IFERROR(AVERAGEIFS('Picarro Output'!G:G, 'Picarro Output'!$B:$B, 'Uncalibrated Data'!$C6131, 'Picarro Output'!$I:$I, 0, 'Picarro Output'!$J:$J, 1), "")</f>
        <v/>
      </c>
    </row>
    <row r="6132" spans="2:5" x14ac:dyDescent="0.2">
      <c r="B6132" s="1"/>
      <c r="E6132" s="38" t="str">
        <f>IFERROR(AVERAGEIFS('Picarro Output'!G:G, 'Picarro Output'!$B:$B, 'Uncalibrated Data'!$C6132, 'Picarro Output'!$I:$I, 0, 'Picarro Output'!$J:$J, 1), "")</f>
        <v/>
      </c>
    </row>
    <row r="6133" spans="2:5" x14ac:dyDescent="0.2">
      <c r="B6133" s="1"/>
      <c r="E6133" s="38" t="str">
        <f>IFERROR(AVERAGEIFS('Picarro Output'!G:G, 'Picarro Output'!$B:$B, 'Uncalibrated Data'!$C6133, 'Picarro Output'!$I:$I, 0, 'Picarro Output'!$J:$J, 1), "")</f>
        <v/>
      </c>
    </row>
    <row r="6134" spans="2:5" x14ac:dyDescent="0.2">
      <c r="B6134" s="1"/>
      <c r="E6134" s="38" t="str">
        <f>IFERROR(AVERAGEIFS('Picarro Output'!G:G, 'Picarro Output'!$B:$B, 'Uncalibrated Data'!$C6134, 'Picarro Output'!$I:$I, 0, 'Picarro Output'!$J:$J, 1), "")</f>
        <v/>
      </c>
    </row>
    <row r="6135" spans="2:5" x14ac:dyDescent="0.2">
      <c r="B6135" s="1"/>
      <c r="E6135" s="38" t="str">
        <f>IFERROR(AVERAGEIFS('Picarro Output'!G:G, 'Picarro Output'!$B:$B, 'Uncalibrated Data'!$C6135, 'Picarro Output'!$I:$I, 0, 'Picarro Output'!$J:$J, 1), "")</f>
        <v/>
      </c>
    </row>
    <row r="6136" spans="2:5" x14ac:dyDescent="0.2">
      <c r="B6136" s="1"/>
      <c r="E6136" s="38" t="str">
        <f>IFERROR(AVERAGEIFS('Picarro Output'!G:G, 'Picarro Output'!$B:$B, 'Uncalibrated Data'!$C6136, 'Picarro Output'!$I:$I, 0, 'Picarro Output'!$J:$J, 1), "")</f>
        <v/>
      </c>
    </row>
    <row r="6137" spans="2:5" x14ac:dyDescent="0.2">
      <c r="B6137" s="1"/>
      <c r="E6137" s="38" t="str">
        <f>IFERROR(AVERAGEIFS('Picarro Output'!G:G, 'Picarro Output'!$B:$B, 'Uncalibrated Data'!$C6137, 'Picarro Output'!$I:$I, 0, 'Picarro Output'!$J:$J, 1), "")</f>
        <v/>
      </c>
    </row>
    <row r="6138" spans="2:5" x14ac:dyDescent="0.2">
      <c r="B6138" s="1"/>
      <c r="E6138" s="38" t="str">
        <f>IFERROR(AVERAGEIFS('Picarro Output'!G:G, 'Picarro Output'!$B:$B, 'Uncalibrated Data'!$C6138, 'Picarro Output'!$I:$I, 0, 'Picarro Output'!$J:$J, 1), "")</f>
        <v/>
      </c>
    </row>
    <row r="6139" spans="2:5" x14ac:dyDescent="0.2">
      <c r="B6139" s="1"/>
      <c r="E6139" s="38" t="str">
        <f>IFERROR(AVERAGEIFS('Picarro Output'!G:G, 'Picarro Output'!$B:$B, 'Uncalibrated Data'!$C6139, 'Picarro Output'!$I:$I, 0, 'Picarro Output'!$J:$J, 1), "")</f>
        <v/>
      </c>
    </row>
    <row r="6140" spans="2:5" x14ac:dyDescent="0.2">
      <c r="B6140" s="1"/>
      <c r="E6140" s="38" t="str">
        <f>IFERROR(AVERAGEIFS('Picarro Output'!G:G, 'Picarro Output'!$B:$B, 'Uncalibrated Data'!$C6140, 'Picarro Output'!$I:$I, 0, 'Picarro Output'!$J:$J, 1), "")</f>
        <v/>
      </c>
    </row>
    <row r="6141" spans="2:5" x14ac:dyDescent="0.2">
      <c r="B6141" s="1"/>
      <c r="E6141" s="38" t="str">
        <f>IFERROR(AVERAGEIFS('Picarro Output'!G:G, 'Picarro Output'!$B:$B, 'Uncalibrated Data'!$C6141, 'Picarro Output'!$I:$I, 0, 'Picarro Output'!$J:$J, 1), "")</f>
        <v/>
      </c>
    </row>
    <row r="6142" spans="2:5" x14ac:dyDescent="0.2">
      <c r="B6142" s="1"/>
      <c r="E6142" s="38" t="str">
        <f>IFERROR(AVERAGEIFS('Picarro Output'!G:G, 'Picarro Output'!$B:$B, 'Uncalibrated Data'!$C6142, 'Picarro Output'!$I:$I, 0, 'Picarro Output'!$J:$J, 1), "")</f>
        <v/>
      </c>
    </row>
    <row r="6143" spans="2:5" x14ac:dyDescent="0.2">
      <c r="B6143" s="1"/>
      <c r="E6143" s="38" t="str">
        <f>IFERROR(AVERAGEIFS('Picarro Output'!G:G, 'Picarro Output'!$B:$B, 'Uncalibrated Data'!$C6143, 'Picarro Output'!$I:$I, 0, 'Picarro Output'!$J:$J, 1), "")</f>
        <v/>
      </c>
    </row>
    <row r="6144" spans="2:5" x14ac:dyDescent="0.2">
      <c r="B6144" s="1"/>
      <c r="E6144" s="38" t="str">
        <f>IFERROR(AVERAGEIFS('Picarro Output'!G:G, 'Picarro Output'!$B:$B, 'Uncalibrated Data'!$C6144, 'Picarro Output'!$I:$I, 0, 'Picarro Output'!$J:$J, 1), "")</f>
        <v/>
      </c>
    </row>
    <row r="6145" spans="2:5" x14ac:dyDescent="0.2">
      <c r="B6145" s="1"/>
      <c r="E6145" s="38" t="str">
        <f>IFERROR(AVERAGEIFS('Picarro Output'!G:G, 'Picarro Output'!$B:$B, 'Uncalibrated Data'!$C6145, 'Picarro Output'!$I:$I, 0, 'Picarro Output'!$J:$J, 1), "")</f>
        <v/>
      </c>
    </row>
    <row r="6146" spans="2:5" x14ac:dyDescent="0.2">
      <c r="B6146" s="1"/>
      <c r="E6146" s="38" t="str">
        <f>IFERROR(AVERAGEIFS('Picarro Output'!G:G, 'Picarro Output'!$B:$B, 'Uncalibrated Data'!$C6146, 'Picarro Output'!$I:$I, 0, 'Picarro Output'!$J:$J, 1), "")</f>
        <v/>
      </c>
    </row>
    <row r="6147" spans="2:5" x14ac:dyDescent="0.2">
      <c r="B6147" s="1"/>
      <c r="E6147" s="38" t="str">
        <f>IFERROR(AVERAGEIFS('Picarro Output'!G:G, 'Picarro Output'!$B:$B, 'Uncalibrated Data'!$C6147, 'Picarro Output'!$I:$I, 0, 'Picarro Output'!$J:$J, 1), "")</f>
        <v/>
      </c>
    </row>
    <row r="6148" spans="2:5" x14ac:dyDescent="0.2">
      <c r="B6148" s="1"/>
      <c r="E6148" s="38" t="str">
        <f>IFERROR(AVERAGEIFS('Picarro Output'!G:G, 'Picarro Output'!$B:$B, 'Uncalibrated Data'!$C6148, 'Picarro Output'!$I:$I, 0, 'Picarro Output'!$J:$J, 1), "")</f>
        <v/>
      </c>
    </row>
    <row r="6149" spans="2:5" x14ac:dyDescent="0.2">
      <c r="B6149" s="1"/>
      <c r="E6149" s="38" t="str">
        <f>IFERROR(AVERAGEIFS('Picarro Output'!G:G, 'Picarro Output'!$B:$B, 'Uncalibrated Data'!$C6149, 'Picarro Output'!$I:$I, 0, 'Picarro Output'!$J:$J, 1), "")</f>
        <v/>
      </c>
    </row>
    <row r="6150" spans="2:5" x14ac:dyDescent="0.2">
      <c r="B6150" s="1"/>
      <c r="E6150" s="38" t="str">
        <f>IFERROR(AVERAGEIFS('Picarro Output'!G:G, 'Picarro Output'!$B:$B, 'Uncalibrated Data'!$C6150, 'Picarro Output'!$I:$I, 0, 'Picarro Output'!$J:$J, 1), "")</f>
        <v/>
      </c>
    </row>
    <row r="6151" spans="2:5" x14ac:dyDescent="0.2">
      <c r="B6151" s="1"/>
      <c r="E6151" s="38" t="str">
        <f>IFERROR(AVERAGEIFS('Picarro Output'!G:G, 'Picarro Output'!$B:$B, 'Uncalibrated Data'!$C6151, 'Picarro Output'!$I:$I, 0, 'Picarro Output'!$J:$J, 1), "")</f>
        <v/>
      </c>
    </row>
    <row r="6152" spans="2:5" x14ac:dyDescent="0.2">
      <c r="B6152" s="1"/>
      <c r="E6152" s="38" t="str">
        <f>IFERROR(AVERAGEIFS('Picarro Output'!G:G, 'Picarro Output'!$B:$B, 'Uncalibrated Data'!$C6152, 'Picarro Output'!$I:$I, 0, 'Picarro Output'!$J:$J, 1), "")</f>
        <v/>
      </c>
    </row>
    <row r="6153" spans="2:5" x14ac:dyDescent="0.2">
      <c r="B6153" s="1"/>
      <c r="E6153" s="38" t="str">
        <f>IFERROR(AVERAGEIFS('Picarro Output'!G:G, 'Picarro Output'!$B:$B, 'Uncalibrated Data'!$C6153, 'Picarro Output'!$I:$I, 0, 'Picarro Output'!$J:$J, 1), "")</f>
        <v/>
      </c>
    </row>
    <row r="6154" spans="2:5" x14ac:dyDescent="0.2">
      <c r="B6154" s="1"/>
      <c r="E6154" s="38" t="str">
        <f>IFERROR(AVERAGEIFS('Picarro Output'!G:G, 'Picarro Output'!$B:$B, 'Uncalibrated Data'!$C6154, 'Picarro Output'!$I:$I, 0, 'Picarro Output'!$J:$J, 1), "")</f>
        <v/>
      </c>
    </row>
    <row r="6155" spans="2:5" x14ac:dyDescent="0.2">
      <c r="B6155" s="1"/>
      <c r="E6155" s="38" t="str">
        <f>IFERROR(AVERAGEIFS('Picarro Output'!G:G, 'Picarro Output'!$B:$B, 'Uncalibrated Data'!$C6155, 'Picarro Output'!$I:$I, 0, 'Picarro Output'!$J:$J, 1), "")</f>
        <v/>
      </c>
    </row>
    <row r="6156" spans="2:5" x14ac:dyDescent="0.2">
      <c r="B6156" s="1"/>
      <c r="E6156" s="38" t="str">
        <f>IFERROR(AVERAGEIFS('Picarro Output'!G:G, 'Picarro Output'!$B:$B, 'Uncalibrated Data'!$C6156, 'Picarro Output'!$I:$I, 0, 'Picarro Output'!$J:$J, 1), "")</f>
        <v/>
      </c>
    </row>
    <row r="6157" spans="2:5" x14ac:dyDescent="0.2">
      <c r="B6157" s="1"/>
      <c r="E6157" s="38" t="str">
        <f>IFERROR(AVERAGEIFS('Picarro Output'!G:G, 'Picarro Output'!$B:$B, 'Uncalibrated Data'!$C6157, 'Picarro Output'!$I:$I, 0, 'Picarro Output'!$J:$J, 1), "")</f>
        <v/>
      </c>
    </row>
    <row r="6158" spans="2:5" x14ac:dyDescent="0.2">
      <c r="B6158" s="1"/>
      <c r="E6158" s="38" t="str">
        <f>IFERROR(AVERAGEIFS('Picarro Output'!G:G, 'Picarro Output'!$B:$B, 'Uncalibrated Data'!$C6158, 'Picarro Output'!$I:$I, 0, 'Picarro Output'!$J:$J, 1), "")</f>
        <v/>
      </c>
    </row>
    <row r="6159" spans="2:5" x14ac:dyDescent="0.2">
      <c r="B6159" s="1"/>
      <c r="E6159" s="38" t="str">
        <f>IFERROR(AVERAGEIFS('Picarro Output'!G:G, 'Picarro Output'!$B:$B, 'Uncalibrated Data'!$C6159, 'Picarro Output'!$I:$I, 0, 'Picarro Output'!$J:$J, 1), "")</f>
        <v/>
      </c>
    </row>
    <row r="6160" spans="2:5" x14ac:dyDescent="0.2">
      <c r="B6160" s="1"/>
      <c r="E6160" s="38" t="str">
        <f>IFERROR(AVERAGEIFS('Picarro Output'!G:G, 'Picarro Output'!$B:$B, 'Uncalibrated Data'!$C6160, 'Picarro Output'!$I:$I, 0, 'Picarro Output'!$J:$J, 1), "")</f>
        <v/>
      </c>
    </row>
    <row r="6161" spans="2:5" x14ac:dyDescent="0.2">
      <c r="B6161" s="1"/>
      <c r="E6161" s="38" t="str">
        <f>IFERROR(AVERAGEIFS('Picarro Output'!G:G, 'Picarro Output'!$B:$B, 'Uncalibrated Data'!$C6161, 'Picarro Output'!$I:$I, 0, 'Picarro Output'!$J:$J, 1), "")</f>
        <v/>
      </c>
    </row>
    <row r="6162" spans="2:5" x14ac:dyDescent="0.2">
      <c r="B6162" s="1"/>
      <c r="E6162" s="38" t="str">
        <f>IFERROR(AVERAGEIFS('Picarro Output'!G:G, 'Picarro Output'!$B:$B, 'Uncalibrated Data'!$C6162, 'Picarro Output'!$I:$I, 0, 'Picarro Output'!$J:$J, 1), "")</f>
        <v/>
      </c>
    </row>
    <row r="6163" spans="2:5" x14ac:dyDescent="0.2">
      <c r="B6163" s="1"/>
      <c r="E6163" s="38" t="str">
        <f>IFERROR(AVERAGEIFS('Picarro Output'!G:G, 'Picarro Output'!$B:$B, 'Uncalibrated Data'!$C6163, 'Picarro Output'!$I:$I, 0, 'Picarro Output'!$J:$J, 1), "")</f>
        <v/>
      </c>
    </row>
    <row r="6164" spans="2:5" x14ac:dyDescent="0.2">
      <c r="B6164" s="1"/>
      <c r="E6164" s="38" t="str">
        <f>IFERROR(AVERAGEIFS('Picarro Output'!G:G, 'Picarro Output'!$B:$B, 'Uncalibrated Data'!$C6164, 'Picarro Output'!$I:$I, 0, 'Picarro Output'!$J:$J, 1), "")</f>
        <v/>
      </c>
    </row>
    <row r="6165" spans="2:5" x14ac:dyDescent="0.2">
      <c r="B6165" s="1"/>
      <c r="E6165" s="38" t="str">
        <f>IFERROR(AVERAGEIFS('Picarro Output'!G:G, 'Picarro Output'!$B:$B, 'Uncalibrated Data'!$C6165, 'Picarro Output'!$I:$I, 0, 'Picarro Output'!$J:$J, 1), "")</f>
        <v/>
      </c>
    </row>
    <row r="6166" spans="2:5" x14ac:dyDescent="0.2">
      <c r="B6166" s="1"/>
      <c r="E6166" s="38" t="str">
        <f>IFERROR(AVERAGEIFS('Picarro Output'!G:G, 'Picarro Output'!$B:$B, 'Uncalibrated Data'!$C6166, 'Picarro Output'!$I:$I, 0, 'Picarro Output'!$J:$J, 1), "")</f>
        <v/>
      </c>
    </row>
    <row r="6167" spans="2:5" x14ac:dyDescent="0.2">
      <c r="B6167" s="1"/>
      <c r="E6167" s="38" t="str">
        <f>IFERROR(AVERAGEIFS('Picarro Output'!G:G, 'Picarro Output'!$B:$B, 'Uncalibrated Data'!$C6167, 'Picarro Output'!$I:$I, 0, 'Picarro Output'!$J:$J, 1), "")</f>
        <v/>
      </c>
    </row>
    <row r="6168" spans="2:5" x14ac:dyDescent="0.2">
      <c r="B6168" s="1"/>
      <c r="E6168" s="38" t="str">
        <f>IFERROR(AVERAGEIFS('Picarro Output'!G:G, 'Picarro Output'!$B:$B, 'Uncalibrated Data'!$C6168, 'Picarro Output'!$I:$I, 0, 'Picarro Output'!$J:$J, 1), "")</f>
        <v/>
      </c>
    </row>
    <row r="6169" spans="2:5" x14ac:dyDescent="0.2">
      <c r="B6169" s="1"/>
      <c r="E6169" s="38" t="str">
        <f>IFERROR(AVERAGEIFS('Picarro Output'!G:G, 'Picarro Output'!$B:$B, 'Uncalibrated Data'!$C6169, 'Picarro Output'!$I:$I, 0, 'Picarro Output'!$J:$J, 1), "")</f>
        <v/>
      </c>
    </row>
    <row r="6170" spans="2:5" x14ac:dyDescent="0.2">
      <c r="B6170" s="1"/>
      <c r="E6170" s="38" t="str">
        <f>IFERROR(AVERAGEIFS('Picarro Output'!G:G, 'Picarro Output'!$B:$B, 'Uncalibrated Data'!$C6170, 'Picarro Output'!$I:$I, 0, 'Picarro Output'!$J:$J, 1), "")</f>
        <v/>
      </c>
    </row>
    <row r="6171" spans="2:5" x14ac:dyDescent="0.2">
      <c r="B6171" s="1"/>
      <c r="E6171" s="38" t="str">
        <f>IFERROR(AVERAGEIFS('Picarro Output'!G:G, 'Picarro Output'!$B:$B, 'Uncalibrated Data'!$C6171, 'Picarro Output'!$I:$I, 0, 'Picarro Output'!$J:$J, 1), "")</f>
        <v/>
      </c>
    </row>
    <row r="6172" spans="2:5" x14ac:dyDescent="0.2">
      <c r="B6172" s="1"/>
      <c r="E6172" s="38" t="str">
        <f>IFERROR(AVERAGEIFS('Picarro Output'!G:G, 'Picarro Output'!$B:$B, 'Uncalibrated Data'!$C6172, 'Picarro Output'!$I:$I, 0, 'Picarro Output'!$J:$J, 1), "")</f>
        <v/>
      </c>
    </row>
    <row r="6173" spans="2:5" x14ac:dyDescent="0.2">
      <c r="B6173" s="1"/>
      <c r="E6173" s="38" t="str">
        <f>IFERROR(AVERAGEIFS('Picarro Output'!G:G, 'Picarro Output'!$B:$B, 'Uncalibrated Data'!$C6173, 'Picarro Output'!$I:$I, 0, 'Picarro Output'!$J:$J, 1), "")</f>
        <v/>
      </c>
    </row>
    <row r="6174" spans="2:5" x14ac:dyDescent="0.2">
      <c r="B6174" s="1"/>
      <c r="E6174" s="38" t="str">
        <f>IFERROR(AVERAGEIFS('Picarro Output'!G:G, 'Picarro Output'!$B:$B, 'Uncalibrated Data'!$C6174, 'Picarro Output'!$I:$I, 0, 'Picarro Output'!$J:$J, 1), "")</f>
        <v/>
      </c>
    </row>
    <row r="6175" spans="2:5" x14ac:dyDescent="0.2">
      <c r="B6175" s="1"/>
      <c r="E6175" s="38" t="str">
        <f>IFERROR(AVERAGEIFS('Picarro Output'!G:G, 'Picarro Output'!$B:$B, 'Uncalibrated Data'!$C6175, 'Picarro Output'!$I:$I, 0, 'Picarro Output'!$J:$J, 1), "")</f>
        <v/>
      </c>
    </row>
    <row r="6176" spans="2:5" x14ac:dyDescent="0.2">
      <c r="B6176" s="1"/>
      <c r="E6176" s="38" t="str">
        <f>IFERROR(AVERAGEIFS('Picarro Output'!G:G, 'Picarro Output'!$B:$B, 'Uncalibrated Data'!$C6176, 'Picarro Output'!$I:$I, 0, 'Picarro Output'!$J:$J, 1), "")</f>
        <v/>
      </c>
    </row>
    <row r="6177" spans="2:5" x14ac:dyDescent="0.2">
      <c r="B6177" s="1"/>
      <c r="E6177" s="38" t="str">
        <f>IFERROR(AVERAGEIFS('Picarro Output'!G:G, 'Picarro Output'!$B:$B, 'Uncalibrated Data'!$C6177, 'Picarro Output'!$I:$I, 0, 'Picarro Output'!$J:$J, 1), "")</f>
        <v/>
      </c>
    </row>
    <row r="6178" spans="2:5" x14ac:dyDescent="0.2">
      <c r="B6178" s="1"/>
      <c r="E6178" s="38" t="str">
        <f>IFERROR(AVERAGEIFS('Picarro Output'!G:G, 'Picarro Output'!$B:$B, 'Uncalibrated Data'!$C6178, 'Picarro Output'!$I:$I, 0, 'Picarro Output'!$J:$J, 1), "")</f>
        <v/>
      </c>
    </row>
    <row r="6179" spans="2:5" x14ac:dyDescent="0.2">
      <c r="B6179" s="1"/>
      <c r="E6179" s="38" t="str">
        <f>IFERROR(AVERAGEIFS('Picarro Output'!G:G, 'Picarro Output'!$B:$B, 'Uncalibrated Data'!$C6179, 'Picarro Output'!$I:$I, 0, 'Picarro Output'!$J:$J, 1), "")</f>
        <v/>
      </c>
    </row>
    <row r="6180" spans="2:5" x14ac:dyDescent="0.2">
      <c r="B6180" s="1"/>
      <c r="E6180" s="38" t="str">
        <f>IFERROR(AVERAGEIFS('Picarro Output'!G:G, 'Picarro Output'!$B:$B, 'Uncalibrated Data'!$C6180, 'Picarro Output'!$I:$I, 0, 'Picarro Output'!$J:$J, 1), "")</f>
        <v/>
      </c>
    </row>
    <row r="6181" spans="2:5" x14ac:dyDescent="0.2">
      <c r="B6181" s="1"/>
      <c r="E6181" s="38" t="str">
        <f>IFERROR(AVERAGEIFS('Picarro Output'!G:G, 'Picarro Output'!$B:$B, 'Uncalibrated Data'!$C6181, 'Picarro Output'!$I:$I, 0, 'Picarro Output'!$J:$J, 1), "")</f>
        <v/>
      </c>
    </row>
    <row r="6182" spans="2:5" x14ac:dyDescent="0.2">
      <c r="B6182" s="1"/>
      <c r="E6182" s="38" t="str">
        <f>IFERROR(AVERAGEIFS('Picarro Output'!G:G, 'Picarro Output'!$B:$B, 'Uncalibrated Data'!$C6182, 'Picarro Output'!$I:$I, 0, 'Picarro Output'!$J:$J, 1), "")</f>
        <v/>
      </c>
    </row>
    <row r="6183" spans="2:5" x14ac:dyDescent="0.2">
      <c r="B6183" s="1"/>
      <c r="E6183" s="38" t="str">
        <f>IFERROR(AVERAGEIFS('Picarro Output'!G:G, 'Picarro Output'!$B:$B, 'Uncalibrated Data'!$C6183, 'Picarro Output'!$I:$I, 0, 'Picarro Output'!$J:$J, 1), "")</f>
        <v/>
      </c>
    </row>
    <row r="6184" spans="2:5" x14ac:dyDescent="0.2">
      <c r="B6184" s="1"/>
      <c r="E6184" s="38" t="str">
        <f>IFERROR(AVERAGEIFS('Picarro Output'!G:G, 'Picarro Output'!$B:$B, 'Uncalibrated Data'!$C6184, 'Picarro Output'!$I:$I, 0, 'Picarro Output'!$J:$J, 1), "")</f>
        <v/>
      </c>
    </row>
    <row r="6185" spans="2:5" x14ac:dyDescent="0.2">
      <c r="B6185" s="1"/>
      <c r="E6185" s="38" t="str">
        <f>IFERROR(AVERAGEIFS('Picarro Output'!G:G, 'Picarro Output'!$B:$B, 'Uncalibrated Data'!$C6185, 'Picarro Output'!$I:$I, 0, 'Picarro Output'!$J:$J, 1), "")</f>
        <v/>
      </c>
    </row>
    <row r="6186" spans="2:5" x14ac:dyDescent="0.2">
      <c r="B6186" s="1"/>
      <c r="E6186" s="38" t="str">
        <f>IFERROR(AVERAGEIFS('Picarro Output'!G:G, 'Picarro Output'!$B:$B, 'Uncalibrated Data'!$C6186, 'Picarro Output'!$I:$I, 0, 'Picarro Output'!$J:$J, 1), "")</f>
        <v/>
      </c>
    </row>
    <row r="6187" spans="2:5" x14ac:dyDescent="0.2">
      <c r="B6187" s="1"/>
      <c r="E6187" s="38" t="str">
        <f>IFERROR(AVERAGEIFS('Picarro Output'!G:G, 'Picarro Output'!$B:$B, 'Uncalibrated Data'!$C6187, 'Picarro Output'!$I:$I, 0, 'Picarro Output'!$J:$J, 1), "")</f>
        <v/>
      </c>
    </row>
    <row r="6188" spans="2:5" x14ac:dyDescent="0.2">
      <c r="B6188" s="1"/>
      <c r="E6188" s="38" t="str">
        <f>IFERROR(AVERAGEIFS('Picarro Output'!G:G, 'Picarro Output'!$B:$B, 'Uncalibrated Data'!$C6188, 'Picarro Output'!$I:$I, 0, 'Picarro Output'!$J:$J, 1), "")</f>
        <v/>
      </c>
    </row>
    <row r="6189" spans="2:5" x14ac:dyDescent="0.2">
      <c r="B6189" s="1"/>
      <c r="E6189" s="38" t="str">
        <f>IFERROR(AVERAGEIFS('Picarro Output'!G:G, 'Picarro Output'!$B:$B, 'Uncalibrated Data'!$C6189, 'Picarro Output'!$I:$I, 0, 'Picarro Output'!$J:$J, 1), "")</f>
        <v/>
      </c>
    </row>
    <row r="6190" spans="2:5" x14ac:dyDescent="0.2">
      <c r="B6190" s="1"/>
      <c r="E6190" s="38" t="str">
        <f>IFERROR(AVERAGEIFS('Picarro Output'!G:G, 'Picarro Output'!$B:$B, 'Uncalibrated Data'!$C6190, 'Picarro Output'!$I:$I, 0, 'Picarro Output'!$J:$J, 1), "")</f>
        <v/>
      </c>
    </row>
    <row r="6191" spans="2:5" x14ac:dyDescent="0.2">
      <c r="B6191" s="1"/>
      <c r="E6191" s="38" t="str">
        <f>IFERROR(AVERAGEIFS('Picarro Output'!G:G, 'Picarro Output'!$B:$B, 'Uncalibrated Data'!$C6191, 'Picarro Output'!$I:$I, 0, 'Picarro Output'!$J:$J, 1), "")</f>
        <v/>
      </c>
    </row>
    <row r="6192" spans="2:5" x14ac:dyDescent="0.2">
      <c r="B6192" s="1"/>
      <c r="E6192" s="38" t="str">
        <f>IFERROR(AVERAGEIFS('Picarro Output'!G:G, 'Picarro Output'!$B:$B, 'Uncalibrated Data'!$C6192, 'Picarro Output'!$I:$I, 0, 'Picarro Output'!$J:$J, 1), "")</f>
        <v/>
      </c>
    </row>
    <row r="6193" spans="2:5" x14ac:dyDescent="0.2">
      <c r="B6193" s="1"/>
      <c r="E6193" s="38" t="str">
        <f>IFERROR(AVERAGEIFS('Picarro Output'!G:G, 'Picarro Output'!$B:$B, 'Uncalibrated Data'!$C6193, 'Picarro Output'!$I:$I, 0, 'Picarro Output'!$J:$J, 1), "")</f>
        <v/>
      </c>
    </row>
    <row r="6194" spans="2:5" x14ac:dyDescent="0.2">
      <c r="B6194" s="1"/>
      <c r="E6194" s="38" t="str">
        <f>IFERROR(AVERAGEIFS('Picarro Output'!G:G, 'Picarro Output'!$B:$B, 'Uncalibrated Data'!$C6194, 'Picarro Output'!$I:$I, 0, 'Picarro Output'!$J:$J, 1), "")</f>
        <v/>
      </c>
    </row>
    <row r="6195" spans="2:5" x14ac:dyDescent="0.2">
      <c r="B6195" s="1"/>
      <c r="E6195" s="38" t="str">
        <f>IFERROR(AVERAGEIFS('Picarro Output'!G:G, 'Picarro Output'!$B:$B, 'Uncalibrated Data'!$C6195, 'Picarro Output'!$I:$I, 0, 'Picarro Output'!$J:$J, 1), "")</f>
        <v/>
      </c>
    </row>
    <row r="6196" spans="2:5" x14ac:dyDescent="0.2">
      <c r="B6196" s="1"/>
      <c r="E6196" s="38" t="str">
        <f>IFERROR(AVERAGEIFS('Picarro Output'!G:G, 'Picarro Output'!$B:$B, 'Uncalibrated Data'!$C6196, 'Picarro Output'!$I:$I, 0, 'Picarro Output'!$J:$J, 1), "")</f>
        <v/>
      </c>
    </row>
    <row r="6197" spans="2:5" x14ac:dyDescent="0.2">
      <c r="B6197" s="1"/>
      <c r="E6197" s="38" t="str">
        <f>IFERROR(AVERAGEIFS('Picarro Output'!G:G, 'Picarro Output'!$B:$B, 'Uncalibrated Data'!$C6197, 'Picarro Output'!$I:$I, 0, 'Picarro Output'!$J:$J, 1), "")</f>
        <v/>
      </c>
    </row>
    <row r="6198" spans="2:5" x14ac:dyDescent="0.2">
      <c r="B6198" s="1"/>
      <c r="E6198" s="38" t="str">
        <f>IFERROR(AVERAGEIFS('Picarro Output'!G:G, 'Picarro Output'!$B:$B, 'Uncalibrated Data'!$C6198, 'Picarro Output'!$I:$I, 0, 'Picarro Output'!$J:$J, 1), "")</f>
        <v/>
      </c>
    </row>
    <row r="6199" spans="2:5" x14ac:dyDescent="0.2">
      <c r="B6199" s="1"/>
      <c r="E6199" s="38" t="str">
        <f>IFERROR(AVERAGEIFS('Picarro Output'!G:G, 'Picarro Output'!$B:$B, 'Uncalibrated Data'!$C6199, 'Picarro Output'!$I:$I, 0, 'Picarro Output'!$J:$J, 1), "")</f>
        <v/>
      </c>
    </row>
    <row r="6200" spans="2:5" x14ac:dyDescent="0.2">
      <c r="B6200" s="1"/>
      <c r="E6200" s="38" t="str">
        <f>IFERROR(AVERAGEIFS('Picarro Output'!G:G, 'Picarro Output'!$B:$B, 'Uncalibrated Data'!$C6200, 'Picarro Output'!$I:$I, 0, 'Picarro Output'!$J:$J, 1), "")</f>
        <v/>
      </c>
    </row>
    <row r="6201" spans="2:5" x14ac:dyDescent="0.2">
      <c r="B6201" s="1"/>
      <c r="E6201" s="38" t="str">
        <f>IFERROR(AVERAGEIFS('Picarro Output'!G:G, 'Picarro Output'!$B:$B, 'Uncalibrated Data'!$C6201, 'Picarro Output'!$I:$I, 0, 'Picarro Output'!$J:$J, 1), "")</f>
        <v/>
      </c>
    </row>
    <row r="6202" spans="2:5" x14ac:dyDescent="0.2">
      <c r="B6202" s="1"/>
      <c r="E6202" s="38" t="str">
        <f>IFERROR(AVERAGEIFS('Picarro Output'!G:G, 'Picarro Output'!$B:$B, 'Uncalibrated Data'!$C6202, 'Picarro Output'!$I:$I, 0, 'Picarro Output'!$J:$J, 1), "")</f>
        <v/>
      </c>
    </row>
    <row r="6203" spans="2:5" x14ac:dyDescent="0.2">
      <c r="B6203" s="1"/>
      <c r="E6203" s="38" t="str">
        <f>IFERROR(AVERAGEIFS('Picarro Output'!G:G, 'Picarro Output'!$B:$B, 'Uncalibrated Data'!$C6203, 'Picarro Output'!$I:$I, 0, 'Picarro Output'!$J:$J, 1), "")</f>
        <v/>
      </c>
    </row>
    <row r="6204" spans="2:5" x14ac:dyDescent="0.2">
      <c r="B6204" s="1"/>
      <c r="E6204" s="38" t="str">
        <f>IFERROR(AVERAGEIFS('Picarro Output'!G:G, 'Picarro Output'!$B:$B, 'Uncalibrated Data'!$C6204, 'Picarro Output'!$I:$I, 0, 'Picarro Output'!$J:$J, 1), "")</f>
        <v/>
      </c>
    </row>
    <row r="6205" spans="2:5" x14ac:dyDescent="0.2">
      <c r="B6205" s="1"/>
      <c r="E6205" s="38" t="str">
        <f>IFERROR(AVERAGEIFS('Picarro Output'!G:G, 'Picarro Output'!$B:$B, 'Uncalibrated Data'!$C6205, 'Picarro Output'!$I:$I, 0, 'Picarro Output'!$J:$J, 1), "")</f>
        <v/>
      </c>
    </row>
    <row r="6206" spans="2:5" x14ac:dyDescent="0.2">
      <c r="B6206" s="1"/>
      <c r="E6206" s="38" t="str">
        <f>IFERROR(AVERAGEIFS('Picarro Output'!G:G, 'Picarro Output'!$B:$B, 'Uncalibrated Data'!$C6206, 'Picarro Output'!$I:$I, 0, 'Picarro Output'!$J:$J, 1), "")</f>
        <v/>
      </c>
    </row>
    <row r="6207" spans="2:5" x14ac:dyDescent="0.2">
      <c r="B6207" s="1"/>
      <c r="E6207" s="38" t="str">
        <f>IFERROR(AVERAGEIFS('Picarro Output'!G:G, 'Picarro Output'!$B:$B, 'Uncalibrated Data'!$C6207, 'Picarro Output'!$I:$I, 0, 'Picarro Output'!$J:$J, 1), "")</f>
        <v/>
      </c>
    </row>
    <row r="6208" spans="2:5" x14ac:dyDescent="0.2">
      <c r="B6208" s="1"/>
      <c r="E6208" s="38" t="str">
        <f>IFERROR(AVERAGEIFS('Picarro Output'!G:G, 'Picarro Output'!$B:$B, 'Uncalibrated Data'!$C6208, 'Picarro Output'!$I:$I, 0, 'Picarro Output'!$J:$J, 1), "")</f>
        <v/>
      </c>
    </row>
    <row r="6209" spans="2:5" x14ac:dyDescent="0.2">
      <c r="B6209" s="1"/>
      <c r="E6209" s="38" t="str">
        <f>IFERROR(AVERAGEIFS('Picarro Output'!G:G, 'Picarro Output'!$B:$B, 'Uncalibrated Data'!$C6209, 'Picarro Output'!$I:$I, 0, 'Picarro Output'!$J:$J, 1), "")</f>
        <v/>
      </c>
    </row>
    <row r="6210" spans="2:5" x14ac:dyDescent="0.2">
      <c r="B6210" s="1"/>
      <c r="E6210" s="38" t="str">
        <f>IFERROR(AVERAGEIFS('Picarro Output'!G:G, 'Picarro Output'!$B:$B, 'Uncalibrated Data'!$C6210, 'Picarro Output'!$I:$I, 0, 'Picarro Output'!$J:$J, 1), "")</f>
        <v/>
      </c>
    </row>
    <row r="6211" spans="2:5" x14ac:dyDescent="0.2">
      <c r="B6211" s="1"/>
      <c r="E6211" s="38" t="str">
        <f>IFERROR(AVERAGEIFS('Picarro Output'!G:G, 'Picarro Output'!$B:$B, 'Uncalibrated Data'!$C6211, 'Picarro Output'!$I:$I, 0, 'Picarro Output'!$J:$J, 1), "")</f>
        <v/>
      </c>
    </row>
    <row r="6212" spans="2:5" x14ac:dyDescent="0.2">
      <c r="B6212" s="1"/>
      <c r="E6212" s="38" t="str">
        <f>IFERROR(AVERAGEIFS('Picarro Output'!G:G, 'Picarro Output'!$B:$B, 'Uncalibrated Data'!$C6212, 'Picarro Output'!$I:$I, 0, 'Picarro Output'!$J:$J, 1), "")</f>
        <v/>
      </c>
    </row>
    <row r="6213" spans="2:5" x14ac:dyDescent="0.2">
      <c r="B6213" s="1"/>
      <c r="E6213" s="38" t="str">
        <f>IFERROR(AVERAGEIFS('Picarro Output'!G:G, 'Picarro Output'!$B:$B, 'Uncalibrated Data'!$C6213, 'Picarro Output'!$I:$I, 0, 'Picarro Output'!$J:$J, 1), "")</f>
        <v/>
      </c>
    </row>
    <row r="6214" spans="2:5" x14ac:dyDescent="0.2">
      <c r="B6214" s="1"/>
      <c r="E6214" s="38" t="str">
        <f>IFERROR(AVERAGEIFS('Picarro Output'!G:G, 'Picarro Output'!$B:$B, 'Uncalibrated Data'!$C6214, 'Picarro Output'!$I:$I, 0, 'Picarro Output'!$J:$J, 1), "")</f>
        <v/>
      </c>
    </row>
    <row r="6215" spans="2:5" x14ac:dyDescent="0.2">
      <c r="B6215" s="1"/>
      <c r="E6215" s="38" t="str">
        <f>IFERROR(AVERAGEIFS('Picarro Output'!G:G, 'Picarro Output'!$B:$B, 'Uncalibrated Data'!$C6215, 'Picarro Output'!$I:$I, 0, 'Picarro Output'!$J:$J, 1), "")</f>
        <v/>
      </c>
    </row>
    <row r="6216" spans="2:5" x14ac:dyDescent="0.2">
      <c r="B6216" s="1"/>
      <c r="E6216" s="38" t="str">
        <f>IFERROR(AVERAGEIFS('Picarro Output'!G:G, 'Picarro Output'!$B:$B, 'Uncalibrated Data'!$C6216, 'Picarro Output'!$I:$I, 0, 'Picarro Output'!$J:$J, 1), "")</f>
        <v/>
      </c>
    </row>
    <row r="6217" spans="2:5" x14ac:dyDescent="0.2">
      <c r="B6217" s="1"/>
      <c r="E6217" s="38" t="str">
        <f>IFERROR(AVERAGEIFS('Picarro Output'!G:G, 'Picarro Output'!$B:$B, 'Uncalibrated Data'!$C6217, 'Picarro Output'!$I:$I, 0, 'Picarro Output'!$J:$J, 1), "")</f>
        <v/>
      </c>
    </row>
    <row r="6218" spans="2:5" x14ac:dyDescent="0.2">
      <c r="B6218" s="1"/>
      <c r="E6218" s="38" t="str">
        <f>IFERROR(AVERAGEIFS('Picarro Output'!G:G, 'Picarro Output'!$B:$B, 'Uncalibrated Data'!$C6218, 'Picarro Output'!$I:$I, 0, 'Picarro Output'!$J:$J, 1), "")</f>
        <v/>
      </c>
    </row>
    <row r="6219" spans="2:5" x14ac:dyDescent="0.2">
      <c r="B6219" s="1"/>
      <c r="E6219" s="38" t="str">
        <f>IFERROR(AVERAGEIFS('Picarro Output'!G:G, 'Picarro Output'!$B:$B, 'Uncalibrated Data'!$C6219, 'Picarro Output'!$I:$I, 0, 'Picarro Output'!$J:$J, 1), "")</f>
        <v/>
      </c>
    </row>
    <row r="6220" spans="2:5" x14ac:dyDescent="0.2">
      <c r="B6220" s="1"/>
      <c r="E6220" s="38" t="str">
        <f>IFERROR(AVERAGEIFS('Picarro Output'!G:G, 'Picarro Output'!$B:$B, 'Uncalibrated Data'!$C6220, 'Picarro Output'!$I:$I, 0, 'Picarro Output'!$J:$J, 1), "")</f>
        <v/>
      </c>
    </row>
    <row r="6221" spans="2:5" x14ac:dyDescent="0.2">
      <c r="B6221" s="1"/>
      <c r="E6221" s="38" t="str">
        <f>IFERROR(AVERAGEIFS('Picarro Output'!G:G, 'Picarro Output'!$B:$B, 'Uncalibrated Data'!$C6221, 'Picarro Output'!$I:$I, 0, 'Picarro Output'!$J:$J, 1), "")</f>
        <v/>
      </c>
    </row>
    <row r="6222" spans="2:5" x14ac:dyDescent="0.2">
      <c r="B6222" s="1"/>
      <c r="E6222" s="38" t="str">
        <f>IFERROR(AVERAGEIFS('Picarro Output'!G:G, 'Picarro Output'!$B:$B, 'Uncalibrated Data'!$C6222, 'Picarro Output'!$I:$I, 0, 'Picarro Output'!$J:$J, 1), "")</f>
        <v/>
      </c>
    </row>
    <row r="6223" spans="2:5" x14ac:dyDescent="0.2">
      <c r="B6223" s="1"/>
      <c r="E6223" s="38" t="str">
        <f>IFERROR(AVERAGEIFS('Picarro Output'!G:G, 'Picarro Output'!$B:$B, 'Uncalibrated Data'!$C6223, 'Picarro Output'!$I:$I, 0, 'Picarro Output'!$J:$J, 1), "")</f>
        <v/>
      </c>
    </row>
    <row r="6224" spans="2:5" x14ac:dyDescent="0.2">
      <c r="B6224" s="1"/>
      <c r="E6224" s="38" t="str">
        <f>IFERROR(AVERAGEIFS('Picarro Output'!G:G, 'Picarro Output'!$B:$B, 'Uncalibrated Data'!$C6224, 'Picarro Output'!$I:$I, 0, 'Picarro Output'!$J:$J, 1), "")</f>
        <v/>
      </c>
    </row>
    <row r="6225" spans="2:5" x14ac:dyDescent="0.2">
      <c r="B6225" s="1"/>
      <c r="E6225" s="38" t="str">
        <f>IFERROR(AVERAGEIFS('Picarro Output'!G:G, 'Picarro Output'!$B:$B, 'Uncalibrated Data'!$C6225, 'Picarro Output'!$I:$I, 0, 'Picarro Output'!$J:$J, 1), "")</f>
        <v/>
      </c>
    </row>
    <row r="6226" spans="2:5" x14ac:dyDescent="0.2">
      <c r="B6226" s="1"/>
      <c r="E6226" s="38" t="str">
        <f>IFERROR(AVERAGEIFS('Picarro Output'!G:G, 'Picarro Output'!$B:$B, 'Uncalibrated Data'!$C6226, 'Picarro Output'!$I:$I, 0, 'Picarro Output'!$J:$J, 1), "")</f>
        <v/>
      </c>
    </row>
    <row r="6227" spans="2:5" x14ac:dyDescent="0.2">
      <c r="B6227" s="1"/>
      <c r="E6227" s="38" t="str">
        <f>IFERROR(AVERAGEIFS('Picarro Output'!G:G, 'Picarro Output'!$B:$B, 'Uncalibrated Data'!$C6227, 'Picarro Output'!$I:$I, 0, 'Picarro Output'!$J:$J, 1), "")</f>
        <v/>
      </c>
    </row>
    <row r="6228" spans="2:5" x14ac:dyDescent="0.2">
      <c r="B6228" s="1"/>
      <c r="E6228" s="38" t="str">
        <f>IFERROR(AVERAGEIFS('Picarro Output'!G:G, 'Picarro Output'!$B:$B, 'Uncalibrated Data'!$C6228, 'Picarro Output'!$I:$I, 0, 'Picarro Output'!$J:$J, 1), "")</f>
        <v/>
      </c>
    </row>
    <row r="6229" spans="2:5" x14ac:dyDescent="0.2">
      <c r="B6229" s="1"/>
      <c r="E6229" s="38" t="str">
        <f>IFERROR(AVERAGEIFS('Picarro Output'!G:G, 'Picarro Output'!$B:$B, 'Uncalibrated Data'!$C6229, 'Picarro Output'!$I:$I, 0, 'Picarro Output'!$J:$J, 1), "")</f>
        <v/>
      </c>
    </row>
    <row r="6230" spans="2:5" x14ac:dyDescent="0.2">
      <c r="B6230" s="1"/>
      <c r="E6230" s="38" t="str">
        <f>IFERROR(AVERAGEIFS('Picarro Output'!G:G, 'Picarro Output'!$B:$B, 'Uncalibrated Data'!$C6230, 'Picarro Output'!$I:$I, 0, 'Picarro Output'!$J:$J, 1), "")</f>
        <v/>
      </c>
    </row>
    <row r="6231" spans="2:5" x14ac:dyDescent="0.2">
      <c r="B6231" s="1"/>
      <c r="E6231" s="38" t="str">
        <f>IFERROR(AVERAGEIFS('Picarro Output'!G:G, 'Picarro Output'!$B:$B, 'Uncalibrated Data'!$C6231, 'Picarro Output'!$I:$I, 0, 'Picarro Output'!$J:$J, 1), "")</f>
        <v/>
      </c>
    </row>
    <row r="6232" spans="2:5" x14ac:dyDescent="0.2">
      <c r="B6232" s="1"/>
      <c r="E6232" s="38" t="str">
        <f>IFERROR(AVERAGEIFS('Picarro Output'!G:G, 'Picarro Output'!$B:$B, 'Uncalibrated Data'!$C6232, 'Picarro Output'!$I:$I, 0, 'Picarro Output'!$J:$J, 1), "")</f>
        <v/>
      </c>
    </row>
    <row r="6233" spans="2:5" x14ac:dyDescent="0.2">
      <c r="B6233" s="1"/>
      <c r="E6233" s="38" t="str">
        <f>IFERROR(AVERAGEIFS('Picarro Output'!G:G, 'Picarro Output'!$B:$B, 'Uncalibrated Data'!$C6233, 'Picarro Output'!$I:$I, 0, 'Picarro Output'!$J:$J, 1), "")</f>
        <v/>
      </c>
    </row>
    <row r="6234" spans="2:5" x14ac:dyDescent="0.2">
      <c r="B6234" s="1"/>
      <c r="E6234" s="38" t="str">
        <f>IFERROR(AVERAGEIFS('Picarro Output'!G:G, 'Picarro Output'!$B:$B, 'Uncalibrated Data'!$C6234, 'Picarro Output'!$I:$I, 0, 'Picarro Output'!$J:$J, 1), "")</f>
        <v/>
      </c>
    </row>
    <row r="6235" spans="2:5" x14ac:dyDescent="0.2">
      <c r="B6235" s="1"/>
      <c r="E6235" s="38" t="str">
        <f>IFERROR(AVERAGEIFS('Picarro Output'!G:G, 'Picarro Output'!$B:$B, 'Uncalibrated Data'!$C6235, 'Picarro Output'!$I:$I, 0, 'Picarro Output'!$J:$J, 1), "")</f>
        <v/>
      </c>
    </row>
    <row r="6236" spans="2:5" x14ac:dyDescent="0.2">
      <c r="B6236" s="1"/>
      <c r="E6236" s="38" t="str">
        <f>IFERROR(AVERAGEIFS('Picarro Output'!G:G, 'Picarro Output'!$B:$B, 'Uncalibrated Data'!$C6236, 'Picarro Output'!$I:$I, 0, 'Picarro Output'!$J:$J, 1), "")</f>
        <v/>
      </c>
    </row>
    <row r="6237" spans="2:5" x14ac:dyDescent="0.2">
      <c r="B6237" s="1"/>
      <c r="E6237" s="38" t="str">
        <f>IFERROR(AVERAGEIFS('Picarro Output'!G:G, 'Picarro Output'!$B:$B, 'Uncalibrated Data'!$C6237, 'Picarro Output'!$I:$I, 0, 'Picarro Output'!$J:$J, 1), "")</f>
        <v/>
      </c>
    </row>
    <row r="6238" spans="2:5" x14ac:dyDescent="0.2">
      <c r="B6238" s="1"/>
      <c r="E6238" s="38" t="str">
        <f>IFERROR(AVERAGEIFS('Picarro Output'!G:G, 'Picarro Output'!$B:$B, 'Uncalibrated Data'!$C6238, 'Picarro Output'!$I:$I, 0, 'Picarro Output'!$J:$J, 1), "")</f>
        <v/>
      </c>
    </row>
    <row r="6239" spans="2:5" x14ac:dyDescent="0.2">
      <c r="B6239" s="1"/>
      <c r="E6239" s="38" t="str">
        <f>IFERROR(AVERAGEIFS('Picarro Output'!G:G, 'Picarro Output'!$B:$B, 'Uncalibrated Data'!$C6239, 'Picarro Output'!$I:$I, 0, 'Picarro Output'!$J:$J, 1), "")</f>
        <v/>
      </c>
    </row>
    <row r="6240" spans="2:5" x14ac:dyDescent="0.2">
      <c r="B6240" s="1"/>
      <c r="E6240" s="38" t="str">
        <f>IFERROR(AVERAGEIFS('Picarro Output'!G:G, 'Picarro Output'!$B:$B, 'Uncalibrated Data'!$C6240, 'Picarro Output'!$I:$I, 0, 'Picarro Output'!$J:$J, 1), "")</f>
        <v/>
      </c>
    </row>
    <row r="6241" spans="2:5" x14ac:dyDescent="0.2">
      <c r="B6241" s="1"/>
      <c r="E6241" s="38" t="str">
        <f>IFERROR(AVERAGEIFS('Picarro Output'!G:G, 'Picarro Output'!$B:$B, 'Uncalibrated Data'!$C6241, 'Picarro Output'!$I:$I, 0, 'Picarro Output'!$J:$J, 1), "")</f>
        <v/>
      </c>
    </row>
    <row r="6242" spans="2:5" x14ac:dyDescent="0.2">
      <c r="B6242" s="1"/>
      <c r="E6242" s="38" t="str">
        <f>IFERROR(AVERAGEIFS('Picarro Output'!G:G, 'Picarro Output'!$B:$B, 'Uncalibrated Data'!$C6242, 'Picarro Output'!$I:$I, 0, 'Picarro Output'!$J:$J, 1), "")</f>
        <v/>
      </c>
    </row>
    <row r="6243" spans="2:5" x14ac:dyDescent="0.2">
      <c r="B6243" s="1"/>
      <c r="E6243" s="38" t="str">
        <f>IFERROR(AVERAGEIFS('Picarro Output'!G:G, 'Picarro Output'!$B:$B, 'Uncalibrated Data'!$C6243, 'Picarro Output'!$I:$I, 0, 'Picarro Output'!$J:$J, 1), "")</f>
        <v/>
      </c>
    </row>
    <row r="6244" spans="2:5" x14ac:dyDescent="0.2">
      <c r="B6244" s="1"/>
      <c r="E6244" s="38" t="str">
        <f>IFERROR(AVERAGEIFS('Picarro Output'!G:G, 'Picarro Output'!$B:$B, 'Uncalibrated Data'!$C6244, 'Picarro Output'!$I:$I, 0, 'Picarro Output'!$J:$J, 1), "")</f>
        <v/>
      </c>
    </row>
    <row r="6245" spans="2:5" x14ac:dyDescent="0.2">
      <c r="B6245" s="1"/>
      <c r="E6245" s="38" t="str">
        <f>IFERROR(AVERAGEIFS('Picarro Output'!G:G, 'Picarro Output'!$B:$B, 'Uncalibrated Data'!$C6245, 'Picarro Output'!$I:$I, 0, 'Picarro Output'!$J:$J, 1), "")</f>
        <v/>
      </c>
    </row>
    <row r="6246" spans="2:5" x14ac:dyDescent="0.2">
      <c r="B6246" s="1"/>
      <c r="E6246" s="38" t="str">
        <f>IFERROR(AVERAGEIFS('Picarro Output'!G:G, 'Picarro Output'!$B:$B, 'Uncalibrated Data'!$C6246, 'Picarro Output'!$I:$I, 0, 'Picarro Output'!$J:$J, 1), "")</f>
        <v/>
      </c>
    </row>
    <row r="6247" spans="2:5" x14ac:dyDescent="0.2">
      <c r="B6247" s="1"/>
      <c r="E6247" s="38" t="str">
        <f>IFERROR(AVERAGEIFS('Picarro Output'!G:G, 'Picarro Output'!$B:$B, 'Uncalibrated Data'!$C6247, 'Picarro Output'!$I:$I, 0, 'Picarro Output'!$J:$J, 1), "")</f>
        <v/>
      </c>
    </row>
    <row r="6248" spans="2:5" x14ac:dyDescent="0.2">
      <c r="B6248" s="1"/>
      <c r="E6248" s="38" t="str">
        <f>IFERROR(AVERAGEIFS('Picarro Output'!G:G, 'Picarro Output'!$B:$B, 'Uncalibrated Data'!$C6248, 'Picarro Output'!$I:$I, 0, 'Picarro Output'!$J:$J, 1), "")</f>
        <v/>
      </c>
    </row>
    <row r="6249" spans="2:5" x14ac:dyDescent="0.2">
      <c r="B6249" s="1"/>
      <c r="E6249" s="38" t="str">
        <f>IFERROR(AVERAGEIFS('Picarro Output'!G:G, 'Picarro Output'!$B:$B, 'Uncalibrated Data'!$C6249, 'Picarro Output'!$I:$I, 0, 'Picarro Output'!$J:$J, 1), "")</f>
        <v/>
      </c>
    </row>
    <row r="6250" spans="2:5" x14ac:dyDescent="0.2">
      <c r="B6250" s="1"/>
      <c r="E6250" s="38" t="str">
        <f>IFERROR(AVERAGEIFS('Picarro Output'!G:G, 'Picarro Output'!$B:$B, 'Uncalibrated Data'!$C6250, 'Picarro Output'!$I:$I, 0, 'Picarro Output'!$J:$J, 1), "")</f>
        <v/>
      </c>
    </row>
    <row r="6251" spans="2:5" x14ac:dyDescent="0.2">
      <c r="B6251" s="1"/>
      <c r="E6251" s="38" t="str">
        <f>IFERROR(AVERAGEIFS('Picarro Output'!G:G, 'Picarro Output'!$B:$B, 'Uncalibrated Data'!$C6251, 'Picarro Output'!$I:$I, 0, 'Picarro Output'!$J:$J, 1), "")</f>
        <v/>
      </c>
    </row>
    <row r="6252" spans="2:5" x14ac:dyDescent="0.2">
      <c r="B6252" s="1"/>
      <c r="E6252" s="38" t="str">
        <f>IFERROR(AVERAGEIFS('Picarro Output'!G:G, 'Picarro Output'!$B:$B, 'Uncalibrated Data'!$C6252, 'Picarro Output'!$I:$I, 0, 'Picarro Output'!$J:$J, 1), "")</f>
        <v/>
      </c>
    </row>
    <row r="6253" spans="2:5" x14ac:dyDescent="0.2">
      <c r="B6253" s="1"/>
      <c r="E6253" s="38" t="str">
        <f>IFERROR(AVERAGEIFS('Picarro Output'!G:G, 'Picarro Output'!$B:$B, 'Uncalibrated Data'!$C6253, 'Picarro Output'!$I:$I, 0, 'Picarro Output'!$J:$J, 1), "")</f>
        <v/>
      </c>
    </row>
    <row r="6254" spans="2:5" x14ac:dyDescent="0.2">
      <c r="B6254" s="1"/>
      <c r="E6254" s="38" t="str">
        <f>IFERROR(AVERAGEIFS('Picarro Output'!G:G, 'Picarro Output'!$B:$B, 'Uncalibrated Data'!$C6254, 'Picarro Output'!$I:$I, 0, 'Picarro Output'!$J:$J, 1), "")</f>
        <v/>
      </c>
    </row>
    <row r="6255" spans="2:5" x14ac:dyDescent="0.2">
      <c r="B6255" s="1"/>
      <c r="E6255" s="38" t="str">
        <f>IFERROR(AVERAGEIFS('Picarro Output'!G:G, 'Picarro Output'!$B:$B, 'Uncalibrated Data'!$C6255, 'Picarro Output'!$I:$I, 0, 'Picarro Output'!$J:$J, 1), "")</f>
        <v/>
      </c>
    </row>
    <row r="6256" spans="2:5" x14ac:dyDescent="0.2">
      <c r="B6256" s="1"/>
      <c r="E6256" s="38" t="str">
        <f>IFERROR(AVERAGEIFS('Picarro Output'!G:G, 'Picarro Output'!$B:$B, 'Uncalibrated Data'!$C6256, 'Picarro Output'!$I:$I, 0, 'Picarro Output'!$J:$J, 1), "")</f>
        <v/>
      </c>
    </row>
    <row r="6257" spans="2:5" x14ac:dyDescent="0.2">
      <c r="B6257" s="1"/>
      <c r="E6257" s="38" t="str">
        <f>IFERROR(AVERAGEIFS('Picarro Output'!G:G, 'Picarro Output'!$B:$B, 'Uncalibrated Data'!$C6257, 'Picarro Output'!$I:$I, 0, 'Picarro Output'!$J:$J, 1), "")</f>
        <v/>
      </c>
    </row>
    <row r="6258" spans="2:5" x14ac:dyDescent="0.2">
      <c r="B6258" s="1"/>
      <c r="E6258" s="38" t="str">
        <f>IFERROR(AVERAGEIFS('Picarro Output'!G:G, 'Picarro Output'!$B:$B, 'Uncalibrated Data'!$C6258, 'Picarro Output'!$I:$I, 0, 'Picarro Output'!$J:$J, 1), "")</f>
        <v/>
      </c>
    </row>
    <row r="6259" spans="2:5" x14ac:dyDescent="0.2">
      <c r="B6259" s="1"/>
      <c r="E6259" s="38" t="str">
        <f>IFERROR(AVERAGEIFS('Picarro Output'!G:G, 'Picarro Output'!$B:$B, 'Uncalibrated Data'!$C6259, 'Picarro Output'!$I:$I, 0, 'Picarro Output'!$J:$J, 1), "")</f>
        <v/>
      </c>
    </row>
    <row r="6260" spans="2:5" x14ac:dyDescent="0.2">
      <c r="B6260" s="1"/>
      <c r="E6260" s="38" t="str">
        <f>IFERROR(AVERAGEIFS('Picarro Output'!G:G, 'Picarro Output'!$B:$B, 'Uncalibrated Data'!$C6260, 'Picarro Output'!$I:$I, 0, 'Picarro Output'!$J:$J, 1), "")</f>
        <v/>
      </c>
    </row>
    <row r="6261" spans="2:5" x14ac:dyDescent="0.2">
      <c r="B6261" s="1"/>
      <c r="E6261" s="38" t="str">
        <f>IFERROR(AVERAGEIFS('Picarro Output'!G:G, 'Picarro Output'!$B:$B, 'Uncalibrated Data'!$C6261, 'Picarro Output'!$I:$I, 0, 'Picarro Output'!$J:$J, 1), "")</f>
        <v/>
      </c>
    </row>
    <row r="6262" spans="2:5" x14ac:dyDescent="0.2">
      <c r="B6262" s="1"/>
      <c r="E6262" s="38" t="str">
        <f>IFERROR(AVERAGEIFS('Picarro Output'!G:G, 'Picarro Output'!$B:$B, 'Uncalibrated Data'!$C6262, 'Picarro Output'!$I:$I, 0, 'Picarro Output'!$J:$J, 1), "")</f>
        <v/>
      </c>
    </row>
    <row r="6263" spans="2:5" x14ac:dyDescent="0.2">
      <c r="B6263" s="1"/>
      <c r="E6263" s="38" t="str">
        <f>IFERROR(AVERAGEIFS('Picarro Output'!G:G, 'Picarro Output'!$B:$B, 'Uncalibrated Data'!$C6263, 'Picarro Output'!$I:$I, 0, 'Picarro Output'!$J:$J, 1), "")</f>
        <v/>
      </c>
    </row>
    <row r="6264" spans="2:5" x14ac:dyDescent="0.2">
      <c r="B6264" s="1"/>
      <c r="E6264" s="38" t="str">
        <f>IFERROR(AVERAGEIFS('Picarro Output'!G:G, 'Picarro Output'!$B:$B, 'Uncalibrated Data'!$C6264, 'Picarro Output'!$I:$I, 0, 'Picarro Output'!$J:$J, 1), "")</f>
        <v/>
      </c>
    </row>
    <row r="6265" spans="2:5" x14ac:dyDescent="0.2">
      <c r="B6265" s="1"/>
      <c r="E6265" s="38" t="str">
        <f>IFERROR(AVERAGEIFS('Picarro Output'!G:G, 'Picarro Output'!$B:$B, 'Uncalibrated Data'!$C6265, 'Picarro Output'!$I:$I, 0, 'Picarro Output'!$J:$J, 1), "")</f>
        <v/>
      </c>
    </row>
    <row r="6266" spans="2:5" x14ac:dyDescent="0.2">
      <c r="B6266" s="1"/>
      <c r="E6266" s="38" t="str">
        <f>IFERROR(AVERAGEIFS('Picarro Output'!G:G, 'Picarro Output'!$B:$B, 'Uncalibrated Data'!$C6266, 'Picarro Output'!$I:$I, 0, 'Picarro Output'!$J:$J, 1), "")</f>
        <v/>
      </c>
    </row>
    <row r="6267" spans="2:5" x14ac:dyDescent="0.2">
      <c r="B6267" s="1"/>
      <c r="E6267" s="38" t="str">
        <f>IFERROR(AVERAGEIFS('Picarro Output'!G:G, 'Picarro Output'!$B:$B, 'Uncalibrated Data'!$C6267, 'Picarro Output'!$I:$I, 0, 'Picarro Output'!$J:$J, 1), "")</f>
        <v/>
      </c>
    </row>
    <row r="6268" spans="2:5" x14ac:dyDescent="0.2">
      <c r="B6268" s="1"/>
      <c r="E6268" s="38" t="str">
        <f>IFERROR(AVERAGEIFS('Picarro Output'!G:G, 'Picarro Output'!$B:$B, 'Uncalibrated Data'!$C6268, 'Picarro Output'!$I:$I, 0, 'Picarro Output'!$J:$J, 1), "")</f>
        <v/>
      </c>
    </row>
    <row r="6269" spans="2:5" x14ac:dyDescent="0.2">
      <c r="B6269" s="1"/>
      <c r="E6269" s="38" t="str">
        <f>IFERROR(AVERAGEIFS('Picarro Output'!G:G, 'Picarro Output'!$B:$B, 'Uncalibrated Data'!$C6269, 'Picarro Output'!$I:$I, 0, 'Picarro Output'!$J:$J, 1), "")</f>
        <v/>
      </c>
    </row>
    <row r="6270" spans="2:5" x14ac:dyDescent="0.2">
      <c r="B6270" s="1"/>
      <c r="E6270" s="38" t="str">
        <f>IFERROR(AVERAGEIFS('Picarro Output'!G:G, 'Picarro Output'!$B:$B, 'Uncalibrated Data'!$C6270, 'Picarro Output'!$I:$I, 0, 'Picarro Output'!$J:$J, 1), "")</f>
        <v/>
      </c>
    </row>
    <row r="6271" spans="2:5" x14ac:dyDescent="0.2">
      <c r="B6271" s="1"/>
      <c r="E6271" s="38" t="str">
        <f>IFERROR(AVERAGEIFS('Picarro Output'!G:G, 'Picarro Output'!$B:$B, 'Uncalibrated Data'!$C6271, 'Picarro Output'!$I:$I, 0, 'Picarro Output'!$J:$J, 1), "")</f>
        <v/>
      </c>
    </row>
    <row r="6272" spans="2:5" x14ac:dyDescent="0.2">
      <c r="B6272" s="1"/>
      <c r="E6272" s="38" t="str">
        <f>IFERROR(AVERAGEIFS('Picarro Output'!G:G, 'Picarro Output'!$B:$B, 'Uncalibrated Data'!$C6272, 'Picarro Output'!$I:$I, 0, 'Picarro Output'!$J:$J, 1), "")</f>
        <v/>
      </c>
    </row>
    <row r="6273" spans="2:5" x14ac:dyDescent="0.2">
      <c r="B6273" s="1"/>
      <c r="E6273" s="38" t="str">
        <f>IFERROR(AVERAGEIFS('Picarro Output'!G:G, 'Picarro Output'!$B:$B, 'Uncalibrated Data'!$C6273, 'Picarro Output'!$I:$I, 0, 'Picarro Output'!$J:$J, 1), "")</f>
        <v/>
      </c>
    </row>
    <row r="6274" spans="2:5" x14ac:dyDescent="0.2">
      <c r="B6274" s="1"/>
      <c r="E6274" s="38" t="str">
        <f>IFERROR(AVERAGEIFS('Picarro Output'!G:G, 'Picarro Output'!$B:$B, 'Uncalibrated Data'!$C6274, 'Picarro Output'!$I:$I, 0, 'Picarro Output'!$J:$J, 1), "")</f>
        <v/>
      </c>
    </row>
    <row r="6275" spans="2:5" x14ac:dyDescent="0.2">
      <c r="B6275" s="1"/>
      <c r="E6275" s="38" t="str">
        <f>IFERROR(AVERAGEIFS('Picarro Output'!G:G, 'Picarro Output'!$B:$B, 'Uncalibrated Data'!$C6275, 'Picarro Output'!$I:$I, 0, 'Picarro Output'!$J:$J, 1), "")</f>
        <v/>
      </c>
    </row>
    <row r="6276" spans="2:5" x14ac:dyDescent="0.2">
      <c r="B6276" s="1"/>
      <c r="E6276" s="38" t="str">
        <f>IFERROR(AVERAGEIFS('Picarro Output'!G:G, 'Picarro Output'!$B:$B, 'Uncalibrated Data'!$C6276, 'Picarro Output'!$I:$I, 0, 'Picarro Output'!$J:$J, 1), "")</f>
        <v/>
      </c>
    </row>
    <row r="6277" spans="2:5" x14ac:dyDescent="0.2">
      <c r="B6277" s="1"/>
      <c r="E6277" s="38" t="str">
        <f>IFERROR(AVERAGEIFS('Picarro Output'!G:G, 'Picarro Output'!$B:$B, 'Uncalibrated Data'!$C6277, 'Picarro Output'!$I:$I, 0, 'Picarro Output'!$J:$J, 1), "")</f>
        <v/>
      </c>
    </row>
    <row r="6278" spans="2:5" x14ac:dyDescent="0.2">
      <c r="B6278" s="1"/>
      <c r="E6278" s="38" t="str">
        <f>IFERROR(AVERAGEIFS('Picarro Output'!G:G, 'Picarro Output'!$B:$B, 'Uncalibrated Data'!$C6278, 'Picarro Output'!$I:$I, 0, 'Picarro Output'!$J:$J, 1), "")</f>
        <v/>
      </c>
    </row>
    <row r="6279" spans="2:5" x14ac:dyDescent="0.2">
      <c r="B6279" s="1"/>
      <c r="E6279" s="38" t="str">
        <f>IFERROR(AVERAGEIFS('Picarro Output'!G:G, 'Picarro Output'!$B:$B, 'Uncalibrated Data'!$C6279, 'Picarro Output'!$I:$I, 0, 'Picarro Output'!$J:$J, 1), "")</f>
        <v/>
      </c>
    </row>
    <row r="6280" spans="2:5" x14ac:dyDescent="0.2">
      <c r="B6280" s="1"/>
      <c r="E6280" s="38" t="str">
        <f>IFERROR(AVERAGEIFS('Picarro Output'!G:G, 'Picarro Output'!$B:$B, 'Uncalibrated Data'!$C6280, 'Picarro Output'!$I:$I, 0, 'Picarro Output'!$J:$J, 1), "")</f>
        <v/>
      </c>
    </row>
    <row r="6281" spans="2:5" x14ac:dyDescent="0.2">
      <c r="B6281" s="1"/>
      <c r="E6281" s="38" t="str">
        <f>IFERROR(AVERAGEIFS('Picarro Output'!G:G, 'Picarro Output'!$B:$B, 'Uncalibrated Data'!$C6281, 'Picarro Output'!$I:$I, 0, 'Picarro Output'!$J:$J, 1), "")</f>
        <v/>
      </c>
    </row>
    <row r="6282" spans="2:5" x14ac:dyDescent="0.2">
      <c r="B6282" s="1"/>
      <c r="E6282" s="38" t="str">
        <f>IFERROR(AVERAGEIFS('Picarro Output'!G:G, 'Picarro Output'!$B:$B, 'Uncalibrated Data'!$C6282, 'Picarro Output'!$I:$I, 0, 'Picarro Output'!$J:$J, 1), "")</f>
        <v/>
      </c>
    </row>
    <row r="6283" spans="2:5" x14ac:dyDescent="0.2">
      <c r="B6283" s="1"/>
      <c r="E6283" s="38" t="str">
        <f>IFERROR(AVERAGEIFS('Picarro Output'!G:G, 'Picarro Output'!$B:$B, 'Uncalibrated Data'!$C6283, 'Picarro Output'!$I:$I, 0, 'Picarro Output'!$J:$J, 1), "")</f>
        <v/>
      </c>
    </row>
    <row r="6284" spans="2:5" x14ac:dyDescent="0.2">
      <c r="B6284" s="1"/>
      <c r="E6284" s="38" t="str">
        <f>IFERROR(AVERAGEIFS('Picarro Output'!G:G, 'Picarro Output'!$B:$B, 'Uncalibrated Data'!$C6284, 'Picarro Output'!$I:$I, 0, 'Picarro Output'!$J:$J, 1), "")</f>
        <v/>
      </c>
    </row>
    <row r="6285" spans="2:5" x14ac:dyDescent="0.2">
      <c r="B6285" s="1"/>
      <c r="E6285" s="38" t="str">
        <f>IFERROR(AVERAGEIFS('Picarro Output'!G:G, 'Picarro Output'!$B:$B, 'Uncalibrated Data'!$C6285, 'Picarro Output'!$I:$I, 0, 'Picarro Output'!$J:$J, 1), "")</f>
        <v/>
      </c>
    </row>
    <row r="6286" spans="2:5" x14ac:dyDescent="0.2">
      <c r="B6286" s="1"/>
      <c r="E6286" s="38" t="str">
        <f>IFERROR(AVERAGEIFS('Picarro Output'!G:G, 'Picarro Output'!$B:$B, 'Uncalibrated Data'!$C6286, 'Picarro Output'!$I:$I, 0, 'Picarro Output'!$J:$J, 1), "")</f>
        <v/>
      </c>
    </row>
    <row r="6287" spans="2:5" x14ac:dyDescent="0.2">
      <c r="B6287" s="1"/>
      <c r="E6287" s="38" t="str">
        <f>IFERROR(AVERAGEIFS('Picarro Output'!G:G, 'Picarro Output'!$B:$B, 'Uncalibrated Data'!$C6287, 'Picarro Output'!$I:$I, 0, 'Picarro Output'!$J:$J, 1), "")</f>
        <v/>
      </c>
    </row>
    <row r="6288" spans="2:5" x14ac:dyDescent="0.2">
      <c r="B6288" s="1"/>
      <c r="E6288" s="38" t="str">
        <f>IFERROR(AVERAGEIFS('Picarro Output'!G:G, 'Picarro Output'!$B:$B, 'Uncalibrated Data'!$C6288, 'Picarro Output'!$I:$I, 0, 'Picarro Output'!$J:$J, 1), "")</f>
        <v/>
      </c>
    </row>
    <row r="6289" spans="2:5" x14ac:dyDescent="0.2">
      <c r="B6289" s="1"/>
      <c r="E6289" s="38" t="str">
        <f>IFERROR(AVERAGEIFS('Picarro Output'!G:G, 'Picarro Output'!$B:$B, 'Uncalibrated Data'!$C6289, 'Picarro Output'!$I:$I, 0, 'Picarro Output'!$J:$J, 1), "")</f>
        <v/>
      </c>
    </row>
    <row r="6290" spans="2:5" x14ac:dyDescent="0.2">
      <c r="B6290" s="1"/>
      <c r="E6290" s="38" t="str">
        <f>IFERROR(AVERAGEIFS('Picarro Output'!G:G, 'Picarro Output'!$B:$B, 'Uncalibrated Data'!$C6290, 'Picarro Output'!$I:$I, 0, 'Picarro Output'!$J:$J, 1), "")</f>
        <v/>
      </c>
    </row>
    <row r="6291" spans="2:5" x14ac:dyDescent="0.2">
      <c r="B6291" s="1"/>
      <c r="E6291" s="38" t="str">
        <f>IFERROR(AVERAGEIFS('Picarro Output'!G:G, 'Picarro Output'!$B:$B, 'Uncalibrated Data'!$C6291, 'Picarro Output'!$I:$I, 0, 'Picarro Output'!$J:$J, 1), "")</f>
        <v/>
      </c>
    </row>
    <row r="6292" spans="2:5" x14ac:dyDescent="0.2">
      <c r="B6292" s="1"/>
      <c r="E6292" s="38" t="str">
        <f>IFERROR(AVERAGEIFS('Picarro Output'!G:G, 'Picarro Output'!$B:$B, 'Uncalibrated Data'!$C6292, 'Picarro Output'!$I:$I, 0, 'Picarro Output'!$J:$J, 1), "")</f>
        <v/>
      </c>
    </row>
    <row r="6293" spans="2:5" x14ac:dyDescent="0.2">
      <c r="B6293" s="1"/>
      <c r="E6293" s="38" t="str">
        <f>IFERROR(AVERAGEIFS('Picarro Output'!G:G, 'Picarro Output'!$B:$B, 'Uncalibrated Data'!$C6293, 'Picarro Output'!$I:$I, 0, 'Picarro Output'!$J:$J, 1), "")</f>
        <v/>
      </c>
    </row>
    <row r="6294" spans="2:5" x14ac:dyDescent="0.2">
      <c r="B6294" s="1"/>
      <c r="E6294" s="38" t="str">
        <f>IFERROR(AVERAGEIFS('Picarro Output'!G:G, 'Picarro Output'!$B:$B, 'Uncalibrated Data'!$C6294, 'Picarro Output'!$I:$I, 0, 'Picarro Output'!$J:$J, 1), "")</f>
        <v/>
      </c>
    </row>
    <row r="6295" spans="2:5" x14ac:dyDescent="0.2">
      <c r="B6295" s="1"/>
      <c r="E6295" s="38" t="str">
        <f>IFERROR(AVERAGEIFS('Picarro Output'!G:G, 'Picarro Output'!$B:$B, 'Uncalibrated Data'!$C6295, 'Picarro Output'!$I:$I, 0, 'Picarro Output'!$J:$J, 1), "")</f>
        <v/>
      </c>
    </row>
    <row r="6296" spans="2:5" x14ac:dyDescent="0.2">
      <c r="B6296" s="1"/>
      <c r="E6296" s="38" t="str">
        <f>IFERROR(AVERAGEIFS('Picarro Output'!G:G, 'Picarro Output'!$B:$B, 'Uncalibrated Data'!$C6296, 'Picarro Output'!$I:$I, 0, 'Picarro Output'!$J:$J, 1), "")</f>
        <v/>
      </c>
    </row>
    <row r="6297" spans="2:5" x14ac:dyDescent="0.2">
      <c r="B6297" s="1"/>
      <c r="E6297" s="38" t="str">
        <f>IFERROR(AVERAGEIFS('Picarro Output'!G:G, 'Picarro Output'!$B:$B, 'Uncalibrated Data'!$C6297, 'Picarro Output'!$I:$I, 0, 'Picarro Output'!$J:$J, 1), "")</f>
        <v/>
      </c>
    </row>
    <row r="6298" spans="2:5" x14ac:dyDescent="0.2">
      <c r="B6298" s="1"/>
      <c r="E6298" s="38" t="str">
        <f>IFERROR(AVERAGEIFS('Picarro Output'!G:G, 'Picarro Output'!$B:$B, 'Uncalibrated Data'!$C6298, 'Picarro Output'!$I:$I, 0, 'Picarro Output'!$J:$J, 1), "")</f>
        <v/>
      </c>
    </row>
    <row r="6299" spans="2:5" x14ac:dyDescent="0.2">
      <c r="B6299" s="1"/>
      <c r="E6299" s="38" t="str">
        <f>IFERROR(AVERAGEIFS('Picarro Output'!G:G, 'Picarro Output'!$B:$B, 'Uncalibrated Data'!$C6299, 'Picarro Output'!$I:$I, 0, 'Picarro Output'!$J:$J, 1), "")</f>
        <v/>
      </c>
    </row>
    <row r="6300" spans="2:5" x14ac:dyDescent="0.2">
      <c r="B6300" s="1"/>
      <c r="E6300" s="38" t="str">
        <f>IFERROR(AVERAGEIFS('Picarro Output'!G:G, 'Picarro Output'!$B:$B, 'Uncalibrated Data'!$C6300, 'Picarro Output'!$I:$I, 0, 'Picarro Output'!$J:$J, 1), "")</f>
        <v/>
      </c>
    </row>
    <row r="6301" spans="2:5" x14ac:dyDescent="0.2">
      <c r="B6301" s="1"/>
      <c r="E6301" s="38" t="str">
        <f>IFERROR(AVERAGEIFS('Picarro Output'!G:G, 'Picarro Output'!$B:$B, 'Uncalibrated Data'!$C6301, 'Picarro Output'!$I:$I, 0, 'Picarro Output'!$J:$J, 1), "")</f>
        <v/>
      </c>
    </row>
    <row r="6302" spans="2:5" x14ac:dyDescent="0.2">
      <c r="B6302" s="1"/>
      <c r="E6302" s="38" t="str">
        <f>IFERROR(AVERAGEIFS('Picarro Output'!G:G, 'Picarro Output'!$B:$B, 'Uncalibrated Data'!$C6302, 'Picarro Output'!$I:$I, 0, 'Picarro Output'!$J:$J, 1), "")</f>
        <v/>
      </c>
    </row>
    <row r="6303" spans="2:5" x14ac:dyDescent="0.2">
      <c r="B6303" s="1"/>
      <c r="E6303" s="38" t="str">
        <f>IFERROR(AVERAGEIFS('Picarro Output'!G:G, 'Picarro Output'!$B:$B, 'Uncalibrated Data'!$C6303, 'Picarro Output'!$I:$I, 0, 'Picarro Output'!$J:$J, 1), "")</f>
        <v/>
      </c>
    </row>
    <row r="6304" spans="2:5" x14ac:dyDescent="0.2">
      <c r="B6304" s="1"/>
      <c r="E6304" s="38" t="str">
        <f>IFERROR(AVERAGEIFS('Picarro Output'!G:G, 'Picarro Output'!$B:$B, 'Uncalibrated Data'!$C6304, 'Picarro Output'!$I:$I, 0, 'Picarro Output'!$J:$J, 1), "")</f>
        <v/>
      </c>
    </row>
    <row r="6305" spans="2:5" x14ac:dyDescent="0.2">
      <c r="B6305" s="1"/>
      <c r="E6305" s="38" t="str">
        <f>IFERROR(AVERAGEIFS('Picarro Output'!G:G, 'Picarro Output'!$B:$B, 'Uncalibrated Data'!$C6305, 'Picarro Output'!$I:$I, 0, 'Picarro Output'!$J:$J, 1), "")</f>
        <v/>
      </c>
    </row>
    <row r="6306" spans="2:5" x14ac:dyDescent="0.2">
      <c r="B6306" s="1"/>
      <c r="E6306" s="38" t="str">
        <f>IFERROR(AVERAGEIFS('Picarro Output'!G:G, 'Picarro Output'!$B:$B, 'Uncalibrated Data'!$C6306, 'Picarro Output'!$I:$I, 0, 'Picarro Output'!$J:$J, 1), "")</f>
        <v/>
      </c>
    </row>
    <row r="6307" spans="2:5" x14ac:dyDescent="0.2">
      <c r="B6307" s="1"/>
      <c r="E6307" s="38" t="str">
        <f>IFERROR(AVERAGEIFS('Picarro Output'!G:G, 'Picarro Output'!$B:$B, 'Uncalibrated Data'!$C6307, 'Picarro Output'!$I:$I, 0, 'Picarro Output'!$J:$J, 1), "")</f>
        <v/>
      </c>
    </row>
    <row r="6308" spans="2:5" x14ac:dyDescent="0.2">
      <c r="B6308" s="1"/>
      <c r="E6308" s="38" t="str">
        <f>IFERROR(AVERAGEIFS('Picarro Output'!G:G, 'Picarro Output'!$B:$B, 'Uncalibrated Data'!$C6308, 'Picarro Output'!$I:$I, 0, 'Picarro Output'!$J:$J, 1), "")</f>
        <v/>
      </c>
    </row>
    <row r="6309" spans="2:5" x14ac:dyDescent="0.2">
      <c r="B6309" s="1"/>
      <c r="E6309" s="38" t="str">
        <f>IFERROR(AVERAGEIFS('Picarro Output'!G:G, 'Picarro Output'!$B:$B, 'Uncalibrated Data'!$C6309, 'Picarro Output'!$I:$I, 0, 'Picarro Output'!$J:$J, 1), "")</f>
        <v/>
      </c>
    </row>
    <row r="6310" spans="2:5" x14ac:dyDescent="0.2">
      <c r="B6310" s="1"/>
      <c r="E6310" s="38" t="str">
        <f>IFERROR(AVERAGEIFS('Picarro Output'!G:G, 'Picarro Output'!$B:$B, 'Uncalibrated Data'!$C6310, 'Picarro Output'!$I:$I, 0, 'Picarro Output'!$J:$J, 1), "")</f>
        <v/>
      </c>
    </row>
    <row r="6311" spans="2:5" x14ac:dyDescent="0.2">
      <c r="B6311" s="1"/>
      <c r="E6311" s="38" t="str">
        <f>IFERROR(AVERAGEIFS('Picarro Output'!G:G, 'Picarro Output'!$B:$B, 'Uncalibrated Data'!$C6311, 'Picarro Output'!$I:$I, 0, 'Picarro Output'!$J:$J, 1), "")</f>
        <v/>
      </c>
    </row>
    <row r="6312" spans="2:5" x14ac:dyDescent="0.2">
      <c r="B6312" s="1"/>
      <c r="E6312" s="38" t="str">
        <f>IFERROR(AVERAGEIFS('Picarro Output'!G:G, 'Picarro Output'!$B:$B, 'Uncalibrated Data'!$C6312, 'Picarro Output'!$I:$I, 0, 'Picarro Output'!$J:$J, 1), "")</f>
        <v/>
      </c>
    </row>
    <row r="6313" spans="2:5" x14ac:dyDescent="0.2">
      <c r="B6313" s="1"/>
      <c r="E6313" s="38" t="str">
        <f>IFERROR(AVERAGEIFS('Picarro Output'!G:G, 'Picarro Output'!$B:$B, 'Uncalibrated Data'!$C6313, 'Picarro Output'!$I:$I, 0, 'Picarro Output'!$J:$J, 1), "")</f>
        <v/>
      </c>
    </row>
    <row r="6314" spans="2:5" x14ac:dyDescent="0.2">
      <c r="B6314" s="1"/>
      <c r="E6314" s="38" t="str">
        <f>IFERROR(AVERAGEIFS('Picarro Output'!G:G, 'Picarro Output'!$B:$B, 'Uncalibrated Data'!$C6314, 'Picarro Output'!$I:$I, 0, 'Picarro Output'!$J:$J, 1), "")</f>
        <v/>
      </c>
    </row>
    <row r="6315" spans="2:5" x14ac:dyDescent="0.2">
      <c r="B6315" s="1"/>
      <c r="E6315" s="38" t="str">
        <f>IFERROR(AVERAGEIFS('Picarro Output'!G:G, 'Picarro Output'!$B:$B, 'Uncalibrated Data'!$C6315, 'Picarro Output'!$I:$I, 0, 'Picarro Output'!$J:$J, 1), "")</f>
        <v/>
      </c>
    </row>
    <row r="6316" spans="2:5" x14ac:dyDescent="0.2">
      <c r="B6316" s="1"/>
      <c r="E6316" s="38" t="str">
        <f>IFERROR(AVERAGEIFS('Picarro Output'!G:G, 'Picarro Output'!$B:$B, 'Uncalibrated Data'!$C6316, 'Picarro Output'!$I:$I, 0, 'Picarro Output'!$J:$J, 1), "")</f>
        <v/>
      </c>
    </row>
    <row r="6317" spans="2:5" x14ac:dyDescent="0.2">
      <c r="B6317" s="1"/>
      <c r="E6317" s="38" t="str">
        <f>IFERROR(AVERAGEIFS('Picarro Output'!G:G, 'Picarro Output'!$B:$B, 'Uncalibrated Data'!$C6317, 'Picarro Output'!$I:$I, 0, 'Picarro Output'!$J:$J, 1), "")</f>
        <v/>
      </c>
    </row>
    <row r="6318" spans="2:5" x14ac:dyDescent="0.2">
      <c r="B6318" s="1"/>
      <c r="E6318" s="38" t="str">
        <f>IFERROR(AVERAGEIFS('Picarro Output'!G:G, 'Picarro Output'!$B:$B, 'Uncalibrated Data'!$C6318, 'Picarro Output'!$I:$I, 0, 'Picarro Output'!$J:$J, 1), "")</f>
        <v/>
      </c>
    </row>
    <row r="6319" spans="2:5" x14ac:dyDescent="0.2">
      <c r="B6319" s="1"/>
      <c r="E6319" s="38" t="str">
        <f>IFERROR(AVERAGEIFS('Picarro Output'!G:G, 'Picarro Output'!$B:$B, 'Uncalibrated Data'!$C6319, 'Picarro Output'!$I:$I, 0, 'Picarro Output'!$J:$J, 1), "")</f>
        <v/>
      </c>
    </row>
    <row r="6320" spans="2:5" x14ac:dyDescent="0.2">
      <c r="B6320" s="1"/>
      <c r="E6320" s="38" t="str">
        <f>IFERROR(AVERAGEIFS('Picarro Output'!G:G, 'Picarro Output'!$B:$B, 'Uncalibrated Data'!$C6320, 'Picarro Output'!$I:$I, 0, 'Picarro Output'!$J:$J, 1), "")</f>
        <v/>
      </c>
    </row>
    <row r="6321" spans="2:5" x14ac:dyDescent="0.2">
      <c r="B6321" s="1"/>
      <c r="E6321" s="38" t="str">
        <f>IFERROR(AVERAGEIFS('Picarro Output'!G:G, 'Picarro Output'!$B:$B, 'Uncalibrated Data'!$C6321, 'Picarro Output'!$I:$I, 0, 'Picarro Output'!$J:$J, 1), "")</f>
        <v/>
      </c>
    </row>
    <row r="6322" spans="2:5" x14ac:dyDescent="0.2">
      <c r="B6322" s="1"/>
      <c r="E6322" s="38" t="str">
        <f>IFERROR(AVERAGEIFS('Picarro Output'!G:G, 'Picarro Output'!$B:$B, 'Uncalibrated Data'!$C6322, 'Picarro Output'!$I:$I, 0, 'Picarro Output'!$J:$J, 1), "")</f>
        <v/>
      </c>
    </row>
    <row r="6323" spans="2:5" x14ac:dyDescent="0.2">
      <c r="B6323" s="1"/>
      <c r="E6323" s="38" t="str">
        <f>IFERROR(AVERAGEIFS('Picarro Output'!G:G, 'Picarro Output'!$B:$B, 'Uncalibrated Data'!$C6323, 'Picarro Output'!$I:$I, 0, 'Picarro Output'!$J:$J, 1), "")</f>
        <v/>
      </c>
    </row>
    <row r="6324" spans="2:5" x14ac:dyDescent="0.2">
      <c r="B6324" s="1"/>
      <c r="E6324" s="38" t="str">
        <f>IFERROR(AVERAGEIFS('Picarro Output'!G:G, 'Picarro Output'!$B:$B, 'Uncalibrated Data'!$C6324, 'Picarro Output'!$I:$I, 0, 'Picarro Output'!$J:$J, 1), "")</f>
        <v/>
      </c>
    </row>
    <row r="6325" spans="2:5" x14ac:dyDescent="0.2">
      <c r="B6325" s="1"/>
      <c r="E6325" s="38" t="str">
        <f>IFERROR(AVERAGEIFS('Picarro Output'!G:G, 'Picarro Output'!$B:$B, 'Uncalibrated Data'!$C6325, 'Picarro Output'!$I:$I, 0, 'Picarro Output'!$J:$J, 1), "")</f>
        <v/>
      </c>
    </row>
    <row r="6326" spans="2:5" x14ac:dyDescent="0.2">
      <c r="B6326" s="1"/>
      <c r="E6326" s="38" t="str">
        <f>IFERROR(AVERAGEIFS('Picarro Output'!G:G, 'Picarro Output'!$B:$B, 'Uncalibrated Data'!$C6326, 'Picarro Output'!$I:$I, 0, 'Picarro Output'!$J:$J, 1), "")</f>
        <v/>
      </c>
    </row>
    <row r="6327" spans="2:5" x14ac:dyDescent="0.2">
      <c r="B6327" s="1"/>
      <c r="E6327" s="38" t="str">
        <f>IFERROR(AVERAGEIFS('Picarro Output'!G:G, 'Picarro Output'!$B:$B, 'Uncalibrated Data'!$C6327, 'Picarro Output'!$I:$I, 0, 'Picarro Output'!$J:$J, 1), "")</f>
        <v/>
      </c>
    </row>
    <row r="6328" spans="2:5" x14ac:dyDescent="0.2">
      <c r="B6328" s="1"/>
      <c r="E6328" s="38" t="str">
        <f>IFERROR(AVERAGEIFS('Picarro Output'!G:G, 'Picarro Output'!$B:$B, 'Uncalibrated Data'!$C6328, 'Picarro Output'!$I:$I, 0, 'Picarro Output'!$J:$J, 1), "")</f>
        <v/>
      </c>
    </row>
    <row r="6329" spans="2:5" x14ac:dyDescent="0.2">
      <c r="B6329" s="1"/>
      <c r="E6329" s="38" t="str">
        <f>IFERROR(AVERAGEIFS('Picarro Output'!G:G, 'Picarro Output'!$B:$B, 'Uncalibrated Data'!$C6329, 'Picarro Output'!$I:$I, 0, 'Picarro Output'!$J:$J, 1), "")</f>
        <v/>
      </c>
    </row>
    <row r="6330" spans="2:5" x14ac:dyDescent="0.2">
      <c r="B6330" s="1"/>
      <c r="E6330" s="38" t="str">
        <f>IFERROR(AVERAGEIFS('Picarro Output'!G:G, 'Picarro Output'!$B:$B, 'Uncalibrated Data'!$C6330, 'Picarro Output'!$I:$I, 0, 'Picarro Output'!$J:$J, 1), "")</f>
        <v/>
      </c>
    </row>
    <row r="6331" spans="2:5" x14ac:dyDescent="0.2">
      <c r="B6331" s="1"/>
      <c r="E6331" s="38" t="str">
        <f>IFERROR(AVERAGEIFS('Picarro Output'!G:G, 'Picarro Output'!$B:$B, 'Uncalibrated Data'!$C6331, 'Picarro Output'!$I:$I, 0, 'Picarro Output'!$J:$J, 1), "")</f>
        <v/>
      </c>
    </row>
    <row r="6332" spans="2:5" x14ac:dyDescent="0.2">
      <c r="B6332" s="1"/>
      <c r="E6332" s="38" t="str">
        <f>IFERROR(AVERAGEIFS('Picarro Output'!G:G, 'Picarro Output'!$B:$B, 'Uncalibrated Data'!$C6332, 'Picarro Output'!$I:$I, 0, 'Picarro Output'!$J:$J, 1), "")</f>
        <v/>
      </c>
    </row>
    <row r="6333" spans="2:5" x14ac:dyDescent="0.2">
      <c r="B6333" s="1"/>
      <c r="E6333" s="38" t="str">
        <f>IFERROR(AVERAGEIFS('Picarro Output'!G:G, 'Picarro Output'!$B:$B, 'Uncalibrated Data'!$C6333, 'Picarro Output'!$I:$I, 0, 'Picarro Output'!$J:$J, 1), "")</f>
        <v/>
      </c>
    </row>
    <row r="6334" spans="2:5" x14ac:dyDescent="0.2">
      <c r="B6334" s="1"/>
      <c r="E6334" s="38" t="str">
        <f>IFERROR(AVERAGEIFS('Picarro Output'!G:G, 'Picarro Output'!$B:$B, 'Uncalibrated Data'!$C6334, 'Picarro Output'!$I:$I, 0, 'Picarro Output'!$J:$J, 1), "")</f>
        <v/>
      </c>
    </row>
    <row r="6335" spans="2:5" x14ac:dyDescent="0.2">
      <c r="B6335" s="1"/>
      <c r="E6335" s="38" t="str">
        <f>IFERROR(AVERAGEIFS('Picarro Output'!G:G, 'Picarro Output'!$B:$B, 'Uncalibrated Data'!$C6335, 'Picarro Output'!$I:$I, 0, 'Picarro Output'!$J:$J, 1), "")</f>
        <v/>
      </c>
    </row>
    <row r="6336" spans="2:5" x14ac:dyDescent="0.2">
      <c r="B6336" s="1"/>
      <c r="E6336" s="38" t="str">
        <f>IFERROR(AVERAGEIFS('Picarro Output'!G:G, 'Picarro Output'!$B:$B, 'Uncalibrated Data'!$C6336, 'Picarro Output'!$I:$I, 0, 'Picarro Output'!$J:$J, 1), "")</f>
        <v/>
      </c>
    </row>
    <row r="6337" spans="2:5" x14ac:dyDescent="0.2">
      <c r="B6337" s="1"/>
      <c r="E6337" s="38" t="str">
        <f>IFERROR(AVERAGEIFS('Picarro Output'!G:G, 'Picarro Output'!$B:$B, 'Uncalibrated Data'!$C6337, 'Picarro Output'!$I:$I, 0, 'Picarro Output'!$J:$J, 1), "")</f>
        <v/>
      </c>
    </row>
    <row r="6338" spans="2:5" x14ac:dyDescent="0.2">
      <c r="B6338" s="1"/>
      <c r="E6338" s="38" t="str">
        <f>IFERROR(AVERAGEIFS('Picarro Output'!G:G, 'Picarro Output'!$B:$B, 'Uncalibrated Data'!$C6338, 'Picarro Output'!$I:$I, 0, 'Picarro Output'!$J:$J, 1), "")</f>
        <v/>
      </c>
    </row>
    <row r="6339" spans="2:5" x14ac:dyDescent="0.2">
      <c r="B6339" s="1"/>
      <c r="E6339" s="38" t="str">
        <f>IFERROR(AVERAGEIFS('Picarro Output'!G:G, 'Picarro Output'!$B:$B, 'Uncalibrated Data'!$C6339, 'Picarro Output'!$I:$I, 0, 'Picarro Output'!$J:$J, 1), "")</f>
        <v/>
      </c>
    </row>
    <row r="6340" spans="2:5" x14ac:dyDescent="0.2">
      <c r="B6340" s="1"/>
      <c r="E6340" s="38" t="str">
        <f>IFERROR(AVERAGEIFS('Picarro Output'!G:G, 'Picarro Output'!$B:$B, 'Uncalibrated Data'!$C6340, 'Picarro Output'!$I:$I, 0, 'Picarro Output'!$J:$J, 1), "")</f>
        <v/>
      </c>
    </row>
    <row r="6341" spans="2:5" x14ac:dyDescent="0.2">
      <c r="B6341" s="1"/>
      <c r="E6341" s="38" t="str">
        <f>IFERROR(AVERAGEIFS('Picarro Output'!G:G, 'Picarro Output'!$B:$B, 'Uncalibrated Data'!$C6341, 'Picarro Output'!$I:$I, 0, 'Picarro Output'!$J:$J, 1), "")</f>
        <v/>
      </c>
    </row>
    <row r="6342" spans="2:5" x14ac:dyDescent="0.2">
      <c r="B6342" s="1"/>
      <c r="E6342" s="38" t="str">
        <f>IFERROR(AVERAGEIFS('Picarro Output'!G:G, 'Picarro Output'!$B:$B, 'Uncalibrated Data'!$C6342, 'Picarro Output'!$I:$I, 0, 'Picarro Output'!$J:$J, 1), "")</f>
        <v/>
      </c>
    </row>
    <row r="6343" spans="2:5" x14ac:dyDescent="0.2">
      <c r="B6343" s="1"/>
      <c r="E6343" s="38" t="str">
        <f>IFERROR(AVERAGEIFS('Picarro Output'!G:G, 'Picarro Output'!$B:$B, 'Uncalibrated Data'!$C6343, 'Picarro Output'!$I:$I, 0, 'Picarro Output'!$J:$J, 1), "")</f>
        <v/>
      </c>
    </row>
    <row r="6344" spans="2:5" x14ac:dyDescent="0.2">
      <c r="B6344" s="1"/>
      <c r="E6344" s="38" t="str">
        <f>IFERROR(AVERAGEIFS('Picarro Output'!G:G, 'Picarro Output'!$B:$B, 'Uncalibrated Data'!$C6344, 'Picarro Output'!$I:$I, 0, 'Picarro Output'!$J:$J, 1), "")</f>
        <v/>
      </c>
    </row>
    <row r="6345" spans="2:5" x14ac:dyDescent="0.2">
      <c r="B6345" s="1"/>
      <c r="E6345" s="38" t="str">
        <f>IFERROR(AVERAGEIFS('Picarro Output'!G:G, 'Picarro Output'!$B:$B, 'Uncalibrated Data'!$C6345, 'Picarro Output'!$I:$I, 0, 'Picarro Output'!$J:$J, 1), "")</f>
        <v/>
      </c>
    </row>
    <row r="6346" spans="2:5" x14ac:dyDescent="0.2">
      <c r="B6346" s="1"/>
      <c r="E6346" s="38" t="str">
        <f>IFERROR(AVERAGEIFS('Picarro Output'!G:G, 'Picarro Output'!$B:$B, 'Uncalibrated Data'!$C6346, 'Picarro Output'!$I:$I, 0, 'Picarro Output'!$J:$J, 1), "")</f>
        <v/>
      </c>
    </row>
    <row r="6347" spans="2:5" x14ac:dyDescent="0.2">
      <c r="B6347" s="1"/>
      <c r="E6347" s="38" t="str">
        <f>IFERROR(AVERAGEIFS('Picarro Output'!G:G, 'Picarro Output'!$B:$B, 'Uncalibrated Data'!$C6347, 'Picarro Output'!$I:$I, 0, 'Picarro Output'!$J:$J, 1), "")</f>
        <v/>
      </c>
    </row>
    <row r="6348" spans="2:5" x14ac:dyDescent="0.2">
      <c r="B6348" s="1"/>
      <c r="E6348" s="38" t="str">
        <f>IFERROR(AVERAGEIFS('Picarro Output'!G:G, 'Picarro Output'!$B:$B, 'Uncalibrated Data'!$C6348, 'Picarro Output'!$I:$I, 0, 'Picarro Output'!$J:$J, 1), "")</f>
        <v/>
      </c>
    </row>
    <row r="6349" spans="2:5" x14ac:dyDescent="0.2">
      <c r="B6349" s="1"/>
      <c r="E6349" s="38" t="str">
        <f>IFERROR(AVERAGEIFS('Picarro Output'!G:G, 'Picarro Output'!$B:$B, 'Uncalibrated Data'!$C6349, 'Picarro Output'!$I:$I, 0, 'Picarro Output'!$J:$J, 1), "")</f>
        <v/>
      </c>
    </row>
    <row r="6350" spans="2:5" x14ac:dyDescent="0.2">
      <c r="B6350" s="1"/>
      <c r="E6350" s="38" t="str">
        <f>IFERROR(AVERAGEIFS('Picarro Output'!G:G, 'Picarro Output'!$B:$B, 'Uncalibrated Data'!$C6350, 'Picarro Output'!$I:$I, 0, 'Picarro Output'!$J:$J, 1), "")</f>
        <v/>
      </c>
    </row>
    <row r="6351" spans="2:5" x14ac:dyDescent="0.2">
      <c r="B6351" s="1"/>
      <c r="E6351" s="38" t="str">
        <f>IFERROR(AVERAGEIFS('Picarro Output'!G:G, 'Picarro Output'!$B:$B, 'Uncalibrated Data'!$C6351, 'Picarro Output'!$I:$I, 0, 'Picarro Output'!$J:$J, 1), "")</f>
        <v/>
      </c>
    </row>
    <row r="6352" spans="2:5" x14ac:dyDescent="0.2">
      <c r="B6352" s="1"/>
      <c r="E6352" s="38" t="str">
        <f>IFERROR(AVERAGEIFS('Picarro Output'!G:G, 'Picarro Output'!$B:$B, 'Uncalibrated Data'!$C6352, 'Picarro Output'!$I:$I, 0, 'Picarro Output'!$J:$J, 1), "")</f>
        <v/>
      </c>
    </row>
    <row r="6353" spans="2:5" x14ac:dyDescent="0.2">
      <c r="B6353" s="1"/>
      <c r="E6353" s="38" t="str">
        <f>IFERROR(AVERAGEIFS('Picarro Output'!G:G, 'Picarro Output'!$B:$B, 'Uncalibrated Data'!$C6353, 'Picarro Output'!$I:$I, 0, 'Picarro Output'!$J:$J, 1), "")</f>
        <v/>
      </c>
    </row>
    <row r="6354" spans="2:5" x14ac:dyDescent="0.2">
      <c r="B6354" s="1"/>
      <c r="E6354" s="38" t="str">
        <f>IFERROR(AVERAGEIFS('Picarro Output'!G:G, 'Picarro Output'!$B:$B, 'Uncalibrated Data'!$C6354, 'Picarro Output'!$I:$I, 0, 'Picarro Output'!$J:$J, 1), "")</f>
        <v/>
      </c>
    </row>
    <row r="6355" spans="2:5" x14ac:dyDescent="0.2">
      <c r="B6355" s="1"/>
      <c r="E6355" s="38" t="str">
        <f>IFERROR(AVERAGEIFS('Picarro Output'!G:G, 'Picarro Output'!$B:$B, 'Uncalibrated Data'!$C6355, 'Picarro Output'!$I:$I, 0, 'Picarro Output'!$J:$J, 1), "")</f>
        <v/>
      </c>
    </row>
    <row r="6356" spans="2:5" x14ac:dyDescent="0.2">
      <c r="B6356" s="1"/>
      <c r="E6356" s="38" t="str">
        <f>IFERROR(AVERAGEIFS('Picarro Output'!G:G, 'Picarro Output'!$B:$B, 'Uncalibrated Data'!$C6356, 'Picarro Output'!$I:$I, 0, 'Picarro Output'!$J:$J, 1), "")</f>
        <v/>
      </c>
    </row>
    <row r="6357" spans="2:5" x14ac:dyDescent="0.2">
      <c r="B6357" s="1"/>
      <c r="E6357" s="38" t="str">
        <f>IFERROR(AVERAGEIFS('Picarro Output'!G:G, 'Picarro Output'!$B:$B, 'Uncalibrated Data'!$C6357, 'Picarro Output'!$I:$I, 0, 'Picarro Output'!$J:$J, 1), "")</f>
        <v/>
      </c>
    </row>
    <row r="6358" spans="2:5" x14ac:dyDescent="0.2">
      <c r="B6358" s="1"/>
      <c r="E6358" s="38" t="str">
        <f>IFERROR(AVERAGEIFS('Picarro Output'!G:G, 'Picarro Output'!$B:$B, 'Uncalibrated Data'!$C6358, 'Picarro Output'!$I:$I, 0, 'Picarro Output'!$J:$J, 1), "")</f>
        <v/>
      </c>
    </row>
    <row r="6359" spans="2:5" x14ac:dyDescent="0.2">
      <c r="B6359" s="1"/>
      <c r="E6359" s="38" t="str">
        <f>IFERROR(AVERAGEIFS('Picarro Output'!G:G, 'Picarro Output'!$B:$B, 'Uncalibrated Data'!$C6359, 'Picarro Output'!$I:$I, 0, 'Picarro Output'!$J:$J, 1), "")</f>
        <v/>
      </c>
    </row>
    <row r="6360" spans="2:5" x14ac:dyDescent="0.2">
      <c r="B6360" s="1"/>
      <c r="E6360" s="38" t="str">
        <f>IFERROR(AVERAGEIFS('Picarro Output'!G:G, 'Picarro Output'!$B:$B, 'Uncalibrated Data'!$C6360, 'Picarro Output'!$I:$I, 0, 'Picarro Output'!$J:$J, 1), "")</f>
        <v/>
      </c>
    </row>
    <row r="6361" spans="2:5" x14ac:dyDescent="0.2">
      <c r="B6361" s="1"/>
      <c r="E6361" s="38" t="str">
        <f>IFERROR(AVERAGEIFS('Picarro Output'!G:G, 'Picarro Output'!$B:$B, 'Uncalibrated Data'!$C6361, 'Picarro Output'!$I:$I, 0, 'Picarro Output'!$J:$J, 1), "")</f>
        <v/>
      </c>
    </row>
    <row r="6362" spans="2:5" x14ac:dyDescent="0.2">
      <c r="B6362" s="1"/>
      <c r="E6362" s="38" t="str">
        <f>IFERROR(AVERAGEIFS('Picarro Output'!G:G, 'Picarro Output'!$B:$B, 'Uncalibrated Data'!$C6362, 'Picarro Output'!$I:$I, 0, 'Picarro Output'!$J:$J, 1), "")</f>
        <v/>
      </c>
    </row>
    <row r="6363" spans="2:5" x14ac:dyDescent="0.2">
      <c r="B6363" s="1"/>
      <c r="E6363" s="38" t="str">
        <f>IFERROR(AVERAGEIFS('Picarro Output'!G:G, 'Picarro Output'!$B:$B, 'Uncalibrated Data'!$C6363, 'Picarro Output'!$I:$I, 0, 'Picarro Output'!$J:$J, 1), "")</f>
        <v/>
      </c>
    </row>
    <row r="6364" spans="2:5" x14ac:dyDescent="0.2">
      <c r="B6364" s="1"/>
      <c r="E6364" s="38" t="str">
        <f>IFERROR(AVERAGEIFS('Picarro Output'!G:G, 'Picarro Output'!$B:$B, 'Uncalibrated Data'!$C6364, 'Picarro Output'!$I:$I, 0, 'Picarro Output'!$J:$J, 1), "")</f>
        <v/>
      </c>
    </row>
    <row r="6365" spans="2:5" x14ac:dyDescent="0.2">
      <c r="B6365" s="1"/>
      <c r="E6365" s="38" t="str">
        <f>IFERROR(AVERAGEIFS('Picarro Output'!G:G, 'Picarro Output'!$B:$B, 'Uncalibrated Data'!$C6365, 'Picarro Output'!$I:$I, 0, 'Picarro Output'!$J:$J, 1), "")</f>
        <v/>
      </c>
    </row>
    <row r="6366" spans="2:5" x14ac:dyDescent="0.2">
      <c r="B6366" s="1"/>
      <c r="E6366" s="38" t="str">
        <f>IFERROR(AVERAGEIFS('Picarro Output'!G:G, 'Picarro Output'!$B:$B, 'Uncalibrated Data'!$C6366, 'Picarro Output'!$I:$I, 0, 'Picarro Output'!$J:$J, 1), "")</f>
        <v/>
      </c>
    </row>
    <row r="6367" spans="2:5" x14ac:dyDescent="0.2">
      <c r="B6367" s="1"/>
      <c r="E6367" s="38" t="str">
        <f>IFERROR(AVERAGEIFS('Picarro Output'!G:G, 'Picarro Output'!$B:$B, 'Uncalibrated Data'!$C6367, 'Picarro Output'!$I:$I, 0, 'Picarro Output'!$J:$J, 1), "")</f>
        <v/>
      </c>
    </row>
    <row r="6368" spans="2:5" x14ac:dyDescent="0.2">
      <c r="B6368" s="1"/>
      <c r="E6368" s="38" t="str">
        <f>IFERROR(AVERAGEIFS('Picarro Output'!G:G, 'Picarro Output'!$B:$B, 'Uncalibrated Data'!$C6368, 'Picarro Output'!$I:$I, 0, 'Picarro Output'!$J:$J, 1), "")</f>
        <v/>
      </c>
    </row>
    <row r="6369" spans="2:5" x14ac:dyDescent="0.2">
      <c r="B6369" s="1"/>
      <c r="E6369" s="38" t="str">
        <f>IFERROR(AVERAGEIFS('Picarro Output'!G:G, 'Picarro Output'!$B:$B, 'Uncalibrated Data'!$C6369, 'Picarro Output'!$I:$I, 0, 'Picarro Output'!$J:$J, 1), "")</f>
        <v/>
      </c>
    </row>
    <row r="6370" spans="2:5" x14ac:dyDescent="0.2">
      <c r="B6370" s="1"/>
      <c r="E6370" s="38" t="str">
        <f>IFERROR(AVERAGEIFS('Picarro Output'!G:G, 'Picarro Output'!$B:$B, 'Uncalibrated Data'!$C6370, 'Picarro Output'!$I:$I, 0, 'Picarro Output'!$J:$J, 1), "")</f>
        <v/>
      </c>
    </row>
    <row r="6371" spans="2:5" x14ac:dyDescent="0.2">
      <c r="B6371" s="1"/>
      <c r="E6371" s="38" t="str">
        <f>IFERROR(AVERAGEIFS('Picarro Output'!G:G, 'Picarro Output'!$B:$B, 'Uncalibrated Data'!$C6371, 'Picarro Output'!$I:$I, 0, 'Picarro Output'!$J:$J, 1), "")</f>
        <v/>
      </c>
    </row>
    <row r="6372" spans="2:5" x14ac:dyDescent="0.2">
      <c r="B6372" s="1"/>
      <c r="E6372" s="38" t="str">
        <f>IFERROR(AVERAGEIFS('Picarro Output'!G:G, 'Picarro Output'!$B:$B, 'Uncalibrated Data'!$C6372, 'Picarro Output'!$I:$I, 0, 'Picarro Output'!$J:$J, 1), "")</f>
        <v/>
      </c>
    </row>
    <row r="6373" spans="2:5" x14ac:dyDescent="0.2">
      <c r="B6373" s="1"/>
      <c r="E6373" s="38" t="str">
        <f>IFERROR(AVERAGEIFS('Picarro Output'!G:G, 'Picarro Output'!$B:$B, 'Uncalibrated Data'!$C6373, 'Picarro Output'!$I:$I, 0, 'Picarro Output'!$J:$J, 1), "")</f>
        <v/>
      </c>
    </row>
    <row r="6374" spans="2:5" x14ac:dyDescent="0.2">
      <c r="B6374" s="1"/>
      <c r="E6374" s="38" t="str">
        <f>IFERROR(AVERAGEIFS('Picarro Output'!G:G, 'Picarro Output'!$B:$B, 'Uncalibrated Data'!$C6374, 'Picarro Output'!$I:$I, 0, 'Picarro Output'!$J:$J, 1), "")</f>
        <v/>
      </c>
    </row>
    <row r="6375" spans="2:5" x14ac:dyDescent="0.2">
      <c r="B6375" s="1"/>
      <c r="E6375" s="38" t="str">
        <f>IFERROR(AVERAGEIFS('Picarro Output'!G:G, 'Picarro Output'!$B:$B, 'Uncalibrated Data'!$C6375, 'Picarro Output'!$I:$I, 0, 'Picarro Output'!$J:$J, 1), "")</f>
        <v/>
      </c>
    </row>
    <row r="6376" spans="2:5" x14ac:dyDescent="0.2">
      <c r="B6376" s="1"/>
      <c r="E6376" s="38" t="str">
        <f>IFERROR(AVERAGEIFS('Picarro Output'!G:G, 'Picarro Output'!$B:$B, 'Uncalibrated Data'!$C6376, 'Picarro Output'!$I:$I, 0, 'Picarro Output'!$J:$J, 1), "")</f>
        <v/>
      </c>
    </row>
    <row r="6377" spans="2:5" x14ac:dyDescent="0.2">
      <c r="B6377" s="1"/>
      <c r="E6377" s="38" t="str">
        <f>IFERROR(AVERAGEIFS('Picarro Output'!G:G, 'Picarro Output'!$B:$B, 'Uncalibrated Data'!$C6377, 'Picarro Output'!$I:$I, 0, 'Picarro Output'!$J:$J, 1), "")</f>
        <v/>
      </c>
    </row>
    <row r="6378" spans="2:5" x14ac:dyDescent="0.2">
      <c r="B6378" s="1"/>
      <c r="E6378" s="38" t="str">
        <f>IFERROR(AVERAGEIFS('Picarro Output'!G:G, 'Picarro Output'!$B:$B, 'Uncalibrated Data'!$C6378, 'Picarro Output'!$I:$I, 0, 'Picarro Output'!$J:$J, 1), "")</f>
        <v/>
      </c>
    </row>
    <row r="6379" spans="2:5" x14ac:dyDescent="0.2">
      <c r="B6379" s="1"/>
      <c r="E6379" s="38" t="str">
        <f>IFERROR(AVERAGEIFS('Picarro Output'!G:G, 'Picarro Output'!$B:$B, 'Uncalibrated Data'!$C6379, 'Picarro Output'!$I:$I, 0, 'Picarro Output'!$J:$J, 1), "")</f>
        <v/>
      </c>
    </row>
    <row r="6380" spans="2:5" x14ac:dyDescent="0.2">
      <c r="B6380" s="1"/>
      <c r="E6380" s="38" t="str">
        <f>IFERROR(AVERAGEIFS('Picarro Output'!G:G, 'Picarro Output'!$B:$B, 'Uncalibrated Data'!$C6380, 'Picarro Output'!$I:$I, 0, 'Picarro Output'!$J:$J, 1), "")</f>
        <v/>
      </c>
    </row>
    <row r="6381" spans="2:5" x14ac:dyDescent="0.2">
      <c r="B6381" s="1"/>
      <c r="E6381" s="38" t="str">
        <f>IFERROR(AVERAGEIFS('Picarro Output'!G:G, 'Picarro Output'!$B:$B, 'Uncalibrated Data'!$C6381, 'Picarro Output'!$I:$I, 0, 'Picarro Output'!$J:$J, 1), "")</f>
        <v/>
      </c>
    </row>
    <row r="6382" spans="2:5" x14ac:dyDescent="0.2">
      <c r="B6382" s="1"/>
      <c r="E6382" s="38" t="str">
        <f>IFERROR(AVERAGEIFS('Picarro Output'!G:G, 'Picarro Output'!$B:$B, 'Uncalibrated Data'!$C6382, 'Picarro Output'!$I:$I, 0, 'Picarro Output'!$J:$J, 1), "")</f>
        <v/>
      </c>
    </row>
    <row r="6383" spans="2:5" x14ac:dyDescent="0.2">
      <c r="B6383" s="1"/>
      <c r="E6383" s="38" t="str">
        <f>IFERROR(AVERAGEIFS('Picarro Output'!G:G, 'Picarro Output'!$B:$B, 'Uncalibrated Data'!$C6383, 'Picarro Output'!$I:$I, 0, 'Picarro Output'!$J:$J, 1), "")</f>
        <v/>
      </c>
    </row>
    <row r="6384" spans="2:5" x14ac:dyDescent="0.2">
      <c r="B6384" s="1"/>
      <c r="E6384" s="38" t="str">
        <f>IFERROR(AVERAGEIFS('Picarro Output'!G:G, 'Picarro Output'!$B:$B, 'Uncalibrated Data'!$C6384, 'Picarro Output'!$I:$I, 0, 'Picarro Output'!$J:$J, 1), "")</f>
        <v/>
      </c>
    </row>
    <row r="6385" spans="2:5" x14ac:dyDescent="0.2">
      <c r="B6385" s="1"/>
      <c r="E6385" s="38" t="str">
        <f>IFERROR(AVERAGEIFS('Picarro Output'!G:G, 'Picarro Output'!$B:$B, 'Uncalibrated Data'!$C6385, 'Picarro Output'!$I:$I, 0, 'Picarro Output'!$J:$J, 1), "")</f>
        <v/>
      </c>
    </row>
    <row r="6386" spans="2:5" x14ac:dyDescent="0.2">
      <c r="B6386" s="1"/>
      <c r="E6386" s="38" t="str">
        <f>IFERROR(AVERAGEIFS('Picarro Output'!G:G, 'Picarro Output'!$B:$B, 'Uncalibrated Data'!$C6386, 'Picarro Output'!$I:$I, 0, 'Picarro Output'!$J:$J, 1), "")</f>
        <v/>
      </c>
    </row>
    <row r="6387" spans="2:5" x14ac:dyDescent="0.2">
      <c r="B6387" s="1"/>
      <c r="E6387" s="38" t="str">
        <f>IFERROR(AVERAGEIFS('Picarro Output'!G:G, 'Picarro Output'!$B:$B, 'Uncalibrated Data'!$C6387, 'Picarro Output'!$I:$I, 0, 'Picarro Output'!$J:$J, 1), "")</f>
        <v/>
      </c>
    </row>
    <row r="6388" spans="2:5" x14ac:dyDescent="0.2">
      <c r="B6388" s="1"/>
      <c r="E6388" s="38" t="str">
        <f>IFERROR(AVERAGEIFS('Picarro Output'!G:G, 'Picarro Output'!$B:$B, 'Uncalibrated Data'!$C6388, 'Picarro Output'!$I:$I, 0, 'Picarro Output'!$J:$J, 1), "")</f>
        <v/>
      </c>
    </row>
    <row r="6389" spans="2:5" x14ac:dyDescent="0.2">
      <c r="B6389" s="1"/>
      <c r="E6389" s="38" t="str">
        <f>IFERROR(AVERAGEIFS('Picarro Output'!G:G, 'Picarro Output'!$B:$B, 'Uncalibrated Data'!$C6389, 'Picarro Output'!$I:$I, 0, 'Picarro Output'!$J:$J, 1), "")</f>
        <v/>
      </c>
    </row>
    <row r="6390" spans="2:5" x14ac:dyDescent="0.2">
      <c r="B6390" s="1"/>
      <c r="E6390" s="38" t="str">
        <f>IFERROR(AVERAGEIFS('Picarro Output'!G:G, 'Picarro Output'!$B:$B, 'Uncalibrated Data'!$C6390, 'Picarro Output'!$I:$I, 0, 'Picarro Output'!$J:$J, 1), "")</f>
        <v/>
      </c>
    </row>
    <row r="6391" spans="2:5" x14ac:dyDescent="0.2">
      <c r="B6391" s="1"/>
      <c r="E6391" s="38" t="str">
        <f>IFERROR(AVERAGEIFS('Picarro Output'!G:G, 'Picarro Output'!$B:$B, 'Uncalibrated Data'!$C6391, 'Picarro Output'!$I:$I, 0, 'Picarro Output'!$J:$J, 1), "")</f>
        <v/>
      </c>
    </row>
    <row r="6392" spans="2:5" x14ac:dyDescent="0.2">
      <c r="B6392" s="1"/>
      <c r="E6392" s="38" t="str">
        <f>IFERROR(AVERAGEIFS('Picarro Output'!G:G, 'Picarro Output'!$B:$B, 'Uncalibrated Data'!$C6392, 'Picarro Output'!$I:$I, 0, 'Picarro Output'!$J:$J, 1), "")</f>
        <v/>
      </c>
    </row>
    <row r="6393" spans="2:5" x14ac:dyDescent="0.2">
      <c r="B6393" s="1"/>
      <c r="E6393" s="38" t="str">
        <f>IFERROR(AVERAGEIFS('Picarro Output'!G:G, 'Picarro Output'!$B:$B, 'Uncalibrated Data'!$C6393, 'Picarro Output'!$I:$I, 0, 'Picarro Output'!$J:$J, 1), "")</f>
        <v/>
      </c>
    </row>
    <row r="6394" spans="2:5" x14ac:dyDescent="0.2">
      <c r="B6394" s="1"/>
      <c r="E6394" s="38" t="str">
        <f>IFERROR(AVERAGEIFS('Picarro Output'!G:G, 'Picarro Output'!$B:$B, 'Uncalibrated Data'!$C6394, 'Picarro Output'!$I:$I, 0, 'Picarro Output'!$J:$J, 1), "")</f>
        <v/>
      </c>
    </row>
    <row r="6395" spans="2:5" x14ac:dyDescent="0.2">
      <c r="B6395" s="1"/>
      <c r="E6395" s="38" t="str">
        <f>IFERROR(AVERAGEIFS('Picarro Output'!G:G, 'Picarro Output'!$B:$B, 'Uncalibrated Data'!$C6395, 'Picarro Output'!$I:$I, 0, 'Picarro Output'!$J:$J, 1), "")</f>
        <v/>
      </c>
    </row>
    <row r="6396" spans="2:5" x14ac:dyDescent="0.2">
      <c r="B6396" s="1"/>
      <c r="E6396" s="38" t="str">
        <f>IFERROR(AVERAGEIFS('Picarro Output'!G:G, 'Picarro Output'!$B:$B, 'Uncalibrated Data'!$C6396, 'Picarro Output'!$I:$I, 0, 'Picarro Output'!$J:$J, 1), "")</f>
        <v/>
      </c>
    </row>
    <row r="6397" spans="2:5" x14ac:dyDescent="0.2">
      <c r="B6397" s="1"/>
      <c r="E6397" s="38" t="str">
        <f>IFERROR(AVERAGEIFS('Picarro Output'!G:G, 'Picarro Output'!$B:$B, 'Uncalibrated Data'!$C6397, 'Picarro Output'!$I:$I, 0, 'Picarro Output'!$J:$J, 1), "")</f>
        <v/>
      </c>
    </row>
    <row r="6398" spans="2:5" x14ac:dyDescent="0.2">
      <c r="B6398" s="1"/>
      <c r="E6398" s="38" t="str">
        <f>IFERROR(AVERAGEIFS('Picarro Output'!G:G, 'Picarro Output'!$B:$B, 'Uncalibrated Data'!$C6398, 'Picarro Output'!$I:$I, 0, 'Picarro Output'!$J:$J, 1), "")</f>
        <v/>
      </c>
    </row>
    <row r="6399" spans="2:5" x14ac:dyDescent="0.2">
      <c r="B6399" s="1"/>
      <c r="E6399" s="38" t="str">
        <f>IFERROR(AVERAGEIFS('Picarro Output'!G:G, 'Picarro Output'!$B:$B, 'Uncalibrated Data'!$C6399, 'Picarro Output'!$I:$I, 0, 'Picarro Output'!$J:$J, 1), "")</f>
        <v/>
      </c>
    </row>
    <row r="6400" spans="2:5" x14ac:dyDescent="0.2">
      <c r="B6400" s="1"/>
      <c r="E6400" s="38" t="str">
        <f>IFERROR(AVERAGEIFS('Picarro Output'!G:G, 'Picarro Output'!$B:$B, 'Uncalibrated Data'!$C6400, 'Picarro Output'!$I:$I, 0, 'Picarro Output'!$J:$J, 1), "")</f>
        <v/>
      </c>
    </row>
    <row r="6401" spans="2:5" x14ac:dyDescent="0.2">
      <c r="B6401" s="1"/>
      <c r="E6401" s="38" t="str">
        <f>IFERROR(AVERAGEIFS('Picarro Output'!G:G, 'Picarro Output'!$B:$B, 'Uncalibrated Data'!$C6401, 'Picarro Output'!$I:$I, 0, 'Picarro Output'!$J:$J, 1), "")</f>
        <v/>
      </c>
    </row>
    <row r="6402" spans="2:5" x14ac:dyDescent="0.2">
      <c r="B6402" s="1"/>
      <c r="E6402" s="38" t="str">
        <f>IFERROR(AVERAGEIFS('Picarro Output'!G:G, 'Picarro Output'!$B:$B, 'Uncalibrated Data'!$C6402, 'Picarro Output'!$I:$I, 0, 'Picarro Output'!$J:$J, 1), "")</f>
        <v/>
      </c>
    </row>
    <row r="6403" spans="2:5" x14ac:dyDescent="0.2">
      <c r="B6403" s="1"/>
      <c r="E6403" s="38" t="str">
        <f>IFERROR(AVERAGEIFS('Picarro Output'!G:G, 'Picarro Output'!$B:$B, 'Uncalibrated Data'!$C6403, 'Picarro Output'!$I:$I, 0, 'Picarro Output'!$J:$J, 1), "")</f>
        <v/>
      </c>
    </row>
    <row r="6404" spans="2:5" x14ac:dyDescent="0.2">
      <c r="B6404" s="1"/>
      <c r="E6404" s="38" t="str">
        <f>IFERROR(AVERAGEIFS('Picarro Output'!G:G, 'Picarro Output'!$B:$B, 'Uncalibrated Data'!$C6404, 'Picarro Output'!$I:$I, 0, 'Picarro Output'!$J:$J, 1), "")</f>
        <v/>
      </c>
    </row>
    <row r="6405" spans="2:5" x14ac:dyDescent="0.2">
      <c r="B6405" s="1"/>
      <c r="E6405" s="38" t="str">
        <f>IFERROR(AVERAGEIFS('Picarro Output'!G:G, 'Picarro Output'!$B:$B, 'Uncalibrated Data'!$C6405, 'Picarro Output'!$I:$I, 0, 'Picarro Output'!$J:$J, 1), "")</f>
        <v/>
      </c>
    </row>
    <row r="6406" spans="2:5" x14ac:dyDescent="0.2">
      <c r="B6406" s="1"/>
      <c r="E6406" s="38" t="str">
        <f>IFERROR(AVERAGEIFS('Picarro Output'!G:G, 'Picarro Output'!$B:$B, 'Uncalibrated Data'!$C6406, 'Picarro Output'!$I:$I, 0, 'Picarro Output'!$J:$J, 1), "")</f>
        <v/>
      </c>
    </row>
    <row r="6407" spans="2:5" x14ac:dyDescent="0.2">
      <c r="B6407" s="1"/>
      <c r="E6407" s="38" t="str">
        <f>IFERROR(AVERAGEIFS('Picarro Output'!G:G, 'Picarro Output'!$B:$B, 'Uncalibrated Data'!$C6407, 'Picarro Output'!$I:$I, 0, 'Picarro Output'!$J:$J, 1), "")</f>
        <v/>
      </c>
    </row>
    <row r="6408" spans="2:5" x14ac:dyDescent="0.2">
      <c r="B6408" s="1"/>
      <c r="E6408" s="38" t="str">
        <f>IFERROR(AVERAGEIFS('Picarro Output'!G:G, 'Picarro Output'!$B:$B, 'Uncalibrated Data'!$C6408, 'Picarro Output'!$I:$I, 0, 'Picarro Output'!$J:$J, 1), "")</f>
        <v/>
      </c>
    </row>
    <row r="6409" spans="2:5" x14ac:dyDescent="0.2">
      <c r="B6409" s="1"/>
      <c r="E6409" s="38" t="str">
        <f>IFERROR(AVERAGEIFS('Picarro Output'!G:G, 'Picarro Output'!$B:$B, 'Uncalibrated Data'!$C6409, 'Picarro Output'!$I:$I, 0, 'Picarro Output'!$J:$J, 1), "")</f>
        <v/>
      </c>
    </row>
    <row r="6410" spans="2:5" x14ac:dyDescent="0.2">
      <c r="B6410" s="1"/>
      <c r="E6410" s="38" t="str">
        <f>IFERROR(AVERAGEIFS('Picarro Output'!G:G, 'Picarro Output'!$B:$B, 'Uncalibrated Data'!$C6410, 'Picarro Output'!$I:$I, 0, 'Picarro Output'!$J:$J, 1), "")</f>
        <v/>
      </c>
    </row>
    <row r="6411" spans="2:5" x14ac:dyDescent="0.2">
      <c r="B6411" s="1"/>
      <c r="E6411" s="38" t="str">
        <f>IFERROR(AVERAGEIFS('Picarro Output'!G:G, 'Picarro Output'!$B:$B, 'Uncalibrated Data'!$C6411, 'Picarro Output'!$I:$I, 0, 'Picarro Output'!$J:$J, 1), "")</f>
        <v/>
      </c>
    </row>
    <row r="6412" spans="2:5" x14ac:dyDescent="0.2">
      <c r="B6412" s="1"/>
      <c r="E6412" s="38" t="str">
        <f>IFERROR(AVERAGEIFS('Picarro Output'!G:G, 'Picarro Output'!$B:$B, 'Uncalibrated Data'!$C6412, 'Picarro Output'!$I:$I, 0, 'Picarro Output'!$J:$J, 1), "")</f>
        <v/>
      </c>
    </row>
    <row r="6413" spans="2:5" x14ac:dyDescent="0.2">
      <c r="B6413" s="1"/>
      <c r="E6413" s="38" t="str">
        <f>IFERROR(AVERAGEIFS('Picarro Output'!G:G, 'Picarro Output'!$B:$B, 'Uncalibrated Data'!$C6413, 'Picarro Output'!$I:$I, 0, 'Picarro Output'!$J:$J, 1), "")</f>
        <v/>
      </c>
    </row>
    <row r="6414" spans="2:5" x14ac:dyDescent="0.2">
      <c r="B6414" s="1"/>
      <c r="E6414" s="38" t="str">
        <f>IFERROR(AVERAGEIFS('Picarro Output'!G:G, 'Picarro Output'!$B:$B, 'Uncalibrated Data'!$C6414, 'Picarro Output'!$I:$I, 0, 'Picarro Output'!$J:$J, 1), "")</f>
        <v/>
      </c>
    </row>
    <row r="6415" spans="2:5" x14ac:dyDescent="0.2">
      <c r="B6415" s="1"/>
      <c r="E6415" s="38" t="str">
        <f>IFERROR(AVERAGEIFS('Picarro Output'!G:G, 'Picarro Output'!$B:$B, 'Uncalibrated Data'!$C6415, 'Picarro Output'!$I:$I, 0, 'Picarro Output'!$J:$J, 1), "")</f>
        <v/>
      </c>
    </row>
    <row r="6416" spans="2:5" x14ac:dyDescent="0.2">
      <c r="B6416" s="1"/>
      <c r="E6416" s="38" t="str">
        <f>IFERROR(AVERAGEIFS('Picarro Output'!G:G, 'Picarro Output'!$B:$B, 'Uncalibrated Data'!$C6416, 'Picarro Output'!$I:$I, 0, 'Picarro Output'!$J:$J, 1), "")</f>
        <v/>
      </c>
    </row>
    <row r="6417" spans="2:5" x14ac:dyDescent="0.2">
      <c r="B6417" s="1"/>
      <c r="E6417" s="38" t="str">
        <f>IFERROR(AVERAGEIFS('Picarro Output'!G:G, 'Picarro Output'!$B:$B, 'Uncalibrated Data'!$C6417, 'Picarro Output'!$I:$I, 0, 'Picarro Output'!$J:$J, 1), "")</f>
        <v/>
      </c>
    </row>
    <row r="6418" spans="2:5" x14ac:dyDescent="0.2">
      <c r="B6418" s="1"/>
      <c r="E6418" s="38" t="str">
        <f>IFERROR(AVERAGEIFS('Picarro Output'!G:G, 'Picarro Output'!$B:$B, 'Uncalibrated Data'!$C6418, 'Picarro Output'!$I:$I, 0, 'Picarro Output'!$J:$J, 1), "")</f>
        <v/>
      </c>
    </row>
    <row r="6419" spans="2:5" x14ac:dyDescent="0.2">
      <c r="B6419" s="1"/>
      <c r="E6419" s="38" t="str">
        <f>IFERROR(AVERAGEIFS('Picarro Output'!G:G, 'Picarro Output'!$B:$B, 'Uncalibrated Data'!$C6419, 'Picarro Output'!$I:$I, 0, 'Picarro Output'!$J:$J, 1), "")</f>
        <v/>
      </c>
    </row>
    <row r="6420" spans="2:5" x14ac:dyDescent="0.2">
      <c r="B6420" s="1"/>
      <c r="E6420" s="38" t="str">
        <f>IFERROR(AVERAGEIFS('Picarro Output'!G:G, 'Picarro Output'!$B:$B, 'Uncalibrated Data'!$C6420, 'Picarro Output'!$I:$I, 0, 'Picarro Output'!$J:$J, 1), "")</f>
        <v/>
      </c>
    </row>
    <row r="6421" spans="2:5" x14ac:dyDescent="0.2">
      <c r="B6421" s="1"/>
      <c r="E6421" s="38" t="str">
        <f>IFERROR(AVERAGEIFS('Picarro Output'!G:G, 'Picarro Output'!$B:$B, 'Uncalibrated Data'!$C6421, 'Picarro Output'!$I:$I, 0, 'Picarro Output'!$J:$J, 1), "")</f>
        <v/>
      </c>
    </row>
  </sheetData>
  <sheetProtection algorithmName="SHA-512" hashValue="JCDeisvL5rF0djdSMrbVL+6yEkxxbNWWEnkHIx0Qyk2mnSiL+oJ/BxcfFD+QiXxFdssiSh0sub1A9xmtmGoZ0g==" saltValue="a0/e058l6f+ygC6YwTmf9A==" spinCount="100000" sheet="1" objects="1" scenarios="1"/>
  <phoneticPr fontId="22" type="noConversion"/>
  <pageMargins left="0.7" right="0.7" top="0.75" bottom="0.75" header="0.3" footer="0.3"/>
  <ignoredErrors>
    <ignoredError sqref="D2:E3 D5:E5 D4:E4 D6:E6 D7:E7 D8:E8 D9:E9 D10:E10 D11:E11 D12:E12 D13:E13 D14:E14 D15:E15 D16:E18 D19:E20 D21:E24 D25:E32 D33:E36" formulaRange="1"/>
  </ignoredErrors>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7"/>
  <sheetViews>
    <sheetView zoomScale="113" workbookViewId="0">
      <selection activeCell="C32" sqref="C32"/>
    </sheetView>
  </sheetViews>
  <sheetFormatPr baseColWidth="10" defaultColWidth="8.83203125" defaultRowHeight="15" x14ac:dyDescent="0.2"/>
  <cols>
    <col min="1" max="1" width="12.5" bestFit="1" customWidth="1"/>
    <col min="2" max="2" width="13.83203125" bestFit="1" customWidth="1"/>
    <col min="3" max="3" width="8.83203125" bestFit="1" customWidth="1"/>
    <col min="4" max="4" width="7.33203125" bestFit="1" customWidth="1"/>
    <col min="6" max="6" width="11.1640625" bestFit="1" customWidth="1"/>
    <col min="7" max="7" width="15.1640625" bestFit="1" customWidth="1"/>
    <col min="8" max="8" width="13.33203125" bestFit="1" customWidth="1"/>
    <col min="10" max="10" width="13.83203125" bestFit="1" customWidth="1"/>
    <col min="11" max="11" width="9.83203125" bestFit="1" customWidth="1"/>
    <col min="12" max="12" width="7.6640625" bestFit="1" customWidth="1"/>
    <col min="13" max="13" width="10.33203125" bestFit="1" customWidth="1"/>
    <col min="14" max="14" width="8.6640625" bestFit="1" customWidth="1"/>
  </cols>
  <sheetData>
    <row r="1" spans="1:14" ht="20" thickBot="1" x14ac:dyDescent="0.3">
      <c r="A1" s="205" t="s">
        <v>71</v>
      </c>
      <c r="B1" s="206"/>
      <c r="C1" s="206"/>
      <c r="D1" s="207"/>
      <c r="F1" s="205" t="s">
        <v>72</v>
      </c>
      <c r="G1" s="206"/>
      <c r="H1" s="207"/>
      <c r="J1" s="51" t="s">
        <v>73</v>
      </c>
      <c r="K1" s="208" t="s">
        <v>68</v>
      </c>
      <c r="L1" s="209"/>
      <c r="M1" s="197" t="s">
        <v>74</v>
      </c>
      <c r="N1" s="198"/>
    </row>
    <row r="2" spans="1:14" ht="16" thickBot="1" x14ac:dyDescent="0.25">
      <c r="A2" s="32" t="s">
        <v>27</v>
      </c>
      <c r="B2" s="34" t="s">
        <v>75</v>
      </c>
      <c r="C2" s="34" t="s">
        <v>76</v>
      </c>
      <c r="D2" s="33" t="s">
        <v>77</v>
      </c>
      <c r="F2" s="32" t="str">
        <f>'Tray Configuration'!C33</f>
        <v>Standard ID</v>
      </c>
      <c r="G2" s="34" t="str">
        <f>'Tray Configuration'!D33</f>
        <v xml:space="preserve"> Actual d(18_16)</v>
      </c>
      <c r="H2" s="33" t="str">
        <f>'Tray Configuration'!E33</f>
        <v>Actual d(D_H)</v>
      </c>
      <c r="J2" s="40" t="s">
        <v>8</v>
      </c>
      <c r="K2" s="41" t="s">
        <v>78</v>
      </c>
      <c r="L2" s="42" t="s">
        <v>79</v>
      </c>
      <c r="M2" s="43" t="s">
        <v>80</v>
      </c>
      <c r="N2" s="42" t="s">
        <v>79</v>
      </c>
    </row>
    <row r="3" spans="1:14" x14ac:dyDescent="0.2">
      <c r="A3" s="128">
        <v>1</v>
      </c>
      <c r="B3" s="131" t="str">
        <f>INDEX('Uncalibrated Data'!$A$2:$E$109, Calibration!A3, 2)</f>
        <v>Ouachita</v>
      </c>
      <c r="C3" s="132">
        <f>INDEX('Uncalibrated Data'!$A$2:$E$109, Calibration!A3, 4)</f>
        <v>-5.5098000000000003</v>
      </c>
      <c r="D3" s="133">
        <f>INDEX('Uncalibrated Data'!$A$2:$E$109, Calibration!A3, 5)</f>
        <v>-29.8414</v>
      </c>
      <c r="F3" s="14" t="str">
        <f>IF('Tray Configuration'!C34="","",'Tray Configuration'!C34)</f>
        <v>Iceland</v>
      </c>
      <c r="G3" s="1">
        <f>IF(F3="","",'Tray Configuration'!D34)</f>
        <v>-8</v>
      </c>
      <c r="H3" s="35">
        <f>IF(F3="","",'Tray Configuration'!E34)</f>
        <v>-52.8</v>
      </c>
      <c r="J3" s="44" t="str">
        <f>IF(A3="","",B3)</f>
        <v>Ouachita</v>
      </c>
      <c r="K3" s="45">
        <f>IF(J3="","",C3)</f>
        <v>-5.5098000000000003</v>
      </c>
      <c r="L3" s="2">
        <f t="shared" ref="L3:L11" si="0">IF(J3="","",SUMIF($F$3:$F$18,J3,$G$3:$G$18))</f>
        <v>-5.5</v>
      </c>
      <c r="M3" s="45">
        <f>IF(J3="","",D3)</f>
        <v>-29.8414</v>
      </c>
      <c r="N3" s="46">
        <f t="shared" ref="N3:N11" si="1">IF(J3="","",SUMIF($F$3:$F$18,J3,$H$3:$H$18))</f>
        <v>-29.6</v>
      </c>
    </row>
    <row r="4" spans="1:14" x14ac:dyDescent="0.2">
      <c r="A4" s="129">
        <v>2</v>
      </c>
      <c r="B4" s="14" t="str">
        <f>INDEX('Uncalibrated Data'!$A$2:$E$109, Calibration!A4, 2)</f>
        <v>Sipsey</v>
      </c>
      <c r="C4" s="38">
        <f>INDEX('Uncalibrated Data'!$A$2:$E$109, Calibration!A4, 4)</f>
        <v>-4.5477999999999996</v>
      </c>
      <c r="D4" s="39">
        <f>INDEX('Uncalibrated Data'!$A$2:$E$109, Calibration!A4, 5)</f>
        <v>-22.656399999999998</v>
      </c>
      <c r="F4" s="14" t="str">
        <f>IF('Tray Configuration'!C35="","",'Tray Configuration'!C35)</f>
        <v>Ouachita</v>
      </c>
      <c r="G4" s="1">
        <f>IF(F4="","",'Tray Configuration'!D35)</f>
        <v>-5.5</v>
      </c>
      <c r="H4" s="35">
        <f>IF(F4="","",'Tray Configuration'!E35)</f>
        <v>-29.6</v>
      </c>
      <c r="J4" s="44" t="str">
        <f>IF(A4="","",B4)</f>
        <v>Sipsey</v>
      </c>
      <c r="K4" s="45">
        <f t="shared" ref="K4:K19" si="2">IF(J4="","",C4)</f>
        <v>-4.5477999999999996</v>
      </c>
      <c r="L4" s="2">
        <f t="shared" si="0"/>
        <v>-4.5</v>
      </c>
      <c r="M4" s="45">
        <f t="shared" ref="M4:M19" si="3">IF(J4="","",D4)</f>
        <v>-22.656399999999998</v>
      </c>
      <c r="N4" s="46">
        <f t="shared" si="1"/>
        <v>-22.4</v>
      </c>
    </row>
    <row r="5" spans="1:14" x14ac:dyDescent="0.2">
      <c r="A5" s="129">
        <v>3</v>
      </c>
      <c r="B5" s="14" t="str">
        <f>INDEX('Uncalibrated Data'!$A$2:$E$109, Calibration!A5, 2)</f>
        <v>Iceland</v>
      </c>
      <c r="C5" s="38">
        <f>INDEX('Uncalibrated Data'!$A$2:$E$109, Calibration!A5, 4)</f>
        <v>-7.9613999999999994</v>
      </c>
      <c r="D5" s="39">
        <f>INDEX('Uncalibrated Data'!$A$2:$E$109, Calibration!A5, 5)</f>
        <v>-52.719799999999999</v>
      </c>
      <c r="F5" s="14" t="str">
        <f>IF('Tray Configuration'!C36="","",'Tray Configuration'!C36)</f>
        <v>Sipsey</v>
      </c>
      <c r="G5" s="1">
        <f>IF(F5="","",'Tray Configuration'!D36)</f>
        <v>-4.5</v>
      </c>
      <c r="H5" s="35">
        <f>IF(F5="","",'Tray Configuration'!E36)</f>
        <v>-22.4</v>
      </c>
      <c r="J5" s="44" t="str">
        <f t="shared" ref="J5:J19" si="4">IF(A5="","",B5)</f>
        <v>Iceland</v>
      </c>
      <c r="K5" s="45">
        <f t="shared" si="2"/>
        <v>-7.9613999999999994</v>
      </c>
      <c r="L5" s="2">
        <f t="shared" si="0"/>
        <v>-8</v>
      </c>
      <c r="M5" s="45">
        <f t="shared" si="3"/>
        <v>-52.719799999999999</v>
      </c>
      <c r="N5" s="46">
        <f t="shared" si="1"/>
        <v>-52.8</v>
      </c>
    </row>
    <row r="6" spans="1:14" x14ac:dyDescent="0.2">
      <c r="A6" s="129">
        <v>4</v>
      </c>
      <c r="B6" s="14" t="str">
        <f>INDEX('Uncalibrated Data'!$A$2:$E$109, Calibration!A6, 2)</f>
        <v>Sipsey</v>
      </c>
      <c r="C6" s="38">
        <f>INDEX('Uncalibrated Data'!$A$2:$E$109, Calibration!A6, 4)</f>
        <v>-4.4944000000000006</v>
      </c>
      <c r="D6" s="39">
        <f>INDEX('Uncalibrated Data'!$A$2:$E$109, Calibration!A6, 5)</f>
        <v>-22.493400000000001</v>
      </c>
      <c r="F6" s="14" t="str">
        <f>IF('Tray Configuration'!C38="","",'Tray Configuration'!C38)</f>
        <v/>
      </c>
      <c r="G6" s="1" t="str">
        <f>IF(F6="","",'Tray Configuration'!D38)</f>
        <v/>
      </c>
      <c r="H6" s="35" t="str">
        <f>IF(F6="","",'Tray Configuration'!E38)</f>
        <v/>
      </c>
      <c r="J6" s="44" t="str">
        <f t="shared" si="4"/>
        <v>Sipsey</v>
      </c>
      <c r="K6" s="45">
        <f t="shared" si="2"/>
        <v>-4.4944000000000006</v>
      </c>
      <c r="L6" s="2">
        <f t="shared" si="0"/>
        <v>-4.5</v>
      </c>
      <c r="M6" s="45">
        <f t="shared" si="3"/>
        <v>-22.493400000000001</v>
      </c>
      <c r="N6" s="46">
        <f t="shared" si="1"/>
        <v>-22.4</v>
      </c>
    </row>
    <row r="7" spans="1:14" x14ac:dyDescent="0.2">
      <c r="A7" s="129">
        <v>5</v>
      </c>
      <c r="B7" s="14" t="str">
        <f>INDEX('Uncalibrated Data'!$A$2:$E$109, Calibration!A7, 2)</f>
        <v>Ouachita</v>
      </c>
      <c r="C7" s="38">
        <f>INDEX('Uncalibrated Data'!$A$2:$E$109, Calibration!A7, 4)</f>
        <v>-5.4786000000000001</v>
      </c>
      <c r="D7" s="39">
        <f>INDEX('Uncalibrated Data'!$A$2:$E$109, Calibration!A7, 5)</f>
        <v>-29.412799999999997</v>
      </c>
      <c r="F7" s="14" t="str">
        <f>IF('Tray Configuration'!C39="","",'Tray Configuration'!C39)</f>
        <v/>
      </c>
      <c r="G7" s="1" t="str">
        <f>IF(F7="","",'Tray Configuration'!D39)</f>
        <v/>
      </c>
      <c r="H7" s="35" t="str">
        <f>IF(F7="","",'Tray Configuration'!E39)</f>
        <v/>
      </c>
      <c r="J7" s="44" t="str">
        <f t="shared" si="4"/>
        <v>Ouachita</v>
      </c>
      <c r="K7" s="45">
        <f t="shared" si="2"/>
        <v>-5.4786000000000001</v>
      </c>
      <c r="L7" s="2">
        <f t="shared" si="0"/>
        <v>-5.5</v>
      </c>
      <c r="M7" s="45">
        <f t="shared" si="3"/>
        <v>-29.412799999999997</v>
      </c>
      <c r="N7" s="46">
        <f t="shared" si="1"/>
        <v>-29.6</v>
      </c>
    </row>
    <row r="8" spans="1:14" x14ac:dyDescent="0.2">
      <c r="A8" s="129">
        <v>32</v>
      </c>
      <c r="B8" s="14" t="str">
        <f>INDEX('Uncalibrated Data'!$A$2:$E$109, Calibration!A8, 2)</f>
        <v>Ouachita</v>
      </c>
      <c r="C8" s="38">
        <f>INDEX('Uncalibrated Data'!$A$2:$E$109, Calibration!A8, 4)</f>
        <v>-5.4641999999999999</v>
      </c>
      <c r="D8" s="39">
        <f>INDEX('Uncalibrated Data'!$A$2:$E$109, Calibration!A8, 5)</f>
        <v>-29.222799999999999</v>
      </c>
      <c r="F8" s="14" t="str">
        <f>IF('Tray Configuration'!C40="","",'Tray Configuration'!C40)</f>
        <v/>
      </c>
      <c r="G8" s="1" t="str">
        <f>IF(F8="","",'Tray Configuration'!D40)</f>
        <v/>
      </c>
      <c r="H8" s="35" t="str">
        <f>IF(F8="","",'Tray Configuration'!E40)</f>
        <v/>
      </c>
      <c r="J8" s="44" t="str">
        <f t="shared" si="4"/>
        <v>Ouachita</v>
      </c>
      <c r="K8" s="45">
        <f t="shared" si="2"/>
        <v>-5.4641999999999999</v>
      </c>
      <c r="L8" s="2">
        <f t="shared" si="0"/>
        <v>-5.5</v>
      </c>
      <c r="M8" s="45">
        <f t="shared" si="3"/>
        <v>-29.222799999999999</v>
      </c>
      <c r="N8" s="46">
        <f t="shared" si="1"/>
        <v>-29.6</v>
      </c>
    </row>
    <row r="9" spans="1:14" x14ac:dyDescent="0.2">
      <c r="A9" s="129">
        <v>33</v>
      </c>
      <c r="B9" s="14" t="str">
        <f>INDEX('Uncalibrated Data'!$A$2:$E$109, Calibration!A9, 2)</f>
        <v>Sipsey</v>
      </c>
      <c r="C9" s="38">
        <f>INDEX('Uncalibrated Data'!$A$2:$E$109, Calibration!A9, 4)</f>
        <v>-4.5335999999999999</v>
      </c>
      <c r="D9" s="39">
        <f>INDEX('Uncalibrated Data'!$A$2:$E$109, Calibration!A9, 5)</f>
        <v>-22.321799999999996</v>
      </c>
      <c r="F9" s="14" t="str">
        <f>IF('Tray Configuration'!C41="","",'Tray Configuration'!C41)</f>
        <v/>
      </c>
      <c r="G9" s="1" t="str">
        <f>IF(F9="","",'Tray Configuration'!D41)</f>
        <v/>
      </c>
      <c r="H9" s="35" t="str">
        <f>IF(F9="","",'Tray Configuration'!E41)</f>
        <v/>
      </c>
      <c r="J9" s="44" t="str">
        <f t="shared" si="4"/>
        <v>Sipsey</v>
      </c>
      <c r="K9" s="45">
        <f t="shared" si="2"/>
        <v>-4.5335999999999999</v>
      </c>
      <c r="L9" s="2">
        <f t="shared" si="0"/>
        <v>-4.5</v>
      </c>
      <c r="M9" s="45">
        <f t="shared" si="3"/>
        <v>-22.321799999999996</v>
      </c>
      <c r="N9" s="46">
        <f t="shared" si="1"/>
        <v>-22.4</v>
      </c>
    </row>
    <row r="10" spans="1:14" x14ac:dyDescent="0.2">
      <c r="A10" s="129">
        <v>34</v>
      </c>
      <c r="B10" s="14" t="str">
        <f>INDEX('Uncalibrated Data'!$A$2:$E$109, Calibration!A10, 2)</f>
        <v>Iceland</v>
      </c>
      <c r="C10" s="38">
        <f>INDEX('Uncalibrated Data'!$A$2:$E$109, Calibration!A10, 4)</f>
        <v>-7.9722000000000008</v>
      </c>
      <c r="D10" s="39">
        <f>INDEX('Uncalibrated Data'!$A$2:$E$109, Calibration!A10, 5)</f>
        <v>-52.412599999999998</v>
      </c>
      <c r="F10" s="14" t="str">
        <f>IF('Tray Configuration'!C42="","",'Tray Configuration'!C42)</f>
        <v/>
      </c>
      <c r="G10" s="1" t="str">
        <f>IF(F10="","",'Tray Configuration'!D42)</f>
        <v/>
      </c>
      <c r="H10" s="35" t="str">
        <f>IF(F10="","",'Tray Configuration'!E42)</f>
        <v/>
      </c>
      <c r="J10" s="44" t="str">
        <f t="shared" si="4"/>
        <v>Iceland</v>
      </c>
      <c r="K10" s="45">
        <f t="shared" si="2"/>
        <v>-7.9722000000000008</v>
      </c>
      <c r="L10" s="2">
        <f t="shared" si="0"/>
        <v>-8</v>
      </c>
      <c r="M10" s="45">
        <f t="shared" si="3"/>
        <v>-52.412599999999998</v>
      </c>
      <c r="N10" s="46">
        <f t="shared" si="1"/>
        <v>-52.8</v>
      </c>
    </row>
    <row r="11" spans="1:14" x14ac:dyDescent="0.2">
      <c r="A11" s="124">
        <v>35</v>
      </c>
      <c r="B11" s="125" t="str">
        <f>INDEX('Uncalibrated Data'!$A$2:$E$109, Calibration!A11, 2)</f>
        <v>Ouachita</v>
      </c>
      <c r="C11" s="126">
        <f>INDEX('Uncalibrated Data'!$A$2:$E$109, Calibration!A11, 4)</f>
        <v>-5.4994000000000005</v>
      </c>
      <c r="D11" s="127">
        <f>INDEX('Uncalibrated Data'!$A$2:$E$109, Calibration!A11, 5)</f>
        <v>-29.331600000000002</v>
      </c>
      <c r="F11" s="14"/>
      <c r="G11" s="1"/>
      <c r="H11" s="35"/>
      <c r="J11" s="139" t="str">
        <f t="shared" si="4"/>
        <v>Ouachita</v>
      </c>
      <c r="K11" s="140">
        <f t="shared" si="2"/>
        <v>-5.4994000000000005</v>
      </c>
      <c r="L11" s="141">
        <f t="shared" si="0"/>
        <v>-5.5</v>
      </c>
      <c r="M11" s="140">
        <f t="shared" si="3"/>
        <v>-29.331600000000002</v>
      </c>
      <c r="N11" s="142">
        <f t="shared" si="1"/>
        <v>-29.6</v>
      </c>
    </row>
    <row r="12" spans="1:14" x14ac:dyDescent="0.2">
      <c r="A12" s="129">
        <v>67</v>
      </c>
      <c r="B12" s="14" t="str">
        <f>INDEX('Uncalibrated Data'!$A$2:$E$109, Calibration!A12, 2)</f>
        <v>Ouachita</v>
      </c>
      <c r="C12" s="38">
        <f>INDEX('Uncalibrated Data'!$A$2:$E$109, Calibration!A12, 4)</f>
        <v>-5.3950000000000005</v>
      </c>
      <c r="D12" s="39">
        <f>INDEX('Uncalibrated Data'!$A$2:$E$109, Calibration!A12, 5)</f>
        <v>-28.869399999999995</v>
      </c>
      <c r="F12" s="14"/>
      <c r="G12" s="1"/>
      <c r="H12" s="35"/>
      <c r="J12" s="44" t="str">
        <f t="shared" si="4"/>
        <v>Ouachita</v>
      </c>
      <c r="K12" s="45">
        <f t="shared" si="2"/>
        <v>-5.3950000000000005</v>
      </c>
      <c r="L12" s="2">
        <f t="shared" ref="L12:L15" si="5">IF(J12="","",SUMIF($F$3:$F$18,J12,$G$3:$G$18))</f>
        <v>-5.5</v>
      </c>
      <c r="M12" s="45">
        <f t="shared" si="3"/>
        <v>-28.869399999999995</v>
      </c>
      <c r="N12" s="46">
        <f t="shared" ref="N12:N15" si="6">IF(J12="","",SUMIF($F$3:$F$18,J12,$H$3:$H$18))</f>
        <v>-29.6</v>
      </c>
    </row>
    <row r="13" spans="1:14" x14ac:dyDescent="0.2">
      <c r="A13" s="129">
        <v>68</v>
      </c>
      <c r="B13" s="14" t="str">
        <f>INDEX('Uncalibrated Data'!$A$2:$E$109, Calibration!A13, 2)</f>
        <v>Sipsey</v>
      </c>
      <c r="C13" s="38">
        <f>INDEX('Uncalibrated Data'!$A$2:$E$109, Calibration!A13, 4)</f>
        <v>-4.4809999999999999</v>
      </c>
      <c r="D13" s="39">
        <f>INDEX('Uncalibrated Data'!$A$2:$E$109, Calibration!A13, 5)</f>
        <v>-22.0198</v>
      </c>
      <c r="F13" s="14"/>
      <c r="G13" s="1"/>
      <c r="H13" s="35"/>
      <c r="J13" s="44" t="str">
        <f t="shared" si="4"/>
        <v>Sipsey</v>
      </c>
      <c r="K13" s="45">
        <f t="shared" si="2"/>
        <v>-4.4809999999999999</v>
      </c>
      <c r="L13" s="2">
        <f t="shared" si="5"/>
        <v>-4.5</v>
      </c>
      <c r="M13" s="45">
        <f t="shared" si="3"/>
        <v>-22.0198</v>
      </c>
      <c r="N13" s="46">
        <f t="shared" si="6"/>
        <v>-22.4</v>
      </c>
    </row>
    <row r="14" spans="1:14" x14ac:dyDescent="0.2">
      <c r="A14" s="129">
        <v>69</v>
      </c>
      <c r="B14" s="14" t="str">
        <f>INDEX('Uncalibrated Data'!$A$2:$E$109, Calibration!A14, 2)</f>
        <v>Iceland</v>
      </c>
      <c r="C14" s="38">
        <f>INDEX('Uncalibrated Data'!$A$2:$E$109, Calibration!A14, 4)</f>
        <v>-7.9144000000000005</v>
      </c>
      <c r="D14" s="39">
        <f>INDEX('Uncalibrated Data'!$A$2:$E$109, Calibration!A14, 5)</f>
        <v>-52.214800000000004</v>
      </c>
      <c r="F14" s="14"/>
      <c r="G14" s="1"/>
      <c r="H14" s="35"/>
      <c r="J14" s="44" t="str">
        <f t="shared" si="4"/>
        <v>Iceland</v>
      </c>
      <c r="K14" s="45">
        <f t="shared" si="2"/>
        <v>-7.9144000000000005</v>
      </c>
      <c r="L14" s="2">
        <f t="shared" si="5"/>
        <v>-8</v>
      </c>
      <c r="M14" s="45">
        <f t="shared" si="3"/>
        <v>-52.214800000000004</v>
      </c>
      <c r="N14" s="46">
        <f t="shared" si="6"/>
        <v>-52.8</v>
      </c>
    </row>
    <row r="15" spans="1:14" x14ac:dyDescent="0.2">
      <c r="A15" s="124">
        <v>70</v>
      </c>
      <c r="B15" s="125" t="str">
        <f>INDEX('Uncalibrated Data'!$A$2:$E$109, Calibration!A15, 2)</f>
        <v>Ouachita</v>
      </c>
      <c r="C15" s="126">
        <f>INDEX('Uncalibrated Data'!$A$2:$E$109, Calibration!A15, 4)</f>
        <v>-5.4143999999999997</v>
      </c>
      <c r="D15" s="127">
        <f>INDEX('Uncalibrated Data'!$A$2:$E$109, Calibration!A15, 5)</f>
        <v>-29.003799999999995</v>
      </c>
      <c r="F15" s="14" t="str">
        <f>IF('Tray Configuration'!C43="","",'Tray Configuration'!C43)</f>
        <v/>
      </c>
      <c r="G15" s="1" t="str">
        <f>IF(F15="","",'Tray Configuration'!D43)</f>
        <v/>
      </c>
      <c r="H15" s="35" t="str">
        <f>IF(F15="","",'Tray Configuration'!E43)</f>
        <v/>
      </c>
      <c r="J15" s="139" t="str">
        <f t="shared" si="4"/>
        <v>Ouachita</v>
      </c>
      <c r="K15" s="140">
        <f t="shared" si="2"/>
        <v>-5.4143999999999997</v>
      </c>
      <c r="L15" s="141">
        <f t="shared" si="5"/>
        <v>-5.5</v>
      </c>
      <c r="M15" s="140">
        <f t="shared" si="3"/>
        <v>-29.003799999999995</v>
      </c>
      <c r="N15" s="142">
        <f t="shared" si="6"/>
        <v>-29.6</v>
      </c>
    </row>
    <row r="16" spans="1:14" x14ac:dyDescent="0.2">
      <c r="A16" s="129">
        <v>102</v>
      </c>
      <c r="B16" s="14">
        <f>INDEX('Uncalibrated Data'!$A$2:$E$109, Calibration!A16, 2)</f>
        <v>0</v>
      </c>
      <c r="C16" s="38" t="e">
        <f>INDEX('Uncalibrated Data'!$A$2:$E$109, Calibration!A16, 4)</f>
        <v>#DIV/0!</v>
      </c>
      <c r="D16" s="39" t="e">
        <f>INDEX('Uncalibrated Data'!$A$2:$E$109, Calibration!A16, 5)</f>
        <v>#DIV/0!</v>
      </c>
      <c r="F16" s="14" t="str">
        <f>IF('Tray Configuration'!C44="","",'Tray Configuration'!C44)</f>
        <v/>
      </c>
      <c r="G16" s="1" t="str">
        <f>IF(F16="","",'Tray Configuration'!D44)</f>
        <v/>
      </c>
      <c r="H16" s="35" t="str">
        <f>IF(F16="","",'Tray Configuration'!E44)</f>
        <v/>
      </c>
      <c r="J16" s="44">
        <f t="shared" si="4"/>
        <v>0</v>
      </c>
      <c r="K16" s="45" t="e">
        <f t="shared" si="2"/>
        <v>#DIV/0!</v>
      </c>
      <c r="L16" s="2">
        <f>IF(J16="","",SUMIF($F$3:$F$18,J16,$G$3:$G$18))</f>
        <v>0</v>
      </c>
      <c r="M16" s="45" t="e">
        <f t="shared" si="3"/>
        <v>#DIV/0!</v>
      </c>
      <c r="N16" s="46">
        <f>IF(J16="","",SUMIF($F$3:$F$18,J16,$H$3:$H$18))</f>
        <v>0</v>
      </c>
    </row>
    <row r="17" spans="1:14" x14ac:dyDescent="0.2">
      <c r="A17" s="129">
        <v>103</v>
      </c>
      <c r="B17" s="14">
        <f>INDEX('Uncalibrated Data'!$A$2:$E$109, Calibration!A17, 2)</f>
        <v>0</v>
      </c>
      <c r="C17" s="38" t="e">
        <f>INDEX('Uncalibrated Data'!$A$2:$E$109, Calibration!A17, 4)</f>
        <v>#DIV/0!</v>
      </c>
      <c r="D17" s="39" t="e">
        <f>INDEX('Uncalibrated Data'!$A$2:$E$109, Calibration!A17, 5)</f>
        <v>#DIV/0!</v>
      </c>
      <c r="F17" s="14" t="str">
        <f>IF('Tray Configuration'!C45="","",'Tray Configuration'!C45)</f>
        <v/>
      </c>
      <c r="G17" s="1" t="str">
        <f>IF(F17="","",'Tray Configuration'!D45)</f>
        <v/>
      </c>
      <c r="H17" s="35" t="str">
        <f>IF(F17="","",'Tray Configuration'!E45)</f>
        <v/>
      </c>
      <c r="J17" s="44">
        <f t="shared" si="4"/>
        <v>0</v>
      </c>
      <c r="K17" s="45" t="e">
        <f t="shared" si="2"/>
        <v>#DIV/0!</v>
      </c>
      <c r="L17" s="2">
        <f>IF(J17="","",SUMIF($F$3:$F$18,J17,$G$3:$G$18))</f>
        <v>0</v>
      </c>
      <c r="M17" s="45" t="e">
        <f t="shared" si="3"/>
        <v>#DIV/0!</v>
      </c>
      <c r="N17" s="46">
        <f>IF(J17="","",SUMIF($F$3:$F$18,J17,$H$3:$H$18))</f>
        <v>0</v>
      </c>
    </row>
    <row r="18" spans="1:14" ht="16" thickBot="1" x14ac:dyDescent="0.25">
      <c r="A18" s="129">
        <v>104</v>
      </c>
      <c r="B18" s="14">
        <f>INDEX('Uncalibrated Data'!$A$2:$E$109, Calibration!A18, 2)</f>
        <v>0</v>
      </c>
      <c r="C18" s="38" t="e">
        <f>INDEX('Uncalibrated Data'!$A$2:$E$109, Calibration!A18, 4)</f>
        <v>#DIV/0!</v>
      </c>
      <c r="D18" s="39" t="e">
        <f>INDEX('Uncalibrated Data'!$A$2:$E$109, Calibration!A18, 5)</f>
        <v>#DIV/0!</v>
      </c>
      <c r="F18" s="15" t="str">
        <f>IF('Tray Configuration'!C46="","",'Tray Configuration'!C46)</f>
        <v/>
      </c>
      <c r="G18" s="36"/>
      <c r="H18" s="37"/>
      <c r="J18" s="44">
        <f t="shared" si="4"/>
        <v>0</v>
      </c>
      <c r="K18" s="45" t="e">
        <f t="shared" si="2"/>
        <v>#DIV/0!</v>
      </c>
      <c r="L18" s="2">
        <f>IF(J18="","",SUMIF($F$3:$F$18,J18,$G$3:$G$18))</f>
        <v>0</v>
      </c>
      <c r="M18" s="45" t="e">
        <f t="shared" si="3"/>
        <v>#DIV/0!</v>
      </c>
      <c r="N18" s="46">
        <f>IF(J18="","",SUMIF($F$3:$F$18,J18,$H$3:$H$18))</f>
        <v>0</v>
      </c>
    </row>
    <row r="19" spans="1:14" ht="16" thickBot="1" x14ac:dyDescent="0.25">
      <c r="A19" s="130">
        <v>105</v>
      </c>
      <c r="B19" s="15">
        <f>INDEX('Uncalibrated Data'!$A$2:$E$109, Calibration!A19, 2)</f>
        <v>0</v>
      </c>
      <c r="C19" s="65" t="e">
        <f>INDEX('Uncalibrated Data'!$A$2:$E$109, Calibration!A19, 4)</f>
        <v>#DIV/0!</v>
      </c>
      <c r="D19" s="66" t="e">
        <f>INDEX('Uncalibrated Data'!$A$2:$E$109, Calibration!A19, 5)</f>
        <v>#DIV/0!</v>
      </c>
      <c r="J19" s="47">
        <f t="shared" si="4"/>
        <v>0</v>
      </c>
      <c r="K19" s="48" t="e">
        <f t="shared" si="2"/>
        <v>#DIV/0!</v>
      </c>
      <c r="L19" s="49">
        <f>IF(J19="","",SUMIF($F$3:$F$18,J19,$G$3:$G$18))</f>
        <v>0</v>
      </c>
      <c r="M19" s="48" t="e">
        <f t="shared" si="3"/>
        <v>#DIV/0!</v>
      </c>
      <c r="N19" s="50">
        <f>IF(J19="","",SUMIF($F$3:$F$18,J19,$H$3:$H$18))</f>
        <v>0</v>
      </c>
    </row>
    <row r="21" spans="1:14" ht="16" thickBot="1" x14ac:dyDescent="0.25"/>
    <row r="22" spans="1:14" ht="16" thickBot="1" x14ac:dyDescent="0.25">
      <c r="A22" s="202" t="s">
        <v>81</v>
      </c>
      <c r="B22" s="203"/>
      <c r="C22" s="204"/>
    </row>
    <row r="23" spans="1:14" x14ac:dyDescent="0.2">
      <c r="A23" s="199" t="s">
        <v>82</v>
      </c>
      <c r="B23" s="200"/>
      <c r="C23" s="201"/>
    </row>
    <row r="24" spans="1:14" ht="16" thickBot="1" x14ac:dyDescent="0.25">
      <c r="A24" s="134"/>
      <c r="B24" s="135" t="s">
        <v>68</v>
      </c>
      <c r="C24" s="136" t="s">
        <v>74</v>
      </c>
    </row>
    <row r="25" spans="1:14" x14ac:dyDescent="0.2">
      <c r="A25" s="10" t="s">
        <v>83</v>
      </c>
      <c r="B25" s="57">
        <f>IF(A3="",1,SLOPE(L3:L7,K3:K7))</f>
        <v>1.0168445282516418</v>
      </c>
      <c r="C25" s="58">
        <f>IF(A3="",0,SLOPE(N3:N7,M3:M7))</f>
        <v>1.0077767852911474</v>
      </c>
    </row>
    <row r="26" spans="1:14" x14ac:dyDescent="0.2">
      <c r="A26" s="10" t="s">
        <v>84</v>
      </c>
      <c r="B26" s="137">
        <f>IF(A3="",1,INTERCEPT(L3:L7,K3:K7))</f>
        <v>9.2702406963991457E-2</v>
      </c>
      <c r="C26" s="138">
        <f>IF(A3="",0,INTERCEPT(N3:N7,M3:M7))</f>
        <v>0.30914361134584567</v>
      </c>
    </row>
    <row r="27" spans="1:14" ht="16" thickBot="1" x14ac:dyDescent="0.25">
      <c r="A27" s="10" t="s">
        <v>85</v>
      </c>
      <c r="B27">
        <f>RSQ(L3:L7,K3:K7)</f>
        <v>0.99974417941677562</v>
      </c>
      <c r="C27" s="11">
        <f>RSQ(N3:N7,M3:M7)</f>
        <v>0.99981490595745615</v>
      </c>
    </row>
    <row r="28" spans="1:14" x14ac:dyDescent="0.2">
      <c r="A28" s="199" t="s">
        <v>86</v>
      </c>
      <c r="B28" s="200"/>
      <c r="C28" s="201"/>
    </row>
    <row r="29" spans="1:14" ht="16" thickBot="1" x14ac:dyDescent="0.25">
      <c r="A29" s="134"/>
      <c r="B29" s="135" t="s">
        <v>68</v>
      </c>
      <c r="C29" s="136" t="s">
        <v>74</v>
      </c>
    </row>
    <row r="30" spans="1:14" x14ac:dyDescent="0.2">
      <c r="A30" s="10" t="s">
        <v>83</v>
      </c>
      <c r="B30">
        <f>IF(A8="",1,SLOPE(L8:L11,K8:K11))</f>
        <v>1.0136272581066978</v>
      </c>
      <c r="C30" s="11">
        <f>IF(A8="",0,SLOPE(N8:N11,M8:M11))</f>
        <v>1.007561084510046</v>
      </c>
    </row>
    <row r="31" spans="1:14" x14ac:dyDescent="0.2">
      <c r="A31" s="10" t="s">
        <v>84</v>
      </c>
      <c r="B31">
        <f>IF(A8="",1,INTERCEPT(L8:L11,K8:K11))</f>
        <v>7.2305892852333464E-2</v>
      </c>
      <c r="C31" s="11">
        <f>IF(A8="",0,INTERCEPT(N8:N11,M8:M11))</f>
        <v>-2.5848029739343303E-2</v>
      </c>
    </row>
    <row r="32" spans="1:14" ht="16" thickBot="1" x14ac:dyDescent="0.25">
      <c r="A32" s="10" t="s">
        <v>85</v>
      </c>
      <c r="B32">
        <f>RSQ(L8:L11,K8:K11)</f>
        <v>0.99973961735544192</v>
      </c>
      <c r="C32" s="11">
        <f>RSQ(N8:N11,M8:M11)</f>
        <v>0.99993879910368855</v>
      </c>
    </row>
    <row r="33" spans="1:3" x14ac:dyDescent="0.2">
      <c r="A33" s="199" t="s">
        <v>87</v>
      </c>
      <c r="B33" s="200"/>
      <c r="C33" s="201"/>
    </row>
    <row r="34" spans="1:3" ht="16" thickBot="1" x14ac:dyDescent="0.25">
      <c r="A34" s="134"/>
      <c r="B34" s="135" t="s">
        <v>68</v>
      </c>
      <c r="C34" s="136" t="s">
        <v>74</v>
      </c>
    </row>
    <row r="35" spans="1:3" x14ac:dyDescent="0.2">
      <c r="A35" s="10" t="s">
        <v>83</v>
      </c>
      <c r="B35">
        <f>IF(A13="",1,SLOPE(L12:L15,K12:K15))</f>
        <v>1.0122709088609476</v>
      </c>
      <c r="C35" s="11">
        <f>IF(A13="",0,SLOPE(N12:N15,M12:M15))</f>
        <v>1.0030751673630875</v>
      </c>
    </row>
    <row r="36" spans="1:3" x14ac:dyDescent="0.2">
      <c r="A36" s="10" t="s">
        <v>84</v>
      </c>
      <c r="B36">
        <f>IF(A13="",1,INTERCEPT(L12:L15,K12:K15))</f>
        <v>-2.6140035158697117E-3</v>
      </c>
      <c r="C36" s="11">
        <f>IF(A13="",0,INTERCEPT(N12:N15,M12:M15))</f>
        <v>-0.4714866012576806</v>
      </c>
    </row>
    <row r="37" spans="1:3" ht="16" thickBot="1" x14ac:dyDescent="0.25">
      <c r="A37" s="9" t="s">
        <v>85</v>
      </c>
      <c r="B37" s="12">
        <f>RSQ(L12:L15,K12:K15)</f>
        <v>0.99951061912382966</v>
      </c>
      <c r="C37" s="13">
        <f>RSQ(N12:N15,M12:M15)</f>
        <v>0.99989022066379618</v>
      </c>
    </row>
  </sheetData>
  <mergeCells count="8">
    <mergeCell ref="M1:N1"/>
    <mergeCell ref="A23:C23"/>
    <mergeCell ref="A28:C28"/>
    <mergeCell ref="A33:C33"/>
    <mergeCell ref="A22:C22"/>
    <mergeCell ref="A1:D1"/>
    <mergeCell ref="F1:H1"/>
    <mergeCell ref="K1:L1"/>
  </mergeCells>
  <phoneticPr fontId="22"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237"/>
  <sheetViews>
    <sheetView zoomScale="94" zoomScaleNormal="100" workbookViewId="0">
      <selection activeCell="N14" sqref="N14"/>
    </sheetView>
  </sheetViews>
  <sheetFormatPr baseColWidth="10" defaultColWidth="8.83203125" defaultRowHeight="15" x14ac:dyDescent="0.2"/>
  <cols>
    <col min="1" max="1" width="26" style="1" bestFit="1" customWidth="1"/>
    <col min="2" max="2" width="8.83203125" style="56" bestFit="1" customWidth="1"/>
    <col min="3" max="3" width="9.1640625" style="56" bestFit="1" customWidth="1"/>
    <col min="6" max="6" width="10.33203125" bestFit="1" customWidth="1"/>
    <col min="7" max="7" width="10" bestFit="1" customWidth="1"/>
    <col min="8" max="8" width="11" bestFit="1" customWidth="1"/>
    <col min="9" max="9" width="8.83203125" style="1"/>
    <col min="11" max="11" width="27.1640625" bestFit="1" customWidth="1"/>
    <col min="14" max="14" width="27.1640625" bestFit="1" customWidth="1"/>
    <col min="15" max="15" width="9" bestFit="1" customWidth="1"/>
    <col min="16" max="16" width="9.1640625" bestFit="1" customWidth="1"/>
  </cols>
  <sheetData>
    <row r="1" spans="1:22" ht="16" thickBot="1" x14ac:dyDescent="0.25">
      <c r="A1" s="143" t="str">
        <f>'[1]Uncalibrated Data'!B1</f>
        <v>Sample ID</v>
      </c>
      <c r="B1" s="68" t="str">
        <f>'[1]Uncalibrated Data'!D1</f>
        <v>d(18_16)</v>
      </c>
      <c r="C1" s="69" t="str">
        <f>'[1]Uncalibrated Data'!E1</f>
        <v>d(D_H)</v>
      </c>
      <c r="F1" s="210" t="s">
        <v>88</v>
      </c>
      <c r="G1" s="211"/>
      <c r="H1" s="212"/>
      <c r="I1" s="154" t="s">
        <v>89</v>
      </c>
      <c r="L1" s="213" t="s">
        <v>76</v>
      </c>
      <c r="M1" s="214"/>
      <c r="N1" s="215"/>
      <c r="O1" s="213" t="s">
        <v>74</v>
      </c>
      <c r="P1" s="214"/>
      <c r="Q1" s="215"/>
      <c r="U1" s="224" t="s">
        <v>1244</v>
      </c>
      <c r="V1" s="225"/>
    </row>
    <row r="2" spans="1:22" ht="16" thickBot="1" x14ac:dyDescent="0.25">
      <c r="A2" s="131" t="str">
        <f>'Uncalibrated Data'!B2</f>
        <v>Ouachita</v>
      </c>
      <c r="B2" s="146">
        <f>IF('Uncalibrated Data'!D2="","",Calibration!$B$25*'Uncalibrated Data'!D2+Calibration!$B$26)</f>
        <v>-5.5099075747969053</v>
      </c>
      <c r="C2" s="147">
        <f>IF('Uncalibrated Data'!E2="","",Calibration!$C$25*'Uncalibrated Data'!E2+Calibration!$C$26)</f>
        <v>-29.764326549241403</v>
      </c>
      <c r="F2" s="61" t="s">
        <v>28</v>
      </c>
      <c r="G2" s="59" t="s">
        <v>68</v>
      </c>
      <c r="H2" s="60" t="s">
        <v>69</v>
      </c>
      <c r="I2" s="155" t="s">
        <v>90</v>
      </c>
      <c r="L2" s="62">
        <v>0.1</v>
      </c>
      <c r="M2" s="63" t="s">
        <v>91</v>
      </c>
      <c r="N2" s="229">
        <v>-0.1</v>
      </c>
      <c r="O2" s="62">
        <v>0.1</v>
      </c>
      <c r="P2" s="63" t="s">
        <v>91</v>
      </c>
      <c r="Q2" s="64">
        <v>-0.1</v>
      </c>
      <c r="U2" s="226" t="s">
        <v>68</v>
      </c>
      <c r="V2" s="227" t="s">
        <v>69</v>
      </c>
    </row>
    <row r="3" spans="1:22" ht="16" thickBot="1" x14ac:dyDescent="0.25">
      <c r="A3" s="14" t="str">
        <f>'Uncalibrated Data'!B3</f>
        <v>Sipsey</v>
      </c>
      <c r="B3" s="144">
        <f>IF('Uncalibrated Data'!D3="","",Calibration!$B$25*'Uncalibrated Data'!D3+Calibration!$B$26)</f>
        <v>-4.5317031386188251</v>
      </c>
      <c r="C3" s="148">
        <f>IF('Uncalibrated Data'!E3="","",Calibration!$C$25*'Uncalibrated Data'!E3+Calibration!$C$26)</f>
        <v>-22.523450346924506</v>
      </c>
      <c r="F3" s="153" t="str">
        <f>A6</f>
        <v>Ouachita</v>
      </c>
      <c r="G3" s="159">
        <f>B6</f>
        <v>-5.4781820255154541</v>
      </c>
      <c r="H3" s="160">
        <f>C6</f>
        <v>-29.332393419065614</v>
      </c>
      <c r="I3" s="168" t="str">
        <f>IF(AND($L$3 &lt;=G3, G3&lt;= $N$3, $O$3&lt;=H3, H3&lt;=$Q$3),"YES","NO")</f>
        <v>YES</v>
      </c>
      <c r="K3" s="228" t="s">
        <v>16</v>
      </c>
      <c r="L3" s="9">
        <f>M3*1.1</f>
        <v>-6.0500000000000007</v>
      </c>
      <c r="M3" s="12">
        <f>'Tray Configuration'!D35</f>
        <v>-5.5</v>
      </c>
      <c r="N3" s="230">
        <f>M3*0.9</f>
        <v>-4.95</v>
      </c>
      <c r="O3" s="9">
        <f>P3*1.1</f>
        <v>-32.56</v>
      </c>
      <c r="P3" s="12">
        <f>'Tray Configuration'!E35</f>
        <v>-29.6</v>
      </c>
      <c r="Q3" s="13">
        <f>P3*0.9</f>
        <v>-26.64</v>
      </c>
      <c r="U3" s="10">
        <v>-10</v>
      </c>
      <c r="V3" s="11">
        <f>7.11*U3+9.52</f>
        <v>-61.580000000000013</v>
      </c>
    </row>
    <row r="4" spans="1:22" ht="16" thickBot="1" x14ac:dyDescent="0.25">
      <c r="A4" s="14" t="str">
        <f>'Uncalibrated Data'!B4</f>
        <v>Iceland</v>
      </c>
      <c r="B4" s="144">
        <f>IF('Uncalibrated Data'!D4="","",Calibration!$B$25*'Uncalibrated Data'!D4+Calibration!$B$26)</f>
        <v>-8.0028036202586286</v>
      </c>
      <c r="C4" s="148">
        <f>IF('Uncalibrated Data'!E4="","",Calibration!$C$25*'Uncalibrated Data'!E4+Calibration!$C$26)</f>
        <v>-52.820646953846392</v>
      </c>
      <c r="F4" s="10" t="str">
        <f>A15</f>
        <v>Ouachita</v>
      </c>
      <c r="G4" s="169">
        <f>B15</f>
        <v>-5.3647021761625702</v>
      </c>
      <c r="H4" s="161">
        <f>C15</f>
        <v>-29.29698686134239</v>
      </c>
      <c r="I4" s="164" t="str">
        <f t="shared" ref="I4:I14" si="0">IF(AND($L$3 &lt;=G4, G4&lt;= $N$3, $O$3&lt;=H4, H4&lt;=$Q$3),"YES","NO")</f>
        <v>YES</v>
      </c>
      <c r="K4" s="55"/>
      <c r="U4" s="9">
        <v>1</v>
      </c>
      <c r="V4" s="13">
        <f>7.11*U4+9.52</f>
        <v>16.63</v>
      </c>
    </row>
    <row r="5" spans="1:22" x14ac:dyDescent="0.2">
      <c r="A5" s="14" t="str">
        <f>'Uncalibrated Data'!B5</f>
        <v>Sipsey</v>
      </c>
      <c r="B5" s="144">
        <f>IF('Uncalibrated Data'!D5="","",Calibration!$B$25*'Uncalibrated Data'!D5+Calibration!$B$26)</f>
        <v>-4.4774036408101887</v>
      </c>
      <c r="C5" s="148">
        <f>IF('Uncalibrated Data'!E5="","",Calibration!$C$25*'Uncalibrated Data'!E5+Calibration!$C$26)</f>
        <v>-22.359182730922051</v>
      </c>
      <c r="F5" s="10" t="str">
        <f>A22</f>
        <v>Ouachita</v>
      </c>
      <c r="G5" s="169">
        <f t="shared" ref="G5:H5" si="1">B22</f>
        <v>-5.5067214619417166</v>
      </c>
      <c r="H5" s="161">
        <f t="shared" si="1"/>
        <v>-29.370554566668641</v>
      </c>
      <c r="I5" s="164" t="str">
        <f>IF(AND($L$3 &lt;=G5, G5&lt;= $N$3, $O$3&lt;=H5, H5&lt;=$Q$3),"YES","NO")</f>
        <v>YES</v>
      </c>
      <c r="K5" s="55"/>
      <c r="L5" s="55"/>
    </row>
    <row r="6" spans="1:22" x14ac:dyDescent="0.2">
      <c r="A6" s="14" t="str">
        <f>'Uncalibrated Data'!B6</f>
        <v>Ouachita</v>
      </c>
      <c r="B6" s="144">
        <f>IF('Uncalibrated Data'!D6="","",Calibration!$B$25*'Uncalibrated Data'!D6+Calibration!$B$26)</f>
        <v>-5.4781820255154541</v>
      </c>
      <c r="C6" s="148">
        <f>IF('Uncalibrated Data'!E6="","",Calibration!$C$25*'Uncalibrated Data'!E6+Calibration!$C$26)</f>
        <v>-29.332393419065614</v>
      </c>
      <c r="F6" s="10" t="str">
        <f>A29</f>
        <v>Ouachita</v>
      </c>
      <c r="G6" s="169">
        <f t="shared" ref="G6:H6" si="2">B29</f>
        <v>-5.5084162028221355</v>
      </c>
      <c r="H6" s="161">
        <f t="shared" si="2"/>
        <v>-29.297994638127676</v>
      </c>
      <c r="I6" s="164" t="str">
        <f t="shared" si="0"/>
        <v>YES</v>
      </c>
      <c r="K6" s="245" t="s">
        <v>1249</v>
      </c>
      <c r="L6" s="246" t="s">
        <v>68</v>
      </c>
      <c r="M6" s="247" t="s">
        <v>1250</v>
      </c>
      <c r="N6" s="247" t="s">
        <v>1248</v>
      </c>
      <c r="O6" s="247" t="s">
        <v>68</v>
      </c>
      <c r="P6" s="248" t="s">
        <v>1250</v>
      </c>
    </row>
    <row r="7" spans="1:22" x14ac:dyDescent="0.2">
      <c r="A7" s="216" t="str">
        <f>'Uncalibrated Data'!B7</f>
        <v>WAIS_01M01_2_RAW_20210809</v>
      </c>
      <c r="B7" s="219">
        <f>IF('Uncalibrated Data'!D7="","",Calibration!$B$25*'Uncalibrated Data'!D7+Calibration!$B$26)</f>
        <v>0.19065842985223297</v>
      </c>
      <c r="C7" s="220">
        <f>IF('Uncalibrated Data'!E7="","",Calibration!$C$25*'Uncalibrated Data'!E7+Calibration!$C$26)</f>
        <v>2.6710364704731977</v>
      </c>
      <c r="F7" s="10" t="str">
        <f>A36</f>
        <v>Ouachita</v>
      </c>
      <c r="G7" s="169">
        <f>B36</f>
        <v>-5.4993323917030885</v>
      </c>
      <c r="H7" s="161">
        <f>C36</f>
        <v>-29.250561944099978</v>
      </c>
      <c r="I7" s="164" t="str">
        <f t="shared" si="0"/>
        <v>YES</v>
      </c>
      <c r="K7" s="239" t="s">
        <v>1179</v>
      </c>
      <c r="L7" s="231">
        <v>0.2</v>
      </c>
      <c r="M7" s="231">
        <v>2.7</v>
      </c>
      <c r="N7" s="236" t="s">
        <v>1245</v>
      </c>
      <c r="O7" s="237">
        <v>0.16325816678373878</v>
      </c>
      <c r="P7" s="240">
        <v>2.0478192807736102</v>
      </c>
    </row>
    <row r="8" spans="1:22" x14ac:dyDescent="0.2">
      <c r="A8" s="216" t="str">
        <f>'Uncalibrated Data'!B8</f>
        <v>WAIS_02M06_2_RAW_20210809</v>
      </c>
      <c r="B8" s="217">
        <f>IF('Uncalibrated Data'!D8="","",Calibration!$B$25*'Uncalibrated Data'!D8+Calibration!$B$26)</f>
        <v>-1.4308696445330518</v>
      </c>
      <c r="C8" s="218">
        <f>IF('Uncalibrated Data'!E8="","",Calibration!$C$25*'Uncalibrated Data'!E8+Calibration!$C$26)</f>
        <v>-11.736476377644143</v>
      </c>
      <c r="F8" s="10" t="str">
        <f>A43</f>
        <v>Ouachita</v>
      </c>
      <c r="G8" s="169">
        <f>B43</f>
        <v>-5.450949036571064</v>
      </c>
      <c r="H8" s="161">
        <f>C43</f>
        <v>-29.376438275211814</v>
      </c>
      <c r="I8" s="165" t="str">
        <f t="shared" si="0"/>
        <v>YES</v>
      </c>
      <c r="K8" s="239" t="s">
        <v>1180</v>
      </c>
      <c r="L8" s="232">
        <v>-1.4</v>
      </c>
      <c r="M8" s="232">
        <v>-11.7</v>
      </c>
      <c r="N8" s="233" t="s">
        <v>1246</v>
      </c>
      <c r="O8" s="238">
        <v>-1.5381645267341761</v>
      </c>
      <c r="P8" s="241">
        <v>-12.639994539080879</v>
      </c>
    </row>
    <row r="9" spans="1:22" x14ac:dyDescent="0.2">
      <c r="A9" s="216" t="str">
        <f>'Uncalibrated Data'!B9</f>
        <v>WAIS_02M07_2_RAW_20210809</v>
      </c>
      <c r="B9" s="217">
        <f>IF('Uncalibrated Data'!D9="","",Calibration!$B$25*'Uncalibrated Data'!D9+Calibration!$B$26)</f>
        <v>-1.8597520700045225</v>
      </c>
      <c r="C9" s="218">
        <f>IF('Uncalibrated Data'!E9="","",Calibration!$C$25*'Uncalibrated Data'!E9+Calibration!$C$26)</f>
        <v>-17.596362458517067</v>
      </c>
      <c r="F9" s="10" t="str">
        <f>A50</f>
        <v>Ouachita</v>
      </c>
      <c r="G9" s="169">
        <f>B50</f>
        <v>-5.4465566517859338</v>
      </c>
      <c r="H9" s="161">
        <f>C50</f>
        <v>-29.185673376544585</v>
      </c>
      <c r="I9" s="165" t="str">
        <f t="shared" si="0"/>
        <v>YES</v>
      </c>
      <c r="K9" s="242" t="s">
        <v>1240</v>
      </c>
      <c r="L9" s="234">
        <v>-1.9</v>
      </c>
      <c r="M9" s="234">
        <v>-17.600000000000001</v>
      </c>
      <c r="N9" s="235" t="s">
        <v>1247</v>
      </c>
      <c r="O9" s="243">
        <v>-2.4522860812122</v>
      </c>
      <c r="P9" s="244">
        <v>-18.379132330291085</v>
      </c>
    </row>
    <row r="10" spans="1:22" x14ac:dyDescent="0.2">
      <c r="A10" s="14" t="str">
        <f>'Uncalibrated Data'!B10</f>
        <v>WAIS_SFM01_1_RAW_20211214</v>
      </c>
      <c r="B10" s="144">
        <f>IF('Uncalibrated Data'!D10="","",Calibration!$B$25*'Uncalibrated Data'!D10+Calibration!$B$26)</f>
        <v>-5.6616207784120496</v>
      </c>
      <c r="C10" s="148">
        <f>IF('Uncalibrated Data'!E10="","",Calibration!$C$25*'Uncalibrated Data'!E10+Calibration!$C$26)</f>
        <v>-35.295610212990397</v>
      </c>
      <c r="F10" s="10" t="str">
        <f>A57</f>
        <v>Ouachita</v>
      </c>
      <c r="G10" s="169">
        <f>B57</f>
        <v>-5.2809975329618402</v>
      </c>
      <c r="H10" s="161">
        <f>C57</f>
        <v>-28.948896521684723</v>
      </c>
      <c r="I10" s="165" t="str">
        <f t="shared" si="0"/>
        <v>YES</v>
      </c>
    </row>
    <row r="11" spans="1:22" x14ac:dyDescent="0.2">
      <c r="A11" s="14" t="str">
        <f>'Uncalibrated Data'!B11</f>
        <v>WAIS_N01B_1_RAW_20210903</v>
      </c>
      <c r="B11" s="144">
        <f>IF('Uncalibrated Data'!D11="","",Calibration!$B$25*'Uncalibrated Data'!D11+Calibration!$B$26)</f>
        <v>-5.3880896003123588</v>
      </c>
      <c r="C11" s="148">
        <f>IF('Uncalibrated Data'!E11="","",Calibration!$C$25*'Uncalibrated Data'!E11+Calibration!$C$26)</f>
        <v>-29.153210706640849</v>
      </c>
      <c r="D11" s="67"/>
      <c r="F11" s="10" t="str">
        <f>A64</f>
        <v>Ouachita</v>
      </c>
      <c r="G11" s="169">
        <f>B64</f>
        <v>-5.4323658701724407</v>
      </c>
      <c r="H11" s="161">
        <f>C64</f>
        <v>-29.183658254375569</v>
      </c>
      <c r="I11" s="164" t="str">
        <f t="shared" si="0"/>
        <v>YES</v>
      </c>
    </row>
    <row r="12" spans="1:22" x14ac:dyDescent="0.2">
      <c r="A12" s="14" t="str">
        <f>'Uncalibrated Data'!B12</f>
        <v>WAIS_N4DWSeep1_RAW_20220211</v>
      </c>
      <c r="B12" s="144">
        <f>IF('Uncalibrated Data'!D12="","",Calibration!$B$25*'Uncalibrated Data'!D12+Calibration!$B$26)</f>
        <v>-6.1605524936075211</v>
      </c>
      <c r="C12" s="148">
        <f>IF('Uncalibrated Data'!E12="","",Calibration!$C$25*'Uncalibrated Data'!E12+Calibration!$C$26)</f>
        <v>-38.873217800773972</v>
      </c>
      <c r="F12" s="10" t="str">
        <f>A71</f>
        <v>Ouachita</v>
      </c>
      <c r="G12" s="169">
        <f>B71</f>
        <v>-5.4158775334405709</v>
      </c>
      <c r="H12" s="161">
        <f>C71</f>
        <v>-29.248948212651811</v>
      </c>
      <c r="I12" s="164" t="str">
        <f t="shared" si="0"/>
        <v>YES</v>
      </c>
    </row>
    <row r="13" spans="1:22" x14ac:dyDescent="0.2">
      <c r="A13" s="14" t="str">
        <f>'Uncalibrated Data'!B13</f>
        <v>WAIS_N4DWSeep2_RAW_20220211</v>
      </c>
      <c r="B13" s="144">
        <f>IF('Uncalibrated Data'!D13="","",Calibration!$B$25*'Uncalibrated Data'!D13+Calibration!$B$26)</f>
        <v>-6.2107168236679371</v>
      </c>
      <c r="C13" s="148">
        <f>IF('Uncalibrated Data'!E13="","",Calibration!$C$25*'Uncalibrated Data'!E13+Calibration!$C$26)</f>
        <v>-39.239376699429748</v>
      </c>
      <c r="F13" s="10" t="str">
        <f>A78</f>
        <v>Ouachita</v>
      </c>
      <c r="G13" s="169">
        <f>B78</f>
        <v>-5.4530180004594984</v>
      </c>
      <c r="H13" s="161">
        <f>C78</f>
        <v>-29.489448117904438</v>
      </c>
      <c r="I13" s="164" t="str">
        <f t="shared" si="0"/>
        <v>YES</v>
      </c>
    </row>
    <row r="14" spans="1:22" ht="16" thickBot="1" x14ac:dyDescent="0.25">
      <c r="A14" s="14" t="str">
        <f>'Uncalibrated Data'!B14</f>
        <v>WAIS_N4DSeep4_RAW_20220211</v>
      </c>
      <c r="B14" s="144">
        <f>IF('Uncalibrated Data'!D14="","",Calibration!$B$25*'Uncalibrated Data'!D14+Calibration!$B$26)</f>
        <v>-6.0541227663171844</v>
      </c>
      <c r="C14" s="148">
        <f>IF('Uncalibrated Data'!E14="","",Calibration!$C$25*'Uncalibrated Data'!E14+Calibration!$C$26)</f>
        <v>-38.391164571809696</v>
      </c>
      <c r="F14" s="170" t="str">
        <f>A85</f>
        <v>Ouachita</v>
      </c>
      <c r="G14" s="162">
        <f>B85</f>
        <v>-5.5097051713557104</v>
      </c>
      <c r="H14" s="163">
        <f>C85</f>
        <v>-29.715474388950252</v>
      </c>
      <c r="I14" s="166" t="str">
        <f t="shared" si="0"/>
        <v>YES</v>
      </c>
    </row>
    <row r="15" spans="1:22" x14ac:dyDescent="0.2">
      <c r="A15" s="14" t="str">
        <f>'Uncalibrated Data'!B15</f>
        <v>Ouachita</v>
      </c>
      <c r="B15" s="144">
        <f>IF('Uncalibrated Data'!D15="","",Calibration!$B$25*'Uncalibrated Data'!D15+Calibration!$B$26)</f>
        <v>-5.3647021761625702</v>
      </c>
      <c r="C15" s="148">
        <f>IF('Uncalibrated Data'!E15="","",Calibration!$C$25*'Uncalibrated Data'!E15+Calibration!$C$26)</f>
        <v>-29.29698686134239</v>
      </c>
    </row>
    <row r="16" spans="1:22" x14ac:dyDescent="0.2">
      <c r="A16" s="14" t="str">
        <f>'Uncalibrated Data'!B16</f>
        <v>WAIS_N2BSeepB_RAW_20220211</v>
      </c>
      <c r="B16" s="144">
        <f>IF('Uncalibrated Data'!D16="","",Calibration!$B$25*'Uncalibrated Data'!D16+Calibration!$B$26)</f>
        <v>-6.078527034995223</v>
      </c>
      <c r="C16" s="148">
        <f>IF('Uncalibrated Data'!E16="","",Calibration!$C$25*'Uncalibrated Data'!E16+Calibration!$C$26)</f>
        <v>-38.30718317303544</v>
      </c>
    </row>
    <row r="17" spans="1:3" x14ac:dyDescent="0.2">
      <c r="A17" s="14" t="str">
        <f>'Uncalibrated Data'!B17</f>
        <v>WAIS_33Eis_1_Filt_20220113</v>
      </c>
      <c r="B17" s="144">
        <f>IF('Uncalibrated Data'!D17="","",Calibration!$B$25*'Uncalibrated Data'!D17+Calibration!$B$26)</f>
        <v>-5.7307662063331604</v>
      </c>
      <c r="C17" s="148">
        <f>IF('Uncalibrated Data'!E17="","",Calibration!$C$25*'Uncalibrated Data'!E17+Calibration!$C$26)</f>
        <v>-36.788799483196776</v>
      </c>
    </row>
    <row r="18" spans="1:3" x14ac:dyDescent="0.2">
      <c r="A18" s="14" t="str">
        <f>'Uncalibrated Data'!B18</f>
        <v>WAIS_ENM01_1_RAW_20211123</v>
      </c>
      <c r="B18" s="144">
        <f>IF('Uncalibrated Data'!D18="","",Calibration!$B$25*'Uncalibrated Data'!D18+Calibration!$B$26)</f>
        <v>-4.8867852478842977</v>
      </c>
      <c r="C18" s="148">
        <f>IF('Uncalibrated Data'!E18="","",Calibration!$C$25*'Uncalibrated Data'!E18+Calibration!$C$26)</f>
        <v>-29.946331036664986</v>
      </c>
    </row>
    <row r="19" spans="1:3" x14ac:dyDescent="0.2">
      <c r="A19" s="14" t="str">
        <f>'Uncalibrated Data'!B19</f>
        <v>WAIS_ENM03_1_RAW_20210827</v>
      </c>
      <c r="B19" s="144">
        <f>IF('Uncalibrated Data'!D19="","",Calibration!$B$25*'Uncalibrated Data'!D19+Calibration!$B$26)</f>
        <v>-3.860450170702308</v>
      </c>
      <c r="C19" s="148">
        <f>IF('Uncalibrated Data'!E19="","",Calibration!$C$25*'Uncalibrated Data'!E19+Calibration!$C$26)</f>
        <v>-23.741785295222488</v>
      </c>
    </row>
    <row r="20" spans="1:3" x14ac:dyDescent="0.2">
      <c r="A20" s="14" t="str">
        <f>'Uncalibrated Data'!B20</f>
        <v>4_6_MOR_DUP_N4D_20220113</v>
      </c>
      <c r="B20" s="144">
        <f>IF('Uncalibrated Data'!D20="","",Calibration!$B$25*'Uncalibrated Data'!D20+Calibration!$B$26)</f>
        <v>-5.8727854921123077</v>
      </c>
      <c r="C20" s="148">
        <f>IF('Uncalibrated Data'!E20="","",Calibration!$C$25*'Uncalibrated Data'!E20+Calibration!$C$26)</f>
        <v>-36.742441751073386</v>
      </c>
    </row>
    <row r="21" spans="1:3" x14ac:dyDescent="0.2">
      <c r="A21" s="14" t="str">
        <f>'Uncalibrated Data'!B21</f>
        <v>4_6_Eis2_DUP_20220113</v>
      </c>
      <c r="B21" s="144">
        <f>IF('Uncalibrated Data'!D21="","",Calibration!$B$25*'Uncalibrated Data'!D21+Calibration!$B$26)</f>
        <v>-5.931423526574819</v>
      </c>
      <c r="C21" s="148">
        <f>IF('Uncalibrated Data'!E21="","",Calibration!$C$25*'Uncalibrated Data'!E21+Calibration!$C$26)</f>
        <v>-37.511039512655437</v>
      </c>
    </row>
    <row r="22" spans="1:3" x14ac:dyDescent="0.2">
      <c r="A22" s="14" t="str">
        <f>'Uncalibrated Data'!B22</f>
        <v>Ouachita</v>
      </c>
      <c r="B22" s="144">
        <f>IF('Uncalibrated Data'!D22="","",Calibration!$B$25*'Uncalibrated Data'!D22+Calibration!$B$26)</f>
        <v>-5.5067214619417166</v>
      </c>
      <c r="C22" s="148">
        <f>IF('Uncalibrated Data'!E22="","",Calibration!$C$25*'Uncalibrated Data'!E22+Calibration!$C$26)</f>
        <v>-29.370554566668641</v>
      </c>
    </row>
    <row r="23" spans="1:3" x14ac:dyDescent="0.2">
      <c r="A23" s="14" t="str">
        <f>'Uncalibrated Data'!B23</f>
        <v>3_5_MOR_N4D_DUP_20220113</v>
      </c>
      <c r="B23" s="144">
        <f>IF('Uncalibrated Data'!D23="","",Calibration!$B$25*'Uncalibrated Data'!D23+Calibration!$B$26)</f>
        <v>-5.8768528702253144</v>
      </c>
      <c r="C23" s="148">
        <f>IF('Uncalibrated Data'!E23="","",Calibration!$C$25*'Uncalibrated Data'!E23+Calibration!$C$26)</f>
        <v>-36.828102777823126</v>
      </c>
    </row>
    <row r="24" spans="1:3" x14ac:dyDescent="0.2">
      <c r="A24" s="14" t="str">
        <f>'Uncalibrated Data'!B24</f>
        <v>WAIS_ENM03_1_RAW_20210811</v>
      </c>
      <c r="B24" s="144">
        <f>IF('Uncalibrated Data'!D24="","",Calibration!$B$25*'Uncalibrated Data'!D24+Calibration!$B$26)</f>
        <v>-4.0207726579899843</v>
      </c>
      <c r="C24" s="148">
        <f>IF('Uncalibrated Data'!E24="","",Calibration!$C$25*'Uncalibrated Data'!E24+Calibration!$C$26)</f>
        <v>-24.88292454176716</v>
      </c>
    </row>
    <row r="25" spans="1:3" x14ac:dyDescent="0.2">
      <c r="A25" s="14" t="str">
        <f>'Uncalibrated Data'!B25</f>
        <v>WAIS_ENM01_1_RAW_20210916</v>
      </c>
      <c r="B25" s="144">
        <f>IF('Uncalibrated Data'!D25="","",Calibration!$B$25*'Uncalibrated Data'!D25+Calibration!$B$26)</f>
        <v>-4.6966353211012413</v>
      </c>
      <c r="C25" s="148">
        <f>IF('Uncalibrated Data'!E25="","",Calibration!$C$25*'Uncalibrated Data'!E25+Calibration!$C$26)</f>
        <v>-28.717851135395073</v>
      </c>
    </row>
    <row r="26" spans="1:3" x14ac:dyDescent="0.2">
      <c r="A26" s="14" t="str">
        <f>'Uncalibrated Data'!B26</f>
        <v>WAIS_ENM03_1_RAW_20211015</v>
      </c>
      <c r="B26" s="144">
        <f>IF('Uncalibrated Data'!D26="","",Calibration!$B$25*'Uncalibrated Data'!D26+Calibration!$B$26)</f>
        <v>-5.6748397572793214</v>
      </c>
      <c r="C26" s="148">
        <f>IF('Uncalibrated Data'!E26="","",Calibration!$C$25*'Uncalibrated Data'!E26+Calibration!$C$26)</f>
        <v>-29.349055328582427</v>
      </c>
    </row>
    <row r="27" spans="1:3" x14ac:dyDescent="0.2">
      <c r="A27" s="14" t="str">
        <f>'Uncalibrated Data'!B27</f>
        <v>WAIS_ENM03_1_RAW_20211015</v>
      </c>
      <c r="B27" s="144">
        <f>IF('Uncalibrated Data'!D27="","",Calibration!$B$25*'Uncalibrated Data'!D27+Calibration!$B$26)</f>
        <v>-4.9454232823468107</v>
      </c>
      <c r="C27" s="148">
        <f>IF('Uncalibrated Data'!E27="","",Calibration!$C$25*'Uncalibrated Data'!E27+Calibration!$C$26)</f>
        <v>-29.865372968246589</v>
      </c>
    </row>
    <row r="28" spans="1:3" x14ac:dyDescent="0.2">
      <c r="A28" s="14" t="str">
        <f>'Uncalibrated Data'!B28</f>
        <v>TLM01 20211007</v>
      </c>
      <c r="B28" s="144">
        <f>IF('Uncalibrated Data'!D28="","",Calibration!$B$25*'Uncalibrated Data'!D28+Calibration!$B$26)</f>
        <v>-4.7867955359395538</v>
      </c>
      <c r="C28" s="148">
        <f>IF('Uncalibrated Data'!E28="","",Calibration!$C$25*'Uncalibrated Data'!E28+Calibration!$C$26)</f>
        <v>-24.351826175918731</v>
      </c>
    </row>
    <row r="29" spans="1:3" x14ac:dyDescent="0.2">
      <c r="A29" s="14" t="str">
        <f>'Uncalibrated Data'!B29</f>
        <v>Ouachita</v>
      </c>
      <c r="B29" s="144">
        <f>IF('Uncalibrated Data'!D29="","",Calibration!$B$25*'Uncalibrated Data'!D29+Calibration!$B$26)</f>
        <v>-5.5084162028221355</v>
      </c>
      <c r="C29" s="148">
        <f>IF('Uncalibrated Data'!E29="","",Calibration!$C$25*'Uncalibrated Data'!E29+Calibration!$C$26)</f>
        <v>-29.297994638127676</v>
      </c>
    </row>
    <row r="30" spans="1:3" x14ac:dyDescent="0.2">
      <c r="A30" s="14" t="str">
        <f>'Uncalibrated Data'!B30</f>
        <v>TLM01 20211026</v>
      </c>
      <c r="B30" s="144">
        <f>IF('Uncalibrated Data'!D30="","",Calibration!$B$25*'Uncalibrated Data'!D30+Calibration!$B$26)</f>
        <v>-4.7715428680157785</v>
      </c>
      <c r="C30" s="148">
        <f>IF('Uncalibrated Data'!E30="","",Calibration!$C$25*'Uncalibrated Data'!E30+Calibration!$C$26)</f>
        <v>-24.483844934791865</v>
      </c>
    </row>
    <row r="31" spans="1:3" x14ac:dyDescent="0.2">
      <c r="A31" s="14" t="str">
        <f>'Uncalibrated Data'!B31</f>
        <v>TLM01 20211110</v>
      </c>
      <c r="B31" s="144">
        <f>IF('Uncalibrated Data'!D31="","",Calibration!$B$25*'Uncalibrated Data'!D31+Calibration!$B$26)</f>
        <v>-4.7905239658764769</v>
      </c>
      <c r="C31" s="148">
        <f>IF('Uncalibrated Data'!E31="","",Calibration!$C$25*'Uncalibrated Data'!E31+Calibration!$C$26)</f>
        <v>-24.522476378228024</v>
      </c>
    </row>
    <row r="32" spans="1:3" x14ac:dyDescent="0.2">
      <c r="A32" s="14" t="str">
        <f>'Uncalibrated Data'!B32</f>
        <v>TLM01 20220105</v>
      </c>
      <c r="B32" s="144">
        <f>IF('Uncalibrated Data'!D32="","",Calibration!$B$25*'Uncalibrated Data'!D32+Calibration!$B$26)</f>
        <v>-4.512586461487694</v>
      </c>
      <c r="C32" s="148">
        <f>IF('Uncalibrated Data'!E32="","",Calibration!$C$25*'Uncalibrated Data'!E32+Calibration!$C$26)</f>
        <v>-21.992284795957051</v>
      </c>
    </row>
    <row r="33" spans="1:3" x14ac:dyDescent="0.2">
      <c r="A33" s="14" t="str">
        <f>'Uncalibrated Data'!B33</f>
        <v>Ouachita</v>
      </c>
      <c r="B33" s="144">
        <f>IF('Uncalibrated Data'!D33="","",Calibration!$B$25*'Uncalibrated Data'!D33+Calibration!$B$26)</f>
        <v>-5.4635394643086297</v>
      </c>
      <c r="C33" s="148">
        <f>IF('Uncalibrated Data'!E33="","",Calibration!$C$25*'Uncalibrated Data'!E33+Calibration!$C$26)</f>
        <v>-29.140915829860297</v>
      </c>
    </row>
    <row r="34" spans="1:3" x14ac:dyDescent="0.2">
      <c r="A34" s="14" t="str">
        <f>'Uncalibrated Data'!B34</f>
        <v>Sipsey</v>
      </c>
      <c r="B34" s="144">
        <f>IF('Uncalibrated Data'!D34="","",Calibration!$B$25*'Uncalibrated Data'!D34+Calibration!$B$26)</f>
        <v>-4.5172639463176516</v>
      </c>
      <c r="C34" s="148">
        <f>IF('Uncalibrated Data'!E34="","",Calibration!$C$25*'Uncalibrated Data'!E34+Calibration!$C$26)</f>
        <v>-22.186248234566087</v>
      </c>
    </row>
    <row r="35" spans="1:3" x14ac:dyDescent="0.2">
      <c r="A35" s="14" t="str">
        <f>'Uncalibrated Data'!B35</f>
        <v>Iceland</v>
      </c>
      <c r="B35" s="144">
        <f>IF('Uncalibrated Data'!D35="","",Calibration!$B$25*'Uncalibrated Data'!D35+Calibration!$B$26)</f>
        <v>-8.0137855411637489</v>
      </c>
      <c r="C35" s="148">
        <f>IF('Uncalibrated Data'!E35="","",Calibration!$C$25*'Uncalibrated Data'!E35+Calibration!$C$26)</f>
        <v>-52.511057925404948</v>
      </c>
    </row>
    <row r="36" spans="1:3" ht="16" thickBot="1" x14ac:dyDescent="0.25">
      <c r="A36" s="149" t="str">
        <f>'Uncalibrated Data'!B36</f>
        <v>Ouachita</v>
      </c>
      <c r="B36" s="145">
        <f>IF('Uncalibrated Data'!D36="","",Calibration!$B$25*'Uncalibrated Data'!D36+Calibration!$B$26)</f>
        <v>-5.4993323917030885</v>
      </c>
      <c r="C36" s="150">
        <f>IF('Uncalibrated Data'!E36="","",Calibration!$C$25*'Uncalibrated Data'!E36+Calibration!$C$26)</f>
        <v>-29.250561944099978</v>
      </c>
    </row>
    <row r="37" spans="1:3" ht="16" thickTop="1" x14ac:dyDescent="0.2">
      <c r="A37" s="14" t="str">
        <f>'Uncalibrated Data'!B37</f>
        <v>TLM01 20220131</v>
      </c>
      <c r="B37" s="144">
        <f>IF('Uncalibrated Data'!D37="","",Calibration!$B$30*'Uncalibrated Data'!D37+Calibration!$B$31)</f>
        <v>-4.7599931222949969</v>
      </c>
      <c r="C37" s="148">
        <f>IF('Uncalibrated Data'!E37="","",Calibration!$C$30*'Uncalibrated Data'!E37+Calibration!$C$31)</f>
        <v>-24.380950418211011</v>
      </c>
    </row>
    <row r="38" spans="1:3" x14ac:dyDescent="0.2">
      <c r="A38" s="14" t="str">
        <f>'Uncalibrated Data'!B38</f>
        <v>TLP01 20220124</v>
      </c>
      <c r="B38" s="144">
        <f>IF('Uncalibrated Data'!D38="","",Calibration!$B$30*'Uncalibrated Data'!D38+Calibration!$B$31)</f>
        <v>-4.757627992026082</v>
      </c>
      <c r="C38" s="148">
        <f>IF('Uncalibrated Data'!E38="","",Calibration!$C$30*'Uncalibrated Data'!E38+Calibration!$C$31)</f>
        <v>-24.310085288600472</v>
      </c>
    </row>
    <row r="39" spans="1:3" x14ac:dyDescent="0.2">
      <c r="A39" s="14" t="str">
        <f>'Uncalibrated Data'!B39</f>
        <v>TLM01 20220124</v>
      </c>
      <c r="B39" s="144">
        <f>IF('Uncalibrated Data'!D39="","",Calibration!$B$30*'Uncalibrated Data'!D39+Calibration!$B$31)</f>
        <v>-4.7113390139058771</v>
      </c>
      <c r="C39" s="148">
        <f>IF('Uncalibrated Data'!E39="","",Calibration!$C$30*'Uncalibrated Data'!E39+Calibration!$C$31)</f>
        <v>-23.915793050862209</v>
      </c>
    </row>
    <row r="40" spans="1:3" x14ac:dyDescent="0.2">
      <c r="A40" s="14" t="str">
        <f>'Uncalibrated Data'!B40</f>
        <v>TLC01 20220124</v>
      </c>
      <c r="B40" s="144">
        <f>IF('Uncalibrated Data'!D40="","",Calibration!$B$30*'Uncalibrated Data'!D40+Calibration!$B$31)</f>
        <v>-4.7339766893369255</v>
      </c>
      <c r="C40" s="148">
        <f>IF('Uncalibrated Data'!E40="","",Calibration!$C$30*'Uncalibrated Data'!E40+Calibration!$C$31)</f>
        <v>-24.127716732304158</v>
      </c>
    </row>
    <row r="41" spans="1:3" x14ac:dyDescent="0.2">
      <c r="A41" s="14" t="str">
        <f>'Uncalibrated Data'!B41</f>
        <v>TLM10 20220124</v>
      </c>
      <c r="B41" s="144">
        <f>IF('Uncalibrated Data'!D41="","",Calibration!$B$30*'Uncalibrated Data'!D41+Calibration!$B$31)</f>
        <v>-4.697823983797786</v>
      </c>
      <c r="C41" s="148">
        <f>IF('Uncalibrated Data'!E41="","",Calibration!$C$30*'Uncalibrated Data'!E41+Calibration!$C$31)</f>
        <v>-23.752232301476742</v>
      </c>
    </row>
    <row r="42" spans="1:3" x14ac:dyDescent="0.2">
      <c r="A42" s="14" t="str">
        <f>'Uncalibrated Data'!B42</f>
        <v>TLM06 20220124</v>
      </c>
      <c r="B42" s="144">
        <f>IF('Uncalibrated Data'!D42="","",Calibration!$B$30*'Uncalibrated Data'!D42+Calibration!$B$31)</f>
        <v>-4.6897149657329331</v>
      </c>
      <c r="C42" s="148">
        <f>IF('Uncalibrated Data'!E42="","",Calibration!$C$30*'Uncalibrated Data'!E42+Calibration!$C$31)</f>
        <v>-23.822425723697609</v>
      </c>
    </row>
    <row r="43" spans="1:3" x14ac:dyDescent="0.2">
      <c r="A43" s="14" t="str">
        <f>'Uncalibrated Data'!B43</f>
        <v>Ouachita</v>
      </c>
      <c r="B43" s="144">
        <f>IF('Uncalibrated Data'!D43="","",Calibration!$B$30*'Uncalibrated Data'!D43+Calibration!$B$31)</f>
        <v>-5.450949036571064</v>
      </c>
      <c r="C43" s="148">
        <f>IF('Uncalibrated Data'!E43="","",Calibration!$C$30*'Uncalibrated Data'!E43+Calibration!$C$31)</f>
        <v>-29.376438275211814</v>
      </c>
    </row>
    <row r="44" spans="1:3" x14ac:dyDescent="0.2">
      <c r="A44" s="14" t="str">
        <f>'Uncalibrated Data'!B44</f>
        <v>TLA01 20220124</v>
      </c>
      <c r="B44" s="144">
        <f>IF('Uncalibrated Data'!D44="","",Calibration!$B$30*'Uncalibrated Data'!D44+Calibration!$B$31)</f>
        <v>-4.8127017397165455</v>
      </c>
      <c r="C44" s="148">
        <f>IF('Uncalibrated Data'!E44="","",Calibration!$C$30*'Uncalibrated Data'!E44+Calibration!$C$31)</f>
        <v>-24.532756288277188</v>
      </c>
    </row>
    <row r="45" spans="1:3" x14ac:dyDescent="0.2">
      <c r="A45" s="14" t="str">
        <f>'Uncalibrated Data'!B45</f>
        <v>TLM16 20220124</v>
      </c>
      <c r="B45" s="144">
        <f>IF('Uncalibrated Data'!D45="","",Calibration!$B$30*'Uncalibrated Data'!D45+Calibration!$B$31)</f>
        <v>-4.7093117593896627</v>
      </c>
      <c r="C45" s="148">
        <f>IF('Uncalibrated Data'!E45="","",Calibration!$C$30*'Uncalibrated Data'!E45+Calibration!$C$31)</f>
        <v>-23.619570092016254</v>
      </c>
    </row>
    <row r="46" spans="1:3" x14ac:dyDescent="0.2">
      <c r="A46" s="14" t="str">
        <f>'Uncalibrated Data'!B46</f>
        <v>TLM19 20220124</v>
      </c>
      <c r="B46" s="144">
        <f>IF('Uncalibrated Data'!D46="","",Calibration!$B$30*'Uncalibrated Data'!D46+Calibration!$B$31)</f>
        <v>-4.6441017391181321</v>
      </c>
      <c r="C46" s="148">
        <f>IF('Uncalibrated Data'!E46="","",Calibration!$C$30*'Uncalibrated Data'!E46+Calibration!$C$31)</f>
        <v>-23.169861994629937</v>
      </c>
    </row>
    <row r="47" spans="1:3" x14ac:dyDescent="0.2">
      <c r="A47" s="14" t="str">
        <f>'Uncalibrated Data'!B47</f>
        <v>TLM01 20220330</v>
      </c>
      <c r="B47" s="144">
        <f>IF('Uncalibrated Data'!D47="","",Calibration!$B$30*'Uncalibrated Data'!D47+Calibration!$B$31)</f>
        <v>-4.6055839033100785</v>
      </c>
      <c r="C47" s="148">
        <f>IF('Uncalibrated Data'!E47="","",Calibration!$C$30*'Uncalibrated Data'!E47+Calibration!$C$31)</f>
        <v>-22.922001967840465</v>
      </c>
    </row>
    <row r="48" spans="1:3" x14ac:dyDescent="0.2">
      <c r="A48" s="14" t="str">
        <f>'Uncalibrated Data'!B48</f>
        <v>TLC01 20220330</v>
      </c>
      <c r="B48" s="144">
        <f>IF('Uncalibrated Data'!D48="","",Calibration!$B$30*'Uncalibrated Data'!D48+Calibration!$B$31)</f>
        <v>-4.6474804966451542</v>
      </c>
      <c r="C48" s="148">
        <f>IF('Uncalibrated Data'!E48="","",Calibration!$C$30*'Uncalibrated Data'!E48+Calibration!$C$31)</f>
        <v>-23.405295434710446</v>
      </c>
    </row>
    <row r="49" spans="1:3" x14ac:dyDescent="0.2">
      <c r="A49" s="14" t="str">
        <f>'Uncalibrated Data'!B49</f>
        <v>TLM06 20220330</v>
      </c>
      <c r="B49" s="144">
        <f>IF('Uncalibrated Data'!D49="","",Calibration!$B$30*'Uncalibrated Data'!D49+Calibration!$B$31)</f>
        <v>-4.6082869093316949</v>
      </c>
      <c r="C49" s="148">
        <f>IF('Uncalibrated Data'!E49="","",Calibration!$C$30*'Uncalibrated Data'!E49+Calibration!$C$31)</f>
        <v>-22.906888551572816</v>
      </c>
    </row>
    <row r="50" spans="1:3" x14ac:dyDescent="0.2">
      <c r="A50" s="14" t="str">
        <f>'Uncalibrated Data'!B50</f>
        <v>Ouachita</v>
      </c>
      <c r="B50" s="144">
        <f>IF('Uncalibrated Data'!D50="","",Calibration!$B$30*'Uncalibrated Data'!D50+Calibration!$B$31)</f>
        <v>-5.4465566517859338</v>
      </c>
      <c r="C50" s="148">
        <f>IF('Uncalibrated Data'!E50="","",Calibration!$C$30*'Uncalibrated Data'!E50+Calibration!$C$31)</f>
        <v>-29.185673376544585</v>
      </c>
    </row>
    <row r="51" spans="1:3" x14ac:dyDescent="0.2">
      <c r="A51" s="14" t="str">
        <f>'Uncalibrated Data'!B51</f>
        <v>TLM10 20220330</v>
      </c>
      <c r="B51" s="144">
        <f>IF('Uncalibrated Data'!D51="","",Calibration!$B$30*'Uncalibrated Data'!D51+Calibration!$B$31)</f>
        <v>-4.5778780915884933</v>
      </c>
      <c r="C51" s="148">
        <f>IF('Uncalibrated Data'!E51="","",Calibration!$C$30*'Uncalibrated Data'!E51+Calibration!$C$31)</f>
        <v>-22.80042293030959</v>
      </c>
    </row>
    <row r="52" spans="1:3" x14ac:dyDescent="0.2">
      <c r="A52" s="14" t="str">
        <f>'Uncalibrated Data'!B52</f>
        <v>TLA01 20220330</v>
      </c>
      <c r="B52" s="144">
        <f>IF('Uncalibrated Data'!D52="","",Calibration!$B$30*'Uncalibrated Data'!D52+Calibration!$B$31)</f>
        <v>-4.7454644649288014</v>
      </c>
      <c r="C52" s="148">
        <f>IF('Uncalibrated Data'!E52="","",Calibration!$C$30*'Uncalibrated Data'!E52+Calibration!$C$31)</f>
        <v>-23.623264482659454</v>
      </c>
    </row>
    <row r="53" spans="1:3" x14ac:dyDescent="0.2">
      <c r="A53" s="14" t="str">
        <f>'Uncalibrated Data'!B53</f>
        <v>TLM16 20220330</v>
      </c>
      <c r="B53" s="144">
        <f>IF('Uncalibrated Data'!D53="","",Calibration!$B$30*'Uncalibrated Data'!D53+Calibration!$B$31)</f>
        <v>-4.6032187730411618</v>
      </c>
      <c r="C53" s="148">
        <f>IF('Uncalibrated Data'!E53="","",Calibration!$C$30*'Uncalibrated Data'!E53+Calibration!$C$31)</f>
        <v>-22.771875366248469</v>
      </c>
    </row>
    <row r="54" spans="1:3" x14ac:dyDescent="0.2">
      <c r="A54" s="14" t="str">
        <f>'Uncalibrated Data'!B54</f>
        <v>TLM19 20220330</v>
      </c>
      <c r="B54" s="144">
        <f>IF('Uncalibrated Data'!D54="","",Calibration!$B$30*'Uncalibrated Data'!D54+Calibration!$B$31)</f>
        <v>-4.481583502068359</v>
      </c>
      <c r="C54" s="148">
        <f>IF('Uncalibrated Data'!E54="","",Calibration!$C$30*'Uncalibrated Data'!E54+Calibration!$C$31)</f>
        <v>-21.697143542771087</v>
      </c>
    </row>
    <row r="55" spans="1:3" x14ac:dyDescent="0.2">
      <c r="A55" s="14" t="str">
        <f>'Uncalibrated Data'!B55</f>
        <v>TAL Precip 20220330</v>
      </c>
      <c r="B55" s="144">
        <f>IF('Uncalibrated Data'!D55="","",Calibration!$B$30*'Uncalibrated Data'!D55+Calibration!$B$31)</f>
        <v>-3.2402279866403552</v>
      </c>
      <c r="C55" s="148">
        <f>IF('Uncalibrated Data'!E55="","",Calibration!$C$30*'Uncalibrated Data'!E55+Calibration!$C$31)</f>
        <v>-11.179885088960388</v>
      </c>
    </row>
    <row r="56" spans="1:3" x14ac:dyDescent="0.2">
      <c r="A56" s="14" t="str">
        <f>'Uncalibrated Data'!B56</f>
        <v>WHM01 20211014</v>
      </c>
      <c r="B56" s="144">
        <f>IF('Uncalibrated Data'!D56="","",Calibration!$B$30*'Uncalibrated Data'!D56+Calibration!$B$31)</f>
        <v>-3.8693526381719123</v>
      </c>
      <c r="C56" s="148">
        <f>IF('Uncalibrated Data'!E56="","",Calibration!$C$30*'Uncalibrated Data'!E56+Calibration!$C$31)</f>
        <v>-19.707546254558583</v>
      </c>
    </row>
    <row r="57" spans="1:3" x14ac:dyDescent="0.2">
      <c r="A57" s="14" t="str">
        <f>'Uncalibrated Data'!B57</f>
        <v>Ouachita</v>
      </c>
      <c r="B57" s="144">
        <f>IF('Uncalibrated Data'!D57="","",Calibration!$B$30*'Uncalibrated Data'!D57+Calibration!$B$31)</f>
        <v>-5.2809975329618402</v>
      </c>
      <c r="C57" s="148">
        <f>IF('Uncalibrated Data'!E57="","",Calibration!$C$30*'Uncalibrated Data'!E57+Calibration!$C$31)</f>
        <v>-28.948896521684723</v>
      </c>
    </row>
    <row r="58" spans="1:3" x14ac:dyDescent="0.2">
      <c r="A58" s="14" t="str">
        <f>'Uncalibrated Data'!B58</f>
        <v>WHM01 20211104</v>
      </c>
      <c r="B58" s="144">
        <f>IF('Uncalibrated Data'!D58="","",Calibration!$B$30*'Uncalibrated Data'!D58+Calibration!$B$31)</f>
        <v>-3.8642845018813787</v>
      </c>
      <c r="C58" s="148">
        <f>IF('Uncalibrated Data'!E58="","",Calibration!$C$30*'Uncalibrated Data'!E58+Calibration!$C$31)</f>
        <v>-20.102846053381356</v>
      </c>
    </row>
    <row r="59" spans="1:3" x14ac:dyDescent="0.2">
      <c r="A59" s="221" t="str">
        <f>'Uncalibrated Data'!B59</f>
        <v>WHM01 20211129</v>
      </c>
      <c r="B59" s="222">
        <f>IF('Uncalibrated Data'!D59="","",Calibration!$B$30*'Uncalibrated Data'!D59+Calibration!$B$31)</f>
        <v>-3.7565021367693663</v>
      </c>
      <c r="C59" s="223">
        <f>IF('Uncalibrated Data'!E59="","",Calibration!$C$30*'Uncalibrated Data'!E59+Calibration!$C$31)</f>
        <v>-19.136594973336223</v>
      </c>
    </row>
    <row r="60" spans="1:3" x14ac:dyDescent="0.2">
      <c r="A60" s="14" t="str">
        <f>'Uncalibrated Data'!B60</f>
        <v>WHM01 20211220</v>
      </c>
      <c r="B60" s="144">
        <f>IF('Uncalibrated Data'!D60="","",Calibration!$B$30*'Uncalibrated Data'!D60+Calibration!$B$31)</f>
        <v>-3.8399574476868183</v>
      </c>
      <c r="C60" s="148">
        <f>IF('Uncalibrated Data'!E60="","",Calibration!$C$30*'Uncalibrated Data'!E60+Calibration!$C$31)</f>
        <v>-19.172867172378581</v>
      </c>
    </row>
    <row r="61" spans="1:3" x14ac:dyDescent="0.2">
      <c r="A61" s="14" t="str">
        <f>'Uncalibrated Data'!B61</f>
        <v>WHM01 20220106</v>
      </c>
      <c r="B61" s="144">
        <f>IF('Uncalibrated Data'!D61="","",Calibration!$B$30*'Uncalibrated Data'!D61+Calibration!$B$31)</f>
        <v>-3.8490800930097779</v>
      </c>
      <c r="C61" s="148">
        <f>IF('Uncalibrated Data'!E61="","",Calibration!$C$30*'Uncalibrated Data'!E61+Calibration!$C$31)</f>
        <v>-18.709053219809128</v>
      </c>
    </row>
    <row r="62" spans="1:3" x14ac:dyDescent="0.2">
      <c r="A62" s="14" t="str">
        <f>'Uncalibrated Data'!B62</f>
        <v xml:space="preserve">WHM01 20220322 </v>
      </c>
      <c r="B62" s="144">
        <f>IF('Uncalibrated Data'!D62="","",Calibration!$B$30*'Uncalibrated Data'!D62+Calibration!$B$31)</f>
        <v>-3.8038047421476788</v>
      </c>
      <c r="C62" s="148">
        <f>IF('Uncalibrated Data'!E62="","",Calibration!$C$30*'Uncalibrated Data'!E62+Calibration!$C$31)</f>
        <v>-17.727017016106672</v>
      </c>
    </row>
    <row r="63" spans="1:3" x14ac:dyDescent="0.2">
      <c r="A63" s="14" t="str">
        <f>'Uncalibrated Data'!B63</f>
        <v xml:space="preserve">WHB01 20220322 </v>
      </c>
      <c r="B63" s="144">
        <f>IF('Uncalibrated Data'!D63="","",Calibration!$B$30*'Uncalibrated Data'!D63+Calibration!$B$31)</f>
        <v>-3.8625951231178672</v>
      </c>
      <c r="C63" s="148">
        <f>IF('Uncalibrated Data'!E63="","",Calibration!$C$30*'Uncalibrated Data'!E63+Calibration!$C$31)</f>
        <v>-17.770677996435438</v>
      </c>
    </row>
    <row r="64" spans="1:3" x14ac:dyDescent="0.2">
      <c r="A64" s="14" t="str">
        <f>'Uncalibrated Data'!B64</f>
        <v>Ouachita</v>
      </c>
      <c r="B64" s="144">
        <f>IF('Uncalibrated Data'!D64="","",Calibration!$B$30*'Uncalibrated Data'!D64+Calibration!$B$31)</f>
        <v>-5.4323658701724407</v>
      </c>
      <c r="C64" s="148">
        <f>IF('Uncalibrated Data'!E64="","",Calibration!$C$30*'Uncalibrated Data'!E64+Calibration!$C$31)</f>
        <v>-29.183658254375569</v>
      </c>
    </row>
    <row r="65" spans="1:3" x14ac:dyDescent="0.2">
      <c r="A65" s="14" t="str">
        <f>'Uncalibrated Data'!B65</f>
        <v>WHA02 20220322</v>
      </c>
      <c r="B65" s="144">
        <f>IF('Uncalibrated Data'!D65="","",Calibration!$B$30*'Uncalibrated Data'!D65+Calibration!$B$31)</f>
        <v>-3.7369053431126376</v>
      </c>
      <c r="C65" s="148">
        <f>IF('Uncalibrated Data'!E65="","",Calibration!$C$30*'Uncalibrated Data'!E65+Calibration!$C$31)</f>
        <v>-17.001237181564598</v>
      </c>
    </row>
    <row r="66" spans="1:3" x14ac:dyDescent="0.2">
      <c r="A66" s="14" t="str">
        <f>'Uncalibrated Data'!B66</f>
        <v>WHM03 20220322</v>
      </c>
      <c r="B66" s="144">
        <f>IF('Uncalibrated Data'!D66="","",Calibration!$B$30*'Uncalibrated Data'!D66+Calibration!$B$31)</f>
        <v>-3.802791114889573</v>
      </c>
      <c r="C66" s="148">
        <f>IF('Uncalibrated Data'!E66="","",Calibration!$C$30*'Uncalibrated Data'!E66+Calibration!$C$31)</f>
        <v>-17.710560185059673</v>
      </c>
    </row>
    <row r="67" spans="1:3" x14ac:dyDescent="0.2">
      <c r="A67" s="14" t="str">
        <f>'Uncalibrated Data'!B67</f>
        <v>WHM07 20220322</v>
      </c>
      <c r="B67" s="144">
        <f>IF('Uncalibrated Data'!D67="","",Calibration!$B$30*'Uncalibrated Data'!D67+Calibration!$B$31)</f>
        <v>-3.8460392112354587</v>
      </c>
      <c r="C67" s="148">
        <f>IF('Uncalibrated Data'!E67="","",Calibration!$C$30*'Uncalibrated Data'!E67+Calibration!$C$31)</f>
        <v>-17.909385572402989</v>
      </c>
    </row>
    <row r="68" spans="1:3" x14ac:dyDescent="0.2">
      <c r="A68" s="14" t="str">
        <f>'Uncalibrated Data'!B68</f>
        <v>Ouachita</v>
      </c>
      <c r="B68" s="144">
        <f>IF('Uncalibrated Data'!D68="","",Calibration!$B$30*'Uncalibrated Data'!D68+Calibration!$B$31)</f>
        <v>-5.396213164633302</v>
      </c>
      <c r="C68" s="148">
        <f>IF('Uncalibrated Data'!E68="","",Calibration!$C$30*'Uncalibrated Data'!E68+Calibration!$C$31)</f>
        <v>-29.11353200289366</v>
      </c>
    </row>
    <row r="69" spans="1:3" x14ac:dyDescent="0.2">
      <c r="A69" s="14" t="str">
        <f>'Uncalibrated Data'!B69</f>
        <v>Sipsey</v>
      </c>
      <c r="B69" s="144">
        <f>IF('Uncalibrated Data'!D69="","",Calibration!$B$30*'Uncalibrated Data'!D69+Calibration!$B$31)</f>
        <v>-4.4697578507237798</v>
      </c>
      <c r="C69" s="148">
        <f>IF('Uncalibrated Data'!E69="","",Calibration!$C$30*'Uncalibrated Data'!E69+Calibration!$C$31)</f>
        <v>-22.212141598433654</v>
      </c>
    </row>
    <row r="70" spans="1:3" x14ac:dyDescent="0.2">
      <c r="A70" s="14" t="str">
        <f>'Uncalibrated Data'!B70</f>
        <v>Iceland</v>
      </c>
      <c r="B70" s="144">
        <f>IF('Uncalibrated Data'!D70="","",Calibration!$B$30*'Uncalibrated Data'!D70+Calibration!$B$31)</f>
        <v>-7.9499456787073166</v>
      </c>
      <c r="C70" s="148">
        <f>IF('Uncalibrated Data'!E70="","",Calibration!$C$30*'Uncalibrated Data'!E70+Calibration!$C$31)</f>
        <v>-52.635448545214494</v>
      </c>
    </row>
    <row r="71" spans="1:3" ht="16" thickBot="1" x14ac:dyDescent="0.25">
      <c r="A71" s="149" t="str">
        <f>'Uncalibrated Data'!B71</f>
        <v>Ouachita</v>
      </c>
      <c r="B71" s="145">
        <f>IF('Uncalibrated Data'!D71="","",Calibration!$B$30*'Uncalibrated Data'!D71+Calibration!$B$31)</f>
        <v>-5.4158775334405709</v>
      </c>
      <c r="C71" s="150">
        <f>IF('Uncalibrated Data'!E71="","",Calibration!$C$30*'Uncalibrated Data'!E71+Calibration!$C$31)</f>
        <v>-29.248948212651811</v>
      </c>
    </row>
    <row r="72" spans="1:3" ht="16" thickTop="1" x14ac:dyDescent="0.2">
      <c r="A72" s="14" t="str">
        <f>'Uncalibrated Data'!B72</f>
        <v>WHM10 20220322</v>
      </c>
      <c r="B72" s="144">
        <f>IF('Uncalibrated Data'!D72="","",Calibration!$B$35*'Uncalibrated Data'!D72+Calibration!$B$36)</f>
        <v>-3.8300103099191127</v>
      </c>
      <c r="C72" s="148">
        <f>IF('Uncalibrated Data'!E72="","",Calibration!$C$35*'Uncalibrated Data'!E72+Calibration!$C$36)</f>
        <v>-17.925328871764524</v>
      </c>
    </row>
    <row r="73" spans="1:3" x14ac:dyDescent="0.2">
      <c r="A73" s="14" t="str">
        <f>'Uncalibrated Data'!B73</f>
        <v>WHM12 20220322</v>
      </c>
      <c r="B73" s="144">
        <f>IF('Uncalibrated Data'!D73="","",Calibration!$B$35*'Uncalibrated Data'!D73+Calibration!$B$36)</f>
        <v>-3.9008692735393793</v>
      </c>
      <c r="C73" s="148">
        <f>IF('Uncalibrated Data'!E73="","",Calibration!$C$35*'Uncalibrated Data'!E73+Calibration!$C$36)</f>
        <v>-17.995544133479939</v>
      </c>
    </row>
    <row r="74" spans="1:3" x14ac:dyDescent="0.2">
      <c r="A74" s="14" t="str">
        <f>'Uncalibrated Data'!B74</f>
        <v>PRM01 20211013</v>
      </c>
      <c r="B74" s="144">
        <f>IF('Uncalibrated Data'!D74="","",Calibration!$B$35*'Uncalibrated Data'!D74+Calibration!$B$36)</f>
        <v>-5.7027114913118657</v>
      </c>
      <c r="C74" s="148">
        <f>IF('Uncalibrated Data'!E74="","",Calibration!$C$35*'Uncalibrated Data'!E74+Calibration!$C$36)</f>
        <v>-30.833234483781855</v>
      </c>
    </row>
    <row r="75" spans="1:3" x14ac:dyDescent="0.2">
      <c r="A75" s="14" t="str">
        <f>'Uncalibrated Data'!B75</f>
        <v>PRM01 20211103</v>
      </c>
      <c r="B75" s="144">
        <f>IF('Uncalibrated Data'!D75="","",Calibration!$B$35*'Uncalibrated Data'!D75+Calibration!$B$36)</f>
        <v>-5.5461469240747059</v>
      </c>
      <c r="C75" s="148">
        <f>IF('Uncalibrated Data'!E75="","",Calibration!$C$35*'Uncalibrated Data'!E75+Calibration!$C$36)</f>
        <v>-30.116704455895491</v>
      </c>
    </row>
    <row r="76" spans="1:3" x14ac:dyDescent="0.2">
      <c r="A76" s="14" t="str">
        <f>'Uncalibrated Data'!B76</f>
        <v>PRM01 20211122</v>
      </c>
      <c r="B76" s="144">
        <f>IF('Uncalibrated Data'!D76="","",Calibration!$B$35*'Uncalibrated Data'!D76+Calibration!$B$36)</f>
        <v>-5.3517909095734044</v>
      </c>
      <c r="C76" s="148">
        <f>IF('Uncalibrated Data'!E76="","",Calibration!$C$35*'Uncalibrated Data'!E76+Calibration!$C$36)</f>
        <v>-27.334173941630286</v>
      </c>
    </row>
    <row r="77" spans="1:3" x14ac:dyDescent="0.2">
      <c r="A77" s="14" t="str">
        <f>'Uncalibrated Data'!B77</f>
        <v>PRM01 20211215</v>
      </c>
      <c r="B77" s="144">
        <f>IF('Uncalibrated Data'!D77="","",Calibration!$B$35*'Uncalibrated Data'!D77+Calibration!$B$36)</f>
        <v>-5.5680794604333599</v>
      </c>
      <c r="C77" s="148">
        <f>IF('Uncalibrated Data'!E77="","",Calibration!$C$35*'Uncalibrated Data'!E77+Calibration!$C$36)</f>
        <v>-29.879644358008683</v>
      </c>
    </row>
    <row r="78" spans="1:3" x14ac:dyDescent="0.2">
      <c r="A78" s="14" t="str">
        <f>'Uncalibrated Data'!B78</f>
        <v>Ouachita</v>
      </c>
      <c r="B78" s="144">
        <f>IF('Uncalibrated Data'!D78="","",Calibration!$B$35*'Uncalibrated Data'!D78+Calibration!$B$36)</f>
        <v>-5.4530180004594984</v>
      </c>
      <c r="C78" s="148">
        <f>IF('Uncalibrated Data'!E78="","",Calibration!$C$35*'Uncalibrated Data'!E78+Calibration!$C$36)</f>
        <v>-29.489448117904438</v>
      </c>
    </row>
    <row r="79" spans="1:3" x14ac:dyDescent="0.2">
      <c r="A79" s="14" t="str">
        <f>'Uncalibrated Data'!B79</f>
        <v>PRM01 20220112</v>
      </c>
      <c r="B79" s="144">
        <f>IF('Uncalibrated Data'!D79="","",Calibration!$B$35*'Uncalibrated Data'!D79+Calibration!$B$36)</f>
        <v>-5.3909320513826939</v>
      </c>
      <c r="C79" s="148">
        <f>IF('Uncalibrated Data'!E79="","",Calibration!$C$35*'Uncalibrated Data'!E79+Calibration!$C$36)</f>
        <v>-28.107544895667225</v>
      </c>
    </row>
    <row r="80" spans="1:3" x14ac:dyDescent="0.2">
      <c r="A80" s="14" t="str">
        <f>'Uncalibrated Data'!B80</f>
        <v>PRM01 20220314</v>
      </c>
      <c r="B80" s="144">
        <f>IF('Uncalibrated Data'!D80="","",Calibration!$B$35*'Uncalibrated Data'!D80+Calibration!$B$36)</f>
        <v>-5.302864482311791</v>
      </c>
      <c r="C80" s="148">
        <f>IF('Uncalibrated Data'!E80="","",Calibration!$C$35*'Uncalibrated Data'!E80+Calibration!$C$36)</f>
        <v>-27.815984380353687</v>
      </c>
    </row>
    <row r="81" spans="1:3" x14ac:dyDescent="0.2">
      <c r="A81" s="14" t="str">
        <f>'Uncalibrated Data'!B81</f>
        <v>PRM06 20220314</v>
      </c>
      <c r="B81" s="144">
        <f>IF('Uncalibrated Data'!D81="","",Calibration!$B$35*'Uncalibrated Data'!D81+Calibration!$B$36)</f>
        <v>-5.3187233932172795</v>
      </c>
      <c r="C81" s="148">
        <f>IF('Uncalibrated Data'!E81="","",Calibration!$C$35*'Uncalibrated Data'!E81+Calibration!$C$36)</f>
        <v>-28.049700894349289</v>
      </c>
    </row>
    <row r="82" spans="1:3" x14ac:dyDescent="0.2">
      <c r="A82" s="14" t="str">
        <f>'Uncalibrated Data'!B82</f>
        <v>PRB01 20220314</v>
      </c>
      <c r="B82" s="144">
        <f>IF('Uncalibrated Data'!D82="","",Calibration!$B$35*'Uncalibrated Data'!D82+Calibration!$B$36)</f>
        <v>-5.1712692641598679</v>
      </c>
      <c r="C82" s="148">
        <f>IF('Uncalibrated Data'!E82="","",Calibration!$C$35*'Uncalibrated Data'!E82+Calibration!$C$36)</f>
        <v>-27.179031649078127</v>
      </c>
    </row>
    <row r="83" spans="1:3" x14ac:dyDescent="0.2">
      <c r="A83" s="14" t="str">
        <f>'Uncalibrated Data'!B83</f>
        <v>PRM11 20220314</v>
      </c>
      <c r="B83" s="144">
        <f>IF('Uncalibrated Data'!D83="","",Calibration!$B$35*'Uncalibrated Data'!D83+Calibration!$B$36)</f>
        <v>-5.4290609222831234</v>
      </c>
      <c r="C83" s="148">
        <f>IF('Uncalibrated Data'!E83="","",Calibration!$C$35*'Uncalibrated Data'!E83+Calibration!$C$36)</f>
        <v>-28.471995539809146</v>
      </c>
    </row>
    <row r="84" spans="1:3" x14ac:dyDescent="0.2">
      <c r="A84" s="14" t="str">
        <f>'Uncalibrated Data'!B84</f>
        <v>PRM15 20220314</v>
      </c>
      <c r="B84" s="144">
        <f>IF('Uncalibrated Data'!D84="","",Calibration!$B$35*'Uncalibrated Data'!D84+Calibration!$B$36)</f>
        <v>-5.4894597531784921</v>
      </c>
      <c r="C84" s="148">
        <f>IF('Uncalibrated Data'!E84="","",Calibration!$C$35*'Uncalibrated Data'!E84+Calibration!$C$36)</f>
        <v>-28.799666761147758</v>
      </c>
    </row>
    <row r="85" spans="1:3" x14ac:dyDescent="0.2">
      <c r="A85" s="14" t="str">
        <f>'Uncalibrated Data'!B85</f>
        <v>Ouachita</v>
      </c>
      <c r="B85" s="144">
        <f>IF('Uncalibrated Data'!D85="","",Calibration!$B$35*'Uncalibrated Data'!D85+Calibration!$B$36)</f>
        <v>-5.5097051713557104</v>
      </c>
      <c r="C85" s="148">
        <f>IF('Uncalibrated Data'!E85="","",Calibration!$C$35*'Uncalibrated Data'!E85+Calibration!$C$36)</f>
        <v>-29.715474388950252</v>
      </c>
    </row>
    <row r="86" spans="1:3" x14ac:dyDescent="0.2">
      <c r="A86" s="14" t="str">
        <f>'Uncalibrated Data'!B86</f>
        <v>PRA01 20220314</v>
      </c>
      <c r="B86" s="144">
        <f>IF('Uncalibrated Data'!D86="","",Calibration!$B$35*'Uncalibrated Data'!D86+Calibration!$B$36)</f>
        <v>-5.3895823568375452</v>
      </c>
      <c r="C86" s="148">
        <f>IF('Uncalibrated Data'!E86="","",Calibration!$C$35*'Uncalibrated Data'!E86+Calibration!$C$36)</f>
        <v>-28.293448160018521</v>
      </c>
    </row>
    <row r="87" spans="1:3" x14ac:dyDescent="0.2">
      <c r="A87" s="14" t="str">
        <f>'Uncalibrated Data'!B87</f>
        <v>PRM19 20220314</v>
      </c>
      <c r="B87" s="144">
        <f>IF('Uncalibrated Data'!D87="","",Calibration!$B$35*'Uncalibrated Data'!D87+Calibration!$B$36)</f>
        <v>-5.5717911204325157</v>
      </c>
      <c r="C87" s="148">
        <f>IF('Uncalibrated Data'!E87="","",Calibration!$C$35*'Uncalibrated Data'!E87+Calibration!$C$36)</f>
        <v>-29.194878377088816</v>
      </c>
    </row>
    <row r="88" spans="1:3" x14ac:dyDescent="0.2">
      <c r="A88" s="14" t="str">
        <f>'Uncalibrated Data'!B88</f>
        <v>WAIS_02M09_1_RAW_NODATE</v>
      </c>
      <c r="B88" s="144">
        <f>IF('Uncalibrated Data'!D88="","",Calibration!$B$35*'Uncalibrated Data'!D88+Calibration!$B$36)</f>
        <v>-5.9250736676249867</v>
      </c>
      <c r="C88" s="148">
        <f>IF('Uncalibrated Data'!E88="","",Calibration!$C$35*'Uncalibrated Data'!E88+Calibration!$C$36)</f>
        <v>-37.029898509361892</v>
      </c>
    </row>
    <row r="89" spans="1:3" x14ac:dyDescent="0.2">
      <c r="A89" s="14">
        <f>'Uncalibrated Data'!B89</f>
        <v>0</v>
      </c>
      <c r="B89" s="144" t="e">
        <f>IF('Uncalibrated Data'!D89="","",Calibration!$B$35*'Uncalibrated Data'!D89+Calibration!$B$36)</f>
        <v>#DIV/0!</v>
      </c>
      <c r="C89" s="148" t="e">
        <f>IF('Uncalibrated Data'!E89="","",Calibration!$C$35*'Uncalibrated Data'!E89+Calibration!$C$36)</f>
        <v>#DIV/0!</v>
      </c>
    </row>
    <row r="90" spans="1:3" x14ac:dyDescent="0.2">
      <c r="A90" s="14">
        <f>'Uncalibrated Data'!B90</f>
        <v>0</v>
      </c>
      <c r="B90" s="144" t="e">
        <f>IF('Uncalibrated Data'!D90="","",Calibration!$B$35*'Uncalibrated Data'!D90+Calibration!$B$36)</f>
        <v>#DIV/0!</v>
      </c>
      <c r="C90" s="148" t="e">
        <f>IF('Uncalibrated Data'!E90="","",Calibration!$C$35*'Uncalibrated Data'!E90+Calibration!$C$36)</f>
        <v>#DIV/0!</v>
      </c>
    </row>
    <row r="91" spans="1:3" x14ac:dyDescent="0.2">
      <c r="A91" s="14">
        <f>'Uncalibrated Data'!B91</f>
        <v>0</v>
      </c>
      <c r="B91" s="144" t="e">
        <f>IF('Uncalibrated Data'!D91="","",Calibration!$B$35*'Uncalibrated Data'!D91+Calibration!$B$36)</f>
        <v>#DIV/0!</v>
      </c>
      <c r="C91" s="148" t="e">
        <f>IF('Uncalibrated Data'!E91="","",Calibration!$C$35*'Uncalibrated Data'!E91+Calibration!$C$36)</f>
        <v>#DIV/0!</v>
      </c>
    </row>
    <row r="92" spans="1:3" x14ac:dyDescent="0.2">
      <c r="A92" s="14">
        <f>'Uncalibrated Data'!B92</f>
        <v>0</v>
      </c>
      <c r="B92" s="144" t="e">
        <f>IF('Uncalibrated Data'!D92="","",Calibration!$B$35*'Uncalibrated Data'!D92+Calibration!$B$36)</f>
        <v>#DIV/0!</v>
      </c>
      <c r="C92" s="148" t="e">
        <f>IF('Uncalibrated Data'!E92="","",Calibration!$C$35*'Uncalibrated Data'!E92+Calibration!$C$36)</f>
        <v>#DIV/0!</v>
      </c>
    </row>
    <row r="93" spans="1:3" x14ac:dyDescent="0.2">
      <c r="A93" s="14">
        <f>'Uncalibrated Data'!B93</f>
        <v>0</v>
      </c>
      <c r="B93" s="144" t="e">
        <f>IF('Uncalibrated Data'!D93="","",Calibration!$B$35*'Uncalibrated Data'!D93+Calibration!$B$36)</f>
        <v>#DIV/0!</v>
      </c>
      <c r="C93" s="148" t="e">
        <f>IF('Uncalibrated Data'!E93="","",Calibration!$C$35*'Uncalibrated Data'!E93+Calibration!$C$36)</f>
        <v>#DIV/0!</v>
      </c>
    </row>
    <row r="94" spans="1:3" x14ac:dyDescent="0.2">
      <c r="A94" s="14">
        <f>'Uncalibrated Data'!B94</f>
        <v>0</v>
      </c>
      <c r="B94" s="144" t="e">
        <f>IF('Uncalibrated Data'!D94="","",Calibration!$B$35*'Uncalibrated Data'!D94+Calibration!$B$36)</f>
        <v>#DIV/0!</v>
      </c>
      <c r="C94" s="148" t="e">
        <f>IF('Uncalibrated Data'!E94="","",Calibration!$C$35*'Uncalibrated Data'!E94+Calibration!$C$36)</f>
        <v>#DIV/0!</v>
      </c>
    </row>
    <row r="95" spans="1:3" x14ac:dyDescent="0.2">
      <c r="A95" s="14">
        <f>'Uncalibrated Data'!B95</f>
        <v>0</v>
      </c>
      <c r="B95" s="144" t="e">
        <f>IF('Uncalibrated Data'!D95="","",Calibration!$B$35*'Uncalibrated Data'!D95+Calibration!$B$36)</f>
        <v>#DIV/0!</v>
      </c>
      <c r="C95" s="148" t="e">
        <f>IF('Uncalibrated Data'!E95="","",Calibration!$C$35*'Uncalibrated Data'!E95+Calibration!$C$36)</f>
        <v>#DIV/0!</v>
      </c>
    </row>
    <row r="96" spans="1:3" x14ac:dyDescent="0.2">
      <c r="A96" s="14">
        <f>'Uncalibrated Data'!B96</f>
        <v>0</v>
      </c>
      <c r="B96" s="144" t="e">
        <f>IF('Uncalibrated Data'!D96="","",Calibration!$B$35*'Uncalibrated Data'!D96+Calibration!$B$36)</f>
        <v>#DIV/0!</v>
      </c>
      <c r="C96" s="148" t="e">
        <f>IF('Uncalibrated Data'!E96="","",Calibration!$C$35*'Uncalibrated Data'!E96+Calibration!$C$36)</f>
        <v>#DIV/0!</v>
      </c>
    </row>
    <row r="97" spans="1:3" x14ac:dyDescent="0.2">
      <c r="A97" s="14">
        <f>'Uncalibrated Data'!B97</f>
        <v>0</v>
      </c>
      <c r="B97" s="144" t="e">
        <f>IF('Uncalibrated Data'!D97="","",Calibration!$B$35*'Uncalibrated Data'!D97+Calibration!$B$36)</f>
        <v>#DIV/0!</v>
      </c>
      <c r="C97" s="148" t="e">
        <f>IF('Uncalibrated Data'!E97="","",Calibration!$C$35*'Uncalibrated Data'!E97+Calibration!$C$36)</f>
        <v>#DIV/0!</v>
      </c>
    </row>
    <row r="98" spans="1:3" x14ac:dyDescent="0.2">
      <c r="A98" s="14">
        <f>'Uncalibrated Data'!B98</f>
        <v>0</v>
      </c>
      <c r="B98" s="144" t="e">
        <f>IF('Uncalibrated Data'!D98="","",Calibration!$B$35*'Uncalibrated Data'!D98+Calibration!$B$36)</f>
        <v>#DIV/0!</v>
      </c>
      <c r="C98" s="148" t="e">
        <f>IF('Uncalibrated Data'!E98="","",Calibration!$C$35*'Uncalibrated Data'!E98+Calibration!$C$36)</f>
        <v>#DIV/0!</v>
      </c>
    </row>
    <row r="99" spans="1:3" x14ac:dyDescent="0.2">
      <c r="A99" s="14">
        <f>'Uncalibrated Data'!B99</f>
        <v>0</v>
      </c>
      <c r="B99" s="144" t="e">
        <f>IF('Uncalibrated Data'!D99="","",Calibration!$B$35*'Uncalibrated Data'!D99+Calibration!$B$36)</f>
        <v>#DIV/0!</v>
      </c>
      <c r="C99" s="148" t="e">
        <f>IF('Uncalibrated Data'!E99="","",Calibration!$C$35*'Uncalibrated Data'!E99+Calibration!$C$36)</f>
        <v>#DIV/0!</v>
      </c>
    </row>
    <row r="100" spans="1:3" x14ac:dyDescent="0.2">
      <c r="A100" s="14">
        <f>'Uncalibrated Data'!B100</f>
        <v>0</v>
      </c>
      <c r="B100" s="144" t="e">
        <f>IF('Uncalibrated Data'!D100="","",Calibration!$B$35*'Uncalibrated Data'!D100+Calibration!$B$36)</f>
        <v>#DIV/0!</v>
      </c>
      <c r="C100" s="148" t="e">
        <f>IF('Uncalibrated Data'!E100="","",Calibration!$C$35*'Uncalibrated Data'!E100+Calibration!$C$36)</f>
        <v>#DIV/0!</v>
      </c>
    </row>
    <row r="101" spans="1:3" x14ac:dyDescent="0.2">
      <c r="A101" s="14">
        <f>'Uncalibrated Data'!B101</f>
        <v>0</v>
      </c>
      <c r="B101" s="144" t="e">
        <f>IF('Uncalibrated Data'!D101="","",Calibration!$B$35*'Uncalibrated Data'!D101+Calibration!$B$36)</f>
        <v>#DIV/0!</v>
      </c>
      <c r="C101" s="148" t="e">
        <f>IF('Uncalibrated Data'!E101="","",Calibration!$C$35*'Uncalibrated Data'!E101+Calibration!$C$36)</f>
        <v>#DIV/0!</v>
      </c>
    </row>
    <row r="102" spans="1:3" x14ac:dyDescent="0.2">
      <c r="A102" s="14">
        <f>'Uncalibrated Data'!B102</f>
        <v>0</v>
      </c>
      <c r="B102" s="144" t="e">
        <f>IF('Uncalibrated Data'!D102="","",Calibration!$B$35*'Uncalibrated Data'!D102+Calibration!$B$36)</f>
        <v>#DIV/0!</v>
      </c>
      <c r="C102" s="148" t="e">
        <f>IF('Uncalibrated Data'!E102="","",Calibration!$C$35*'Uncalibrated Data'!E102+Calibration!$C$36)</f>
        <v>#DIV/0!</v>
      </c>
    </row>
    <row r="103" spans="1:3" x14ac:dyDescent="0.2">
      <c r="A103" s="14">
        <f>'Uncalibrated Data'!B103</f>
        <v>0</v>
      </c>
      <c r="B103" s="144" t="e">
        <f>IF('Uncalibrated Data'!D103="","",Calibration!$B$35*'Uncalibrated Data'!D103+Calibration!$B$36)</f>
        <v>#DIV/0!</v>
      </c>
      <c r="C103" s="148" t="e">
        <f>IF('Uncalibrated Data'!E103="","",Calibration!$C$35*'Uncalibrated Data'!E103+Calibration!$C$36)</f>
        <v>#DIV/0!</v>
      </c>
    </row>
    <row r="104" spans="1:3" x14ac:dyDescent="0.2">
      <c r="A104" s="14">
        <f>'Uncalibrated Data'!B104</f>
        <v>0</v>
      </c>
      <c r="B104" s="144" t="e">
        <f>IF('Uncalibrated Data'!D104="","",Calibration!$B$35*'Uncalibrated Data'!D104+Calibration!$B$36)</f>
        <v>#DIV/0!</v>
      </c>
      <c r="C104" s="148" t="e">
        <f>IF('Uncalibrated Data'!E104="","",Calibration!$C$35*'Uncalibrated Data'!E104+Calibration!$C$36)</f>
        <v>#DIV/0!</v>
      </c>
    </row>
    <row r="105" spans="1:3" x14ac:dyDescent="0.2">
      <c r="A105" s="14">
        <f>'Uncalibrated Data'!B105</f>
        <v>0</v>
      </c>
      <c r="B105" s="144" t="e">
        <f>IF('Uncalibrated Data'!D105="","",Calibration!$B$35*'Uncalibrated Data'!D105+Calibration!$B$36)</f>
        <v>#DIV/0!</v>
      </c>
      <c r="C105" s="148" t="e">
        <f>IF('Uncalibrated Data'!E105="","",Calibration!$C$35*'Uncalibrated Data'!E105+Calibration!$C$36)</f>
        <v>#DIV/0!</v>
      </c>
    </row>
    <row r="106" spans="1:3" ht="16" thickBot="1" x14ac:dyDescent="0.25">
      <c r="A106" s="15">
        <f>'Uncalibrated Data'!B106</f>
        <v>0</v>
      </c>
      <c r="B106" s="151" t="e">
        <f>IF('Uncalibrated Data'!D106="","",Calibration!$B$35*'Uncalibrated Data'!D106+Calibration!$B$36)</f>
        <v>#DIV/0!</v>
      </c>
      <c r="C106" s="152" t="e">
        <f>IF('Uncalibrated Data'!E106="","",Calibration!$C$35*'Uncalibrated Data'!E106+Calibration!$C$36)</f>
        <v>#DIV/0!</v>
      </c>
    </row>
    <row r="110" spans="1:3" x14ac:dyDescent="0.2">
      <c r="C110" s="56" t="str">
        <f>IF('Uncalibrated Data'!E110="","",Calibration!$C$24*'Uncalibrated Data'!E110+Calibration!$C$25)</f>
        <v/>
      </c>
    </row>
    <row r="111" spans="1:3" x14ac:dyDescent="0.2">
      <c r="C111" s="56" t="str">
        <f>IF('Uncalibrated Data'!E111="","",Calibration!$C$24*'Uncalibrated Data'!E111+Calibration!$C$25)</f>
        <v/>
      </c>
    </row>
    <row r="112" spans="1:3" x14ac:dyDescent="0.2">
      <c r="C112" s="56" t="str">
        <f>IF('Uncalibrated Data'!E112="","",Calibration!$C$24*'Uncalibrated Data'!E112+Calibration!$C$25)</f>
        <v/>
      </c>
    </row>
    <row r="113" spans="3:3" x14ac:dyDescent="0.2">
      <c r="C113" s="56" t="str">
        <f>IF('Uncalibrated Data'!E113="","",Calibration!$C$24*'Uncalibrated Data'!E113+Calibration!$C$25)</f>
        <v/>
      </c>
    </row>
    <row r="114" spans="3:3" x14ac:dyDescent="0.2">
      <c r="C114" s="56" t="str">
        <f>IF('Uncalibrated Data'!E114="","",Calibration!$C$24*'Uncalibrated Data'!E114+Calibration!$C$25)</f>
        <v/>
      </c>
    </row>
    <row r="115" spans="3:3" x14ac:dyDescent="0.2">
      <c r="C115" s="56" t="str">
        <f>IF('Uncalibrated Data'!E115="","",Calibration!$C$24*'Uncalibrated Data'!E115+Calibration!$C$25)</f>
        <v/>
      </c>
    </row>
    <row r="116" spans="3:3" x14ac:dyDescent="0.2">
      <c r="C116" s="56" t="str">
        <f>IF('Uncalibrated Data'!E116="","",Calibration!$C$24*'Uncalibrated Data'!E116+Calibration!$C$25)</f>
        <v/>
      </c>
    </row>
    <row r="117" spans="3:3" x14ac:dyDescent="0.2">
      <c r="C117" s="56" t="str">
        <f>IF('Uncalibrated Data'!E117="","",Calibration!$C$24*'Uncalibrated Data'!E117+Calibration!$C$25)</f>
        <v/>
      </c>
    </row>
    <row r="118" spans="3:3" x14ac:dyDescent="0.2">
      <c r="C118" s="56" t="str">
        <f>IF('Uncalibrated Data'!E118="","",Calibration!$C$24*'Uncalibrated Data'!E118+Calibration!$C$25)</f>
        <v/>
      </c>
    </row>
    <row r="119" spans="3:3" x14ac:dyDescent="0.2">
      <c r="C119" s="56" t="str">
        <f>IF('Uncalibrated Data'!E119="","",Calibration!$C$24*'Uncalibrated Data'!E119+Calibration!$C$25)</f>
        <v/>
      </c>
    </row>
    <row r="120" spans="3:3" x14ac:dyDescent="0.2">
      <c r="C120" s="56" t="str">
        <f>IF('Uncalibrated Data'!E120="","",Calibration!$C$24*'Uncalibrated Data'!E120+Calibration!$C$25)</f>
        <v/>
      </c>
    </row>
    <row r="121" spans="3:3" x14ac:dyDescent="0.2">
      <c r="C121" s="56" t="str">
        <f>IF('Uncalibrated Data'!E121="","",Calibration!$C$24*'Uncalibrated Data'!E121+Calibration!$C$25)</f>
        <v/>
      </c>
    </row>
    <row r="122" spans="3:3" x14ac:dyDescent="0.2">
      <c r="C122" s="56" t="str">
        <f>IF('Uncalibrated Data'!E122="","",Calibration!$C$24*'Uncalibrated Data'!E122+Calibration!$C$25)</f>
        <v/>
      </c>
    </row>
    <row r="123" spans="3:3" x14ac:dyDescent="0.2">
      <c r="C123" s="56" t="str">
        <f>IF('Uncalibrated Data'!E123="","",Calibration!$C$24*'Uncalibrated Data'!E123+Calibration!$C$25)</f>
        <v/>
      </c>
    </row>
    <row r="124" spans="3:3" x14ac:dyDescent="0.2">
      <c r="C124" s="56" t="str">
        <f>IF('Uncalibrated Data'!E124="","",Calibration!$C$24*'Uncalibrated Data'!E124+Calibration!$C$25)</f>
        <v/>
      </c>
    </row>
    <row r="125" spans="3:3" x14ac:dyDescent="0.2">
      <c r="C125" s="56" t="str">
        <f>IF('Uncalibrated Data'!E125="","",Calibration!$C$24*'Uncalibrated Data'!E125+Calibration!$C$25)</f>
        <v/>
      </c>
    </row>
    <row r="126" spans="3:3" x14ac:dyDescent="0.2">
      <c r="C126" s="56" t="str">
        <f>IF('Uncalibrated Data'!E126="","",Calibration!$C$24*'Uncalibrated Data'!E126+Calibration!$C$25)</f>
        <v/>
      </c>
    </row>
    <row r="127" spans="3:3" x14ac:dyDescent="0.2">
      <c r="C127" s="56" t="str">
        <f>IF('Uncalibrated Data'!E127="","",Calibration!$C$24*'Uncalibrated Data'!E127+Calibration!$C$25)</f>
        <v/>
      </c>
    </row>
    <row r="128" spans="3:3" x14ac:dyDescent="0.2">
      <c r="C128" s="56" t="str">
        <f>IF('Uncalibrated Data'!E128="","",Calibration!$C$24*'Uncalibrated Data'!E128+Calibration!$C$25)</f>
        <v/>
      </c>
    </row>
    <row r="129" spans="3:3" x14ac:dyDescent="0.2">
      <c r="C129" s="56" t="str">
        <f>IF('Uncalibrated Data'!E129="","",Calibration!$C$24*'Uncalibrated Data'!E129+Calibration!$C$25)</f>
        <v/>
      </c>
    </row>
    <row r="130" spans="3:3" x14ac:dyDescent="0.2">
      <c r="C130" s="56" t="str">
        <f>IF('Uncalibrated Data'!E130="","",Calibration!$C$24*'Uncalibrated Data'!E130+Calibration!$C$25)</f>
        <v/>
      </c>
    </row>
    <row r="131" spans="3:3" x14ac:dyDescent="0.2">
      <c r="C131" s="56" t="str">
        <f>IF('Uncalibrated Data'!E131="","",Calibration!$C$24*'Uncalibrated Data'!E131+Calibration!$C$25)</f>
        <v/>
      </c>
    </row>
    <row r="132" spans="3:3" x14ac:dyDescent="0.2">
      <c r="C132" s="56" t="str">
        <f>IF('Uncalibrated Data'!E132="","",Calibration!$C$24*'Uncalibrated Data'!E132+Calibration!$C$25)</f>
        <v/>
      </c>
    </row>
    <row r="133" spans="3:3" x14ac:dyDescent="0.2">
      <c r="C133" s="56" t="str">
        <f>IF('Uncalibrated Data'!E133="","",Calibration!$C$24*'Uncalibrated Data'!E133+Calibration!$C$25)</f>
        <v/>
      </c>
    </row>
    <row r="134" spans="3:3" x14ac:dyDescent="0.2">
      <c r="C134" s="56" t="str">
        <f>IF('Uncalibrated Data'!E134="","",Calibration!$C$24*'Uncalibrated Data'!E134+Calibration!$C$25)</f>
        <v/>
      </c>
    </row>
    <row r="135" spans="3:3" x14ac:dyDescent="0.2">
      <c r="C135" s="56" t="str">
        <f>IF('Uncalibrated Data'!E135="","",Calibration!$C$24*'Uncalibrated Data'!E135+Calibration!$C$25)</f>
        <v/>
      </c>
    </row>
    <row r="136" spans="3:3" x14ac:dyDescent="0.2">
      <c r="C136" s="56" t="str">
        <f>IF('Uncalibrated Data'!E136="","",Calibration!$C$24*'Uncalibrated Data'!E136+Calibration!$C$25)</f>
        <v/>
      </c>
    </row>
    <row r="137" spans="3:3" x14ac:dyDescent="0.2">
      <c r="C137" s="56" t="str">
        <f>IF('Uncalibrated Data'!E137="","",Calibration!$C$24*'Uncalibrated Data'!E137+Calibration!$C$25)</f>
        <v/>
      </c>
    </row>
    <row r="138" spans="3:3" x14ac:dyDescent="0.2">
      <c r="C138" s="56" t="str">
        <f>IF('Uncalibrated Data'!E138="","",Calibration!$C$24*'Uncalibrated Data'!E138+Calibration!$C$25)</f>
        <v/>
      </c>
    </row>
    <row r="139" spans="3:3" x14ac:dyDescent="0.2">
      <c r="C139" s="56" t="str">
        <f>IF('Uncalibrated Data'!E139="","",Calibration!$C$24*'Uncalibrated Data'!E139+Calibration!$C$25)</f>
        <v/>
      </c>
    </row>
    <row r="140" spans="3:3" x14ac:dyDescent="0.2">
      <c r="C140" s="56" t="str">
        <f>IF('Uncalibrated Data'!E140="","",Calibration!$C$24*'Uncalibrated Data'!E140+Calibration!$C$25)</f>
        <v/>
      </c>
    </row>
    <row r="141" spans="3:3" x14ac:dyDescent="0.2">
      <c r="C141" s="56" t="str">
        <f>IF('Uncalibrated Data'!E141="","",Calibration!$C$24*'Uncalibrated Data'!E141+Calibration!$C$25)</f>
        <v/>
      </c>
    </row>
    <row r="142" spans="3:3" x14ac:dyDescent="0.2">
      <c r="C142" s="56" t="str">
        <f>IF('Uncalibrated Data'!E142="","",Calibration!$C$24*'Uncalibrated Data'!E142+Calibration!$C$25)</f>
        <v/>
      </c>
    </row>
    <row r="143" spans="3:3" x14ac:dyDescent="0.2">
      <c r="C143" s="56" t="str">
        <f>IF('Uncalibrated Data'!E143="","",Calibration!$C$24*'Uncalibrated Data'!E143+Calibration!$C$25)</f>
        <v/>
      </c>
    </row>
    <row r="144" spans="3:3" x14ac:dyDescent="0.2">
      <c r="C144" s="56" t="str">
        <f>IF('Uncalibrated Data'!E144="","",Calibration!$C$24*'Uncalibrated Data'!E144+Calibration!$C$25)</f>
        <v/>
      </c>
    </row>
    <row r="145" spans="3:3" x14ac:dyDescent="0.2">
      <c r="C145" s="56" t="str">
        <f>IF('Uncalibrated Data'!E145="","",Calibration!$C$24*'Uncalibrated Data'!E145+Calibration!$C$25)</f>
        <v/>
      </c>
    </row>
    <row r="146" spans="3:3" x14ac:dyDescent="0.2">
      <c r="C146" s="56" t="str">
        <f>IF('Uncalibrated Data'!E146="","",Calibration!$C$24*'Uncalibrated Data'!E146+Calibration!$C$25)</f>
        <v/>
      </c>
    </row>
    <row r="147" spans="3:3" x14ac:dyDescent="0.2">
      <c r="C147" s="56" t="str">
        <f>IF('Uncalibrated Data'!E147="","",Calibration!$C$24*'Uncalibrated Data'!E147+Calibration!$C$25)</f>
        <v/>
      </c>
    </row>
    <row r="148" spans="3:3" x14ac:dyDescent="0.2">
      <c r="C148" s="56" t="str">
        <f>IF('Uncalibrated Data'!E148="","",Calibration!$C$24*'Uncalibrated Data'!E148+Calibration!$C$25)</f>
        <v/>
      </c>
    </row>
    <row r="149" spans="3:3" x14ac:dyDescent="0.2">
      <c r="C149" s="56" t="str">
        <f>IF('Uncalibrated Data'!E149="","",Calibration!$C$24*'Uncalibrated Data'!E149+Calibration!$C$25)</f>
        <v/>
      </c>
    </row>
    <row r="150" spans="3:3" x14ac:dyDescent="0.2">
      <c r="C150" s="56" t="str">
        <f>IF('Uncalibrated Data'!E150="","",Calibration!$C$24*'Uncalibrated Data'!E150+Calibration!$C$25)</f>
        <v/>
      </c>
    </row>
    <row r="151" spans="3:3" x14ac:dyDescent="0.2">
      <c r="C151" s="56" t="str">
        <f>IF('Uncalibrated Data'!E151="","",Calibration!$C$24*'Uncalibrated Data'!E151+Calibration!$C$25)</f>
        <v/>
      </c>
    </row>
    <row r="152" spans="3:3" x14ac:dyDescent="0.2">
      <c r="C152" s="56" t="str">
        <f>IF('Uncalibrated Data'!E152="","",Calibration!$C$24*'Uncalibrated Data'!E152+Calibration!$C$25)</f>
        <v/>
      </c>
    </row>
    <row r="153" spans="3:3" x14ac:dyDescent="0.2">
      <c r="C153" s="56" t="str">
        <f>IF('Uncalibrated Data'!E153="","",Calibration!$C$24*'Uncalibrated Data'!E153+Calibration!$C$25)</f>
        <v/>
      </c>
    </row>
    <row r="154" spans="3:3" x14ac:dyDescent="0.2">
      <c r="C154" s="56" t="str">
        <f>IF('Uncalibrated Data'!E154="","",Calibration!$C$24*'Uncalibrated Data'!E154+Calibration!$C$25)</f>
        <v/>
      </c>
    </row>
    <row r="155" spans="3:3" x14ac:dyDescent="0.2">
      <c r="C155" s="56" t="str">
        <f>IF('Uncalibrated Data'!E155="","",Calibration!$C$24*'Uncalibrated Data'!E155+Calibration!$C$25)</f>
        <v/>
      </c>
    </row>
    <row r="156" spans="3:3" x14ac:dyDescent="0.2">
      <c r="C156" s="56" t="str">
        <f>IF('Uncalibrated Data'!E156="","",Calibration!$C$24*'Uncalibrated Data'!E156+Calibration!$C$25)</f>
        <v/>
      </c>
    </row>
    <row r="157" spans="3:3" x14ac:dyDescent="0.2">
      <c r="C157" s="56" t="str">
        <f>IF('Uncalibrated Data'!E157="","",Calibration!$C$24*'Uncalibrated Data'!E157+Calibration!$C$25)</f>
        <v/>
      </c>
    </row>
    <row r="158" spans="3:3" x14ac:dyDescent="0.2">
      <c r="C158" s="56" t="str">
        <f>IF('Uncalibrated Data'!E158="","",Calibration!$C$24*'Uncalibrated Data'!E158+Calibration!$C$25)</f>
        <v/>
      </c>
    </row>
    <row r="159" spans="3:3" x14ac:dyDescent="0.2">
      <c r="C159" s="56" t="str">
        <f>IF('Uncalibrated Data'!E159="","",Calibration!$C$24*'Uncalibrated Data'!E159+Calibration!$C$25)</f>
        <v/>
      </c>
    </row>
    <row r="160" spans="3:3" x14ac:dyDescent="0.2">
      <c r="C160" s="56" t="str">
        <f>IF('Uncalibrated Data'!E160="","",Calibration!$C$24*'Uncalibrated Data'!E160+Calibration!$C$25)</f>
        <v/>
      </c>
    </row>
    <row r="161" spans="3:3" x14ac:dyDescent="0.2">
      <c r="C161" s="56" t="str">
        <f>IF('Uncalibrated Data'!E161="","",Calibration!$C$24*'Uncalibrated Data'!E161+Calibration!$C$25)</f>
        <v/>
      </c>
    </row>
    <row r="162" spans="3:3" x14ac:dyDescent="0.2">
      <c r="C162" s="56" t="str">
        <f>IF('Uncalibrated Data'!E162="","",Calibration!$C$24*'Uncalibrated Data'!E162+Calibration!$C$25)</f>
        <v/>
      </c>
    </row>
    <row r="163" spans="3:3" x14ac:dyDescent="0.2">
      <c r="C163" s="56" t="str">
        <f>IF('Uncalibrated Data'!E163="","",Calibration!$C$24*'Uncalibrated Data'!E163+Calibration!$C$25)</f>
        <v/>
      </c>
    </row>
    <row r="164" spans="3:3" x14ac:dyDescent="0.2">
      <c r="C164" s="56" t="str">
        <f>IF('Uncalibrated Data'!E164="","",Calibration!$C$24*'Uncalibrated Data'!E164+Calibration!$C$25)</f>
        <v/>
      </c>
    </row>
    <row r="165" spans="3:3" x14ac:dyDescent="0.2">
      <c r="C165" s="56" t="str">
        <f>IF('Uncalibrated Data'!E165="","",Calibration!$C$24*'Uncalibrated Data'!E165+Calibration!$C$25)</f>
        <v/>
      </c>
    </row>
    <row r="166" spans="3:3" x14ac:dyDescent="0.2">
      <c r="C166" s="56" t="str">
        <f>IF('Uncalibrated Data'!E166="","",Calibration!$C$24*'Uncalibrated Data'!E166+Calibration!$C$25)</f>
        <v/>
      </c>
    </row>
    <row r="167" spans="3:3" x14ac:dyDescent="0.2">
      <c r="C167" s="56" t="str">
        <f>IF('Uncalibrated Data'!E167="","",Calibration!$C$24*'Uncalibrated Data'!E167+Calibration!$C$25)</f>
        <v/>
      </c>
    </row>
    <row r="168" spans="3:3" x14ac:dyDescent="0.2">
      <c r="C168" s="56" t="str">
        <f>IF('Uncalibrated Data'!E168="","",Calibration!$C$24*'Uncalibrated Data'!E168+Calibration!$C$25)</f>
        <v/>
      </c>
    </row>
    <row r="169" spans="3:3" x14ac:dyDescent="0.2">
      <c r="C169" s="56" t="str">
        <f>IF('Uncalibrated Data'!E169="","",Calibration!$C$24*'Uncalibrated Data'!E169+Calibration!$C$25)</f>
        <v/>
      </c>
    </row>
    <row r="170" spans="3:3" x14ac:dyDescent="0.2">
      <c r="C170" s="56" t="str">
        <f>IF('Uncalibrated Data'!E170="","",Calibration!$C$24*'Uncalibrated Data'!E170+Calibration!$C$25)</f>
        <v/>
      </c>
    </row>
    <row r="171" spans="3:3" x14ac:dyDescent="0.2">
      <c r="C171" s="56" t="str">
        <f>IF('Uncalibrated Data'!E171="","",Calibration!$C$24*'Uncalibrated Data'!E171+Calibration!$C$25)</f>
        <v/>
      </c>
    </row>
    <row r="172" spans="3:3" x14ac:dyDescent="0.2">
      <c r="C172" s="56" t="str">
        <f>IF('Uncalibrated Data'!E172="","",Calibration!$C$24*'Uncalibrated Data'!E172+Calibration!$C$25)</f>
        <v/>
      </c>
    </row>
    <row r="173" spans="3:3" x14ac:dyDescent="0.2">
      <c r="C173" s="56" t="str">
        <f>IF('Uncalibrated Data'!E173="","",Calibration!$C$24*'Uncalibrated Data'!E173+Calibration!$C$25)</f>
        <v/>
      </c>
    </row>
    <row r="174" spans="3:3" x14ac:dyDescent="0.2">
      <c r="C174" s="56" t="str">
        <f>IF('Uncalibrated Data'!E174="","",Calibration!$C$24*'Uncalibrated Data'!E174+Calibration!$C$25)</f>
        <v/>
      </c>
    </row>
    <row r="175" spans="3:3" x14ac:dyDescent="0.2">
      <c r="C175" s="56" t="str">
        <f>IF('Uncalibrated Data'!E175="","",Calibration!$C$24*'Uncalibrated Data'!E175+Calibration!$C$25)</f>
        <v/>
      </c>
    </row>
    <row r="176" spans="3:3" x14ac:dyDescent="0.2">
      <c r="C176" s="56" t="str">
        <f>IF('Uncalibrated Data'!E176="","",Calibration!$C$24*'Uncalibrated Data'!E176+Calibration!$C$25)</f>
        <v/>
      </c>
    </row>
    <row r="177" spans="3:3" x14ac:dyDescent="0.2">
      <c r="C177" s="56" t="str">
        <f>IF('Uncalibrated Data'!E177="","",Calibration!$C$24*'Uncalibrated Data'!E177+Calibration!$C$25)</f>
        <v/>
      </c>
    </row>
    <row r="178" spans="3:3" x14ac:dyDescent="0.2">
      <c r="C178" s="56" t="str">
        <f>IF('Uncalibrated Data'!E178="","",Calibration!$C$24*'Uncalibrated Data'!E178+Calibration!$C$25)</f>
        <v/>
      </c>
    </row>
    <row r="179" spans="3:3" x14ac:dyDescent="0.2">
      <c r="C179" s="56" t="str">
        <f>IF('Uncalibrated Data'!E179="","",Calibration!$C$24*'Uncalibrated Data'!E179+Calibration!$C$25)</f>
        <v/>
      </c>
    </row>
    <row r="180" spans="3:3" x14ac:dyDescent="0.2">
      <c r="C180" s="56" t="str">
        <f>IF('Uncalibrated Data'!E180="","",Calibration!$C$24*'Uncalibrated Data'!E180+Calibration!$C$25)</f>
        <v/>
      </c>
    </row>
    <row r="181" spans="3:3" x14ac:dyDescent="0.2">
      <c r="C181" s="56" t="str">
        <f>IF('Uncalibrated Data'!E181="","",Calibration!$C$24*'Uncalibrated Data'!E181+Calibration!$C$25)</f>
        <v/>
      </c>
    </row>
    <row r="182" spans="3:3" x14ac:dyDescent="0.2">
      <c r="C182" s="56" t="str">
        <f>IF('Uncalibrated Data'!E182="","",Calibration!$C$24*'Uncalibrated Data'!E182+Calibration!$C$25)</f>
        <v/>
      </c>
    </row>
    <row r="183" spans="3:3" x14ac:dyDescent="0.2">
      <c r="C183" s="56" t="str">
        <f>IF('Uncalibrated Data'!E183="","",Calibration!$C$24*'Uncalibrated Data'!E183+Calibration!$C$25)</f>
        <v/>
      </c>
    </row>
    <row r="184" spans="3:3" x14ac:dyDescent="0.2">
      <c r="C184" s="56" t="str">
        <f>IF('Uncalibrated Data'!E184="","",Calibration!$C$24*'Uncalibrated Data'!E184+Calibration!$C$25)</f>
        <v/>
      </c>
    </row>
    <row r="185" spans="3:3" x14ac:dyDescent="0.2">
      <c r="C185" s="56" t="str">
        <f>IF('Uncalibrated Data'!E185="","",Calibration!$C$24*'Uncalibrated Data'!E185+Calibration!$C$25)</f>
        <v/>
      </c>
    </row>
    <row r="186" spans="3:3" x14ac:dyDescent="0.2">
      <c r="C186" s="56" t="str">
        <f>IF('Uncalibrated Data'!E186="","",Calibration!$C$24*'Uncalibrated Data'!E186+Calibration!$C$25)</f>
        <v/>
      </c>
    </row>
    <row r="187" spans="3:3" x14ac:dyDescent="0.2">
      <c r="C187" s="56" t="str">
        <f>IF('Uncalibrated Data'!E187="","",Calibration!$C$24*'Uncalibrated Data'!E187+Calibration!$C$25)</f>
        <v/>
      </c>
    </row>
    <row r="188" spans="3:3" x14ac:dyDescent="0.2">
      <c r="C188" s="56" t="str">
        <f>IF('Uncalibrated Data'!E188="","",Calibration!$C$24*'Uncalibrated Data'!E188+Calibration!$C$25)</f>
        <v/>
      </c>
    </row>
    <row r="189" spans="3:3" x14ac:dyDescent="0.2">
      <c r="C189" s="56" t="str">
        <f>IF('Uncalibrated Data'!E189="","",Calibration!$C$24*'Uncalibrated Data'!E189+Calibration!$C$25)</f>
        <v/>
      </c>
    </row>
    <row r="190" spans="3:3" x14ac:dyDescent="0.2">
      <c r="C190" s="56" t="str">
        <f>IF('Uncalibrated Data'!E190="","",Calibration!$C$24*'Uncalibrated Data'!E190+Calibration!$C$25)</f>
        <v/>
      </c>
    </row>
    <row r="191" spans="3:3" x14ac:dyDescent="0.2">
      <c r="C191" s="56" t="str">
        <f>IF('Uncalibrated Data'!E191="","",Calibration!$C$24*'Uncalibrated Data'!E191+Calibration!$C$25)</f>
        <v/>
      </c>
    </row>
    <row r="192" spans="3:3" x14ac:dyDescent="0.2">
      <c r="C192" s="56" t="str">
        <f>IF('Uncalibrated Data'!E192="","",Calibration!$C$24*'Uncalibrated Data'!E192+Calibration!$C$25)</f>
        <v/>
      </c>
    </row>
    <row r="193" spans="3:3" x14ac:dyDescent="0.2">
      <c r="C193" s="56" t="str">
        <f>IF('Uncalibrated Data'!E193="","",Calibration!$C$24*'Uncalibrated Data'!E193+Calibration!$C$25)</f>
        <v/>
      </c>
    </row>
    <row r="194" spans="3:3" x14ac:dyDescent="0.2">
      <c r="C194" s="56" t="str">
        <f>IF('Uncalibrated Data'!E194="","",Calibration!$C$24*'Uncalibrated Data'!E194+Calibration!$C$25)</f>
        <v/>
      </c>
    </row>
    <row r="195" spans="3:3" x14ac:dyDescent="0.2">
      <c r="C195" s="56" t="str">
        <f>IF('Uncalibrated Data'!E195="","",Calibration!$C$24*'Uncalibrated Data'!E195+Calibration!$C$25)</f>
        <v/>
      </c>
    </row>
    <row r="196" spans="3:3" x14ac:dyDescent="0.2">
      <c r="C196" s="56" t="str">
        <f>IF('Uncalibrated Data'!E196="","",Calibration!$C$24*'Uncalibrated Data'!E196+Calibration!$C$25)</f>
        <v/>
      </c>
    </row>
    <row r="197" spans="3:3" x14ac:dyDescent="0.2">
      <c r="C197" s="56" t="str">
        <f>IF('Uncalibrated Data'!E197="","",Calibration!$C$24*'Uncalibrated Data'!E197+Calibration!$C$25)</f>
        <v/>
      </c>
    </row>
    <row r="198" spans="3:3" x14ac:dyDescent="0.2">
      <c r="C198" s="56" t="str">
        <f>IF('Uncalibrated Data'!E198="","",Calibration!$C$24*'Uncalibrated Data'!E198+Calibration!$C$25)</f>
        <v/>
      </c>
    </row>
    <row r="199" spans="3:3" x14ac:dyDescent="0.2">
      <c r="C199" s="56" t="str">
        <f>IF('Uncalibrated Data'!E199="","",Calibration!$C$24*'Uncalibrated Data'!E199+Calibration!$C$25)</f>
        <v/>
      </c>
    </row>
    <row r="200" spans="3:3" x14ac:dyDescent="0.2">
      <c r="C200" s="56" t="str">
        <f>IF('Uncalibrated Data'!E200="","",Calibration!$C$24*'Uncalibrated Data'!E200+Calibration!$C$25)</f>
        <v/>
      </c>
    </row>
    <row r="201" spans="3:3" x14ac:dyDescent="0.2">
      <c r="C201" s="56" t="str">
        <f>IF('Uncalibrated Data'!E201="","",Calibration!$C$24*'Uncalibrated Data'!E201+Calibration!$C$25)</f>
        <v/>
      </c>
    </row>
    <row r="202" spans="3:3" x14ac:dyDescent="0.2">
      <c r="C202" s="56" t="str">
        <f>IF('Uncalibrated Data'!E202="","",Calibration!$C$24*'Uncalibrated Data'!E202+Calibration!$C$25)</f>
        <v/>
      </c>
    </row>
    <row r="203" spans="3:3" x14ac:dyDescent="0.2">
      <c r="C203" s="56" t="str">
        <f>IF('Uncalibrated Data'!E203="","",Calibration!$C$24*'Uncalibrated Data'!E203+Calibration!$C$25)</f>
        <v/>
      </c>
    </row>
    <row r="204" spans="3:3" x14ac:dyDescent="0.2">
      <c r="C204" s="56" t="str">
        <f>IF('Uncalibrated Data'!E204="","",Calibration!$C$24*'Uncalibrated Data'!E204+Calibration!$C$25)</f>
        <v/>
      </c>
    </row>
    <row r="205" spans="3:3" x14ac:dyDescent="0.2">
      <c r="C205" s="56" t="str">
        <f>IF('Uncalibrated Data'!E205="","",Calibration!$C$24*'Uncalibrated Data'!E205+Calibration!$C$25)</f>
        <v/>
      </c>
    </row>
    <row r="206" spans="3:3" x14ac:dyDescent="0.2">
      <c r="C206" s="56" t="str">
        <f>IF('Uncalibrated Data'!E206="","",Calibration!$C$24*'Uncalibrated Data'!E206+Calibration!$C$25)</f>
        <v/>
      </c>
    </row>
    <row r="207" spans="3:3" x14ac:dyDescent="0.2">
      <c r="C207" s="56" t="str">
        <f>IF('Uncalibrated Data'!E207="","",Calibration!$C$24*'Uncalibrated Data'!E207+Calibration!$C$25)</f>
        <v/>
      </c>
    </row>
    <row r="208" spans="3:3" x14ac:dyDescent="0.2">
      <c r="C208" s="56" t="str">
        <f>IF('Uncalibrated Data'!E208="","",Calibration!$C$24*'Uncalibrated Data'!E208+Calibration!$C$25)</f>
        <v/>
      </c>
    </row>
    <row r="209" spans="3:3" x14ac:dyDescent="0.2">
      <c r="C209" s="56" t="str">
        <f>IF('Uncalibrated Data'!E209="","",Calibration!$C$24*'Uncalibrated Data'!E209+Calibration!$C$25)</f>
        <v/>
      </c>
    </row>
    <row r="210" spans="3:3" x14ac:dyDescent="0.2">
      <c r="C210" s="56" t="str">
        <f>IF('Uncalibrated Data'!E210="","",Calibration!$C$24*'Uncalibrated Data'!E210+Calibration!$C$25)</f>
        <v/>
      </c>
    </row>
    <row r="211" spans="3:3" x14ac:dyDescent="0.2">
      <c r="C211" s="56" t="str">
        <f>IF('Uncalibrated Data'!E211="","",Calibration!$C$24*'Uncalibrated Data'!E211+Calibration!$C$25)</f>
        <v/>
      </c>
    </row>
    <row r="212" spans="3:3" x14ac:dyDescent="0.2">
      <c r="C212" s="56" t="str">
        <f>IF('Uncalibrated Data'!E212="","",Calibration!$C$24*'Uncalibrated Data'!E212+Calibration!$C$25)</f>
        <v/>
      </c>
    </row>
    <row r="213" spans="3:3" x14ac:dyDescent="0.2">
      <c r="C213" s="56" t="str">
        <f>IF('Uncalibrated Data'!E213="","",Calibration!$C$24*'Uncalibrated Data'!E213+Calibration!$C$25)</f>
        <v/>
      </c>
    </row>
    <row r="214" spans="3:3" x14ac:dyDescent="0.2">
      <c r="C214" s="56" t="str">
        <f>IF('Uncalibrated Data'!E214="","",Calibration!$C$24*'Uncalibrated Data'!E214+Calibration!$C$25)</f>
        <v/>
      </c>
    </row>
    <row r="215" spans="3:3" x14ac:dyDescent="0.2">
      <c r="C215" s="56" t="str">
        <f>IF('Uncalibrated Data'!E215="","",Calibration!$C$24*'Uncalibrated Data'!E215+Calibration!$C$25)</f>
        <v/>
      </c>
    </row>
    <row r="216" spans="3:3" x14ac:dyDescent="0.2">
      <c r="C216" s="56" t="str">
        <f>IF('Uncalibrated Data'!E216="","",Calibration!$C$24*'Uncalibrated Data'!E216+Calibration!$C$25)</f>
        <v/>
      </c>
    </row>
    <row r="217" spans="3:3" x14ac:dyDescent="0.2">
      <c r="C217" s="56" t="str">
        <f>IF('Uncalibrated Data'!E217="","",Calibration!$C$24*'Uncalibrated Data'!E217+Calibration!$C$25)</f>
        <v/>
      </c>
    </row>
    <row r="218" spans="3:3" x14ac:dyDescent="0.2">
      <c r="C218" s="56" t="str">
        <f>IF('Uncalibrated Data'!E218="","",Calibration!$C$24*'Uncalibrated Data'!E218+Calibration!$C$25)</f>
        <v/>
      </c>
    </row>
    <row r="219" spans="3:3" x14ac:dyDescent="0.2">
      <c r="C219" s="56" t="str">
        <f>IF('Uncalibrated Data'!E219="","",Calibration!$C$24*'Uncalibrated Data'!E219+Calibration!$C$25)</f>
        <v/>
      </c>
    </row>
    <row r="220" spans="3:3" x14ac:dyDescent="0.2">
      <c r="C220" s="56" t="str">
        <f>IF('Uncalibrated Data'!E220="","",Calibration!$C$24*'Uncalibrated Data'!E220+Calibration!$C$25)</f>
        <v/>
      </c>
    </row>
    <row r="221" spans="3:3" x14ac:dyDescent="0.2">
      <c r="C221" s="56" t="str">
        <f>IF('Uncalibrated Data'!E221="","",Calibration!$C$24*'Uncalibrated Data'!E221+Calibration!$C$25)</f>
        <v/>
      </c>
    </row>
    <row r="222" spans="3:3" x14ac:dyDescent="0.2">
      <c r="C222" s="56" t="str">
        <f>IF('Uncalibrated Data'!E222="","",Calibration!$C$24*'Uncalibrated Data'!E222+Calibration!$C$25)</f>
        <v/>
      </c>
    </row>
    <row r="223" spans="3:3" x14ac:dyDescent="0.2">
      <c r="C223" s="56" t="str">
        <f>IF('Uncalibrated Data'!E223="","",Calibration!$C$24*'Uncalibrated Data'!E223+Calibration!$C$25)</f>
        <v/>
      </c>
    </row>
    <row r="224" spans="3:3" x14ac:dyDescent="0.2">
      <c r="C224" s="56" t="str">
        <f>IF('Uncalibrated Data'!E224="","",Calibration!$C$24*'Uncalibrated Data'!E224+Calibration!$C$25)</f>
        <v/>
      </c>
    </row>
    <row r="225" spans="3:3" x14ac:dyDescent="0.2">
      <c r="C225" s="56" t="str">
        <f>IF('Uncalibrated Data'!E225="","",Calibration!$C$24*'Uncalibrated Data'!E225+Calibration!$C$25)</f>
        <v/>
      </c>
    </row>
    <row r="226" spans="3:3" x14ac:dyDescent="0.2">
      <c r="C226" s="56" t="str">
        <f>IF('Uncalibrated Data'!E226="","",Calibration!$C$24*'Uncalibrated Data'!E226+Calibration!$C$25)</f>
        <v/>
      </c>
    </row>
    <row r="227" spans="3:3" x14ac:dyDescent="0.2">
      <c r="C227" s="56" t="str">
        <f>IF('Uncalibrated Data'!E227="","",Calibration!$C$24*'Uncalibrated Data'!E227+Calibration!$C$25)</f>
        <v/>
      </c>
    </row>
    <row r="228" spans="3:3" x14ac:dyDescent="0.2">
      <c r="C228" s="56" t="str">
        <f>IF('Uncalibrated Data'!E228="","",Calibration!$C$24*'Uncalibrated Data'!E228+Calibration!$C$25)</f>
        <v/>
      </c>
    </row>
    <row r="229" spans="3:3" x14ac:dyDescent="0.2">
      <c r="C229" s="56" t="str">
        <f>IF('Uncalibrated Data'!E229="","",Calibration!$C$24*'Uncalibrated Data'!E229+Calibration!$C$25)</f>
        <v/>
      </c>
    </row>
    <row r="230" spans="3:3" x14ac:dyDescent="0.2">
      <c r="C230" s="56" t="str">
        <f>IF('Uncalibrated Data'!E230="","",Calibration!$C$24*'Uncalibrated Data'!E230+Calibration!$C$25)</f>
        <v/>
      </c>
    </row>
    <row r="231" spans="3:3" x14ac:dyDescent="0.2">
      <c r="C231" s="56" t="str">
        <f>IF('Uncalibrated Data'!E231="","",Calibration!$C$24*'Uncalibrated Data'!E231+Calibration!$C$25)</f>
        <v/>
      </c>
    </row>
    <row r="232" spans="3:3" x14ac:dyDescent="0.2">
      <c r="C232" s="56" t="str">
        <f>IF('Uncalibrated Data'!E232="","",Calibration!$C$24*'Uncalibrated Data'!E232+Calibration!$C$25)</f>
        <v/>
      </c>
    </row>
    <row r="233" spans="3:3" x14ac:dyDescent="0.2">
      <c r="C233" s="56" t="str">
        <f>IF('Uncalibrated Data'!E233="","",Calibration!$C$24*'Uncalibrated Data'!E233+Calibration!$C$25)</f>
        <v/>
      </c>
    </row>
    <row r="234" spans="3:3" x14ac:dyDescent="0.2">
      <c r="C234" s="56" t="str">
        <f>IF('Uncalibrated Data'!E234="","",Calibration!$C$24*'Uncalibrated Data'!E234+Calibration!$C$25)</f>
        <v/>
      </c>
    </row>
    <row r="235" spans="3:3" x14ac:dyDescent="0.2">
      <c r="C235" s="56" t="str">
        <f>IF('Uncalibrated Data'!E235="","",Calibration!$C$24*'Uncalibrated Data'!E235+Calibration!$C$25)</f>
        <v/>
      </c>
    </row>
    <row r="236" spans="3:3" x14ac:dyDescent="0.2">
      <c r="C236" s="56" t="str">
        <f>IF('Uncalibrated Data'!E236="","",Calibration!$C$24*'Uncalibrated Data'!E236+Calibration!$C$25)</f>
        <v/>
      </c>
    </row>
    <row r="237" spans="3:3" x14ac:dyDescent="0.2">
      <c r="C237" s="56" t="str">
        <f>IF('Uncalibrated Data'!E237="","",Calibration!$C$24*'Uncalibrated Data'!E237+Calibration!$C$25)</f>
        <v/>
      </c>
    </row>
  </sheetData>
  <mergeCells count="4">
    <mergeCell ref="F1:H1"/>
    <mergeCell ref="L1:N1"/>
    <mergeCell ref="O1:Q1"/>
    <mergeCell ref="U1:V1"/>
  </mergeCells>
  <phoneticPr fontId="22" type="noConversion"/>
  <pageMargins left="0.7" right="0.7" top="0.75" bottom="0.75" header="0.3" footer="0.3"/>
  <drawing r:id="rId1"/>
  <legacyDrawing r:id="rId2"/>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9550-DB0B-3445-BC90-BF37568C2488}">
  <dimension ref="A1:C66"/>
  <sheetViews>
    <sheetView tabSelected="1" workbookViewId="0">
      <selection activeCell="H36" sqref="H36"/>
    </sheetView>
  </sheetViews>
  <sheetFormatPr baseColWidth="10" defaultColWidth="11.5" defaultRowHeight="15" x14ac:dyDescent="0.2"/>
  <cols>
    <col min="1" max="1" width="29.33203125" bestFit="1" customWidth="1"/>
  </cols>
  <sheetData>
    <row r="1" spans="1:3" x14ac:dyDescent="0.2">
      <c r="A1" s="143" t="s">
        <v>28</v>
      </c>
      <c r="B1" s="68" t="s">
        <v>68</v>
      </c>
      <c r="C1" s="69" t="s">
        <v>69</v>
      </c>
    </row>
    <row r="2" spans="1:3" x14ac:dyDescent="0.2">
      <c r="A2" s="216" t="s">
        <v>1179</v>
      </c>
      <c r="B2" s="219">
        <v>0.19065842985223297</v>
      </c>
      <c r="C2" s="220">
        <v>2.6710364704731977</v>
      </c>
    </row>
    <row r="3" spans="1:3" x14ac:dyDescent="0.2">
      <c r="A3" s="216" t="s">
        <v>1180</v>
      </c>
      <c r="B3" s="217">
        <v>-1.4308696445330518</v>
      </c>
      <c r="C3" s="218">
        <v>-11.736476377644143</v>
      </c>
    </row>
    <row r="4" spans="1:3" x14ac:dyDescent="0.2">
      <c r="A4" s="216" t="s">
        <v>1240</v>
      </c>
      <c r="B4" s="217">
        <v>-1.8597520700045225</v>
      </c>
      <c r="C4" s="218">
        <v>-17.596362458517067</v>
      </c>
    </row>
    <row r="5" spans="1:3" x14ac:dyDescent="0.2">
      <c r="A5" s="14" t="s">
        <v>1181</v>
      </c>
      <c r="B5" s="144">
        <v>-5.6616207784120496</v>
      </c>
      <c r="C5" s="148">
        <v>-35.295610212990397</v>
      </c>
    </row>
    <row r="6" spans="1:3" x14ac:dyDescent="0.2">
      <c r="A6" s="14" t="s">
        <v>1182</v>
      </c>
      <c r="B6" s="144">
        <v>-5.3880896003123588</v>
      </c>
      <c r="C6" s="148">
        <v>-29.153210706640849</v>
      </c>
    </row>
    <row r="7" spans="1:3" x14ac:dyDescent="0.2">
      <c r="A7" s="14" t="s">
        <v>1183</v>
      </c>
      <c r="B7" s="144">
        <v>-6.1605524936075211</v>
      </c>
      <c r="C7" s="148">
        <v>-38.873217800773972</v>
      </c>
    </row>
    <row r="8" spans="1:3" x14ac:dyDescent="0.2">
      <c r="A8" s="14" t="s">
        <v>1184</v>
      </c>
      <c r="B8" s="144">
        <v>-6.2107168236679371</v>
      </c>
      <c r="C8" s="148">
        <v>-39.239376699429748</v>
      </c>
    </row>
    <row r="9" spans="1:3" x14ac:dyDescent="0.2">
      <c r="A9" s="14" t="s">
        <v>1185</v>
      </c>
      <c r="B9" s="144">
        <v>-6.0541227663171844</v>
      </c>
      <c r="C9" s="148">
        <v>-38.391164571809696</v>
      </c>
    </row>
    <row r="10" spans="1:3" x14ac:dyDescent="0.2">
      <c r="A10" s="14" t="s">
        <v>1186</v>
      </c>
      <c r="B10" s="144">
        <v>-6.078527034995223</v>
      </c>
      <c r="C10" s="148">
        <v>-38.30718317303544</v>
      </c>
    </row>
    <row r="11" spans="1:3" x14ac:dyDescent="0.2">
      <c r="A11" s="14" t="s">
        <v>1187</v>
      </c>
      <c r="B11" s="144">
        <v>-5.7307662063331604</v>
      </c>
      <c r="C11" s="148">
        <v>-36.788799483196776</v>
      </c>
    </row>
    <row r="12" spans="1:3" x14ac:dyDescent="0.2">
      <c r="A12" s="14" t="s">
        <v>1188</v>
      </c>
      <c r="B12" s="144">
        <v>-4.8867852478842977</v>
      </c>
      <c r="C12" s="148">
        <v>-29.946331036664986</v>
      </c>
    </row>
    <row r="13" spans="1:3" x14ac:dyDescent="0.2">
      <c r="A13" s="14" t="s">
        <v>1189</v>
      </c>
      <c r="B13" s="144">
        <v>-3.860450170702308</v>
      </c>
      <c r="C13" s="148">
        <v>-23.741785295222488</v>
      </c>
    </row>
    <row r="14" spans="1:3" x14ac:dyDescent="0.2">
      <c r="A14" s="14" t="s">
        <v>1190</v>
      </c>
      <c r="B14" s="144">
        <v>-5.8727854921123077</v>
      </c>
      <c r="C14" s="148">
        <v>-36.742441751073386</v>
      </c>
    </row>
    <row r="15" spans="1:3" x14ac:dyDescent="0.2">
      <c r="A15" s="14" t="s">
        <v>1191</v>
      </c>
      <c r="B15" s="144">
        <v>-5.931423526574819</v>
      </c>
      <c r="C15" s="148">
        <v>-37.511039512655437</v>
      </c>
    </row>
    <row r="16" spans="1:3" x14ac:dyDescent="0.2">
      <c r="A16" s="14" t="s">
        <v>1192</v>
      </c>
      <c r="B16" s="144">
        <v>-5.8768528702253144</v>
      </c>
      <c r="C16" s="148">
        <v>-36.828102777823126</v>
      </c>
    </row>
    <row r="17" spans="1:3" x14ac:dyDescent="0.2">
      <c r="A17" s="14" t="s">
        <v>1193</v>
      </c>
      <c r="B17" s="144">
        <v>-4.0207726579899843</v>
      </c>
      <c r="C17" s="148">
        <v>-24.88292454176716</v>
      </c>
    </row>
    <row r="18" spans="1:3" x14ac:dyDescent="0.2">
      <c r="A18" s="14" t="s">
        <v>1194</v>
      </c>
      <c r="B18" s="144">
        <v>-4.6966353211012413</v>
      </c>
      <c r="C18" s="148">
        <v>-28.717851135395073</v>
      </c>
    </row>
    <row r="19" spans="1:3" x14ac:dyDescent="0.2">
      <c r="A19" s="14" t="s">
        <v>1196</v>
      </c>
      <c r="B19" s="144">
        <v>-5.6748397572793214</v>
      </c>
      <c r="C19" s="148">
        <v>-29.349055328582427</v>
      </c>
    </row>
    <row r="20" spans="1:3" x14ac:dyDescent="0.2">
      <c r="A20" s="14" t="s">
        <v>1196</v>
      </c>
      <c r="B20" s="144">
        <v>-4.9454232823468107</v>
      </c>
      <c r="C20" s="148">
        <v>-29.865372968246589</v>
      </c>
    </row>
    <row r="21" spans="1:3" x14ac:dyDescent="0.2">
      <c r="A21" s="14" t="s">
        <v>1197</v>
      </c>
      <c r="B21" s="144">
        <v>-4.7867955359395538</v>
      </c>
      <c r="C21" s="148">
        <v>-24.351826175918731</v>
      </c>
    </row>
    <row r="22" spans="1:3" x14ac:dyDescent="0.2">
      <c r="A22" s="14" t="s">
        <v>1198</v>
      </c>
      <c r="B22" s="144">
        <v>-4.7715428680157785</v>
      </c>
      <c r="C22" s="148">
        <v>-24.483844934791865</v>
      </c>
    </row>
    <row r="23" spans="1:3" x14ac:dyDescent="0.2">
      <c r="A23" s="14" t="s">
        <v>1199</v>
      </c>
      <c r="B23" s="144">
        <v>-4.7905239658764769</v>
      </c>
      <c r="C23" s="148">
        <v>-24.522476378228024</v>
      </c>
    </row>
    <row r="24" spans="1:3" x14ac:dyDescent="0.2">
      <c r="A24" s="14" t="s">
        <v>1200</v>
      </c>
      <c r="B24" s="144">
        <v>-4.512586461487694</v>
      </c>
      <c r="C24" s="148">
        <v>-21.992284795957051</v>
      </c>
    </row>
    <row r="25" spans="1:3" x14ac:dyDescent="0.2">
      <c r="A25" s="14" t="s">
        <v>1201</v>
      </c>
      <c r="B25" s="144">
        <v>-4.7599931222949969</v>
      </c>
      <c r="C25" s="148">
        <v>-24.380950418211011</v>
      </c>
    </row>
    <row r="26" spans="1:3" x14ac:dyDescent="0.2">
      <c r="A26" s="14" t="s">
        <v>1202</v>
      </c>
      <c r="B26" s="144">
        <v>-4.757627992026082</v>
      </c>
      <c r="C26" s="148">
        <v>-24.310085288600472</v>
      </c>
    </row>
    <row r="27" spans="1:3" x14ac:dyDescent="0.2">
      <c r="A27" s="14" t="s">
        <v>1203</v>
      </c>
      <c r="B27" s="144">
        <v>-4.7113390139058771</v>
      </c>
      <c r="C27" s="148">
        <v>-23.915793050862209</v>
      </c>
    </row>
    <row r="28" spans="1:3" x14ac:dyDescent="0.2">
      <c r="A28" s="14" t="s">
        <v>1204</v>
      </c>
      <c r="B28" s="144">
        <v>-4.7339766893369255</v>
      </c>
      <c r="C28" s="148">
        <v>-24.127716732304158</v>
      </c>
    </row>
    <row r="29" spans="1:3" x14ac:dyDescent="0.2">
      <c r="A29" s="14" t="s">
        <v>1205</v>
      </c>
      <c r="B29" s="144">
        <v>-4.697823983797786</v>
      </c>
      <c r="C29" s="148">
        <v>-23.752232301476742</v>
      </c>
    </row>
    <row r="30" spans="1:3" x14ac:dyDescent="0.2">
      <c r="A30" s="14" t="s">
        <v>1206</v>
      </c>
      <c r="B30" s="144">
        <v>-4.6897149657329331</v>
      </c>
      <c r="C30" s="148">
        <v>-23.822425723697609</v>
      </c>
    </row>
    <row r="31" spans="1:3" x14ac:dyDescent="0.2">
      <c r="A31" s="14" t="s">
        <v>1207</v>
      </c>
      <c r="B31" s="144">
        <v>-4.8127017397165455</v>
      </c>
      <c r="C31" s="148">
        <v>-24.532756288277188</v>
      </c>
    </row>
    <row r="32" spans="1:3" x14ac:dyDescent="0.2">
      <c r="A32" s="14" t="s">
        <v>1208</v>
      </c>
      <c r="B32" s="144">
        <v>-4.7093117593896627</v>
      </c>
      <c r="C32" s="148">
        <v>-23.619570092016254</v>
      </c>
    </row>
    <row r="33" spans="1:3" x14ac:dyDescent="0.2">
      <c r="A33" s="14" t="s">
        <v>1209</v>
      </c>
      <c r="B33" s="144">
        <v>-4.6441017391181321</v>
      </c>
      <c r="C33" s="148">
        <v>-23.169861994629937</v>
      </c>
    </row>
    <row r="34" spans="1:3" x14ac:dyDescent="0.2">
      <c r="A34" s="14" t="s">
        <v>1210</v>
      </c>
      <c r="B34" s="144">
        <v>-4.6055839033100785</v>
      </c>
      <c r="C34" s="148">
        <v>-22.922001967840465</v>
      </c>
    </row>
    <row r="35" spans="1:3" x14ac:dyDescent="0.2">
      <c r="A35" s="14" t="s">
        <v>1211</v>
      </c>
      <c r="B35" s="144">
        <v>-4.6474804966451542</v>
      </c>
      <c r="C35" s="148">
        <v>-23.405295434710446</v>
      </c>
    </row>
    <row r="36" spans="1:3" x14ac:dyDescent="0.2">
      <c r="A36" s="14" t="s">
        <v>1212</v>
      </c>
      <c r="B36" s="144">
        <v>-4.6082869093316949</v>
      </c>
      <c r="C36" s="148">
        <v>-22.906888551572816</v>
      </c>
    </row>
    <row r="37" spans="1:3" x14ac:dyDescent="0.2">
      <c r="A37" s="14" t="s">
        <v>1213</v>
      </c>
      <c r="B37" s="144">
        <v>-4.5778780915884933</v>
      </c>
      <c r="C37" s="148">
        <v>-22.80042293030959</v>
      </c>
    </row>
    <row r="38" spans="1:3" x14ac:dyDescent="0.2">
      <c r="A38" s="14" t="s">
        <v>1214</v>
      </c>
      <c r="B38" s="144">
        <v>-4.7454644649288014</v>
      </c>
      <c r="C38" s="148">
        <v>-23.623264482659454</v>
      </c>
    </row>
    <row r="39" spans="1:3" x14ac:dyDescent="0.2">
      <c r="A39" s="14" t="s">
        <v>1215</v>
      </c>
      <c r="B39" s="144">
        <v>-4.6032187730411618</v>
      </c>
      <c r="C39" s="148">
        <v>-22.771875366248469</v>
      </c>
    </row>
    <row r="40" spans="1:3" x14ac:dyDescent="0.2">
      <c r="A40" s="14" t="s">
        <v>1216</v>
      </c>
      <c r="B40" s="144">
        <v>-4.481583502068359</v>
      </c>
      <c r="C40" s="148">
        <v>-21.697143542771087</v>
      </c>
    </row>
    <row r="41" spans="1:3" x14ac:dyDescent="0.2">
      <c r="A41" s="14" t="s">
        <v>1217</v>
      </c>
      <c r="B41" s="144">
        <v>-3.2402279866403552</v>
      </c>
      <c r="C41" s="148">
        <v>-11.179885088960388</v>
      </c>
    </row>
    <row r="42" spans="1:3" x14ac:dyDescent="0.2">
      <c r="A42" s="14" t="s">
        <v>1218</v>
      </c>
      <c r="B42" s="144">
        <v>-3.8693526381719123</v>
      </c>
      <c r="C42" s="148">
        <v>-19.707546254558583</v>
      </c>
    </row>
    <row r="43" spans="1:3" x14ac:dyDescent="0.2">
      <c r="A43" s="14" t="s">
        <v>1219</v>
      </c>
      <c r="B43" s="144">
        <v>-3.8642845018813787</v>
      </c>
      <c r="C43" s="148">
        <v>-20.102846053381356</v>
      </c>
    </row>
    <row r="44" spans="1:3" x14ac:dyDescent="0.2">
      <c r="A44" s="221" t="s">
        <v>1220</v>
      </c>
      <c r="B44" s="222">
        <v>-3.7565021367693663</v>
      </c>
      <c r="C44" s="223">
        <v>-19.136594973336223</v>
      </c>
    </row>
    <row r="45" spans="1:3" x14ac:dyDescent="0.2">
      <c r="A45" s="14" t="s">
        <v>1221</v>
      </c>
      <c r="B45" s="144">
        <v>-3.8399574476868183</v>
      </c>
      <c r="C45" s="148">
        <v>-19.172867172378581</v>
      </c>
    </row>
    <row r="46" spans="1:3" x14ac:dyDescent="0.2">
      <c r="A46" s="14" t="s">
        <v>1222</v>
      </c>
      <c r="B46" s="144">
        <v>-3.8490800930097779</v>
      </c>
      <c r="C46" s="148">
        <v>-18.709053219809128</v>
      </c>
    </row>
    <row r="47" spans="1:3" x14ac:dyDescent="0.2">
      <c r="A47" s="14" t="s">
        <v>1242</v>
      </c>
      <c r="B47" s="144">
        <v>-3.8038047421476788</v>
      </c>
      <c r="C47" s="148">
        <v>-17.727017016106672</v>
      </c>
    </row>
    <row r="48" spans="1:3" x14ac:dyDescent="0.2">
      <c r="A48" s="14" t="s">
        <v>1243</v>
      </c>
      <c r="B48" s="144">
        <v>-3.8625951231178672</v>
      </c>
      <c r="C48" s="148">
        <v>-17.770677996435438</v>
      </c>
    </row>
    <row r="49" spans="1:3" x14ac:dyDescent="0.2">
      <c r="A49" s="14" t="s">
        <v>1223</v>
      </c>
      <c r="B49" s="144">
        <v>-3.7369053431126376</v>
      </c>
      <c r="C49" s="148">
        <v>-17.001237181564598</v>
      </c>
    </row>
    <row r="50" spans="1:3" x14ac:dyDescent="0.2">
      <c r="A50" s="14" t="s">
        <v>1224</v>
      </c>
      <c r="B50" s="144">
        <v>-3.802791114889573</v>
      </c>
      <c r="C50" s="148">
        <v>-17.710560185059673</v>
      </c>
    </row>
    <row r="51" spans="1:3" x14ac:dyDescent="0.2">
      <c r="A51" s="14" t="s">
        <v>1225</v>
      </c>
      <c r="B51" s="144">
        <v>-3.8460392112354587</v>
      </c>
      <c r="C51" s="148">
        <v>-17.909385572402989</v>
      </c>
    </row>
    <row r="52" spans="1:3" x14ac:dyDescent="0.2">
      <c r="A52" s="14" t="s">
        <v>1226</v>
      </c>
      <c r="B52" s="144">
        <v>-3.8300103099191127</v>
      </c>
      <c r="C52" s="148">
        <v>-17.925328871764524</v>
      </c>
    </row>
    <row r="53" spans="1:3" x14ac:dyDescent="0.2">
      <c r="A53" s="14" t="s">
        <v>1227</v>
      </c>
      <c r="B53" s="144">
        <v>-3.9008692735393793</v>
      </c>
      <c r="C53" s="148">
        <v>-17.995544133479939</v>
      </c>
    </row>
    <row r="54" spans="1:3" x14ac:dyDescent="0.2">
      <c r="A54" s="14" t="s">
        <v>1228</v>
      </c>
      <c r="B54" s="144">
        <v>-5.7027114913118657</v>
      </c>
      <c r="C54" s="148">
        <v>-30.833234483781855</v>
      </c>
    </row>
    <row r="55" spans="1:3" x14ac:dyDescent="0.2">
      <c r="A55" s="14" t="s">
        <v>1229</v>
      </c>
      <c r="B55" s="144">
        <v>-5.5461469240747059</v>
      </c>
      <c r="C55" s="148">
        <v>-30.116704455895491</v>
      </c>
    </row>
    <row r="56" spans="1:3" x14ac:dyDescent="0.2">
      <c r="A56" s="14" t="s">
        <v>1230</v>
      </c>
      <c r="B56" s="144">
        <v>-5.3517909095734044</v>
      </c>
      <c r="C56" s="148">
        <v>-27.334173941630286</v>
      </c>
    </row>
    <row r="57" spans="1:3" x14ac:dyDescent="0.2">
      <c r="A57" s="14" t="s">
        <v>1231</v>
      </c>
      <c r="B57" s="144">
        <v>-5.5680794604333599</v>
      </c>
      <c r="C57" s="148">
        <v>-29.879644358008683</v>
      </c>
    </row>
    <row r="58" spans="1:3" x14ac:dyDescent="0.2">
      <c r="A58" s="14" t="s">
        <v>1232</v>
      </c>
      <c r="B58" s="144">
        <v>-5.3909320513826939</v>
      </c>
      <c r="C58" s="148">
        <v>-28.107544895667225</v>
      </c>
    </row>
    <row r="59" spans="1:3" x14ac:dyDescent="0.2">
      <c r="A59" s="14" t="s">
        <v>1233</v>
      </c>
      <c r="B59" s="144">
        <v>-5.302864482311791</v>
      </c>
      <c r="C59" s="148">
        <v>-27.815984380353687</v>
      </c>
    </row>
    <row r="60" spans="1:3" x14ac:dyDescent="0.2">
      <c r="A60" s="14" t="s">
        <v>1234</v>
      </c>
      <c r="B60" s="144">
        <v>-5.3187233932172795</v>
      </c>
      <c r="C60" s="148">
        <v>-28.049700894349289</v>
      </c>
    </row>
    <row r="61" spans="1:3" x14ac:dyDescent="0.2">
      <c r="A61" s="14" t="s">
        <v>1235</v>
      </c>
      <c r="B61" s="144">
        <v>-5.1712692641598679</v>
      </c>
      <c r="C61" s="148">
        <v>-27.179031649078127</v>
      </c>
    </row>
    <row r="62" spans="1:3" x14ac:dyDescent="0.2">
      <c r="A62" s="14" t="s">
        <v>1236</v>
      </c>
      <c r="B62" s="144">
        <v>-5.4290609222831234</v>
      </c>
      <c r="C62" s="148">
        <v>-28.471995539809146</v>
      </c>
    </row>
    <row r="63" spans="1:3" x14ac:dyDescent="0.2">
      <c r="A63" s="14" t="s">
        <v>1237</v>
      </c>
      <c r="B63" s="144">
        <v>-5.4894597531784921</v>
      </c>
      <c r="C63" s="148">
        <v>-28.799666761147758</v>
      </c>
    </row>
    <row r="64" spans="1:3" x14ac:dyDescent="0.2">
      <c r="A64" s="14" t="s">
        <v>1238</v>
      </c>
      <c r="B64" s="144">
        <v>-5.3895823568375452</v>
      </c>
      <c r="C64" s="148">
        <v>-28.293448160018521</v>
      </c>
    </row>
    <row r="65" spans="1:3" x14ac:dyDescent="0.2">
      <c r="A65" s="14" t="s">
        <v>1239</v>
      </c>
      <c r="B65" s="144">
        <v>-5.5717911204325157</v>
      </c>
      <c r="C65" s="148">
        <v>-29.194878377088816</v>
      </c>
    </row>
    <row r="66" spans="1:3" x14ac:dyDescent="0.2">
      <c r="A66" s="14" t="s">
        <v>1241</v>
      </c>
      <c r="B66" s="144">
        <v>-5.9250736676249867</v>
      </c>
      <c r="C66" s="148">
        <v>-37.029898509361892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9EC65-9A0C-5A43-B8D0-5932F1FC0B54}">
  <dimension ref="A1:J92"/>
  <sheetViews>
    <sheetView topLeftCell="A44" workbookViewId="0">
      <selection activeCell="J89" sqref="J89:J92"/>
    </sheetView>
  </sheetViews>
  <sheetFormatPr baseColWidth="10" defaultColWidth="11.5" defaultRowHeight="15" x14ac:dyDescent="0.2"/>
  <cols>
    <col min="3" max="3" width="29.1640625" bestFit="1" customWidth="1"/>
    <col min="4" max="4" width="30.33203125" bestFit="1" customWidth="1"/>
    <col min="5" max="5" width="29.83203125" bestFit="1" customWidth="1"/>
    <col min="9" max="10" width="18" bestFit="1" customWidth="1"/>
  </cols>
  <sheetData>
    <row r="1" spans="1:10" x14ac:dyDescent="0.2">
      <c r="A1" t="s">
        <v>92</v>
      </c>
      <c r="B1" t="s">
        <v>93</v>
      </c>
      <c r="C1" t="s">
        <v>94</v>
      </c>
      <c r="D1" t="s">
        <v>95</v>
      </c>
      <c r="E1" t="s">
        <v>96</v>
      </c>
      <c r="F1" t="s">
        <v>95</v>
      </c>
      <c r="I1" t="s">
        <v>97</v>
      </c>
      <c r="J1" t="s">
        <v>95</v>
      </c>
    </row>
    <row r="2" spans="1:10" x14ac:dyDescent="0.2">
      <c r="A2">
        <v>164</v>
      </c>
      <c r="B2">
        <v>166</v>
      </c>
      <c r="C2" t="str">
        <f>"average('Picarro Output'!F"&amp;A2&amp;":F"&amp;B2&amp;")"</f>
        <v>average('Picarro Output'!F164:F166)</v>
      </c>
      <c r="D2" t="s">
        <v>98</v>
      </c>
      <c r="E2" t="str">
        <f>"average('Picarro Output'!G"&amp;A2&amp;":G"&amp;B2&amp;")"</f>
        <v>average('Picarro Output'!G164:G166)</v>
      </c>
      <c r="F2" t="s">
        <v>99</v>
      </c>
      <c r="I2" t="str">
        <f>"'Picarro Output'!B"&amp;B2</f>
        <v>'Picarro Output'!B166</v>
      </c>
      <c r="J2" t="s">
        <v>100</v>
      </c>
    </row>
    <row r="3" spans="1:10" x14ac:dyDescent="0.2">
      <c r="A3">
        <f>A2+6</f>
        <v>170</v>
      </c>
      <c r="B3">
        <f>B2+6</f>
        <v>172</v>
      </c>
      <c r="C3" t="str">
        <f t="shared" ref="C3:C12" si="0">"average('Picarro Output'!F"&amp;A3&amp;":F"&amp;B3&amp;")"</f>
        <v>average('Picarro Output'!F170:F172)</v>
      </c>
      <c r="D3" t="s">
        <v>101</v>
      </c>
      <c r="E3" t="str">
        <f t="shared" ref="E3:E18" si="1">"average('Picarro Output'!G"&amp;A3&amp;":G"&amp;B3&amp;")"</f>
        <v>average('Picarro Output'!G170:G172)</v>
      </c>
      <c r="F3" t="s">
        <v>102</v>
      </c>
      <c r="I3" t="str">
        <f t="shared" ref="I3:I66" si="2">"'Picarro Output'!B"&amp;B3</f>
        <v>'Picarro Output'!B172</v>
      </c>
      <c r="J3" t="s">
        <v>103</v>
      </c>
    </row>
    <row r="4" spans="1:10" x14ac:dyDescent="0.2">
      <c r="A4">
        <f t="shared" ref="A4:A13" si="3">A3+6</f>
        <v>176</v>
      </c>
      <c r="B4">
        <f t="shared" ref="B4:B13" si="4">B3+6</f>
        <v>178</v>
      </c>
      <c r="C4" t="str">
        <f t="shared" si="0"/>
        <v>average('Picarro Output'!F176:F178)</v>
      </c>
      <c r="D4" t="s">
        <v>104</v>
      </c>
      <c r="E4" t="str">
        <f t="shared" si="1"/>
        <v>average('Picarro Output'!G176:G178)</v>
      </c>
      <c r="F4" t="s">
        <v>105</v>
      </c>
      <c r="I4" t="str">
        <f t="shared" si="2"/>
        <v>'Picarro Output'!B178</v>
      </c>
      <c r="J4" t="s">
        <v>106</v>
      </c>
    </row>
    <row r="5" spans="1:10" x14ac:dyDescent="0.2">
      <c r="A5">
        <f t="shared" si="3"/>
        <v>182</v>
      </c>
      <c r="B5">
        <f t="shared" si="4"/>
        <v>184</v>
      </c>
      <c r="C5" t="str">
        <f t="shared" si="0"/>
        <v>average('Picarro Output'!F182:F184)</v>
      </c>
      <c r="D5" t="s">
        <v>107</v>
      </c>
      <c r="E5" t="str">
        <f t="shared" si="1"/>
        <v>average('Picarro Output'!G182:G184)</v>
      </c>
      <c r="F5" t="s">
        <v>108</v>
      </c>
      <c r="I5" t="str">
        <f t="shared" si="2"/>
        <v>'Picarro Output'!B184</v>
      </c>
      <c r="J5" t="s">
        <v>109</v>
      </c>
    </row>
    <row r="6" spans="1:10" x14ac:dyDescent="0.2">
      <c r="A6">
        <f t="shared" si="3"/>
        <v>188</v>
      </c>
      <c r="B6">
        <f t="shared" si="4"/>
        <v>190</v>
      </c>
      <c r="C6" t="str">
        <f t="shared" si="0"/>
        <v>average('Picarro Output'!F188:F190)</v>
      </c>
      <c r="D6" t="s">
        <v>110</v>
      </c>
      <c r="E6" t="str">
        <f t="shared" si="1"/>
        <v>average('Picarro Output'!G188:G190)</v>
      </c>
      <c r="F6" t="s">
        <v>111</v>
      </c>
      <c r="I6" t="str">
        <f t="shared" si="2"/>
        <v>'Picarro Output'!B190</v>
      </c>
      <c r="J6" t="s">
        <v>112</v>
      </c>
    </row>
    <row r="7" spans="1:10" x14ac:dyDescent="0.2">
      <c r="A7">
        <f t="shared" si="3"/>
        <v>194</v>
      </c>
      <c r="B7">
        <f t="shared" si="4"/>
        <v>196</v>
      </c>
      <c r="C7" t="str">
        <f t="shared" si="0"/>
        <v>average('Picarro Output'!F194:F196)</v>
      </c>
      <c r="D7" t="s">
        <v>113</v>
      </c>
      <c r="E7" t="str">
        <f t="shared" si="1"/>
        <v>average('Picarro Output'!G194:G196)</v>
      </c>
      <c r="F7" t="s">
        <v>114</v>
      </c>
      <c r="I7" t="str">
        <f t="shared" si="2"/>
        <v>'Picarro Output'!B196</v>
      </c>
      <c r="J7" t="s">
        <v>115</v>
      </c>
    </row>
    <row r="8" spans="1:10" x14ac:dyDescent="0.2">
      <c r="A8">
        <f t="shared" si="3"/>
        <v>200</v>
      </c>
      <c r="B8">
        <f t="shared" si="4"/>
        <v>202</v>
      </c>
      <c r="C8" t="str">
        <f t="shared" si="0"/>
        <v>average('Picarro Output'!F200:F202)</v>
      </c>
      <c r="D8" t="s">
        <v>116</v>
      </c>
      <c r="E8" t="str">
        <f t="shared" si="1"/>
        <v>average('Picarro Output'!G200:G202)</v>
      </c>
      <c r="F8" t="s">
        <v>117</v>
      </c>
      <c r="I8" t="str">
        <f t="shared" si="2"/>
        <v>'Picarro Output'!B202</v>
      </c>
      <c r="J8" t="s">
        <v>118</v>
      </c>
    </row>
    <row r="9" spans="1:10" x14ac:dyDescent="0.2">
      <c r="A9">
        <f t="shared" si="3"/>
        <v>206</v>
      </c>
      <c r="B9">
        <f t="shared" si="4"/>
        <v>208</v>
      </c>
      <c r="C9" t="str">
        <f t="shared" si="0"/>
        <v>average('Picarro Output'!F206:F208)</v>
      </c>
      <c r="D9" t="s">
        <v>119</v>
      </c>
      <c r="E9" t="str">
        <f t="shared" si="1"/>
        <v>average('Picarro Output'!G206:G208)</v>
      </c>
      <c r="F9" t="s">
        <v>120</v>
      </c>
      <c r="I9" t="str">
        <f t="shared" si="2"/>
        <v>'Picarro Output'!B208</v>
      </c>
      <c r="J9" t="s">
        <v>121</v>
      </c>
    </row>
    <row r="10" spans="1:10" x14ac:dyDescent="0.2">
      <c r="A10">
        <f t="shared" si="3"/>
        <v>212</v>
      </c>
      <c r="B10">
        <f t="shared" si="4"/>
        <v>214</v>
      </c>
      <c r="C10" t="str">
        <f t="shared" si="0"/>
        <v>average('Picarro Output'!F212:F214)</v>
      </c>
      <c r="D10" t="s">
        <v>122</v>
      </c>
      <c r="E10" t="str">
        <f t="shared" si="1"/>
        <v>average('Picarro Output'!G212:G214)</v>
      </c>
      <c r="F10" t="s">
        <v>123</v>
      </c>
      <c r="I10" t="str">
        <f t="shared" si="2"/>
        <v>'Picarro Output'!B214</v>
      </c>
      <c r="J10" t="s">
        <v>124</v>
      </c>
    </row>
    <row r="11" spans="1:10" x14ac:dyDescent="0.2">
      <c r="A11">
        <f t="shared" si="3"/>
        <v>218</v>
      </c>
      <c r="B11">
        <f t="shared" si="4"/>
        <v>220</v>
      </c>
      <c r="C11" t="str">
        <f t="shared" si="0"/>
        <v>average('Picarro Output'!F218:F220)</v>
      </c>
      <c r="D11" t="s">
        <v>125</v>
      </c>
      <c r="E11" t="str">
        <f t="shared" si="1"/>
        <v>average('Picarro Output'!G218:G220)</v>
      </c>
      <c r="F11" t="s">
        <v>126</v>
      </c>
      <c r="I11" t="str">
        <f t="shared" si="2"/>
        <v>'Picarro Output'!B220</v>
      </c>
      <c r="J11" t="s">
        <v>127</v>
      </c>
    </row>
    <row r="12" spans="1:10" x14ac:dyDescent="0.2">
      <c r="A12">
        <f t="shared" si="3"/>
        <v>224</v>
      </c>
      <c r="B12">
        <f t="shared" si="4"/>
        <v>226</v>
      </c>
      <c r="C12" t="str">
        <f t="shared" si="0"/>
        <v>average('Picarro Output'!F224:F226)</v>
      </c>
      <c r="D12" t="s">
        <v>128</v>
      </c>
      <c r="E12" t="str">
        <f t="shared" si="1"/>
        <v>average('Picarro Output'!G224:G226)</v>
      </c>
      <c r="F12" t="s">
        <v>129</v>
      </c>
      <c r="I12" t="str">
        <f t="shared" si="2"/>
        <v>'Picarro Output'!B226</v>
      </c>
      <c r="J12" t="s">
        <v>130</v>
      </c>
    </row>
    <row r="13" spans="1:10" x14ac:dyDescent="0.2">
      <c r="A13">
        <f t="shared" si="3"/>
        <v>230</v>
      </c>
      <c r="B13">
        <f t="shared" si="4"/>
        <v>232</v>
      </c>
      <c r="C13" t="str">
        <f>"average('Picarro Output'!F"&amp;A13&amp;":F"&amp;B13&amp;")"</f>
        <v>average('Picarro Output'!F230:F232)</v>
      </c>
      <c r="D13" t="s">
        <v>131</v>
      </c>
      <c r="E13" t="str">
        <f t="shared" si="1"/>
        <v>average('Picarro Output'!G230:G232)</v>
      </c>
      <c r="F13" t="s">
        <v>132</v>
      </c>
      <c r="I13" t="str">
        <f t="shared" si="2"/>
        <v>'Picarro Output'!B232</v>
      </c>
      <c r="J13" t="s">
        <v>133</v>
      </c>
    </row>
    <row r="15" spans="1:10" x14ac:dyDescent="0.2">
      <c r="A15">
        <v>243</v>
      </c>
      <c r="B15">
        <v>247</v>
      </c>
      <c r="C15" t="str">
        <f t="shared" ref="C15:C77" si="5">"average('Picarro Output'!F"&amp;A15&amp;":F"&amp;B15&amp;")"</f>
        <v>average('Picarro Output'!F243:F247)</v>
      </c>
      <c r="D15" t="s">
        <v>134</v>
      </c>
      <c r="E15" t="str">
        <f t="shared" si="1"/>
        <v>average('Picarro Output'!G243:G247)</v>
      </c>
      <c r="F15" t="s">
        <v>135</v>
      </c>
      <c r="I15" t="str">
        <f t="shared" si="2"/>
        <v>'Picarro Output'!B247</v>
      </c>
      <c r="J15" t="s">
        <v>136</v>
      </c>
    </row>
    <row r="16" spans="1:10" x14ac:dyDescent="0.2">
      <c r="A16">
        <f>A15+15</f>
        <v>258</v>
      </c>
      <c r="B16">
        <f>B15+15</f>
        <v>262</v>
      </c>
      <c r="C16" t="str">
        <f t="shared" si="5"/>
        <v>average('Picarro Output'!F258:F262)</v>
      </c>
      <c r="D16" t="s">
        <v>137</v>
      </c>
      <c r="E16" t="str">
        <f t="shared" si="1"/>
        <v>average('Picarro Output'!G258:G262)</v>
      </c>
      <c r="F16" t="s">
        <v>138</v>
      </c>
      <c r="I16" t="str">
        <f t="shared" si="2"/>
        <v>'Picarro Output'!B262</v>
      </c>
      <c r="J16" t="s">
        <v>139</v>
      </c>
    </row>
    <row r="17" spans="1:10" x14ac:dyDescent="0.2">
      <c r="A17">
        <f t="shared" ref="A17:A18" si="6">A16+15</f>
        <v>273</v>
      </c>
      <c r="B17">
        <f t="shared" ref="B17:B18" si="7">B16+15</f>
        <v>277</v>
      </c>
      <c r="C17" t="str">
        <f t="shared" si="5"/>
        <v>average('Picarro Output'!F273:F277)</v>
      </c>
      <c r="D17" t="s">
        <v>140</v>
      </c>
      <c r="E17" t="str">
        <f t="shared" si="1"/>
        <v>average('Picarro Output'!G273:G277)</v>
      </c>
      <c r="F17" t="s">
        <v>141</v>
      </c>
      <c r="I17" t="str">
        <f t="shared" si="2"/>
        <v>'Picarro Output'!B277</v>
      </c>
      <c r="J17" t="s">
        <v>142</v>
      </c>
    </row>
    <row r="18" spans="1:10" x14ac:dyDescent="0.2">
      <c r="A18">
        <f t="shared" si="6"/>
        <v>288</v>
      </c>
      <c r="B18">
        <f t="shared" si="7"/>
        <v>292</v>
      </c>
      <c r="C18" t="str">
        <f t="shared" si="5"/>
        <v>average('Picarro Output'!F288:F292)</v>
      </c>
      <c r="D18" t="s">
        <v>143</v>
      </c>
      <c r="E18" t="str">
        <f t="shared" si="1"/>
        <v>average('Picarro Output'!G288:G292)</v>
      </c>
      <c r="F18" t="s">
        <v>144</v>
      </c>
      <c r="I18" t="str">
        <f t="shared" si="2"/>
        <v>'Picarro Output'!B292</v>
      </c>
      <c r="J18" t="s">
        <v>145</v>
      </c>
    </row>
    <row r="20" spans="1:10" x14ac:dyDescent="0.2">
      <c r="A20">
        <v>296</v>
      </c>
      <c r="B20">
        <v>298</v>
      </c>
      <c r="C20" t="str">
        <f t="shared" si="5"/>
        <v>average('Picarro Output'!F296:F298)</v>
      </c>
      <c r="D20" t="s">
        <v>146</v>
      </c>
      <c r="E20" t="str">
        <f t="shared" ref="E20:E83" si="8">"average('Picarro Output'!G"&amp;A20&amp;":G"&amp;B20&amp;")"</f>
        <v>average('Picarro Output'!G296:G298)</v>
      </c>
      <c r="F20" t="s">
        <v>147</v>
      </c>
      <c r="I20" t="str">
        <f t="shared" si="2"/>
        <v>'Picarro Output'!B298</v>
      </c>
      <c r="J20" t="s">
        <v>148</v>
      </c>
    </row>
    <row r="21" spans="1:10" x14ac:dyDescent="0.2">
      <c r="A21">
        <f>A20+6</f>
        <v>302</v>
      </c>
      <c r="B21">
        <f>B20+6</f>
        <v>304</v>
      </c>
      <c r="C21" t="str">
        <f t="shared" si="5"/>
        <v>average('Picarro Output'!F302:F304)</v>
      </c>
      <c r="D21" t="s">
        <v>149</v>
      </c>
      <c r="E21" t="str">
        <f t="shared" si="8"/>
        <v>average('Picarro Output'!G302:G304)</v>
      </c>
      <c r="F21" t="s">
        <v>150</v>
      </c>
      <c r="I21" t="str">
        <f t="shared" si="2"/>
        <v>'Picarro Output'!B304</v>
      </c>
      <c r="J21" t="s">
        <v>151</v>
      </c>
    </row>
    <row r="22" spans="1:10" x14ac:dyDescent="0.2">
      <c r="A22">
        <f t="shared" ref="A22:A50" si="9">A21+6</f>
        <v>308</v>
      </c>
      <c r="B22">
        <f t="shared" ref="B22:B50" si="10">B21+6</f>
        <v>310</v>
      </c>
      <c r="C22" t="str">
        <f t="shared" si="5"/>
        <v>average('Picarro Output'!F308:F310)</v>
      </c>
      <c r="D22" t="s">
        <v>152</v>
      </c>
      <c r="E22" t="str">
        <f t="shared" si="8"/>
        <v>average('Picarro Output'!G308:G310)</v>
      </c>
      <c r="F22" t="s">
        <v>153</v>
      </c>
      <c r="I22" t="str">
        <f t="shared" si="2"/>
        <v>'Picarro Output'!B310</v>
      </c>
      <c r="J22" t="s">
        <v>154</v>
      </c>
    </row>
    <row r="23" spans="1:10" x14ac:dyDescent="0.2">
      <c r="A23">
        <f t="shared" si="9"/>
        <v>314</v>
      </c>
      <c r="B23">
        <f t="shared" si="10"/>
        <v>316</v>
      </c>
      <c r="C23" t="str">
        <f t="shared" si="5"/>
        <v>average('Picarro Output'!F314:F316)</v>
      </c>
      <c r="D23" t="s">
        <v>155</v>
      </c>
      <c r="E23" t="str">
        <f t="shared" si="8"/>
        <v>average('Picarro Output'!G314:G316)</v>
      </c>
      <c r="F23" t="s">
        <v>156</v>
      </c>
      <c r="I23" t="str">
        <f t="shared" si="2"/>
        <v>'Picarro Output'!B316</v>
      </c>
      <c r="J23" t="s">
        <v>157</v>
      </c>
    </row>
    <row r="24" spans="1:10" x14ac:dyDescent="0.2">
      <c r="A24">
        <f t="shared" si="9"/>
        <v>320</v>
      </c>
      <c r="B24">
        <f t="shared" si="10"/>
        <v>322</v>
      </c>
      <c r="C24" t="str">
        <f t="shared" si="5"/>
        <v>average('Picarro Output'!F320:F322)</v>
      </c>
      <c r="D24" t="s">
        <v>158</v>
      </c>
      <c r="E24" t="str">
        <f t="shared" si="8"/>
        <v>average('Picarro Output'!G320:G322)</v>
      </c>
      <c r="F24" t="s">
        <v>159</v>
      </c>
      <c r="I24" t="str">
        <f t="shared" si="2"/>
        <v>'Picarro Output'!B322</v>
      </c>
      <c r="J24" t="s">
        <v>160</v>
      </c>
    </row>
    <row r="25" spans="1:10" x14ac:dyDescent="0.2">
      <c r="A25">
        <f t="shared" si="9"/>
        <v>326</v>
      </c>
      <c r="B25">
        <f t="shared" si="10"/>
        <v>328</v>
      </c>
      <c r="C25" t="str">
        <f t="shared" si="5"/>
        <v>average('Picarro Output'!F326:F328)</v>
      </c>
      <c r="D25" t="s">
        <v>161</v>
      </c>
      <c r="E25" t="str">
        <f t="shared" si="8"/>
        <v>average('Picarro Output'!G326:G328)</v>
      </c>
      <c r="F25" t="s">
        <v>162</v>
      </c>
      <c r="I25" t="str">
        <f t="shared" si="2"/>
        <v>'Picarro Output'!B328</v>
      </c>
      <c r="J25" t="s">
        <v>163</v>
      </c>
    </row>
    <row r="26" spans="1:10" x14ac:dyDescent="0.2">
      <c r="A26">
        <f t="shared" si="9"/>
        <v>332</v>
      </c>
      <c r="B26">
        <f t="shared" si="10"/>
        <v>334</v>
      </c>
      <c r="C26" t="str">
        <f t="shared" si="5"/>
        <v>average('Picarro Output'!F332:F334)</v>
      </c>
      <c r="D26" t="s">
        <v>164</v>
      </c>
      <c r="E26" t="str">
        <f t="shared" si="8"/>
        <v>average('Picarro Output'!G332:G334)</v>
      </c>
      <c r="F26" t="s">
        <v>165</v>
      </c>
      <c r="I26" t="str">
        <f t="shared" si="2"/>
        <v>'Picarro Output'!B334</v>
      </c>
      <c r="J26" t="s">
        <v>166</v>
      </c>
    </row>
    <row r="27" spans="1:10" x14ac:dyDescent="0.2">
      <c r="A27">
        <f t="shared" si="9"/>
        <v>338</v>
      </c>
      <c r="B27">
        <f t="shared" si="10"/>
        <v>340</v>
      </c>
      <c r="C27" t="str">
        <f t="shared" si="5"/>
        <v>average('Picarro Output'!F338:F340)</v>
      </c>
      <c r="D27" t="s">
        <v>167</v>
      </c>
      <c r="E27" t="str">
        <f t="shared" si="8"/>
        <v>average('Picarro Output'!G338:G340)</v>
      </c>
      <c r="F27" t="s">
        <v>168</v>
      </c>
      <c r="I27" t="str">
        <f t="shared" si="2"/>
        <v>'Picarro Output'!B340</v>
      </c>
      <c r="J27" t="s">
        <v>169</v>
      </c>
    </row>
    <row r="28" spans="1:10" x14ac:dyDescent="0.2">
      <c r="A28">
        <f t="shared" si="9"/>
        <v>344</v>
      </c>
      <c r="B28">
        <f t="shared" si="10"/>
        <v>346</v>
      </c>
      <c r="C28" t="str">
        <f t="shared" si="5"/>
        <v>average('Picarro Output'!F344:F346)</v>
      </c>
      <c r="D28" t="s">
        <v>170</v>
      </c>
      <c r="E28" t="str">
        <f t="shared" si="8"/>
        <v>average('Picarro Output'!G344:G346)</v>
      </c>
      <c r="F28" t="s">
        <v>171</v>
      </c>
      <c r="I28" t="str">
        <f t="shared" si="2"/>
        <v>'Picarro Output'!B346</v>
      </c>
      <c r="J28" t="s">
        <v>172</v>
      </c>
    </row>
    <row r="29" spans="1:10" x14ac:dyDescent="0.2">
      <c r="A29">
        <f t="shared" si="9"/>
        <v>350</v>
      </c>
      <c r="B29">
        <f t="shared" si="10"/>
        <v>352</v>
      </c>
      <c r="C29" t="str">
        <f t="shared" si="5"/>
        <v>average('Picarro Output'!F350:F352)</v>
      </c>
      <c r="D29" t="s">
        <v>173</v>
      </c>
      <c r="E29" t="str">
        <f t="shared" si="8"/>
        <v>average('Picarro Output'!G350:G352)</v>
      </c>
      <c r="F29" t="s">
        <v>174</v>
      </c>
      <c r="I29" t="str">
        <f t="shared" si="2"/>
        <v>'Picarro Output'!B352</v>
      </c>
      <c r="J29" t="s">
        <v>175</v>
      </c>
    </row>
    <row r="30" spans="1:10" x14ac:dyDescent="0.2">
      <c r="A30">
        <f t="shared" si="9"/>
        <v>356</v>
      </c>
      <c r="B30">
        <f t="shared" si="10"/>
        <v>358</v>
      </c>
      <c r="C30" t="str">
        <f t="shared" si="5"/>
        <v>average('Picarro Output'!F356:F358)</v>
      </c>
      <c r="D30" t="s">
        <v>176</v>
      </c>
      <c r="E30" t="str">
        <f t="shared" si="8"/>
        <v>average('Picarro Output'!G356:G358)</v>
      </c>
      <c r="F30" t="s">
        <v>177</v>
      </c>
      <c r="I30" t="str">
        <f t="shared" si="2"/>
        <v>'Picarro Output'!B358</v>
      </c>
      <c r="J30" t="s">
        <v>178</v>
      </c>
    </row>
    <row r="31" spans="1:10" x14ac:dyDescent="0.2">
      <c r="A31">
        <f t="shared" si="9"/>
        <v>362</v>
      </c>
      <c r="B31">
        <f t="shared" si="10"/>
        <v>364</v>
      </c>
      <c r="C31" t="str">
        <f t="shared" si="5"/>
        <v>average('Picarro Output'!F362:F364)</v>
      </c>
      <c r="D31" t="s">
        <v>179</v>
      </c>
      <c r="E31" t="str">
        <f t="shared" si="8"/>
        <v>average('Picarro Output'!G362:G364)</v>
      </c>
      <c r="F31" t="s">
        <v>180</v>
      </c>
      <c r="I31" t="str">
        <f t="shared" si="2"/>
        <v>'Picarro Output'!B364</v>
      </c>
      <c r="J31" t="s">
        <v>181</v>
      </c>
    </row>
    <row r="32" spans="1:10" x14ac:dyDescent="0.2">
      <c r="A32">
        <f t="shared" si="9"/>
        <v>368</v>
      </c>
      <c r="B32">
        <f t="shared" si="10"/>
        <v>370</v>
      </c>
      <c r="C32" t="str">
        <f t="shared" si="5"/>
        <v>average('Picarro Output'!F368:F370)</v>
      </c>
      <c r="D32" t="s">
        <v>182</v>
      </c>
      <c r="E32" t="str">
        <f t="shared" si="8"/>
        <v>average('Picarro Output'!G368:G370)</v>
      </c>
      <c r="F32" t="s">
        <v>183</v>
      </c>
      <c r="I32" t="str">
        <f t="shared" si="2"/>
        <v>'Picarro Output'!B370</v>
      </c>
      <c r="J32" t="s">
        <v>184</v>
      </c>
    </row>
    <row r="33" spans="1:10" x14ac:dyDescent="0.2">
      <c r="A33">
        <f t="shared" si="9"/>
        <v>374</v>
      </c>
      <c r="B33">
        <f t="shared" si="10"/>
        <v>376</v>
      </c>
      <c r="C33" t="str">
        <f t="shared" si="5"/>
        <v>average('Picarro Output'!F374:F376)</v>
      </c>
      <c r="D33" t="s">
        <v>185</v>
      </c>
      <c r="E33" t="str">
        <f t="shared" si="8"/>
        <v>average('Picarro Output'!G374:G376)</v>
      </c>
      <c r="F33" t="s">
        <v>186</v>
      </c>
      <c r="I33" t="str">
        <f t="shared" si="2"/>
        <v>'Picarro Output'!B376</v>
      </c>
      <c r="J33" t="s">
        <v>187</v>
      </c>
    </row>
    <row r="34" spans="1:10" x14ac:dyDescent="0.2">
      <c r="A34">
        <f t="shared" si="9"/>
        <v>380</v>
      </c>
      <c r="B34">
        <f t="shared" si="10"/>
        <v>382</v>
      </c>
      <c r="C34" t="str">
        <f t="shared" si="5"/>
        <v>average('Picarro Output'!F380:F382)</v>
      </c>
      <c r="D34" t="s">
        <v>188</v>
      </c>
      <c r="E34" t="str">
        <f t="shared" si="8"/>
        <v>average('Picarro Output'!G380:G382)</v>
      </c>
      <c r="F34" t="s">
        <v>189</v>
      </c>
      <c r="I34" t="str">
        <f t="shared" si="2"/>
        <v>'Picarro Output'!B382</v>
      </c>
      <c r="J34" t="s">
        <v>190</v>
      </c>
    </row>
    <row r="35" spans="1:10" x14ac:dyDescent="0.2">
      <c r="A35">
        <f t="shared" si="9"/>
        <v>386</v>
      </c>
      <c r="B35">
        <f t="shared" si="10"/>
        <v>388</v>
      </c>
      <c r="C35" t="str">
        <f t="shared" si="5"/>
        <v>average('Picarro Output'!F386:F388)</v>
      </c>
      <c r="D35" t="s">
        <v>191</v>
      </c>
      <c r="E35" t="str">
        <f t="shared" si="8"/>
        <v>average('Picarro Output'!G386:G388)</v>
      </c>
      <c r="F35" t="s">
        <v>192</v>
      </c>
      <c r="I35" t="str">
        <f t="shared" si="2"/>
        <v>'Picarro Output'!B388</v>
      </c>
      <c r="J35" t="s">
        <v>193</v>
      </c>
    </row>
    <row r="36" spans="1:10" x14ac:dyDescent="0.2">
      <c r="A36">
        <f t="shared" si="9"/>
        <v>392</v>
      </c>
      <c r="B36">
        <f t="shared" si="10"/>
        <v>394</v>
      </c>
      <c r="C36" t="str">
        <f t="shared" si="5"/>
        <v>average('Picarro Output'!F392:F394)</v>
      </c>
      <c r="D36" t="s">
        <v>194</v>
      </c>
      <c r="E36" t="str">
        <f t="shared" si="8"/>
        <v>average('Picarro Output'!G392:G394)</v>
      </c>
      <c r="F36" t="s">
        <v>195</v>
      </c>
      <c r="I36" t="str">
        <f t="shared" si="2"/>
        <v>'Picarro Output'!B394</v>
      </c>
      <c r="J36" t="s">
        <v>196</v>
      </c>
    </row>
    <row r="37" spans="1:10" x14ac:dyDescent="0.2">
      <c r="A37">
        <f t="shared" si="9"/>
        <v>398</v>
      </c>
      <c r="B37">
        <f t="shared" si="10"/>
        <v>400</v>
      </c>
      <c r="C37" t="str">
        <f t="shared" si="5"/>
        <v>average('Picarro Output'!F398:F400)</v>
      </c>
      <c r="D37" t="s">
        <v>197</v>
      </c>
      <c r="E37" t="str">
        <f t="shared" si="8"/>
        <v>average('Picarro Output'!G398:G400)</v>
      </c>
      <c r="F37" t="s">
        <v>198</v>
      </c>
      <c r="I37" t="str">
        <f t="shared" si="2"/>
        <v>'Picarro Output'!B400</v>
      </c>
      <c r="J37" t="s">
        <v>199</v>
      </c>
    </row>
    <row r="38" spans="1:10" x14ac:dyDescent="0.2">
      <c r="A38">
        <f t="shared" si="9"/>
        <v>404</v>
      </c>
      <c r="B38">
        <f t="shared" si="10"/>
        <v>406</v>
      </c>
      <c r="C38" t="str">
        <f t="shared" si="5"/>
        <v>average('Picarro Output'!F404:F406)</v>
      </c>
      <c r="D38" t="s">
        <v>200</v>
      </c>
      <c r="E38" t="str">
        <f t="shared" si="8"/>
        <v>average('Picarro Output'!G404:G406)</v>
      </c>
      <c r="F38" t="s">
        <v>201</v>
      </c>
      <c r="I38" t="str">
        <f t="shared" si="2"/>
        <v>'Picarro Output'!B406</v>
      </c>
      <c r="J38" t="s">
        <v>202</v>
      </c>
    </row>
    <row r="39" spans="1:10" x14ac:dyDescent="0.2">
      <c r="A39">
        <f t="shared" si="9"/>
        <v>410</v>
      </c>
      <c r="B39">
        <f t="shared" si="10"/>
        <v>412</v>
      </c>
      <c r="C39" t="str">
        <f t="shared" si="5"/>
        <v>average('Picarro Output'!F410:F412)</v>
      </c>
      <c r="D39" t="s">
        <v>203</v>
      </c>
      <c r="E39" t="str">
        <f t="shared" si="8"/>
        <v>average('Picarro Output'!G410:G412)</v>
      </c>
      <c r="F39" t="s">
        <v>204</v>
      </c>
      <c r="I39" t="str">
        <f t="shared" si="2"/>
        <v>'Picarro Output'!B412</v>
      </c>
      <c r="J39" t="s">
        <v>205</v>
      </c>
    </row>
    <row r="40" spans="1:10" x14ac:dyDescent="0.2">
      <c r="A40">
        <f t="shared" si="9"/>
        <v>416</v>
      </c>
      <c r="B40">
        <f t="shared" si="10"/>
        <v>418</v>
      </c>
      <c r="C40" t="str">
        <f t="shared" si="5"/>
        <v>average('Picarro Output'!F416:F418)</v>
      </c>
      <c r="D40" t="s">
        <v>206</v>
      </c>
      <c r="E40" t="str">
        <f t="shared" si="8"/>
        <v>average('Picarro Output'!G416:G418)</v>
      </c>
      <c r="F40" t="s">
        <v>207</v>
      </c>
      <c r="I40" t="str">
        <f t="shared" si="2"/>
        <v>'Picarro Output'!B418</v>
      </c>
      <c r="J40" t="s">
        <v>208</v>
      </c>
    </row>
    <row r="41" spans="1:10" x14ac:dyDescent="0.2">
      <c r="A41">
        <f t="shared" si="9"/>
        <v>422</v>
      </c>
      <c r="B41">
        <f t="shared" si="10"/>
        <v>424</v>
      </c>
      <c r="C41" t="str">
        <f t="shared" si="5"/>
        <v>average('Picarro Output'!F422:F424)</v>
      </c>
      <c r="D41" t="s">
        <v>209</v>
      </c>
      <c r="E41" t="str">
        <f t="shared" si="8"/>
        <v>average('Picarro Output'!G422:G424)</v>
      </c>
      <c r="F41" t="s">
        <v>210</v>
      </c>
      <c r="I41" t="str">
        <f t="shared" si="2"/>
        <v>'Picarro Output'!B424</v>
      </c>
      <c r="J41" t="s">
        <v>211</v>
      </c>
    </row>
    <row r="42" spans="1:10" x14ac:dyDescent="0.2">
      <c r="A42">
        <f t="shared" si="9"/>
        <v>428</v>
      </c>
      <c r="B42">
        <f t="shared" si="10"/>
        <v>430</v>
      </c>
      <c r="C42" t="str">
        <f t="shared" si="5"/>
        <v>average('Picarro Output'!F428:F430)</v>
      </c>
      <c r="D42" t="s">
        <v>212</v>
      </c>
      <c r="E42" t="str">
        <f t="shared" si="8"/>
        <v>average('Picarro Output'!G428:G430)</v>
      </c>
      <c r="F42" t="s">
        <v>213</v>
      </c>
      <c r="I42" t="str">
        <f t="shared" si="2"/>
        <v>'Picarro Output'!B430</v>
      </c>
      <c r="J42" t="s">
        <v>214</v>
      </c>
    </row>
    <row r="43" spans="1:10" x14ac:dyDescent="0.2">
      <c r="A43">
        <f t="shared" si="9"/>
        <v>434</v>
      </c>
      <c r="B43">
        <f t="shared" si="10"/>
        <v>436</v>
      </c>
      <c r="C43" t="str">
        <f t="shared" si="5"/>
        <v>average('Picarro Output'!F434:F436)</v>
      </c>
      <c r="D43" t="s">
        <v>215</v>
      </c>
      <c r="E43" t="str">
        <f t="shared" si="8"/>
        <v>average('Picarro Output'!G434:G436)</v>
      </c>
      <c r="F43" t="s">
        <v>216</v>
      </c>
      <c r="I43" t="str">
        <f t="shared" si="2"/>
        <v>'Picarro Output'!B436</v>
      </c>
      <c r="J43" t="s">
        <v>217</v>
      </c>
    </row>
    <row r="44" spans="1:10" x14ac:dyDescent="0.2">
      <c r="A44">
        <f t="shared" si="9"/>
        <v>440</v>
      </c>
      <c r="B44">
        <f t="shared" si="10"/>
        <v>442</v>
      </c>
      <c r="C44" t="str">
        <f t="shared" si="5"/>
        <v>average('Picarro Output'!F440:F442)</v>
      </c>
      <c r="D44" t="s">
        <v>218</v>
      </c>
      <c r="E44" t="str">
        <f t="shared" si="8"/>
        <v>average('Picarro Output'!G440:G442)</v>
      </c>
      <c r="F44" t="s">
        <v>219</v>
      </c>
      <c r="I44" t="str">
        <f t="shared" si="2"/>
        <v>'Picarro Output'!B442</v>
      </c>
      <c r="J44" t="s">
        <v>220</v>
      </c>
    </row>
    <row r="45" spans="1:10" x14ac:dyDescent="0.2">
      <c r="A45">
        <f t="shared" si="9"/>
        <v>446</v>
      </c>
      <c r="B45">
        <f t="shared" si="10"/>
        <v>448</v>
      </c>
      <c r="C45" t="str">
        <f t="shared" si="5"/>
        <v>average('Picarro Output'!F446:F448)</v>
      </c>
      <c r="D45" t="s">
        <v>221</v>
      </c>
      <c r="E45" t="str">
        <f t="shared" si="8"/>
        <v>average('Picarro Output'!G446:G448)</v>
      </c>
      <c r="F45" t="s">
        <v>222</v>
      </c>
      <c r="I45" t="str">
        <f t="shared" si="2"/>
        <v>'Picarro Output'!B448</v>
      </c>
      <c r="J45" t="s">
        <v>223</v>
      </c>
    </row>
    <row r="46" spans="1:10" x14ac:dyDescent="0.2">
      <c r="A46">
        <f t="shared" si="9"/>
        <v>452</v>
      </c>
      <c r="B46">
        <f t="shared" si="10"/>
        <v>454</v>
      </c>
      <c r="C46" t="str">
        <f t="shared" si="5"/>
        <v>average('Picarro Output'!F452:F454)</v>
      </c>
      <c r="D46" t="s">
        <v>224</v>
      </c>
      <c r="E46" t="str">
        <f t="shared" si="8"/>
        <v>average('Picarro Output'!G452:G454)</v>
      </c>
      <c r="F46" t="s">
        <v>225</v>
      </c>
      <c r="I46" t="str">
        <f t="shared" si="2"/>
        <v>'Picarro Output'!B454</v>
      </c>
      <c r="J46" t="s">
        <v>226</v>
      </c>
    </row>
    <row r="47" spans="1:10" x14ac:dyDescent="0.2">
      <c r="A47">
        <f t="shared" si="9"/>
        <v>458</v>
      </c>
      <c r="B47">
        <f>B46+6</f>
        <v>460</v>
      </c>
      <c r="C47" t="str">
        <f t="shared" si="5"/>
        <v>average('Picarro Output'!F458:F460)</v>
      </c>
      <c r="D47" t="s">
        <v>227</v>
      </c>
      <c r="E47" t="str">
        <f t="shared" si="8"/>
        <v>average('Picarro Output'!G458:G460)</v>
      </c>
      <c r="F47" t="s">
        <v>228</v>
      </c>
      <c r="I47" t="str">
        <f t="shared" si="2"/>
        <v>'Picarro Output'!B460</v>
      </c>
      <c r="J47" t="s">
        <v>229</v>
      </c>
    </row>
    <row r="48" spans="1:10" x14ac:dyDescent="0.2">
      <c r="A48">
        <f t="shared" si="9"/>
        <v>464</v>
      </c>
      <c r="B48">
        <f t="shared" si="10"/>
        <v>466</v>
      </c>
      <c r="C48" t="str">
        <f t="shared" si="5"/>
        <v>average('Picarro Output'!F464:F466)</v>
      </c>
      <c r="D48" t="s">
        <v>230</v>
      </c>
      <c r="E48" t="str">
        <f t="shared" si="8"/>
        <v>average('Picarro Output'!G464:G466)</v>
      </c>
      <c r="F48" t="s">
        <v>231</v>
      </c>
      <c r="I48" t="str">
        <f t="shared" si="2"/>
        <v>'Picarro Output'!B466</v>
      </c>
      <c r="J48" t="s">
        <v>232</v>
      </c>
    </row>
    <row r="49" spans="1:10" x14ac:dyDescent="0.2">
      <c r="A49">
        <f t="shared" si="9"/>
        <v>470</v>
      </c>
      <c r="B49">
        <f t="shared" si="10"/>
        <v>472</v>
      </c>
      <c r="C49" t="str">
        <f t="shared" si="5"/>
        <v>average('Picarro Output'!F470:F472)</v>
      </c>
      <c r="D49" t="s">
        <v>233</v>
      </c>
      <c r="E49" t="str">
        <f t="shared" si="8"/>
        <v>average('Picarro Output'!G470:G472)</v>
      </c>
      <c r="F49" t="s">
        <v>234</v>
      </c>
      <c r="I49" t="str">
        <f t="shared" si="2"/>
        <v>'Picarro Output'!B472</v>
      </c>
      <c r="J49" t="s">
        <v>235</v>
      </c>
    </row>
    <row r="50" spans="1:10" x14ac:dyDescent="0.2">
      <c r="A50">
        <f t="shared" si="9"/>
        <v>476</v>
      </c>
      <c r="B50">
        <f t="shared" si="10"/>
        <v>478</v>
      </c>
      <c r="C50" t="str">
        <f t="shared" si="5"/>
        <v>average('Picarro Output'!F476:F478)</v>
      </c>
      <c r="D50" t="s">
        <v>236</v>
      </c>
      <c r="E50" t="str">
        <f t="shared" si="8"/>
        <v>average('Picarro Output'!G476:G478)</v>
      </c>
      <c r="F50" t="s">
        <v>237</v>
      </c>
      <c r="I50" t="str">
        <f t="shared" si="2"/>
        <v>'Picarro Output'!B478</v>
      </c>
      <c r="J50" t="s">
        <v>238</v>
      </c>
    </row>
    <row r="51" spans="1:10" x14ac:dyDescent="0.2">
      <c r="A51" t="s">
        <v>239</v>
      </c>
    </row>
    <row r="52" spans="1:10" x14ac:dyDescent="0.2">
      <c r="A52">
        <v>489</v>
      </c>
      <c r="B52">
        <v>493</v>
      </c>
      <c r="C52" t="str">
        <f t="shared" si="5"/>
        <v>average('Picarro Output'!F489:F493)</v>
      </c>
      <c r="D52" t="s">
        <v>240</v>
      </c>
      <c r="E52" t="str">
        <f t="shared" si="8"/>
        <v>average('Picarro Output'!G489:G493)</v>
      </c>
      <c r="F52" t="s">
        <v>241</v>
      </c>
      <c r="I52" t="str">
        <f t="shared" si="2"/>
        <v>'Picarro Output'!B493</v>
      </c>
      <c r="J52" t="s">
        <v>242</v>
      </c>
    </row>
    <row r="53" spans="1:10" x14ac:dyDescent="0.2">
      <c r="A53">
        <f>A52+15</f>
        <v>504</v>
      </c>
      <c r="B53">
        <f>B52+15</f>
        <v>508</v>
      </c>
      <c r="C53" t="str">
        <f t="shared" si="5"/>
        <v>average('Picarro Output'!F504:F508)</v>
      </c>
      <c r="D53" t="s">
        <v>243</v>
      </c>
      <c r="E53" t="str">
        <f t="shared" si="8"/>
        <v>average('Picarro Output'!G504:G508)</v>
      </c>
      <c r="F53" t="s">
        <v>244</v>
      </c>
      <c r="I53" t="str">
        <f t="shared" si="2"/>
        <v>'Picarro Output'!B508</v>
      </c>
      <c r="J53" t="s">
        <v>245</v>
      </c>
    </row>
    <row r="54" spans="1:10" x14ac:dyDescent="0.2">
      <c r="A54">
        <f t="shared" ref="A54:A55" si="11">A53+15</f>
        <v>519</v>
      </c>
      <c r="B54">
        <f t="shared" ref="B54:B55" si="12">B53+15</f>
        <v>523</v>
      </c>
      <c r="C54" t="str">
        <f t="shared" si="5"/>
        <v>average('Picarro Output'!F519:F523)</v>
      </c>
      <c r="D54" t="s">
        <v>246</v>
      </c>
      <c r="E54" t="str">
        <f t="shared" si="8"/>
        <v>average('Picarro Output'!G519:G523)</v>
      </c>
      <c r="F54" t="s">
        <v>247</v>
      </c>
      <c r="I54" t="str">
        <f t="shared" si="2"/>
        <v>'Picarro Output'!B523</v>
      </c>
      <c r="J54" t="s">
        <v>248</v>
      </c>
    </row>
    <row r="55" spans="1:10" x14ac:dyDescent="0.2">
      <c r="A55">
        <f t="shared" si="11"/>
        <v>534</v>
      </c>
      <c r="B55">
        <f t="shared" si="12"/>
        <v>538</v>
      </c>
      <c r="C55" t="str">
        <f t="shared" si="5"/>
        <v>average('Picarro Output'!F534:F538)</v>
      </c>
      <c r="D55" t="s">
        <v>249</v>
      </c>
      <c r="E55" t="str">
        <f t="shared" si="8"/>
        <v>average('Picarro Output'!G534:G538)</v>
      </c>
      <c r="F55" t="s">
        <v>250</v>
      </c>
      <c r="I55" t="str">
        <f t="shared" si="2"/>
        <v>'Picarro Output'!B538</v>
      </c>
      <c r="J55" t="s">
        <v>251</v>
      </c>
    </row>
    <row r="57" spans="1:10" x14ac:dyDescent="0.2">
      <c r="A57">
        <v>542</v>
      </c>
      <c r="B57">
        <v>544</v>
      </c>
      <c r="C57" t="str">
        <f t="shared" si="5"/>
        <v>average('Picarro Output'!F542:F544)</v>
      </c>
      <c r="D57" t="s">
        <v>252</v>
      </c>
      <c r="E57" t="str">
        <f t="shared" si="8"/>
        <v>average('Picarro Output'!G542:G544)</v>
      </c>
      <c r="F57" t="s">
        <v>253</v>
      </c>
      <c r="I57" t="str">
        <f t="shared" si="2"/>
        <v>'Picarro Output'!B544</v>
      </c>
      <c r="J57" t="s">
        <v>254</v>
      </c>
    </row>
    <row r="58" spans="1:10" x14ac:dyDescent="0.2">
      <c r="A58">
        <f>A57+6</f>
        <v>548</v>
      </c>
      <c r="B58">
        <f>B57+6</f>
        <v>550</v>
      </c>
      <c r="C58" t="str">
        <f t="shared" si="5"/>
        <v>average('Picarro Output'!F548:F550)</v>
      </c>
      <c r="D58" t="s">
        <v>255</v>
      </c>
      <c r="E58" t="str">
        <f t="shared" si="8"/>
        <v>average('Picarro Output'!G548:G550)</v>
      </c>
      <c r="F58" t="s">
        <v>256</v>
      </c>
      <c r="I58" t="str">
        <f t="shared" si="2"/>
        <v>'Picarro Output'!B550</v>
      </c>
      <c r="J58" t="s">
        <v>257</v>
      </c>
    </row>
    <row r="59" spans="1:10" x14ac:dyDescent="0.2">
      <c r="A59">
        <f t="shared" ref="A59:A87" si="13">A58+6</f>
        <v>554</v>
      </c>
      <c r="B59">
        <f t="shared" ref="B59:B87" si="14">B58+6</f>
        <v>556</v>
      </c>
      <c r="C59" t="str">
        <f t="shared" si="5"/>
        <v>average('Picarro Output'!F554:F556)</v>
      </c>
      <c r="D59" t="s">
        <v>258</v>
      </c>
      <c r="E59" t="str">
        <f t="shared" si="8"/>
        <v>average('Picarro Output'!G554:G556)</v>
      </c>
      <c r="F59" t="s">
        <v>259</v>
      </c>
      <c r="I59" t="str">
        <f t="shared" si="2"/>
        <v>'Picarro Output'!B556</v>
      </c>
      <c r="J59" t="s">
        <v>260</v>
      </c>
    </row>
    <row r="60" spans="1:10" x14ac:dyDescent="0.2">
      <c r="A60">
        <f t="shared" si="13"/>
        <v>560</v>
      </c>
      <c r="B60">
        <f t="shared" si="14"/>
        <v>562</v>
      </c>
      <c r="C60" t="str">
        <f t="shared" si="5"/>
        <v>average('Picarro Output'!F560:F562)</v>
      </c>
      <c r="D60" t="s">
        <v>261</v>
      </c>
      <c r="E60" t="str">
        <f t="shared" si="8"/>
        <v>average('Picarro Output'!G560:G562)</v>
      </c>
      <c r="F60" t="s">
        <v>262</v>
      </c>
      <c r="I60" t="str">
        <f t="shared" si="2"/>
        <v>'Picarro Output'!B562</v>
      </c>
      <c r="J60" t="s">
        <v>263</v>
      </c>
    </row>
    <row r="61" spans="1:10" x14ac:dyDescent="0.2">
      <c r="A61">
        <f t="shared" si="13"/>
        <v>566</v>
      </c>
      <c r="B61">
        <f t="shared" si="14"/>
        <v>568</v>
      </c>
      <c r="C61" t="str">
        <f t="shared" si="5"/>
        <v>average('Picarro Output'!F566:F568)</v>
      </c>
      <c r="D61" t="s">
        <v>264</v>
      </c>
      <c r="E61" t="str">
        <f t="shared" si="8"/>
        <v>average('Picarro Output'!G566:G568)</v>
      </c>
      <c r="F61" t="s">
        <v>265</v>
      </c>
      <c r="I61" t="str">
        <f t="shared" si="2"/>
        <v>'Picarro Output'!B568</v>
      </c>
      <c r="J61" t="s">
        <v>266</v>
      </c>
    </row>
    <row r="62" spans="1:10" x14ac:dyDescent="0.2">
      <c r="A62">
        <f t="shared" si="13"/>
        <v>572</v>
      </c>
      <c r="B62">
        <f t="shared" si="14"/>
        <v>574</v>
      </c>
      <c r="C62" t="str">
        <f t="shared" si="5"/>
        <v>average('Picarro Output'!F572:F574)</v>
      </c>
      <c r="D62" t="s">
        <v>267</v>
      </c>
      <c r="E62" t="str">
        <f t="shared" si="8"/>
        <v>average('Picarro Output'!G572:G574)</v>
      </c>
      <c r="F62" t="s">
        <v>268</v>
      </c>
      <c r="I62" t="str">
        <f t="shared" si="2"/>
        <v>'Picarro Output'!B574</v>
      </c>
      <c r="J62" t="s">
        <v>269</v>
      </c>
    </row>
    <row r="63" spans="1:10" x14ac:dyDescent="0.2">
      <c r="A63">
        <f t="shared" si="13"/>
        <v>578</v>
      </c>
      <c r="B63">
        <f t="shared" si="14"/>
        <v>580</v>
      </c>
      <c r="C63" t="str">
        <f t="shared" si="5"/>
        <v>average('Picarro Output'!F578:F580)</v>
      </c>
      <c r="D63" t="s">
        <v>270</v>
      </c>
      <c r="E63" t="str">
        <f t="shared" si="8"/>
        <v>average('Picarro Output'!G578:G580)</v>
      </c>
      <c r="F63" t="s">
        <v>271</v>
      </c>
      <c r="I63" t="str">
        <f t="shared" si="2"/>
        <v>'Picarro Output'!B580</v>
      </c>
      <c r="J63" t="s">
        <v>272</v>
      </c>
    </row>
    <row r="64" spans="1:10" x14ac:dyDescent="0.2">
      <c r="A64">
        <f t="shared" si="13"/>
        <v>584</v>
      </c>
      <c r="B64">
        <f t="shared" si="14"/>
        <v>586</v>
      </c>
      <c r="C64" t="str">
        <f t="shared" si="5"/>
        <v>average('Picarro Output'!F584:F586)</v>
      </c>
      <c r="D64" t="s">
        <v>273</v>
      </c>
      <c r="E64" t="str">
        <f t="shared" si="8"/>
        <v>average('Picarro Output'!G584:G586)</v>
      </c>
      <c r="F64" t="s">
        <v>274</v>
      </c>
      <c r="I64" t="str">
        <f t="shared" si="2"/>
        <v>'Picarro Output'!B586</v>
      </c>
      <c r="J64" t="s">
        <v>275</v>
      </c>
    </row>
    <row r="65" spans="1:10" x14ac:dyDescent="0.2">
      <c r="A65">
        <f t="shared" si="13"/>
        <v>590</v>
      </c>
      <c r="B65">
        <f t="shared" si="14"/>
        <v>592</v>
      </c>
      <c r="C65" t="str">
        <f t="shared" si="5"/>
        <v>average('Picarro Output'!F590:F592)</v>
      </c>
      <c r="D65" t="s">
        <v>276</v>
      </c>
      <c r="E65" t="str">
        <f t="shared" si="8"/>
        <v>average('Picarro Output'!G590:G592)</v>
      </c>
      <c r="F65" t="s">
        <v>277</v>
      </c>
      <c r="I65" t="str">
        <f t="shared" si="2"/>
        <v>'Picarro Output'!B592</v>
      </c>
      <c r="J65" t="s">
        <v>278</v>
      </c>
    </row>
    <row r="66" spans="1:10" x14ac:dyDescent="0.2">
      <c r="A66">
        <f t="shared" si="13"/>
        <v>596</v>
      </c>
      <c r="B66">
        <f t="shared" si="14"/>
        <v>598</v>
      </c>
      <c r="C66" t="str">
        <f t="shared" si="5"/>
        <v>average('Picarro Output'!F596:F598)</v>
      </c>
      <c r="D66" t="s">
        <v>279</v>
      </c>
      <c r="E66" t="str">
        <f t="shared" si="8"/>
        <v>average('Picarro Output'!G596:G598)</v>
      </c>
      <c r="F66" t="s">
        <v>280</v>
      </c>
      <c r="I66" t="str">
        <f t="shared" si="2"/>
        <v>'Picarro Output'!B598</v>
      </c>
      <c r="J66" t="s">
        <v>281</v>
      </c>
    </row>
    <row r="67" spans="1:10" x14ac:dyDescent="0.2">
      <c r="A67">
        <f t="shared" si="13"/>
        <v>602</v>
      </c>
      <c r="B67">
        <f t="shared" si="14"/>
        <v>604</v>
      </c>
      <c r="C67" t="str">
        <f t="shared" si="5"/>
        <v>average('Picarro Output'!F602:F604)</v>
      </c>
      <c r="D67" t="s">
        <v>282</v>
      </c>
      <c r="E67" t="str">
        <f t="shared" si="8"/>
        <v>average('Picarro Output'!G602:G604)</v>
      </c>
      <c r="F67" t="s">
        <v>283</v>
      </c>
      <c r="I67" t="str">
        <f t="shared" ref="I67:I92" si="15">"'Picarro Output'!B"&amp;B67</f>
        <v>'Picarro Output'!B604</v>
      </c>
      <c r="J67" t="s">
        <v>284</v>
      </c>
    </row>
    <row r="68" spans="1:10" x14ac:dyDescent="0.2">
      <c r="A68">
        <f t="shared" si="13"/>
        <v>608</v>
      </c>
      <c r="B68">
        <f t="shared" si="14"/>
        <v>610</v>
      </c>
      <c r="C68" t="str">
        <f t="shared" si="5"/>
        <v>average('Picarro Output'!F608:F610)</v>
      </c>
      <c r="D68" t="s">
        <v>285</v>
      </c>
      <c r="E68" t="str">
        <f t="shared" si="8"/>
        <v>average('Picarro Output'!G608:G610)</v>
      </c>
      <c r="F68" t="s">
        <v>286</v>
      </c>
      <c r="I68" t="str">
        <f t="shared" si="15"/>
        <v>'Picarro Output'!B610</v>
      </c>
      <c r="J68" t="s">
        <v>287</v>
      </c>
    </row>
    <row r="69" spans="1:10" x14ac:dyDescent="0.2">
      <c r="A69">
        <f t="shared" si="13"/>
        <v>614</v>
      </c>
      <c r="B69">
        <f t="shared" si="14"/>
        <v>616</v>
      </c>
      <c r="C69" t="str">
        <f t="shared" si="5"/>
        <v>average('Picarro Output'!F614:F616)</v>
      </c>
      <c r="D69" t="s">
        <v>288</v>
      </c>
      <c r="E69" t="str">
        <f t="shared" si="8"/>
        <v>average('Picarro Output'!G614:G616)</v>
      </c>
      <c r="F69" t="s">
        <v>289</v>
      </c>
      <c r="I69" t="str">
        <f t="shared" si="15"/>
        <v>'Picarro Output'!B616</v>
      </c>
      <c r="J69" t="s">
        <v>290</v>
      </c>
    </row>
    <row r="70" spans="1:10" x14ac:dyDescent="0.2">
      <c r="A70">
        <f t="shared" si="13"/>
        <v>620</v>
      </c>
      <c r="B70">
        <f t="shared" si="14"/>
        <v>622</v>
      </c>
      <c r="C70" t="str">
        <f t="shared" si="5"/>
        <v>average('Picarro Output'!F620:F622)</v>
      </c>
      <c r="D70" t="s">
        <v>291</v>
      </c>
      <c r="E70" t="str">
        <f t="shared" si="8"/>
        <v>average('Picarro Output'!G620:G622)</v>
      </c>
      <c r="F70" t="s">
        <v>292</v>
      </c>
      <c r="I70" t="str">
        <f t="shared" si="15"/>
        <v>'Picarro Output'!B622</v>
      </c>
      <c r="J70" t="s">
        <v>293</v>
      </c>
    </row>
    <row r="71" spans="1:10" x14ac:dyDescent="0.2">
      <c r="A71">
        <f t="shared" si="13"/>
        <v>626</v>
      </c>
      <c r="B71">
        <f t="shared" si="14"/>
        <v>628</v>
      </c>
      <c r="C71" t="str">
        <f t="shared" si="5"/>
        <v>average('Picarro Output'!F626:F628)</v>
      </c>
      <c r="D71" t="s">
        <v>294</v>
      </c>
      <c r="E71" t="str">
        <f t="shared" si="8"/>
        <v>average('Picarro Output'!G626:G628)</v>
      </c>
      <c r="F71" t="s">
        <v>295</v>
      </c>
      <c r="I71" t="str">
        <f t="shared" si="15"/>
        <v>'Picarro Output'!B628</v>
      </c>
      <c r="J71" t="s">
        <v>296</v>
      </c>
    </row>
    <row r="72" spans="1:10" x14ac:dyDescent="0.2">
      <c r="A72">
        <f t="shared" si="13"/>
        <v>632</v>
      </c>
      <c r="B72">
        <f t="shared" si="14"/>
        <v>634</v>
      </c>
      <c r="C72" t="str">
        <f t="shared" si="5"/>
        <v>average('Picarro Output'!F632:F634)</v>
      </c>
      <c r="D72" t="s">
        <v>297</v>
      </c>
      <c r="E72" t="str">
        <f t="shared" si="8"/>
        <v>average('Picarro Output'!G632:G634)</v>
      </c>
      <c r="F72" t="s">
        <v>298</v>
      </c>
      <c r="I72" t="str">
        <f t="shared" si="15"/>
        <v>'Picarro Output'!B634</v>
      </c>
      <c r="J72" t="s">
        <v>299</v>
      </c>
    </row>
    <row r="73" spans="1:10" x14ac:dyDescent="0.2">
      <c r="A73">
        <f t="shared" si="13"/>
        <v>638</v>
      </c>
      <c r="B73">
        <f t="shared" si="14"/>
        <v>640</v>
      </c>
      <c r="C73" t="str">
        <f t="shared" si="5"/>
        <v>average('Picarro Output'!F638:F640)</v>
      </c>
      <c r="D73" t="s">
        <v>300</v>
      </c>
      <c r="E73" t="str">
        <f t="shared" si="8"/>
        <v>average('Picarro Output'!G638:G640)</v>
      </c>
      <c r="F73" t="s">
        <v>301</v>
      </c>
      <c r="I73" t="str">
        <f t="shared" si="15"/>
        <v>'Picarro Output'!B640</v>
      </c>
      <c r="J73" t="s">
        <v>302</v>
      </c>
    </row>
    <row r="74" spans="1:10" x14ac:dyDescent="0.2">
      <c r="A74">
        <f t="shared" si="13"/>
        <v>644</v>
      </c>
      <c r="B74">
        <f t="shared" si="14"/>
        <v>646</v>
      </c>
      <c r="C74" t="str">
        <f t="shared" si="5"/>
        <v>average('Picarro Output'!F644:F646)</v>
      </c>
      <c r="D74" t="s">
        <v>303</v>
      </c>
      <c r="E74" t="str">
        <f t="shared" si="8"/>
        <v>average('Picarro Output'!G644:G646)</v>
      </c>
      <c r="F74" t="s">
        <v>304</v>
      </c>
      <c r="I74" t="str">
        <f t="shared" si="15"/>
        <v>'Picarro Output'!B646</v>
      </c>
      <c r="J74" t="s">
        <v>305</v>
      </c>
    </row>
    <row r="75" spans="1:10" x14ac:dyDescent="0.2">
      <c r="A75">
        <f t="shared" si="13"/>
        <v>650</v>
      </c>
      <c r="B75">
        <f t="shared" si="14"/>
        <v>652</v>
      </c>
      <c r="C75" t="str">
        <f t="shared" si="5"/>
        <v>average('Picarro Output'!F650:F652)</v>
      </c>
      <c r="D75" t="s">
        <v>306</v>
      </c>
      <c r="E75" t="str">
        <f t="shared" si="8"/>
        <v>average('Picarro Output'!G650:G652)</v>
      </c>
      <c r="F75" t="s">
        <v>307</v>
      </c>
      <c r="I75" t="str">
        <f t="shared" si="15"/>
        <v>'Picarro Output'!B652</v>
      </c>
      <c r="J75" t="s">
        <v>308</v>
      </c>
    </row>
    <row r="76" spans="1:10" x14ac:dyDescent="0.2">
      <c r="A76">
        <f t="shared" si="13"/>
        <v>656</v>
      </c>
      <c r="B76">
        <f t="shared" si="14"/>
        <v>658</v>
      </c>
      <c r="C76" t="str">
        <f t="shared" si="5"/>
        <v>average('Picarro Output'!F656:F658)</v>
      </c>
      <c r="D76" t="s">
        <v>309</v>
      </c>
      <c r="E76" t="str">
        <f t="shared" si="8"/>
        <v>average('Picarro Output'!G656:G658)</v>
      </c>
      <c r="F76" t="s">
        <v>310</v>
      </c>
      <c r="I76" t="str">
        <f t="shared" si="15"/>
        <v>'Picarro Output'!B658</v>
      </c>
      <c r="J76" t="s">
        <v>311</v>
      </c>
    </row>
    <row r="77" spans="1:10" x14ac:dyDescent="0.2">
      <c r="A77">
        <f t="shared" si="13"/>
        <v>662</v>
      </c>
      <c r="B77">
        <f t="shared" si="14"/>
        <v>664</v>
      </c>
      <c r="C77" t="str">
        <f t="shared" si="5"/>
        <v>average('Picarro Output'!F662:F664)</v>
      </c>
      <c r="D77" t="s">
        <v>312</v>
      </c>
      <c r="E77" t="str">
        <f t="shared" si="8"/>
        <v>average('Picarro Output'!G662:G664)</v>
      </c>
      <c r="F77" t="s">
        <v>313</v>
      </c>
      <c r="I77" t="str">
        <f t="shared" si="15"/>
        <v>'Picarro Output'!B664</v>
      </c>
      <c r="J77" t="s">
        <v>314</v>
      </c>
    </row>
    <row r="78" spans="1:10" x14ac:dyDescent="0.2">
      <c r="A78">
        <f t="shared" si="13"/>
        <v>668</v>
      </c>
      <c r="B78">
        <f t="shared" si="14"/>
        <v>670</v>
      </c>
      <c r="C78" t="str">
        <f t="shared" ref="C78:C92" si="16">"average('Picarro Output'!F"&amp;A78&amp;":F"&amp;B78&amp;")"</f>
        <v>average('Picarro Output'!F668:F670)</v>
      </c>
      <c r="D78" t="s">
        <v>315</v>
      </c>
      <c r="E78" t="str">
        <f t="shared" si="8"/>
        <v>average('Picarro Output'!G668:G670)</v>
      </c>
      <c r="F78" t="s">
        <v>316</v>
      </c>
      <c r="I78" t="str">
        <f t="shared" si="15"/>
        <v>'Picarro Output'!B670</v>
      </c>
      <c r="J78" t="s">
        <v>317</v>
      </c>
    </row>
    <row r="79" spans="1:10" x14ac:dyDescent="0.2">
      <c r="A79">
        <f t="shared" si="13"/>
        <v>674</v>
      </c>
      <c r="B79">
        <f t="shared" si="14"/>
        <v>676</v>
      </c>
      <c r="C79" t="str">
        <f t="shared" si="16"/>
        <v>average('Picarro Output'!F674:F676)</v>
      </c>
      <c r="D79" t="s">
        <v>318</v>
      </c>
      <c r="E79" t="str">
        <f t="shared" si="8"/>
        <v>average('Picarro Output'!G674:G676)</v>
      </c>
      <c r="F79" t="s">
        <v>319</v>
      </c>
      <c r="I79" t="str">
        <f t="shared" si="15"/>
        <v>'Picarro Output'!B676</v>
      </c>
      <c r="J79" t="s">
        <v>320</v>
      </c>
    </row>
    <row r="80" spans="1:10" x14ac:dyDescent="0.2">
      <c r="A80">
        <f t="shared" si="13"/>
        <v>680</v>
      </c>
      <c r="B80">
        <f t="shared" si="14"/>
        <v>682</v>
      </c>
      <c r="C80" t="str">
        <f t="shared" si="16"/>
        <v>average('Picarro Output'!F680:F682)</v>
      </c>
      <c r="D80" t="s">
        <v>321</v>
      </c>
      <c r="E80" t="str">
        <f t="shared" si="8"/>
        <v>average('Picarro Output'!G680:G682)</v>
      </c>
      <c r="F80" t="s">
        <v>322</v>
      </c>
      <c r="I80" t="str">
        <f t="shared" si="15"/>
        <v>'Picarro Output'!B682</v>
      </c>
      <c r="J80" t="s">
        <v>323</v>
      </c>
    </row>
    <row r="81" spans="1:10" x14ac:dyDescent="0.2">
      <c r="A81">
        <f t="shared" si="13"/>
        <v>686</v>
      </c>
      <c r="B81">
        <f t="shared" si="14"/>
        <v>688</v>
      </c>
      <c r="C81" t="str">
        <f t="shared" si="16"/>
        <v>average('Picarro Output'!F686:F688)</v>
      </c>
      <c r="D81" t="s">
        <v>324</v>
      </c>
      <c r="E81" t="str">
        <f t="shared" si="8"/>
        <v>average('Picarro Output'!G686:G688)</v>
      </c>
      <c r="F81" t="s">
        <v>325</v>
      </c>
      <c r="I81" t="str">
        <f t="shared" si="15"/>
        <v>'Picarro Output'!B688</v>
      </c>
      <c r="J81" t="s">
        <v>326</v>
      </c>
    </row>
    <row r="82" spans="1:10" x14ac:dyDescent="0.2">
      <c r="A82">
        <f t="shared" si="13"/>
        <v>692</v>
      </c>
      <c r="B82">
        <f t="shared" si="14"/>
        <v>694</v>
      </c>
      <c r="C82" t="str">
        <f t="shared" si="16"/>
        <v>average('Picarro Output'!F692:F694)</v>
      </c>
      <c r="D82" t="s">
        <v>327</v>
      </c>
      <c r="E82" t="str">
        <f t="shared" si="8"/>
        <v>average('Picarro Output'!G692:G694)</v>
      </c>
      <c r="F82" t="s">
        <v>328</v>
      </c>
      <c r="I82" t="str">
        <f t="shared" si="15"/>
        <v>'Picarro Output'!B694</v>
      </c>
      <c r="J82" t="s">
        <v>329</v>
      </c>
    </row>
    <row r="83" spans="1:10" x14ac:dyDescent="0.2">
      <c r="A83">
        <f t="shared" si="13"/>
        <v>698</v>
      </c>
      <c r="B83">
        <f t="shared" si="14"/>
        <v>700</v>
      </c>
      <c r="C83" t="str">
        <f t="shared" si="16"/>
        <v>average('Picarro Output'!F698:F700)</v>
      </c>
      <c r="D83" t="s">
        <v>330</v>
      </c>
      <c r="E83" t="str">
        <f t="shared" si="8"/>
        <v>average('Picarro Output'!G698:G700)</v>
      </c>
      <c r="F83" t="s">
        <v>331</v>
      </c>
      <c r="I83" t="str">
        <f t="shared" si="15"/>
        <v>'Picarro Output'!B700</v>
      </c>
      <c r="J83" t="s">
        <v>332</v>
      </c>
    </row>
    <row r="84" spans="1:10" x14ac:dyDescent="0.2">
      <c r="A84">
        <f t="shared" si="13"/>
        <v>704</v>
      </c>
      <c r="B84">
        <f t="shared" si="14"/>
        <v>706</v>
      </c>
      <c r="C84" t="str">
        <f t="shared" si="16"/>
        <v>average('Picarro Output'!F704:F706)</v>
      </c>
      <c r="D84" t="s">
        <v>333</v>
      </c>
      <c r="E84" t="str">
        <f t="shared" ref="E84:E92" si="17">"average('Picarro Output'!G"&amp;A84&amp;":G"&amp;B84&amp;")"</f>
        <v>average('Picarro Output'!G704:G706)</v>
      </c>
      <c r="F84" t="s">
        <v>334</v>
      </c>
      <c r="I84" t="str">
        <f t="shared" si="15"/>
        <v>'Picarro Output'!B706</v>
      </c>
      <c r="J84" t="s">
        <v>335</v>
      </c>
    </row>
    <row r="85" spans="1:10" x14ac:dyDescent="0.2">
      <c r="A85">
        <f t="shared" si="13"/>
        <v>710</v>
      </c>
      <c r="B85">
        <f t="shared" si="14"/>
        <v>712</v>
      </c>
      <c r="C85" t="str">
        <f t="shared" si="16"/>
        <v>average('Picarro Output'!F710:F712)</v>
      </c>
      <c r="D85" t="s">
        <v>336</v>
      </c>
      <c r="E85" t="str">
        <f t="shared" si="17"/>
        <v>average('Picarro Output'!G710:G712)</v>
      </c>
      <c r="F85" t="s">
        <v>337</v>
      </c>
      <c r="I85" t="str">
        <f t="shared" si="15"/>
        <v>'Picarro Output'!B712</v>
      </c>
      <c r="J85" t="s">
        <v>338</v>
      </c>
    </row>
    <row r="86" spans="1:10" x14ac:dyDescent="0.2">
      <c r="A86">
        <f t="shared" si="13"/>
        <v>716</v>
      </c>
      <c r="B86">
        <f t="shared" si="14"/>
        <v>718</v>
      </c>
      <c r="C86" t="str">
        <f t="shared" si="16"/>
        <v>average('Picarro Output'!F716:F718)</v>
      </c>
      <c r="D86" t="s">
        <v>339</v>
      </c>
      <c r="E86" t="str">
        <f t="shared" si="17"/>
        <v>average('Picarro Output'!G716:G718)</v>
      </c>
      <c r="F86" t="s">
        <v>340</v>
      </c>
      <c r="I86" t="str">
        <f t="shared" si="15"/>
        <v>'Picarro Output'!B718</v>
      </c>
      <c r="J86" t="s">
        <v>341</v>
      </c>
    </row>
    <row r="87" spans="1:10" x14ac:dyDescent="0.2">
      <c r="A87">
        <f t="shared" si="13"/>
        <v>722</v>
      </c>
      <c r="B87">
        <f t="shared" si="14"/>
        <v>724</v>
      </c>
      <c r="C87" t="str">
        <f t="shared" si="16"/>
        <v>average('Picarro Output'!F722:F724)</v>
      </c>
      <c r="D87" t="s">
        <v>342</v>
      </c>
      <c r="E87" t="str">
        <f t="shared" si="17"/>
        <v>average('Picarro Output'!G722:G724)</v>
      </c>
      <c r="F87" t="s">
        <v>343</v>
      </c>
      <c r="I87" t="str">
        <f t="shared" si="15"/>
        <v>'Picarro Output'!B724</v>
      </c>
      <c r="J87" t="s">
        <v>344</v>
      </c>
    </row>
    <row r="89" spans="1:10" x14ac:dyDescent="0.2">
      <c r="A89">
        <v>735</v>
      </c>
      <c r="B89">
        <v>739</v>
      </c>
      <c r="C89" t="str">
        <f t="shared" si="16"/>
        <v>average('Picarro Output'!F735:F739)</v>
      </c>
      <c r="D89" t="s">
        <v>345</v>
      </c>
      <c r="E89" t="str">
        <f t="shared" si="17"/>
        <v>average('Picarro Output'!G735:G739)</v>
      </c>
      <c r="F89" t="s">
        <v>346</v>
      </c>
      <c r="I89" t="str">
        <f t="shared" si="15"/>
        <v>'Picarro Output'!B739</v>
      </c>
      <c r="J89" t="s">
        <v>347</v>
      </c>
    </row>
    <row r="90" spans="1:10" x14ac:dyDescent="0.2">
      <c r="A90">
        <f>A89+15</f>
        <v>750</v>
      </c>
      <c r="B90">
        <f>B89+15</f>
        <v>754</v>
      </c>
      <c r="C90" t="str">
        <f t="shared" si="16"/>
        <v>average('Picarro Output'!F750:F754)</v>
      </c>
      <c r="D90" t="s">
        <v>348</v>
      </c>
      <c r="E90" t="str">
        <f t="shared" si="17"/>
        <v>average('Picarro Output'!G750:G754)</v>
      </c>
      <c r="F90" t="s">
        <v>349</v>
      </c>
      <c r="I90" t="str">
        <f t="shared" si="15"/>
        <v>'Picarro Output'!B754</v>
      </c>
      <c r="J90" t="s">
        <v>350</v>
      </c>
    </row>
    <row r="91" spans="1:10" x14ac:dyDescent="0.2">
      <c r="A91">
        <f t="shared" ref="A91:A92" si="18">A90+15</f>
        <v>765</v>
      </c>
      <c r="B91">
        <f t="shared" ref="B91:B92" si="19">B90+15</f>
        <v>769</v>
      </c>
      <c r="C91" t="str">
        <f t="shared" si="16"/>
        <v>average('Picarro Output'!F765:F769)</v>
      </c>
      <c r="D91" t="s">
        <v>351</v>
      </c>
      <c r="E91" t="str">
        <f t="shared" si="17"/>
        <v>average('Picarro Output'!G765:G769)</v>
      </c>
      <c r="F91" t="s">
        <v>352</v>
      </c>
      <c r="I91" t="str">
        <f t="shared" si="15"/>
        <v>'Picarro Output'!B769</v>
      </c>
      <c r="J91" t="s">
        <v>353</v>
      </c>
    </row>
    <row r="92" spans="1:10" x14ac:dyDescent="0.2">
      <c r="A92">
        <f t="shared" si="18"/>
        <v>780</v>
      </c>
      <c r="B92">
        <f t="shared" si="19"/>
        <v>784</v>
      </c>
      <c r="C92" t="str">
        <f t="shared" si="16"/>
        <v>average('Picarro Output'!F780:F784)</v>
      </c>
      <c r="D92" t="s">
        <v>354</v>
      </c>
      <c r="E92" t="str">
        <f t="shared" si="17"/>
        <v>average('Picarro Output'!G780:G784)</v>
      </c>
      <c r="F92" t="s">
        <v>355</v>
      </c>
      <c r="I92" t="str">
        <f t="shared" si="15"/>
        <v>'Picarro Output'!B784</v>
      </c>
      <c r="J92"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Tray Configuration</vt:lpstr>
      <vt:lpstr>Timing</vt:lpstr>
      <vt:lpstr>Picarro Output</vt:lpstr>
      <vt:lpstr>Uncalibrated Data</vt:lpstr>
      <vt:lpstr>Calibration</vt:lpstr>
      <vt:lpstr>QAQC + Calibrated Data</vt:lpstr>
      <vt:lpstr>Data Export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Microsoft Office User</cp:lastModifiedBy>
  <cp:revision/>
  <dcterms:created xsi:type="dcterms:W3CDTF">2010-10-20T21:52:12Z</dcterms:created>
  <dcterms:modified xsi:type="dcterms:W3CDTF">2022-04-17T18:38:48Z</dcterms:modified>
  <cp:category/>
  <cp:contentStatus/>
</cp:coreProperties>
</file>